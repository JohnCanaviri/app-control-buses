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DIV\AppData\Local\Claude-Data\claude_pzs8sxrjxfjjc\scratch-workspaces\c5bcc5be-73f5-4b26-9af3-22ee64b4eb3c\3f6c0b26-ba2c-43d7-a861-bfa78ef67855\scratch-2026-10-27-b7c757\"/>
    </mc:Choice>
  </mc:AlternateContent>
  <xr:revisionPtr revIDLastSave="0" documentId="13_ncr:1_{47E254E8-0607-4D42-94B9-F1F367B0E94A}" xr6:coauthVersionLast="47" xr6:coauthVersionMax="47" xr10:uidLastSave="{00000000-0000-0000-0000-000000000000}"/>
  <bookViews>
    <workbookView xWindow="5115" yWindow="3015" windowWidth="15375" windowHeight="7785" tabRatio="500" xr2:uid="{00000000-000D-0000-FFFF-FFFF00000000}"/>
  </bookViews>
  <sheets>
    <sheet name="Inicio" sheetId="1" r:id="rId1"/>
    <sheet name="Registro" sheetId="2" r:id="rId2"/>
    <sheet name="Consulta" sheetId="3" r:id="rId3"/>
    <sheet name="Resumen" sheetId="4" r:id="rId4"/>
    <sheet name="Resumen diario" sheetId="6" r:id="rId5"/>
    <sheet name="Facturas" sheetId="7" r:id="rId6"/>
    <sheet name="Cálculo" sheetId="5" state="hidden" r:id="rId7"/>
  </sheets>
  <definedNames>
    <definedName name="_xlnm._FilterDatabase" localSheetId="5" hidden="1">Facturas!$A$15:$H$515</definedName>
    <definedName name="_xlnm._FilterDatabase" localSheetId="1" hidden="1">Registro!$A$1:$K$1001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7" l="1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A10" i="7"/>
  <c r="E10" i="7"/>
  <c r="F10" i="7" s="1"/>
  <c r="F11" i="7" s="1"/>
  <c r="F9" i="7"/>
  <c r="E9" i="7"/>
  <c r="F8" i="7"/>
  <c r="E8" i="7"/>
  <c r="F7" i="7"/>
  <c r="E7" i="7"/>
  <c r="F6" i="7"/>
  <c r="G3" i="7"/>
  <c r="A1" i="7"/>
  <c r="A1" i="6"/>
  <c r="A1" i="4"/>
  <c r="T4" i="3"/>
  <c r="R4" i="3"/>
  <c r="P4" i="3"/>
  <c r="N4" i="3"/>
  <c r="L4" i="3"/>
  <c r="J4" i="3"/>
  <c r="A1" i="3"/>
  <c r="H3" i="6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H3" i="3"/>
  <c r="M1001" i="5"/>
  <c r="N1001" i="5" s="1"/>
  <c r="L1001" i="5"/>
  <c r="K1001" i="5"/>
  <c r="J1001" i="5"/>
  <c r="I1001" i="5"/>
  <c r="H1001" i="5"/>
  <c r="E1001" i="5"/>
  <c r="G1001" i="5" s="1"/>
  <c r="D1001" i="5"/>
  <c r="B1001" i="5"/>
  <c r="C1001" i="5" s="1"/>
  <c r="A1001" i="5"/>
  <c r="M1000" i="5"/>
  <c r="N1000" i="5" s="1"/>
  <c r="L1000" i="5"/>
  <c r="K1000" i="5"/>
  <c r="J1000" i="5"/>
  <c r="I1000" i="5"/>
  <c r="H1000" i="5"/>
  <c r="E1000" i="5"/>
  <c r="G1000" i="5" s="1"/>
  <c r="D1000" i="5"/>
  <c r="B1000" i="5"/>
  <c r="C1000" i="5" s="1"/>
  <c r="A1000" i="5"/>
  <c r="M999" i="5"/>
  <c r="N999" i="5" s="1"/>
  <c r="L999" i="5"/>
  <c r="K999" i="5"/>
  <c r="J999" i="5"/>
  <c r="I999" i="5"/>
  <c r="H999" i="5"/>
  <c r="E999" i="5"/>
  <c r="G999" i="5" s="1"/>
  <c r="D999" i="5"/>
  <c r="B999" i="5"/>
  <c r="C999" i="5" s="1"/>
  <c r="A999" i="5"/>
  <c r="M998" i="5"/>
  <c r="N998" i="5" s="1"/>
  <c r="L998" i="5"/>
  <c r="K998" i="5"/>
  <c r="J998" i="5"/>
  <c r="I998" i="5"/>
  <c r="H998" i="5"/>
  <c r="E998" i="5"/>
  <c r="G998" i="5" s="1"/>
  <c r="D998" i="5"/>
  <c r="B998" i="5"/>
  <c r="C998" i="5" s="1"/>
  <c r="A998" i="5"/>
  <c r="M997" i="5"/>
  <c r="N997" i="5" s="1"/>
  <c r="L997" i="5"/>
  <c r="K997" i="5"/>
  <c r="J997" i="5"/>
  <c r="I997" i="5"/>
  <c r="H997" i="5"/>
  <c r="E997" i="5"/>
  <c r="G997" i="5" s="1"/>
  <c r="D997" i="5"/>
  <c r="B997" i="5"/>
  <c r="C997" i="5" s="1"/>
  <c r="A997" i="5"/>
  <c r="M996" i="5"/>
  <c r="N996" i="5" s="1"/>
  <c r="L996" i="5"/>
  <c r="K996" i="5"/>
  <c r="J996" i="5"/>
  <c r="I996" i="5"/>
  <c r="H996" i="5"/>
  <c r="E996" i="5"/>
  <c r="G996" i="5" s="1"/>
  <c r="D996" i="5"/>
  <c r="B996" i="5"/>
  <c r="C996" i="5" s="1"/>
  <c r="A996" i="5"/>
  <c r="M995" i="5"/>
  <c r="N995" i="5" s="1"/>
  <c r="L995" i="5"/>
  <c r="K995" i="5"/>
  <c r="J995" i="5"/>
  <c r="I995" i="5"/>
  <c r="H995" i="5"/>
  <c r="E995" i="5"/>
  <c r="G995" i="5" s="1"/>
  <c r="D995" i="5"/>
  <c r="B995" i="5"/>
  <c r="C995" i="5" s="1"/>
  <c r="A995" i="5"/>
  <c r="M994" i="5"/>
  <c r="N994" i="5" s="1"/>
  <c r="L994" i="5"/>
  <c r="K994" i="5"/>
  <c r="J994" i="5"/>
  <c r="I994" i="5"/>
  <c r="H994" i="5"/>
  <c r="E994" i="5"/>
  <c r="G994" i="5" s="1"/>
  <c r="D994" i="5"/>
  <c r="B994" i="5"/>
  <c r="C994" i="5" s="1"/>
  <c r="A994" i="5"/>
  <c r="M993" i="5"/>
  <c r="N993" i="5" s="1"/>
  <c r="L993" i="5"/>
  <c r="K993" i="5"/>
  <c r="J993" i="5"/>
  <c r="I993" i="5"/>
  <c r="H993" i="5"/>
  <c r="E993" i="5"/>
  <c r="G993" i="5" s="1"/>
  <c r="D993" i="5"/>
  <c r="B993" i="5"/>
  <c r="C993" i="5" s="1"/>
  <c r="A993" i="5"/>
  <c r="M992" i="5"/>
  <c r="N992" i="5" s="1"/>
  <c r="L992" i="5"/>
  <c r="K992" i="5"/>
  <c r="J992" i="5"/>
  <c r="I992" i="5"/>
  <c r="H992" i="5"/>
  <c r="E992" i="5"/>
  <c r="G992" i="5" s="1"/>
  <c r="D992" i="5"/>
  <c r="B992" i="5"/>
  <c r="C992" i="5" s="1"/>
  <c r="A992" i="5"/>
  <c r="M991" i="5"/>
  <c r="N991" i="5" s="1"/>
  <c r="L991" i="5"/>
  <c r="K991" i="5"/>
  <c r="J991" i="5"/>
  <c r="I991" i="5"/>
  <c r="H991" i="5"/>
  <c r="E991" i="5"/>
  <c r="G991" i="5" s="1"/>
  <c r="D991" i="5"/>
  <c r="C991" i="5"/>
  <c r="B991" i="5"/>
  <c r="A991" i="5"/>
  <c r="M990" i="5"/>
  <c r="N990" i="5" s="1"/>
  <c r="L990" i="5"/>
  <c r="K990" i="5"/>
  <c r="J990" i="5"/>
  <c r="I990" i="5"/>
  <c r="H990" i="5"/>
  <c r="E990" i="5"/>
  <c r="G990" i="5" s="1"/>
  <c r="D990" i="5"/>
  <c r="B990" i="5"/>
  <c r="C990" i="5" s="1"/>
  <c r="A990" i="5"/>
  <c r="M989" i="5"/>
  <c r="N989" i="5" s="1"/>
  <c r="L989" i="5"/>
  <c r="K989" i="5"/>
  <c r="J989" i="5"/>
  <c r="I989" i="5"/>
  <c r="H989" i="5"/>
  <c r="E989" i="5"/>
  <c r="G989" i="5" s="1"/>
  <c r="D989" i="5"/>
  <c r="B989" i="5"/>
  <c r="C989" i="5" s="1"/>
  <c r="A989" i="5"/>
  <c r="M988" i="5"/>
  <c r="N988" i="5" s="1"/>
  <c r="L988" i="5"/>
  <c r="K988" i="5"/>
  <c r="J988" i="5"/>
  <c r="I988" i="5"/>
  <c r="H988" i="5"/>
  <c r="E988" i="5"/>
  <c r="G988" i="5" s="1"/>
  <c r="D988" i="5"/>
  <c r="B988" i="5"/>
  <c r="C988" i="5" s="1"/>
  <c r="A988" i="5"/>
  <c r="M987" i="5"/>
  <c r="N987" i="5" s="1"/>
  <c r="L987" i="5"/>
  <c r="K987" i="5"/>
  <c r="J987" i="5"/>
  <c r="I987" i="5"/>
  <c r="H987" i="5"/>
  <c r="E987" i="5"/>
  <c r="G987" i="5" s="1"/>
  <c r="D987" i="5"/>
  <c r="B987" i="5"/>
  <c r="C987" i="5" s="1"/>
  <c r="A987" i="5"/>
  <c r="M986" i="5"/>
  <c r="N986" i="5" s="1"/>
  <c r="L986" i="5"/>
  <c r="K986" i="5"/>
  <c r="J986" i="5"/>
  <c r="I986" i="5"/>
  <c r="H986" i="5"/>
  <c r="E986" i="5"/>
  <c r="G986" i="5" s="1"/>
  <c r="D986" i="5"/>
  <c r="B986" i="5"/>
  <c r="C986" i="5" s="1"/>
  <c r="A986" i="5"/>
  <c r="M985" i="5"/>
  <c r="N985" i="5" s="1"/>
  <c r="L985" i="5"/>
  <c r="K985" i="5"/>
  <c r="J985" i="5"/>
  <c r="I985" i="5"/>
  <c r="H985" i="5"/>
  <c r="E985" i="5"/>
  <c r="G985" i="5" s="1"/>
  <c r="D985" i="5"/>
  <c r="B985" i="5"/>
  <c r="C985" i="5" s="1"/>
  <c r="A985" i="5"/>
  <c r="M984" i="5"/>
  <c r="N984" i="5" s="1"/>
  <c r="L984" i="5"/>
  <c r="K984" i="5"/>
  <c r="J984" i="5"/>
  <c r="I984" i="5"/>
  <c r="H984" i="5"/>
  <c r="E984" i="5"/>
  <c r="G984" i="5" s="1"/>
  <c r="D984" i="5"/>
  <c r="C984" i="5"/>
  <c r="B984" i="5"/>
  <c r="A984" i="5"/>
  <c r="M983" i="5"/>
  <c r="N983" i="5" s="1"/>
  <c r="L983" i="5"/>
  <c r="K983" i="5"/>
  <c r="J983" i="5"/>
  <c r="I983" i="5"/>
  <c r="H983" i="5"/>
  <c r="E983" i="5"/>
  <c r="G983" i="5" s="1"/>
  <c r="D983" i="5"/>
  <c r="B983" i="5"/>
  <c r="C983" i="5" s="1"/>
  <c r="A983" i="5"/>
  <c r="M982" i="5"/>
  <c r="N982" i="5" s="1"/>
  <c r="L982" i="5"/>
  <c r="K982" i="5"/>
  <c r="J982" i="5"/>
  <c r="I982" i="5"/>
  <c r="H982" i="5"/>
  <c r="E982" i="5"/>
  <c r="G982" i="5" s="1"/>
  <c r="D982" i="5"/>
  <c r="B982" i="5"/>
  <c r="C982" i="5" s="1"/>
  <c r="A982" i="5"/>
  <c r="M981" i="5"/>
  <c r="N981" i="5" s="1"/>
  <c r="L981" i="5"/>
  <c r="K981" i="5"/>
  <c r="J981" i="5"/>
  <c r="I981" i="5"/>
  <c r="H981" i="5"/>
  <c r="E981" i="5"/>
  <c r="G981" i="5" s="1"/>
  <c r="D981" i="5"/>
  <c r="B981" i="5"/>
  <c r="C981" i="5" s="1"/>
  <c r="A981" i="5"/>
  <c r="M980" i="5"/>
  <c r="N980" i="5" s="1"/>
  <c r="L980" i="5"/>
  <c r="K980" i="5"/>
  <c r="J980" i="5"/>
  <c r="I980" i="5"/>
  <c r="H980" i="5"/>
  <c r="E980" i="5"/>
  <c r="G980" i="5" s="1"/>
  <c r="D980" i="5"/>
  <c r="B980" i="5"/>
  <c r="C980" i="5" s="1"/>
  <c r="A980" i="5"/>
  <c r="M979" i="5"/>
  <c r="N979" i="5" s="1"/>
  <c r="L979" i="5"/>
  <c r="K979" i="5"/>
  <c r="J979" i="5"/>
  <c r="I979" i="5"/>
  <c r="H979" i="5"/>
  <c r="E979" i="5"/>
  <c r="G979" i="5" s="1"/>
  <c r="D979" i="5"/>
  <c r="B979" i="5"/>
  <c r="C979" i="5" s="1"/>
  <c r="A979" i="5"/>
  <c r="M978" i="5"/>
  <c r="N978" i="5" s="1"/>
  <c r="L978" i="5"/>
  <c r="K978" i="5"/>
  <c r="J978" i="5"/>
  <c r="I978" i="5"/>
  <c r="H978" i="5"/>
  <c r="E978" i="5"/>
  <c r="G978" i="5" s="1"/>
  <c r="D978" i="5"/>
  <c r="B978" i="5"/>
  <c r="C978" i="5" s="1"/>
  <c r="A978" i="5"/>
  <c r="M977" i="5"/>
  <c r="N977" i="5" s="1"/>
  <c r="L977" i="5"/>
  <c r="K977" i="5"/>
  <c r="J977" i="5"/>
  <c r="I977" i="5"/>
  <c r="H977" i="5"/>
  <c r="E977" i="5"/>
  <c r="G977" i="5" s="1"/>
  <c r="D977" i="5"/>
  <c r="B977" i="5"/>
  <c r="C977" i="5" s="1"/>
  <c r="A977" i="5"/>
  <c r="M976" i="5"/>
  <c r="N976" i="5" s="1"/>
  <c r="L976" i="5"/>
  <c r="K976" i="5"/>
  <c r="J976" i="5"/>
  <c r="I976" i="5"/>
  <c r="H976" i="5"/>
  <c r="E976" i="5"/>
  <c r="G976" i="5" s="1"/>
  <c r="D976" i="5"/>
  <c r="C976" i="5"/>
  <c r="B976" i="5"/>
  <c r="A976" i="5"/>
  <c r="M975" i="5"/>
  <c r="N975" i="5" s="1"/>
  <c r="L975" i="5"/>
  <c r="K975" i="5"/>
  <c r="J975" i="5"/>
  <c r="I975" i="5"/>
  <c r="H975" i="5"/>
  <c r="E975" i="5"/>
  <c r="G975" i="5" s="1"/>
  <c r="D975" i="5"/>
  <c r="B975" i="5"/>
  <c r="C975" i="5" s="1"/>
  <c r="A975" i="5"/>
  <c r="M974" i="5"/>
  <c r="N974" i="5" s="1"/>
  <c r="L974" i="5"/>
  <c r="K974" i="5"/>
  <c r="J974" i="5"/>
  <c r="I974" i="5"/>
  <c r="H974" i="5"/>
  <c r="E974" i="5"/>
  <c r="G974" i="5" s="1"/>
  <c r="D974" i="5"/>
  <c r="B974" i="5"/>
  <c r="C974" i="5" s="1"/>
  <c r="A974" i="5"/>
  <c r="M973" i="5"/>
  <c r="N973" i="5" s="1"/>
  <c r="L973" i="5"/>
  <c r="K973" i="5"/>
  <c r="J973" i="5"/>
  <c r="I973" i="5"/>
  <c r="H973" i="5"/>
  <c r="E973" i="5"/>
  <c r="G973" i="5" s="1"/>
  <c r="D973" i="5"/>
  <c r="B973" i="5"/>
  <c r="C973" i="5" s="1"/>
  <c r="A973" i="5"/>
  <c r="M972" i="5"/>
  <c r="N972" i="5" s="1"/>
  <c r="L972" i="5"/>
  <c r="K972" i="5"/>
  <c r="J972" i="5"/>
  <c r="I972" i="5"/>
  <c r="H972" i="5"/>
  <c r="E972" i="5"/>
  <c r="G972" i="5" s="1"/>
  <c r="D972" i="5"/>
  <c r="B972" i="5"/>
  <c r="C972" i="5" s="1"/>
  <c r="A972" i="5"/>
  <c r="M971" i="5"/>
  <c r="N971" i="5" s="1"/>
  <c r="L971" i="5"/>
  <c r="K971" i="5"/>
  <c r="J971" i="5"/>
  <c r="I971" i="5"/>
  <c r="H971" i="5"/>
  <c r="E971" i="5"/>
  <c r="G971" i="5" s="1"/>
  <c r="D971" i="5"/>
  <c r="B971" i="5"/>
  <c r="C971" i="5" s="1"/>
  <c r="A971" i="5"/>
  <c r="M970" i="5"/>
  <c r="N970" i="5" s="1"/>
  <c r="L970" i="5"/>
  <c r="K970" i="5"/>
  <c r="J970" i="5"/>
  <c r="I970" i="5"/>
  <c r="H970" i="5"/>
  <c r="E970" i="5"/>
  <c r="G970" i="5" s="1"/>
  <c r="D970" i="5"/>
  <c r="B970" i="5"/>
  <c r="C970" i="5" s="1"/>
  <c r="A970" i="5"/>
  <c r="M969" i="5"/>
  <c r="N969" i="5" s="1"/>
  <c r="L969" i="5"/>
  <c r="K969" i="5"/>
  <c r="J969" i="5"/>
  <c r="I969" i="5"/>
  <c r="H969" i="5"/>
  <c r="E969" i="5"/>
  <c r="G969" i="5" s="1"/>
  <c r="D969" i="5"/>
  <c r="B969" i="5"/>
  <c r="C969" i="5" s="1"/>
  <c r="A969" i="5"/>
  <c r="M968" i="5"/>
  <c r="N968" i="5" s="1"/>
  <c r="L968" i="5"/>
  <c r="K968" i="5"/>
  <c r="J968" i="5"/>
  <c r="I968" i="5"/>
  <c r="H968" i="5"/>
  <c r="E968" i="5"/>
  <c r="G968" i="5" s="1"/>
  <c r="D968" i="5"/>
  <c r="B968" i="5"/>
  <c r="C968" i="5" s="1"/>
  <c r="A968" i="5"/>
  <c r="M967" i="5"/>
  <c r="N967" i="5" s="1"/>
  <c r="L967" i="5"/>
  <c r="K967" i="5"/>
  <c r="J967" i="5"/>
  <c r="I967" i="5"/>
  <c r="H967" i="5"/>
  <c r="E967" i="5"/>
  <c r="G967" i="5" s="1"/>
  <c r="D967" i="5"/>
  <c r="B967" i="5"/>
  <c r="C967" i="5" s="1"/>
  <c r="A967" i="5"/>
  <c r="M966" i="5"/>
  <c r="N966" i="5" s="1"/>
  <c r="L966" i="5"/>
  <c r="K966" i="5"/>
  <c r="J966" i="5"/>
  <c r="I966" i="5"/>
  <c r="H966" i="5"/>
  <c r="E966" i="5"/>
  <c r="G966" i="5" s="1"/>
  <c r="D966" i="5"/>
  <c r="B966" i="5"/>
  <c r="C966" i="5" s="1"/>
  <c r="A966" i="5"/>
  <c r="M965" i="5"/>
  <c r="N965" i="5" s="1"/>
  <c r="L965" i="5"/>
  <c r="K965" i="5"/>
  <c r="J965" i="5"/>
  <c r="I965" i="5"/>
  <c r="H965" i="5"/>
  <c r="E965" i="5"/>
  <c r="G965" i="5" s="1"/>
  <c r="D965" i="5"/>
  <c r="B965" i="5"/>
  <c r="C965" i="5" s="1"/>
  <c r="A965" i="5"/>
  <c r="M964" i="5"/>
  <c r="N964" i="5" s="1"/>
  <c r="L964" i="5"/>
  <c r="K964" i="5"/>
  <c r="J964" i="5"/>
  <c r="I964" i="5"/>
  <c r="H964" i="5"/>
  <c r="E964" i="5"/>
  <c r="G964" i="5" s="1"/>
  <c r="D964" i="5"/>
  <c r="B964" i="5"/>
  <c r="C964" i="5" s="1"/>
  <c r="A964" i="5"/>
  <c r="M963" i="5"/>
  <c r="N963" i="5" s="1"/>
  <c r="L963" i="5"/>
  <c r="K963" i="5"/>
  <c r="J963" i="5"/>
  <c r="I963" i="5"/>
  <c r="H963" i="5"/>
  <c r="E963" i="5"/>
  <c r="G963" i="5" s="1"/>
  <c r="D963" i="5"/>
  <c r="B963" i="5"/>
  <c r="C963" i="5" s="1"/>
  <c r="A963" i="5"/>
  <c r="M962" i="5"/>
  <c r="N962" i="5" s="1"/>
  <c r="L962" i="5"/>
  <c r="K962" i="5"/>
  <c r="J962" i="5"/>
  <c r="I962" i="5"/>
  <c r="H962" i="5"/>
  <c r="E962" i="5"/>
  <c r="G962" i="5" s="1"/>
  <c r="D962" i="5"/>
  <c r="B962" i="5"/>
  <c r="C962" i="5" s="1"/>
  <c r="A962" i="5"/>
  <c r="M961" i="5"/>
  <c r="N961" i="5" s="1"/>
  <c r="L961" i="5"/>
  <c r="K961" i="5"/>
  <c r="J961" i="5"/>
  <c r="I961" i="5"/>
  <c r="H961" i="5"/>
  <c r="E961" i="5"/>
  <c r="G961" i="5" s="1"/>
  <c r="D961" i="5"/>
  <c r="B961" i="5"/>
  <c r="C961" i="5" s="1"/>
  <c r="A961" i="5"/>
  <c r="M960" i="5"/>
  <c r="N960" i="5" s="1"/>
  <c r="L960" i="5"/>
  <c r="K960" i="5"/>
  <c r="J960" i="5"/>
  <c r="I960" i="5"/>
  <c r="H960" i="5"/>
  <c r="E960" i="5"/>
  <c r="G960" i="5" s="1"/>
  <c r="D960" i="5"/>
  <c r="C960" i="5"/>
  <c r="B960" i="5"/>
  <c r="A960" i="5"/>
  <c r="M959" i="5"/>
  <c r="N959" i="5" s="1"/>
  <c r="L959" i="5"/>
  <c r="K959" i="5"/>
  <c r="J959" i="5"/>
  <c r="I959" i="5"/>
  <c r="H959" i="5"/>
  <c r="E959" i="5"/>
  <c r="G959" i="5" s="1"/>
  <c r="D959" i="5"/>
  <c r="B959" i="5"/>
  <c r="C959" i="5" s="1"/>
  <c r="A959" i="5"/>
  <c r="M958" i="5"/>
  <c r="N958" i="5" s="1"/>
  <c r="L958" i="5"/>
  <c r="K958" i="5"/>
  <c r="J958" i="5"/>
  <c r="I958" i="5"/>
  <c r="H958" i="5"/>
  <c r="E958" i="5"/>
  <c r="G958" i="5" s="1"/>
  <c r="D958" i="5"/>
  <c r="C958" i="5"/>
  <c r="B958" i="5"/>
  <c r="A958" i="5"/>
  <c r="M957" i="5"/>
  <c r="N957" i="5" s="1"/>
  <c r="L957" i="5"/>
  <c r="K957" i="5"/>
  <c r="J957" i="5"/>
  <c r="I957" i="5"/>
  <c r="H957" i="5"/>
  <c r="E957" i="5"/>
  <c r="G957" i="5" s="1"/>
  <c r="D957" i="5"/>
  <c r="B957" i="5"/>
  <c r="C957" i="5" s="1"/>
  <c r="A957" i="5"/>
  <c r="M956" i="5"/>
  <c r="N956" i="5" s="1"/>
  <c r="L956" i="5"/>
  <c r="K956" i="5"/>
  <c r="J956" i="5"/>
  <c r="I956" i="5"/>
  <c r="H956" i="5"/>
  <c r="E956" i="5"/>
  <c r="G956" i="5" s="1"/>
  <c r="D956" i="5"/>
  <c r="B956" i="5"/>
  <c r="C956" i="5" s="1"/>
  <c r="A956" i="5"/>
  <c r="M955" i="5"/>
  <c r="N955" i="5" s="1"/>
  <c r="L955" i="5"/>
  <c r="K955" i="5"/>
  <c r="J955" i="5"/>
  <c r="I955" i="5"/>
  <c r="H955" i="5"/>
  <c r="E955" i="5"/>
  <c r="G955" i="5" s="1"/>
  <c r="D955" i="5"/>
  <c r="B955" i="5"/>
  <c r="C955" i="5" s="1"/>
  <c r="A955" i="5"/>
  <c r="M954" i="5"/>
  <c r="N954" i="5" s="1"/>
  <c r="L954" i="5"/>
  <c r="K954" i="5"/>
  <c r="J954" i="5"/>
  <c r="I954" i="5"/>
  <c r="H954" i="5"/>
  <c r="E954" i="5"/>
  <c r="G954" i="5" s="1"/>
  <c r="D954" i="5"/>
  <c r="B954" i="5"/>
  <c r="C954" i="5" s="1"/>
  <c r="A954" i="5"/>
  <c r="M953" i="5"/>
  <c r="N953" i="5" s="1"/>
  <c r="L953" i="5"/>
  <c r="K953" i="5"/>
  <c r="J953" i="5"/>
  <c r="I953" i="5"/>
  <c r="H953" i="5"/>
  <c r="E953" i="5"/>
  <c r="G953" i="5" s="1"/>
  <c r="D953" i="5"/>
  <c r="B953" i="5"/>
  <c r="C953" i="5" s="1"/>
  <c r="A953" i="5"/>
  <c r="M952" i="5"/>
  <c r="N952" i="5" s="1"/>
  <c r="L952" i="5"/>
  <c r="K952" i="5"/>
  <c r="J952" i="5"/>
  <c r="I952" i="5"/>
  <c r="H952" i="5"/>
  <c r="E952" i="5"/>
  <c r="G952" i="5" s="1"/>
  <c r="D952" i="5"/>
  <c r="B952" i="5"/>
  <c r="C952" i="5" s="1"/>
  <c r="A952" i="5"/>
  <c r="M951" i="5"/>
  <c r="N951" i="5" s="1"/>
  <c r="L951" i="5"/>
  <c r="K951" i="5"/>
  <c r="J951" i="5"/>
  <c r="I951" i="5"/>
  <c r="H951" i="5"/>
  <c r="E951" i="5"/>
  <c r="G951" i="5" s="1"/>
  <c r="D951" i="5"/>
  <c r="C951" i="5"/>
  <c r="B951" i="5"/>
  <c r="A951" i="5"/>
  <c r="M950" i="5"/>
  <c r="N950" i="5" s="1"/>
  <c r="L950" i="5"/>
  <c r="K950" i="5"/>
  <c r="J950" i="5"/>
  <c r="I950" i="5"/>
  <c r="H950" i="5"/>
  <c r="E950" i="5"/>
  <c r="G950" i="5" s="1"/>
  <c r="D950" i="5"/>
  <c r="B950" i="5"/>
  <c r="C950" i="5" s="1"/>
  <c r="A950" i="5"/>
  <c r="M949" i="5"/>
  <c r="N949" i="5" s="1"/>
  <c r="L949" i="5"/>
  <c r="K949" i="5"/>
  <c r="J949" i="5"/>
  <c r="I949" i="5"/>
  <c r="H949" i="5"/>
  <c r="E949" i="5"/>
  <c r="G949" i="5" s="1"/>
  <c r="D949" i="5"/>
  <c r="B949" i="5"/>
  <c r="C949" i="5" s="1"/>
  <c r="A949" i="5"/>
  <c r="M948" i="5"/>
  <c r="N948" i="5" s="1"/>
  <c r="L948" i="5"/>
  <c r="K948" i="5"/>
  <c r="J948" i="5"/>
  <c r="I948" i="5"/>
  <c r="H948" i="5"/>
  <c r="E948" i="5"/>
  <c r="G948" i="5" s="1"/>
  <c r="D948" i="5"/>
  <c r="B948" i="5"/>
  <c r="C948" i="5" s="1"/>
  <c r="A948" i="5"/>
  <c r="M947" i="5"/>
  <c r="N947" i="5" s="1"/>
  <c r="L947" i="5"/>
  <c r="K947" i="5"/>
  <c r="J947" i="5"/>
  <c r="I947" i="5"/>
  <c r="H947" i="5"/>
  <c r="E947" i="5"/>
  <c r="G947" i="5" s="1"/>
  <c r="D947" i="5"/>
  <c r="B947" i="5"/>
  <c r="C947" i="5" s="1"/>
  <c r="A947" i="5"/>
  <c r="M946" i="5"/>
  <c r="N946" i="5" s="1"/>
  <c r="L946" i="5"/>
  <c r="K946" i="5"/>
  <c r="J946" i="5"/>
  <c r="I946" i="5"/>
  <c r="H946" i="5"/>
  <c r="E946" i="5"/>
  <c r="G946" i="5" s="1"/>
  <c r="D946" i="5"/>
  <c r="B946" i="5"/>
  <c r="C946" i="5" s="1"/>
  <c r="A946" i="5"/>
  <c r="M945" i="5"/>
  <c r="N945" i="5" s="1"/>
  <c r="L945" i="5"/>
  <c r="K945" i="5"/>
  <c r="J945" i="5"/>
  <c r="I945" i="5"/>
  <c r="H945" i="5"/>
  <c r="E945" i="5"/>
  <c r="G945" i="5" s="1"/>
  <c r="D945" i="5"/>
  <c r="B945" i="5"/>
  <c r="C945" i="5" s="1"/>
  <c r="A945" i="5"/>
  <c r="M944" i="5"/>
  <c r="N944" i="5" s="1"/>
  <c r="L944" i="5"/>
  <c r="K944" i="5"/>
  <c r="J944" i="5"/>
  <c r="I944" i="5"/>
  <c r="H944" i="5"/>
  <c r="E944" i="5"/>
  <c r="G944" i="5" s="1"/>
  <c r="D944" i="5"/>
  <c r="B944" i="5"/>
  <c r="C944" i="5" s="1"/>
  <c r="A944" i="5"/>
  <c r="M943" i="5"/>
  <c r="N943" i="5" s="1"/>
  <c r="L943" i="5"/>
  <c r="K943" i="5"/>
  <c r="J943" i="5"/>
  <c r="I943" i="5"/>
  <c r="H943" i="5"/>
  <c r="E943" i="5"/>
  <c r="G943" i="5" s="1"/>
  <c r="D943" i="5"/>
  <c r="B943" i="5"/>
  <c r="C943" i="5" s="1"/>
  <c r="A943" i="5"/>
  <c r="M942" i="5"/>
  <c r="N942" i="5" s="1"/>
  <c r="L942" i="5"/>
  <c r="K942" i="5"/>
  <c r="J942" i="5"/>
  <c r="I942" i="5"/>
  <c r="H942" i="5"/>
  <c r="E942" i="5"/>
  <c r="G942" i="5" s="1"/>
  <c r="D942" i="5"/>
  <c r="C942" i="5"/>
  <c r="B942" i="5"/>
  <c r="A942" i="5"/>
  <c r="M941" i="5"/>
  <c r="N941" i="5" s="1"/>
  <c r="L941" i="5"/>
  <c r="K941" i="5"/>
  <c r="J941" i="5"/>
  <c r="I941" i="5"/>
  <c r="H941" i="5"/>
  <c r="E941" i="5"/>
  <c r="G941" i="5" s="1"/>
  <c r="D941" i="5"/>
  <c r="B941" i="5"/>
  <c r="C941" i="5" s="1"/>
  <c r="A941" i="5"/>
  <c r="M940" i="5"/>
  <c r="N940" i="5" s="1"/>
  <c r="L940" i="5"/>
  <c r="K940" i="5"/>
  <c r="J940" i="5"/>
  <c r="I940" i="5"/>
  <c r="H940" i="5"/>
  <c r="E940" i="5"/>
  <c r="G940" i="5" s="1"/>
  <c r="D940" i="5"/>
  <c r="B940" i="5"/>
  <c r="C940" i="5" s="1"/>
  <c r="A940" i="5"/>
  <c r="M939" i="5"/>
  <c r="N939" i="5" s="1"/>
  <c r="L939" i="5"/>
  <c r="K939" i="5"/>
  <c r="J939" i="5"/>
  <c r="I939" i="5"/>
  <c r="H939" i="5"/>
  <c r="E939" i="5"/>
  <c r="G939" i="5" s="1"/>
  <c r="D939" i="5"/>
  <c r="B939" i="5"/>
  <c r="C939" i="5" s="1"/>
  <c r="A939" i="5"/>
  <c r="M938" i="5"/>
  <c r="N938" i="5" s="1"/>
  <c r="L938" i="5"/>
  <c r="K938" i="5"/>
  <c r="J938" i="5"/>
  <c r="I938" i="5"/>
  <c r="H938" i="5"/>
  <c r="E938" i="5"/>
  <c r="G938" i="5" s="1"/>
  <c r="D938" i="5"/>
  <c r="B938" i="5"/>
  <c r="C938" i="5" s="1"/>
  <c r="A938" i="5"/>
  <c r="M937" i="5"/>
  <c r="N937" i="5" s="1"/>
  <c r="L937" i="5"/>
  <c r="K937" i="5"/>
  <c r="J937" i="5"/>
  <c r="I937" i="5"/>
  <c r="H937" i="5"/>
  <c r="E937" i="5"/>
  <c r="G937" i="5" s="1"/>
  <c r="D937" i="5"/>
  <c r="B937" i="5"/>
  <c r="C937" i="5" s="1"/>
  <c r="A937" i="5"/>
  <c r="M936" i="5"/>
  <c r="N936" i="5" s="1"/>
  <c r="L936" i="5"/>
  <c r="K936" i="5"/>
  <c r="J936" i="5"/>
  <c r="I936" i="5"/>
  <c r="H936" i="5"/>
  <c r="E936" i="5"/>
  <c r="G936" i="5" s="1"/>
  <c r="D936" i="5"/>
  <c r="B936" i="5"/>
  <c r="C936" i="5" s="1"/>
  <c r="A936" i="5"/>
  <c r="M935" i="5"/>
  <c r="N935" i="5" s="1"/>
  <c r="L935" i="5"/>
  <c r="K935" i="5"/>
  <c r="J935" i="5"/>
  <c r="I935" i="5"/>
  <c r="H935" i="5"/>
  <c r="E935" i="5"/>
  <c r="G935" i="5" s="1"/>
  <c r="D935" i="5"/>
  <c r="B935" i="5"/>
  <c r="C935" i="5" s="1"/>
  <c r="A935" i="5"/>
  <c r="M934" i="5"/>
  <c r="N934" i="5" s="1"/>
  <c r="L934" i="5"/>
  <c r="K934" i="5"/>
  <c r="J934" i="5"/>
  <c r="I934" i="5"/>
  <c r="H934" i="5"/>
  <c r="E934" i="5"/>
  <c r="G934" i="5" s="1"/>
  <c r="D934" i="5"/>
  <c r="B934" i="5"/>
  <c r="C934" i="5" s="1"/>
  <c r="A934" i="5"/>
  <c r="M933" i="5"/>
  <c r="N933" i="5" s="1"/>
  <c r="L933" i="5"/>
  <c r="K933" i="5"/>
  <c r="J933" i="5"/>
  <c r="I933" i="5"/>
  <c r="H933" i="5"/>
  <c r="E933" i="5"/>
  <c r="G933" i="5" s="1"/>
  <c r="D933" i="5"/>
  <c r="B933" i="5"/>
  <c r="C933" i="5" s="1"/>
  <c r="A933" i="5"/>
  <c r="M932" i="5"/>
  <c r="N932" i="5" s="1"/>
  <c r="L932" i="5"/>
  <c r="K932" i="5"/>
  <c r="J932" i="5"/>
  <c r="I932" i="5"/>
  <c r="H932" i="5"/>
  <c r="E932" i="5"/>
  <c r="G932" i="5" s="1"/>
  <c r="D932" i="5"/>
  <c r="B932" i="5"/>
  <c r="C932" i="5" s="1"/>
  <c r="A932" i="5"/>
  <c r="M931" i="5"/>
  <c r="N931" i="5" s="1"/>
  <c r="L931" i="5"/>
  <c r="K931" i="5"/>
  <c r="J931" i="5"/>
  <c r="I931" i="5"/>
  <c r="H931" i="5"/>
  <c r="E931" i="5"/>
  <c r="G931" i="5" s="1"/>
  <c r="D931" i="5"/>
  <c r="B931" i="5"/>
  <c r="C931" i="5" s="1"/>
  <c r="A931" i="5"/>
  <c r="M930" i="5"/>
  <c r="N930" i="5" s="1"/>
  <c r="L930" i="5"/>
  <c r="K930" i="5"/>
  <c r="J930" i="5"/>
  <c r="I930" i="5"/>
  <c r="H930" i="5"/>
  <c r="E930" i="5"/>
  <c r="G930" i="5" s="1"/>
  <c r="D930" i="5"/>
  <c r="B930" i="5"/>
  <c r="C930" i="5" s="1"/>
  <c r="A930" i="5"/>
  <c r="M929" i="5"/>
  <c r="N929" i="5" s="1"/>
  <c r="L929" i="5"/>
  <c r="K929" i="5"/>
  <c r="J929" i="5"/>
  <c r="I929" i="5"/>
  <c r="H929" i="5"/>
  <c r="E929" i="5"/>
  <c r="G929" i="5" s="1"/>
  <c r="D929" i="5"/>
  <c r="B929" i="5"/>
  <c r="C929" i="5" s="1"/>
  <c r="A929" i="5"/>
  <c r="M928" i="5"/>
  <c r="N928" i="5" s="1"/>
  <c r="L928" i="5"/>
  <c r="K928" i="5"/>
  <c r="J928" i="5"/>
  <c r="I928" i="5"/>
  <c r="H928" i="5"/>
  <c r="E928" i="5"/>
  <c r="G928" i="5" s="1"/>
  <c r="D928" i="5"/>
  <c r="C928" i="5"/>
  <c r="B928" i="5"/>
  <c r="A928" i="5"/>
  <c r="M927" i="5"/>
  <c r="N927" i="5" s="1"/>
  <c r="L927" i="5"/>
  <c r="K927" i="5"/>
  <c r="J927" i="5"/>
  <c r="I927" i="5"/>
  <c r="H927" i="5"/>
  <c r="E927" i="5"/>
  <c r="G927" i="5" s="1"/>
  <c r="D927" i="5"/>
  <c r="B927" i="5"/>
  <c r="C927" i="5" s="1"/>
  <c r="A927" i="5"/>
  <c r="M926" i="5"/>
  <c r="N926" i="5" s="1"/>
  <c r="L926" i="5"/>
  <c r="K926" i="5"/>
  <c r="J926" i="5"/>
  <c r="I926" i="5"/>
  <c r="H926" i="5"/>
  <c r="E926" i="5"/>
  <c r="G926" i="5" s="1"/>
  <c r="D926" i="5"/>
  <c r="B926" i="5"/>
  <c r="C926" i="5" s="1"/>
  <c r="A926" i="5"/>
  <c r="M925" i="5"/>
  <c r="N925" i="5" s="1"/>
  <c r="L925" i="5"/>
  <c r="K925" i="5"/>
  <c r="J925" i="5"/>
  <c r="I925" i="5"/>
  <c r="H925" i="5"/>
  <c r="E925" i="5"/>
  <c r="G925" i="5" s="1"/>
  <c r="D925" i="5"/>
  <c r="B925" i="5"/>
  <c r="C925" i="5" s="1"/>
  <c r="A925" i="5"/>
  <c r="M924" i="5"/>
  <c r="N924" i="5" s="1"/>
  <c r="L924" i="5"/>
  <c r="K924" i="5"/>
  <c r="J924" i="5"/>
  <c r="I924" i="5"/>
  <c r="H924" i="5"/>
  <c r="E924" i="5"/>
  <c r="G924" i="5" s="1"/>
  <c r="D924" i="5"/>
  <c r="B924" i="5"/>
  <c r="C924" i="5" s="1"/>
  <c r="A924" i="5"/>
  <c r="M923" i="5"/>
  <c r="N923" i="5" s="1"/>
  <c r="L923" i="5"/>
  <c r="K923" i="5"/>
  <c r="J923" i="5"/>
  <c r="I923" i="5"/>
  <c r="H923" i="5"/>
  <c r="E923" i="5"/>
  <c r="G923" i="5" s="1"/>
  <c r="D923" i="5"/>
  <c r="B923" i="5"/>
  <c r="C923" i="5" s="1"/>
  <c r="A923" i="5"/>
  <c r="M922" i="5"/>
  <c r="N922" i="5" s="1"/>
  <c r="L922" i="5"/>
  <c r="K922" i="5"/>
  <c r="J922" i="5"/>
  <c r="I922" i="5"/>
  <c r="H922" i="5"/>
  <c r="E922" i="5"/>
  <c r="G922" i="5" s="1"/>
  <c r="D922" i="5"/>
  <c r="B922" i="5"/>
  <c r="C922" i="5" s="1"/>
  <c r="A922" i="5"/>
  <c r="N921" i="5"/>
  <c r="M921" i="5"/>
  <c r="L921" i="5"/>
  <c r="K921" i="5"/>
  <c r="J921" i="5"/>
  <c r="I921" i="5"/>
  <c r="H921" i="5"/>
  <c r="E921" i="5"/>
  <c r="G921" i="5" s="1"/>
  <c r="D921" i="5"/>
  <c r="B921" i="5"/>
  <c r="C921" i="5" s="1"/>
  <c r="A921" i="5"/>
  <c r="M920" i="5"/>
  <c r="N920" i="5" s="1"/>
  <c r="L920" i="5"/>
  <c r="K920" i="5"/>
  <c r="J920" i="5"/>
  <c r="I920" i="5"/>
  <c r="H920" i="5"/>
  <c r="E920" i="5"/>
  <c r="G920" i="5" s="1"/>
  <c r="D920" i="5"/>
  <c r="B920" i="5"/>
  <c r="C920" i="5" s="1"/>
  <c r="A920" i="5"/>
  <c r="M919" i="5"/>
  <c r="N919" i="5" s="1"/>
  <c r="L919" i="5"/>
  <c r="K919" i="5"/>
  <c r="J919" i="5"/>
  <c r="I919" i="5"/>
  <c r="H919" i="5"/>
  <c r="E919" i="5"/>
  <c r="G919" i="5" s="1"/>
  <c r="D919" i="5"/>
  <c r="B919" i="5"/>
  <c r="C919" i="5" s="1"/>
  <c r="A919" i="5"/>
  <c r="M918" i="5"/>
  <c r="N918" i="5" s="1"/>
  <c r="L918" i="5"/>
  <c r="K918" i="5"/>
  <c r="J918" i="5"/>
  <c r="I918" i="5"/>
  <c r="H918" i="5"/>
  <c r="E918" i="5"/>
  <c r="G918" i="5" s="1"/>
  <c r="D918" i="5"/>
  <c r="B918" i="5"/>
  <c r="C918" i="5" s="1"/>
  <c r="A918" i="5"/>
  <c r="M917" i="5"/>
  <c r="N917" i="5" s="1"/>
  <c r="L917" i="5"/>
  <c r="K917" i="5"/>
  <c r="J917" i="5"/>
  <c r="I917" i="5"/>
  <c r="H917" i="5"/>
  <c r="E917" i="5"/>
  <c r="G917" i="5" s="1"/>
  <c r="D917" i="5"/>
  <c r="B917" i="5"/>
  <c r="C917" i="5" s="1"/>
  <c r="A917" i="5"/>
  <c r="M916" i="5"/>
  <c r="N916" i="5" s="1"/>
  <c r="L916" i="5"/>
  <c r="K916" i="5"/>
  <c r="J916" i="5"/>
  <c r="I916" i="5"/>
  <c r="H916" i="5"/>
  <c r="E916" i="5"/>
  <c r="G916" i="5" s="1"/>
  <c r="D916" i="5"/>
  <c r="B916" i="5"/>
  <c r="C916" i="5" s="1"/>
  <c r="A916" i="5"/>
  <c r="M915" i="5"/>
  <c r="N915" i="5" s="1"/>
  <c r="L915" i="5"/>
  <c r="K915" i="5"/>
  <c r="J915" i="5"/>
  <c r="I915" i="5"/>
  <c r="H915" i="5"/>
  <c r="E915" i="5"/>
  <c r="G915" i="5" s="1"/>
  <c r="D915" i="5"/>
  <c r="B915" i="5"/>
  <c r="C915" i="5" s="1"/>
  <c r="A915" i="5"/>
  <c r="M914" i="5"/>
  <c r="N914" i="5" s="1"/>
  <c r="L914" i="5"/>
  <c r="K914" i="5"/>
  <c r="J914" i="5"/>
  <c r="I914" i="5"/>
  <c r="H914" i="5"/>
  <c r="E914" i="5"/>
  <c r="G914" i="5" s="1"/>
  <c r="D914" i="5"/>
  <c r="B914" i="5"/>
  <c r="C914" i="5" s="1"/>
  <c r="A914" i="5"/>
  <c r="M913" i="5"/>
  <c r="N913" i="5" s="1"/>
  <c r="L913" i="5"/>
  <c r="K913" i="5"/>
  <c r="J913" i="5"/>
  <c r="I913" i="5"/>
  <c r="H913" i="5"/>
  <c r="E913" i="5"/>
  <c r="G913" i="5" s="1"/>
  <c r="D913" i="5"/>
  <c r="B913" i="5"/>
  <c r="C913" i="5" s="1"/>
  <c r="A913" i="5"/>
  <c r="M912" i="5"/>
  <c r="N912" i="5" s="1"/>
  <c r="L912" i="5"/>
  <c r="K912" i="5"/>
  <c r="J912" i="5"/>
  <c r="I912" i="5"/>
  <c r="H912" i="5"/>
  <c r="E912" i="5"/>
  <c r="G912" i="5" s="1"/>
  <c r="D912" i="5"/>
  <c r="B912" i="5"/>
  <c r="C912" i="5" s="1"/>
  <c r="A912" i="5"/>
  <c r="M911" i="5"/>
  <c r="N911" i="5" s="1"/>
  <c r="L911" i="5"/>
  <c r="K911" i="5"/>
  <c r="J911" i="5"/>
  <c r="I911" i="5"/>
  <c r="H911" i="5"/>
  <c r="E911" i="5"/>
  <c r="G911" i="5" s="1"/>
  <c r="D911" i="5"/>
  <c r="B911" i="5"/>
  <c r="C911" i="5" s="1"/>
  <c r="A911" i="5"/>
  <c r="M910" i="5"/>
  <c r="N910" i="5" s="1"/>
  <c r="L910" i="5"/>
  <c r="K910" i="5"/>
  <c r="J910" i="5"/>
  <c r="I910" i="5"/>
  <c r="H910" i="5"/>
  <c r="E910" i="5"/>
  <c r="G910" i="5" s="1"/>
  <c r="D910" i="5"/>
  <c r="B910" i="5"/>
  <c r="C910" i="5" s="1"/>
  <c r="A910" i="5"/>
  <c r="M909" i="5"/>
  <c r="N909" i="5" s="1"/>
  <c r="L909" i="5"/>
  <c r="K909" i="5"/>
  <c r="J909" i="5"/>
  <c r="I909" i="5"/>
  <c r="H909" i="5"/>
  <c r="E909" i="5"/>
  <c r="G909" i="5" s="1"/>
  <c r="D909" i="5"/>
  <c r="B909" i="5"/>
  <c r="C909" i="5" s="1"/>
  <c r="A909" i="5"/>
  <c r="M908" i="5"/>
  <c r="N908" i="5" s="1"/>
  <c r="L908" i="5"/>
  <c r="K908" i="5"/>
  <c r="J908" i="5"/>
  <c r="I908" i="5"/>
  <c r="H908" i="5"/>
  <c r="E908" i="5"/>
  <c r="G908" i="5" s="1"/>
  <c r="D908" i="5"/>
  <c r="B908" i="5"/>
  <c r="C908" i="5" s="1"/>
  <c r="A908" i="5"/>
  <c r="M907" i="5"/>
  <c r="N907" i="5" s="1"/>
  <c r="L907" i="5"/>
  <c r="K907" i="5"/>
  <c r="J907" i="5"/>
  <c r="I907" i="5"/>
  <c r="H907" i="5"/>
  <c r="E907" i="5"/>
  <c r="G907" i="5" s="1"/>
  <c r="D907" i="5"/>
  <c r="B907" i="5"/>
  <c r="C907" i="5" s="1"/>
  <c r="A907" i="5"/>
  <c r="M906" i="5"/>
  <c r="N906" i="5" s="1"/>
  <c r="L906" i="5"/>
  <c r="K906" i="5"/>
  <c r="J906" i="5"/>
  <c r="I906" i="5"/>
  <c r="H906" i="5"/>
  <c r="E906" i="5"/>
  <c r="G906" i="5" s="1"/>
  <c r="D906" i="5"/>
  <c r="B906" i="5"/>
  <c r="C906" i="5" s="1"/>
  <c r="A906" i="5"/>
  <c r="M905" i="5"/>
  <c r="N905" i="5" s="1"/>
  <c r="L905" i="5"/>
  <c r="K905" i="5"/>
  <c r="J905" i="5"/>
  <c r="I905" i="5"/>
  <c r="H905" i="5"/>
  <c r="E905" i="5"/>
  <c r="G905" i="5" s="1"/>
  <c r="D905" i="5"/>
  <c r="B905" i="5"/>
  <c r="C905" i="5" s="1"/>
  <c r="A905" i="5"/>
  <c r="M904" i="5"/>
  <c r="N904" i="5" s="1"/>
  <c r="L904" i="5"/>
  <c r="K904" i="5"/>
  <c r="J904" i="5"/>
  <c r="I904" i="5"/>
  <c r="H904" i="5"/>
  <c r="E904" i="5"/>
  <c r="G904" i="5" s="1"/>
  <c r="D904" i="5"/>
  <c r="B904" i="5"/>
  <c r="C904" i="5" s="1"/>
  <c r="A904" i="5"/>
  <c r="M903" i="5"/>
  <c r="N903" i="5" s="1"/>
  <c r="L903" i="5"/>
  <c r="K903" i="5"/>
  <c r="J903" i="5"/>
  <c r="I903" i="5"/>
  <c r="H903" i="5"/>
  <c r="E903" i="5"/>
  <c r="G903" i="5" s="1"/>
  <c r="D903" i="5"/>
  <c r="B903" i="5"/>
  <c r="C903" i="5" s="1"/>
  <c r="A903" i="5"/>
  <c r="M902" i="5"/>
  <c r="N902" i="5" s="1"/>
  <c r="L902" i="5"/>
  <c r="K902" i="5"/>
  <c r="J902" i="5"/>
  <c r="I902" i="5"/>
  <c r="H902" i="5"/>
  <c r="E902" i="5"/>
  <c r="G902" i="5" s="1"/>
  <c r="D902" i="5"/>
  <c r="B902" i="5"/>
  <c r="C902" i="5" s="1"/>
  <c r="A902" i="5"/>
  <c r="M901" i="5"/>
  <c r="N901" i="5" s="1"/>
  <c r="L901" i="5"/>
  <c r="K901" i="5"/>
  <c r="J901" i="5"/>
  <c r="I901" i="5"/>
  <c r="H901" i="5"/>
  <c r="E901" i="5"/>
  <c r="G901" i="5" s="1"/>
  <c r="D901" i="5"/>
  <c r="B901" i="5"/>
  <c r="C901" i="5" s="1"/>
  <c r="A901" i="5"/>
  <c r="M900" i="5"/>
  <c r="N900" i="5" s="1"/>
  <c r="L900" i="5"/>
  <c r="K900" i="5"/>
  <c r="J900" i="5"/>
  <c r="I900" i="5"/>
  <c r="H900" i="5"/>
  <c r="E900" i="5"/>
  <c r="G900" i="5" s="1"/>
  <c r="D900" i="5"/>
  <c r="B900" i="5"/>
  <c r="C900" i="5" s="1"/>
  <c r="A900" i="5"/>
  <c r="M899" i="5"/>
  <c r="N899" i="5" s="1"/>
  <c r="L899" i="5"/>
  <c r="K899" i="5"/>
  <c r="J899" i="5"/>
  <c r="I899" i="5"/>
  <c r="H899" i="5"/>
  <c r="E899" i="5"/>
  <c r="G899" i="5" s="1"/>
  <c r="D899" i="5"/>
  <c r="B899" i="5"/>
  <c r="C899" i="5" s="1"/>
  <c r="A899" i="5"/>
  <c r="M898" i="5"/>
  <c r="N898" i="5" s="1"/>
  <c r="L898" i="5"/>
  <c r="K898" i="5"/>
  <c r="J898" i="5"/>
  <c r="I898" i="5"/>
  <c r="H898" i="5"/>
  <c r="E898" i="5"/>
  <c r="G898" i="5" s="1"/>
  <c r="D898" i="5"/>
  <c r="B898" i="5"/>
  <c r="C898" i="5" s="1"/>
  <c r="A898" i="5"/>
  <c r="M897" i="5"/>
  <c r="N897" i="5" s="1"/>
  <c r="L897" i="5"/>
  <c r="K897" i="5"/>
  <c r="J897" i="5"/>
  <c r="I897" i="5"/>
  <c r="H897" i="5"/>
  <c r="E897" i="5"/>
  <c r="G897" i="5" s="1"/>
  <c r="D897" i="5"/>
  <c r="B897" i="5"/>
  <c r="C897" i="5" s="1"/>
  <c r="A897" i="5"/>
  <c r="M896" i="5"/>
  <c r="N896" i="5" s="1"/>
  <c r="L896" i="5"/>
  <c r="K896" i="5"/>
  <c r="J896" i="5"/>
  <c r="I896" i="5"/>
  <c r="H896" i="5"/>
  <c r="E896" i="5"/>
  <c r="G896" i="5" s="1"/>
  <c r="D896" i="5"/>
  <c r="B896" i="5"/>
  <c r="C896" i="5" s="1"/>
  <c r="A896" i="5"/>
  <c r="M895" i="5"/>
  <c r="N895" i="5" s="1"/>
  <c r="L895" i="5"/>
  <c r="K895" i="5"/>
  <c r="J895" i="5"/>
  <c r="I895" i="5"/>
  <c r="H895" i="5"/>
  <c r="E895" i="5"/>
  <c r="G895" i="5" s="1"/>
  <c r="D895" i="5"/>
  <c r="B895" i="5"/>
  <c r="C895" i="5" s="1"/>
  <c r="A895" i="5"/>
  <c r="M894" i="5"/>
  <c r="N894" i="5" s="1"/>
  <c r="L894" i="5"/>
  <c r="K894" i="5"/>
  <c r="J894" i="5"/>
  <c r="I894" i="5"/>
  <c r="H894" i="5"/>
  <c r="E894" i="5"/>
  <c r="G894" i="5" s="1"/>
  <c r="D894" i="5"/>
  <c r="B894" i="5"/>
  <c r="C894" i="5" s="1"/>
  <c r="A894" i="5"/>
  <c r="M893" i="5"/>
  <c r="N893" i="5" s="1"/>
  <c r="L893" i="5"/>
  <c r="K893" i="5"/>
  <c r="J893" i="5"/>
  <c r="I893" i="5"/>
  <c r="H893" i="5"/>
  <c r="E893" i="5"/>
  <c r="G893" i="5" s="1"/>
  <c r="D893" i="5"/>
  <c r="B893" i="5"/>
  <c r="C893" i="5" s="1"/>
  <c r="A893" i="5"/>
  <c r="M892" i="5"/>
  <c r="N892" i="5" s="1"/>
  <c r="L892" i="5"/>
  <c r="K892" i="5"/>
  <c r="J892" i="5"/>
  <c r="I892" i="5"/>
  <c r="H892" i="5"/>
  <c r="E892" i="5"/>
  <c r="G892" i="5" s="1"/>
  <c r="D892" i="5"/>
  <c r="B892" i="5"/>
  <c r="C892" i="5" s="1"/>
  <c r="A892" i="5"/>
  <c r="M891" i="5"/>
  <c r="N891" i="5" s="1"/>
  <c r="L891" i="5"/>
  <c r="K891" i="5"/>
  <c r="J891" i="5"/>
  <c r="I891" i="5"/>
  <c r="H891" i="5"/>
  <c r="E891" i="5"/>
  <c r="G891" i="5" s="1"/>
  <c r="D891" i="5"/>
  <c r="B891" i="5"/>
  <c r="C891" i="5" s="1"/>
  <c r="A891" i="5"/>
  <c r="M890" i="5"/>
  <c r="N890" i="5" s="1"/>
  <c r="L890" i="5"/>
  <c r="K890" i="5"/>
  <c r="J890" i="5"/>
  <c r="I890" i="5"/>
  <c r="H890" i="5"/>
  <c r="E890" i="5"/>
  <c r="G890" i="5" s="1"/>
  <c r="D890" i="5"/>
  <c r="B890" i="5"/>
  <c r="C890" i="5" s="1"/>
  <c r="A890" i="5"/>
  <c r="M889" i="5"/>
  <c r="N889" i="5" s="1"/>
  <c r="L889" i="5"/>
  <c r="K889" i="5"/>
  <c r="J889" i="5"/>
  <c r="I889" i="5"/>
  <c r="H889" i="5"/>
  <c r="E889" i="5"/>
  <c r="G889" i="5" s="1"/>
  <c r="D889" i="5"/>
  <c r="B889" i="5"/>
  <c r="C889" i="5" s="1"/>
  <c r="A889" i="5"/>
  <c r="M888" i="5"/>
  <c r="N888" i="5" s="1"/>
  <c r="L888" i="5"/>
  <c r="K888" i="5"/>
  <c r="J888" i="5"/>
  <c r="I888" i="5"/>
  <c r="H888" i="5"/>
  <c r="E888" i="5"/>
  <c r="G888" i="5" s="1"/>
  <c r="D888" i="5"/>
  <c r="B888" i="5"/>
  <c r="C888" i="5" s="1"/>
  <c r="A888" i="5"/>
  <c r="M887" i="5"/>
  <c r="N887" i="5" s="1"/>
  <c r="L887" i="5"/>
  <c r="K887" i="5"/>
  <c r="J887" i="5"/>
  <c r="I887" i="5"/>
  <c r="H887" i="5"/>
  <c r="E887" i="5"/>
  <c r="G887" i="5" s="1"/>
  <c r="D887" i="5"/>
  <c r="B887" i="5"/>
  <c r="C887" i="5" s="1"/>
  <c r="A887" i="5"/>
  <c r="M886" i="5"/>
  <c r="N886" i="5" s="1"/>
  <c r="L886" i="5"/>
  <c r="K886" i="5"/>
  <c r="J886" i="5"/>
  <c r="I886" i="5"/>
  <c r="H886" i="5"/>
  <c r="E886" i="5"/>
  <c r="G886" i="5" s="1"/>
  <c r="D886" i="5"/>
  <c r="B886" i="5"/>
  <c r="C886" i="5" s="1"/>
  <c r="A886" i="5"/>
  <c r="M885" i="5"/>
  <c r="N885" i="5" s="1"/>
  <c r="L885" i="5"/>
  <c r="K885" i="5"/>
  <c r="J885" i="5"/>
  <c r="I885" i="5"/>
  <c r="H885" i="5"/>
  <c r="E885" i="5"/>
  <c r="G885" i="5" s="1"/>
  <c r="D885" i="5"/>
  <c r="B885" i="5"/>
  <c r="C885" i="5" s="1"/>
  <c r="A885" i="5"/>
  <c r="M884" i="5"/>
  <c r="N884" i="5" s="1"/>
  <c r="L884" i="5"/>
  <c r="K884" i="5"/>
  <c r="J884" i="5"/>
  <c r="I884" i="5"/>
  <c r="H884" i="5"/>
  <c r="E884" i="5"/>
  <c r="G884" i="5" s="1"/>
  <c r="D884" i="5"/>
  <c r="B884" i="5"/>
  <c r="C884" i="5" s="1"/>
  <c r="A884" i="5"/>
  <c r="M883" i="5"/>
  <c r="N883" i="5" s="1"/>
  <c r="L883" i="5"/>
  <c r="K883" i="5"/>
  <c r="J883" i="5"/>
  <c r="I883" i="5"/>
  <c r="H883" i="5"/>
  <c r="E883" i="5"/>
  <c r="G883" i="5" s="1"/>
  <c r="D883" i="5"/>
  <c r="B883" i="5"/>
  <c r="C883" i="5" s="1"/>
  <c r="A883" i="5"/>
  <c r="M882" i="5"/>
  <c r="N882" i="5" s="1"/>
  <c r="L882" i="5"/>
  <c r="K882" i="5"/>
  <c r="J882" i="5"/>
  <c r="I882" i="5"/>
  <c r="H882" i="5"/>
  <c r="E882" i="5"/>
  <c r="G882" i="5" s="1"/>
  <c r="D882" i="5"/>
  <c r="B882" i="5"/>
  <c r="C882" i="5" s="1"/>
  <c r="A882" i="5"/>
  <c r="M881" i="5"/>
  <c r="N881" i="5" s="1"/>
  <c r="L881" i="5"/>
  <c r="K881" i="5"/>
  <c r="J881" i="5"/>
  <c r="I881" i="5"/>
  <c r="H881" i="5"/>
  <c r="E881" i="5"/>
  <c r="G881" i="5" s="1"/>
  <c r="D881" i="5"/>
  <c r="B881" i="5"/>
  <c r="C881" i="5" s="1"/>
  <c r="A881" i="5"/>
  <c r="M880" i="5"/>
  <c r="N880" i="5" s="1"/>
  <c r="L880" i="5"/>
  <c r="K880" i="5"/>
  <c r="J880" i="5"/>
  <c r="I880" i="5"/>
  <c r="H880" i="5"/>
  <c r="E880" i="5"/>
  <c r="G880" i="5" s="1"/>
  <c r="D880" i="5"/>
  <c r="B880" i="5"/>
  <c r="C880" i="5" s="1"/>
  <c r="A880" i="5"/>
  <c r="M879" i="5"/>
  <c r="N879" i="5" s="1"/>
  <c r="L879" i="5"/>
  <c r="K879" i="5"/>
  <c r="J879" i="5"/>
  <c r="I879" i="5"/>
  <c r="H879" i="5"/>
  <c r="E879" i="5"/>
  <c r="G879" i="5" s="1"/>
  <c r="D879" i="5"/>
  <c r="B879" i="5"/>
  <c r="C879" i="5" s="1"/>
  <c r="A879" i="5"/>
  <c r="M878" i="5"/>
  <c r="N878" i="5" s="1"/>
  <c r="L878" i="5"/>
  <c r="K878" i="5"/>
  <c r="J878" i="5"/>
  <c r="I878" i="5"/>
  <c r="H878" i="5"/>
  <c r="E878" i="5"/>
  <c r="G878" i="5" s="1"/>
  <c r="D878" i="5"/>
  <c r="B878" i="5"/>
  <c r="C878" i="5" s="1"/>
  <c r="A878" i="5"/>
  <c r="M877" i="5"/>
  <c r="N877" i="5" s="1"/>
  <c r="L877" i="5"/>
  <c r="K877" i="5"/>
  <c r="J877" i="5"/>
  <c r="I877" i="5"/>
  <c r="H877" i="5"/>
  <c r="E877" i="5"/>
  <c r="G877" i="5" s="1"/>
  <c r="D877" i="5"/>
  <c r="B877" i="5"/>
  <c r="C877" i="5" s="1"/>
  <c r="A877" i="5"/>
  <c r="M876" i="5"/>
  <c r="N876" i="5" s="1"/>
  <c r="L876" i="5"/>
  <c r="K876" i="5"/>
  <c r="J876" i="5"/>
  <c r="I876" i="5"/>
  <c r="H876" i="5"/>
  <c r="E876" i="5"/>
  <c r="G876" i="5" s="1"/>
  <c r="D876" i="5"/>
  <c r="B876" i="5"/>
  <c r="C876" i="5" s="1"/>
  <c r="A876" i="5"/>
  <c r="M875" i="5"/>
  <c r="N875" i="5" s="1"/>
  <c r="L875" i="5"/>
  <c r="K875" i="5"/>
  <c r="J875" i="5"/>
  <c r="I875" i="5"/>
  <c r="H875" i="5"/>
  <c r="E875" i="5"/>
  <c r="G875" i="5" s="1"/>
  <c r="D875" i="5"/>
  <c r="B875" i="5"/>
  <c r="C875" i="5" s="1"/>
  <c r="A875" i="5"/>
  <c r="M874" i="5"/>
  <c r="N874" i="5" s="1"/>
  <c r="L874" i="5"/>
  <c r="K874" i="5"/>
  <c r="J874" i="5"/>
  <c r="I874" i="5"/>
  <c r="H874" i="5"/>
  <c r="E874" i="5"/>
  <c r="G874" i="5" s="1"/>
  <c r="D874" i="5"/>
  <c r="B874" i="5"/>
  <c r="C874" i="5" s="1"/>
  <c r="A874" i="5"/>
  <c r="M873" i="5"/>
  <c r="N873" i="5" s="1"/>
  <c r="L873" i="5"/>
  <c r="K873" i="5"/>
  <c r="J873" i="5"/>
  <c r="I873" i="5"/>
  <c r="H873" i="5"/>
  <c r="E873" i="5"/>
  <c r="G873" i="5" s="1"/>
  <c r="D873" i="5"/>
  <c r="C873" i="5"/>
  <c r="B873" i="5"/>
  <c r="A873" i="5"/>
  <c r="M872" i="5"/>
  <c r="N872" i="5" s="1"/>
  <c r="L872" i="5"/>
  <c r="K872" i="5"/>
  <c r="J872" i="5"/>
  <c r="I872" i="5"/>
  <c r="H872" i="5"/>
  <c r="E872" i="5"/>
  <c r="G872" i="5" s="1"/>
  <c r="D872" i="5"/>
  <c r="B872" i="5"/>
  <c r="C872" i="5" s="1"/>
  <c r="A872" i="5"/>
  <c r="M871" i="5"/>
  <c r="N871" i="5" s="1"/>
  <c r="L871" i="5"/>
  <c r="K871" i="5"/>
  <c r="J871" i="5"/>
  <c r="I871" i="5"/>
  <c r="H871" i="5"/>
  <c r="E871" i="5"/>
  <c r="G871" i="5" s="1"/>
  <c r="D871" i="5"/>
  <c r="B871" i="5"/>
  <c r="C871" i="5" s="1"/>
  <c r="A871" i="5"/>
  <c r="M870" i="5"/>
  <c r="N870" i="5" s="1"/>
  <c r="L870" i="5"/>
  <c r="K870" i="5"/>
  <c r="J870" i="5"/>
  <c r="I870" i="5"/>
  <c r="H870" i="5"/>
  <c r="E870" i="5"/>
  <c r="G870" i="5" s="1"/>
  <c r="D870" i="5"/>
  <c r="B870" i="5"/>
  <c r="C870" i="5" s="1"/>
  <c r="A870" i="5"/>
  <c r="M869" i="5"/>
  <c r="N869" i="5" s="1"/>
  <c r="L869" i="5"/>
  <c r="K869" i="5"/>
  <c r="J869" i="5"/>
  <c r="I869" i="5"/>
  <c r="H869" i="5"/>
  <c r="E869" i="5"/>
  <c r="G869" i="5" s="1"/>
  <c r="D869" i="5"/>
  <c r="B869" i="5"/>
  <c r="C869" i="5" s="1"/>
  <c r="A869" i="5"/>
  <c r="M868" i="5"/>
  <c r="N868" i="5" s="1"/>
  <c r="L868" i="5"/>
  <c r="K868" i="5"/>
  <c r="J868" i="5"/>
  <c r="I868" i="5"/>
  <c r="H868" i="5"/>
  <c r="E868" i="5"/>
  <c r="G868" i="5" s="1"/>
  <c r="D868" i="5"/>
  <c r="B868" i="5"/>
  <c r="C868" i="5" s="1"/>
  <c r="A868" i="5"/>
  <c r="M867" i="5"/>
  <c r="N867" i="5" s="1"/>
  <c r="L867" i="5"/>
  <c r="K867" i="5"/>
  <c r="J867" i="5"/>
  <c r="I867" i="5"/>
  <c r="H867" i="5"/>
  <c r="E867" i="5"/>
  <c r="G867" i="5" s="1"/>
  <c r="D867" i="5"/>
  <c r="B867" i="5"/>
  <c r="C867" i="5" s="1"/>
  <c r="A867" i="5"/>
  <c r="M866" i="5"/>
  <c r="N866" i="5" s="1"/>
  <c r="L866" i="5"/>
  <c r="K866" i="5"/>
  <c r="J866" i="5"/>
  <c r="I866" i="5"/>
  <c r="H866" i="5"/>
  <c r="E866" i="5"/>
  <c r="G866" i="5" s="1"/>
  <c r="D866" i="5"/>
  <c r="B866" i="5"/>
  <c r="C866" i="5" s="1"/>
  <c r="A866" i="5"/>
  <c r="M865" i="5"/>
  <c r="N865" i="5" s="1"/>
  <c r="L865" i="5"/>
  <c r="K865" i="5"/>
  <c r="J865" i="5"/>
  <c r="I865" i="5"/>
  <c r="H865" i="5"/>
  <c r="E865" i="5"/>
  <c r="G865" i="5" s="1"/>
  <c r="D865" i="5"/>
  <c r="B865" i="5"/>
  <c r="C865" i="5" s="1"/>
  <c r="A865" i="5"/>
  <c r="M864" i="5"/>
  <c r="N864" i="5" s="1"/>
  <c r="L864" i="5"/>
  <c r="K864" i="5"/>
  <c r="J864" i="5"/>
  <c r="I864" i="5"/>
  <c r="H864" i="5"/>
  <c r="E864" i="5"/>
  <c r="G864" i="5" s="1"/>
  <c r="D864" i="5"/>
  <c r="C864" i="5"/>
  <c r="B864" i="5"/>
  <c r="A864" i="5"/>
  <c r="M863" i="5"/>
  <c r="N863" i="5" s="1"/>
  <c r="L863" i="5"/>
  <c r="K863" i="5"/>
  <c r="J863" i="5"/>
  <c r="I863" i="5"/>
  <c r="H863" i="5"/>
  <c r="E863" i="5"/>
  <c r="G863" i="5" s="1"/>
  <c r="D863" i="5"/>
  <c r="B863" i="5"/>
  <c r="C863" i="5" s="1"/>
  <c r="A863" i="5"/>
  <c r="M862" i="5"/>
  <c r="N862" i="5" s="1"/>
  <c r="L862" i="5"/>
  <c r="K862" i="5"/>
  <c r="J862" i="5"/>
  <c r="I862" i="5"/>
  <c r="H862" i="5"/>
  <c r="E862" i="5"/>
  <c r="G862" i="5" s="1"/>
  <c r="D862" i="5"/>
  <c r="B862" i="5"/>
  <c r="C862" i="5" s="1"/>
  <c r="A862" i="5"/>
  <c r="M861" i="5"/>
  <c r="N861" i="5" s="1"/>
  <c r="L861" i="5"/>
  <c r="K861" i="5"/>
  <c r="J861" i="5"/>
  <c r="I861" i="5"/>
  <c r="H861" i="5"/>
  <c r="E861" i="5"/>
  <c r="G861" i="5" s="1"/>
  <c r="D861" i="5"/>
  <c r="B861" i="5"/>
  <c r="C861" i="5" s="1"/>
  <c r="A861" i="5"/>
  <c r="M860" i="5"/>
  <c r="N860" i="5" s="1"/>
  <c r="L860" i="5"/>
  <c r="K860" i="5"/>
  <c r="J860" i="5"/>
  <c r="I860" i="5"/>
  <c r="H860" i="5"/>
  <c r="E860" i="5"/>
  <c r="G860" i="5" s="1"/>
  <c r="D860" i="5"/>
  <c r="B860" i="5"/>
  <c r="C860" i="5" s="1"/>
  <c r="A860" i="5"/>
  <c r="M859" i="5"/>
  <c r="N859" i="5" s="1"/>
  <c r="L859" i="5"/>
  <c r="K859" i="5"/>
  <c r="J859" i="5"/>
  <c r="I859" i="5"/>
  <c r="H859" i="5"/>
  <c r="E859" i="5"/>
  <c r="G859" i="5" s="1"/>
  <c r="D859" i="5"/>
  <c r="B859" i="5"/>
  <c r="C859" i="5" s="1"/>
  <c r="A859" i="5"/>
  <c r="M858" i="5"/>
  <c r="N858" i="5" s="1"/>
  <c r="L858" i="5"/>
  <c r="K858" i="5"/>
  <c r="J858" i="5"/>
  <c r="I858" i="5"/>
  <c r="H858" i="5"/>
  <c r="E858" i="5"/>
  <c r="G858" i="5" s="1"/>
  <c r="D858" i="5"/>
  <c r="B858" i="5"/>
  <c r="C858" i="5" s="1"/>
  <c r="A858" i="5"/>
  <c r="M857" i="5"/>
  <c r="N857" i="5" s="1"/>
  <c r="L857" i="5"/>
  <c r="K857" i="5"/>
  <c r="J857" i="5"/>
  <c r="I857" i="5"/>
  <c r="H857" i="5"/>
  <c r="E857" i="5"/>
  <c r="G857" i="5" s="1"/>
  <c r="D857" i="5"/>
  <c r="B857" i="5"/>
  <c r="C857" i="5" s="1"/>
  <c r="A857" i="5"/>
  <c r="M856" i="5"/>
  <c r="N856" i="5" s="1"/>
  <c r="L856" i="5"/>
  <c r="K856" i="5"/>
  <c r="J856" i="5"/>
  <c r="I856" i="5"/>
  <c r="H856" i="5"/>
  <c r="E856" i="5"/>
  <c r="G856" i="5" s="1"/>
  <c r="D856" i="5"/>
  <c r="C856" i="5"/>
  <c r="B856" i="5"/>
  <c r="A856" i="5"/>
  <c r="M855" i="5"/>
  <c r="N855" i="5" s="1"/>
  <c r="L855" i="5"/>
  <c r="K855" i="5"/>
  <c r="J855" i="5"/>
  <c r="I855" i="5"/>
  <c r="H855" i="5"/>
  <c r="E855" i="5"/>
  <c r="G855" i="5" s="1"/>
  <c r="D855" i="5"/>
  <c r="B855" i="5"/>
  <c r="C855" i="5" s="1"/>
  <c r="A855" i="5"/>
  <c r="M854" i="5"/>
  <c r="N854" i="5" s="1"/>
  <c r="L854" i="5"/>
  <c r="K854" i="5"/>
  <c r="J854" i="5"/>
  <c r="I854" i="5"/>
  <c r="H854" i="5"/>
  <c r="E854" i="5"/>
  <c r="G854" i="5" s="1"/>
  <c r="D854" i="5"/>
  <c r="B854" i="5"/>
  <c r="C854" i="5" s="1"/>
  <c r="A854" i="5"/>
  <c r="M853" i="5"/>
  <c r="N853" i="5" s="1"/>
  <c r="L853" i="5"/>
  <c r="K853" i="5"/>
  <c r="J853" i="5"/>
  <c r="I853" i="5"/>
  <c r="H853" i="5"/>
  <c r="E853" i="5"/>
  <c r="G853" i="5" s="1"/>
  <c r="D853" i="5"/>
  <c r="B853" i="5"/>
  <c r="C853" i="5" s="1"/>
  <c r="A853" i="5"/>
  <c r="M852" i="5"/>
  <c r="N852" i="5" s="1"/>
  <c r="L852" i="5"/>
  <c r="K852" i="5"/>
  <c r="J852" i="5"/>
  <c r="I852" i="5"/>
  <c r="H852" i="5"/>
  <c r="E852" i="5"/>
  <c r="G852" i="5" s="1"/>
  <c r="D852" i="5"/>
  <c r="B852" i="5"/>
  <c r="C852" i="5" s="1"/>
  <c r="A852" i="5"/>
  <c r="M851" i="5"/>
  <c r="N851" i="5" s="1"/>
  <c r="L851" i="5"/>
  <c r="K851" i="5"/>
  <c r="J851" i="5"/>
  <c r="I851" i="5"/>
  <c r="H851" i="5"/>
  <c r="E851" i="5"/>
  <c r="G851" i="5" s="1"/>
  <c r="D851" i="5"/>
  <c r="B851" i="5"/>
  <c r="C851" i="5" s="1"/>
  <c r="A851" i="5"/>
  <c r="M850" i="5"/>
  <c r="N850" i="5" s="1"/>
  <c r="L850" i="5"/>
  <c r="K850" i="5"/>
  <c r="J850" i="5"/>
  <c r="I850" i="5"/>
  <c r="H850" i="5"/>
  <c r="E850" i="5"/>
  <c r="G850" i="5" s="1"/>
  <c r="D850" i="5"/>
  <c r="B850" i="5"/>
  <c r="C850" i="5" s="1"/>
  <c r="A850" i="5"/>
  <c r="M849" i="5"/>
  <c r="N849" i="5" s="1"/>
  <c r="L849" i="5"/>
  <c r="K849" i="5"/>
  <c r="J849" i="5"/>
  <c r="I849" i="5"/>
  <c r="H849" i="5"/>
  <c r="E849" i="5"/>
  <c r="G849" i="5" s="1"/>
  <c r="D849" i="5"/>
  <c r="C849" i="5"/>
  <c r="B849" i="5"/>
  <c r="A849" i="5"/>
  <c r="M848" i="5"/>
  <c r="N848" i="5" s="1"/>
  <c r="L848" i="5"/>
  <c r="K848" i="5"/>
  <c r="J848" i="5"/>
  <c r="I848" i="5"/>
  <c r="H848" i="5"/>
  <c r="E848" i="5"/>
  <c r="G848" i="5" s="1"/>
  <c r="D848" i="5"/>
  <c r="B848" i="5"/>
  <c r="C848" i="5" s="1"/>
  <c r="A848" i="5"/>
  <c r="M847" i="5"/>
  <c r="N847" i="5" s="1"/>
  <c r="L847" i="5"/>
  <c r="K847" i="5"/>
  <c r="J847" i="5"/>
  <c r="I847" i="5"/>
  <c r="H847" i="5"/>
  <c r="E847" i="5"/>
  <c r="G847" i="5" s="1"/>
  <c r="D847" i="5"/>
  <c r="B847" i="5"/>
  <c r="C847" i="5" s="1"/>
  <c r="A847" i="5"/>
  <c r="M846" i="5"/>
  <c r="N846" i="5" s="1"/>
  <c r="L846" i="5"/>
  <c r="K846" i="5"/>
  <c r="J846" i="5"/>
  <c r="I846" i="5"/>
  <c r="H846" i="5"/>
  <c r="E846" i="5"/>
  <c r="G846" i="5" s="1"/>
  <c r="D846" i="5"/>
  <c r="B846" i="5"/>
  <c r="C846" i="5" s="1"/>
  <c r="A846" i="5"/>
  <c r="M845" i="5"/>
  <c r="N845" i="5" s="1"/>
  <c r="L845" i="5"/>
  <c r="K845" i="5"/>
  <c r="J845" i="5"/>
  <c r="I845" i="5"/>
  <c r="H845" i="5"/>
  <c r="E845" i="5"/>
  <c r="G845" i="5" s="1"/>
  <c r="D845" i="5"/>
  <c r="B845" i="5"/>
  <c r="C845" i="5" s="1"/>
  <c r="A845" i="5"/>
  <c r="M844" i="5"/>
  <c r="N844" i="5" s="1"/>
  <c r="L844" i="5"/>
  <c r="K844" i="5"/>
  <c r="J844" i="5"/>
  <c r="I844" i="5"/>
  <c r="H844" i="5"/>
  <c r="E844" i="5"/>
  <c r="G844" i="5" s="1"/>
  <c r="D844" i="5"/>
  <c r="B844" i="5"/>
  <c r="C844" i="5" s="1"/>
  <c r="A844" i="5"/>
  <c r="M843" i="5"/>
  <c r="N843" i="5" s="1"/>
  <c r="L843" i="5"/>
  <c r="K843" i="5"/>
  <c r="J843" i="5"/>
  <c r="I843" i="5"/>
  <c r="H843" i="5"/>
  <c r="E843" i="5"/>
  <c r="G843" i="5" s="1"/>
  <c r="D843" i="5"/>
  <c r="B843" i="5"/>
  <c r="C843" i="5" s="1"/>
  <c r="A843" i="5"/>
  <c r="M842" i="5"/>
  <c r="N842" i="5" s="1"/>
  <c r="L842" i="5"/>
  <c r="K842" i="5"/>
  <c r="J842" i="5"/>
  <c r="I842" i="5"/>
  <c r="H842" i="5"/>
  <c r="E842" i="5"/>
  <c r="G842" i="5" s="1"/>
  <c r="D842" i="5"/>
  <c r="B842" i="5"/>
  <c r="C842" i="5" s="1"/>
  <c r="A842" i="5"/>
  <c r="M841" i="5"/>
  <c r="N841" i="5" s="1"/>
  <c r="L841" i="5"/>
  <c r="K841" i="5"/>
  <c r="J841" i="5"/>
  <c r="I841" i="5"/>
  <c r="H841" i="5"/>
  <c r="E841" i="5"/>
  <c r="G841" i="5" s="1"/>
  <c r="D841" i="5"/>
  <c r="B841" i="5"/>
  <c r="C841" i="5" s="1"/>
  <c r="A841" i="5"/>
  <c r="M840" i="5"/>
  <c r="N840" i="5" s="1"/>
  <c r="L840" i="5"/>
  <c r="K840" i="5"/>
  <c r="J840" i="5"/>
  <c r="I840" i="5"/>
  <c r="H840" i="5"/>
  <c r="E840" i="5"/>
  <c r="G840" i="5" s="1"/>
  <c r="D840" i="5"/>
  <c r="B840" i="5"/>
  <c r="C840" i="5" s="1"/>
  <c r="A840" i="5"/>
  <c r="M839" i="5"/>
  <c r="N839" i="5" s="1"/>
  <c r="L839" i="5"/>
  <c r="K839" i="5"/>
  <c r="J839" i="5"/>
  <c r="I839" i="5"/>
  <c r="H839" i="5"/>
  <c r="E839" i="5"/>
  <c r="G839" i="5" s="1"/>
  <c r="D839" i="5"/>
  <c r="B839" i="5"/>
  <c r="C839" i="5" s="1"/>
  <c r="A839" i="5"/>
  <c r="M838" i="5"/>
  <c r="N838" i="5" s="1"/>
  <c r="L838" i="5"/>
  <c r="K838" i="5"/>
  <c r="J838" i="5"/>
  <c r="I838" i="5"/>
  <c r="H838" i="5"/>
  <c r="E838" i="5"/>
  <c r="G838" i="5" s="1"/>
  <c r="D838" i="5"/>
  <c r="B838" i="5"/>
  <c r="C838" i="5" s="1"/>
  <c r="A838" i="5"/>
  <c r="M837" i="5"/>
  <c r="N837" i="5" s="1"/>
  <c r="L837" i="5"/>
  <c r="K837" i="5"/>
  <c r="J837" i="5"/>
  <c r="I837" i="5"/>
  <c r="H837" i="5"/>
  <c r="E837" i="5"/>
  <c r="G837" i="5" s="1"/>
  <c r="D837" i="5"/>
  <c r="B837" i="5"/>
  <c r="C837" i="5" s="1"/>
  <c r="A837" i="5"/>
  <c r="M836" i="5"/>
  <c r="N836" i="5" s="1"/>
  <c r="L836" i="5"/>
  <c r="K836" i="5"/>
  <c r="J836" i="5"/>
  <c r="I836" i="5"/>
  <c r="H836" i="5"/>
  <c r="E836" i="5"/>
  <c r="G836" i="5" s="1"/>
  <c r="D836" i="5"/>
  <c r="B836" i="5"/>
  <c r="C836" i="5" s="1"/>
  <c r="A836" i="5"/>
  <c r="M835" i="5"/>
  <c r="N835" i="5" s="1"/>
  <c r="L835" i="5"/>
  <c r="K835" i="5"/>
  <c r="J835" i="5"/>
  <c r="I835" i="5"/>
  <c r="H835" i="5"/>
  <c r="E835" i="5"/>
  <c r="G835" i="5" s="1"/>
  <c r="D835" i="5"/>
  <c r="B835" i="5"/>
  <c r="C835" i="5" s="1"/>
  <c r="A835" i="5"/>
  <c r="M834" i="5"/>
  <c r="N834" i="5" s="1"/>
  <c r="L834" i="5"/>
  <c r="K834" i="5"/>
  <c r="J834" i="5"/>
  <c r="I834" i="5"/>
  <c r="H834" i="5"/>
  <c r="E834" i="5"/>
  <c r="G834" i="5" s="1"/>
  <c r="D834" i="5"/>
  <c r="B834" i="5"/>
  <c r="C834" i="5" s="1"/>
  <c r="A834" i="5"/>
  <c r="M833" i="5"/>
  <c r="N833" i="5" s="1"/>
  <c r="L833" i="5"/>
  <c r="K833" i="5"/>
  <c r="J833" i="5"/>
  <c r="I833" i="5"/>
  <c r="H833" i="5"/>
  <c r="E833" i="5"/>
  <c r="G833" i="5" s="1"/>
  <c r="D833" i="5"/>
  <c r="B833" i="5"/>
  <c r="C833" i="5" s="1"/>
  <c r="A833" i="5"/>
  <c r="M832" i="5"/>
  <c r="N832" i="5" s="1"/>
  <c r="L832" i="5"/>
  <c r="K832" i="5"/>
  <c r="J832" i="5"/>
  <c r="I832" i="5"/>
  <c r="H832" i="5"/>
  <c r="E832" i="5"/>
  <c r="G832" i="5" s="1"/>
  <c r="D832" i="5"/>
  <c r="B832" i="5"/>
  <c r="C832" i="5" s="1"/>
  <c r="A832" i="5"/>
  <c r="M831" i="5"/>
  <c r="N831" i="5" s="1"/>
  <c r="L831" i="5"/>
  <c r="K831" i="5"/>
  <c r="J831" i="5"/>
  <c r="I831" i="5"/>
  <c r="H831" i="5"/>
  <c r="E831" i="5"/>
  <c r="G831" i="5" s="1"/>
  <c r="D831" i="5"/>
  <c r="B831" i="5"/>
  <c r="C831" i="5" s="1"/>
  <c r="A831" i="5"/>
  <c r="M830" i="5"/>
  <c r="N830" i="5" s="1"/>
  <c r="L830" i="5"/>
  <c r="K830" i="5"/>
  <c r="J830" i="5"/>
  <c r="I830" i="5"/>
  <c r="H830" i="5"/>
  <c r="E830" i="5"/>
  <c r="G830" i="5" s="1"/>
  <c r="D830" i="5"/>
  <c r="B830" i="5"/>
  <c r="C830" i="5" s="1"/>
  <c r="A830" i="5"/>
  <c r="M829" i="5"/>
  <c r="N829" i="5" s="1"/>
  <c r="L829" i="5"/>
  <c r="K829" i="5"/>
  <c r="J829" i="5"/>
  <c r="I829" i="5"/>
  <c r="H829" i="5"/>
  <c r="E829" i="5"/>
  <c r="G829" i="5" s="1"/>
  <c r="D829" i="5"/>
  <c r="B829" i="5"/>
  <c r="C829" i="5" s="1"/>
  <c r="A829" i="5"/>
  <c r="M828" i="5"/>
  <c r="N828" i="5" s="1"/>
  <c r="L828" i="5"/>
  <c r="K828" i="5"/>
  <c r="J828" i="5"/>
  <c r="I828" i="5"/>
  <c r="H828" i="5"/>
  <c r="E828" i="5"/>
  <c r="G828" i="5" s="1"/>
  <c r="D828" i="5"/>
  <c r="B828" i="5"/>
  <c r="C828" i="5" s="1"/>
  <c r="A828" i="5"/>
  <c r="M827" i="5"/>
  <c r="N827" i="5" s="1"/>
  <c r="L827" i="5"/>
  <c r="K827" i="5"/>
  <c r="J827" i="5"/>
  <c r="I827" i="5"/>
  <c r="H827" i="5"/>
  <c r="E827" i="5"/>
  <c r="G827" i="5" s="1"/>
  <c r="D827" i="5"/>
  <c r="B827" i="5"/>
  <c r="C827" i="5" s="1"/>
  <c r="A827" i="5"/>
  <c r="M826" i="5"/>
  <c r="N826" i="5" s="1"/>
  <c r="L826" i="5"/>
  <c r="K826" i="5"/>
  <c r="J826" i="5"/>
  <c r="I826" i="5"/>
  <c r="H826" i="5"/>
  <c r="E826" i="5"/>
  <c r="G826" i="5" s="1"/>
  <c r="D826" i="5"/>
  <c r="B826" i="5"/>
  <c r="C826" i="5" s="1"/>
  <c r="A826" i="5"/>
  <c r="M825" i="5"/>
  <c r="N825" i="5" s="1"/>
  <c r="L825" i="5"/>
  <c r="K825" i="5"/>
  <c r="J825" i="5"/>
  <c r="I825" i="5"/>
  <c r="H825" i="5"/>
  <c r="E825" i="5"/>
  <c r="G825" i="5" s="1"/>
  <c r="D825" i="5"/>
  <c r="B825" i="5"/>
  <c r="C825" i="5" s="1"/>
  <c r="A825" i="5"/>
  <c r="N824" i="5"/>
  <c r="M824" i="5"/>
  <c r="L824" i="5"/>
  <c r="K824" i="5"/>
  <c r="J824" i="5"/>
  <c r="I824" i="5"/>
  <c r="H824" i="5"/>
  <c r="E824" i="5"/>
  <c r="G824" i="5" s="1"/>
  <c r="D824" i="5"/>
  <c r="B824" i="5"/>
  <c r="C824" i="5" s="1"/>
  <c r="A824" i="5"/>
  <c r="M823" i="5"/>
  <c r="N823" i="5" s="1"/>
  <c r="L823" i="5"/>
  <c r="K823" i="5"/>
  <c r="J823" i="5"/>
  <c r="I823" i="5"/>
  <c r="H823" i="5"/>
  <c r="E823" i="5"/>
  <c r="G823" i="5" s="1"/>
  <c r="D823" i="5"/>
  <c r="B823" i="5"/>
  <c r="C823" i="5" s="1"/>
  <c r="A823" i="5"/>
  <c r="N822" i="5"/>
  <c r="M822" i="5"/>
  <c r="L822" i="5"/>
  <c r="K822" i="5"/>
  <c r="J822" i="5"/>
  <c r="I822" i="5"/>
  <c r="H822" i="5"/>
  <c r="E822" i="5"/>
  <c r="G822" i="5" s="1"/>
  <c r="D822" i="5"/>
  <c r="B822" i="5"/>
  <c r="C822" i="5" s="1"/>
  <c r="A822" i="5"/>
  <c r="M821" i="5"/>
  <c r="N821" i="5" s="1"/>
  <c r="L821" i="5"/>
  <c r="K821" i="5"/>
  <c r="J821" i="5"/>
  <c r="I821" i="5"/>
  <c r="H821" i="5"/>
  <c r="E821" i="5"/>
  <c r="G821" i="5" s="1"/>
  <c r="D821" i="5"/>
  <c r="B821" i="5"/>
  <c r="C821" i="5" s="1"/>
  <c r="A821" i="5"/>
  <c r="M820" i="5"/>
  <c r="N820" i="5" s="1"/>
  <c r="L820" i="5"/>
  <c r="K820" i="5"/>
  <c r="J820" i="5"/>
  <c r="I820" i="5"/>
  <c r="H820" i="5"/>
  <c r="E820" i="5"/>
  <c r="G820" i="5" s="1"/>
  <c r="D820" i="5"/>
  <c r="B820" i="5"/>
  <c r="C820" i="5" s="1"/>
  <c r="A820" i="5"/>
  <c r="M819" i="5"/>
  <c r="N819" i="5" s="1"/>
  <c r="L819" i="5"/>
  <c r="K819" i="5"/>
  <c r="J819" i="5"/>
  <c r="I819" i="5"/>
  <c r="H819" i="5"/>
  <c r="E819" i="5"/>
  <c r="G819" i="5" s="1"/>
  <c r="D819" i="5"/>
  <c r="B819" i="5"/>
  <c r="C819" i="5" s="1"/>
  <c r="A819" i="5"/>
  <c r="N818" i="5"/>
  <c r="M818" i="5"/>
  <c r="L818" i="5"/>
  <c r="K818" i="5"/>
  <c r="J818" i="5"/>
  <c r="I818" i="5"/>
  <c r="H818" i="5"/>
  <c r="E818" i="5"/>
  <c r="G818" i="5" s="1"/>
  <c r="D818" i="5"/>
  <c r="B818" i="5"/>
  <c r="C818" i="5" s="1"/>
  <c r="A818" i="5"/>
  <c r="M817" i="5"/>
  <c r="N817" i="5" s="1"/>
  <c r="L817" i="5"/>
  <c r="K817" i="5"/>
  <c r="J817" i="5"/>
  <c r="I817" i="5"/>
  <c r="H817" i="5"/>
  <c r="E817" i="5"/>
  <c r="G817" i="5" s="1"/>
  <c r="D817" i="5"/>
  <c r="B817" i="5"/>
  <c r="C817" i="5" s="1"/>
  <c r="A817" i="5"/>
  <c r="M816" i="5"/>
  <c r="N816" i="5" s="1"/>
  <c r="L816" i="5"/>
  <c r="K816" i="5"/>
  <c r="J816" i="5"/>
  <c r="I816" i="5"/>
  <c r="H816" i="5"/>
  <c r="E816" i="5"/>
  <c r="G816" i="5" s="1"/>
  <c r="D816" i="5"/>
  <c r="B816" i="5"/>
  <c r="C816" i="5" s="1"/>
  <c r="A816" i="5"/>
  <c r="M815" i="5"/>
  <c r="N815" i="5" s="1"/>
  <c r="L815" i="5"/>
  <c r="K815" i="5"/>
  <c r="J815" i="5"/>
  <c r="I815" i="5"/>
  <c r="H815" i="5"/>
  <c r="E815" i="5"/>
  <c r="G815" i="5" s="1"/>
  <c r="D815" i="5"/>
  <c r="B815" i="5"/>
  <c r="C815" i="5" s="1"/>
  <c r="A815" i="5"/>
  <c r="N814" i="5"/>
  <c r="M814" i="5"/>
  <c r="L814" i="5"/>
  <c r="K814" i="5"/>
  <c r="J814" i="5"/>
  <c r="I814" i="5"/>
  <c r="H814" i="5"/>
  <c r="E814" i="5"/>
  <c r="G814" i="5" s="1"/>
  <c r="D814" i="5"/>
  <c r="B814" i="5"/>
  <c r="C814" i="5" s="1"/>
  <c r="A814" i="5"/>
  <c r="M813" i="5"/>
  <c r="N813" i="5" s="1"/>
  <c r="L813" i="5"/>
  <c r="K813" i="5"/>
  <c r="J813" i="5"/>
  <c r="I813" i="5"/>
  <c r="H813" i="5"/>
  <c r="E813" i="5"/>
  <c r="G813" i="5" s="1"/>
  <c r="D813" i="5"/>
  <c r="B813" i="5"/>
  <c r="C813" i="5" s="1"/>
  <c r="A813" i="5"/>
  <c r="M812" i="5"/>
  <c r="N812" i="5" s="1"/>
  <c r="L812" i="5"/>
  <c r="K812" i="5"/>
  <c r="J812" i="5"/>
  <c r="I812" i="5"/>
  <c r="H812" i="5"/>
  <c r="E812" i="5"/>
  <c r="G812" i="5" s="1"/>
  <c r="D812" i="5"/>
  <c r="B812" i="5"/>
  <c r="C812" i="5" s="1"/>
  <c r="A812" i="5"/>
  <c r="M811" i="5"/>
  <c r="N811" i="5" s="1"/>
  <c r="L811" i="5"/>
  <c r="K811" i="5"/>
  <c r="J811" i="5"/>
  <c r="I811" i="5"/>
  <c r="H811" i="5"/>
  <c r="E811" i="5"/>
  <c r="G811" i="5" s="1"/>
  <c r="D811" i="5"/>
  <c r="B811" i="5"/>
  <c r="C811" i="5" s="1"/>
  <c r="A811" i="5"/>
  <c r="N810" i="5"/>
  <c r="M810" i="5"/>
  <c r="L810" i="5"/>
  <c r="K810" i="5"/>
  <c r="J810" i="5"/>
  <c r="I810" i="5"/>
  <c r="H810" i="5"/>
  <c r="E810" i="5"/>
  <c r="G810" i="5" s="1"/>
  <c r="D810" i="5"/>
  <c r="B810" i="5"/>
  <c r="C810" i="5" s="1"/>
  <c r="A810" i="5"/>
  <c r="M809" i="5"/>
  <c r="N809" i="5" s="1"/>
  <c r="L809" i="5"/>
  <c r="K809" i="5"/>
  <c r="J809" i="5"/>
  <c r="I809" i="5"/>
  <c r="H809" i="5"/>
  <c r="E809" i="5"/>
  <c r="G809" i="5" s="1"/>
  <c r="D809" i="5"/>
  <c r="B809" i="5"/>
  <c r="C809" i="5" s="1"/>
  <c r="A809" i="5"/>
  <c r="M808" i="5"/>
  <c r="N808" i="5" s="1"/>
  <c r="L808" i="5"/>
  <c r="K808" i="5"/>
  <c r="J808" i="5"/>
  <c r="I808" i="5"/>
  <c r="H808" i="5"/>
  <c r="E808" i="5"/>
  <c r="G808" i="5" s="1"/>
  <c r="D808" i="5"/>
  <c r="B808" i="5"/>
  <c r="C808" i="5" s="1"/>
  <c r="A808" i="5"/>
  <c r="M807" i="5"/>
  <c r="N807" i="5" s="1"/>
  <c r="L807" i="5"/>
  <c r="K807" i="5"/>
  <c r="J807" i="5"/>
  <c r="I807" i="5"/>
  <c r="H807" i="5"/>
  <c r="E807" i="5"/>
  <c r="G807" i="5" s="1"/>
  <c r="D807" i="5"/>
  <c r="B807" i="5"/>
  <c r="C807" i="5" s="1"/>
  <c r="A807" i="5"/>
  <c r="N806" i="5"/>
  <c r="M806" i="5"/>
  <c r="L806" i="5"/>
  <c r="K806" i="5"/>
  <c r="J806" i="5"/>
  <c r="I806" i="5"/>
  <c r="H806" i="5"/>
  <c r="E806" i="5"/>
  <c r="G806" i="5" s="1"/>
  <c r="D806" i="5"/>
  <c r="B806" i="5"/>
  <c r="C806" i="5" s="1"/>
  <c r="A806" i="5"/>
  <c r="M805" i="5"/>
  <c r="N805" i="5" s="1"/>
  <c r="L805" i="5"/>
  <c r="K805" i="5"/>
  <c r="J805" i="5"/>
  <c r="I805" i="5"/>
  <c r="H805" i="5"/>
  <c r="E805" i="5"/>
  <c r="G805" i="5" s="1"/>
  <c r="D805" i="5"/>
  <c r="B805" i="5"/>
  <c r="C805" i="5" s="1"/>
  <c r="A805" i="5"/>
  <c r="M804" i="5"/>
  <c r="N804" i="5" s="1"/>
  <c r="L804" i="5"/>
  <c r="K804" i="5"/>
  <c r="J804" i="5"/>
  <c r="I804" i="5"/>
  <c r="H804" i="5"/>
  <c r="E804" i="5"/>
  <c r="G804" i="5" s="1"/>
  <c r="D804" i="5"/>
  <c r="B804" i="5"/>
  <c r="C804" i="5" s="1"/>
  <c r="A804" i="5"/>
  <c r="M803" i="5"/>
  <c r="N803" i="5" s="1"/>
  <c r="L803" i="5"/>
  <c r="K803" i="5"/>
  <c r="J803" i="5"/>
  <c r="I803" i="5"/>
  <c r="H803" i="5"/>
  <c r="E803" i="5"/>
  <c r="G803" i="5" s="1"/>
  <c r="D803" i="5"/>
  <c r="B803" i="5"/>
  <c r="C803" i="5" s="1"/>
  <c r="A803" i="5"/>
  <c r="N802" i="5"/>
  <c r="M802" i="5"/>
  <c r="L802" i="5"/>
  <c r="K802" i="5"/>
  <c r="J802" i="5"/>
  <c r="I802" i="5"/>
  <c r="H802" i="5"/>
  <c r="E802" i="5"/>
  <c r="G802" i="5" s="1"/>
  <c r="D802" i="5"/>
  <c r="B802" i="5"/>
  <c r="C802" i="5" s="1"/>
  <c r="A802" i="5"/>
  <c r="M801" i="5"/>
  <c r="N801" i="5" s="1"/>
  <c r="L801" i="5"/>
  <c r="K801" i="5"/>
  <c r="J801" i="5"/>
  <c r="I801" i="5"/>
  <c r="H801" i="5"/>
  <c r="E801" i="5"/>
  <c r="G801" i="5" s="1"/>
  <c r="D801" i="5"/>
  <c r="B801" i="5"/>
  <c r="C801" i="5" s="1"/>
  <c r="A801" i="5"/>
  <c r="M800" i="5"/>
  <c r="N800" i="5" s="1"/>
  <c r="L800" i="5"/>
  <c r="K800" i="5"/>
  <c r="J800" i="5"/>
  <c r="I800" i="5"/>
  <c r="H800" i="5"/>
  <c r="E800" i="5"/>
  <c r="G800" i="5" s="1"/>
  <c r="D800" i="5"/>
  <c r="B800" i="5"/>
  <c r="C800" i="5" s="1"/>
  <c r="A800" i="5"/>
  <c r="M799" i="5"/>
  <c r="N799" i="5" s="1"/>
  <c r="L799" i="5"/>
  <c r="K799" i="5"/>
  <c r="J799" i="5"/>
  <c r="I799" i="5"/>
  <c r="H799" i="5"/>
  <c r="E799" i="5"/>
  <c r="G799" i="5" s="1"/>
  <c r="D799" i="5"/>
  <c r="B799" i="5"/>
  <c r="C799" i="5" s="1"/>
  <c r="A799" i="5"/>
  <c r="N798" i="5"/>
  <c r="M798" i="5"/>
  <c r="L798" i="5"/>
  <c r="K798" i="5"/>
  <c r="J798" i="5"/>
  <c r="I798" i="5"/>
  <c r="H798" i="5"/>
  <c r="E798" i="5"/>
  <c r="G798" i="5" s="1"/>
  <c r="D798" i="5"/>
  <c r="B798" i="5"/>
  <c r="C798" i="5" s="1"/>
  <c r="A798" i="5"/>
  <c r="M797" i="5"/>
  <c r="N797" i="5" s="1"/>
  <c r="L797" i="5"/>
  <c r="K797" i="5"/>
  <c r="J797" i="5"/>
  <c r="I797" i="5"/>
  <c r="H797" i="5"/>
  <c r="E797" i="5"/>
  <c r="G797" i="5" s="1"/>
  <c r="D797" i="5"/>
  <c r="B797" i="5"/>
  <c r="C797" i="5" s="1"/>
  <c r="A797" i="5"/>
  <c r="M796" i="5"/>
  <c r="N796" i="5" s="1"/>
  <c r="L796" i="5"/>
  <c r="K796" i="5"/>
  <c r="J796" i="5"/>
  <c r="I796" i="5"/>
  <c r="H796" i="5"/>
  <c r="E796" i="5"/>
  <c r="G796" i="5" s="1"/>
  <c r="D796" i="5"/>
  <c r="B796" i="5"/>
  <c r="C796" i="5" s="1"/>
  <c r="A796" i="5"/>
  <c r="M795" i="5"/>
  <c r="N795" i="5" s="1"/>
  <c r="L795" i="5"/>
  <c r="K795" i="5"/>
  <c r="J795" i="5"/>
  <c r="I795" i="5"/>
  <c r="H795" i="5"/>
  <c r="E795" i="5"/>
  <c r="G795" i="5" s="1"/>
  <c r="D795" i="5"/>
  <c r="B795" i="5"/>
  <c r="C795" i="5" s="1"/>
  <c r="A795" i="5"/>
  <c r="N794" i="5"/>
  <c r="M794" i="5"/>
  <c r="L794" i="5"/>
  <c r="K794" i="5"/>
  <c r="J794" i="5"/>
  <c r="I794" i="5"/>
  <c r="H794" i="5"/>
  <c r="E794" i="5"/>
  <c r="G794" i="5" s="1"/>
  <c r="D794" i="5"/>
  <c r="B794" i="5"/>
  <c r="C794" i="5" s="1"/>
  <c r="A794" i="5"/>
  <c r="M793" i="5"/>
  <c r="N793" i="5" s="1"/>
  <c r="L793" i="5"/>
  <c r="K793" i="5"/>
  <c r="J793" i="5"/>
  <c r="I793" i="5"/>
  <c r="H793" i="5"/>
  <c r="E793" i="5"/>
  <c r="G793" i="5" s="1"/>
  <c r="D793" i="5"/>
  <c r="B793" i="5"/>
  <c r="C793" i="5" s="1"/>
  <c r="A793" i="5"/>
  <c r="M792" i="5"/>
  <c r="N792" i="5" s="1"/>
  <c r="L792" i="5"/>
  <c r="K792" i="5"/>
  <c r="J792" i="5"/>
  <c r="I792" i="5"/>
  <c r="H792" i="5"/>
  <c r="E792" i="5"/>
  <c r="G792" i="5" s="1"/>
  <c r="D792" i="5"/>
  <c r="B792" i="5"/>
  <c r="C792" i="5" s="1"/>
  <c r="A792" i="5"/>
  <c r="M791" i="5"/>
  <c r="N791" i="5" s="1"/>
  <c r="L791" i="5"/>
  <c r="K791" i="5"/>
  <c r="J791" i="5"/>
  <c r="I791" i="5"/>
  <c r="H791" i="5"/>
  <c r="E791" i="5"/>
  <c r="G791" i="5" s="1"/>
  <c r="D791" i="5"/>
  <c r="B791" i="5"/>
  <c r="C791" i="5" s="1"/>
  <c r="A791" i="5"/>
  <c r="N790" i="5"/>
  <c r="M790" i="5"/>
  <c r="L790" i="5"/>
  <c r="K790" i="5"/>
  <c r="J790" i="5"/>
  <c r="I790" i="5"/>
  <c r="H790" i="5"/>
  <c r="E790" i="5"/>
  <c r="G790" i="5" s="1"/>
  <c r="D790" i="5"/>
  <c r="B790" i="5"/>
  <c r="C790" i="5" s="1"/>
  <c r="A790" i="5"/>
  <c r="M789" i="5"/>
  <c r="N789" i="5" s="1"/>
  <c r="L789" i="5"/>
  <c r="K789" i="5"/>
  <c r="J789" i="5"/>
  <c r="I789" i="5"/>
  <c r="H789" i="5"/>
  <c r="E789" i="5"/>
  <c r="G789" i="5" s="1"/>
  <c r="D789" i="5"/>
  <c r="B789" i="5"/>
  <c r="C789" i="5" s="1"/>
  <c r="A789" i="5"/>
  <c r="M788" i="5"/>
  <c r="N788" i="5" s="1"/>
  <c r="L788" i="5"/>
  <c r="K788" i="5"/>
  <c r="J788" i="5"/>
  <c r="I788" i="5"/>
  <c r="H788" i="5"/>
  <c r="E788" i="5"/>
  <c r="G788" i="5" s="1"/>
  <c r="D788" i="5"/>
  <c r="B788" i="5"/>
  <c r="C788" i="5" s="1"/>
  <c r="A788" i="5"/>
  <c r="M787" i="5"/>
  <c r="N787" i="5" s="1"/>
  <c r="L787" i="5"/>
  <c r="K787" i="5"/>
  <c r="J787" i="5"/>
  <c r="I787" i="5"/>
  <c r="H787" i="5"/>
  <c r="E787" i="5"/>
  <c r="G787" i="5" s="1"/>
  <c r="D787" i="5"/>
  <c r="B787" i="5"/>
  <c r="C787" i="5" s="1"/>
  <c r="A787" i="5"/>
  <c r="N786" i="5"/>
  <c r="M786" i="5"/>
  <c r="L786" i="5"/>
  <c r="K786" i="5"/>
  <c r="J786" i="5"/>
  <c r="I786" i="5"/>
  <c r="H786" i="5"/>
  <c r="E786" i="5"/>
  <c r="G786" i="5" s="1"/>
  <c r="D786" i="5"/>
  <c r="B786" i="5"/>
  <c r="C786" i="5" s="1"/>
  <c r="A786" i="5"/>
  <c r="M785" i="5"/>
  <c r="N785" i="5" s="1"/>
  <c r="L785" i="5"/>
  <c r="K785" i="5"/>
  <c r="J785" i="5"/>
  <c r="I785" i="5"/>
  <c r="H785" i="5"/>
  <c r="E785" i="5"/>
  <c r="G785" i="5" s="1"/>
  <c r="D785" i="5"/>
  <c r="B785" i="5"/>
  <c r="C785" i="5" s="1"/>
  <c r="A785" i="5"/>
  <c r="M784" i="5"/>
  <c r="N784" i="5" s="1"/>
  <c r="L784" i="5"/>
  <c r="K784" i="5"/>
  <c r="J784" i="5"/>
  <c r="I784" i="5"/>
  <c r="H784" i="5"/>
  <c r="E784" i="5"/>
  <c r="G784" i="5" s="1"/>
  <c r="D784" i="5"/>
  <c r="B784" i="5"/>
  <c r="C784" i="5" s="1"/>
  <c r="A784" i="5"/>
  <c r="M783" i="5"/>
  <c r="N783" i="5" s="1"/>
  <c r="L783" i="5"/>
  <c r="K783" i="5"/>
  <c r="J783" i="5"/>
  <c r="I783" i="5"/>
  <c r="H783" i="5"/>
  <c r="E783" i="5"/>
  <c r="G783" i="5" s="1"/>
  <c r="D783" i="5"/>
  <c r="B783" i="5"/>
  <c r="C783" i="5" s="1"/>
  <c r="A783" i="5"/>
  <c r="N782" i="5"/>
  <c r="M782" i="5"/>
  <c r="L782" i="5"/>
  <c r="K782" i="5"/>
  <c r="J782" i="5"/>
  <c r="I782" i="5"/>
  <c r="H782" i="5"/>
  <c r="E782" i="5"/>
  <c r="G782" i="5" s="1"/>
  <c r="D782" i="5"/>
  <c r="B782" i="5"/>
  <c r="C782" i="5" s="1"/>
  <c r="A782" i="5"/>
  <c r="M781" i="5"/>
  <c r="N781" i="5" s="1"/>
  <c r="L781" i="5"/>
  <c r="K781" i="5"/>
  <c r="J781" i="5"/>
  <c r="I781" i="5"/>
  <c r="H781" i="5"/>
  <c r="E781" i="5"/>
  <c r="G781" i="5" s="1"/>
  <c r="D781" i="5"/>
  <c r="B781" i="5"/>
  <c r="C781" i="5" s="1"/>
  <c r="A781" i="5"/>
  <c r="M780" i="5"/>
  <c r="N780" i="5" s="1"/>
  <c r="L780" i="5"/>
  <c r="K780" i="5"/>
  <c r="J780" i="5"/>
  <c r="I780" i="5"/>
  <c r="H780" i="5"/>
  <c r="E780" i="5"/>
  <c r="G780" i="5" s="1"/>
  <c r="D780" i="5"/>
  <c r="B780" i="5"/>
  <c r="C780" i="5" s="1"/>
  <c r="A780" i="5"/>
  <c r="M779" i="5"/>
  <c r="N779" i="5" s="1"/>
  <c r="L779" i="5"/>
  <c r="K779" i="5"/>
  <c r="J779" i="5"/>
  <c r="I779" i="5"/>
  <c r="H779" i="5"/>
  <c r="E779" i="5"/>
  <c r="G779" i="5" s="1"/>
  <c r="D779" i="5"/>
  <c r="B779" i="5"/>
  <c r="C779" i="5" s="1"/>
  <c r="A779" i="5"/>
  <c r="N778" i="5"/>
  <c r="M778" i="5"/>
  <c r="L778" i="5"/>
  <c r="K778" i="5"/>
  <c r="J778" i="5"/>
  <c r="I778" i="5"/>
  <c r="H778" i="5"/>
  <c r="E778" i="5"/>
  <c r="G778" i="5" s="1"/>
  <c r="D778" i="5"/>
  <c r="B778" i="5"/>
  <c r="C778" i="5" s="1"/>
  <c r="A778" i="5"/>
  <c r="M777" i="5"/>
  <c r="N777" i="5" s="1"/>
  <c r="L777" i="5"/>
  <c r="K777" i="5"/>
  <c r="J777" i="5"/>
  <c r="I777" i="5"/>
  <c r="H777" i="5"/>
  <c r="E777" i="5"/>
  <c r="G777" i="5" s="1"/>
  <c r="D777" i="5"/>
  <c r="B777" i="5"/>
  <c r="C777" i="5" s="1"/>
  <c r="A777" i="5"/>
  <c r="M776" i="5"/>
  <c r="N776" i="5" s="1"/>
  <c r="L776" i="5"/>
  <c r="K776" i="5"/>
  <c r="J776" i="5"/>
  <c r="I776" i="5"/>
  <c r="H776" i="5"/>
  <c r="E776" i="5"/>
  <c r="G776" i="5" s="1"/>
  <c r="D776" i="5"/>
  <c r="B776" i="5"/>
  <c r="C776" i="5" s="1"/>
  <c r="A776" i="5"/>
  <c r="M775" i="5"/>
  <c r="N775" i="5" s="1"/>
  <c r="L775" i="5"/>
  <c r="K775" i="5"/>
  <c r="J775" i="5"/>
  <c r="I775" i="5"/>
  <c r="H775" i="5"/>
  <c r="E775" i="5"/>
  <c r="G775" i="5" s="1"/>
  <c r="D775" i="5"/>
  <c r="B775" i="5"/>
  <c r="C775" i="5" s="1"/>
  <c r="A775" i="5"/>
  <c r="M774" i="5"/>
  <c r="N774" i="5" s="1"/>
  <c r="L774" i="5"/>
  <c r="K774" i="5"/>
  <c r="J774" i="5"/>
  <c r="I774" i="5"/>
  <c r="H774" i="5"/>
  <c r="E774" i="5"/>
  <c r="G774" i="5" s="1"/>
  <c r="D774" i="5"/>
  <c r="B774" i="5"/>
  <c r="C774" i="5" s="1"/>
  <c r="A774" i="5"/>
  <c r="M773" i="5"/>
  <c r="N773" i="5" s="1"/>
  <c r="L773" i="5"/>
  <c r="K773" i="5"/>
  <c r="J773" i="5"/>
  <c r="I773" i="5"/>
  <c r="H773" i="5"/>
  <c r="E773" i="5"/>
  <c r="G773" i="5" s="1"/>
  <c r="D773" i="5"/>
  <c r="B773" i="5"/>
  <c r="C773" i="5" s="1"/>
  <c r="A773" i="5"/>
  <c r="M772" i="5"/>
  <c r="N772" i="5" s="1"/>
  <c r="L772" i="5"/>
  <c r="K772" i="5"/>
  <c r="J772" i="5"/>
  <c r="I772" i="5"/>
  <c r="H772" i="5"/>
  <c r="E772" i="5"/>
  <c r="G772" i="5" s="1"/>
  <c r="D772" i="5"/>
  <c r="B772" i="5"/>
  <c r="C772" i="5" s="1"/>
  <c r="A772" i="5"/>
  <c r="M771" i="5"/>
  <c r="N771" i="5" s="1"/>
  <c r="L771" i="5"/>
  <c r="K771" i="5"/>
  <c r="J771" i="5"/>
  <c r="I771" i="5"/>
  <c r="H771" i="5"/>
  <c r="E771" i="5"/>
  <c r="G771" i="5" s="1"/>
  <c r="D771" i="5"/>
  <c r="B771" i="5"/>
  <c r="C771" i="5" s="1"/>
  <c r="A771" i="5"/>
  <c r="M770" i="5"/>
  <c r="N770" i="5" s="1"/>
  <c r="L770" i="5"/>
  <c r="K770" i="5"/>
  <c r="J770" i="5"/>
  <c r="I770" i="5"/>
  <c r="H770" i="5"/>
  <c r="E770" i="5"/>
  <c r="G770" i="5" s="1"/>
  <c r="D770" i="5"/>
  <c r="B770" i="5"/>
  <c r="C770" i="5" s="1"/>
  <c r="A770" i="5"/>
  <c r="M769" i="5"/>
  <c r="N769" i="5" s="1"/>
  <c r="L769" i="5"/>
  <c r="K769" i="5"/>
  <c r="J769" i="5"/>
  <c r="I769" i="5"/>
  <c r="H769" i="5"/>
  <c r="E769" i="5"/>
  <c r="G769" i="5" s="1"/>
  <c r="D769" i="5"/>
  <c r="C769" i="5"/>
  <c r="B769" i="5"/>
  <c r="A769" i="5"/>
  <c r="M768" i="5"/>
  <c r="N768" i="5" s="1"/>
  <c r="L768" i="5"/>
  <c r="K768" i="5"/>
  <c r="J768" i="5"/>
  <c r="I768" i="5"/>
  <c r="H768" i="5"/>
  <c r="E768" i="5"/>
  <c r="G768" i="5" s="1"/>
  <c r="D768" i="5"/>
  <c r="B768" i="5"/>
  <c r="C768" i="5" s="1"/>
  <c r="A768" i="5"/>
  <c r="M767" i="5"/>
  <c r="N767" i="5" s="1"/>
  <c r="L767" i="5"/>
  <c r="K767" i="5"/>
  <c r="J767" i="5"/>
  <c r="I767" i="5"/>
  <c r="H767" i="5"/>
  <c r="E767" i="5"/>
  <c r="G767" i="5" s="1"/>
  <c r="D767" i="5"/>
  <c r="B767" i="5"/>
  <c r="C767" i="5" s="1"/>
  <c r="A767" i="5"/>
  <c r="M766" i="5"/>
  <c r="N766" i="5" s="1"/>
  <c r="L766" i="5"/>
  <c r="K766" i="5"/>
  <c r="J766" i="5"/>
  <c r="I766" i="5"/>
  <c r="H766" i="5"/>
  <c r="E766" i="5"/>
  <c r="G766" i="5" s="1"/>
  <c r="D766" i="5"/>
  <c r="B766" i="5"/>
  <c r="C766" i="5" s="1"/>
  <c r="A766" i="5"/>
  <c r="M765" i="5"/>
  <c r="N765" i="5" s="1"/>
  <c r="L765" i="5"/>
  <c r="K765" i="5"/>
  <c r="J765" i="5"/>
  <c r="I765" i="5"/>
  <c r="H765" i="5"/>
  <c r="E765" i="5"/>
  <c r="G765" i="5" s="1"/>
  <c r="D765" i="5"/>
  <c r="B765" i="5"/>
  <c r="C765" i="5" s="1"/>
  <c r="A765" i="5"/>
  <c r="M764" i="5"/>
  <c r="N764" i="5" s="1"/>
  <c r="L764" i="5"/>
  <c r="K764" i="5"/>
  <c r="J764" i="5"/>
  <c r="I764" i="5"/>
  <c r="H764" i="5"/>
  <c r="E764" i="5"/>
  <c r="G764" i="5" s="1"/>
  <c r="D764" i="5"/>
  <c r="B764" i="5"/>
  <c r="C764" i="5" s="1"/>
  <c r="A764" i="5"/>
  <c r="N763" i="5"/>
  <c r="M763" i="5"/>
  <c r="L763" i="5"/>
  <c r="K763" i="5"/>
  <c r="J763" i="5"/>
  <c r="I763" i="5"/>
  <c r="H763" i="5"/>
  <c r="E763" i="5"/>
  <c r="G763" i="5" s="1"/>
  <c r="D763" i="5"/>
  <c r="B763" i="5"/>
  <c r="C763" i="5" s="1"/>
  <c r="A763" i="5"/>
  <c r="M762" i="5"/>
  <c r="N762" i="5" s="1"/>
  <c r="L762" i="5"/>
  <c r="K762" i="5"/>
  <c r="J762" i="5"/>
  <c r="I762" i="5"/>
  <c r="H762" i="5"/>
  <c r="E762" i="5"/>
  <c r="G762" i="5" s="1"/>
  <c r="D762" i="5"/>
  <c r="B762" i="5"/>
  <c r="C762" i="5" s="1"/>
  <c r="A762" i="5"/>
  <c r="M761" i="5"/>
  <c r="N761" i="5" s="1"/>
  <c r="L761" i="5"/>
  <c r="K761" i="5"/>
  <c r="J761" i="5"/>
  <c r="I761" i="5"/>
  <c r="H761" i="5"/>
  <c r="E761" i="5"/>
  <c r="G761" i="5" s="1"/>
  <c r="D761" i="5"/>
  <c r="B761" i="5"/>
  <c r="C761" i="5" s="1"/>
  <c r="A761" i="5"/>
  <c r="M760" i="5"/>
  <c r="N760" i="5" s="1"/>
  <c r="L760" i="5"/>
  <c r="K760" i="5"/>
  <c r="J760" i="5"/>
  <c r="I760" i="5"/>
  <c r="H760" i="5"/>
  <c r="E760" i="5"/>
  <c r="G760" i="5" s="1"/>
  <c r="D760" i="5"/>
  <c r="B760" i="5"/>
  <c r="C760" i="5" s="1"/>
  <c r="A760" i="5"/>
  <c r="M759" i="5"/>
  <c r="N759" i="5" s="1"/>
  <c r="L759" i="5"/>
  <c r="K759" i="5"/>
  <c r="J759" i="5"/>
  <c r="I759" i="5"/>
  <c r="H759" i="5"/>
  <c r="E759" i="5"/>
  <c r="G759" i="5" s="1"/>
  <c r="D759" i="5"/>
  <c r="B759" i="5"/>
  <c r="C759" i="5" s="1"/>
  <c r="A759" i="5"/>
  <c r="M758" i="5"/>
  <c r="N758" i="5" s="1"/>
  <c r="L758" i="5"/>
  <c r="K758" i="5"/>
  <c r="J758" i="5"/>
  <c r="I758" i="5"/>
  <c r="H758" i="5"/>
  <c r="E758" i="5"/>
  <c r="G758" i="5" s="1"/>
  <c r="D758" i="5"/>
  <c r="B758" i="5"/>
  <c r="C758" i="5" s="1"/>
  <c r="A758" i="5"/>
  <c r="M757" i="5"/>
  <c r="N757" i="5" s="1"/>
  <c r="L757" i="5"/>
  <c r="K757" i="5"/>
  <c r="J757" i="5"/>
  <c r="I757" i="5"/>
  <c r="H757" i="5"/>
  <c r="E757" i="5"/>
  <c r="G757" i="5" s="1"/>
  <c r="D757" i="5"/>
  <c r="B757" i="5"/>
  <c r="C757" i="5" s="1"/>
  <c r="A757" i="5"/>
  <c r="M756" i="5"/>
  <c r="N756" i="5" s="1"/>
  <c r="L756" i="5"/>
  <c r="K756" i="5"/>
  <c r="J756" i="5"/>
  <c r="I756" i="5"/>
  <c r="H756" i="5"/>
  <c r="E756" i="5"/>
  <c r="G756" i="5" s="1"/>
  <c r="D756" i="5"/>
  <c r="B756" i="5"/>
  <c r="C756" i="5" s="1"/>
  <c r="A756" i="5"/>
  <c r="M755" i="5"/>
  <c r="N755" i="5" s="1"/>
  <c r="L755" i="5"/>
  <c r="K755" i="5"/>
  <c r="J755" i="5"/>
  <c r="I755" i="5"/>
  <c r="H755" i="5"/>
  <c r="E755" i="5"/>
  <c r="G755" i="5" s="1"/>
  <c r="D755" i="5"/>
  <c r="B755" i="5"/>
  <c r="C755" i="5" s="1"/>
  <c r="A755" i="5"/>
  <c r="M754" i="5"/>
  <c r="N754" i="5" s="1"/>
  <c r="L754" i="5"/>
  <c r="K754" i="5"/>
  <c r="J754" i="5"/>
  <c r="I754" i="5"/>
  <c r="H754" i="5"/>
  <c r="E754" i="5"/>
  <c r="G754" i="5" s="1"/>
  <c r="D754" i="5"/>
  <c r="B754" i="5"/>
  <c r="C754" i="5" s="1"/>
  <c r="A754" i="5"/>
  <c r="M753" i="5"/>
  <c r="N753" i="5" s="1"/>
  <c r="L753" i="5"/>
  <c r="K753" i="5"/>
  <c r="J753" i="5"/>
  <c r="I753" i="5"/>
  <c r="H753" i="5"/>
  <c r="E753" i="5"/>
  <c r="G753" i="5" s="1"/>
  <c r="D753" i="5"/>
  <c r="B753" i="5"/>
  <c r="C753" i="5" s="1"/>
  <c r="A753" i="5"/>
  <c r="M752" i="5"/>
  <c r="N752" i="5" s="1"/>
  <c r="L752" i="5"/>
  <c r="K752" i="5"/>
  <c r="J752" i="5"/>
  <c r="I752" i="5"/>
  <c r="H752" i="5"/>
  <c r="E752" i="5"/>
  <c r="G752" i="5" s="1"/>
  <c r="D752" i="5"/>
  <c r="B752" i="5"/>
  <c r="C752" i="5" s="1"/>
  <c r="A752" i="5"/>
  <c r="M751" i="5"/>
  <c r="N751" i="5" s="1"/>
  <c r="L751" i="5"/>
  <c r="K751" i="5"/>
  <c r="J751" i="5"/>
  <c r="I751" i="5"/>
  <c r="H751" i="5"/>
  <c r="E751" i="5"/>
  <c r="G751" i="5" s="1"/>
  <c r="D751" i="5"/>
  <c r="B751" i="5"/>
  <c r="C751" i="5" s="1"/>
  <c r="A751" i="5"/>
  <c r="M750" i="5"/>
  <c r="N750" i="5" s="1"/>
  <c r="L750" i="5"/>
  <c r="K750" i="5"/>
  <c r="J750" i="5"/>
  <c r="I750" i="5"/>
  <c r="H750" i="5"/>
  <c r="E750" i="5"/>
  <c r="G750" i="5" s="1"/>
  <c r="D750" i="5"/>
  <c r="B750" i="5"/>
  <c r="C750" i="5" s="1"/>
  <c r="A750" i="5"/>
  <c r="M749" i="5"/>
  <c r="N749" i="5" s="1"/>
  <c r="L749" i="5"/>
  <c r="K749" i="5"/>
  <c r="J749" i="5"/>
  <c r="I749" i="5"/>
  <c r="H749" i="5"/>
  <c r="E749" i="5"/>
  <c r="G749" i="5" s="1"/>
  <c r="D749" i="5"/>
  <c r="B749" i="5"/>
  <c r="C749" i="5" s="1"/>
  <c r="A749" i="5"/>
  <c r="M748" i="5"/>
  <c r="N748" i="5" s="1"/>
  <c r="L748" i="5"/>
  <c r="K748" i="5"/>
  <c r="J748" i="5"/>
  <c r="I748" i="5"/>
  <c r="H748" i="5"/>
  <c r="E748" i="5"/>
  <c r="G748" i="5" s="1"/>
  <c r="D748" i="5"/>
  <c r="B748" i="5"/>
  <c r="C748" i="5" s="1"/>
  <c r="A748" i="5"/>
  <c r="M747" i="5"/>
  <c r="N747" i="5" s="1"/>
  <c r="L747" i="5"/>
  <c r="K747" i="5"/>
  <c r="J747" i="5"/>
  <c r="I747" i="5"/>
  <c r="H747" i="5"/>
  <c r="E747" i="5"/>
  <c r="G747" i="5" s="1"/>
  <c r="D747" i="5"/>
  <c r="B747" i="5"/>
  <c r="C747" i="5" s="1"/>
  <c r="A747" i="5"/>
  <c r="M746" i="5"/>
  <c r="N746" i="5" s="1"/>
  <c r="L746" i="5"/>
  <c r="K746" i="5"/>
  <c r="J746" i="5"/>
  <c r="I746" i="5"/>
  <c r="H746" i="5"/>
  <c r="E746" i="5"/>
  <c r="G746" i="5" s="1"/>
  <c r="D746" i="5"/>
  <c r="B746" i="5"/>
  <c r="C746" i="5" s="1"/>
  <c r="A746" i="5"/>
  <c r="M745" i="5"/>
  <c r="N745" i="5" s="1"/>
  <c r="L745" i="5"/>
  <c r="K745" i="5"/>
  <c r="J745" i="5"/>
  <c r="I745" i="5"/>
  <c r="H745" i="5"/>
  <c r="E745" i="5"/>
  <c r="G745" i="5" s="1"/>
  <c r="D745" i="5"/>
  <c r="B745" i="5"/>
  <c r="C745" i="5" s="1"/>
  <c r="A745" i="5"/>
  <c r="M744" i="5"/>
  <c r="N744" i="5" s="1"/>
  <c r="L744" i="5"/>
  <c r="K744" i="5"/>
  <c r="J744" i="5"/>
  <c r="I744" i="5"/>
  <c r="H744" i="5"/>
  <c r="E744" i="5"/>
  <c r="G744" i="5" s="1"/>
  <c r="D744" i="5"/>
  <c r="B744" i="5"/>
  <c r="C744" i="5" s="1"/>
  <c r="A744" i="5"/>
  <c r="N743" i="5"/>
  <c r="M743" i="5"/>
  <c r="L743" i="5"/>
  <c r="K743" i="5"/>
  <c r="J743" i="5"/>
  <c r="I743" i="5"/>
  <c r="H743" i="5"/>
  <c r="E743" i="5"/>
  <c r="G743" i="5" s="1"/>
  <c r="D743" i="5"/>
  <c r="B743" i="5"/>
  <c r="C743" i="5" s="1"/>
  <c r="A743" i="5"/>
  <c r="M742" i="5"/>
  <c r="N742" i="5" s="1"/>
  <c r="L742" i="5"/>
  <c r="K742" i="5"/>
  <c r="J742" i="5"/>
  <c r="I742" i="5"/>
  <c r="H742" i="5"/>
  <c r="E742" i="5"/>
  <c r="G742" i="5" s="1"/>
  <c r="D742" i="5"/>
  <c r="B742" i="5"/>
  <c r="C742" i="5" s="1"/>
  <c r="A742" i="5"/>
  <c r="M741" i="5"/>
  <c r="N741" i="5" s="1"/>
  <c r="L741" i="5"/>
  <c r="K741" i="5"/>
  <c r="J741" i="5"/>
  <c r="I741" i="5"/>
  <c r="H741" i="5"/>
  <c r="E741" i="5"/>
  <c r="G741" i="5" s="1"/>
  <c r="D741" i="5"/>
  <c r="B741" i="5"/>
  <c r="C741" i="5" s="1"/>
  <c r="A741" i="5"/>
  <c r="M740" i="5"/>
  <c r="N740" i="5" s="1"/>
  <c r="L740" i="5"/>
  <c r="K740" i="5"/>
  <c r="J740" i="5"/>
  <c r="I740" i="5"/>
  <c r="H740" i="5"/>
  <c r="E740" i="5"/>
  <c r="G740" i="5" s="1"/>
  <c r="D740" i="5"/>
  <c r="B740" i="5"/>
  <c r="C740" i="5" s="1"/>
  <c r="A740" i="5"/>
  <c r="M739" i="5"/>
  <c r="N739" i="5" s="1"/>
  <c r="L739" i="5"/>
  <c r="K739" i="5"/>
  <c r="J739" i="5"/>
  <c r="I739" i="5"/>
  <c r="H739" i="5"/>
  <c r="E739" i="5"/>
  <c r="G739" i="5" s="1"/>
  <c r="D739" i="5"/>
  <c r="B739" i="5"/>
  <c r="C739" i="5" s="1"/>
  <c r="A739" i="5"/>
  <c r="M738" i="5"/>
  <c r="N738" i="5" s="1"/>
  <c r="L738" i="5"/>
  <c r="K738" i="5"/>
  <c r="J738" i="5"/>
  <c r="I738" i="5"/>
  <c r="H738" i="5"/>
  <c r="E738" i="5"/>
  <c r="G738" i="5" s="1"/>
  <c r="D738" i="5"/>
  <c r="B738" i="5"/>
  <c r="C738" i="5" s="1"/>
  <c r="A738" i="5"/>
  <c r="M737" i="5"/>
  <c r="N737" i="5" s="1"/>
  <c r="L737" i="5"/>
  <c r="K737" i="5"/>
  <c r="J737" i="5"/>
  <c r="I737" i="5"/>
  <c r="H737" i="5"/>
  <c r="E737" i="5"/>
  <c r="G737" i="5" s="1"/>
  <c r="D737" i="5"/>
  <c r="B737" i="5"/>
  <c r="C737" i="5" s="1"/>
  <c r="A737" i="5"/>
  <c r="M736" i="5"/>
  <c r="N736" i="5" s="1"/>
  <c r="L736" i="5"/>
  <c r="K736" i="5"/>
  <c r="J736" i="5"/>
  <c r="I736" i="5"/>
  <c r="H736" i="5"/>
  <c r="E736" i="5"/>
  <c r="G736" i="5" s="1"/>
  <c r="D736" i="5"/>
  <c r="B736" i="5"/>
  <c r="C736" i="5" s="1"/>
  <c r="A736" i="5"/>
  <c r="M735" i="5"/>
  <c r="N735" i="5" s="1"/>
  <c r="L735" i="5"/>
  <c r="K735" i="5"/>
  <c r="J735" i="5"/>
  <c r="I735" i="5"/>
  <c r="H735" i="5"/>
  <c r="E735" i="5"/>
  <c r="G735" i="5" s="1"/>
  <c r="D735" i="5"/>
  <c r="B735" i="5"/>
  <c r="C735" i="5" s="1"/>
  <c r="A735" i="5"/>
  <c r="M734" i="5"/>
  <c r="N734" i="5" s="1"/>
  <c r="L734" i="5"/>
  <c r="K734" i="5"/>
  <c r="J734" i="5"/>
  <c r="I734" i="5"/>
  <c r="H734" i="5"/>
  <c r="E734" i="5"/>
  <c r="G734" i="5" s="1"/>
  <c r="D734" i="5"/>
  <c r="C734" i="5"/>
  <c r="B734" i="5"/>
  <c r="A734" i="5"/>
  <c r="M733" i="5"/>
  <c r="N733" i="5" s="1"/>
  <c r="L733" i="5"/>
  <c r="K733" i="5"/>
  <c r="J733" i="5"/>
  <c r="I733" i="5"/>
  <c r="H733" i="5"/>
  <c r="E733" i="5"/>
  <c r="G733" i="5" s="1"/>
  <c r="D733" i="5"/>
  <c r="B733" i="5"/>
  <c r="C733" i="5" s="1"/>
  <c r="A733" i="5"/>
  <c r="M732" i="5"/>
  <c r="N732" i="5" s="1"/>
  <c r="L732" i="5"/>
  <c r="K732" i="5"/>
  <c r="J732" i="5"/>
  <c r="I732" i="5"/>
  <c r="H732" i="5"/>
  <c r="E732" i="5"/>
  <c r="G732" i="5" s="1"/>
  <c r="D732" i="5"/>
  <c r="B732" i="5"/>
  <c r="C732" i="5" s="1"/>
  <c r="A732" i="5"/>
  <c r="M731" i="5"/>
  <c r="N731" i="5" s="1"/>
  <c r="L731" i="5"/>
  <c r="K731" i="5"/>
  <c r="J731" i="5"/>
  <c r="I731" i="5"/>
  <c r="H731" i="5"/>
  <c r="E731" i="5"/>
  <c r="G731" i="5" s="1"/>
  <c r="D731" i="5"/>
  <c r="B731" i="5"/>
  <c r="C731" i="5" s="1"/>
  <c r="A731" i="5"/>
  <c r="M730" i="5"/>
  <c r="N730" i="5" s="1"/>
  <c r="L730" i="5"/>
  <c r="K730" i="5"/>
  <c r="J730" i="5"/>
  <c r="I730" i="5"/>
  <c r="H730" i="5"/>
  <c r="E730" i="5"/>
  <c r="G730" i="5" s="1"/>
  <c r="D730" i="5"/>
  <c r="C730" i="5"/>
  <c r="B730" i="5"/>
  <c r="A730" i="5"/>
  <c r="M729" i="5"/>
  <c r="N729" i="5" s="1"/>
  <c r="L729" i="5"/>
  <c r="K729" i="5"/>
  <c r="J729" i="5"/>
  <c r="I729" i="5"/>
  <c r="H729" i="5"/>
  <c r="E729" i="5"/>
  <c r="G729" i="5" s="1"/>
  <c r="D729" i="5"/>
  <c r="B729" i="5"/>
  <c r="C729" i="5" s="1"/>
  <c r="A729" i="5"/>
  <c r="M728" i="5"/>
  <c r="N728" i="5" s="1"/>
  <c r="L728" i="5"/>
  <c r="K728" i="5"/>
  <c r="J728" i="5"/>
  <c r="I728" i="5"/>
  <c r="H728" i="5"/>
  <c r="E728" i="5"/>
  <c r="G728" i="5" s="1"/>
  <c r="D728" i="5"/>
  <c r="B728" i="5"/>
  <c r="C728" i="5" s="1"/>
  <c r="A728" i="5"/>
  <c r="M727" i="5"/>
  <c r="N727" i="5" s="1"/>
  <c r="L727" i="5"/>
  <c r="K727" i="5"/>
  <c r="J727" i="5"/>
  <c r="I727" i="5"/>
  <c r="H727" i="5"/>
  <c r="E727" i="5"/>
  <c r="G727" i="5" s="1"/>
  <c r="D727" i="5"/>
  <c r="B727" i="5"/>
  <c r="C727" i="5" s="1"/>
  <c r="A727" i="5"/>
  <c r="M726" i="5"/>
  <c r="N726" i="5" s="1"/>
  <c r="L726" i="5"/>
  <c r="K726" i="5"/>
  <c r="J726" i="5"/>
  <c r="I726" i="5"/>
  <c r="H726" i="5"/>
  <c r="E726" i="5"/>
  <c r="G726" i="5" s="1"/>
  <c r="D726" i="5"/>
  <c r="C726" i="5"/>
  <c r="B726" i="5"/>
  <c r="A726" i="5"/>
  <c r="M725" i="5"/>
  <c r="N725" i="5" s="1"/>
  <c r="L725" i="5"/>
  <c r="K725" i="5"/>
  <c r="J725" i="5"/>
  <c r="I725" i="5"/>
  <c r="H725" i="5"/>
  <c r="E725" i="5"/>
  <c r="G725" i="5" s="1"/>
  <c r="D725" i="5"/>
  <c r="B725" i="5"/>
  <c r="C725" i="5" s="1"/>
  <c r="A725" i="5"/>
  <c r="M724" i="5"/>
  <c r="N724" i="5" s="1"/>
  <c r="L724" i="5"/>
  <c r="K724" i="5"/>
  <c r="J724" i="5"/>
  <c r="I724" i="5"/>
  <c r="H724" i="5"/>
  <c r="E724" i="5"/>
  <c r="G724" i="5" s="1"/>
  <c r="D724" i="5"/>
  <c r="B724" i="5"/>
  <c r="C724" i="5" s="1"/>
  <c r="A724" i="5"/>
  <c r="M723" i="5"/>
  <c r="N723" i="5" s="1"/>
  <c r="L723" i="5"/>
  <c r="K723" i="5"/>
  <c r="J723" i="5"/>
  <c r="I723" i="5"/>
  <c r="H723" i="5"/>
  <c r="E723" i="5"/>
  <c r="G723" i="5" s="1"/>
  <c r="D723" i="5"/>
  <c r="B723" i="5"/>
  <c r="C723" i="5" s="1"/>
  <c r="A723" i="5"/>
  <c r="M722" i="5"/>
  <c r="N722" i="5" s="1"/>
  <c r="L722" i="5"/>
  <c r="K722" i="5"/>
  <c r="J722" i="5"/>
  <c r="I722" i="5"/>
  <c r="H722" i="5"/>
  <c r="E722" i="5"/>
  <c r="G722" i="5" s="1"/>
  <c r="D722" i="5"/>
  <c r="C722" i="5"/>
  <c r="B722" i="5"/>
  <c r="A722" i="5"/>
  <c r="M721" i="5"/>
  <c r="N721" i="5" s="1"/>
  <c r="L721" i="5"/>
  <c r="K721" i="5"/>
  <c r="J721" i="5"/>
  <c r="I721" i="5"/>
  <c r="H721" i="5"/>
  <c r="E721" i="5"/>
  <c r="G721" i="5" s="1"/>
  <c r="D721" i="5"/>
  <c r="B721" i="5"/>
  <c r="C721" i="5" s="1"/>
  <c r="A721" i="5"/>
  <c r="M720" i="5"/>
  <c r="N720" i="5" s="1"/>
  <c r="L720" i="5"/>
  <c r="K720" i="5"/>
  <c r="J720" i="5"/>
  <c r="I720" i="5"/>
  <c r="H720" i="5"/>
  <c r="E720" i="5"/>
  <c r="G720" i="5" s="1"/>
  <c r="D720" i="5"/>
  <c r="B720" i="5"/>
  <c r="C720" i="5" s="1"/>
  <c r="A720" i="5"/>
  <c r="M719" i="5"/>
  <c r="N719" i="5" s="1"/>
  <c r="L719" i="5"/>
  <c r="K719" i="5"/>
  <c r="J719" i="5"/>
  <c r="I719" i="5"/>
  <c r="H719" i="5"/>
  <c r="E719" i="5"/>
  <c r="G719" i="5" s="1"/>
  <c r="D719" i="5"/>
  <c r="B719" i="5"/>
  <c r="C719" i="5" s="1"/>
  <c r="A719" i="5"/>
  <c r="M718" i="5"/>
  <c r="N718" i="5" s="1"/>
  <c r="L718" i="5"/>
  <c r="K718" i="5"/>
  <c r="J718" i="5"/>
  <c r="I718" i="5"/>
  <c r="H718" i="5"/>
  <c r="E718" i="5"/>
  <c r="G718" i="5" s="1"/>
  <c r="D718" i="5"/>
  <c r="C718" i="5"/>
  <c r="B718" i="5"/>
  <c r="A718" i="5"/>
  <c r="M717" i="5"/>
  <c r="N717" i="5" s="1"/>
  <c r="L717" i="5"/>
  <c r="K717" i="5"/>
  <c r="J717" i="5"/>
  <c r="I717" i="5"/>
  <c r="H717" i="5"/>
  <c r="E717" i="5"/>
  <c r="G717" i="5" s="1"/>
  <c r="D717" i="5"/>
  <c r="B717" i="5"/>
  <c r="C717" i="5" s="1"/>
  <c r="A717" i="5"/>
  <c r="M716" i="5"/>
  <c r="N716" i="5" s="1"/>
  <c r="L716" i="5"/>
  <c r="K716" i="5"/>
  <c r="J716" i="5"/>
  <c r="I716" i="5"/>
  <c r="H716" i="5"/>
  <c r="E716" i="5"/>
  <c r="G716" i="5" s="1"/>
  <c r="D716" i="5"/>
  <c r="B716" i="5"/>
  <c r="C716" i="5" s="1"/>
  <c r="A716" i="5"/>
  <c r="M715" i="5"/>
  <c r="N715" i="5" s="1"/>
  <c r="L715" i="5"/>
  <c r="K715" i="5"/>
  <c r="J715" i="5"/>
  <c r="I715" i="5"/>
  <c r="H715" i="5"/>
  <c r="E715" i="5"/>
  <c r="G715" i="5" s="1"/>
  <c r="D715" i="5"/>
  <c r="B715" i="5"/>
  <c r="C715" i="5" s="1"/>
  <c r="A715" i="5"/>
  <c r="M714" i="5"/>
  <c r="N714" i="5" s="1"/>
  <c r="L714" i="5"/>
  <c r="K714" i="5"/>
  <c r="J714" i="5"/>
  <c r="I714" i="5"/>
  <c r="H714" i="5"/>
  <c r="E714" i="5"/>
  <c r="G714" i="5" s="1"/>
  <c r="D714" i="5"/>
  <c r="C714" i="5"/>
  <c r="B714" i="5"/>
  <c r="A714" i="5"/>
  <c r="M713" i="5"/>
  <c r="N713" i="5" s="1"/>
  <c r="L713" i="5"/>
  <c r="K713" i="5"/>
  <c r="J713" i="5"/>
  <c r="I713" i="5"/>
  <c r="H713" i="5"/>
  <c r="E713" i="5"/>
  <c r="G713" i="5" s="1"/>
  <c r="D713" i="5"/>
  <c r="B713" i="5"/>
  <c r="C713" i="5" s="1"/>
  <c r="A713" i="5"/>
  <c r="M712" i="5"/>
  <c r="N712" i="5" s="1"/>
  <c r="L712" i="5"/>
  <c r="K712" i="5"/>
  <c r="J712" i="5"/>
  <c r="I712" i="5"/>
  <c r="H712" i="5"/>
  <c r="E712" i="5"/>
  <c r="G712" i="5" s="1"/>
  <c r="D712" i="5"/>
  <c r="B712" i="5"/>
  <c r="C712" i="5" s="1"/>
  <c r="A712" i="5"/>
  <c r="M711" i="5"/>
  <c r="N711" i="5" s="1"/>
  <c r="L711" i="5"/>
  <c r="K711" i="5"/>
  <c r="J711" i="5"/>
  <c r="I711" i="5"/>
  <c r="H711" i="5"/>
  <c r="E711" i="5"/>
  <c r="G711" i="5" s="1"/>
  <c r="D711" i="5"/>
  <c r="B711" i="5"/>
  <c r="C711" i="5" s="1"/>
  <c r="A711" i="5"/>
  <c r="M710" i="5"/>
  <c r="N710" i="5" s="1"/>
  <c r="L710" i="5"/>
  <c r="K710" i="5"/>
  <c r="J710" i="5"/>
  <c r="I710" i="5"/>
  <c r="H710" i="5"/>
  <c r="E710" i="5"/>
  <c r="G710" i="5" s="1"/>
  <c r="D710" i="5"/>
  <c r="C710" i="5"/>
  <c r="B710" i="5"/>
  <c r="A710" i="5"/>
  <c r="M709" i="5"/>
  <c r="N709" i="5" s="1"/>
  <c r="L709" i="5"/>
  <c r="K709" i="5"/>
  <c r="J709" i="5"/>
  <c r="I709" i="5"/>
  <c r="H709" i="5"/>
  <c r="E709" i="5"/>
  <c r="G709" i="5" s="1"/>
  <c r="D709" i="5"/>
  <c r="B709" i="5"/>
  <c r="C709" i="5" s="1"/>
  <c r="A709" i="5"/>
  <c r="M708" i="5"/>
  <c r="N708" i="5" s="1"/>
  <c r="L708" i="5"/>
  <c r="K708" i="5"/>
  <c r="J708" i="5"/>
  <c r="I708" i="5"/>
  <c r="H708" i="5"/>
  <c r="E708" i="5"/>
  <c r="G708" i="5" s="1"/>
  <c r="D708" i="5"/>
  <c r="B708" i="5"/>
  <c r="C708" i="5" s="1"/>
  <c r="A708" i="5"/>
  <c r="M707" i="5"/>
  <c r="N707" i="5" s="1"/>
  <c r="L707" i="5"/>
  <c r="K707" i="5"/>
  <c r="J707" i="5"/>
  <c r="I707" i="5"/>
  <c r="H707" i="5"/>
  <c r="E707" i="5"/>
  <c r="G707" i="5" s="1"/>
  <c r="D707" i="5"/>
  <c r="B707" i="5"/>
  <c r="C707" i="5" s="1"/>
  <c r="A707" i="5"/>
  <c r="M706" i="5"/>
  <c r="N706" i="5" s="1"/>
  <c r="L706" i="5"/>
  <c r="K706" i="5"/>
  <c r="J706" i="5"/>
  <c r="I706" i="5"/>
  <c r="H706" i="5"/>
  <c r="E706" i="5"/>
  <c r="G706" i="5" s="1"/>
  <c r="D706" i="5"/>
  <c r="C706" i="5"/>
  <c r="B706" i="5"/>
  <c r="A706" i="5"/>
  <c r="M705" i="5"/>
  <c r="N705" i="5" s="1"/>
  <c r="L705" i="5"/>
  <c r="K705" i="5"/>
  <c r="J705" i="5"/>
  <c r="I705" i="5"/>
  <c r="H705" i="5"/>
  <c r="E705" i="5"/>
  <c r="G705" i="5" s="1"/>
  <c r="D705" i="5"/>
  <c r="B705" i="5"/>
  <c r="C705" i="5" s="1"/>
  <c r="A705" i="5"/>
  <c r="M704" i="5"/>
  <c r="N704" i="5" s="1"/>
  <c r="L704" i="5"/>
  <c r="K704" i="5"/>
  <c r="J704" i="5"/>
  <c r="I704" i="5"/>
  <c r="H704" i="5"/>
  <c r="E704" i="5"/>
  <c r="G704" i="5" s="1"/>
  <c r="D704" i="5"/>
  <c r="B704" i="5"/>
  <c r="C704" i="5" s="1"/>
  <c r="A704" i="5"/>
  <c r="M703" i="5"/>
  <c r="N703" i="5" s="1"/>
  <c r="L703" i="5"/>
  <c r="K703" i="5"/>
  <c r="J703" i="5"/>
  <c r="I703" i="5"/>
  <c r="H703" i="5"/>
  <c r="E703" i="5"/>
  <c r="G703" i="5" s="1"/>
  <c r="D703" i="5"/>
  <c r="B703" i="5"/>
  <c r="C703" i="5" s="1"/>
  <c r="A703" i="5"/>
  <c r="M702" i="5"/>
  <c r="N702" i="5" s="1"/>
  <c r="L702" i="5"/>
  <c r="K702" i="5"/>
  <c r="J702" i="5"/>
  <c r="I702" i="5"/>
  <c r="H702" i="5"/>
  <c r="E702" i="5"/>
  <c r="G702" i="5" s="1"/>
  <c r="D702" i="5"/>
  <c r="C702" i="5"/>
  <c r="B702" i="5"/>
  <c r="A702" i="5"/>
  <c r="M701" i="5"/>
  <c r="N701" i="5" s="1"/>
  <c r="L701" i="5"/>
  <c r="K701" i="5"/>
  <c r="J701" i="5"/>
  <c r="I701" i="5"/>
  <c r="H701" i="5"/>
  <c r="E701" i="5"/>
  <c r="G701" i="5" s="1"/>
  <c r="D701" i="5"/>
  <c r="B701" i="5"/>
  <c r="C701" i="5" s="1"/>
  <c r="A701" i="5"/>
  <c r="M700" i="5"/>
  <c r="N700" i="5" s="1"/>
  <c r="L700" i="5"/>
  <c r="K700" i="5"/>
  <c r="J700" i="5"/>
  <c r="I700" i="5"/>
  <c r="H700" i="5"/>
  <c r="E700" i="5"/>
  <c r="G700" i="5" s="1"/>
  <c r="D700" i="5"/>
  <c r="B700" i="5"/>
  <c r="C700" i="5" s="1"/>
  <c r="A700" i="5"/>
  <c r="M699" i="5"/>
  <c r="N699" i="5" s="1"/>
  <c r="L699" i="5"/>
  <c r="K699" i="5"/>
  <c r="J699" i="5"/>
  <c r="I699" i="5"/>
  <c r="H699" i="5"/>
  <c r="E699" i="5"/>
  <c r="G699" i="5" s="1"/>
  <c r="D699" i="5"/>
  <c r="B699" i="5"/>
  <c r="C699" i="5" s="1"/>
  <c r="A699" i="5"/>
  <c r="M698" i="5"/>
  <c r="N698" i="5" s="1"/>
  <c r="L698" i="5"/>
  <c r="K698" i="5"/>
  <c r="J698" i="5"/>
  <c r="I698" i="5"/>
  <c r="H698" i="5"/>
  <c r="E698" i="5"/>
  <c r="G698" i="5" s="1"/>
  <c r="D698" i="5"/>
  <c r="B698" i="5"/>
  <c r="C698" i="5" s="1"/>
  <c r="A698" i="5"/>
  <c r="M697" i="5"/>
  <c r="N697" i="5" s="1"/>
  <c r="L697" i="5"/>
  <c r="K697" i="5"/>
  <c r="J697" i="5"/>
  <c r="I697" i="5"/>
  <c r="H697" i="5"/>
  <c r="E697" i="5"/>
  <c r="G697" i="5" s="1"/>
  <c r="D697" i="5"/>
  <c r="B697" i="5"/>
  <c r="C697" i="5" s="1"/>
  <c r="A697" i="5"/>
  <c r="M696" i="5"/>
  <c r="N696" i="5" s="1"/>
  <c r="L696" i="5"/>
  <c r="K696" i="5"/>
  <c r="J696" i="5"/>
  <c r="I696" i="5"/>
  <c r="H696" i="5"/>
  <c r="E696" i="5"/>
  <c r="G696" i="5" s="1"/>
  <c r="D696" i="5"/>
  <c r="B696" i="5"/>
  <c r="C696" i="5" s="1"/>
  <c r="A696" i="5"/>
  <c r="M695" i="5"/>
  <c r="N695" i="5" s="1"/>
  <c r="L695" i="5"/>
  <c r="K695" i="5"/>
  <c r="J695" i="5"/>
  <c r="I695" i="5"/>
  <c r="H695" i="5"/>
  <c r="E695" i="5"/>
  <c r="G695" i="5" s="1"/>
  <c r="D695" i="5"/>
  <c r="B695" i="5"/>
  <c r="C695" i="5" s="1"/>
  <c r="A695" i="5"/>
  <c r="M694" i="5"/>
  <c r="N694" i="5" s="1"/>
  <c r="L694" i="5"/>
  <c r="K694" i="5"/>
  <c r="J694" i="5"/>
  <c r="I694" i="5"/>
  <c r="H694" i="5"/>
  <c r="E694" i="5"/>
  <c r="G694" i="5" s="1"/>
  <c r="D694" i="5"/>
  <c r="B694" i="5"/>
  <c r="C694" i="5" s="1"/>
  <c r="A694" i="5"/>
  <c r="M693" i="5"/>
  <c r="N693" i="5" s="1"/>
  <c r="L693" i="5"/>
  <c r="K693" i="5"/>
  <c r="J693" i="5"/>
  <c r="I693" i="5"/>
  <c r="H693" i="5"/>
  <c r="E693" i="5"/>
  <c r="G693" i="5" s="1"/>
  <c r="D693" i="5"/>
  <c r="B693" i="5"/>
  <c r="C693" i="5" s="1"/>
  <c r="A693" i="5"/>
  <c r="M692" i="5"/>
  <c r="N692" i="5" s="1"/>
  <c r="L692" i="5"/>
  <c r="K692" i="5"/>
  <c r="J692" i="5"/>
  <c r="I692" i="5"/>
  <c r="H692" i="5"/>
  <c r="E692" i="5"/>
  <c r="G692" i="5" s="1"/>
  <c r="D692" i="5"/>
  <c r="B692" i="5"/>
  <c r="C692" i="5" s="1"/>
  <c r="A692" i="5"/>
  <c r="M691" i="5"/>
  <c r="N691" i="5" s="1"/>
  <c r="L691" i="5"/>
  <c r="K691" i="5"/>
  <c r="J691" i="5"/>
  <c r="I691" i="5"/>
  <c r="H691" i="5"/>
  <c r="E691" i="5"/>
  <c r="G691" i="5" s="1"/>
  <c r="D691" i="5"/>
  <c r="C691" i="5"/>
  <c r="B691" i="5"/>
  <c r="A691" i="5"/>
  <c r="M690" i="5"/>
  <c r="N690" i="5" s="1"/>
  <c r="L690" i="5"/>
  <c r="K690" i="5"/>
  <c r="J690" i="5"/>
  <c r="I690" i="5"/>
  <c r="H690" i="5"/>
  <c r="E690" i="5"/>
  <c r="G690" i="5" s="1"/>
  <c r="D690" i="5"/>
  <c r="B690" i="5"/>
  <c r="C690" i="5" s="1"/>
  <c r="A690" i="5"/>
  <c r="M689" i="5"/>
  <c r="N689" i="5" s="1"/>
  <c r="L689" i="5"/>
  <c r="K689" i="5"/>
  <c r="J689" i="5"/>
  <c r="I689" i="5"/>
  <c r="H689" i="5"/>
  <c r="E689" i="5"/>
  <c r="G689" i="5" s="1"/>
  <c r="D689" i="5"/>
  <c r="B689" i="5"/>
  <c r="C689" i="5" s="1"/>
  <c r="A689" i="5"/>
  <c r="M688" i="5"/>
  <c r="N688" i="5" s="1"/>
  <c r="L688" i="5"/>
  <c r="K688" i="5"/>
  <c r="J688" i="5"/>
  <c r="I688" i="5"/>
  <c r="H688" i="5"/>
  <c r="E688" i="5"/>
  <c r="G688" i="5" s="1"/>
  <c r="D688" i="5"/>
  <c r="B688" i="5"/>
  <c r="C688" i="5" s="1"/>
  <c r="A688" i="5"/>
  <c r="M687" i="5"/>
  <c r="N687" i="5" s="1"/>
  <c r="L687" i="5"/>
  <c r="K687" i="5"/>
  <c r="J687" i="5"/>
  <c r="I687" i="5"/>
  <c r="H687" i="5"/>
  <c r="E687" i="5"/>
  <c r="G687" i="5" s="1"/>
  <c r="D687" i="5"/>
  <c r="B687" i="5"/>
  <c r="C687" i="5" s="1"/>
  <c r="A687" i="5"/>
  <c r="M686" i="5"/>
  <c r="N686" i="5" s="1"/>
  <c r="L686" i="5"/>
  <c r="K686" i="5"/>
  <c r="J686" i="5"/>
  <c r="I686" i="5"/>
  <c r="H686" i="5"/>
  <c r="E686" i="5"/>
  <c r="G686" i="5" s="1"/>
  <c r="D686" i="5"/>
  <c r="B686" i="5"/>
  <c r="C686" i="5" s="1"/>
  <c r="A686" i="5"/>
  <c r="M685" i="5"/>
  <c r="N685" i="5" s="1"/>
  <c r="L685" i="5"/>
  <c r="K685" i="5"/>
  <c r="J685" i="5"/>
  <c r="I685" i="5"/>
  <c r="H685" i="5"/>
  <c r="E685" i="5"/>
  <c r="G685" i="5" s="1"/>
  <c r="D685" i="5"/>
  <c r="B685" i="5"/>
  <c r="C685" i="5" s="1"/>
  <c r="A685" i="5"/>
  <c r="M684" i="5"/>
  <c r="N684" i="5" s="1"/>
  <c r="L684" i="5"/>
  <c r="K684" i="5"/>
  <c r="J684" i="5"/>
  <c r="I684" i="5"/>
  <c r="H684" i="5"/>
  <c r="E684" i="5"/>
  <c r="G684" i="5" s="1"/>
  <c r="D684" i="5"/>
  <c r="B684" i="5"/>
  <c r="C684" i="5" s="1"/>
  <c r="A684" i="5"/>
  <c r="M683" i="5"/>
  <c r="N683" i="5" s="1"/>
  <c r="L683" i="5"/>
  <c r="K683" i="5"/>
  <c r="J683" i="5"/>
  <c r="I683" i="5"/>
  <c r="H683" i="5"/>
  <c r="E683" i="5"/>
  <c r="G683" i="5" s="1"/>
  <c r="D683" i="5"/>
  <c r="B683" i="5"/>
  <c r="C683" i="5" s="1"/>
  <c r="A683" i="5"/>
  <c r="M682" i="5"/>
  <c r="N682" i="5" s="1"/>
  <c r="L682" i="5"/>
  <c r="K682" i="5"/>
  <c r="J682" i="5"/>
  <c r="I682" i="5"/>
  <c r="H682" i="5"/>
  <c r="E682" i="5"/>
  <c r="G682" i="5" s="1"/>
  <c r="D682" i="5"/>
  <c r="B682" i="5"/>
  <c r="C682" i="5" s="1"/>
  <c r="A682" i="5"/>
  <c r="M681" i="5"/>
  <c r="N681" i="5" s="1"/>
  <c r="L681" i="5"/>
  <c r="K681" i="5"/>
  <c r="J681" i="5"/>
  <c r="I681" i="5"/>
  <c r="H681" i="5"/>
  <c r="E681" i="5"/>
  <c r="G681" i="5" s="1"/>
  <c r="D681" i="5"/>
  <c r="B681" i="5"/>
  <c r="C681" i="5" s="1"/>
  <c r="A681" i="5"/>
  <c r="M680" i="5"/>
  <c r="N680" i="5" s="1"/>
  <c r="L680" i="5"/>
  <c r="K680" i="5"/>
  <c r="J680" i="5"/>
  <c r="I680" i="5"/>
  <c r="H680" i="5"/>
  <c r="E680" i="5"/>
  <c r="G680" i="5" s="1"/>
  <c r="D680" i="5"/>
  <c r="B680" i="5"/>
  <c r="C680" i="5" s="1"/>
  <c r="A680" i="5"/>
  <c r="M679" i="5"/>
  <c r="N679" i="5" s="1"/>
  <c r="L679" i="5"/>
  <c r="K679" i="5"/>
  <c r="J679" i="5"/>
  <c r="I679" i="5"/>
  <c r="H679" i="5"/>
  <c r="E679" i="5"/>
  <c r="G679" i="5" s="1"/>
  <c r="D679" i="5"/>
  <c r="B679" i="5"/>
  <c r="C679" i="5" s="1"/>
  <c r="A679" i="5"/>
  <c r="M678" i="5"/>
  <c r="N678" i="5" s="1"/>
  <c r="L678" i="5"/>
  <c r="K678" i="5"/>
  <c r="J678" i="5"/>
  <c r="I678" i="5"/>
  <c r="H678" i="5"/>
  <c r="E678" i="5"/>
  <c r="G678" i="5" s="1"/>
  <c r="D678" i="5"/>
  <c r="B678" i="5"/>
  <c r="C678" i="5" s="1"/>
  <c r="A678" i="5"/>
  <c r="M677" i="5"/>
  <c r="N677" i="5" s="1"/>
  <c r="L677" i="5"/>
  <c r="K677" i="5"/>
  <c r="J677" i="5"/>
  <c r="I677" i="5"/>
  <c r="H677" i="5"/>
  <c r="E677" i="5"/>
  <c r="G677" i="5" s="1"/>
  <c r="D677" i="5"/>
  <c r="B677" i="5"/>
  <c r="C677" i="5" s="1"/>
  <c r="A677" i="5"/>
  <c r="M676" i="5"/>
  <c r="N676" i="5" s="1"/>
  <c r="L676" i="5"/>
  <c r="K676" i="5"/>
  <c r="J676" i="5"/>
  <c r="I676" i="5"/>
  <c r="H676" i="5"/>
  <c r="E676" i="5"/>
  <c r="G676" i="5" s="1"/>
  <c r="D676" i="5"/>
  <c r="B676" i="5"/>
  <c r="C676" i="5" s="1"/>
  <c r="A676" i="5"/>
  <c r="M675" i="5"/>
  <c r="N675" i="5" s="1"/>
  <c r="L675" i="5"/>
  <c r="K675" i="5"/>
  <c r="J675" i="5"/>
  <c r="I675" i="5"/>
  <c r="H675" i="5"/>
  <c r="E675" i="5"/>
  <c r="G675" i="5" s="1"/>
  <c r="D675" i="5"/>
  <c r="C675" i="5"/>
  <c r="B675" i="5"/>
  <c r="A675" i="5"/>
  <c r="M674" i="5"/>
  <c r="N674" i="5" s="1"/>
  <c r="L674" i="5"/>
  <c r="K674" i="5"/>
  <c r="J674" i="5"/>
  <c r="I674" i="5"/>
  <c r="H674" i="5"/>
  <c r="E674" i="5"/>
  <c r="G674" i="5" s="1"/>
  <c r="D674" i="5"/>
  <c r="B674" i="5"/>
  <c r="C674" i="5" s="1"/>
  <c r="A674" i="5"/>
  <c r="M673" i="5"/>
  <c r="N673" i="5" s="1"/>
  <c r="L673" i="5"/>
  <c r="K673" i="5"/>
  <c r="J673" i="5"/>
  <c r="I673" i="5"/>
  <c r="H673" i="5"/>
  <c r="E673" i="5"/>
  <c r="G673" i="5" s="1"/>
  <c r="D673" i="5"/>
  <c r="B673" i="5"/>
  <c r="C673" i="5" s="1"/>
  <c r="A673" i="5"/>
  <c r="M672" i="5"/>
  <c r="N672" i="5" s="1"/>
  <c r="L672" i="5"/>
  <c r="K672" i="5"/>
  <c r="J672" i="5"/>
  <c r="I672" i="5"/>
  <c r="H672" i="5"/>
  <c r="E672" i="5"/>
  <c r="G672" i="5" s="1"/>
  <c r="D672" i="5"/>
  <c r="B672" i="5"/>
  <c r="C672" i="5" s="1"/>
  <c r="A672" i="5"/>
  <c r="M671" i="5"/>
  <c r="N671" i="5" s="1"/>
  <c r="L671" i="5"/>
  <c r="K671" i="5"/>
  <c r="J671" i="5"/>
  <c r="I671" i="5"/>
  <c r="H671" i="5"/>
  <c r="E671" i="5"/>
  <c r="G671" i="5" s="1"/>
  <c r="D671" i="5"/>
  <c r="B671" i="5"/>
  <c r="C671" i="5" s="1"/>
  <c r="A671" i="5"/>
  <c r="M670" i="5"/>
  <c r="N670" i="5" s="1"/>
  <c r="L670" i="5"/>
  <c r="K670" i="5"/>
  <c r="J670" i="5"/>
  <c r="I670" i="5"/>
  <c r="H670" i="5"/>
  <c r="E670" i="5"/>
  <c r="G670" i="5" s="1"/>
  <c r="D670" i="5"/>
  <c r="B670" i="5"/>
  <c r="C670" i="5" s="1"/>
  <c r="A670" i="5"/>
  <c r="M669" i="5"/>
  <c r="N669" i="5" s="1"/>
  <c r="L669" i="5"/>
  <c r="K669" i="5"/>
  <c r="J669" i="5"/>
  <c r="I669" i="5"/>
  <c r="H669" i="5"/>
  <c r="E669" i="5"/>
  <c r="G669" i="5" s="1"/>
  <c r="D669" i="5"/>
  <c r="B669" i="5"/>
  <c r="C669" i="5" s="1"/>
  <c r="A669" i="5"/>
  <c r="M668" i="5"/>
  <c r="N668" i="5" s="1"/>
  <c r="L668" i="5"/>
  <c r="K668" i="5"/>
  <c r="J668" i="5"/>
  <c r="I668" i="5"/>
  <c r="H668" i="5"/>
  <c r="E668" i="5"/>
  <c r="G668" i="5" s="1"/>
  <c r="D668" i="5"/>
  <c r="B668" i="5"/>
  <c r="C668" i="5" s="1"/>
  <c r="A668" i="5"/>
  <c r="M667" i="5"/>
  <c r="N667" i="5" s="1"/>
  <c r="L667" i="5"/>
  <c r="K667" i="5"/>
  <c r="J667" i="5"/>
  <c r="I667" i="5"/>
  <c r="H667" i="5"/>
  <c r="E667" i="5"/>
  <c r="G667" i="5" s="1"/>
  <c r="D667" i="5"/>
  <c r="B667" i="5"/>
  <c r="C667" i="5" s="1"/>
  <c r="A667" i="5"/>
  <c r="M666" i="5"/>
  <c r="N666" i="5" s="1"/>
  <c r="L666" i="5"/>
  <c r="K666" i="5"/>
  <c r="J666" i="5"/>
  <c r="I666" i="5"/>
  <c r="H666" i="5"/>
  <c r="E666" i="5"/>
  <c r="G666" i="5" s="1"/>
  <c r="D666" i="5"/>
  <c r="B666" i="5"/>
  <c r="C666" i="5" s="1"/>
  <c r="A666" i="5"/>
  <c r="M665" i="5"/>
  <c r="N665" i="5" s="1"/>
  <c r="L665" i="5"/>
  <c r="K665" i="5"/>
  <c r="J665" i="5"/>
  <c r="I665" i="5"/>
  <c r="H665" i="5"/>
  <c r="E665" i="5"/>
  <c r="G665" i="5" s="1"/>
  <c r="D665" i="5"/>
  <c r="B665" i="5"/>
  <c r="C665" i="5" s="1"/>
  <c r="A665" i="5"/>
  <c r="M664" i="5"/>
  <c r="N664" i="5" s="1"/>
  <c r="L664" i="5"/>
  <c r="K664" i="5"/>
  <c r="J664" i="5"/>
  <c r="I664" i="5"/>
  <c r="H664" i="5"/>
  <c r="E664" i="5"/>
  <c r="G664" i="5" s="1"/>
  <c r="D664" i="5"/>
  <c r="B664" i="5"/>
  <c r="C664" i="5" s="1"/>
  <c r="A664" i="5"/>
  <c r="M663" i="5"/>
  <c r="N663" i="5" s="1"/>
  <c r="L663" i="5"/>
  <c r="K663" i="5"/>
  <c r="J663" i="5"/>
  <c r="I663" i="5"/>
  <c r="H663" i="5"/>
  <c r="E663" i="5"/>
  <c r="G663" i="5" s="1"/>
  <c r="D663" i="5"/>
  <c r="B663" i="5"/>
  <c r="C663" i="5" s="1"/>
  <c r="A663" i="5"/>
  <c r="M662" i="5"/>
  <c r="N662" i="5" s="1"/>
  <c r="L662" i="5"/>
  <c r="K662" i="5"/>
  <c r="J662" i="5"/>
  <c r="I662" i="5"/>
  <c r="H662" i="5"/>
  <c r="E662" i="5"/>
  <c r="G662" i="5" s="1"/>
  <c r="D662" i="5"/>
  <c r="B662" i="5"/>
  <c r="C662" i="5" s="1"/>
  <c r="A662" i="5"/>
  <c r="M661" i="5"/>
  <c r="N661" i="5" s="1"/>
  <c r="L661" i="5"/>
  <c r="K661" i="5"/>
  <c r="J661" i="5"/>
  <c r="I661" i="5"/>
  <c r="H661" i="5"/>
  <c r="E661" i="5"/>
  <c r="G661" i="5" s="1"/>
  <c r="D661" i="5"/>
  <c r="B661" i="5"/>
  <c r="C661" i="5" s="1"/>
  <c r="A661" i="5"/>
  <c r="M660" i="5"/>
  <c r="N660" i="5" s="1"/>
  <c r="L660" i="5"/>
  <c r="K660" i="5"/>
  <c r="J660" i="5"/>
  <c r="I660" i="5"/>
  <c r="H660" i="5"/>
  <c r="E660" i="5"/>
  <c r="G660" i="5" s="1"/>
  <c r="D660" i="5"/>
  <c r="B660" i="5"/>
  <c r="C660" i="5" s="1"/>
  <c r="A660" i="5"/>
  <c r="M659" i="5"/>
  <c r="N659" i="5" s="1"/>
  <c r="L659" i="5"/>
  <c r="K659" i="5"/>
  <c r="J659" i="5"/>
  <c r="I659" i="5"/>
  <c r="H659" i="5"/>
  <c r="E659" i="5"/>
  <c r="G659" i="5" s="1"/>
  <c r="D659" i="5"/>
  <c r="C659" i="5"/>
  <c r="B659" i="5"/>
  <c r="A659" i="5"/>
  <c r="M658" i="5"/>
  <c r="N658" i="5" s="1"/>
  <c r="L658" i="5"/>
  <c r="K658" i="5"/>
  <c r="J658" i="5"/>
  <c r="I658" i="5"/>
  <c r="H658" i="5"/>
  <c r="E658" i="5"/>
  <c r="G658" i="5" s="1"/>
  <c r="D658" i="5"/>
  <c r="B658" i="5"/>
  <c r="C658" i="5" s="1"/>
  <c r="A658" i="5"/>
  <c r="M657" i="5"/>
  <c r="N657" i="5" s="1"/>
  <c r="L657" i="5"/>
  <c r="K657" i="5"/>
  <c r="J657" i="5"/>
  <c r="I657" i="5"/>
  <c r="H657" i="5"/>
  <c r="E657" i="5"/>
  <c r="G657" i="5" s="1"/>
  <c r="D657" i="5"/>
  <c r="B657" i="5"/>
  <c r="C657" i="5" s="1"/>
  <c r="A657" i="5"/>
  <c r="M656" i="5"/>
  <c r="N656" i="5" s="1"/>
  <c r="L656" i="5"/>
  <c r="K656" i="5"/>
  <c r="J656" i="5"/>
  <c r="I656" i="5"/>
  <c r="H656" i="5"/>
  <c r="E656" i="5"/>
  <c r="G656" i="5" s="1"/>
  <c r="D656" i="5"/>
  <c r="B656" i="5"/>
  <c r="C656" i="5" s="1"/>
  <c r="A656" i="5"/>
  <c r="M655" i="5"/>
  <c r="N655" i="5" s="1"/>
  <c r="L655" i="5"/>
  <c r="K655" i="5"/>
  <c r="J655" i="5"/>
  <c r="I655" i="5"/>
  <c r="H655" i="5"/>
  <c r="E655" i="5"/>
  <c r="G655" i="5" s="1"/>
  <c r="D655" i="5"/>
  <c r="B655" i="5"/>
  <c r="C655" i="5" s="1"/>
  <c r="A655" i="5"/>
  <c r="M654" i="5"/>
  <c r="N654" i="5" s="1"/>
  <c r="L654" i="5"/>
  <c r="K654" i="5"/>
  <c r="J654" i="5"/>
  <c r="I654" i="5"/>
  <c r="H654" i="5"/>
  <c r="E654" i="5"/>
  <c r="G654" i="5" s="1"/>
  <c r="D654" i="5"/>
  <c r="B654" i="5"/>
  <c r="C654" i="5" s="1"/>
  <c r="A654" i="5"/>
  <c r="M653" i="5"/>
  <c r="N653" i="5" s="1"/>
  <c r="L653" i="5"/>
  <c r="K653" i="5"/>
  <c r="J653" i="5"/>
  <c r="I653" i="5"/>
  <c r="H653" i="5"/>
  <c r="E653" i="5"/>
  <c r="G653" i="5" s="1"/>
  <c r="D653" i="5"/>
  <c r="B653" i="5"/>
  <c r="C653" i="5" s="1"/>
  <c r="A653" i="5"/>
  <c r="M652" i="5"/>
  <c r="N652" i="5" s="1"/>
  <c r="L652" i="5"/>
  <c r="K652" i="5"/>
  <c r="J652" i="5"/>
  <c r="I652" i="5"/>
  <c r="H652" i="5"/>
  <c r="E652" i="5"/>
  <c r="G652" i="5" s="1"/>
  <c r="D652" i="5"/>
  <c r="B652" i="5"/>
  <c r="C652" i="5" s="1"/>
  <c r="A652" i="5"/>
  <c r="M651" i="5"/>
  <c r="N651" i="5" s="1"/>
  <c r="L651" i="5"/>
  <c r="K651" i="5"/>
  <c r="J651" i="5"/>
  <c r="I651" i="5"/>
  <c r="H651" i="5"/>
  <c r="E651" i="5"/>
  <c r="G651" i="5" s="1"/>
  <c r="D651" i="5"/>
  <c r="B651" i="5"/>
  <c r="C651" i="5" s="1"/>
  <c r="A651" i="5"/>
  <c r="M650" i="5"/>
  <c r="N650" i="5" s="1"/>
  <c r="L650" i="5"/>
  <c r="K650" i="5"/>
  <c r="J650" i="5"/>
  <c r="I650" i="5"/>
  <c r="H650" i="5"/>
  <c r="E650" i="5"/>
  <c r="G650" i="5" s="1"/>
  <c r="D650" i="5"/>
  <c r="B650" i="5"/>
  <c r="C650" i="5" s="1"/>
  <c r="A650" i="5"/>
  <c r="M649" i="5"/>
  <c r="N649" i="5" s="1"/>
  <c r="L649" i="5"/>
  <c r="K649" i="5"/>
  <c r="J649" i="5"/>
  <c r="I649" i="5"/>
  <c r="H649" i="5"/>
  <c r="E649" i="5"/>
  <c r="G649" i="5" s="1"/>
  <c r="D649" i="5"/>
  <c r="B649" i="5"/>
  <c r="C649" i="5" s="1"/>
  <c r="A649" i="5"/>
  <c r="M648" i="5"/>
  <c r="N648" i="5" s="1"/>
  <c r="L648" i="5"/>
  <c r="K648" i="5"/>
  <c r="J648" i="5"/>
  <c r="I648" i="5"/>
  <c r="H648" i="5"/>
  <c r="E648" i="5"/>
  <c r="G648" i="5" s="1"/>
  <c r="D648" i="5"/>
  <c r="B648" i="5"/>
  <c r="C648" i="5" s="1"/>
  <c r="A648" i="5"/>
  <c r="M647" i="5"/>
  <c r="N647" i="5" s="1"/>
  <c r="L647" i="5"/>
  <c r="K647" i="5"/>
  <c r="J647" i="5"/>
  <c r="I647" i="5"/>
  <c r="H647" i="5"/>
  <c r="E647" i="5"/>
  <c r="G647" i="5" s="1"/>
  <c r="D647" i="5"/>
  <c r="B647" i="5"/>
  <c r="C647" i="5" s="1"/>
  <c r="A647" i="5"/>
  <c r="M646" i="5"/>
  <c r="N646" i="5" s="1"/>
  <c r="L646" i="5"/>
  <c r="K646" i="5"/>
  <c r="J646" i="5"/>
  <c r="I646" i="5"/>
  <c r="H646" i="5"/>
  <c r="E646" i="5"/>
  <c r="G646" i="5" s="1"/>
  <c r="D646" i="5"/>
  <c r="B646" i="5"/>
  <c r="C646" i="5" s="1"/>
  <c r="A646" i="5"/>
  <c r="M645" i="5"/>
  <c r="N645" i="5" s="1"/>
  <c r="L645" i="5"/>
  <c r="K645" i="5"/>
  <c r="J645" i="5"/>
  <c r="I645" i="5"/>
  <c r="H645" i="5"/>
  <c r="E645" i="5"/>
  <c r="G645" i="5" s="1"/>
  <c r="D645" i="5"/>
  <c r="B645" i="5"/>
  <c r="C645" i="5" s="1"/>
  <c r="A645" i="5"/>
  <c r="M644" i="5"/>
  <c r="N644" i="5" s="1"/>
  <c r="L644" i="5"/>
  <c r="K644" i="5"/>
  <c r="J644" i="5"/>
  <c r="I644" i="5"/>
  <c r="H644" i="5"/>
  <c r="E644" i="5"/>
  <c r="G644" i="5" s="1"/>
  <c r="D644" i="5"/>
  <c r="B644" i="5"/>
  <c r="C644" i="5" s="1"/>
  <c r="A644" i="5"/>
  <c r="M643" i="5"/>
  <c r="N643" i="5" s="1"/>
  <c r="L643" i="5"/>
  <c r="K643" i="5"/>
  <c r="J643" i="5"/>
  <c r="I643" i="5"/>
  <c r="H643" i="5"/>
  <c r="E643" i="5"/>
  <c r="G643" i="5" s="1"/>
  <c r="D643" i="5"/>
  <c r="C643" i="5"/>
  <c r="B643" i="5"/>
  <c r="A643" i="5"/>
  <c r="M642" i="5"/>
  <c r="N642" i="5" s="1"/>
  <c r="L642" i="5"/>
  <c r="K642" i="5"/>
  <c r="J642" i="5"/>
  <c r="I642" i="5"/>
  <c r="H642" i="5"/>
  <c r="E642" i="5"/>
  <c r="G642" i="5" s="1"/>
  <c r="D642" i="5"/>
  <c r="B642" i="5"/>
  <c r="C642" i="5" s="1"/>
  <c r="A642" i="5"/>
  <c r="M641" i="5"/>
  <c r="N641" i="5" s="1"/>
  <c r="L641" i="5"/>
  <c r="K641" i="5"/>
  <c r="J641" i="5"/>
  <c r="I641" i="5"/>
  <c r="H641" i="5"/>
  <c r="E641" i="5"/>
  <c r="G641" i="5" s="1"/>
  <c r="D641" i="5"/>
  <c r="B641" i="5"/>
  <c r="C641" i="5" s="1"/>
  <c r="A641" i="5"/>
  <c r="M640" i="5"/>
  <c r="N640" i="5" s="1"/>
  <c r="L640" i="5"/>
  <c r="K640" i="5"/>
  <c r="J640" i="5"/>
  <c r="I640" i="5"/>
  <c r="H640" i="5"/>
  <c r="E640" i="5"/>
  <c r="G640" i="5" s="1"/>
  <c r="D640" i="5"/>
  <c r="B640" i="5"/>
  <c r="C640" i="5" s="1"/>
  <c r="A640" i="5"/>
  <c r="M639" i="5"/>
  <c r="N639" i="5" s="1"/>
  <c r="L639" i="5"/>
  <c r="K639" i="5"/>
  <c r="J639" i="5"/>
  <c r="I639" i="5"/>
  <c r="H639" i="5"/>
  <c r="E639" i="5"/>
  <c r="G639" i="5" s="1"/>
  <c r="D639" i="5"/>
  <c r="B639" i="5"/>
  <c r="C639" i="5" s="1"/>
  <c r="A639" i="5"/>
  <c r="M638" i="5"/>
  <c r="N638" i="5" s="1"/>
  <c r="L638" i="5"/>
  <c r="K638" i="5"/>
  <c r="J638" i="5"/>
  <c r="I638" i="5"/>
  <c r="H638" i="5"/>
  <c r="E638" i="5"/>
  <c r="G638" i="5" s="1"/>
  <c r="D638" i="5"/>
  <c r="B638" i="5"/>
  <c r="C638" i="5" s="1"/>
  <c r="A638" i="5"/>
  <c r="M637" i="5"/>
  <c r="N637" i="5" s="1"/>
  <c r="L637" i="5"/>
  <c r="K637" i="5"/>
  <c r="J637" i="5"/>
  <c r="I637" i="5"/>
  <c r="H637" i="5"/>
  <c r="E637" i="5"/>
  <c r="G637" i="5" s="1"/>
  <c r="D637" i="5"/>
  <c r="B637" i="5"/>
  <c r="C637" i="5" s="1"/>
  <c r="A637" i="5"/>
  <c r="M636" i="5"/>
  <c r="N636" i="5" s="1"/>
  <c r="L636" i="5"/>
  <c r="K636" i="5"/>
  <c r="J636" i="5"/>
  <c r="I636" i="5"/>
  <c r="H636" i="5"/>
  <c r="E636" i="5"/>
  <c r="G636" i="5" s="1"/>
  <c r="D636" i="5"/>
  <c r="B636" i="5"/>
  <c r="C636" i="5" s="1"/>
  <c r="A636" i="5"/>
  <c r="M635" i="5"/>
  <c r="N635" i="5" s="1"/>
  <c r="L635" i="5"/>
  <c r="K635" i="5"/>
  <c r="J635" i="5"/>
  <c r="I635" i="5"/>
  <c r="H635" i="5"/>
  <c r="E635" i="5"/>
  <c r="G635" i="5" s="1"/>
  <c r="D635" i="5"/>
  <c r="B635" i="5"/>
  <c r="C635" i="5" s="1"/>
  <c r="A635" i="5"/>
  <c r="M634" i="5"/>
  <c r="N634" i="5" s="1"/>
  <c r="L634" i="5"/>
  <c r="K634" i="5"/>
  <c r="J634" i="5"/>
  <c r="I634" i="5"/>
  <c r="H634" i="5"/>
  <c r="E634" i="5"/>
  <c r="G634" i="5" s="1"/>
  <c r="D634" i="5"/>
  <c r="B634" i="5"/>
  <c r="C634" i="5" s="1"/>
  <c r="A634" i="5"/>
  <c r="M633" i="5"/>
  <c r="N633" i="5" s="1"/>
  <c r="L633" i="5"/>
  <c r="K633" i="5"/>
  <c r="J633" i="5"/>
  <c r="I633" i="5"/>
  <c r="H633" i="5"/>
  <c r="E633" i="5"/>
  <c r="G633" i="5" s="1"/>
  <c r="D633" i="5"/>
  <c r="B633" i="5"/>
  <c r="C633" i="5" s="1"/>
  <c r="A633" i="5"/>
  <c r="M632" i="5"/>
  <c r="N632" i="5" s="1"/>
  <c r="L632" i="5"/>
  <c r="K632" i="5"/>
  <c r="J632" i="5"/>
  <c r="I632" i="5"/>
  <c r="H632" i="5"/>
  <c r="E632" i="5"/>
  <c r="G632" i="5" s="1"/>
  <c r="D632" i="5"/>
  <c r="B632" i="5"/>
  <c r="C632" i="5" s="1"/>
  <c r="A632" i="5"/>
  <c r="M631" i="5"/>
  <c r="N631" i="5" s="1"/>
  <c r="L631" i="5"/>
  <c r="K631" i="5"/>
  <c r="J631" i="5"/>
  <c r="I631" i="5"/>
  <c r="H631" i="5"/>
  <c r="E631" i="5"/>
  <c r="G631" i="5" s="1"/>
  <c r="D631" i="5"/>
  <c r="B631" i="5"/>
  <c r="C631" i="5" s="1"/>
  <c r="A631" i="5"/>
  <c r="M630" i="5"/>
  <c r="N630" i="5" s="1"/>
  <c r="L630" i="5"/>
  <c r="K630" i="5"/>
  <c r="J630" i="5"/>
  <c r="I630" i="5"/>
  <c r="H630" i="5"/>
  <c r="E630" i="5"/>
  <c r="G630" i="5" s="1"/>
  <c r="D630" i="5"/>
  <c r="B630" i="5"/>
  <c r="C630" i="5" s="1"/>
  <c r="A630" i="5"/>
  <c r="M629" i="5"/>
  <c r="N629" i="5" s="1"/>
  <c r="L629" i="5"/>
  <c r="K629" i="5"/>
  <c r="J629" i="5"/>
  <c r="I629" i="5"/>
  <c r="H629" i="5"/>
  <c r="E629" i="5"/>
  <c r="G629" i="5" s="1"/>
  <c r="D629" i="5"/>
  <c r="B629" i="5"/>
  <c r="C629" i="5" s="1"/>
  <c r="A629" i="5"/>
  <c r="M628" i="5"/>
  <c r="N628" i="5" s="1"/>
  <c r="L628" i="5"/>
  <c r="K628" i="5"/>
  <c r="J628" i="5"/>
  <c r="I628" i="5"/>
  <c r="H628" i="5"/>
  <c r="E628" i="5"/>
  <c r="G628" i="5" s="1"/>
  <c r="D628" i="5"/>
  <c r="B628" i="5"/>
  <c r="C628" i="5" s="1"/>
  <c r="A628" i="5"/>
  <c r="M627" i="5"/>
  <c r="N627" i="5" s="1"/>
  <c r="L627" i="5"/>
  <c r="K627" i="5"/>
  <c r="J627" i="5"/>
  <c r="I627" i="5"/>
  <c r="H627" i="5"/>
  <c r="E627" i="5"/>
  <c r="G627" i="5" s="1"/>
  <c r="D627" i="5"/>
  <c r="C627" i="5"/>
  <c r="B627" i="5"/>
  <c r="A627" i="5"/>
  <c r="M626" i="5"/>
  <c r="N626" i="5" s="1"/>
  <c r="L626" i="5"/>
  <c r="K626" i="5"/>
  <c r="J626" i="5"/>
  <c r="I626" i="5"/>
  <c r="H626" i="5"/>
  <c r="E626" i="5"/>
  <c r="G626" i="5" s="1"/>
  <c r="D626" i="5"/>
  <c r="B626" i="5"/>
  <c r="C626" i="5" s="1"/>
  <c r="A626" i="5"/>
  <c r="M625" i="5"/>
  <c r="N625" i="5" s="1"/>
  <c r="L625" i="5"/>
  <c r="K625" i="5"/>
  <c r="J625" i="5"/>
  <c r="I625" i="5"/>
  <c r="H625" i="5"/>
  <c r="E625" i="5"/>
  <c r="G625" i="5" s="1"/>
  <c r="D625" i="5"/>
  <c r="B625" i="5"/>
  <c r="C625" i="5" s="1"/>
  <c r="A625" i="5"/>
  <c r="M624" i="5"/>
  <c r="N624" i="5" s="1"/>
  <c r="L624" i="5"/>
  <c r="K624" i="5"/>
  <c r="J624" i="5"/>
  <c r="I624" i="5"/>
  <c r="H624" i="5"/>
  <c r="E624" i="5"/>
  <c r="G624" i="5" s="1"/>
  <c r="D624" i="5"/>
  <c r="B624" i="5"/>
  <c r="C624" i="5" s="1"/>
  <c r="A624" i="5"/>
  <c r="M623" i="5"/>
  <c r="N623" i="5" s="1"/>
  <c r="L623" i="5"/>
  <c r="K623" i="5"/>
  <c r="J623" i="5"/>
  <c r="I623" i="5"/>
  <c r="H623" i="5"/>
  <c r="E623" i="5"/>
  <c r="G623" i="5" s="1"/>
  <c r="D623" i="5"/>
  <c r="B623" i="5"/>
  <c r="C623" i="5" s="1"/>
  <c r="A623" i="5"/>
  <c r="M622" i="5"/>
  <c r="N622" i="5" s="1"/>
  <c r="L622" i="5"/>
  <c r="K622" i="5"/>
  <c r="J622" i="5"/>
  <c r="I622" i="5"/>
  <c r="H622" i="5"/>
  <c r="E622" i="5"/>
  <c r="G622" i="5" s="1"/>
  <c r="D622" i="5"/>
  <c r="B622" i="5"/>
  <c r="C622" i="5" s="1"/>
  <c r="A622" i="5"/>
  <c r="M621" i="5"/>
  <c r="N621" i="5" s="1"/>
  <c r="L621" i="5"/>
  <c r="K621" i="5"/>
  <c r="J621" i="5"/>
  <c r="I621" i="5"/>
  <c r="H621" i="5"/>
  <c r="E621" i="5"/>
  <c r="G621" i="5" s="1"/>
  <c r="D621" i="5"/>
  <c r="B621" i="5"/>
  <c r="C621" i="5" s="1"/>
  <c r="A621" i="5"/>
  <c r="M620" i="5"/>
  <c r="N620" i="5" s="1"/>
  <c r="L620" i="5"/>
  <c r="K620" i="5"/>
  <c r="J620" i="5"/>
  <c r="I620" i="5"/>
  <c r="H620" i="5"/>
  <c r="E620" i="5"/>
  <c r="G620" i="5" s="1"/>
  <c r="D620" i="5"/>
  <c r="B620" i="5"/>
  <c r="C620" i="5" s="1"/>
  <c r="A620" i="5"/>
  <c r="M619" i="5"/>
  <c r="N619" i="5" s="1"/>
  <c r="L619" i="5"/>
  <c r="K619" i="5"/>
  <c r="J619" i="5"/>
  <c r="I619" i="5"/>
  <c r="H619" i="5"/>
  <c r="E619" i="5"/>
  <c r="G619" i="5" s="1"/>
  <c r="D619" i="5"/>
  <c r="B619" i="5"/>
  <c r="C619" i="5" s="1"/>
  <c r="A619" i="5"/>
  <c r="M618" i="5"/>
  <c r="N618" i="5" s="1"/>
  <c r="L618" i="5"/>
  <c r="K618" i="5"/>
  <c r="J618" i="5"/>
  <c r="I618" i="5"/>
  <c r="H618" i="5"/>
  <c r="E618" i="5"/>
  <c r="G618" i="5" s="1"/>
  <c r="D618" i="5"/>
  <c r="B618" i="5"/>
  <c r="C618" i="5" s="1"/>
  <c r="A618" i="5"/>
  <c r="M617" i="5"/>
  <c r="N617" i="5" s="1"/>
  <c r="L617" i="5"/>
  <c r="K617" i="5"/>
  <c r="J617" i="5"/>
  <c r="I617" i="5"/>
  <c r="H617" i="5"/>
  <c r="E617" i="5"/>
  <c r="G617" i="5" s="1"/>
  <c r="D617" i="5"/>
  <c r="B617" i="5"/>
  <c r="C617" i="5" s="1"/>
  <c r="A617" i="5"/>
  <c r="M616" i="5"/>
  <c r="N616" i="5" s="1"/>
  <c r="L616" i="5"/>
  <c r="K616" i="5"/>
  <c r="J616" i="5"/>
  <c r="I616" i="5"/>
  <c r="H616" i="5"/>
  <c r="E616" i="5"/>
  <c r="G616" i="5" s="1"/>
  <c r="D616" i="5"/>
  <c r="B616" i="5"/>
  <c r="C616" i="5" s="1"/>
  <c r="A616" i="5"/>
  <c r="M615" i="5"/>
  <c r="N615" i="5" s="1"/>
  <c r="L615" i="5"/>
  <c r="K615" i="5"/>
  <c r="J615" i="5"/>
  <c r="I615" i="5"/>
  <c r="H615" i="5"/>
  <c r="E615" i="5"/>
  <c r="G615" i="5" s="1"/>
  <c r="D615" i="5"/>
  <c r="B615" i="5"/>
  <c r="C615" i="5" s="1"/>
  <c r="A615" i="5"/>
  <c r="M614" i="5"/>
  <c r="N614" i="5" s="1"/>
  <c r="L614" i="5"/>
  <c r="K614" i="5"/>
  <c r="J614" i="5"/>
  <c r="I614" i="5"/>
  <c r="H614" i="5"/>
  <c r="E614" i="5"/>
  <c r="G614" i="5" s="1"/>
  <c r="D614" i="5"/>
  <c r="B614" i="5"/>
  <c r="C614" i="5" s="1"/>
  <c r="A614" i="5"/>
  <c r="M613" i="5"/>
  <c r="N613" i="5" s="1"/>
  <c r="L613" i="5"/>
  <c r="K613" i="5"/>
  <c r="J613" i="5"/>
  <c r="I613" i="5"/>
  <c r="H613" i="5"/>
  <c r="E613" i="5"/>
  <c r="G613" i="5" s="1"/>
  <c r="D613" i="5"/>
  <c r="B613" i="5"/>
  <c r="C613" i="5" s="1"/>
  <c r="A613" i="5"/>
  <c r="M612" i="5"/>
  <c r="N612" i="5" s="1"/>
  <c r="L612" i="5"/>
  <c r="K612" i="5"/>
  <c r="J612" i="5"/>
  <c r="I612" i="5"/>
  <c r="H612" i="5"/>
  <c r="E612" i="5"/>
  <c r="G612" i="5" s="1"/>
  <c r="D612" i="5"/>
  <c r="B612" i="5"/>
  <c r="C612" i="5" s="1"/>
  <c r="A612" i="5"/>
  <c r="M611" i="5"/>
  <c r="N611" i="5" s="1"/>
  <c r="L611" i="5"/>
  <c r="K611" i="5"/>
  <c r="J611" i="5"/>
  <c r="I611" i="5"/>
  <c r="H611" i="5"/>
  <c r="E611" i="5"/>
  <c r="G611" i="5" s="1"/>
  <c r="D611" i="5"/>
  <c r="B611" i="5"/>
  <c r="C611" i="5" s="1"/>
  <c r="A611" i="5"/>
  <c r="M610" i="5"/>
  <c r="N610" i="5" s="1"/>
  <c r="L610" i="5"/>
  <c r="K610" i="5"/>
  <c r="J610" i="5"/>
  <c r="I610" i="5"/>
  <c r="H610" i="5"/>
  <c r="E610" i="5"/>
  <c r="G610" i="5" s="1"/>
  <c r="D610" i="5"/>
  <c r="B610" i="5"/>
  <c r="C610" i="5" s="1"/>
  <c r="A610" i="5"/>
  <c r="M609" i="5"/>
  <c r="N609" i="5" s="1"/>
  <c r="L609" i="5"/>
  <c r="K609" i="5"/>
  <c r="J609" i="5"/>
  <c r="I609" i="5"/>
  <c r="H609" i="5"/>
  <c r="E609" i="5"/>
  <c r="G609" i="5" s="1"/>
  <c r="D609" i="5"/>
  <c r="B609" i="5"/>
  <c r="C609" i="5" s="1"/>
  <c r="A609" i="5"/>
  <c r="M608" i="5"/>
  <c r="N608" i="5" s="1"/>
  <c r="L608" i="5"/>
  <c r="K608" i="5"/>
  <c r="J608" i="5"/>
  <c r="I608" i="5"/>
  <c r="H608" i="5"/>
  <c r="E608" i="5"/>
  <c r="G608" i="5" s="1"/>
  <c r="D608" i="5"/>
  <c r="B608" i="5"/>
  <c r="C608" i="5" s="1"/>
  <c r="A608" i="5"/>
  <c r="M607" i="5"/>
  <c r="N607" i="5" s="1"/>
  <c r="L607" i="5"/>
  <c r="K607" i="5"/>
  <c r="J607" i="5"/>
  <c r="I607" i="5"/>
  <c r="H607" i="5"/>
  <c r="E607" i="5"/>
  <c r="G607" i="5" s="1"/>
  <c r="D607" i="5"/>
  <c r="B607" i="5"/>
  <c r="C607" i="5" s="1"/>
  <c r="A607" i="5"/>
  <c r="M606" i="5"/>
  <c r="N606" i="5" s="1"/>
  <c r="L606" i="5"/>
  <c r="K606" i="5"/>
  <c r="J606" i="5"/>
  <c r="I606" i="5"/>
  <c r="H606" i="5"/>
  <c r="E606" i="5"/>
  <c r="G606" i="5" s="1"/>
  <c r="D606" i="5"/>
  <c r="B606" i="5"/>
  <c r="C606" i="5" s="1"/>
  <c r="A606" i="5"/>
  <c r="M605" i="5"/>
  <c r="N605" i="5" s="1"/>
  <c r="L605" i="5"/>
  <c r="K605" i="5"/>
  <c r="J605" i="5"/>
  <c r="I605" i="5"/>
  <c r="H605" i="5"/>
  <c r="E605" i="5"/>
  <c r="G605" i="5" s="1"/>
  <c r="D605" i="5"/>
  <c r="C605" i="5"/>
  <c r="B605" i="5"/>
  <c r="A605" i="5"/>
  <c r="M604" i="5"/>
  <c r="N604" i="5" s="1"/>
  <c r="L604" i="5"/>
  <c r="K604" i="5"/>
  <c r="J604" i="5"/>
  <c r="I604" i="5"/>
  <c r="H604" i="5"/>
  <c r="E604" i="5"/>
  <c r="G604" i="5" s="1"/>
  <c r="D604" i="5"/>
  <c r="B604" i="5"/>
  <c r="C604" i="5" s="1"/>
  <c r="A604" i="5"/>
  <c r="M603" i="5"/>
  <c r="N603" i="5" s="1"/>
  <c r="L603" i="5"/>
  <c r="K603" i="5"/>
  <c r="J603" i="5"/>
  <c r="I603" i="5"/>
  <c r="H603" i="5"/>
  <c r="E603" i="5"/>
  <c r="G603" i="5" s="1"/>
  <c r="D603" i="5"/>
  <c r="B603" i="5"/>
  <c r="C603" i="5" s="1"/>
  <c r="A603" i="5"/>
  <c r="M602" i="5"/>
  <c r="N602" i="5" s="1"/>
  <c r="L602" i="5"/>
  <c r="K602" i="5"/>
  <c r="J602" i="5"/>
  <c r="I602" i="5"/>
  <c r="H602" i="5"/>
  <c r="E602" i="5"/>
  <c r="G602" i="5" s="1"/>
  <c r="D602" i="5"/>
  <c r="B602" i="5"/>
  <c r="C602" i="5" s="1"/>
  <c r="A602" i="5"/>
  <c r="M601" i="5"/>
  <c r="N601" i="5" s="1"/>
  <c r="L601" i="5"/>
  <c r="K601" i="5"/>
  <c r="J601" i="5"/>
  <c r="I601" i="5"/>
  <c r="H601" i="5"/>
  <c r="E601" i="5"/>
  <c r="G601" i="5" s="1"/>
  <c r="D601" i="5"/>
  <c r="B601" i="5"/>
  <c r="C601" i="5" s="1"/>
  <c r="A601" i="5"/>
  <c r="M600" i="5"/>
  <c r="N600" i="5" s="1"/>
  <c r="L600" i="5"/>
  <c r="K600" i="5"/>
  <c r="J600" i="5"/>
  <c r="I600" i="5"/>
  <c r="H600" i="5"/>
  <c r="E600" i="5"/>
  <c r="G600" i="5" s="1"/>
  <c r="D600" i="5"/>
  <c r="B600" i="5"/>
  <c r="C600" i="5" s="1"/>
  <c r="A600" i="5"/>
  <c r="M599" i="5"/>
  <c r="N599" i="5" s="1"/>
  <c r="L599" i="5"/>
  <c r="K599" i="5"/>
  <c r="J599" i="5"/>
  <c r="I599" i="5"/>
  <c r="H599" i="5"/>
  <c r="E599" i="5"/>
  <c r="G599" i="5" s="1"/>
  <c r="D599" i="5"/>
  <c r="B599" i="5"/>
  <c r="C599" i="5" s="1"/>
  <c r="A599" i="5"/>
  <c r="M598" i="5"/>
  <c r="N598" i="5" s="1"/>
  <c r="L598" i="5"/>
  <c r="K598" i="5"/>
  <c r="J598" i="5"/>
  <c r="I598" i="5"/>
  <c r="H598" i="5"/>
  <c r="E598" i="5"/>
  <c r="G598" i="5" s="1"/>
  <c r="D598" i="5"/>
  <c r="B598" i="5"/>
  <c r="C598" i="5" s="1"/>
  <c r="A598" i="5"/>
  <c r="M597" i="5"/>
  <c r="N597" i="5" s="1"/>
  <c r="L597" i="5"/>
  <c r="K597" i="5"/>
  <c r="J597" i="5"/>
  <c r="I597" i="5"/>
  <c r="H597" i="5"/>
  <c r="E597" i="5"/>
  <c r="G597" i="5" s="1"/>
  <c r="D597" i="5"/>
  <c r="B597" i="5"/>
  <c r="C597" i="5" s="1"/>
  <c r="A597" i="5"/>
  <c r="M596" i="5"/>
  <c r="N596" i="5" s="1"/>
  <c r="L596" i="5"/>
  <c r="K596" i="5"/>
  <c r="J596" i="5"/>
  <c r="I596" i="5"/>
  <c r="H596" i="5"/>
  <c r="E596" i="5"/>
  <c r="G596" i="5" s="1"/>
  <c r="D596" i="5"/>
  <c r="B596" i="5"/>
  <c r="C596" i="5" s="1"/>
  <c r="A596" i="5"/>
  <c r="M595" i="5"/>
  <c r="N595" i="5" s="1"/>
  <c r="L595" i="5"/>
  <c r="K595" i="5"/>
  <c r="J595" i="5"/>
  <c r="I595" i="5"/>
  <c r="H595" i="5"/>
  <c r="E595" i="5"/>
  <c r="G595" i="5" s="1"/>
  <c r="D595" i="5"/>
  <c r="B595" i="5"/>
  <c r="C595" i="5" s="1"/>
  <c r="A595" i="5"/>
  <c r="M594" i="5"/>
  <c r="N594" i="5" s="1"/>
  <c r="L594" i="5"/>
  <c r="K594" i="5"/>
  <c r="J594" i="5"/>
  <c r="I594" i="5"/>
  <c r="H594" i="5"/>
  <c r="E594" i="5"/>
  <c r="G594" i="5" s="1"/>
  <c r="D594" i="5"/>
  <c r="B594" i="5"/>
  <c r="C594" i="5" s="1"/>
  <c r="A594" i="5"/>
  <c r="M593" i="5"/>
  <c r="N593" i="5" s="1"/>
  <c r="L593" i="5"/>
  <c r="K593" i="5"/>
  <c r="J593" i="5"/>
  <c r="I593" i="5"/>
  <c r="H593" i="5"/>
  <c r="E593" i="5"/>
  <c r="G593" i="5" s="1"/>
  <c r="D593" i="5"/>
  <c r="B593" i="5"/>
  <c r="C593" i="5" s="1"/>
  <c r="A593" i="5"/>
  <c r="M592" i="5"/>
  <c r="N592" i="5" s="1"/>
  <c r="L592" i="5"/>
  <c r="K592" i="5"/>
  <c r="J592" i="5"/>
  <c r="I592" i="5"/>
  <c r="H592" i="5"/>
  <c r="E592" i="5"/>
  <c r="G592" i="5" s="1"/>
  <c r="D592" i="5"/>
  <c r="B592" i="5"/>
  <c r="C592" i="5" s="1"/>
  <c r="A592" i="5"/>
  <c r="M591" i="5"/>
  <c r="N591" i="5" s="1"/>
  <c r="L591" i="5"/>
  <c r="K591" i="5"/>
  <c r="J591" i="5"/>
  <c r="I591" i="5"/>
  <c r="H591" i="5"/>
  <c r="E591" i="5"/>
  <c r="G591" i="5" s="1"/>
  <c r="D591" i="5"/>
  <c r="B591" i="5"/>
  <c r="C591" i="5" s="1"/>
  <c r="A591" i="5"/>
  <c r="M590" i="5"/>
  <c r="N590" i="5" s="1"/>
  <c r="L590" i="5"/>
  <c r="K590" i="5"/>
  <c r="J590" i="5"/>
  <c r="I590" i="5"/>
  <c r="H590" i="5"/>
  <c r="E590" i="5"/>
  <c r="G590" i="5" s="1"/>
  <c r="D590" i="5"/>
  <c r="B590" i="5"/>
  <c r="C590" i="5" s="1"/>
  <c r="A590" i="5"/>
  <c r="M589" i="5"/>
  <c r="N589" i="5" s="1"/>
  <c r="L589" i="5"/>
  <c r="K589" i="5"/>
  <c r="J589" i="5"/>
  <c r="I589" i="5"/>
  <c r="H589" i="5"/>
  <c r="E589" i="5"/>
  <c r="G589" i="5" s="1"/>
  <c r="D589" i="5"/>
  <c r="C589" i="5"/>
  <c r="B589" i="5"/>
  <c r="A589" i="5"/>
  <c r="M588" i="5"/>
  <c r="N588" i="5" s="1"/>
  <c r="L588" i="5"/>
  <c r="K588" i="5"/>
  <c r="J588" i="5"/>
  <c r="I588" i="5"/>
  <c r="H588" i="5"/>
  <c r="E588" i="5"/>
  <c r="G588" i="5" s="1"/>
  <c r="D588" i="5"/>
  <c r="B588" i="5"/>
  <c r="C588" i="5" s="1"/>
  <c r="A588" i="5"/>
  <c r="M587" i="5"/>
  <c r="N587" i="5" s="1"/>
  <c r="L587" i="5"/>
  <c r="K587" i="5"/>
  <c r="J587" i="5"/>
  <c r="I587" i="5"/>
  <c r="H587" i="5"/>
  <c r="E587" i="5"/>
  <c r="G587" i="5" s="1"/>
  <c r="D587" i="5"/>
  <c r="B587" i="5"/>
  <c r="C587" i="5" s="1"/>
  <c r="A587" i="5"/>
  <c r="M586" i="5"/>
  <c r="N586" i="5" s="1"/>
  <c r="L586" i="5"/>
  <c r="K586" i="5"/>
  <c r="J586" i="5"/>
  <c r="I586" i="5"/>
  <c r="H586" i="5"/>
  <c r="E586" i="5"/>
  <c r="G586" i="5" s="1"/>
  <c r="D586" i="5"/>
  <c r="B586" i="5"/>
  <c r="C586" i="5" s="1"/>
  <c r="A586" i="5"/>
  <c r="M585" i="5"/>
  <c r="N585" i="5" s="1"/>
  <c r="L585" i="5"/>
  <c r="K585" i="5"/>
  <c r="J585" i="5"/>
  <c r="I585" i="5"/>
  <c r="H585" i="5"/>
  <c r="E585" i="5"/>
  <c r="G585" i="5" s="1"/>
  <c r="D585" i="5"/>
  <c r="B585" i="5"/>
  <c r="C585" i="5" s="1"/>
  <c r="A585" i="5"/>
  <c r="M584" i="5"/>
  <c r="N584" i="5" s="1"/>
  <c r="L584" i="5"/>
  <c r="K584" i="5"/>
  <c r="J584" i="5"/>
  <c r="I584" i="5"/>
  <c r="H584" i="5"/>
  <c r="E584" i="5"/>
  <c r="G584" i="5" s="1"/>
  <c r="D584" i="5"/>
  <c r="B584" i="5"/>
  <c r="C584" i="5" s="1"/>
  <c r="A584" i="5"/>
  <c r="M583" i="5"/>
  <c r="N583" i="5" s="1"/>
  <c r="L583" i="5"/>
  <c r="K583" i="5"/>
  <c r="J583" i="5"/>
  <c r="I583" i="5"/>
  <c r="H583" i="5"/>
  <c r="E583" i="5"/>
  <c r="G583" i="5" s="1"/>
  <c r="D583" i="5"/>
  <c r="B583" i="5"/>
  <c r="C583" i="5" s="1"/>
  <c r="A583" i="5"/>
  <c r="M582" i="5"/>
  <c r="N582" i="5" s="1"/>
  <c r="L582" i="5"/>
  <c r="K582" i="5"/>
  <c r="J582" i="5"/>
  <c r="I582" i="5"/>
  <c r="H582" i="5"/>
  <c r="E582" i="5"/>
  <c r="G582" i="5" s="1"/>
  <c r="D582" i="5"/>
  <c r="B582" i="5"/>
  <c r="C582" i="5" s="1"/>
  <c r="A582" i="5"/>
  <c r="M581" i="5"/>
  <c r="N581" i="5" s="1"/>
  <c r="L581" i="5"/>
  <c r="K581" i="5"/>
  <c r="J581" i="5"/>
  <c r="I581" i="5"/>
  <c r="H581" i="5"/>
  <c r="E581" i="5"/>
  <c r="G581" i="5" s="1"/>
  <c r="D581" i="5"/>
  <c r="B581" i="5"/>
  <c r="C581" i="5" s="1"/>
  <c r="A581" i="5"/>
  <c r="M580" i="5"/>
  <c r="N580" i="5" s="1"/>
  <c r="L580" i="5"/>
  <c r="K580" i="5"/>
  <c r="J580" i="5"/>
  <c r="I580" i="5"/>
  <c r="H580" i="5"/>
  <c r="E580" i="5"/>
  <c r="G580" i="5" s="1"/>
  <c r="D580" i="5"/>
  <c r="B580" i="5"/>
  <c r="C580" i="5" s="1"/>
  <c r="A580" i="5"/>
  <c r="M579" i="5"/>
  <c r="N579" i="5" s="1"/>
  <c r="L579" i="5"/>
  <c r="K579" i="5"/>
  <c r="J579" i="5"/>
  <c r="I579" i="5"/>
  <c r="H579" i="5"/>
  <c r="E579" i="5"/>
  <c r="G579" i="5" s="1"/>
  <c r="D579" i="5"/>
  <c r="B579" i="5"/>
  <c r="C579" i="5" s="1"/>
  <c r="A579" i="5"/>
  <c r="M578" i="5"/>
  <c r="N578" i="5" s="1"/>
  <c r="L578" i="5"/>
  <c r="K578" i="5"/>
  <c r="J578" i="5"/>
  <c r="I578" i="5"/>
  <c r="H578" i="5"/>
  <c r="E578" i="5"/>
  <c r="G578" i="5" s="1"/>
  <c r="D578" i="5"/>
  <c r="B578" i="5"/>
  <c r="C578" i="5" s="1"/>
  <c r="A578" i="5"/>
  <c r="M577" i="5"/>
  <c r="N577" i="5" s="1"/>
  <c r="L577" i="5"/>
  <c r="K577" i="5"/>
  <c r="J577" i="5"/>
  <c r="I577" i="5"/>
  <c r="H577" i="5"/>
  <c r="E577" i="5"/>
  <c r="G577" i="5" s="1"/>
  <c r="D577" i="5"/>
  <c r="B577" i="5"/>
  <c r="C577" i="5" s="1"/>
  <c r="A577" i="5"/>
  <c r="M576" i="5"/>
  <c r="N576" i="5" s="1"/>
  <c r="L576" i="5"/>
  <c r="K576" i="5"/>
  <c r="J576" i="5"/>
  <c r="I576" i="5"/>
  <c r="H576" i="5"/>
  <c r="E576" i="5"/>
  <c r="G576" i="5" s="1"/>
  <c r="D576" i="5"/>
  <c r="B576" i="5"/>
  <c r="C576" i="5" s="1"/>
  <c r="A576" i="5"/>
  <c r="M575" i="5"/>
  <c r="N575" i="5" s="1"/>
  <c r="L575" i="5"/>
  <c r="K575" i="5"/>
  <c r="J575" i="5"/>
  <c r="I575" i="5"/>
  <c r="H575" i="5"/>
  <c r="E575" i="5"/>
  <c r="G575" i="5" s="1"/>
  <c r="D575" i="5"/>
  <c r="B575" i="5"/>
  <c r="C575" i="5" s="1"/>
  <c r="A575" i="5"/>
  <c r="M574" i="5"/>
  <c r="N574" i="5" s="1"/>
  <c r="L574" i="5"/>
  <c r="K574" i="5"/>
  <c r="J574" i="5"/>
  <c r="I574" i="5"/>
  <c r="H574" i="5"/>
  <c r="E574" i="5"/>
  <c r="G574" i="5" s="1"/>
  <c r="D574" i="5"/>
  <c r="B574" i="5"/>
  <c r="C574" i="5" s="1"/>
  <c r="A574" i="5"/>
  <c r="M573" i="5"/>
  <c r="N573" i="5" s="1"/>
  <c r="L573" i="5"/>
  <c r="K573" i="5"/>
  <c r="J573" i="5"/>
  <c r="I573" i="5"/>
  <c r="H573" i="5"/>
  <c r="E573" i="5"/>
  <c r="G573" i="5" s="1"/>
  <c r="D573" i="5"/>
  <c r="C573" i="5"/>
  <c r="B573" i="5"/>
  <c r="A573" i="5"/>
  <c r="M572" i="5"/>
  <c r="N572" i="5" s="1"/>
  <c r="L572" i="5"/>
  <c r="K572" i="5"/>
  <c r="J572" i="5"/>
  <c r="I572" i="5"/>
  <c r="H572" i="5"/>
  <c r="E572" i="5"/>
  <c r="G572" i="5" s="1"/>
  <c r="D572" i="5"/>
  <c r="B572" i="5"/>
  <c r="C572" i="5" s="1"/>
  <c r="A572" i="5"/>
  <c r="M571" i="5"/>
  <c r="N571" i="5" s="1"/>
  <c r="L571" i="5"/>
  <c r="K571" i="5"/>
  <c r="J571" i="5"/>
  <c r="I571" i="5"/>
  <c r="H571" i="5"/>
  <c r="E571" i="5"/>
  <c r="G571" i="5" s="1"/>
  <c r="D571" i="5"/>
  <c r="B571" i="5"/>
  <c r="C571" i="5" s="1"/>
  <c r="A571" i="5"/>
  <c r="M570" i="5"/>
  <c r="N570" i="5" s="1"/>
  <c r="L570" i="5"/>
  <c r="K570" i="5"/>
  <c r="J570" i="5"/>
  <c r="I570" i="5"/>
  <c r="H570" i="5"/>
  <c r="E570" i="5"/>
  <c r="G570" i="5" s="1"/>
  <c r="D570" i="5"/>
  <c r="B570" i="5"/>
  <c r="C570" i="5" s="1"/>
  <c r="A570" i="5"/>
  <c r="M569" i="5"/>
  <c r="N569" i="5" s="1"/>
  <c r="L569" i="5"/>
  <c r="K569" i="5"/>
  <c r="J569" i="5"/>
  <c r="I569" i="5"/>
  <c r="H569" i="5"/>
  <c r="E569" i="5"/>
  <c r="G569" i="5" s="1"/>
  <c r="D569" i="5"/>
  <c r="B569" i="5"/>
  <c r="C569" i="5" s="1"/>
  <c r="A569" i="5"/>
  <c r="M568" i="5"/>
  <c r="N568" i="5" s="1"/>
  <c r="L568" i="5"/>
  <c r="K568" i="5"/>
  <c r="J568" i="5"/>
  <c r="I568" i="5"/>
  <c r="H568" i="5"/>
  <c r="E568" i="5"/>
  <c r="G568" i="5" s="1"/>
  <c r="D568" i="5"/>
  <c r="B568" i="5"/>
  <c r="C568" i="5" s="1"/>
  <c r="A568" i="5"/>
  <c r="M567" i="5"/>
  <c r="N567" i="5" s="1"/>
  <c r="L567" i="5"/>
  <c r="K567" i="5"/>
  <c r="J567" i="5"/>
  <c r="I567" i="5"/>
  <c r="H567" i="5"/>
  <c r="E567" i="5"/>
  <c r="G567" i="5" s="1"/>
  <c r="D567" i="5"/>
  <c r="B567" i="5"/>
  <c r="C567" i="5" s="1"/>
  <c r="A567" i="5"/>
  <c r="M566" i="5"/>
  <c r="N566" i="5" s="1"/>
  <c r="L566" i="5"/>
  <c r="K566" i="5"/>
  <c r="J566" i="5"/>
  <c r="I566" i="5"/>
  <c r="H566" i="5"/>
  <c r="E566" i="5"/>
  <c r="G566" i="5" s="1"/>
  <c r="D566" i="5"/>
  <c r="B566" i="5"/>
  <c r="C566" i="5" s="1"/>
  <c r="A566" i="5"/>
  <c r="M565" i="5"/>
  <c r="N565" i="5" s="1"/>
  <c r="L565" i="5"/>
  <c r="K565" i="5"/>
  <c r="J565" i="5"/>
  <c r="I565" i="5"/>
  <c r="H565" i="5"/>
  <c r="E565" i="5"/>
  <c r="G565" i="5" s="1"/>
  <c r="D565" i="5"/>
  <c r="B565" i="5"/>
  <c r="C565" i="5" s="1"/>
  <c r="A565" i="5"/>
  <c r="M564" i="5"/>
  <c r="N564" i="5" s="1"/>
  <c r="L564" i="5"/>
  <c r="K564" i="5"/>
  <c r="J564" i="5"/>
  <c r="I564" i="5"/>
  <c r="H564" i="5"/>
  <c r="E564" i="5"/>
  <c r="G564" i="5" s="1"/>
  <c r="D564" i="5"/>
  <c r="B564" i="5"/>
  <c r="C564" i="5" s="1"/>
  <c r="A564" i="5"/>
  <c r="M563" i="5"/>
  <c r="N563" i="5" s="1"/>
  <c r="L563" i="5"/>
  <c r="K563" i="5"/>
  <c r="J563" i="5"/>
  <c r="I563" i="5"/>
  <c r="H563" i="5"/>
  <c r="E563" i="5"/>
  <c r="G563" i="5" s="1"/>
  <c r="D563" i="5"/>
  <c r="B563" i="5"/>
  <c r="C563" i="5" s="1"/>
  <c r="A563" i="5"/>
  <c r="M562" i="5"/>
  <c r="N562" i="5" s="1"/>
  <c r="L562" i="5"/>
  <c r="K562" i="5"/>
  <c r="J562" i="5"/>
  <c r="I562" i="5"/>
  <c r="H562" i="5"/>
  <c r="E562" i="5"/>
  <c r="G562" i="5" s="1"/>
  <c r="D562" i="5"/>
  <c r="B562" i="5"/>
  <c r="C562" i="5" s="1"/>
  <c r="A562" i="5"/>
  <c r="M561" i="5"/>
  <c r="N561" i="5" s="1"/>
  <c r="L561" i="5"/>
  <c r="K561" i="5"/>
  <c r="J561" i="5"/>
  <c r="I561" i="5"/>
  <c r="H561" i="5"/>
  <c r="E561" i="5"/>
  <c r="G561" i="5" s="1"/>
  <c r="D561" i="5"/>
  <c r="B561" i="5"/>
  <c r="C561" i="5" s="1"/>
  <c r="A561" i="5"/>
  <c r="M560" i="5"/>
  <c r="N560" i="5" s="1"/>
  <c r="L560" i="5"/>
  <c r="K560" i="5"/>
  <c r="J560" i="5"/>
  <c r="I560" i="5"/>
  <c r="H560" i="5"/>
  <c r="E560" i="5"/>
  <c r="G560" i="5" s="1"/>
  <c r="D560" i="5"/>
  <c r="B560" i="5"/>
  <c r="C560" i="5" s="1"/>
  <c r="A560" i="5"/>
  <c r="M559" i="5"/>
  <c r="N559" i="5" s="1"/>
  <c r="L559" i="5"/>
  <c r="K559" i="5"/>
  <c r="J559" i="5"/>
  <c r="I559" i="5"/>
  <c r="H559" i="5"/>
  <c r="E559" i="5"/>
  <c r="G559" i="5" s="1"/>
  <c r="D559" i="5"/>
  <c r="B559" i="5"/>
  <c r="C559" i="5" s="1"/>
  <c r="A559" i="5"/>
  <c r="M558" i="5"/>
  <c r="N558" i="5" s="1"/>
  <c r="L558" i="5"/>
  <c r="K558" i="5"/>
  <c r="J558" i="5"/>
  <c r="I558" i="5"/>
  <c r="H558" i="5"/>
  <c r="E558" i="5"/>
  <c r="G558" i="5" s="1"/>
  <c r="D558" i="5"/>
  <c r="B558" i="5"/>
  <c r="C558" i="5" s="1"/>
  <c r="A558" i="5"/>
  <c r="N557" i="5"/>
  <c r="M557" i="5"/>
  <c r="L557" i="5"/>
  <c r="K557" i="5"/>
  <c r="J557" i="5"/>
  <c r="I557" i="5"/>
  <c r="H557" i="5"/>
  <c r="E557" i="5"/>
  <c r="G557" i="5" s="1"/>
  <c r="D557" i="5"/>
  <c r="B557" i="5"/>
  <c r="C557" i="5" s="1"/>
  <c r="A557" i="5"/>
  <c r="M556" i="5"/>
  <c r="N556" i="5" s="1"/>
  <c r="L556" i="5"/>
  <c r="K556" i="5"/>
  <c r="J556" i="5"/>
  <c r="I556" i="5"/>
  <c r="H556" i="5"/>
  <c r="E556" i="5"/>
  <c r="G556" i="5" s="1"/>
  <c r="D556" i="5"/>
  <c r="B556" i="5"/>
  <c r="C556" i="5" s="1"/>
  <c r="A556" i="5"/>
  <c r="M555" i="5"/>
  <c r="N555" i="5" s="1"/>
  <c r="L555" i="5"/>
  <c r="K555" i="5"/>
  <c r="J555" i="5"/>
  <c r="I555" i="5"/>
  <c r="H555" i="5"/>
  <c r="E555" i="5"/>
  <c r="G555" i="5" s="1"/>
  <c r="D555" i="5"/>
  <c r="B555" i="5"/>
  <c r="C555" i="5" s="1"/>
  <c r="A555" i="5"/>
  <c r="M554" i="5"/>
  <c r="N554" i="5" s="1"/>
  <c r="L554" i="5"/>
  <c r="K554" i="5"/>
  <c r="J554" i="5"/>
  <c r="I554" i="5"/>
  <c r="H554" i="5"/>
  <c r="E554" i="5"/>
  <c r="G554" i="5" s="1"/>
  <c r="D554" i="5"/>
  <c r="B554" i="5"/>
  <c r="C554" i="5" s="1"/>
  <c r="A554" i="5"/>
  <c r="M553" i="5"/>
  <c r="N553" i="5" s="1"/>
  <c r="L553" i="5"/>
  <c r="K553" i="5"/>
  <c r="J553" i="5"/>
  <c r="I553" i="5"/>
  <c r="H553" i="5"/>
  <c r="E553" i="5"/>
  <c r="G553" i="5" s="1"/>
  <c r="D553" i="5"/>
  <c r="B553" i="5"/>
  <c r="C553" i="5" s="1"/>
  <c r="A553" i="5"/>
  <c r="N552" i="5"/>
  <c r="M552" i="5"/>
  <c r="L552" i="5"/>
  <c r="K552" i="5"/>
  <c r="J552" i="5"/>
  <c r="I552" i="5"/>
  <c r="H552" i="5"/>
  <c r="E552" i="5"/>
  <c r="G552" i="5" s="1"/>
  <c r="D552" i="5"/>
  <c r="B552" i="5"/>
  <c r="C552" i="5" s="1"/>
  <c r="A552" i="5"/>
  <c r="M551" i="5"/>
  <c r="N551" i="5" s="1"/>
  <c r="L551" i="5"/>
  <c r="K551" i="5"/>
  <c r="J551" i="5"/>
  <c r="I551" i="5"/>
  <c r="H551" i="5"/>
  <c r="E551" i="5"/>
  <c r="G551" i="5" s="1"/>
  <c r="D551" i="5"/>
  <c r="B551" i="5"/>
  <c r="C551" i="5" s="1"/>
  <c r="A551" i="5"/>
  <c r="M550" i="5"/>
  <c r="N550" i="5" s="1"/>
  <c r="L550" i="5"/>
  <c r="K550" i="5"/>
  <c r="J550" i="5"/>
  <c r="I550" i="5"/>
  <c r="H550" i="5"/>
  <c r="E550" i="5"/>
  <c r="G550" i="5" s="1"/>
  <c r="D550" i="5"/>
  <c r="B550" i="5"/>
  <c r="C550" i="5" s="1"/>
  <c r="A550" i="5"/>
  <c r="M549" i="5"/>
  <c r="N549" i="5" s="1"/>
  <c r="L549" i="5"/>
  <c r="K549" i="5"/>
  <c r="J549" i="5"/>
  <c r="I549" i="5"/>
  <c r="H549" i="5"/>
  <c r="E549" i="5"/>
  <c r="G549" i="5" s="1"/>
  <c r="D549" i="5"/>
  <c r="B549" i="5"/>
  <c r="C549" i="5" s="1"/>
  <c r="A549" i="5"/>
  <c r="N548" i="5"/>
  <c r="M548" i="5"/>
  <c r="L548" i="5"/>
  <c r="K548" i="5"/>
  <c r="J548" i="5"/>
  <c r="I548" i="5"/>
  <c r="H548" i="5"/>
  <c r="E548" i="5"/>
  <c r="G548" i="5" s="1"/>
  <c r="D548" i="5"/>
  <c r="B548" i="5"/>
  <c r="C548" i="5" s="1"/>
  <c r="A548" i="5"/>
  <c r="M547" i="5"/>
  <c r="N547" i="5" s="1"/>
  <c r="L547" i="5"/>
  <c r="K547" i="5"/>
  <c r="J547" i="5"/>
  <c r="I547" i="5"/>
  <c r="H547" i="5"/>
  <c r="E547" i="5"/>
  <c r="G547" i="5" s="1"/>
  <c r="D547" i="5"/>
  <c r="B547" i="5"/>
  <c r="C547" i="5" s="1"/>
  <c r="A547" i="5"/>
  <c r="M546" i="5"/>
  <c r="N546" i="5" s="1"/>
  <c r="L546" i="5"/>
  <c r="K546" i="5"/>
  <c r="J546" i="5"/>
  <c r="I546" i="5"/>
  <c r="H546" i="5"/>
  <c r="E546" i="5"/>
  <c r="G546" i="5" s="1"/>
  <c r="D546" i="5"/>
  <c r="B546" i="5"/>
  <c r="C546" i="5" s="1"/>
  <c r="A546" i="5"/>
  <c r="M545" i="5"/>
  <c r="N545" i="5" s="1"/>
  <c r="L545" i="5"/>
  <c r="K545" i="5"/>
  <c r="J545" i="5"/>
  <c r="I545" i="5"/>
  <c r="H545" i="5"/>
  <c r="E545" i="5"/>
  <c r="G545" i="5" s="1"/>
  <c r="D545" i="5"/>
  <c r="B545" i="5"/>
  <c r="C545" i="5" s="1"/>
  <c r="A545" i="5"/>
  <c r="M544" i="5"/>
  <c r="N544" i="5" s="1"/>
  <c r="L544" i="5"/>
  <c r="K544" i="5"/>
  <c r="J544" i="5"/>
  <c r="I544" i="5"/>
  <c r="H544" i="5"/>
  <c r="E544" i="5"/>
  <c r="G544" i="5" s="1"/>
  <c r="D544" i="5"/>
  <c r="B544" i="5"/>
  <c r="C544" i="5" s="1"/>
  <c r="A544" i="5"/>
  <c r="M543" i="5"/>
  <c r="N543" i="5" s="1"/>
  <c r="L543" i="5"/>
  <c r="K543" i="5"/>
  <c r="J543" i="5"/>
  <c r="I543" i="5"/>
  <c r="H543" i="5"/>
  <c r="E543" i="5"/>
  <c r="G543" i="5" s="1"/>
  <c r="D543" i="5"/>
  <c r="B543" i="5"/>
  <c r="C543" i="5" s="1"/>
  <c r="A543" i="5"/>
  <c r="M542" i="5"/>
  <c r="N542" i="5" s="1"/>
  <c r="L542" i="5"/>
  <c r="K542" i="5"/>
  <c r="J542" i="5"/>
  <c r="I542" i="5"/>
  <c r="H542" i="5"/>
  <c r="E542" i="5"/>
  <c r="G542" i="5" s="1"/>
  <c r="D542" i="5"/>
  <c r="B542" i="5"/>
  <c r="C542" i="5" s="1"/>
  <c r="A542" i="5"/>
  <c r="M541" i="5"/>
  <c r="N541" i="5" s="1"/>
  <c r="L541" i="5"/>
  <c r="K541" i="5"/>
  <c r="J541" i="5"/>
  <c r="I541" i="5"/>
  <c r="H541" i="5"/>
  <c r="E541" i="5"/>
  <c r="G541" i="5" s="1"/>
  <c r="D541" i="5"/>
  <c r="B541" i="5"/>
  <c r="C541" i="5" s="1"/>
  <c r="A541" i="5"/>
  <c r="M540" i="5"/>
  <c r="N540" i="5" s="1"/>
  <c r="L540" i="5"/>
  <c r="K540" i="5"/>
  <c r="J540" i="5"/>
  <c r="I540" i="5"/>
  <c r="H540" i="5"/>
  <c r="E540" i="5"/>
  <c r="G540" i="5" s="1"/>
  <c r="D540" i="5"/>
  <c r="B540" i="5"/>
  <c r="C540" i="5" s="1"/>
  <c r="A540" i="5"/>
  <c r="M539" i="5"/>
  <c r="N539" i="5" s="1"/>
  <c r="L539" i="5"/>
  <c r="K539" i="5"/>
  <c r="J539" i="5"/>
  <c r="I539" i="5"/>
  <c r="H539" i="5"/>
  <c r="E539" i="5"/>
  <c r="G539" i="5" s="1"/>
  <c r="D539" i="5"/>
  <c r="B539" i="5"/>
  <c r="C539" i="5" s="1"/>
  <c r="A539" i="5"/>
  <c r="M538" i="5"/>
  <c r="N538" i="5" s="1"/>
  <c r="L538" i="5"/>
  <c r="K538" i="5"/>
  <c r="J538" i="5"/>
  <c r="I538" i="5"/>
  <c r="H538" i="5"/>
  <c r="E538" i="5"/>
  <c r="G538" i="5" s="1"/>
  <c r="D538" i="5"/>
  <c r="C538" i="5"/>
  <c r="B538" i="5"/>
  <c r="A538" i="5"/>
  <c r="M537" i="5"/>
  <c r="N537" i="5" s="1"/>
  <c r="L537" i="5"/>
  <c r="K537" i="5"/>
  <c r="J537" i="5"/>
  <c r="I537" i="5"/>
  <c r="H537" i="5"/>
  <c r="E537" i="5"/>
  <c r="G537" i="5" s="1"/>
  <c r="D537" i="5"/>
  <c r="B537" i="5"/>
  <c r="C537" i="5" s="1"/>
  <c r="A537" i="5"/>
  <c r="M536" i="5"/>
  <c r="N536" i="5" s="1"/>
  <c r="L536" i="5"/>
  <c r="K536" i="5"/>
  <c r="J536" i="5"/>
  <c r="I536" i="5"/>
  <c r="H536" i="5"/>
  <c r="E536" i="5"/>
  <c r="G536" i="5" s="1"/>
  <c r="D536" i="5"/>
  <c r="B536" i="5"/>
  <c r="C536" i="5" s="1"/>
  <c r="A536" i="5"/>
  <c r="M535" i="5"/>
  <c r="N535" i="5" s="1"/>
  <c r="L535" i="5"/>
  <c r="K535" i="5"/>
  <c r="J535" i="5"/>
  <c r="I535" i="5"/>
  <c r="H535" i="5"/>
  <c r="E535" i="5"/>
  <c r="G535" i="5" s="1"/>
  <c r="D535" i="5"/>
  <c r="B535" i="5"/>
  <c r="C535" i="5" s="1"/>
  <c r="A535" i="5"/>
  <c r="M534" i="5"/>
  <c r="N534" i="5" s="1"/>
  <c r="L534" i="5"/>
  <c r="K534" i="5"/>
  <c r="J534" i="5"/>
  <c r="I534" i="5"/>
  <c r="H534" i="5"/>
  <c r="E534" i="5"/>
  <c r="G534" i="5" s="1"/>
  <c r="D534" i="5"/>
  <c r="B534" i="5"/>
  <c r="C534" i="5" s="1"/>
  <c r="A534" i="5"/>
  <c r="M533" i="5"/>
  <c r="N533" i="5" s="1"/>
  <c r="L533" i="5"/>
  <c r="K533" i="5"/>
  <c r="J533" i="5"/>
  <c r="I533" i="5"/>
  <c r="H533" i="5"/>
  <c r="E533" i="5"/>
  <c r="G533" i="5" s="1"/>
  <c r="D533" i="5"/>
  <c r="B533" i="5"/>
  <c r="C533" i="5" s="1"/>
  <c r="A533" i="5"/>
  <c r="N532" i="5"/>
  <c r="M532" i="5"/>
  <c r="L532" i="5"/>
  <c r="K532" i="5"/>
  <c r="J532" i="5"/>
  <c r="I532" i="5"/>
  <c r="H532" i="5"/>
  <c r="E532" i="5"/>
  <c r="G532" i="5" s="1"/>
  <c r="D532" i="5"/>
  <c r="B532" i="5"/>
  <c r="C532" i="5" s="1"/>
  <c r="A532" i="5"/>
  <c r="M531" i="5"/>
  <c r="N531" i="5" s="1"/>
  <c r="L531" i="5"/>
  <c r="K531" i="5"/>
  <c r="J531" i="5"/>
  <c r="I531" i="5"/>
  <c r="H531" i="5"/>
  <c r="E531" i="5"/>
  <c r="G531" i="5" s="1"/>
  <c r="D531" i="5"/>
  <c r="B531" i="5"/>
  <c r="C531" i="5" s="1"/>
  <c r="A531" i="5"/>
  <c r="M530" i="5"/>
  <c r="N530" i="5" s="1"/>
  <c r="L530" i="5"/>
  <c r="K530" i="5"/>
  <c r="J530" i="5"/>
  <c r="I530" i="5"/>
  <c r="H530" i="5"/>
  <c r="E530" i="5"/>
  <c r="G530" i="5" s="1"/>
  <c r="D530" i="5"/>
  <c r="B530" i="5"/>
  <c r="C530" i="5" s="1"/>
  <c r="A530" i="5"/>
  <c r="M529" i="5"/>
  <c r="N529" i="5" s="1"/>
  <c r="L529" i="5"/>
  <c r="K529" i="5"/>
  <c r="J529" i="5"/>
  <c r="I529" i="5"/>
  <c r="H529" i="5"/>
  <c r="E529" i="5"/>
  <c r="G529" i="5" s="1"/>
  <c r="D529" i="5"/>
  <c r="B529" i="5"/>
  <c r="C529" i="5" s="1"/>
  <c r="A529" i="5"/>
  <c r="M528" i="5"/>
  <c r="N528" i="5" s="1"/>
  <c r="L528" i="5"/>
  <c r="K528" i="5"/>
  <c r="J528" i="5"/>
  <c r="I528" i="5"/>
  <c r="H528" i="5"/>
  <c r="E528" i="5"/>
  <c r="G528" i="5" s="1"/>
  <c r="D528" i="5"/>
  <c r="B528" i="5"/>
  <c r="C528" i="5" s="1"/>
  <c r="A528" i="5"/>
  <c r="M527" i="5"/>
  <c r="N527" i="5" s="1"/>
  <c r="L527" i="5"/>
  <c r="K527" i="5"/>
  <c r="J527" i="5"/>
  <c r="I527" i="5"/>
  <c r="H527" i="5"/>
  <c r="E527" i="5"/>
  <c r="G527" i="5" s="1"/>
  <c r="D527" i="5"/>
  <c r="B527" i="5"/>
  <c r="C527" i="5" s="1"/>
  <c r="A527" i="5"/>
  <c r="M526" i="5"/>
  <c r="N526" i="5" s="1"/>
  <c r="L526" i="5"/>
  <c r="K526" i="5"/>
  <c r="J526" i="5"/>
  <c r="I526" i="5"/>
  <c r="H526" i="5"/>
  <c r="E526" i="5"/>
  <c r="G526" i="5" s="1"/>
  <c r="D526" i="5"/>
  <c r="B526" i="5"/>
  <c r="C526" i="5" s="1"/>
  <c r="A526" i="5"/>
  <c r="N525" i="5"/>
  <c r="M525" i="5"/>
  <c r="L525" i="5"/>
  <c r="K525" i="5"/>
  <c r="J525" i="5"/>
  <c r="I525" i="5"/>
  <c r="H525" i="5"/>
  <c r="E525" i="5"/>
  <c r="G525" i="5" s="1"/>
  <c r="D525" i="5"/>
  <c r="B525" i="5"/>
  <c r="C525" i="5" s="1"/>
  <c r="A525" i="5"/>
  <c r="M524" i="5"/>
  <c r="N524" i="5" s="1"/>
  <c r="L524" i="5"/>
  <c r="K524" i="5"/>
  <c r="J524" i="5"/>
  <c r="I524" i="5"/>
  <c r="H524" i="5"/>
  <c r="E524" i="5"/>
  <c r="G524" i="5" s="1"/>
  <c r="D524" i="5"/>
  <c r="B524" i="5"/>
  <c r="C524" i="5" s="1"/>
  <c r="A524" i="5"/>
  <c r="M523" i="5"/>
  <c r="N523" i="5" s="1"/>
  <c r="L523" i="5"/>
  <c r="K523" i="5"/>
  <c r="J523" i="5"/>
  <c r="I523" i="5"/>
  <c r="H523" i="5"/>
  <c r="E523" i="5"/>
  <c r="G523" i="5" s="1"/>
  <c r="D523" i="5"/>
  <c r="B523" i="5"/>
  <c r="C523" i="5" s="1"/>
  <c r="A523" i="5"/>
  <c r="M522" i="5"/>
  <c r="N522" i="5" s="1"/>
  <c r="L522" i="5"/>
  <c r="K522" i="5"/>
  <c r="J522" i="5"/>
  <c r="I522" i="5"/>
  <c r="H522" i="5"/>
  <c r="E522" i="5"/>
  <c r="G522" i="5" s="1"/>
  <c r="D522" i="5"/>
  <c r="B522" i="5"/>
  <c r="C522" i="5" s="1"/>
  <c r="A522" i="5"/>
  <c r="M521" i="5"/>
  <c r="N521" i="5" s="1"/>
  <c r="L521" i="5"/>
  <c r="K521" i="5"/>
  <c r="J521" i="5"/>
  <c r="I521" i="5"/>
  <c r="H521" i="5"/>
  <c r="E521" i="5"/>
  <c r="G521" i="5" s="1"/>
  <c r="D521" i="5"/>
  <c r="C521" i="5"/>
  <c r="B521" i="5"/>
  <c r="A521" i="5"/>
  <c r="M520" i="5"/>
  <c r="N520" i="5" s="1"/>
  <c r="L520" i="5"/>
  <c r="K520" i="5"/>
  <c r="J520" i="5"/>
  <c r="I520" i="5"/>
  <c r="H520" i="5"/>
  <c r="E520" i="5"/>
  <c r="G520" i="5" s="1"/>
  <c r="D520" i="5"/>
  <c r="B520" i="5"/>
  <c r="C520" i="5" s="1"/>
  <c r="A520" i="5"/>
  <c r="M519" i="5"/>
  <c r="N519" i="5" s="1"/>
  <c r="L519" i="5"/>
  <c r="K519" i="5"/>
  <c r="J519" i="5"/>
  <c r="I519" i="5"/>
  <c r="H519" i="5"/>
  <c r="E519" i="5"/>
  <c r="G519" i="5" s="1"/>
  <c r="D519" i="5"/>
  <c r="B519" i="5"/>
  <c r="C519" i="5" s="1"/>
  <c r="A519" i="5"/>
  <c r="M518" i="5"/>
  <c r="N518" i="5" s="1"/>
  <c r="L518" i="5"/>
  <c r="K518" i="5"/>
  <c r="J518" i="5"/>
  <c r="I518" i="5"/>
  <c r="H518" i="5"/>
  <c r="E518" i="5"/>
  <c r="G518" i="5" s="1"/>
  <c r="D518" i="5"/>
  <c r="B518" i="5"/>
  <c r="C518" i="5" s="1"/>
  <c r="A518" i="5"/>
  <c r="N517" i="5"/>
  <c r="M517" i="5"/>
  <c r="L517" i="5"/>
  <c r="K517" i="5"/>
  <c r="J517" i="5"/>
  <c r="I517" i="5"/>
  <c r="H517" i="5"/>
  <c r="E517" i="5"/>
  <c r="G517" i="5" s="1"/>
  <c r="D517" i="5"/>
  <c r="B517" i="5"/>
  <c r="C517" i="5" s="1"/>
  <c r="A517" i="5"/>
  <c r="M516" i="5"/>
  <c r="N516" i="5" s="1"/>
  <c r="L516" i="5"/>
  <c r="K516" i="5"/>
  <c r="J516" i="5"/>
  <c r="I516" i="5"/>
  <c r="H516" i="5"/>
  <c r="E516" i="5"/>
  <c r="G516" i="5" s="1"/>
  <c r="D516" i="5"/>
  <c r="B516" i="5"/>
  <c r="C516" i="5" s="1"/>
  <c r="A516" i="5"/>
  <c r="M515" i="5"/>
  <c r="N515" i="5" s="1"/>
  <c r="L515" i="5"/>
  <c r="K515" i="5"/>
  <c r="J515" i="5"/>
  <c r="I515" i="5"/>
  <c r="H515" i="5"/>
  <c r="E515" i="5"/>
  <c r="G515" i="5" s="1"/>
  <c r="D515" i="5"/>
  <c r="B515" i="5"/>
  <c r="C515" i="5" s="1"/>
  <c r="A515" i="5"/>
  <c r="M514" i="5"/>
  <c r="N514" i="5" s="1"/>
  <c r="L514" i="5"/>
  <c r="K514" i="5"/>
  <c r="J514" i="5"/>
  <c r="I514" i="5"/>
  <c r="H514" i="5"/>
  <c r="E514" i="5"/>
  <c r="G514" i="5" s="1"/>
  <c r="D514" i="5"/>
  <c r="B514" i="5"/>
  <c r="C514" i="5" s="1"/>
  <c r="A514" i="5"/>
  <c r="M513" i="5"/>
  <c r="N513" i="5" s="1"/>
  <c r="L513" i="5"/>
  <c r="K513" i="5"/>
  <c r="J513" i="5"/>
  <c r="I513" i="5"/>
  <c r="H513" i="5"/>
  <c r="E513" i="5"/>
  <c r="G513" i="5" s="1"/>
  <c r="D513" i="5"/>
  <c r="B513" i="5"/>
  <c r="C513" i="5" s="1"/>
  <c r="A513" i="5"/>
  <c r="M512" i="5"/>
  <c r="N512" i="5" s="1"/>
  <c r="L512" i="5"/>
  <c r="K512" i="5"/>
  <c r="J512" i="5"/>
  <c r="I512" i="5"/>
  <c r="H512" i="5"/>
  <c r="E512" i="5"/>
  <c r="G512" i="5" s="1"/>
  <c r="D512" i="5"/>
  <c r="C512" i="5"/>
  <c r="B512" i="5"/>
  <c r="A512" i="5"/>
  <c r="M511" i="5"/>
  <c r="N511" i="5" s="1"/>
  <c r="L511" i="5"/>
  <c r="K511" i="5"/>
  <c r="J511" i="5"/>
  <c r="I511" i="5"/>
  <c r="H511" i="5"/>
  <c r="E511" i="5"/>
  <c r="G511" i="5" s="1"/>
  <c r="D511" i="5"/>
  <c r="B511" i="5"/>
  <c r="C511" i="5" s="1"/>
  <c r="A511" i="5"/>
  <c r="M510" i="5"/>
  <c r="N510" i="5" s="1"/>
  <c r="L510" i="5"/>
  <c r="K510" i="5"/>
  <c r="J510" i="5"/>
  <c r="I510" i="5"/>
  <c r="H510" i="5"/>
  <c r="E510" i="5"/>
  <c r="G510" i="5" s="1"/>
  <c r="D510" i="5"/>
  <c r="B510" i="5"/>
  <c r="C510" i="5" s="1"/>
  <c r="A510" i="5"/>
  <c r="M509" i="5"/>
  <c r="N509" i="5" s="1"/>
  <c r="L509" i="5"/>
  <c r="K509" i="5"/>
  <c r="J509" i="5"/>
  <c r="I509" i="5"/>
  <c r="H509" i="5"/>
  <c r="E509" i="5"/>
  <c r="G509" i="5" s="1"/>
  <c r="D509" i="5"/>
  <c r="B509" i="5"/>
  <c r="C509" i="5" s="1"/>
  <c r="A509" i="5"/>
  <c r="M508" i="5"/>
  <c r="N508" i="5" s="1"/>
  <c r="L508" i="5"/>
  <c r="K508" i="5"/>
  <c r="J508" i="5"/>
  <c r="I508" i="5"/>
  <c r="H508" i="5"/>
  <c r="E508" i="5"/>
  <c r="G508" i="5" s="1"/>
  <c r="D508" i="5"/>
  <c r="B508" i="5"/>
  <c r="C508" i="5" s="1"/>
  <c r="A508" i="5"/>
  <c r="M507" i="5"/>
  <c r="N507" i="5" s="1"/>
  <c r="L507" i="5"/>
  <c r="K507" i="5"/>
  <c r="J507" i="5"/>
  <c r="I507" i="5"/>
  <c r="H507" i="5"/>
  <c r="E507" i="5"/>
  <c r="G507" i="5" s="1"/>
  <c r="D507" i="5"/>
  <c r="B507" i="5"/>
  <c r="C507" i="5" s="1"/>
  <c r="A507" i="5"/>
  <c r="M506" i="5"/>
  <c r="N506" i="5" s="1"/>
  <c r="L506" i="5"/>
  <c r="K506" i="5"/>
  <c r="J506" i="5"/>
  <c r="I506" i="5"/>
  <c r="H506" i="5"/>
  <c r="E506" i="5"/>
  <c r="G506" i="5" s="1"/>
  <c r="D506" i="5"/>
  <c r="B506" i="5"/>
  <c r="C506" i="5" s="1"/>
  <c r="A506" i="5"/>
  <c r="M505" i="5"/>
  <c r="N505" i="5" s="1"/>
  <c r="L505" i="5"/>
  <c r="K505" i="5"/>
  <c r="J505" i="5"/>
  <c r="I505" i="5"/>
  <c r="H505" i="5"/>
  <c r="E505" i="5"/>
  <c r="G505" i="5" s="1"/>
  <c r="D505" i="5"/>
  <c r="B505" i="5"/>
  <c r="C505" i="5" s="1"/>
  <c r="A505" i="5"/>
  <c r="M504" i="5"/>
  <c r="N504" i="5" s="1"/>
  <c r="L504" i="5"/>
  <c r="K504" i="5"/>
  <c r="J504" i="5"/>
  <c r="I504" i="5"/>
  <c r="H504" i="5"/>
  <c r="E504" i="5"/>
  <c r="G504" i="5" s="1"/>
  <c r="D504" i="5"/>
  <c r="B504" i="5"/>
  <c r="C504" i="5" s="1"/>
  <c r="A504" i="5"/>
  <c r="M503" i="5"/>
  <c r="N503" i="5" s="1"/>
  <c r="L503" i="5"/>
  <c r="K503" i="5"/>
  <c r="J503" i="5"/>
  <c r="I503" i="5"/>
  <c r="H503" i="5"/>
  <c r="E503" i="5"/>
  <c r="G503" i="5" s="1"/>
  <c r="D503" i="5"/>
  <c r="B503" i="5"/>
  <c r="C503" i="5" s="1"/>
  <c r="A503" i="5"/>
  <c r="M502" i="5"/>
  <c r="N502" i="5" s="1"/>
  <c r="L502" i="5"/>
  <c r="K502" i="5"/>
  <c r="J502" i="5"/>
  <c r="I502" i="5"/>
  <c r="H502" i="5"/>
  <c r="E502" i="5"/>
  <c r="G502" i="5" s="1"/>
  <c r="D502" i="5"/>
  <c r="B502" i="5"/>
  <c r="C502" i="5" s="1"/>
  <c r="A502" i="5"/>
  <c r="N501" i="5"/>
  <c r="M501" i="5"/>
  <c r="L501" i="5"/>
  <c r="K501" i="5"/>
  <c r="J501" i="5"/>
  <c r="I501" i="5"/>
  <c r="H501" i="5"/>
  <c r="E501" i="5"/>
  <c r="G501" i="5" s="1"/>
  <c r="D501" i="5"/>
  <c r="B501" i="5"/>
  <c r="C501" i="5" s="1"/>
  <c r="A501" i="5"/>
  <c r="M500" i="5"/>
  <c r="N500" i="5" s="1"/>
  <c r="L500" i="5"/>
  <c r="K500" i="5"/>
  <c r="J500" i="5"/>
  <c r="I500" i="5"/>
  <c r="H500" i="5"/>
  <c r="E500" i="5"/>
  <c r="G500" i="5" s="1"/>
  <c r="D500" i="5"/>
  <c r="B500" i="5"/>
  <c r="C500" i="5" s="1"/>
  <c r="A500" i="5"/>
  <c r="M499" i="5"/>
  <c r="N499" i="5" s="1"/>
  <c r="L499" i="5"/>
  <c r="K499" i="5"/>
  <c r="J499" i="5"/>
  <c r="I499" i="5"/>
  <c r="H499" i="5"/>
  <c r="E499" i="5"/>
  <c r="G499" i="5" s="1"/>
  <c r="D499" i="5"/>
  <c r="B499" i="5"/>
  <c r="C499" i="5" s="1"/>
  <c r="A499" i="5"/>
  <c r="M498" i="5"/>
  <c r="N498" i="5" s="1"/>
  <c r="L498" i="5"/>
  <c r="K498" i="5"/>
  <c r="J498" i="5"/>
  <c r="I498" i="5"/>
  <c r="H498" i="5"/>
  <c r="E498" i="5"/>
  <c r="G498" i="5" s="1"/>
  <c r="D498" i="5"/>
  <c r="B498" i="5"/>
  <c r="C498" i="5" s="1"/>
  <c r="A498" i="5"/>
  <c r="M497" i="5"/>
  <c r="N497" i="5" s="1"/>
  <c r="L497" i="5"/>
  <c r="K497" i="5"/>
  <c r="J497" i="5"/>
  <c r="I497" i="5"/>
  <c r="H497" i="5"/>
  <c r="E497" i="5"/>
  <c r="G497" i="5" s="1"/>
  <c r="D497" i="5"/>
  <c r="C497" i="5"/>
  <c r="B497" i="5"/>
  <c r="A497" i="5"/>
  <c r="M496" i="5"/>
  <c r="N496" i="5" s="1"/>
  <c r="L496" i="5"/>
  <c r="K496" i="5"/>
  <c r="J496" i="5"/>
  <c r="I496" i="5"/>
  <c r="H496" i="5"/>
  <c r="E496" i="5"/>
  <c r="G496" i="5" s="1"/>
  <c r="D496" i="5"/>
  <c r="B496" i="5"/>
  <c r="C496" i="5" s="1"/>
  <c r="A496" i="5"/>
  <c r="M495" i="5"/>
  <c r="N495" i="5" s="1"/>
  <c r="L495" i="5"/>
  <c r="K495" i="5"/>
  <c r="J495" i="5"/>
  <c r="I495" i="5"/>
  <c r="H495" i="5"/>
  <c r="E495" i="5"/>
  <c r="G495" i="5" s="1"/>
  <c r="D495" i="5"/>
  <c r="B495" i="5"/>
  <c r="C495" i="5" s="1"/>
  <c r="A495" i="5"/>
  <c r="M494" i="5"/>
  <c r="N494" i="5" s="1"/>
  <c r="L494" i="5"/>
  <c r="K494" i="5"/>
  <c r="J494" i="5"/>
  <c r="I494" i="5"/>
  <c r="H494" i="5"/>
  <c r="E494" i="5"/>
  <c r="G494" i="5" s="1"/>
  <c r="D494" i="5"/>
  <c r="B494" i="5"/>
  <c r="C494" i="5" s="1"/>
  <c r="A494" i="5"/>
  <c r="M493" i="5"/>
  <c r="N493" i="5" s="1"/>
  <c r="L493" i="5"/>
  <c r="K493" i="5"/>
  <c r="J493" i="5"/>
  <c r="I493" i="5"/>
  <c r="H493" i="5"/>
  <c r="E493" i="5"/>
  <c r="G493" i="5" s="1"/>
  <c r="D493" i="5"/>
  <c r="B493" i="5"/>
  <c r="C493" i="5" s="1"/>
  <c r="A493" i="5"/>
  <c r="M492" i="5"/>
  <c r="N492" i="5" s="1"/>
  <c r="L492" i="5"/>
  <c r="K492" i="5"/>
  <c r="J492" i="5"/>
  <c r="I492" i="5"/>
  <c r="H492" i="5"/>
  <c r="E492" i="5"/>
  <c r="G492" i="5" s="1"/>
  <c r="D492" i="5"/>
  <c r="B492" i="5"/>
  <c r="C492" i="5" s="1"/>
  <c r="A492" i="5"/>
  <c r="M491" i="5"/>
  <c r="N491" i="5" s="1"/>
  <c r="L491" i="5"/>
  <c r="K491" i="5"/>
  <c r="J491" i="5"/>
  <c r="I491" i="5"/>
  <c r="H491" i="5"/>
  <c r="E491" i="5"/>
  <c r="G491" i="5" s="1"/>
  <c r="D491" i="5"/>
  <c r="B491" i="5"/>
  <c r="C491" i="5" s="1"/>
  <c r="A491" i="5"/>
  <c r="M490" i="5"/>
  <c r="N490" i="5" s="1"/>
  <c r="L490" i="5"/>
  <c r="K490" i="5"/>
  <c r="J490" i="5"/>
  <c r="I490" i="5"/>
  <c r="H490" i="5"/>
  <c r="E490" i="5"/>
  <c r="G490" i="5" s="1"/>
  <c r="D490" i="5"/>
  <c r="B490" i="5"/>
  <c r="C490" i="5" s="1"/>
  <c r="A490" i="5"/>
  <c r="M489" i="5"/>
  <c r="N489" i="5" s="1"/>
  <c r="L489" i="5"/>
  <c r="K489" i="5"/>
  <c r="J489" i="5"/>
  <c r="I489" i="5"/>
  <c r="H489" i="5"/>
  <c r="E489" i="5"/>
  <c r="G489" i="5" s="1"/>
  <c r="D489" i="5"/>
  <c r="B489" i="5"/>
  <c r="C489" i="5" s="1"/>
  <c r="A489" i="5"/>
  <c r="M488" i="5"/>
  <c r="N488" i="5" s="1"/>
  <c r="L488" i="5"/>
  <c r="K488" i="5"/>
  <c r="J488" i="5"/>
  <c r="I488" i="5"/>
  <c r="H488" i="5"/>
  <c r="E488" i="5"/>
  <c r="G488" i="5" s="1"/>
  <c r="D488" i="5"/>
  <c r="B488" i="5"/>
  <c r="C488" i="5" s="1"/>
  <c r="A488" i="5"/>
  <c r="M487" i="5"/>
  <c r="N487" i="5" s="1"/>
  <c r="L487" i="5"/>
  <c r="K487" i="5"/>
  <c r="J487" i="5"/>
  <c r="I487" i="5"/>
  <c r="H487" i="5"/>
  <c r="E487" i="5"/>
  <c r="G487" i="5" s="1"/>
  <c r="D487" i="5"/>
  <c r="B487" i="5"/>
  <c r="C487" i="5" s="1"/>
  <c r="A487" i="5"/>
  <c r="M486" i="5"/>
  <c r="N486" i="5" s="1"/>
  <c r="L486" i="5"/>
  <c r="K486" i="5"/>
  <c r="J486" i="5"/>
  <c r="I486" i="5"/>
  <c r="H486" i="5"/>
  <c r="E486" i="5"/>
  <c r="G486" i="5" s="1"/>
  <c r="D486" i="5"/>
  <c r="B486" i="5"/>
  <c r="C486" i="5" s="1"/>
  <c r="A486" i="5"/>
  <c r="M485" i="5"/>
  <c r="N485" i="5" s="1"/>
  <c r="L485" i="5"/>
  <c r="K485" i="5"/>
  <c r="J485" i="5"/>
  <c r="I485" i="5"/>
  <c r="H485" i="5"/>
  <c r="E485" i="5"/>
  <c r="G485" i="5" s="1"/>
  <c r="D485" i="5"/>
  <c r="B485" i="5"/>
  <c r="C485" i="5" s="1"/>
  <c r="A485" i="5"/>
  <c r="M484" i="5"/>
  <c r="N484" i="5" s="1"/>
  <c r="L484" i="5"/>
  <c r="K484" i="5"/>
  <c r="J484" i="5"/>
  <c r="I484" i="5"/>
  <c r="H484" i="5"/>
  <c r="E484" i="5"/>
  <c r="G484" i="5" s="1"/>
  <c r="D484" i="5"/>
  <c r="C484" i="5"/>
  <c r="B484" i="5"/>
  <c r="A484" i="5"/>
  <c r="M483" i="5"/>
  <c r="N483" i="5" s="1"/>
  <c r="L483" i="5"/>
  <c r="K483" i="5"/>
  <c r="J483" i="5"/>
  <c r="I483" i="5"/>
  <c r="H483" i="5"/>
  <c r="E483" i="5"/>
  <c r="G483" i="5" s="1"/>
  <c r="D483" i="5"/>
  <c r="B483" i="5"/>
  <c r="C483" i="5" s="1"/>
  <c r="A483" i="5"/>
  <c r="M482" i="5"/>
  <c r="N482" i="5" s="1"/>
  <c r="L482" i="5"/>
  <c r="K482" i="5"/>
  <c r="J482" i="5"/>
  <c r="I482" i="5"/>
  <c r="H482" i="5"/>
  <c r="E482" i="5"/>
  <c r="G482" i="5" s="1"/>
  <c r="D482" i="5"/>
  <c r="B482" i="5"/>
  <c r="C482" i="5" s="1"/>
  <c r="A482" i="5"/>
  <c r="M481" i="5"/>
  <c r="N481" i="5" s="1"/>
  <c r="L481" i="5"/>
  <c r="K481" i="5"/>
  <c r="J481" i="5"/>
  <c r="I481" i="5"/>
  <c r="H481" i="5"/>
  <c r="E481" i="5"/>
  <c r="G481" i="5" s="1"/>
  <c r="D481" i="5"/>
  <c r="B481" i="5"/>
  <c r="C481" i="5" s="1"/>
  <c r="A481" i="5"/>
  <c r="M480" i="5"/>
  <c r="N480" i="5" s="1"/>
  <c r="L480" i="5"/>
  <c r="K480" i="5"/>
  <c r="J480" i="5"/>
  <c r="I480" i="5"/>
  <c r="H480" i="5"/>
  <c r="E480" i="5"/>
  <c r="G480" i="5" s="1"/>
  <c r="D480" i="5"/>
  <c r="B480" i="5"/>
  <c r="C480" i="5" s="1"/>
  <c r="A480" i="5"/>
  <c r="M479" i="5"/>
  <c r="N479" i="5" s="1"/>
  <c r="L479" i="5"/>
  <c r="K479" i="5"/>
  <c r="J479" i="5"/>
  <c r="I479" i="5"/>
  <c r="H479" i="5"/>
  <c r="E479" i="5"/>
  <c r="G479" i="5" s="1"/>
  <c r="D479" i="5"/>
  <c r="B479" i="5"/>
  <c r="C479" i="5" s="1"/>
  <c r="A479" i="5"/>
  <c r="M478" i="5"/>
  <c r="N478" i="5" s="1"/>
  <c r="L478" i="5"/>
  <c r="K478" i="5"/>
  <c r="J478" i="5"/>
  <c r="I478" i="5"/>
  <c r="H478" i="5"/>
  <c r="E478" i="5"/>
  <c r="G478" i="5" s="1"/>
  <c r="D478" i="5"/>
  <c r="B478" i="5"/>
  <c r="C478" i="5" s="1"/>
  <c r="A478" i="5"/>
  <c r="M477" i="5"/>
  <c r="N477" i="5" s="1"/>
  <c r="L477" i="5"/>
  <c r="K477" i="5"/>
  <c r="J477" i="5"/>
  <c r="I477" i="5"/>
  <c r="H477" i="5"/>
  <c r="E477" i="5"/>
  <c r="G477" i="5" s="1"/>
  <c r="D477" i="5"/>
  <c r="B477" i="5"/>
  <c r="C477" i="5" s="1"/>
  <c r="A477" i="5"/>
  <c r="M476" i="5"/>
  <c r="N476" i="5" s="1"/>
  <c r="L476" i="5"/>
  <c r="K476" i="5"/>
  <c r="J476" i="5"/>
  <c r="I476" i="5"/>
  <c r="H476" i="5"/>
  <c r="E476" i="5"/>
  <c r="G476" i="5" s="1"/>
  <c r="D476" i="5"/>
  <c r="B476" i="5"/>
  <c r="C476" i="5" s="1"/>
  <c r="A476" i="5"/>
  <c r="M475" i="5"/>
  <c r="N475" i="5" s="1"/>
  <c r="L475" i="5"/>
  <c r="K475" i="5"/>
  <c r="J475" i="5"/>
  <c r="I475" i="5"/>
  <c r="H475" i="5"/>
  <c r="E475" i="5"/>
  <c r="G475" i="5" s="1"/>
  <c r="D475" i="5"/>
  <c r="B475" i="5"/>
  <c r="C475" i="5" s="1"/>
  <c r="A475" i="5"/>
  <c r="M474" i="5"/>
  <c r="N474" i="5" s="1"/>
  <c r="L474" i="5"/>
  <c r="K474" i="5"/>
  <c r="J474" i="5"/>
  <c r="I474" i="5"/>
  <c r="H474" i="5"/>
  <c r="E474" i="5"/>
  <c r="G474" i="5" s="1"/>
  <c r="D474" i="5"/>
  <c r="B474" i="5"/>
  <c r="C474" i="5" s="1"/>
  <c r="A474" i="5"/>
  <c r="M473" i="5"/>
  <c r="N473" i="5" s="1"/>
  <c r="L473" i="5"/>
  <c r="K473" i="5"/>
  <c r="J473" i="5"/>
  <c r="I473" i="5"/>
  <c r="H473" i="5"/>
  <c r="E473" i="5"/>
  <c r="G473" i="5" s="1"/>
  <c r="D473" i="5"/>
  <c r="B473" i="5"/>
  <c r="C473" i="5" s="1"/>
  <c r="A473" i="5"/>
  <c r="M472" i="5"/>
  <c r="N472" i="5" s="1"/>
  <c r="L472" i="5"/>
  <c r="K472" i="5"/>
  <c r="J472" i="5"/>
  <c r="I472" i="5"/>
  <c r="H472" i="5"/>
  <c r="E472" i="5"/>
  <c r="G472" i="5" s="1"/>
  <c r="D472" i="5"/>
  <c r="B472" i="5"/>
  <c r="C472" i="5" s="1"/>
  <c r="A472" i="5"/>
  <c r="M471" i="5"/>
  <c r="N471" i="5" s="1"/>
  <c r="L471" i="5"/>
  <c r="K471" i="5"/>
  <c r="J471" i="5"/>
  <c r="I471" i="5"/>
  <c r="H471" i="5"/>
  <c r="E471" i="5"/>
  <c r="G471" i="5" s="1"/>
  <c r="D471" i="5"/>
  <c r="C471" i="5"/>
  <c r="B471" i="5"/>
  <c r="A471" i="5"/>
  <c r="M470" i="5"/>
  <c r="N470" i="5" s="1"/>
  <c r="L470" i="5"/>
  <c r="K470" i="5"/>
  <c r="J470" i="5"/>
  <c r="I470" i="5"/>
  <c r="H470" i="5"/>
  <c r="E470" i="5"/>
  <c r="G470" i="5" s="1"/>
  <c r="D470" i="5"/>
  <c r="B470" i="5"/>
  <c r="C470" i="5" s="1"/>
  <c r="A470" i="5"/>
  <c r="M469" i="5"/>
  <c r="N469" i="5" s="1"/>
  <c r="L469" i="5"/>
  <c r="K469" i="5"/>
  <c r="J469" i="5"/>
  <c r="I469" i="5"/>
  <c r="H469" i="5"/>
  <c r="E469" i="5"/>
  <c r="G469" i="5" s="1"/>
  <c r="D469" i="5"/>
  <c r="B469" i="5"/>
  <c r="C469" i="5" s="1"/>
  <c r="A469" i="5"/>
  <c r="M468" i="5"/>
  <c r="N468" i="5" s="1"/>
  <c r="L468" i="5"/>
  <c r="K468" i="5"/>
  <c r="J468" i="5"/>
  <c r="I468" i="5"/>
  <c r="H468" i="5"/>
  <c r="E468" i="5"/>
  <c r="G468" i="5" s="1"/>
  <c r="D468" i="5"/>
  <c r="B468" i="5"/>
  <c r="C468" i="5" s="1"/>
  <c r="A468" i="5"/>
  <c r="M467" i="5"/>
  <c r="N467" i="5" s="1"/>
  <c r="L467" i="5"/>
  <c r="K467" i="5"/>
  <c r="J467" i="5"/>
  <c r="I467" i="5"/>
  <c r="H467" i="5"/>
  <c r="E467" i="5"/>
  <c r="G467" i="5" s="1"/>
  <c r="D467" i="5"/>
  <c r="B467" i="5"/>
  <c r="C467" i="5" s="1"/>
  <c r="A467" i="5"/>
  <c r="M466" i="5"/>
  <c r="N466" i="5" s="1"/>
  <c r="L466" i="5"/>
  <c r="K466" i="5"/>
  <c r="J466" i="5"/>
  <c r="I466" i="5"/>
  <c r="H466" i="5"/>
  <c r="E466" i="5"/>
  <c r="G466" i="5" s="1"/>
  <c r="D466" i="5"/>
  <c r="C466" i="5"/>
  <c r="B466" i="5"/>
  <c r="A466" i="5"/>
  <c r="M465" i="5"/>
  <c r="N465" i="5" s="1"/>
  <c r="L465" i="5"/>
  <c r="K465" i="5"/>
  <c r="J465" i="5"/>
  <c r="I465" i="5"/>
  <c r="H465" i="5"/>
  <c r="E465" i="5"/>
  <c r="G465" i="5" s="1"/>
  <c r="D465" i="5"/>
  <c r="B465" i="5"/>
  <c r="C465" i="5" s="1"/>
  <c r="A465" i="5"/>
  <c r="M464" i="5"/>
  <c r="N464" i="5" s="1"/>
  <c r="L464" i="5"/>
  <c r="K464" i="5"/>
  <c r="J464" i="5"/>
  <c r="I464" i="5"/>
  <c r="H464" i="5"/>
  <c r="E464" i="5"/>
  <c r="G464" i="5" s="1"/>
  <c r="D464" i="5"/>
  <c r="B464" i="5"/>
  <c r="C464" i="5" s="1"/>
  <c r="A464" i="5"/>
  <c r="M463" i="5"/>
  <c r="N463" i="5" s="1"/>
  <c r="L463" i="5"/>
  <c r="K463" i="5"/>
  <c r="J463" i="5"/>
  <c r="I463" i="5"/>
  <c r="H463" i="5"/>
  <c r="E463" i="5"/>
  <c r="G463" i="5" s="1"/>
  <c r="D463" i="5"/>
  <c r="B463" i="5"/>
  <c r="C463" i="5" s="1"/>
  <c r="A463" i="5"/>
  <c r="M462" i="5"/>
  <c r="N462" i="5" s="1"/>
  <c r="L462" i="5"/>
  <c r="K462" i="5"/>
  <c r="J462" i="5"/>
  <c r="I462" i="5"/>
  <c r="H462" i="5"/>
  <c r="E462" i="5"/>
  <c r="G462" i="5" s="1"/>
  <c r="D462" i="5"/>
  <c r="B462" i="5"/>
  <c r="C462" i="5" s="1"/>
  <c r="A462" i="5"/>
  <c r="M461" i="5"/>
  <c r="N461" i="5" s="1"/>
  <c r="L461" i="5"/>
  <c r="K461" i="5"/>
  <c r="J461" i="5"/>
  <c r="I461" i="5"/>
  <c r="H461" i="5"/>
  <c r="E461" i="5"/>
  <c r="G461" i="5" s="1"/>
  <c r="D461" i="5"/>
  <c r="B461" i="5"/>
  <c r="C461" i="5" s="1"/>
  <c r="A461" i="5"/>
  <c r="M460" i="5"/>
  <c r="N460" i="5" s="1"/>
  <c r="L460" i="5"/>
  <c r="K460" i="5"/>
  <c r="J460" i="5"/>
  <c r="I460" i="5"/>
  <c r="H460" i="5"/>
  <c r="E460" i="5"/>
  <c r="G460" i="5" s="1"/>
  <c r="D460" i="5"/>
  <c r="B460" i="5"/>
  <c r="C460" i="5" s="1"/>
  <c r="A460" i="5"/>
  <c r="M459" i="5"/>
  <c r="N459" i="5" s="1"/>
  <c r="L459" i="5"/>
  <c r="K459" i="5"/>
  <c r="J459" i="5"/>
  <c r="I459" i="5"/>
  <c r="H459" i="5"/>
  <c r="E459" i="5"/>
  <c r="G459" i="5" s="1"/>
  <c r="D459" i="5"/>
  <c r="B459" i="5"/>
  <c r="C459" i="5" s="1"/>
  <c r="A459" i="5"/>
  <c r="M458" i="5"/>
  <c r="N458" i="5" s="1"/>
  <c r="L458" i="5"/>
  <c r="K458" i="5"/>
  <c r="J458" i="5"/>
  <c r="I458" i="5"/>
  <c r="H458" i="5"/>
  <c r="E458" i="5"/>
  <c r="G458" i="5" s="1"/>
  <c r="D458" i="5"/>
  <c r="B458" i="5"/>
  <c r="C458" i="5" s="1"/>
  <c r="A458" i="5"/>
  <c r="M457" i="5"/>
  <c r="N457" i="5" s="1"/>
  <c r="L457" i="5"/>
  <c r="K457" i="5"/>
  <c r="J457" i="5"/>
  <c r="I457" i="5"/>
  <c r="H457" i="5"/>
  <c r="E457" i="5"/>
  <c r="G457" i="5" s="1"/>
  <c r="D457" i="5"/>
  <c r="B457" i="5"/>
  <c r="C457" i="5" s="1"/>
  <c r="A457" i="5"/>
  <c r="M456" i="5"/>
  <c r="N456" i="5" s="1"/>
  <c r="L456" i="5"/>
  <c r="K456" i="5"/>
  <c r="J456" i="5"/>
  <c r="I456" i="5"/>
  <c r="H456" i="5"/>
  <c r="E456" i="5"/>
  <c r="G456" i="5" s="1"/>
  <c r="D456" i="5"/>
  <c r="B456" i="5"/>
  <c r="C456" i="5" s="1"/>
  <c r="A456" i="5"/>
  <c r="M455" i="5"/>
  <c r="N455" i="5" s="1"/>
  <c r="L455" i="5"/>
  <c r="K455" i="5"/>
  <c r="J455" i="5"/>
  <c r="I455" i="5"/>
  <c r="H455" i="5"/>
  <c r="E455" i="5"/>
  <c r="G455" i="5" s="1"/>
  <c r="D455" i="5"/>
  <c r="B455" i="5"/>
  <c r="C455" i="5" s="1"/>
  <c r="A455" i="5"/>
  <c r="M454" i="5"/>
  <c r="N454" i="5" s="1"/>
  <c r="L454" i="5"/>
  <c r="K454" i="5"/>
  <c r="J454" i="5"/>
  <c r="I454" i="5"/>
  <c r="H454" i="5"/>
  <c r="E454" i="5"/>
  <c r="G454" i="5" s="1"/>
  <c r="D454" i="5"/>
  <c r="B454" i="5"/>
  <c r="C454" i="5" s="1"/>
  <c r="A454" i="5"/>
  <c r="M453" i="5"/>
  <c r="N453" i="5" s="1"/>
  <c r="L453" i="5"/>
  <c r="K453" i="5"/>
  <c r="J453" i="5"/>
  <c r="I453" i="5"/>
  <c r="H453" i="5"/>
  <c r="E453" i="5"/>
  <c r="G453" i="5" s="1"/>
  <c r="D453" i="5"/>
  <c r="B453" i="5"/>
  <c r="C453" i="5" s="1"/>
  <c r="A453" i="5"/>
  <c r="M452" i="5"/>
  <c r="N452" i="5" s="1"/>
  <c r="L452" i="5"/>
  <c r="K452" i="5"/>
  <c r="J452" i="5"/>
  <c r="I452" i="5"/>
  <c r="H452" i="5"/>
  <c r="E452" i="5"/>
  <c r="G452" i="5" s="1"/>
  <c r="D452" i="5"/>
  <c r="B452" i="5"/>
  <c r="C452" i="5" s="1"/>
  <c r="A452" i="5"/>
  <c r="M451" i="5"/>
  <c r="N451" i="5" s="1"/>
  <c r="L451" i="5"/>
  <c r="K451" i="5"/>
  <c r="J451" i="5"/>
  <c r="I451" i="5"/>
  <c r="H451" i="5"/>
  <c r="E451" i="5"/>
  <c r="G451" i="5" s="1"/>
  <c r="D451" i="5"/>
  <c r="C451" i="5"/>
  <c r="B451" i="5"/>
  <c r="A451" i="5"/>
  <c r="M450" i="5"/>
  <c r="N450" i="5" s="1"/>
  <c r="L450" i="5"/>
  <c r="K450" i="5"/>
  <c r="J450" i="5"/>
  <c r="I450" i="5"/>
  <c r="H450" i="5"/>
  <c r="E450" i="5"/>
  <c r="G450" i="5" s="1"/>
  <c r="D450" i="5"/>
  <c r="B450" i="5"/>
  <c r="C450" i="5" s="1"/>
  <c r="A450" i="5"/>
  <c r="M449" i="5"/>
  <c r="N449" i="5" s="1"/>
  <c r="L449" i="5"/>
  <c r="K449" i="5"/>
  <c r="J449" i="5"/>
  <c r="I449" i="5"/>
  <c r="H449" i="5"/>
  <c r="E449" i="5"/>
  <c r="G449" i="5" s="1"/>
  <c r="D449" i="5"/>
  <c r="B449" i="5"/>
  <c r="C449" i="5" s="1"/>
  <c r="A449" i="5"/>
  <c r="M448" i="5"/>
  <c r="N448" i="5" s="1"/>
  <c r="L448" i="5"/>
  <c r="K448" i="5"/>
  <c r="J448" i="5"/>
  <c r="I448" i="5"/>
  <c r="H448" i="5"/>
  <c r="E448" i="5"/>
  <c r="G448" i="5" s="1"/>
  <c r="D448" i="5"/>
  <c r="B448" i="5"/>
  <c r="C448" i="5" s="1"/>
  <c r="A448" i="5"/>
  <c r="M447" i="5"/>
  <c r="N447" i="5" s="1"/>
  <c r="L447" i="5"/>
  <c r="K447" i="5"/>
  <c r="J447" i="5"/>
  <c r="I447" i="5"/>
  <c r="H447" i="5"/>
  <c r="E447" i="5"/>
  <c r="G447" i="5" s="1"/>
  <c r="D447" i="5"/>
  <c r="B447" i="5"/>
  <c r="C447" i="5" s="1"/>
  <c r="A447" i="5"/>
  <c r="M446" i="5"/>
  <c r="N446" i="5" s="1"/>
  <c r="L446" i="5"/>
  <c r="K446" i="5"/>
  <c r="J446" i="5"/>
  <c r="I446" i="5"/>
  <c r="H446" i="5"/>
  <c r="E446" i="5"/>
  <c r="G446" i="5" s="1"/>
  <c r="D446" i="5"/>
  <c r="B446" i="5"/>
  <c r="C446" i="5" s="1"/>
  <c r="A446" i="5"/>
  <c r="M445" i="5"/>
  <c r="N445" i="5" s="1"/>
  <c r="L445" i="5"/>
  <c r="K445" i="5"/>
  <c r="J445" i="5"/>
  <c r="I445" i="5"/>
  <c r="H445" i="5"/>
  <c r="E445" i="5"/>
  <c r="G445" i="5" s="1"/>
  <c r="D445" i="5"/>
  <c r="B445" i="5"/>
  <c r="C445" i="5" s="1"/>
  <c r="A445" i="5"/>
  <c r="M444" i="5"/>
  <c r="N444" i="5" s="1"/>
  <c r="L444" i="5"/>
  <c r="K444" i="5"/>
  <c r="J444" i="5"/>
  <c r="I444" i="5"/>
  <c r="H444" i="5"/>
  <c r="E444" i="5"/>
  <c r="G444" i="5" s="1"/>
  <c r="D444" i="5"/>
  <c r="B444" i="5"/>
  <c r="C444" i="5" s="1"/>
  <c r="A444" i="5"/>
  <c r="M443" i="5"/>
  <c r="N443" i="5" s="1"/>
  <c r="L443" i="5"/>
  <c r="K443" i="5"/>
  <c r="J443" i="5"/>
  <c r="I443" i="5"/>
  <c r="H443" i="5"/>
  <c r="E443" i="5"/>
  <c r="G443" i="5" s="1"/>
  <c r="D443" i="5"/>
  <c r="C443" i="5"/>
  <c r="B443" i="5"/>
  <c r="A443" i="5"/>
  <c r="M442" i="5"/>
  <c r="N442" i="5" s="1"/>
  <c r="L442" i="5"/>
  <c r="K442" i="5"/>
  <c r="J442" i="5"/>
  <c r="I442" i="5"/>
  <c r="H442" i="5"/>
  <c r="E442" i="5"/>
  <c r="G442" i="5" s="1"/>
  <c r="D442" i="5"/>
  <c r="B442" i="5"/>
  <c r="C442" i="5" s="1"/>
  <c r="A442" i="5"/>
  <c r="M441" i="5"/>
  <c r="N441" i="5" s="1"/>
  <c r="L441" i="5"/>
  <c r="K441" i="5"/>
  <c r="J441" i="5"/>
  <c r="I441" i="5"/>
  <c r="H441" i="5"/>
  <c r="E441" i="5"/>
  <c r="G441" i="5" s="1"/>
  <c r="D441" i="5"/>
  <c r="B441" i="5"/>
  <c r="C441" i="5" s="1"/>
  <c r="A441" i="5"/>
  <c r="M440" i="5"/>
  <c r="N440" i="5" s="1"/>
  <c r="L440" i="5"/>
  <c r="K440" i="5"/>
  <c r="J440" i="5"/>
  <c r="I440" i="5"/>
  <c r="H440" i="5"/>
  <c r="E440" i="5"/>
  <c r="G440" i="5" s="1"/>
  <c r="D440" i="5"/>
  <c r="B440" i="5"/>
  <c r="C440" i="5" s="1"/>
  <c r="A440" i="5"/>
  <c r="M439" i="5"/>
  <c r="N439" i="5" s="1"/>
  <c r="L439" i="5"/>
  <c r="K439" i="5"/>
  <c r="J439" i="5"/>
  <c r="I439" i="5"/>
  <c r="H439" i="5"/>
  <c r="E439" i="5"/>
  <c r="G439" i="5" s="1"/>
  <c r="D439" i="5"/>
  <c r="B439" i="5"/>
  <c r="C439" i="5" s="1"/>
  <c r="A439" i="5"/>
  <c r="M438" i="5"/>
  <c r="N438" i="5" s="1"/>
  <c r="L438" i="5"/>
  <c r="K438" i="5"/>
  <c r="J438" i="5"/>
  <c r="I438" i="5"/>
  <c r="H438" i="5"/>
  <c r="E438" i="5"/>
  <c r="G438" i="5" s="1"/>
  <c r="D438" i="5"/>
  <c r="B438" i="5"/>
  <c r="C438" i="5" s="1"/>
  <c r="A438" i="5"/>
  <c r="M437" i="5"/>
  <c r="N437" i="5" s="1"/>
  <c r="L437" i="5"/>
  <c r="K437" i="5"/>
  <c r="J437" i="5"/>
  <c r="I437" i="5"/>
  <c r="H437" i="5"/>
  <c r="E437" i="5"/>
  <c r="G437" i="5" s="1"/>
  <c r="D437" i="5"/>
  <c r="B437" i="5"/>
  <c r="C437" i="5" s="1"/>
  <c r="A437" i="5"/>
  <c r="M436" i="5"/>
  <c r="N436" i="5" s="1"/>
  <c r="L436" i="5"/>
  <c r="K436" i="5"/>
  <c r="J436" i="5"/>
  <c r="I436" i="5"/>
  <c r="H436" i="5"/>
  <c r="E436" i="5"/>
  <c r="G436" i="5" s="1"/>
  <c r="D436" i="5"/>
  <c r="B436" i="5"/>
  <c r="C436" i="5" s="1"/>
  <c r="A436" i="5"/>
  <c r="M435" i="5"/>
  <c r="N435" i="5" s="1"/>
  <c r="L435" i="5"/>
  <c r="K435" i="5"/>
  <c r="J435" i="5"/>
  <c r="I435" i="5"/>
  <c r="H435" i="5"/>
  <c r="E435" i="5"/>
  <c r="G435" i="5" s="1"/>
  <c r="D435" i="5"/>
  <c r="C435" i="5"/>
  <c r="B435" i="5"/>
  <c r="A435" i="5"/>
  <c r="M434" i="5"/>
  <c r="N434" i="5" s="1"/>
  <c r="L434" i="5"/>
  <c r="K434" i="5"/>
  <c r="J434" i="5"/>
  <c r="I434" i="5"/>
  <c r="H434" i="5"/>
  <c r="E434" i="5"/>
  <c r="G434" i="5" s="1"/>
  <c r="D434" i="5"/>
  <c r="B434" i="5"/>
  <c r="C434" i="5" s="1"/>
  <c r="A434" i="5"/>
  <c r="M433" i="5"/>
  <c r="N433" i="5" s="1"/>
  <c r="L433" i="5"/>
  <c r="K433" i="5"/>
  <c r="J433" i="5"/>
  <c r="I433" i="5"/>
  <c r="H433" i="5"/>
  <c r="E433" i="5"/>
  <c r="G433" i="5" s="1"/>
  <c r="D433" i="5"/>
  <c r="B433" i="5"/>
  <c r="C433" i="5" s="1"/>
  <c r="A433" i="5"/>
  <c r="M432" i="5"/>
  <c r="N432" i="5" s="1"/>
  <c r="L432" i="5"/>
  <c r="K432" i="5"/>
  <c r="J432" i="5"/>
  <c r="I432" i="5"/>
  <c r="H432" i="5"/>
  <c r="E432" i="5"/>
  <c r="G432" i="5" s="1"/>
  <c r="D432" i="5"/>
  <c r="B432" i="5"/>
  <c r="C432" i="5" s="1"/>
  <c r="A432" i="5"/>
  <c r="M431" i="5"/>
  <c r="N431" i="5" s="1"/>
  <c r="L431" i="5"/>
  <c r="K431" i="5"/>
  <c r="J431" i="5"/>
  <c r="I431" i="5"/>
  <c r="H431" i="5"/>
  <c r="E431" i="5"/>
  <c r="G431" i="5" s="1"/>
  <c r="D431" i="5"/>
  <c r="B431" i="5"/>
  <c r="C431" i="5" s="1"/>
  <c r="A431" i="5"/>
  <c r="M430" i="5"/>
  <c r="N430" i="5" s="1"/>
  <c r="L430" i="5"/>
  <c r="K430" i="5"/>
  <c r="J430" i="5"/>
  <c r="I430" i="5"/>
  <c r="H430" i="5"/>
  <c r="E430" i="5"/>
  <c r="G430" i="5" s="1"/>
  <c r="D430" i="5"/>
  <c r="B430" i="5"/>
  <c r="C430" i="5" s="1"/>
  <c r="A430" i="5"/>
  <c r="M429" i="5"/>
  <c r="N429" i="5" s="1"/>
  <c r="L429" i="5"/>
  <c r="K429" i="5"/>
  <c r="J429" i="5"/>
  <c r="I429" i="5"/>
  <c r="H429" i="5"/>
  <c r="E429" i="5"/>
  <c r="G429" i="5" s="1"/>
  <c r="D429" i="5"/>
  <c r="B429" i="5"/>
  <c r="C429" i="5" s="1"/>
  <c r="A429" i="5"/>
  <c r="M428" i="5"/>
  <c r="N428" i="5" s="1"/>
  <c r="L428" i="5"/>
  <c r="K428" i="5"/>
  <c r="J428" i="5"/>
  <c r="I428" i="5"/>
  <c r="H428" i="5"/>
  <c r="E428" i="5"/>
  <c r="G428" i="5" s="1"/>
  <c r="D428" i="5"/>
  <c r="B428" i="5"/>
  <c r="C428" i="5" s="1"/>
  <c r="A428" i="5"/>
  <c r="M427" i="5"/>
  <c r="N427" i="5" s="1"/>
  <c r="L427" i="5"/>
  <c r="K427" i="5"/>
  <c r="J427" i="5"/>
  <c r="I427" i="5"/>
  <c r="H427" i="5"/>
  <c r="E427" i="5"/>
  <c r="G427" i="5" s="1"/>
  <c r="D427" i="5"/>
  <c r="C427" i="5"/>
  <c r="B427" i="5"/>
  <c r="A427" i="5"/>
  <c r="M426" i="5"/>
  <c r="N426" i="5" s="1"/>
  <c r="L426" i="5"/>
  <c r="K426" i="5"/>
  <c r="J426" i="5"/>
  <c r="I426" i="5"/>
  <c r="H426" i="5"/>
  <c r="E426" i="5"/>
  <c r="G426" i="5" s="1"/>
  <c r="D426" i="5"/>
  <c r="B426" i="5"/>
  <c r="C426" i="5" s="1"/>
  <c r="A426" i="5"/>
  <c r="M425" i="5"/>
  <c r="N425" i="5" s="1"/>
  <c r="L425" i="5"/>
  <c r="K425" i="5"/>
  <c r="J425" i="5"/>
  <c r="I425" i="5"/>
  <c r="H425" i="5"/>
  <c r="E425" i="5"/>
  <c r="G425" i="5" s="1"/>
  <c r="D425" i="5"/>
  <c r="B425" i="5"/>
  <c r="C425" i="5" s="1"/>
  <c r="A425" i="5"/>
  <c r="M424" i="5"/>
  <c r="N424" i="5" s="1"/>
  <c r="L424" i="5"/>
  <c r="K424" i="5"/>
  <c r="J424" i="5"/>
  <c r="I424" i="5"/>
  <c r="H424" i="5"/>
  <c r="E424" i="5"/>
  <c r="G424" i="5" s="1"/>
  <c r="D424" i="5"/>
  <c r="B424" i="5"/>
  <c r="C424" i="5" s="1"/>
  <c r="A424" i="5"/>
  <c r="M423" i="5"/>
  <c r="N423" i="5" s="1"/>
  <c r="L423" i="5"/>
  <c r="K423" i="5"/>
  <c r="J423" i="5"/>
  <c r="I423" i="5"/>
  <c r="H423" i="5"/>
  <c r="E423" i="5"/>
  <c r="G423" i="5" s="1"/>
  <c r="D423" i="5"/>
  <c r="B423" i="5"/>
  <c r="C423" i="5" s="1"/>
  <c r="A423" i="5"/>
  <c r="M422" i="5"/>
  <c r="N422" i="5" s="1"/>
  <c r="L422" i="5"/>
  <c r="K422" i="5"/>
  <c r="J422" i="5"/>
  <c r="I422" i="5"/>
  <c r="H422" i="5"/>
  <c r="E422" i="5"/>
  <c r="G422" i="5" s="1"/>
  <c r="D422" i="5"/>
  <c r="B422" i="5"/>
  <c r="C422" i="5" s="1"/>
  <c r="A422" i="5"/>
  <c r="M421" i="5"/>
  <c r="N421" i="5" s="1"/>
  <c r="L421" i="5"/>
  <c r="K421" i="5"/>
  <c r="J421" i="5"/>
  <c r="I421" i="5"/>
  <c r="H421" i="5"/>
  <c r="E421" i="5"/>
  <c r="G421" i="5" s="1"/>
  <c r="D421" i="5"/>
  <c r="B421" i="5"/>
  <c r="C421" i="5" s="1"/>
  <c r="A421" i="5"/>
  <c r="M420" i="5"/>
  <c r="N420" i="5" s="1"/>
  <c r="L420" i="5"/>
  <c r="K420" i="5"/>
  <c r="J420" i="5"/>
  <c r="I420" i="5"/>
  <c r="H420" i="5"/>
  <c r="E420" i="5"/>
  <c r="G420" i="5" s="1"/>
  <c r="D420" i="5"/>
  <c r="B420" i="5"/>
  <c r="C420" i="5" s="1"/>
  <c r="A420" i="5"/>
  <c r="M419" i="5"/>
  <c r="N419" i="5" s="1"/>
  <c r="L419" i="5"/>
  <c r="K419" i="5"/>
  <c r="J419" i="5"/>
  <c r="I419" i="5"/>
  <c r="H419" i="5"/>
  <c r="E419" i="5"/>
  <c r="G419" i="5" s="1"/>
  <c r="D419" i="5"/>
  <c r="B419" i="5"/>
  <c r="C419" i="5" s="1"/>
  <c r="A419" i="5"/>
  <c r="M418" i="5"/>
  <c r="N418" i="5" s="1"/>
  <c r="L418" i="5"/>
  <c r="K418" i="5"/>
  <c r="J418" i="5"/>
  <c r="I418" i="5"/>
  <c r="H418" i="5"/>
  <c r="E418" i="5"/>
  <c r="G418" i="5" s="1"/>
  <c r="D418" i="5"/>
  <c r="B418" i="5"/>
  <c r="C418" i="5" s="1"/>
  <c r="A418" i="5"/>
  <c r="M417" i="5"/>
  <c r="N417" i="5" s="1"/>
  <c r="L417" i="5"/>
  <c r="K417" i="5"/>
  <c r="J417" i="5"/>
  <c r="I417" i="5"/>
  <c r="H417" i="5"/>
  <c r="E417" i="5"/>
  <c r="G417" i="5" s="1"/>
  <c r="D417" i="5"/>
  <c r="B417" i="5"/>
  <c r="C417" i="5" s="1"/>
  <c r="A417" i="5"/>
  <c r="M416" i="5"/>
  <c r="N416" i="5" s="1"/>
  <c r="L416" i="5"/>
  <c r="K416" i="5"/>
  <c r="J416" i="5"/>
  <c r="I416" i="5"/>
  <c r="H416" i="5"/>
  <c r="E416" i="5"/>
  <c r="G416" i="5" s="1"/>
  <c r="D416" i="5"/>
  <c r="B416" i="5"/>
  <c r="C416" i="5" s="1"/>
  <c r="A416" i="5"/>
  <c r="M415" i="5"/>
  <c r="N415" i="5" s="1"/>
  <c r="L415" i="5"/>
  <c r="K415" i="5"/>
  <c r="J415" i="5"/>
  <c r="I415" i="5"/>
  <c r="H415" i="5"/>
  <c r="E415" i="5"/>
  <c r="G415" i="5" s="1"/>
  <c r="D415" i="5"/>
  <c r="B415" i="5"/>
  <c r="C415" i="5" s="1"/>
  <c r="A415" i="5"/>
  <c r="M414" i="5"/>
  <c r="N414" i="5" s="1"/>
  <c r="L414" i="5"/>
  <c r="K414" i="5"/>
  <c r="J414" i="5"/>
  <c r="I414" i="5"/>
  <c r="H414" i="5"/>
  <c r="E414" i="5"/>
  <c r="G414" i="5" s="1"/>
  <c r="D414" i="5"/>
  <c r="B414" i="5"/>
  <c r="C414" i="5" s="1"/>
  <c r="A414" i="5"/>
  <c r="M413" i="5"/>
  <c r="N413" i="5" s="1"/>
  <c r="L413" i="5"/>
  <c r="K413" i="5"/>
  <c r="J413" i="5"/>
  <c r="I413" i="5"/>
  <c r="H413" i="5"/>
  <c r="E413" i="5"/>
  <c r="G413" i="5" s="1"/>
  <c r="D413" i="5"/>
  <c r="B413" i="5"/>
  <c r="C413" i="5" s="1"/>
  <c r="A413" i="5"/>
  <c r="M412" i="5"/>
  <c r="N412" i="5" s="1"/>
  <c r="L412" i="5"/>
  <c r="K412" i="5"/>
  <c r="J412" i="5"/>
  <c r="I412" i="5"/>
  <c r="H412" i="5"/>
  <c r="E412" i="5"/>
  <c r="G412" i="5" s="1"/>
  <c r="D412" i="5"/>
  <c r="B412" i="5"/>
  <c r="C412" i="5" s="1"/>
  <c r="A412" i="5"/>
  <c r="M411" i="5"/>
  <c r="N411" i="5" s="1"/>
  <c r="L411" i="5"/>
  <c r="K411" i="5"/>
  <c r="J411" i="5"/>
  <c r="I411" i="5"/>
  <c r="H411" i="5"/>
  <c r="E411" i="5"/>
  <c r="G411" i="5" s="1"/>
  <c r="D411" i="5"/>
  <c r="C411" i="5"/>
  <c r="B411" i="5"/>
  <c r="A411" i="5"/>
  <c r="M410" i="5"/>
  <c r="N410" i="5" s="1"/>
  <c r="L410" i="5"/>
  <c r="K410" i="5"/>
  <c r="J410" i="5"/>
  <c r="I410" i="5"/>
  <c r="H410" i="5"/>
  <c r="E410" i="5"/>
  <c r="G410" i="5" s="1"/>
  <c r="D410" i="5"/>
  <c r="B410" i="5"/>
  <c r="C410" i="5" s="1"/>
  <c r="A410" i="5"/>
  <c r="M409" i="5"/>
  <c r="N409" i="5" s="1"/>
  <c r="L409" i="5"/>
  <c r="K409" i="5"/>
  <c r="J409" i="5"/>
  <c r="I409" i="5"/>
  <c r="H409" i="5"/>
  <c r="E409" i="5"/>
  <c r="G409" i="5" s="1"/>
  <c r="D409" i="5"/>
  <c r="B409" i="5"/>
  <c r="C409" i="5" s="1"/>
  <c r="A409" i="5"/>
  <c r="M408" i="5"/>
  <c r="N408" i="5" s="1"/>
  <c r="L408" i="5"/>
  <c r="K408" i="5"/>
  <c r="J408" i="5"/>
  <c r="I408" i="5"/>
  <c r="H408" i="5"/>
  <c r="E408" i="5"/>
  <c r="G408" i="5" s="1"/>
  <c r="D408" i="5"/>
  <c r="B408" i="5"/>
  <c r="C408" i="5" s="1"/>
  <c r="A408" i="5"/>
  <c r="M407" i="5"/>
  <c r="N407" i="5" s="1"/>
  <c r="L407" i="5"/>
  <c r="K407" i="5"/>
  <c r="J407" i="5"/>
  <c r="I407" i="5"/>
  <c r="H407" i="5"/>
  <c r="E407" i="5"/>
  <c r="G407" i="5" s="1"/>
  <c r="D407" i="5"/>
  <c r="C407" i="5"/>
  <c r="B407" i="5"/>
  <c r="A407" i="5"/>
  <c r="M406" i="5"/>
  <c r="N406" i="5" s="1"/>
  <c r="L406" i="5"/>
  <c r="K406" i="5"/>
  <c r="J406" i="5"/>
  <c r="I406" i="5"/>
  <c r="H406" i="5"/>
  <c r="E406" i="5"/>
  <c r="G406" i="5" s="1"/>
  <c r="D406" i="5"/>
  <c r="B406" i="5"/>
  <c r="C406" i="5" s="1"/>
  <c r="A406" i="5"/>
  <c r="M405" i="5"/>
  <c r="N405" i="5" s="1"/>
  <c r="L405" i="5"/>
  <c r="K405" i="5"/>
  <c r="J405" i="5"/>
  <c r="I405" i="5"/>
  <c r="H405" i="5"/>
  <c r="E405" i="5"/>
  <c r="G405" i="5" s="1"/>
  <c r="D405" i="5"/>
  <c r="B405" i="5"/>
  <c r="C405" i="5" s="1"/>
  <c r="A405" i="5"/>
  <c r="M404" i="5"/>
  <c r="N404" i="5" s="1"/>
  <c r="L404" i="5"/>
  <c r="K404" i="5"/>
  <c r="J404" i="5"/>
  <c r="I404" i="5"/>
  <c r="H404" i="5"/>
  <c r="E404" i="5"/>
  <c r="G404" i="5" s="1"/>
  <c r="D404" i="5"/>
  <c r="B404" i="5"/>
  <c r="C404" i="5" s="1"/>
  <c r="A404" i="5"/>
  <c r="M403" i="5"/>
  <c r="N403" i="5" s="1"/>
  <c r="L403" i="5"/>
  <c r="K403" i="5"/>
  <c r="J403" i="5"/>
  <c r="I403" i="5"/>
  <c r="H403" i="5"/>
  <c r="E403" i="5"/>
  <c r="G403" i="5" s="1"/>
  <c r="D403" i="5"/>
  <c r="B403" i="5"/>
  <c r="C403" i="5" s="1"/>
  <c r="A403" i="5"/>
  <c r="M402" i="5"/>
  <c r="N402" i="5" s="1"/>
  <c r="L402" i="5"/>
  <c r="K402" i="5"/>
  <c r="J402" i="5"/>
  <c r="I402" i="5"/>
  <c r="H402" i="5"/>
  <c r="E402" i="5"/>
  <c r="G402" i="5" s="1"/>
  <c r="D402" i="5"/>
  <c r="C402" i="5"/>
  <c r="B402" i="5"/>
  <c r="A402" i="5"/>
  <c r="M401" i="5"/>
  <c r="N401" i="5" s="1"/>
  <c r="L401" i="5"/>
  <c r="K401" i="5"/>
  <c r="J401" i="5"/>
  <c r="I401" i="5"/>
  <c r="H401" i="5"/>
  <c r="E401" i="5"/>
  <c r="G401" i="5" s="1"/>
  <c r="D401" i="5"/>
  <c r="B401" i="5"/>
  <c r="C401" i="5" s="1"/>
  <c r="A401" i="5"/>
  <c r="M400" i="5"/>
  <c r="N400" i="5" s="1"/>
  <c r="L400" i="5"/>
  <c r="K400" i="5"/>
  <c r="J400" i="5"/>
  <c r="I400" i="5"/>
  <c r="H400" i="5"/>
  <c r="E400" i="5"/>
  <c r="G400" i="5" s="1"/>
  <c r="D400" i="5"/>
  <c r="B400" i="5"/>
  <c r="C400" i="5" s="1"/>
  <c r="A400" i="5"/>
  <c r="M399" i="5"/>
  <c r="N399" i="5" s="1"/>
  <c r="L399" i="5"/>
  <c r="K399" i="5"/>
  <c r="J399" i="5"/>
  <c r="I399" i="5"/>
  <c r="H399" i="5"/>
  <c r="E399" i="5"/>
  <c r="G399" i="5" s="1"/>
  <c r="D399" i="5"/>
  <c r="B399" i="5"/>
  <c r="C399" i="5" s="1"/>
  <c r="A399" i="5"/>
  <c r="M398" i="5"/>
  <c r="N398" i="5" s="1"/>
  <c r="L398" i="5"/>
  <c r="K398" i="5"/>
  <c r="J398" i="5"/>
  <c r="I398" i="5"/>
  <c r="H398" i="5"/>
  <c r="E398" i="5"/>
  <c r="G398" i="5" s="1"/>
  <c r="D398" i="5"/>
  <c r="B398" i="5"/>
  <c r="C398" i="5" s="1"/>
  <c r="A398" i="5"/>
  <c r="M397" i="5"/>
  <c r="N397" i="5" s="1"/>
  <c r="L397" i="5"/>
  <c r="K397" i="5"/>
  <c r="J397" i="5"/>
  <c r="I397" i="5"/>
  <c r="H397" i="5"/>
  <c r="E397" i="5"/>
  <c r="G397" i="5" s="1"/>
  <c r="D397" i="5"/>
  <c r="B397" i="5"/>
  <c r="C397" i="5" s="1"/>
  <c r="A397" i="5"/>
  <c r="M396" i="5"/>
  <c r="N396" i="5" s="1"/>
  <c r="L396" i="5"/>
  <c r="K396" i="5"/>
  <c r="J396" i="5"/>
  <c r="I396" i="5"/>
  <c r="H396" i="5"/>
  <c r="E396" i="5"/>
  <c r="G396" i="5" s="1"/>
  <c r="D396" i="5"/>
  <c r="B396" i="5"/>
  <c r="C396" i="5" s="1"/>
  <c r="A396" i="5"/>
  <c r="M395" i="5"/>
  <c r="N395" i="5" s="1"/>
  <c r="L395" i="5"/>
  <c r="K395" i="5"/>
  <c r="J395" i="5"/>
  <c r="I395" i="5"/>
  <c r="H395" i="5"/>
  <c r="E395" i="5"/>
  <c r="G395" i="5" s="1"/>
  <c r="D395" i="5"/>
  <c r="B395" i="5"/>
  <c r="C395" i="5" s="1"/>
  <c r="A395" i="5"/>
  <c r="M394" i="5"/>
  <c r="N394" i="5" s="1"/>
  <c r="L394" i="5"/>
  <c r="K394" i="5"/>
  <c r="J394" i="5"/>
  <c r="I394" i="5"/>
  <c r="H394" i="5"/>
  <c r="E394" i="5"/>
  <c r="G394" i="5" s="1"/>
  <c r="D394" i="5"/>
  <c r="B394" i="5"/>
  <c r="C394" i="5" s="1"/>
  <c r="A394" i="5"/>
  <c r="M393" i="5"/>
  <c r="N393" i="5" s="1"/>
  <c r="L393" i="5"/>
  <c r="K393" i="5"/>
  <c r="J393" i="5"/>
  <c r="I393" i="5"/>
  <c r="H393" i="5"/>
  <c r="E393" i="5"/>
  <c r="G393" i="5" s="1"/>
  <c r="D393" i="5"/>
  <c r="B393" i="5"/>
  <c r="C393" i="5" s="1"/>
  <c r="A393" i="5"/>
  <c r="M392" i="5"/>
  <c r="N392" i="5" s="1"/>
  <c r="L392" i="5"/>
  <c r="K392" i="5"/>
  <c r="J392" i="5"/>
  <c r="I392" i="5"/>
  <c r="H392" i="5"/>
  <c r="E392" i="5"/>
  <c r="G392" i="5" s="1"/>
  <c r="D392" i="5"/>
  <c r="B392" i="5"/>
  <c r="C392" i="5" s="1"/>
  <c r="A392" i="5"/>
  <c r="M391" i="5"/>
  <c r="N391" i="5" s="1"/>
  <c r="L391" i="5"/>
  <c r="K391" i="5"/>
  <c r="J391" i="5"/>
  <c r="I391" i="5"/>
  <c r="H391" i="5"/>
  <c r="E391" i="5"/>
  <c r="G391" i="5" s="1"/>
  <c r="D391" i="5"/>
  <c r="B391" i="5"/>
  <c r="C391" i="5" s="1"/>
  <c r="A391" i="5"/>
  <c r="M390" i="5"/>
  <c r="N390" i="5" s="1"/>
  <c r="L390" i="5"/>
  <c r="K390" i="5"/>
  <c r="J390" i="5"/>
  <c r="I390" i="5"/>
  <c r="H390" i="5"/>
  <c r="E390" i="5"/>
  <c r="G390" i="5" s="1"/>
  <c r="D390" i="5"/>
  <c r="B390" i="5"/>
  <c r="C390" i="5" s="1"/>
  <c r="A390" i="5"/>
  <c r="M389" i="5"/>
  <c r="N389" i="5" s="1"/>
  <c r="L389" i="5"/>
  <c r="K389" i="5"/>
  <c r="J389" i="5"/>
  <c r="I389" i="5"/>
  <c r="H389" i="5"/>
  <c r="E389" i="5"/>
  <c r="G389" i="5" s="1"/>
  <c r="D389" i="5"/>
  <c r="B389" i="5"/>
  <c r="C389" i="5" s="1"/>
  <c r="A389" i="5"/>
  <c r="M388" i="5"/>
  <c r="N388" i="5" s="1"/>
  <c r="L388" i="5"/>
  <c r="K388" i="5"/>
  <c r="J388" i="5"/>
  <c r="I388" i="5"/>
  <c r="H388" i="5"/>
  <c r="E388" i="5"/>
  <c r="G388" i="5" s="1"/>
  <c r="D388" i="5"/>
  <c r="B388" i="5"/>
  <c r="C388" i="5" s="1"/>
  <c r="A388" i="5"/>
  <c r="M387" i="5"/>
  <c r="N387" i="5" s="1"/>
  <c r="L387" i="5"/>
  <c r="K387" i="5"/>
  <c r="J387" i="5"/>
  <c r="I387" i="5"/>
  <c r="H387" i="5"/>
  <c r="E387" i="5"/>
  <c r="G387" i="5" s="1"/>
  <c r="D387" i="5"/>
  <c r="B387" i="5"/>
  <c r="C387" i="5" s="1"/>
  <c r="A387" i="5"/>
  <c r="M386" i="5"/>
  <c r="N386" i="5" s="1"/>
  <c r="L386" i="5"/>
  <c r="K386" i="5"/>
  <c r="J386" i="5"/>
  <c r="I386" i="5"/>
  <c r="H386" i="5"/>
  <c r="E386" i="5"/>
  <c r="G386" i="5" s="1"/>
  <c r="D386" i="5"/>
  <c r="C386" i="5"/>
  <c r="B386" i="5"/>
  <c r="A386" i="5"/>
  <c r="M385" i="5"/>
  <c r="N385" i="5" s="1"/>
  <c r="L385" i="5"/>
  <c r="K385" i="5"/>
  <c r="J385" i="5"/>
  <c r="I385" i="5"/>
  <c r="H385" i="5"/>
  <c r="E385" i="5"/>
  <c r="G385" i="5" s="1"/>
  <c r="D385" i="5"/>
  <c r="B385" i="5"/>
  <c r="C385" i="5" s="1"/>
  <c r="A385" i="5"/>
  <c r="M384" i="5"/>
  <c r="N384" i="5" s="1"/>
  <c r="L384" i="5"/>
  <c r="K384" i="5"/>
  <c r="J384" i="5"/>
  <c r="I384" i="5"/>
  <c r="H384" i="5"/>
  <c r="E384" i="5"/>
  <c r="G384" i="5" s="1"/>
  <c r="D384" i="5"/>
  <c r="B384" i="5"/>
  <c r="C384" i="5" s="1"/>
  <c r="A384" i="5"/>
  <c r="M383" i="5"/>
  <c r="N383" i="5" s="1"/>
  <c r="L383" i="5"/>
  <c r="K383" i="5"/>
  <c r="J383" i="5"/>
  <c r="I383" i="5"/>
  <c r="H383" i="5"/>
  <c r="E383" i="5"/>
  <c r="G383" i="5" s="1"/>
  <c r="D383" i="5"/>
  <c r="B383" i="5"/>
  <c r="C383" i="5" s="1"/>
  <c r="A383" i="5"/>
  <c r="M382" i="5"/>
  <c r="N382" i="5" s="1"/>
  <c r="L382" i="5"/>
  <c r="K382" i="5"/>
  <c r="J382" i="5"/>
  <c r="I382" i="5"/>
  <c r="H382" i="5"/>
  <c r="E382" i="5"/>
  <c r="G382" i="5" s="1"/>
  <c r="D382" i="5"/>
  <c r="B382" i="5"/>
  <c r="C382" i="5" s="1"/>
  <c r="A382" i="5"/>
  <c r="M381" i="5"/>
  <c r="N381" i="5" s="1"/>
  <c r="L381" i="5"/>
  <c r="K381" i="5"/>
  <c r="J381" i="5"/>
  <c r="I381" i="5"/>
  <c r="H381" i="5"/>
  <c r="E381" i="5"/>
  <c r="G381" i="5" s="1"/>
  <c r="D381" i="5"/>
  <c r="B381" i="5"/>
  <c r="C381" i="5" s="1"/>
  <c r="A381" i="5"/>
  <c r="M380" i="5"/>
  <c r="N380" i="5" s="1"/>
  <c r="L380" i="5"/>
  <c r="K380" i="5"/>
  <c r="J380" i="5"/>
  <c r="I380" i="5"/>
  <c r="H380" i="5"/>
  <c r="E380" i="5"/>
  <c r="G380" i="5" s="1"/>
  <c r="D380" i="5"/>
  <c r="B380" i="5"/>
  <c r="C380" i="5" s="1"/>
  <c r="A380" i="5"/>
  <c r="M379" i="5"/>
  <c r="N379" i="5" s="1"/>
  <c r="L379" i="5"/>
  <c r="K379" i="5"/>
  <c r="J379" i="5"/>
  <c r="I379" i="5"/>
  <c r="H379" i="5"/>
  <c r="E379" i="5"/>
  <c r="G379" i="5" s="1"/>
  <c r="D379" i="5"/>
  <c r="B379" i="5"/>
  <c r="C379" i="5" s="1"/>
  <c r="A379" i="5"/>
  <c r="M378" i="5"/>
  <c r="N378" i="5" s="1"/>
  <c r="L378" i="5"/>
  <c r="K378" i="5"/>
  <c r="J378" i="5"/>
  <c r="I378" i="5"/>
  <c r="H378" i="5"/>
  <c r="E378" i="5"/>
  <c r="G378" i="5" s="1"/>
  <c r="D378" i="5"/>
  <c r="C378" i="5"/>
  <c r="B378" i="5"/>
  <c r="A378" i="5"/>
  <c r="M377" i="5"/>
  <c r="N377" i="5" s="1"/>
  <c r="L377" i="5"/>
  <c r="K377" i="5"/>
  <c r="J377" i="5"/>
  <c r="I377" i="5"/>
  <c r="H377" i="5"/>
  <c r="E377" i="5"/>
  <c r="G377" i="5" s="1"/>
  <c r="D377" i="5"/>
  <c r="B377" i="5"/>
  <c r="C377" i="5" s="1"/>
  <c r="A377" i="5"/>
  <c r="M376" i="5"/>
  <c r="N376" i="5" s="1"/>
  <c r="L376" i="5"/>
  <c r="K376" i="5"/>
  <c r="J376" i="5"/>
  <c r="I376" i="5"/>
  <c r="H376" i="5"/>
  <c r="E376" i="5"/>
  <c r="G376" i="5" s="1"/>
  <c r="D376" i="5"/>
  <c r="B376" i="5"/>
  <c r="C376" i="5" s="1"/>
  <c r="A376" i="5"/>
  <c r="M375" i="5"/>
  <c r="N375" i="5" s="1"/>
  <c r="L375" i="5"/>
  <c r="K375" i="5"/>
  <c r="J375" i="5"/>
  <c r="I375" i="5"/>
  <c r="H375" i="5"/>
  <c r="E375" i="5"/>
  <c r="G375" i="5" s="1"/>
  <c r="D375" i="5"/>
  <c r="B375" i="5"/>
  <c r="C375" i="5" s="1"/>
  <c r="A375" i="5"/>
  <c r="M374" i="5"/>
  <c r="N374" i="5" s="1"/>
  <c r="L374" i="5"/>
  <c r="K374" i="5"/>
  <c r="J374" i="5"/>
  <c r="I374" i="5"/>
  <c r="H374" i="5"/>
  <c r="E374" i="5"/>
  <c r="G374" i="5" s="1"/>
  <c r="D374" i="5"/>
  <c r="B374" i="5"/>
  <c r="C374" i="5" s="1"/>
  <c r="A374" i="5"/>
  <c r="M373" i="5"/>
  <c r="N373" i="5" s="1"/>
  <c r="L373" i="5"/>
  <c r="K373" i="5"/>
  <c r="J373" i="5"/>
  <c r="I373" i="5"/>
  <c r="H373" i="5"/>
  <c r="E373" i="5"/>
  <c r="G373" i="5" s="1"/>
  <c r="D373" i="5"/>
  <c r="B373" i="5"/>
  <c r="C373" i="5" s="1"/>
  <c r="A373" i="5"/>
  <c r="M372" i="5"/>
  <c r="N372" i="5" s="1"/>
  <c r="L372" i="5"/>
  <c r="K372" i="5"/>
  <c r="J372" i="5"/>
  <c r="I372" i="5"/>
  <c r="H372" i="5"/>
  <c r="E372" i="5"/>
  <c r="G372" i="5" s="1"/>
  <c r="D372" i="5"/>
  <c r="B372" i="5"/>
  <c r="C372" i="5" s="1"/>
  <c r="A372" i="5"/>
  <c r="M371" i="5"/>
  <c r="N371" i="5" s="1"/>
  <c r="L371" i="5"/>
  <c r="K371" i="5"/>
  <c r="J371" i="5"/>
  <c r="I371" i="5"/>
  <c r="H371" i="5"/>
  <c r="E371" i="5"/>
  <c r="G371" i="5" s="1"/>
  <c r="D371" i="5"/>
  <c r="B371" i="5"/>
  <c r="C371" i="5" s="1"/>
  <c r="A371" i="5"/>
  <c r="M370" i="5"/>
  <c r="N370" i="5" s="1"/>
  <c r="L370" i="5"/>
  <c r="K370" i="5"/>
  <c r="J370" i="5"/>
  <c r="I370" i="5"/>
  <c r="H370" i="5"/>
  <c r="E370" i="5"/>
  <c r="G370" i="5" s="1"/>
  <c r="D370" i="5"/>
  <c r="C370" i="5"/>
  <c r="B370" i="5"/>
  <c r="A370" i="5"/>
  <c r="M369" i="5"/>
  <c r="N369" i="5" s="1"/>
  <c r="L369" i="5"/>
  <c r="K369" i="5"/>
  <c r="J369" i="5"/>
  <c r="I369" i="5"/>
  <c r="H369" i="5"/>
  <c r="E369" i="5"/>
  <c r="G369" i="5" s="1"/>
  <c r="D369" i="5"/>
  <c r="B369" i="5"/>
  <c r="C369" i="5" s="1"/>
  <c r="A369" i="5"/>
  <c r="M368" i="5"/>
  <c r="N368" i="5" s="1"/>
  <c r="L368" i="5"/>
  <c r="K368" i="5"/>
  <c r="J368" i="5"/>
  <c r="I368" i="5"/>
  <c r="H368" i="5"/>
  <c r="E368" i="5"/>
  <c r="G368" i="5" s="1"/>
  <c r="D368" i="5"/>
  <c r="B368" i="5"/>
  <c r="C368" i="5" s="1"/>
  <c r="A368" i="5"/>
  <c r="M367" i="5"/>
  <c r="N367" i="5" s="1"/>
  <c r="L367" i="5"/>
  <c r="K367" i="5"/>
  <c r="J367" i="5"/>
  <c r="I367" i="5"/>
  <c r="H367" i="5"/>
  <c r="E367" i="5"/>
  <c r="G367" i="5" s="1"/>
  <c r="D367" i="5"/>
  <c r="B367" i="5"/>
  <c r="C367" i="5" s="1"/>
  <c r="A367" i="5"/>
  <c r="M366" i="5"/>
  <c r="N366" i="5" s="1"/>
  <c r="L366" i="5"/>
  <c r="K366" i="5"/>
  <c r="J366" i="5"/>
  <c r="I366" i="5"/>
  <c r="H366" i="5"/>
  <c r="E366" i="5"/>
  <c r="G366" i="5" s="1"/>
  <c r="D366" i="5"/>
  <c r="B366" i="5"/>
  <c r="C366" i="5" s="1"/>
  <c r="A366" i="5"/>
  <c r="M365" i="5"/>
  <c r="N365" i="5" s="1"/>
  <c r="L365" i="5"/>
  <c r="K365" i="5"/>
  <c r="J365" i="5"/>
  <c r="I365" i="5"/>
  <c r="H365" i="5"/>
  <c r="E365" i="5"/>
  <c r="G365" i="5" s="1"/>
  <c r="D365" i="5"/>
  <c r="B365" i="5"/>
  <c r="C365" i="5" s="1"/>
  <c r="A365" i="5"/>
  <c r="M364" i="5"/>
  <c r="N364" i="5" s="1"/>
  <c r="L364" i="5"/>
  <c r="K364" i="5"/>
  <c r="J364" i="5"/>
  <c r="I364" i="5"/>
  <c r="H364" i="5"/>
  <c r="E364" i="5"/>
  <c r="G364" i="5" s="1"/>
  <c r="D364" i="5"/>
  <c r="B364" i="5"/>
  <c r="C364" i="5" s="1"/>
  <c r="A364" i="5"/>
  <c r="M363" i="5"/>
  <c r="N363" i="5" s="1"/>
  <c r="L363" i="5"/>
  <c r="K363" i="5"/>
  <c r="J363" i="5"/>
  <c r="I363" i="5"/>
  <c r="H363" i="5"/>
  <c r="E363" i="5"/>
  <c r="G363" i="5" s="1"/>
  <c r="D363" i="5"/>
  <c r="B363" i="5"/>
  <c r="C363" i="5" s="1"/>
  <c r="A363" i="5"/>
  <c r="M362" i="5"/>
  <c r="N362" i="5" s="1"/>
  <c r="L362" i="5"/>
  <c r="K362" i="5"/>
  <c r="J362" i="5"/>
  <c r="I362" i="5"/>
  <c r="H362" i="5"/>
  <c r="E362" i="5"/>
  <c r="G362" i="5" s="1"/>
  <c r="D362" i="5"/>
  <c r="B362" i="5"/>
  <c r="C362" i="5" s="1"/>
  <c r="A362" i="5"/>
  <c r="M361" i="5"/>
  <c r="N361" i="5" s="1"/>
  <c r="L361" i="5"/>
  <c r="K361" i="5"/>
  <c r="J361" i="5"/>
  <c r="I361" i="5"/>
  <c r="H361" i="5"/>
  <c r="E361" i="5"/>
  <c r="G361" i="5" s="1"/>
  <c r="D361" i="5"/>
  <c r="B361" i="5"/>
  <c r="C361" i="5" s="1"/>
  <c r="A361" i="5"/>
  <c r="M360" i="5"/>
  <c r="N360" i="5" s="1"/>
  <c r="L360" i="5"/>
  <c r="K360" i="5"/>
  <c r="J360" i="5"/>
  <c r="I360" i="5"/>
  <c r="H360" i="5"/>
  <c r="E360" i="5"/>
  <c r="G360" i="5" s="1"/>
  <c r="D360" i="5"/>
  <c r="B360" i="5"/>
  <c r="C360" i="5" s="1"/>
  <c r="A360" i="5"/>
  <c r="M359" i="5"/>
  <c r="N359" i="5" s="1"/>
  <c r="L359" i="5"/>
  <c r="K359" i="5"/>
  <c r="J359" i="5"/>
  <c r="I359" i="5"/>
  <c r="H359" i="5"/>
  <c r="E359" i="5"/>
  <c r="G359" i="5" s="1"/>
  <c r="D359" i="5"/>
  <c r="B359" i="5"/>
  <c r="C359" i="5" s="1"/>
  <c r="A359" i="5"/>
  <c r="M358" i="5"/>
  <c r="N358" i="5" s="1"/>
  <c r="L358" i="5"/>
  <c r="K358" i="5"/>
  <c r="J358" i="5"/>
  <c r="I358" i="5"/>
  <c r="H358" i="5"/>
  <c r="E358" i="5"/>
  <c r="G358" i="5" s="1"/>
  <c r="D358" i="5"/>
  <c r="B358" i="5"/>
  <c r="C358" i="5" s="1"/>
  <c r="A358" i="5"/>
  <c r="M357" i="5"/>
  <c r="N357" i="5" s="1"/>
  <c r="L357" i="5"/>
  <c r="K357" i="5"/>
  <c r="J357" i="5"/>
  <c r="I357" i="5"/>
  <c r="H357" i="5"/>
  <c r="E357" i="5"/>
  <c r="G357" i="5" s="1"/>
  <c r="D357" i="5"/>
  <c r="B357" i="5"/>
  <c r="C357" i="5" s="1"/>
  <c r="A357" i="5"/>
  <c r="M356" i="5"/>
  <c r="N356" i="5" s="1"/>
  <c r="L356" i="5"/>
  <c r="K356" i="5"/>
  <c r="J356" i="5"/>
  <c r="I356" i="5"/>
  <c r="H356" i="5"/>
  <c r="E356" i="5"/>
  <c r="G356" i="5" s="1"/>
  <c r="D356" i="5"/>
  <c r="B356" i="5"/>
  <c r="C356" i="5" s="1"/>
  <c r="A356" i="5"/>
  <c r="M355" i="5"/>
  <c r="N355" i="5" s="1"/>
  <c r="L355" i="5"/>
  <c r="K355" i="5"/>
  <c r="J355" i="5"/>
  <c r="I355" i="5"/>
  <c r="H355" i="5"/>
  <c r="E355" i="5"/>
  <c r="G355" i="5" s="1"/>
  <c r="D355" i="5"/>
  <c r="B355" i="5"/>
  <c r="C355" i="5" s="1"/>
  <c r="A355" i="5"/>
  <c r="N354" i="5"/>
  <c r="M354" i="5"/>
  <c r="L354" i="5"/>
  <c r="K354" i="5"/>
  <c r="J354" i="5"/>
  <c r="I354" i="5"/>
  <c r="H354" i="5"/>
  <c r="E354" i="5"/>
  <c r="G354" i="5" s="1"/>
  <c r="D354" i="5"/>
  <c r="B354" i="5"/>
  <c r="C354" i="5" s="1"/>
  <c r="A354" i="5"/>
  <c r="N353" i="5"/>
  <c r="M353" i="5"/>
  <c r="L353" i="5"/>
  <c r="K353" i="5"/>
  <c r="J353" i="5"/>
  <c r="I353" i="5"/>
  <c r="H353" i="5"/>
  <c r="E353" i="5"/>
  <c r="G353" i="5" s="1"/>
  <c r="D353" i="5"/>
  <c r="B353" i="5"/>
  <c r="C353" i="5" s="1"/>
  <c r="A353" i="5"/>
  <c r="M352" i="5"/>
  <c r="N352" i="5" s="1"/>
  <c r="L352" i="5"/>
  <c r="K352" i="5"/>
  <c r="J352" i="5"/>
  <c r="I352" i="5"/>
  <c r="H352" i="5"/>
  <c r="E352" i="5"/>
  <c r="G352" i="5" s="1"/>
  <c r="D352" i="5"/>
  <c r="B352" i="5"/>
  <c r="C352" i="5" s="1"/>
  <c r="A352" i="5"/>
  <c r="M351" i="5"/>
  <c r="N351" i="5" s="1"/>
  <c r="L351" i="5"/>
  <c r="K351" i="5"/>
  <c r="J351" i="5"/>
  <c r="I351" i="5"/>
  <c r="H351" i="5"/>
  <c r="E351" i="5"/>
  <c r="G351" i="5" s="1"/>
  <c r="D351" i="5"/>
  <c r="B351" i="5"/>
  <c r="C351" i="5" s="1"/>
  <c r="A351" i="5"/>
  <c r="M350" i="5"/>
  <c r="N350" i="5" s="1"/>
  <c r="L350" i="5"/>
  <c r="K350" i="5"/>
  <c r="J350" i="5"/>
  <c r="I350" i="5"/>
  <c r="H350" i="5"/>
  <c r="E350" i="5"/>
  <c r="G350" i="5" s="1"/>
  <c r="D350" i="5"/>
  <c r="B350" i="5"/>
  <c r="C350" i="5" s="1"/>
  <c r="A350" i="5"/>
  <c r="M349" i="5"/>
  <c r="N349" i="5" s="1"/>
  <c r="L349" i="5"/>
  <c r="K349" i="5"/>
  <c r="J349" i="5"/>
  <c r="I349" i="5"/>
  <c r="H349" i="5"/>
  <c r="E349" i="5"/>
  <c r="G349" i="5" s="1"/>
  <c r="D349" i="5"/>
  <c r="B349" i="5"/>
  <c r="C349" i="5" s="1"/>
  <c r="A349" i="5"/>
  <c r="M348" i="5"/>
  <c r="N348" i="5" s="1"/>
  <c r="L348" i="5"/>
  <c r="K348" i="5"/>
  <c r="J348" i="5"/>
  <c r="I348" i="5"/>
  <c r="H348" i="5"/>
  <c r="E348" i="5"/>
  <c r="G348" i="5" s="1"/>
  <c r="D348" i="5"/>
  <c r="B348" i="5"/>
  <c r="C348" i="5" s="1"/>
  <c r="A348" i="5"/>
  <c r="M347" i="5"/>
  <c r="N347" i="5" s="1"/>
  <c r="L347" i="5"/>
  <c r="K347" i="5"/>
  <c r="J347" i="5"/>
  <c r="I347" i="5"/>
  <c r="H347" i="5"/>
  <c r="E347" i="5"/>
  <c r="G347" i="5" s="1"/>
  <c r="D347" i="5"/>
  <c r="B347" i="5"/>
  <c r="C347" i="5" s="1"/>
  <c r="A347" i="5"/>
  <c r="M346" i="5"/>
  <c r="N346" i="5" s="1"/>
  <c r="L346" i="5"/>
  <c r="K346" i="5"/>
  <c r="J346" i="5"/>
  <c r="I346" i="5"/>
  <c r="H346" i="5"/>
  <c r="E346" i="5"/>
  <c r="G346" i="5" s="1"/>
  <c r="D346" i="5"/>
  <c r="B346" i="5"/>
  <c r="C346" i="5" s="1"/>
  <c r="A346" i="5"/>
  <c r="M345" i="5"/>
  <c r="N345" i="5" s="1"/>
  <c r="L345" i="5"/>
  <c r="K345" i="5"/>
  <c r="J345" i="5"/>
  <c r="I345" i="5"/>
  <c r="H345" i="5"/>
  <c r="E345" i="5"/>
  <c r="G345" i="5" s="1"/>
  <c r="D345" i="5"/>
  <c r="B345" i="5"/>
  <c r="C345" i="5" s="1"/>
  <c r="A345" i="5"/>
  <c r="M344" i="5"/>
  <c r="N344" i="5" s="1"/>
  <c r="L344" i="5"/>
  <c r="K344" i="5"/>
  <c r="J344" i="5"/>
  <c r="I344" i="5"/>
  <c r="H344" i="5"/>
  <c r="E344" i="5"/>
  <c r="G344" i="5" s="1"/>
  <c r="D344" i="5"/>
  <c r="B344" i="5"/>
  <c r="C344" i="5" s="1"/>
  <c r="A344" i="5"/>
  <c r="M343" i="5"/>
  <c r="N343" i="5" s="1"/>
  <c r="L343" i="5"/>
  <c r="K343" i="5"/>
  <c r="J343" i="5"/>
  <c r="I343" i="5"/>
  <c r="H343" i="5"/>
  <c r="E343" i="5"/>
  <c r="G343" i="5" s="1"/>
  <c r="D343" i="5"/>
  <c r="B343" i="5"/>
  <c r="C343" i="5" s="1"/>
  <c r="A343" i="5"/>
  <c r="N342" i="5"/>
  <c r="M342" i="5"/>
  <c r="L342" i="5"/>
  <c r="K342" i="5"/>
  <c r="J342" i="5"/>
  <c r="I342" i="5"/>
  <c r="H342" i="5"/>
  <c r="E342" i="5"/>
  <c r="G342" i="5" s="1"/>
  <c r="D342" i="5"/>
  <c r="B342" i="5"/>
  <c r="C342" i="5" s="1"/>
  <c r="A342" i="5"/>
  <c r="M341" i="5"/>
  <c r="N341" i="5" s="1"/>
  <c r="L341" i="5"/>
  <c r="K341" i="5"/>
  <c r="J341" i="5"/>
  <c r="I341" i="5"/>
  <c r="H341" i="5"/>
  <c r="E341" i="5"/>
  <c r="G341" i="5" s="1"/>
  <c r="D341" i="5"/>
  <c r="B341" i="5"/>
  <c r="C341" i="5" s="1"/>
  <c r="A341" i="5"/>
  <c r="M340" i="5"/>
  <c r="N340" i="5" s="1"/>
  <c r="L340" i="5"/>
  <c r="K340" i="5"/>
  <c r="J340" i="5"/>
  <c r="I340" i="5"/>
  <c r="H340" i="5"/>
  <c r="E340" i="5"/>
  <c r="G340" i="5" s="1"/>
  <c r="D340" i="5"/>
  <c r="B340" i="5"/>
  <c r="C340" i="5" s="1"/>
  <c r="A340" i="5"/>
  <c r="M339" i="5"/>
  <c r="N339" i="5" s="1"/>
  <c r="L339" i="5"/>
  <c r="K339" i="5"/>
  <c r="J339" i="5"/>
  <c r="I339" i="5"/>
  <c r="H339" i="5"/>
  <c r="E339" i="5"/>
  <c r="G339" i="5" s="1"/>
  <c r="D339" i="5"/>
  <c r="B339" i="5"/>
  <c r="C339" i="5" s="1"/>
  <c r="A339" i="5"/>
  <c r="M338" i="5"/>
  <c r="N338" i="5" s="1"/>
  <c r="L338" i="5"/>
  <c r="K338" i="5"/>
  <c r="J338" i="5"/>
  <c r="I338" i="5"/>
  <c r="H338" i="5"/>
  <c r="E338" i="5"/>
  <c r="G338" i="5" s="1"/>
  <c r="D338" i="5"/>
  <c r="B338" i="5"/>
  <c r="C338" i="5" s="1"/>
  <c r="A338" i="5"/>
  <c r="M337" i="5"/>
  <c r="N337" i="5" s="1"/>
  <c r="L337" i="5"/>
  <c r="K337" i="5"/>
  <c r="J337" i="5"/>
  <c r="I337" i="5"/>
  <c r="H337" i="5"/>
  <c r="E337" i="5"/>
  <c r="G337" i="5" s="1"/>
  <c r="D337" i="5"/>
  <c r="B337" i="5"/>
  <c r="C337" i="5" s="1"/>
  <c r="A337" i="5"/>
  <c r="M336" i="5"/>
  <c r="N336" i="5" s="1"/>
  <c r="L336" i="5"/>
  <c r="K336" i="5"/>
  <c r="J336" i="5"/>
  <c r="I336" i="5"/>
  <c r="H336" i="5"/>
  <c r="E336" i="5"/>
  <c r="G336" i="5" s="1"/>
  <c r="D336" i="5"/>
  <c r="B336" i="5"/>
  <c r="C336" i="5" s="1"/>
  <c r="A336" i="5"/>
  <c r="M335" i="5"/>
  <c r="N335" i="5" s="1"/>
  <c r="L335" i="5"/>
  <c r="K335" i="5"/>
  <c r="J335" i="5"/>
  <c r="I335" i="5"/>
  <c r="H335" i="5"/>
  <c r="E335" i="5"/>
  <c r="G335" i="5" s="1"/>
  <c r="D335" i="5"/>
  <c r="B335" i="5"/>
  <c r="C335" i="5" s="1"/>
  <c r="A335" i="5"/>
  <c r="N334" i="5"/>
  <c r="M334" i="5"/>
  <c r="L334" i="5"/>
  <c r="K334" i="5"/>
  <c r="J334" i="5"/>
  <c r="I334" i="5"/>
  <c r="H334" i="5"/>
  <c r="E334" i="5"/>
  <c r="G334" i="5" s="1"/>
  <c r="D334" i="5"/>
  <c r="B334" i="5"/>
  <c r="C334" i="5" s="1"/>
  <c r="A334" i="5"/>
  <c r="M333" i="5"/>
  <c r="N333" i="5" s="1"/>
  <c r="L333" i="5"/>
  <c r="K333" i="5"/>
  <c r="J333" i="5"/>
  <c r="I333" i="5"/>
  <c r="H333" i="5"/>
  <c r="E333" i="5"/>
  <c r="G333" i="5" s="1"/>
  <c r="D333" i="5"/>
  <c r="B333" i="5"/>
  <c r="C333" i="5" s="1"/>
  <c r="A333" i="5"/>
  <c r="M332" i="5"/>
  <c r="N332" i="5" s="1"/>
  <c r="L332" i="5"/>
  <c r="K332" i="5"/>
  <c r="J332" i="5"/>
  <c r="I332" i="5"/>
  <c r="H332" i="5"/>
  <c r="E332" i="5"/>
  <c r="G332" i="5" s="1"/>
  <c r="D332" i="5"/>
  <c r="B332" i="5"/>
  <c r="C332" i="5" s="1"/>
  <c r="A332" i="5"/>
  <c r="M331" i="5"/>
  <c r="N331" i="5" s="1"/>
  <c r="L331" i="5"/>
  <c r="K331" i="5"/>
  <c r="J331" i="5"/>
  <c r="I331" i="5"/>
  <c r="H331" i="5"/>
  <c r="E331" i="5"/>
  <c r="G331" i="5" s="1"/>
  <c r="D331" i="5"/>
  <c r="B331" i="5"/>
  <c r="C331" i="5" s="1"/>
  <c r="A331" i="5"/>
  <c r="M330" i="5"/>
  <c r="N330" i="5" s="1"/>
  <c r="L330" i="5"/>
  <c r="K330" i="5"/>
  <c r="J330" i="5"/>
  <c r="I330" i="5"/>
  <c r="H330" i="5"/>
  <c r="E330" i="5"/>
  <c r="G330" i="5" s="1"/>
  <c r="D330" i="5"/>
  <c r="B330" i="5"/>
  <c r="C330" i="5" s="1"/>
  <c r="A330" i="5"/>
  <c r="M329" i="5"/>
  <c r="N329" i="5" s="1"/>
  <c r="L329" i="5"/>
  <c r="K329" i="5"/>
  <c r="J329" i="5"/>
  <c r="I329" i="5"/>
  <c r="H329" i="5"/>
  <c r="E329" i="5"/>
  <c r="G329" i="5" s="1"/>
  <c r="D329" i="5"/>
  <c r="B329" i="5"/>
  <c r="C329" i="5" s="1"/>
  <c r="A329" i="5"/>
  <c r="M328" i="5"/>
  <c r="N328" i="5" s="1"/>
  <c r="L328" i="5"/>
  <c r="K328" i="5"/>
  <c r="J328" i="5"/>
  <c r="I328" i="5"/>
  <c r="H328" i="5"/>
  <c r="E328" i="5"/>
  <c r="G328" i="5" s="1"/>
  <c r="D328" i="5"/>
  <c r="B328" i="5"/>
  <c r="C328" i="5" s="1"/>
  <c r="A328" i="5"/>
  <c r="M327" i="5"/>
  <c r="N327" i="5" s="1"/>
  <c r="L327" i="5"/>
  <c r="K327" i="5"/>
  <c r="J327" i="5"/>
  <c r="I327" i="5"/>
  <c r="H327" i="5"/>
  <c r="E327" i="5"/>
  <c r="G327" i="5" s="1"/>
  <c r="D327" i="5"/>
  <c r="B327" i="5"/>
  <c r="C327" i="5" s="1"/>
  <c r="A327" i="5"/>
  <c r="M326" i="5"/>
  <c r="N326" i="5" s="1"/>
  <c r="L326" i="5"/>
  <c r="K326" i="5"/>
  <c r="J326" i="5"/>
  <c r="I326" i="5"/>
  <c r="H326" i="5"/>
  <c r="E326" i="5"/>
  <c r="G326" i="5" s="1"/>
  <c r="D326" i="5"/>
  <c r="B326" i="5"/>
  <c r="C326" i="5" s="1"/>
  <c r="A326" i="5"/>
  <c r="M325" i="5"/>
  <c r="N325" i="5" s="1"/>
  <c r="L325" i="5"/>
  <c r="K325" i="5"/>
  <c r="J325" i="5"/>
  <c r="I325" i="5"/>
  <c r="H325" i="5"/>
  <c r="E325" i="5"/>
  <c r="G325" i="5" s="1"/>
  <c r="D325" i="5"/>
  <c r="B325" i="5"/>
  <c r="C325" i="5" s="1"/>
  <c r="A325" i="5"/>
  <c r="M324" i="5"/>
  <c r="N324" i="5" s="1"/>
  <c r="L324" i="5"/>
  <c r="K324" i="5"/>
  <c r="J324" i="5"/>
  <c r="I324" i="5"/>
  <c r="H324" i="5"/>
  <c r="E324" i="5"/>
  <c r="G324" i="5" s="1"/>
  <c r="D324" i="5"/>
  <c r="B324" i="5"/>
  <c r="C324" i="5" s="1"/>
  <c r="A324" i="5"/>
  <c r="M323" i="5"/>
  <c r="N323" i="5" s="1"/>
  <c r="L323" i="5"/>
  <c r="K323" i="5"/>
  <c r="J323" i="5"/>
  <c r="I323" i="5"/>
  <c r="H323" i="5"/>
  <c r="E323" i="5"/>
  <c r="G323" i="5" s="1"/>
  <c r="D323" i="5"/>
  <c r="B323" i="5"/>
  <c r="C323" i="5" s="1"/>
  <c r="A323" i="5"/>
  <c r="M322" i="5"/>
  <c r="N322" i="5" s="1"/>
  <c r="L322" i="5"/>
  <c r="K322" i="5"/>
  <c r="J322" i="5"/>
  <c r="I322" i="5"/>
  <c r="H322" i="5"/>
  <c r="E322" i="5"/>
  <c r="G322" i="5" s="1"/>
  <c r="D322" i="5"/>
  <c r="B322" i="5"/>
  <c r="C322" i="5" s="1"/>
  <c r="A322" i="5"/>
  <c r="M321" i="5"/>
  <c r="N321" i="5" s="1"/>
  <c r="L321" i="5"/>
  <c r="K321" i="5"/>
  <c r="J321" i="5"/>
  <c r="I321" i="5"/>
  <c r="H321" i="5"/>
  <c r="E321" i="5"/>
  <c r="G321" i="5" s="1"/>
  <c r="D321" i="5"/>
  <c r="B321" i="5"/>
  <c r="C321" i="5" s="1"/>
  <c r="A321" i="5"/>
  <c r="M320" i="5"/>
  <c r="N320" i="5" s="1"/>
  <c r="L320" i="5"/>
  <c r="K320" i="5"/>
  <c r="J320" i="5"/>
  <c r="I320" i="5"/>
  <c r="H320" i="5"/>
  <c r="E320" i="5"/>
  <c r="G320" i="5" s="1"/>
  <c r="D320" i="5"/>
  <c r="B320" i="5"/>
  <c r="C320" i="5" s="1"/>
  <c r="A320" i="5"/>
  <c r="M319" i="5"/>
  <c r="N319" i="5" s="1"/>
  <c r="L319" i="5"/>
  <c r="K319" i="5"/>
  <c r="J319" i="5"/>
  <c r="I319" i="5"/>
  <c r="H319" i="5"/>
  <c r="E319" i="5"/>
  <c r="G319" i="5" s="1"/>
  <c r="D319" i="5"/>
  <c r="B319" i="5"/>
  <c r="C319" i="5" s="1"/>
  <c r="A319" i="5"/>
  <c r="M318" i="5"/>
  <c r="N318" i="5" s="1"/>
  <c r="L318" i="5"/>
  <c r="K318" i="5"/>
  <c r="J318" i="5"/>
  <c r="I318" i="5"/>
  <c r="H318" i="5"/>
  <c r="E318" i="5"/>
  <c r="G318" i="5" s="1"/>
  <c r="D318" i="5"/>
  <c r="B318" i="5"/>
  <c r="C318" i="5" s="1"/>
  <c r="A318" i="5"/>
  <c r="M317" i="5"/>
  <c r="N317" i="5" s="1"/>
  <c r="L317" i="5"/>
  <c r="K317" i="5"/>
  <c r="J317" i="5"/>
  <c r="I317" i="5"/>
  <c r="H317" i="5"/>
  <c r="E317" i="5"/>
  <c r="G317" i="5" s="1"/>
  <c r="D317" i="5"/>
  <c r="B317" i="5"/>
  <c r="C317" i="5" s="1"/>
  <c r="A317" i="5"/>
  <c r="M316" i="5"/>
  <c r="N316" i="5" s="1"/>
  <c r="L316" i="5"/>
  <c r="K316" i="5"/>
  <c r="J316" i="5"/>
  <c r="I316" i="5"/>
  <c r="H316" i="5"/>
  <c r="E316" i="5"/>
  <c r="G316" i="5" s="1"/>
  <c r="D316" i="5"/>
  <c r="B316" i="5"/>
  <c r="C316" i="5" s="1"/>
  <c r="A316" i="5"/>
  <c r="M315" i="5"/>
  <c r="N315" i="5" s="1"/>
  <c r="L315" i="5"/>
  <c r="K315" i="5"/>
  <c r="J315" i="5"/>
  <c r="I315" i="5"/>
  <c r="H315" i="5"/>
  <c r="E315" i="5"/>
  <c r="G315" i="5" s="1"/>
  <c r="D315" i="5"/>
  <c r="B315" i="5"/>
  <c r="C315" i="5" s="1"/>
  <c r="A315" i="5"/>
  <c r="M314" i="5"/>
  <c r="N314" i="5" s="1"/>
  <c r="L314" i="5"/>
  <c r="K314" i="5"/>
  <c r="J314" i="5"/>
  <c r="I314" i="5"/>
  <c r="H314" i="5"/>
  <c r="E314" i="5"/>
  <c r="G314" i="5" s="1"/>
  <c r="D314" i="5"/>
  <c r="B314" i="5"/>
  <c r="C314" i="5" s="1"/>
  <c r="A314" i="5"/>
  <c r="M313" i="5"/>
  <c r="N313" i="5" s="1"/>
  <c r="L313" i="5"/>
  <c r="K313" i="5"/>
  <c r="J313" i="5"/>
  <c r="I313" i="5"/>
  <c r="H313" i="5"/>
  <c r="E313" i="5"/>
  <c r="G313" i="5" s="1"/>
  <c r="D313" i="5"/>
  <c r="B313" i="5"/>
  <c r="C313" i="5" s="1"/>
  <c r="A313" i="5"/>
  <c r="M312" i="5"/>
  <c r="N312" i="5" s="1"/>
  <c r="L312" i="5"/>
  <c r="K312" i="5"/>
  <c r="J312" i="5"/>
  <c r="I312" i="5"/>
  <c r="H312" i="5"/>
  <c r="E312" i="5"/>
  <c r="G312" i="5" s="1"/>
  <c r="D312" i="5"/>
  <c r="B312" i="5"/>
  <c r="C312" i="5" s="1"/>
  <c r="A312" i="5"/>
  <c r="M311" i="5"/>
  <c r="N311" i="5" s="1"/>
  <c r="L311" i="5"/>
  <c r="K311" i="5"/>
  <c r="J311" i="5"/>
  <c r="I311" i="5"/>
  <c r="H311" i="5"/>
  <c r="E311" i="5"/>
  <c r="G311" i="5" s="1"/>
  <c r="D311" i="5"/>
  <c r="B311" i="5"/>
  <c r="C311" i="5" s="1"/>
  <c r="A311" i="5"/>
  <c r="M310" i="5"/>
  <c r="N310" i="5" s="1"/>
  <c r="L310" i="5"/>
  <c r="K310" i="5"/>
  <c r="J310" i="5"/>
  <c r="I310" i="5"/>
  <c r="H310" i="5"/>
  <c r="E310" i="5"/>
  <c r="G310" i="5" s="1"/>
  <c r="D310" i="5"/>
  <c r="B310" i="5"/>
  <c r="C310" i="5" s="1"/>
  <c r="A310" i="5"/>
  <c r="M309" i="5"/>
  <c r="N309" i="5" s="1"/>
  <c r="L309" i="5"/>
  <c r="K309" i="5"/>
  <c r="J309" i="5"/>
  <c r="I309" i="5"/>
  <c r="H309" i="5"/>
  <c r="E309" i="5"/>
  <c r="G309" i="5" s="1"/>
  <c r="D309" i="5"/>
  <c r="B309" i="5"/>
  <c r="C309" i="5" s="1"/>
  <c r="A309" i="5"/>
  <c r="M308" i="5"/>
  <c r="N308" i="5" s="1"/>
  <c r="L308" i="5"/>
  <c r="K308" i="5"/>
  <c r="J308" i="5"/>
  <c r="I308" i="5"/>
  <c r="H308" i="5"/>
  <c r="E308" i="5"/>
  <c r="G308" i="5" s="1"/>
  <c r="D308" i="5"/>
  <c r="B308" i="5"/>
  <c r="C308" i="5" s="1"/>
  <c r="A308" i="5"/>
  <c r="M307" i="5"/>
  <c r="N307" i="5" s="1"/>
  <c r="L307" i="5"/>
  <c r="K307" i="5"/>
  <c r="J307" i="5"/>
  <c r="I307" i="5"/>
  <c r="H307" i="5"/>
  <c r="E307" i="5"/>
  <c r="G307" i="5" s="1"/>
  <c r="D307" i="5"/>
  <c r="B307" i="5"/>
  <c r="C307" i="5" s="1"/>
  <c r="A307" i="5"/>
  <c r="M306" i="5"/>
  <c r="N306" i="5" s="1"/>
  <c r="L306" i="5"/>
  <c r="K306" i="5"/>
  <c r="J306" i="5"/>
  <c r="I306" i="5"/>
  <c r="H306" i="5"/>
  <c r="E306" i="5"/>
  <c r="G306" i="5" s="1"/>
  <c r="D306" i="5"/>
  <c r="B306" i="5"/>
  <c r="C306" i="5" s="1"/>
  <c r="A306" i="5"/>
  <c r="M305" i="5"/>
  <c r="N305" i="5" s="1"/>
  <c r="L305" i="5"/>
  <c r="K305" i="5"/>
  <c r="J305" i="5"/>
  <c r="I305" i="5"/>
  <c r="H305" i="5"/>
  <c r="E305" i="5"/>
  <c r="G305" i="5" s="1"/>
  <c r="D305" i="5"/>
  <c r="B305" i="5"/>
  <c r="C305" i="5" s="1"/>
  <c r="A305" i="5"/>
  <c r="M304" i="5"/>
  <c r="N304" i="5" s="1"/>
  <c r="L304" i="5"/>
  <c r="K304" i="5"/>
  <c r="J304" i="5"/>
  <c r="I304" i="5"/>
  <c r="H304" i="5"/>
  <c r="E304" i="5"/>
  <c r="G304" i="5" s="1"/>
  <c r="D304" i="5"/>
  <c r="B304" i="5"/>
  <c r="C304" i="5" s="1"/>
  <c r="A304" i="5"/>
  <c r="M303" i="5"/>
  <c r="N303" i="5" s="1"/>
  <c r="L303" i="5"/>
  <c r="K303" i="5"/>
  <c r="J303" i="5"/>
  <c r="I303" i="5"/>
  <c r="H303" i="5"/>
  <c r="E303" i="5"/>
  <c r="G303" i="5" s="1"/>
  <c r="D303" i="5"/>
  <c r="B303" i="5"/>
  <c r="C303" i="5" s="1"/>
  <c r="A303" i="5"/>
  <c r="N302" i="5"/>
  <c r="M302" i="5"/>
  <c r="L302" i="5"/>
  <c r="K302" i="5"/>
  <c r="J302" i="5"/>
  <c r="I302" i="5"/>
  <c r="H302" i="5"/>
  <c r="E302" i="5"/>
  <c r="G302" i="5" s="1"/>
  <c r="D302" i="5"/>
  <c r="B302" i="5"/>
  <c r="C302" i="5" s="1"/>
  <c r="A302" i="5"/>
  <c r="M301" i="5"/>
  <c r="N301" i="5" s="1"/>
  <c r="L301" i="5"/>
  <c r="K301" i="5"/>
  <c r="J301" i="5"/>
  <c r="I301" i="5"/>
  <c r="H301" i="5"/>
  <c r="E301" i="5"/>
  <c r="G301" i="5" s="1"/>
  <c r="D301" i="5"/>
  <c r="B301" i="5"/>
  <c r="C301" i="5" s="1"/>
  <c r="A301" i="5"/>
  <c r="M300" i="5"/>
  <c r="N300" i="5" s="1"/>
  <c r="L300" i="5"/>
  <c r="K300" i="5"/>
  <c r="J300" i="5"/>
  <c r="I300" i="5"/>
  <c r="H300" i="5"/>
  <c r="E300" i="5"/>
  <c r="G300" i="5" s="1"/>
  <c r="D300" i="5"/>
  <c r="B300" i="5"/>
  <c r="C300" i="5" s="1"/>
  <c r="A300" i="5"/>
  <c r="M299" i="5"/>
  <c r="N299" i="5" s="1"/>
  <c r="L299" i="5"/>
  <c r="K299" i="5"/>
  <c r="J299" i="5"/>
  <c r="I299" i="5"/>
  <c r="H299" i="5"/>
  <c r="E299" i="5"/>
  <c r="G299" i="5" s="1"/>
  <c r="D299" i="5"/>
  <c r="B299" i="5"/>
  <c r="C299" i="5" s="1"/>
  <c r="A299" i="5"/>
  <c r="M298" i="5"/>
  <c r="N298" i="5" s="1"/>
  <c r="L298" i="5"/>
  <c r="K298" i="5"/>
  <c r="J298" i="5"/>
  <c r="I298" i="5"/>
  <c r="H298" i="5"/>
  <c r="E298" i="5"/>
  <c r="G298" i="5" s="1"/>
  <c r="D298" i="5"/>
  <c r="B298" i="5"/>
  <c r="C298" i="5" s="1"/>
  <c r="A298" i="5"/>
  <c r="M297" i="5"/>
  <c r="N297" i="5" s="1"/>
  <c r="L297" i="5"/>
  <c r="K297" i="5"/>
  <c r="J297" i="5"/>
  <c r="I297" i="5"/>
  <c r="H297" i="5"/>
  <c r="E297" i="5"/>
  <c r="G297" i="5" s="1"/>
  <c r="D297" i="5"/>
  <c r="B297" i="5"/>
  <c r="C297" i="5" s="1"/>
  <c r="A297" i="5"/>
  <c r="M296" i="5"/>
  <c r="N296" i="5" s="1"/>
  <c r="L296" i="5"/>
  <c r="K296" i="5"/>
  <c r="J296" i="5"/>
  <c r="I296" i="5"/>
  <c r="H296" i="5"/>
  <c r="E296" i="5"/>
  <c r="G296" i="5" s="1"/>
  <c r="D296" i="5"/>
  <c r="B296" i="5"/>
  <c r="C296" i="5" s="1"/>
  <c r="A296" i="5"/>
  <c r="M295" i="5"/>
  <c r="N295" i="5" s="1"/>
  <c r="L295" i="5"/>
  <c r="K295" i="5"/>
  <c r="J295" i="5"/>
  <c r="I295" i="5"/>
  <c r="H295" i="5"/>
  <c r="E295" i="5"/>
  <c r="G295" i="5" s="1"/>
  <c r="D295" i="5"/>
  <c r="B295" i="5"/>
  <c r="C295" i="5" s="1"/>
  <c r="A295" i="5"/>
  <c r="M294" i="5"/>
  <c r="N294" i="5" s="1"/>
  <c r="L294" i="5"/>
  <c r="K294" i="5"/>
  <c r="J294" i="5"/>
  <c r="I294" i="5"/>
  <c r="H294" i="5"/>
  <c r="E294" i="5"/>
  <c r="G294" i="5" s="1"/>
  <c r="D294" i="5"/>
  <c r="B294" i="5"/>
  <c r="C294" i="5" s="1"/>
  <c r="A294" i="5"/>
  <c r="M293" i="5"/>
  <c r="N293" i="5" s="1"/>
  <c r="L293" i="5"/>
  <c r="K293" i="5"/>
  <c r="J293" i="5"/>
  <c r="I293" i="5"/>
  <c r="H293" i="5"/>
  <c r="E293" i="5"/>
  <c r="G293" i="5" s="1"/>
  <c r="D293" i="5"/>
  <c r="B293" i="5"/>
  <c r="C293" i="5" s="1"/>
  <c r="A293" i="5"/>
  <c r="M292" i="5"/>
  <c r="N292" i="5" s="1"/>
  <c r="L292" i="5"/>
  <c r="K292" i="5"/>
  <c r="J292" i="5"/>
  <c r="I292" i="5"/>
  <c r="H292" i="5"/>
  <c r="E292" i="5"/>
  <c r="G292" i="5" s="1"/>
  <c r="D292" i="5"/>
  <c r="B292" i="5"/>
  <c r="C292" i="5" s="1"/>
  <c r="A292" i="5"/>
  <c r="M291" i="5"/>
  <c r="N291" i="5" s="1"/>
  <c r="L291" i="5"/>
  <c r="K291" i="5"/>
  <c r="J291" i="5"/>
  <c r="I291" i="5"/>
  <c r="H291" i="5"/>
  <c r="E291" i="5"/>
  <c r="G291" i="5" s="1"/>
  <c r="D291" i="5"/>
  <c r="B291" i="5"/>
  <c r="C291" i="5" s="1"/>
  <c r="A291" i="5"/>
  <c r="M290" i="5"/>
  <c r="N290" i="5" s="1"/>
  <c r="L290" i="5"/>
  <c r="K290" i="5"/>
  <c r="J290" i="5"/>
  <c r="I290" i="5"/>
  <c r="H290" i="5"/>
  <c r="E290" i="5"/>
  <c r="G290" i="5" s="1"/>
  <c r="D290" i="5"/>
  <c r="B290" i="5"/>
  <c r="C290" i="5" s="1"/>
  <c r="A290" i="5"/>
  <c r="M289" i="5"/>
  <c r="N289" i="5" s="1"/>
  <c r="L289" i="5"/>
  <c r="K289" i="5"/>
  <c r="J289" i="5"/>
  <c r="I289" i="5"/>
  <c r="H289" i="5"/>
  <c r="E289" i="5"/>
  <c r="G289" i="5" s="1"/>
  <c r="D289" i="5"/>
  <c r="B289" i="5"/>
  <c r="C289" i="5" s="1"/>
  <c r="A289" i="5"/>
  <c r="M288" i="5"/>
  <c r="N288" i="5" s="1"/>
  <c r="L288" i="5"/>
  <c r="K288" i="5"/>
  <c r="J288" i="5"/>
  <c r="I288" i="5"/>
  <c r="H288" i="5"/>
  <c r="E288" i="5"/>
  <c r="G288" i="5" s="1"/>
  <c r="D288" i="5"/>
  <c r="B288" i="5"/>
  <c r="C288" i="5" s="1"/>
  <c r="A288" i="5"/>
  <c r="M287" i="5"/>
  <c r="N287" i="5" s="1"/>
  <c r="L287" i="5"/>
  <c r="K287" i="5"/>
  <c r="J287" i="5"/>
  <c r="I287" i="5"/>
  <c r="H287" i="5"/>
  <c r="E287" i="5"/>
  <c r="G287" i="5" s="1"/>
  <c r="D287" i="5"/>
  <c r="C287" i="5"/>
  <c r="B287" i="5"/>
  <c r="A287" i="5"/>
  <c r="M286" i="5"/>
  <c r="N286" i="5" s="1"/>
  <c r="L286" i="5"/>
  <c r="K286" i="5"/>
  <c r="J286" i="5"/>
  <c r="I286" i="5"/>
  <c r="H286" i="5"/>
  <c r="E286" i="5"/>
  <c r="G286" i="5" s="1"/>
  <c r="D286" i="5"/>
  <c r="B286" i="5"/>
  <c r="C286" i="5" s="1"/>
  <c r="A286" i="5"/>
  <c r="M285" i="5"/>
  <c r="N285" i="5" s="1"/>
  <c r="L285" i="5"/>
  <c r="K285" i="5"/>
  <c r="J285" i="5"/>
  <c r="I285" i="5"/>
  <c r="H285" i="5"/>
  <c r="E285" i="5"/>
  <c r="G285" i="5" s="1"/>
  <c r="D285" i="5"/>
  <c r="B285" i="5"/>
  <c r="C285" i="5" s="1"/>
  <c r="A285" i="5"/>
  <c r="M284" i="5"/>
  <c r="N284" i="5" s="1"/>
  <c r="L284" i="5"/>
  <c r="K284" i="5"/>
  <c r="J284" i="5"/>
  <c r="I284" i="5"/>
  <c r="H284" i="5"/>
  <c r="E284" i="5"/>
  <c r="G284" i="5" s="1"/>
  <c r="D284" i="5"/>
  <c r="B284" i="5"/>
  <c r="C284" i="5" s="1"/>
  <c r="A284" i="5"/>
  <c r="M283" i="5"/>
  <c r="N283" i="5" s="1"/>
  <c r="L283" i="5"/>
  <c r="K283" i="5"/>
  <c r="J283" i="5"/>
  <c r="I283" i="5"/>
  <c r="H283" i="5"/>
  <c r="E283" i="5"/>
  <c r="G283" i="5" s="1"/>
  <c r="D283" i="5"/>
  <c r="B283" i="5"/>
  <c r="C283" i="5" s="1"/>
  <c r="A283" i="5"/>
  <c r="M282" i="5"/>
  <c r="N282" i="5" s="1"/>
  <c r="L282" i="5"/>
  <c r="K282" i="5"/>
  <c r="J282" i="5"/>
  <c r="I282" i="5"/>
  <c r="H282" i="5"/>
  <c r="E282" i="5"/>
  <c r="G282" i="5" s="1"/>
  <c r="D282" i="5"/>
  <c r="B282" i="5"/>
  <c r="C282" i="5" s="1"/>
  <c r="A282" i="5"/>
  <c r="M281" i="5"/>
  <c r="N281" i="5" s="1"/>
  <c r="L281" i="5"/>
  <c r="K281" i="5"/>
  <c r="J281" i="5"/>
  <c r="I281" i="5"/>
  <c r="H281" i="5"/>
  <c r="E281" i="5"/>
  <c r="G281" i="5" s="1"/>
  <c r="D281" i="5"/>
  <c r="B281" i="5"/>
  <c r="C281" i="5" s="1"/>
  <c r="A281" i="5"/>
  <c r="M280" i="5"/>
  <c r="N280" i="5" s="1"/>
  <c r="L280" i="5"/>
  <c r="K280" i="5"/>
  <c r="J280" i="5"/>
  <c r="I280" i="5"/>
  <c r="H280" i="5"/>
  <c r="E280" i="5"/>
  <c r="G280" i="5" s="1"/>
  <c r="D280" i="5"/>
  <c r="B280" i="5"/>
  <c r="C280" i="5" s="1"/>
  <c r="A280" i="5"/>
  <c r="M279" i="5"/>
  <c r="N279" i="5" s="1"/>
  <c r="L279" i="5"/>
  <c r="K279" i="5"/>
  <c r="J279" i="5"/>
  <c r="I279" i="5"/>
  <c r="H279" i="5"/>
  <c r="E279" i="5"/>
  <c r="G279" i="5" s="1"/>
  <c r="D279" i="5"/>
  <c r="B279" i="5"/>
  <c r="C279" i="5" s="1"/>
  <c r="A279" i="5"/>
  <c r="M278" i="5"/>
  <c r="N278" i="5" s="1"/>
  <c r="L278" i="5"/>
  <c r="K278" i="5"/>
  <c r="J278" i="5"/>
  <c r="I278" i="5"/>
  <c r="H278" i="5"/>
  <c r="E278" i="5"/>
  <c r="G278" i="5" s="1"/>
  <c r="D278" i="5"/>
  <c r="B278" i="5"/>
  <c r="C278" i="5" s="1"/>
  <c r="A278" i="5"/>
  <c r="M277" i="5"/>
  <c r="N277" i="5" s="1"/>
  <c r="L277" i="5"/>
  <c r="K277" i="5"/>
  <c r="J277" i="5"/>
  <c r="I277" i="5"/>
  <c r="H277" i="5"/>
  <c r="E277" i="5"/>
  <c r="G277" i="5" s="1"/>
  <c r="D277" i="5"/>
  <c r="B277" i="5"/>
  <c r="C277" i="5" s="1"/>
  <c r="A277" i="5"/>
  <c r="M276" i="5"/>
  <c r="N276" i="5" s="1"/>
  <c r="L276" i="5"/>
  <c r="K276" i="5"/>
  <c r="J276" i="5"/>
  <c r="I276" i="5"/>
  <c r="H276" i="5"/>
  <c r="E276" i="5"/>
  <c r="G276" i="5" s="1"/>
  <c r="D276" i="5"/>
  <c r="B276" i="5"/>
  <c r="C276" i="5" s="1"/>
  <c r="A276" i="5"/>
  <c r="M275" i="5"/>
  <c r="N275" i="5" s="1"/>
  <c r="L275" i="5"/>
  <c r="K275" i="5"/>
  <c r="J275" i="5"/>
  <c r="I275" i="5"/>
  <c r="H275" i="5"/>
  <c r="E275" i="5"/>
  <c r="G275" i="5" s="1"/>
  <c r="D275" i="5"/>
  <c r="B275" i="5"/>
  <c r="C275" i="5" s="1"/>
  <c r="A275" i="5"/>
  <c r="M274" i="5"/>
  <c r="N274" i="5" s="1"/>
  <c r="L274" i="5"/>
  <c r="K274" i="5"/>
  <c r="J274" i="5"/>
  <c r="I274" i="5"/>
  <c r="H274" i="5"/>
  <c r="E274" i="5"/>
  <c r="G274" i="5" s="1"/>
  <c r="D274" i="5"/>
  <c r="B274" i="5"/>
  <c r="C274" i="5" s="1"/>
  <c r="A274" i="5"/>
  <c r="M273" i="5"/>
  <c r="N273" i="5" s="1"/>
  <c r="L273" i="5"/>
  <c r="K273" i="5"/>
  <c r="J273" i="5"/>
  <c r="I273" i="5"/>
  <c r="H273" i="5"/>
  <c r="E273" i="5"/>
  <c r="G273" i="5" s="1"/>
  <c r="D273" i="5"/>
  <c r="B273" i="5"/>
  <c r="C273" i="5" s="1"/>
  <c r="A273" i="5"/>
  <c r="M272" i="5"/>
  <c r="N272" i="5" s="1"/>
  <c r="L272" i="5"/>
  <c r="K272" i="5"/>
  <c r="J272" i="5"/>
  <c r="I272" i="5"/>
  <c r="H272" i="5"/>
  <c r="E272" i="5"/>
  <c r="G272" i="5" s="1"/>
  <c r="D272" i="5"/>
  <c r="B272" i="5"/>
  <c r="C272" i="5" s="1"/>
  <c r="A272" i="5"/>
  <c r="M271" i="5"/>
  <c r="N271" i="5" s="1"/>
  <c r="L271" i="5"/>
  <c r="K271" i="5"/>
  <c r="J271" i="5"/>
  <c r="I271" i="5"/>
  <c r="H271" i="5"/>
  <c r="E271" i="5"/>
  <c r="G271" i="5" s="1"/>
  <c r="D271" i="5"/>
  <c r="B271" i="5"/>
  <c r="C271" i="5" s="1"/>
  <c r="A271" i="5"/>
  <c r="N270" i="5"/>
  <c r="M270" i="5"/>
  <c r="L270" i="5"/>
  <c r="K270" i="5"/>
  <c r="J270" i="5"/>
  <c r="I270" i="5"/>
  <c r="H270" i="5"/>
  <c r="E270" i="5"/>
  <c r="G270" i="5" s="1"/>
  <c r="D270" i="5"/>
  <c r="B270" i="5"/>
  <c r="C270" i="5" s="1"/>
  <c r="A270" i="5"/>
  <c r="M269" i="5"/>
  <c r="N269" i="5" s="1"/>
  <c r="L269" i="5"/>
  <c r="K269" i="5"/>
  <c r="J269" i="5"/>
  <c r="I269" i="5"/>
  <c r="H269" i="5"/>
  <c r="E269" i="5"/>
  <c r="G269" i="5" s="1"/>
  <c r="D269" i="5"/>
  <c r="B269" i="5"/>
  <c r="C269" i="5" s="1"/>
  <c r="A269" i="5"/>
  <c r="M268" i="5"/>
  <c r="N268" i="5" s="1"/>
  <c r="L268" i="5"/>
  <c r="K268" i="5"/>
  <c r="J268" i="5"/>
  <c r="I268" i="5"/>
  <c r="H268" i="5"/>
  <c r="E268" i="5"/>
  <c r="G268" i="5" s="1"/>
  <c r="D268" i="5"/>
  <c r="B268" i="5"/>
  <c r="C268" i="5" s="1"/>
  <c r="A268" i="5"/>
  <c r="M267" i="5"/>
  <c r="N267" i="5" s="1"/>
  <c r="L267" i="5"/>
  <c r="K267" i="5"/>
  <c r="J267" i="5"/>
  <c r="I267" i="5"/>
  <c r="H267" i="5"/>
  <c r="E267" i="5"/>
  <c r="G267" i="5" s="1"/>
  <c r="D267" i="5"/>
  <c r="B267" i="5"/>
  <c r="C267" i="5" s="1"/>
  <c r="A267" i="5"/>
  <c r="M266" i="5"/>
  <c r="N266" i="5" s="1"/>
  <c r="L266" i="5"/>
  <c r="K266" i="5"/>
  <c r="J266" i="5"/>
  <c r="I266" i="5"/>
  <c r="H266" i="5"/>
  <c r="E266" i="5"/>
  <c r="G266" i="5" s="1"/>
  <c r="D266" i="5"/>
  <c r="B266" i="5"/>
  <c r="C266" i="5" s="1"/>
  <c r="A266" i="5"/>
  <c r="M265" i="5"/>
  <c r="N265" i="5" s="1"/>
  <c r="L265" i="5"/>
  <c r="K265" i="5"/>
  <c r="J265" i="5"/>
  <c r="I265" i="5"/>
  <c r="H265" i="5"/>
  <c r="E265" i="5"/>
  <c r="G265" i="5" s="1"/>
  <c r="D265" i="5"/>
  <c r="B265" i="5"/>
  <c r="C265" i="5" s="1"/>
  <c r="A265" i="5"/>
  <c r="M264" i="5"/>
  <c r="N264" i="5" s="1"/>
  <c r="L264" i="5"/>
  <c r="K264" i="5"/>
  <c r="J264" i="5"/>
  <c r="I264" i="5"/>
  <c r="H264" i="5"/>
  <c r="E264" i="5"/>
  <c r="G264" i="5" s="1"/>
  <c r="D264" i="5"/>
  <c r="B264" i="5"/>
  <c r="C264" i="5" s="1"/>
  <c r="A264" i="5"/>
  <c r="M263" i="5"/>
  <c r="N263" i="5" s="1"/>
  <c r="L263" i="5"/>
  <c r="K263" i="5"/>
  <c r="J263" i="5"/>
  <c r="I263" i="5"/>
  <c r="H263" i="5"/>
  <c r="E263" i="5"/>
  <c r="G263" i="5" s="1"/>
  <c r="D263" i="5"/>
  <c r="B263" i="5"/>
  <c r="C263" i="5" s="1"/>
  <c r="A263" i="5"/>
  <c r="M262" i="5"/>
  <c r="N262" i="5" s="1"/>
  <c r="L262" i="5"/>
  <c r="K262" i="5"/>
  <c r="J262" i="5"/>
  <c r="I262" i="5"/>
  <c r="H262" i="5"/>
  <c r="E262" i="5"/>
  <c r="G262" i="5" s="1"/>
  <c r="D262" i="5"/>
  <c r="B262" i="5"/>
  <c r="C262" i="5" s="1"/>
  <c r="A262" i="5"/>
  <c r="M261" i="5"/>
  <c r="N261" i="5" s="1"/>
  <c r="L261" i="5"/>
  <c r="K261" i="5"/>
  <c r="J261" i="5"/>
  <c r="I261" i="5"/>
  <c r="H261" i="5"/>
  <c r="E261" i="5"/>
  <c r="G261" i="5" s="1"/>
  <c r="D261" i="5"/>
  <c r="B261" i="5"/>
  <c r="C261" i="5" s="1"/>
  <c r="A261" i="5"/>
  <c r="M260" i="5"/>
  <c r="N260" i="5" s="1"/>
  <c r="L260" i="5"/>
  <c r="K260" i="5"/>
  <c r="J260" i="5"/>
  <c r="I260" i="5"/>
  <c r="H260" i="5"/>
  <c r="E260" i="5"/>
  <c r="G260" i="5" s="1"/>
  <c r="D260" i="5"/>
  <c r="B260" i="5"/>
  <c r="C260" i="5" s="1"/>
  <c r="A260" i="5"/>
  <c r="M259" i="5"/>
  <c r="N259" i="5" s="1"/>
  <c r="L259" i="5"/>
  <c r="K259" i="5"/>
  <c r="J259" i="5"/>
  <c r="I259" i="5"/>
  <c r="H259" i="5"/>
  <c r="E259" i="5"/>
  <c r="G259" i="5" s="1"/>
  <c r="D259" i="5"/>
  <c r="B259" i="5"/>
  <c r="C259" i="5" s="1"/>
  <c r="A259" i="5"/>
  <c r="M258" i="5"/>
  <c r="N258" i="5" s="1"/>
  <c r="L258" i="5"/>
  <c r="K258" i="5"/>
  <c r="J258" i="5"/>
  <c r="I258" i="5"/>
  <c r="H258" i="5"/>
  <c r="E258" i="5"/>
  <c r="G258" i="5" s="1"/>
  <c r="D258" i="5"/>
  <c r="B258" i="5"/>
  <c r="C258" i="5" s="1"/>
  <c r="A258" i="5"/>
  <c r="M257" i="5"/>
  <c r="N257" i="5" s="1"/>
  <c r="L257" i="5"/>
  <c r="K257" i="5"/>
  <c r="J257" i="5"/>
  <c r="I257" i="5"/>
  <c r="H257" i="5"/>
  <c r="E257" i="5"/>
  <c r="G257" i="5" s="1"/>
  <c r="D257" i="5"/>
  <c r="B257" i="5"/>
  <c r="C257" i="5" s="1"/>
  <c r="A257" i="5"/>
  <c r="M256" i="5"/>
  <c r="N256" i="5" s="1"/>
  <c r="L256" i="5"/>
  <c r="K256" i="5"/>
  <c r="J256" i="5"/>
  <c r="I256" i="5"/>
  <c r="H256" i="5"/>
  <c r="E256" i="5"/>
  <c r="G256" i="5" s="1"/>
  <c r="D256" i="5"/>
  <c r="B256" i="5"/>
  <c r="C256" i="5" s="1"/>
  <c r="A256" i="5"/>
  <c r="M255" i="5"/>
  <c r="N255" i="5" s="1"/>
  <c r="L255" i="5"/>
  <c r="K255" i="5"/>
  <c r="J255" i="5"/>
  <c r="I255" i="5"/>
  <c r="H255" i="5"/>
  <c r="E255" i="5"/>
  <c r="G255" i="5" s="1"/>
  <c r="D255" i="5"/>
  <c r="B255" i="5"/>
  <c r="C255" i="5" s="1"/>
  <c r="A255" i="5"/>
  <c r="M254" i="5"/>
  <c r="N254" i="5" s="1"/>
  <c r="L254" i="5"/>
  <c r="K254" i="5"/>
  <c r="J254" i="5"/>
  <c r="I254" i="5"/>
  <c r="H254" i="5"/>
  <c r="E254" i="5"/>
  <c r="G254" i="5" s="1"/>
  <c r="D254" i="5"/>
  <c r="B254" i="5"/>
  <c r="C254" i="5" s="1"/>
  <c r="A254" i="5"/>
  <c r="M253" i="5"/>
  <c r="N253" i="5" s="1"/>
  <c r="L253" i="5"/>
  <c r="K253" i="5"/>
  <c r="J253" i="5"/>
  <c r="I253" i="5"/>
  <c r="H253" i="5"/>
  <c r="E253" i="5"/>
  <c r="G253" i="5" s="1"/>
  <c r="D253" i="5"/>
  <c r="B253" i="5"/>
  <c r="C253" i="5" s="1"/>
  <c r="A253" i="5"/>
  <c r="M252" i="5"/>
  <c r="N252" i="5" s="1"/>
  <c r="L252" i="5"/>
  <c r="K252" i="5"/>
  <c r="J252" i="5"/>
  <c r="I252" i="5"/>
  <c r="H252" i="5"/>
  <c r="E252" i="5"/>
  <c r="G252" i="5" s="1"/>
  <c r="D252" i="5"/>
  <c r="B252" i="5"/>
  <c r="C252" i="5" s="1"/>
  <c r="A252" i="5"/>
  <c r="M251" i="5"/>
  <c r="N251" i="5" s="1"/>
  <c r="L251" i="5"/>
  <c r="K251" i="5"/>
  <c r="J251" i="5"/>
  <c r="I251" i="5"/>
  <c r="H251" i="5"/>
  <c r="E251" i="5"/>
  <c r="G251" i="5" s="1"/>
  <c r="D251" i="5"/>
  <c r="B251" i="5"/>
  <c r="C251" i="5" s="1"/>
  <c r="A251" i="5"/>
  <c r="M250" i="5"/>
  <c r="N250" i="5" s="1"/>
  <c r="L250" i="5"/>
  <c r="K250" i="5"/>
  <c r="J250" i="5"/>
  <c r="I250" i="5"/>
  <c r="H250" i="5"/>
  <c r="E250" i="5"/>
  <c r="G250" i="5" s="1"/>
  <c r="D250" i="5"/>
  <c r="B250" i="5"/>
  <c r="C250" i="5" s="1"/>
  <c r="A250" i="5"/>
  <c r="M249" i="5"/>
  <c r="N249" i="5" s="1"/>
  <c r="L249" i="5"/>
  <c r="K249" i="5"/>
  <c r="J249" i="5"/>
  <c r="I249" i="5"/>
  <c r="H249" i="5"/>
  <c r="E249" i="5"/>
  <c r="G249" i="5" s="1"/>
  <c r="D249" i="5"/>
  <c r="B249" i="5"/>
  <c r="C249" i="5" s="1"/>
  <c r="A249" i="5"/>
  <c r="M248" i="5"/>
  <c r="N248" i="5" s="1"/>
  <c r="L248" i="5"/>
  <c r="K248" i="5"/>
  <c r="J248" i="5"/>
  <c r="I248" i="5"/>
  <c r="H248" i="5"/>
  <c r="E248" i="5"/>
  <c r="G248" i="5" s="1"/>
  <c r="D248" i="5"/>
  <c r="B248" i="5"/>
  <c r="C248" i="5" s="1"/>
  <c r="A248" i="5"/>
  <c r="M247" i="5"/>
  <c r="N247" i="5" s="1"/>
  <c r="L247" i="5"/>
  <c r="K247" i="5"/>
  <c r="J247" i="5"/>
  <c r="I247" i="5"/>
  <c r="H247" i="5"/>
  <c r="E247" i="5"/>
  <c r="G247" i="5" s="1"/>
  <c r="D247" i="5"/>
  <c r="B247" i="5"/>
  <c r="C247" i="5" s="1"/>
  <c r="A247" i="5"/>
  <c r="M246" i="5"/>
  <c r="N246" i="5" s="1"/>
  <c r="L246" i="5"/>
  <c r="K246" i="5"/>
  <c r="J246" i="5"/>
  <c r="I246" i="5"/>
  <c r="H246" i="5"/>
  <c r="E246" i="5"/>
  <c r="G246" i="5" s="1"/>
  <c r="D246" i="5"/>
  <c r="B246" i="5"/>
  <c r="C246" i="5" s="1"/>
  <c r="A246" i="5"/>
  <c r="M245" i="5"/>
  <c r="N245" i="5" s="1"/>
  <c r="L245" i="5"/>
  <c r="K245" i="5"/>
  <c r="J245" i="5"/>
  <c r="I245" i="5"/>
  <c r="H245" i="5"/>
  <c r="E245" i="5"/>
  <c r="G245" i="5" s="1"/>
  <c r="D245" i="5"/>
  <c r="B245" i="5"/>
  <c r="C245" i="5" s="1"/>
  <c r="A245" i="5"/>
  <c r="M244" i="5"/>
  <c r="N244" i="5" s="1"/>
  <c r="L244" i="5"/>
  <c r="K244" i="5"/>
  <c r="J244" i="5"/>
  <c r="I244" i="5"/>
  <c r="H244" i="5"/>
  <c r="E244" i="5"/>
  <c r="G244" i="5" s="1"/>
  <c r="D244" i="5"/>
  <c r="B244" i="5"/>
  <c r="C244" i="5" s="1"/>
  <c r="A244" i="5"/>
  <c r="M243" i="5"/>
  <c r="N243" i="5" s="1"/>
  <c r="L243" i="5"/>
  <c r="K243" i="5"/>
  <c r="J243" i="5"/>
  <c r="I243" i="5"/>
  <c r="H243" i="5"/>
  <c r="E243" i="5"/>
  <c r="G243" i="5" s="1"/>
  <c r="D243" i="5"/>
  <c r="B243" i="5"/>
  <c r="C243" i="5" s="1"/>
  <c r="A243" i="5"/>
  <c r="M242" i="5"/>
  <c r="N242" i="5" s="1"/>
  <c r="L242" i="5"/>
  <c r="K242" i="5"/>
  <c r="J242" i="5"/>
  <c r="I242" i="5"/>
  <c r="H242" i="5"/>
  <c r="E242" i="5"/>
  <c r="G242" i="5" s="1"/>
  <c r="D242" i="5"/>
  <c r="B242" i="5"/>
  <c r="C242" i="5" s="1"/>
  <c r="A242" i="5"/>
  <c r="M241" i="5"/>
  <c r="N241" i="5" s="1"/>
  <c r="L241" i="5"/>
  <c r="K241" i="5"/>
  <c r="J241" i="5"/>
  <c r="I241" i="5"/>
  <c r="H241" i="5"/>
  <c r="E241" i="5"/>
  <c r="G241" i="5" s="1"/>
  <c r="D241" i="5"/>
  <c r="B241" i="5"/>
  <c r="C241" i="5" s="1"/>
  <c r="A241" i="5"/>
  <c r="M240" i="5"/>
  <c r="N240" i="5" s="1"/>
  <c r="L240" i="5"/>
  <c r="K240" i="5"/>
  <c r="J240" i="5"/>
  <c r="I240" i="5"/>
  <c r="H240" i="5"/>
  <c r="E240" i="5"/>
  <c r="G240" i="5" s="1"/>
  <c r="D240" i="5"/>
  <c r="B240" i="5"/>
  <c r="C240" i="5" s="1"/>
  <c r="A240" i="5"/>
  <c r="M239" i="5"/>
  <c r="N239" i="5" s="1"/>
  <c r="L239" i="5"/>
  <c r="K239" i="5"/>
  <c r="J239" i="5"/>
  <c r="I239" i="5"/>
  <c r="H239" i="5"/>
  <c r="E239" i="5"/>
  <c r="G239" i="5" s="1"/>
  <c r="D239" i="5"/>
  <c r="B239" i="5"/>
  <c r="C239" i="5" s="1"/>
  <c r="A239" i="5"/>
  <c r="M238" i="5"/>
  <c r="N238" i="5" s="1"/>
  <c r="L238" i="5"/>
  <c r="K238" i="5"/>
  <c r="J238" i="5"/>
  <c r="I238" i="5"/>
  <c r="H238" i="5"/>
  <c r="E238" i="5"/>
  <c r="G238" i="5" s="1"/>
  <c r="D238" i="5"/>
  <c r="B238" i="5"/>
  <c r="C238" i="5" s="1"/>
  <c r="A238" i="5"/>
  <c r="M237" i="5"/>
  <c r="N237" i="5" s="1"/>
  <c r="L237" i="5"/>
  <c r="K237" i="5"/>
  <c r="J237" i="5"/>
  <c r="I237" i="5"/>
  <c r="H237" i="5"/>
  <c r="E237" i="5"/>
  <c r="G237" i="5" s="1"/>
  <c r="D237" i="5"/>
  <c r="B237" i="5"/>
  <c r="C237" i="5" s="1"/>
  <c r="A237" i="5"/>
  <c r="M236" i="5"/>
  <c r="N236" i="5" s="1"/>
  <c r="L236" i="5"/>
  <c r="K236" i="5"/>
  <c r="J236" i="5"/>
  <c r="I236" i="5"/>
  <c r="H236" i="5"/>
  <c r="E236" i="5"/>
  <c r="G236" i="5" s="1"/>
  <c r="D236" i="5"/>
  <c r="B236" i="5"/>
  <c r="C236" i="5" s="1"/>
  <c r="A236" i="5"/>
  <c r="M235" i="5"/>
  <c r="N235" i="5" s="1"/>
  <c r="L235" i="5"/>
  <c r="K235" i="5"/>
  <c r="J235" i="5"/>
  <c r="I235" i="5"/>
  <c r="H235" i="5"/>
  <c r="E235" i="5"/>
  <c r="G235" i="5" s="1"/>
  <c r="D235" i="5"/>
  <c r="B235" i="5"/>
  <c r="C235" i="5" s="1"/>
  <c r="A235" i="5"/>
  <c r="M234" i="5"/>
  <c r="N234" i="5" s="1"/>
  <c r="L234" i="5"/>
  <c r="K234" i="5"/>
  <c r="J234" i="5"/>
  <c r="I234" i="5"/>
  <c r="H234" i="5"/>
  <c r="E234" i="5"/>
  <c r="G234" i="5" s="1"/>
  <c r="D234" i="5"/>
  <c r="B234" i="5"/>
  <c r="C234" i="5" s="1"/>
  <c r="A234" i="5"/>
  <c r="M233" i="5"/>
  <c r="N233" i="5" s="1"/>
  <c r="L233" i="5"/>
  <c r="K233" i="5"/>
  <c r="J233" i="5"/>
  <c r="I233" i="5"/>
  <c r="H233" i="5"/>
  <c r="E233" i="5"/>
  <c r="G233" i="5" s="1"/>
  <c r="D233" i="5"/>
  <c r="B233" i="5"/>
  <c r="C233" i="5" s="1"/>
  <c r="A233" i="5"/>
  <c r="M232" i="5"/>
  <c r="N232" i="5" s="1"/>
  <c r="L232" i="5"/>
  <c r="K232" i="5"/>
  <c r="J232" i="5"/>
  <c r="I232" i="5"/>
  <c r="H232" i="5"/>
  <c r="E232" i="5"/>
  <c r="G232" i="5" s="1"/>
  <c r="D232" i="5"/>
  <c r="B232" i="5"/>
  <c r="C232" i="5" s="1"/>
  <c r="A232" i="5"/>
  <c r="M231" i="5"/>
  <c r="N231" i="5" s="1"/>
  <c r="L231" i="5"/>
  <c r="K231" i="5"/>
  <c r="J231" i="5"/>
  <c r="I231" i="5"/>
  <c r="H231" i="5"/>
  <c r="E231" i="5"/>
  <c r="G231" i="5" s="1"/>
  <c r="D231" i="5"/>
  <c r="C231" i="5"/>
  <c r="B231" i="5"/>
  <c r="A231" i="5"/>
  <c r="M230" i="5"/>
  <c r="N230" i="5" s="1"/>
  <c r="L230" i="5"/>
  <c r="K230" i="5"/>
  <c r="J230" i="5"/>
  <c r="I230" i="5"/>
  <c r="H230" i="5"/>
  <c r="E230" i="5"/>
  <c r="G230" i="5" s="1"/>
  <c r="D230" i="5"/>
  <c r="B230" i="5"/>
  <c r="C230" i="5" s="1"/>
  <c r="A230" i="5"/>
  <c r="M229" i="5"/>
  <c r="N229" i="5" s="1"/>
  <c r="L229" i="5"/>
  <c r="K229" i="5"/>
  <c r="J229" i="5"/>
  <c r="I229" i="5"/>
  <c r="H229" i="5"/>
  <c r="E229" i="5"/>
  <c r="G229" i="5" s="1"/>
  <c r="D229" i="5"/>
  <c r="B229" i="5"/>
  <c r="C229" i="5" s="1"/>
  <c r="A229" i="5"/>
  <c r="M228" i="5"/>
  <c r="N228" i="5" s="1"/>
  <c r="L228" i="5"/>
  <c r="K228" i="5"/>
  <c r="J228" i="5"/>
  <c r="I228" i="5"/>
  <c r="H228" i="5"/>
  <c r="E228" i="5"/>
  <c r="G228" i="5" s="1"/>
  <c r="D228" i="5"/>
  <c r="B228" i="5"/>
  <c r="C228" i="5" s="1"/>
  <c r="A228" i="5"/>
  <c r="M227" i="5"/>
  <c r="N227" i="5" s="1"/>
  <c r="L227" i="5"/>
  <c r="K227" i="5"/>
  <c r="J227" i="5"/>
  <c r="I227" i="5"/>
  <c r="H227" i="5"/>
  <c r="E227" i="5"/>
  <c r="G227" i="5" s="1"/>
  <c r="D227" i="5"/>
  <c r="C227" i="5"/>
  <c r="B227" i="5"/>
  <c r="A227" i="5"/>
  <c r="M226" i="5"/>
  <c r="N226" i="5" s="1"/>
  <c r="L226" i="5"/>
  <c r="K226" i="5"/>
  <c r="J226" i="5"/>
  <c r="I226" i="5"/>
  <c r="H226" i="5"/>
  <c r="E226" i="5"/>
  <c r="G226" i="5" s="1"/>
  <c r="D226" i="5"/>
  <c r="B226" i="5"/>
  <c r="C226" i="5" s="1"/>
  <c r="A226" i="5"/>
  <c r="M225" i="5"/>
  <c r="N225" i="5" s="1"/>
  <c r="L225" i="5"/>
  <c r="K225" i="5"/>
  <c r="J225" i="5"/>
  <c r="I225" i="5"/>
  <c r="H225" i="5"/>
  <c r="E225" i="5"/>
  <c r="G225" i="5" s="1"/>
  <c r="D225" i="5"/>
  <c r="B225" i="5"/>
  <c r="C225" i="5" s="1"/>
  <c r="A225" i="5"/>
  <c r="M224" i="5"/>
  <c r="N224" i="5" s="1"/>
  <c r="L224" i="5"/>
  <c r="K224" i="5"/>
  <c r="J224" i="5"/>
  <c r="I224" i="5"/>
  <c r="H224" i="5"/>
  <c r="E224" i="5"/>
  <c r="G224" i="5" s="1"/>
  <c r="D224" i="5"/>
  <c r="B224" i="5"/>
  <c r="C224" i="5" s="1"/>
  <c r="A224" i="5"/>
  <c r="M223" i="5"/>
  <c r="N223" i="5" s="1"/>
  <c r="L223" i="5"/>
  <c r="K223" i="5"/>
  <c r="J223" i="5"/>
  <c r="I223" i="5"/>
  <c r="H223" i="5"/>
  <c r="E223" i="5"/>
  <c r="G223" i="5" s="1"/>
  <c r="D223" i="5"/>
  <c r="C223" i="5"/>
  <c r="B223" i="5"/>
  <c r="A223" i="5"/>
  <c r="M222" i="5"/>
  <c r="N222" i="5" s="1"/>
  <c r="L222" i="5"/>
  <c r="K222" i="5"/>
  <c r="J222" i="5"/>
  <c r="I222" i="5"/>
  <c r="H222" i="5"/>
  <c r="E222" i="5"/>
  <c r="G222" i="5" s="1"/>
  <c r="D222" i="5"/>
  <c r="B222" i="5"/>
  <c r="C222" i="5" s="1"/>
  <c r="A222" i="5"/>
  <c r="M221" i="5"/>
  <c r="N221" i="5" s="1"/>
  <c r="L221" i="5"/>
  <c r="K221" i="5"/>
  <c r="J221" i="5"/>
  <c r="I221" i="5"/>
  <c r="H221" i="5"/>
  <c r="E221" i="5"/>
  <c r="G221" i="5" s="1"/>
  <c r="D221" i="5"/>
  <c r="B221" i="5"/>
  <c r="C221" i="5" s="1"/>
  <c r="A221" i="5"/>
  <c r="M220" i="5"/>
  <c r="N220" i="5" s="1"/>
  <c r="L220" i="5"/>
  <c r="K220" i="5"/>
  <c r="J220" i="5"/>
  <c r="I220" i="5"/>
  <c r="H220" i="5"/>
  <c r="E220" i="5"/>
  <c r="G220" i="5" s="1"/>
  <c r="D220" i="5"/>
  <c r="B220" i="5"/>
  <c r="C220" i="5" s="1"/>
  <c r="A220" i="5"/>
  <c r="M219" i="5"/>
  <c r="N219" i="5" s="1"/>
  <c r="L219" i="5"/>
  <c r="K219" i="5"/>
  <c r="J219" i="5"/>
  <c r="I219" i="5"/>
  <c r="H219" i="5"/>
  <c r="E219" i="5"/>
  <c r="G219" i="5" s="1"/>
  <c r="D219" i="5"/>
  <c r="C219" i="5"/>
  <c r="B219" i="5"/>
  <c r="A219" i="5"/>
  <c r="M218" i="5"/>
  <c r="N218" i="5" s="1"/>
  <c r="L218" i="5"/>
  <c r="K218" i="5"/>
  <c r="J218" i="5"/>
  <c r="I218" i="5"/>
  <c r="H218" i="5"/>
  <c r="E218" i="5"/>
  <c r="G218" i="5" s="1"/>
  <c r="D218" i="5"/>
  <c r="B218" i="5"/>
  <c r="C218" i="5" s="1"/>
  <c r="A218" i="5"/>
  <c r="M217" i="5"/>
  <c r="N217" i="5" s="1"/>
  <c r="L217" i="5"/>
  <c r="K217" i="5"/>
  <c r="J217" i="5"/>
  <c r="I217" i="5"/>
  <c r="H217" i="5"/>
  <c r="E217" i="5"/>
  <c r="G217" i="5" s="1"/>
  <c r="D217" i="5"/>
  <c r="B217" i="5"/>
  <c r="C217" i="5" s="1"/>
  <c r="A217" i="5"/>
  <c r="M216" i="5"/>
  <c r="N216" i="5" s="1"/>
  <c r="L216" i="5"/>
  <c r="K216" i="5"/>
  <c r="J216" i="5"/>
  <c r="I216" i="5"/>
  <c r="H216" i="5"/>
  <c r="E216" i="5"/>
  <c r="G216" i="5" s="1"/>
  <c r="D216" i="5"/>
  <c r="B216" i="5"/>
  <c r="C216" i="5" s="1"/>
  <c r="A216" i="5"/>
  <c r="M215" i="5"/>
  <c r="N215" i="5" s="1"/>
  <c r="L215" i="5"/>
  <c r="K215" i="5"/>
  <c r="J215" i="5"/>
  <c r="I215" i="5"/>
  <c r="H215" i="5"/>
  <c r="E215" i="5"/>
  <c r="G215" i="5" s="1"/>
  <c r="D215" i="5"/>
  <c r="C215" i="5"/>
  <c r="B215" i="5"/>
  <c r="A215" i="5"/>
  <c r="M214" i="5"/>
  <c r="N214" i="5" s="1"/>
  <c r="L214" i="5"/>
  <c r="K214" i="5"/>
  <c r="J214" i="5"/>
  <c r="I214" i="5"/>
  <c r="H214" i="5"/>
  <c r="E214" i="5"/>
  <c r="G214" i="5" s="1"/>
  <c r="D214" i="5"/>
  <c r="B214" i="5"/>
  <c r="C214" i="5" s="1"/>
  <c r="A214" i="5"/>
  <c r="M213" i="5"/>
  <c r="N213" i="5" s="1"/>
  <c r="L213" i="5"/>
  <c r="K213" i="5"/>
  <c r="J213" i="5"/>
  <c r="I213" i="5"/>
  <c r="H213" i="5"/>
  <c r="E213" i="5"/>
  <c r="G213" i="5" s="1"/>
  <c r="D213" i="5"/>
  <c r="B213" i="5"/>
  <c r="C213" i="5" s="1"/>
  <c r="A213" i="5"/>
  <c r="M212" i="5"/>
  <c r="N212" i="5" s="1"/>
  <c r="L212" i="5"/>
  <c r="K212" i="5"/>
  <c r="J212" i="5"/>
  <c r="I212" i="5"/>
  <c r="H212" i="5"/>
  <c r="E212" i="5"/>
  <c r="G212" i="5" s="1"/>
  <c r="D212" i="5"/>
  <c r="B212" i="5"/>
  <c r="C212" i="5" s="1"/>
  <c r="A212" i="5"/>
  <c r="M211" i="5"/>
  <c r="N211" i="5" s="1"/>
  <c r="L211" i="5"/>
  <c r="K211" i="5"/>
  <c r="J211" i="5"/>
  <c r="I211" i="5"/>
  <c r="H211" i="5"/>
  <c r="E211" i="5"/>
  <c r="G211" i="5" s="1"/>
  <c r="D211" i="5"/>
  <c r="C211" i="5"/>
  <c r="B211" i="5"/>
  <c r="A211" i="5"/>
  <c r="M210" i="5"/>
  <c r="N210" i="5" s="1"/>
  <c r="L210" i="5"/>
  <c r="K210" i="5"/>
  <c r="J210" i="5"/>
  <c r="I210" i="5"/>
  <c r="H210" i="5"/>
  <c r="E210" i="5"/>
  <c r="G210" i="5" s="1"/>
  <c r="D210" i="5"/>
  <c r="B210" i="5"/>
  <c r="C210" i="5" s="1"/>
  <c r="A210" i="5"/>
  <c r="M209" i="5"/>
  <c r="N209" i="5" s="1"/>
  <c r="L209" i="5"/>
  <c r="K209" i="5"/>
  <c r="J209" i="5"/>
  <c r="I209" i="5"/>
  <c r="H209" i="5"/>
  <c r="E209" i="5"/>
  <c r="G209" i="5" s="1"/>
  <c r="D209" i="5"/>
  <c r="B209" i="5"/>
  <c r="C209" i="5" s="1"/>
  <c r="A209" i="5"/>
  <c r="M208" i="5"/>
  <c r="N208" i="5" s="1"/>
  <c r="L208" i="5"/>
  <c r="K208" i="5"/>
  <c r="J208" i="5"/>
  <c r="I208" i="5"/>
  <c r="H208" i="5"/>
  <c r="E208" i="5"/>
  <c r="G208" i="5" s="1"/>
  <c r="D208" i="5"/>
  <c r="B208" i="5"/>
  <c r="C208" i="5" s="1"/>
  <c r="A208" i="5"/>
  <c r="M207" i="5"/>
  <c r="N207" i="5" s="1"/>
  <c r="L207" i="5"/>
  <c r="K207" i="5"/>
  <c r="J207" i="5"/>
  <c r="I207" i="5"/>
  <c r="H207" i="5"/>
  <c r="E207" i="5"/>
  <c r="G207" i="5" s="1"/>
  <c r="D207" i="5"/>
  <c r="C207" i="5"/>
  <c r="B207" i="5"/>
  <c r="A207" i="5"/>
  <c r="M206" i="5"/>
  <c r="N206" i="5" s="1"/>
  <c r="L206" i="5"/>
  <c r="K206" i="5"/>
  <c r="J206" i="5"/>
  <c r="I206" i="5"/>
  <c r="H206" i="5"/>
  <c r="E206" i="5"/>
  <c r="G206" i="5" s="1"/>
  <c r="D206" i="5"/>
  <c r="B206" i="5"/>
  <c r="C206" i="5" s="1"/>
  <c r="A206" i="5"/>
  <c r="M205" i="5"/>
  <c r="N205" i="5" s="1"/>
  <c r="L205" i="5"/>
  <c r="K205" i="5"/>
  <c r="J205" i="5"/>
  <c r="I205" i="5"/>
  <c r="H205" i="5"/>
  <c r="E205" i="5"/>
  <c r="G205" i="5" s="1"/>
  <c r="D205" i="5"/>
  <c r="B205" i="5"/>
  <c r="C205" i="5" s="1"/>
  <c r="A205" i="5"/>
  <c r="M204" i="5"/>
  <c r="N204" i="5" s="1"/>
  <c r="L204" i="5"/>
  <c r="K204" i="5"/>
  <c r="J204" i="5"/>
  <c r="I204" i="5"/>
  <c r="H204" i="5"/>
  <c r="E204" i="5"/>
  <c r="G204" i="5" s="1"/>
  <c r="D204" i="5"/>
  <c r="B204" i="5"/>
  <c r="C204" i="5" s="1"/>
  <c r="A204" i="5"/>
  <c r="M203" i="5"/>
  <c r="N203" i="5" s="1"/>
  <c r="L203" i="5"/>
  <c r="K203" i="5"/>
  <c r="J203" i="5"/>
  <c r="I203" i="5"/>
  <c r="H203" i="5"/>
  <c r="E203" i="5"/>
  <c r="G203" i="5" s="1"/>
  <c r="D203" i="5"/>
  <c r="C203" i="5"/>
  <c r="B203" i="5"/>
  <c r="A203" i="5"/>
  <c r="M202" i="5"/>
  <c r="N202" i="5" s="1"/>
  <c r="L202" i="5"/>
  <c r="K202" i="5"/>
  <c r="J202" i="5"/>
  <c r="I202" i="5"/>
  <c r="H202" i="5"/>
  <c r="E202" i="5"/>
  <c r="G202" i="5" s="1"/>
  <c r="D202" i="5"/>
  <c r="B202" i="5"/>
  <c r="C202" i="5" s="1"/>
  <c r="A202" i="5"/>
  <c r="M201" i="5"/>
  <c r="N201" i="5" s="1"/>
  <c r="L201" i="5"/>
  <c r="K201" i="5"/>
  <c r="J201" i="5"/>
  <c r="I201" i="5"/>
  <c r="H201" i="5"/>
  <c r="E201" i="5"/>
  <c r="G201" i="5" s="1"/>
  <c r="D201" i="5"/>
  <c r="B201" i="5"/>
  <c r="C201" i="5" s="1"/>
  <c r="A201" i="5"/>
  <c r="M200" i="5"/>
  <c r="N200" i="5" s="1"/>
  <c r="L200" i="5"/>
  <c r="K200" i="5"/>
  <c r="J200" i="5"/>
  <c r="I200" i="5"/>
  <c r="H200" i="5"/>
  <c r="E200" i="5"/>
  <c r="G200" i="5" s="1"/>
  <c r="D200" i="5"/>
  <c r="B200" i="5"/>
  <c r="C200" i="5" s="1"/>
  <c r="A200" i="5"/>
  <c r="M199" i="5"/>
  <c r="N199" i="5" s="1"/>
  <c r="L199" i="5"/>
  <c r="K199" i="5"/>
  <c r="J199" i="5"/>
  <c r="I199" i="5"/>
  <c r="H199" i="5"/>
  <c r="E199" i="5"/>
  <c r="G199" i="5" s="1"/>
  <c r="D199" i="5"/>
  <c r="C199" i="5"/>
  <c r="B199" i="5"/>
  <c r="A199" i="5"/>
  <c r="M198" i="5"/>
  <c r="N198" i="5" s="1"/>
  <c r="L198" i="5"/>
  <c r="K198" i="5"/>
  <c r="J198" i="5"/>
  <c r="I198" i="5"/>
  <c r="H198" i="5"/>
  <c r="E198" i="5"/>
  <c r="G198" i="5" s="1"/>
  <c r="D198" i="5"/>
  <c r="B198" i="5"/>
  <c r="C198" i="5" s="1"/>
  <c r="A198" i="5"/>
  <c r="M197" i="5"/>
  <c r="N197" i="5" s="1"/>
  <c r="L197" i="5"/>
  <c r="K197" i="5"/>
  <c r="J197" i="5"/>
  <c r="I197" i="5"/>
  <c r="H197" i="5"/>
  <c r="E197" i="5"/>
  <c r="G197" i="5" s="1"/>
  <c r="D197" i="5"/>
  <c r="B197" i="5"/>
  <c r="C197" i="5" s="1"/>
  <c r="A197" i="5"/>
  <c r="M196" i="5"/>
  <c r="N196" i="5" s="1"/>
  <c r="L196" i="5"/>
  <c r="K196" i="5"/>
  <c r="J196" i="5"/>
  <c r="I196" i="5"/>
  <c r="H196" i="5"/>
  <c r="E196" i="5"/>
  <c r="G196" i="5" s="1"/>
  <c r="D196" i="5"/>
  <c r="B196" i="5"/>
  <c r="C196" i="5" s="1"/>
  <c r="A196" i="5"/>
  <c r="M195" i="5"/>
  <c r="N195" i="5" s="1"/>
  <c r="L195" i="5"/>
  <c r="K195" i="5"/>
  <c r="J195" i="5"/>
  <c r="I195" i="5"/>
  <c r="H195" i="5"/>
  <c r="E195" i="5"/>
  <c r="G195" i="5" s="1"/>
  <c r="D195" i="5"/>
  <c r="C195" i="5"/>
  <c r="B195" i="5"/>
  <c r="A195" i="5"/>
  <c r="M194" i="5"/>
  <c r="N194" i="5" s="1"/>
  <c r="L194" i="5"/>
  <c r="K194" i="5"/>
  <c r="J194" i="5"/>
  <c r="I194" i="5"/>
  <c r="H194" i="5"/>
  <c r="E194" i="5"/>
  <c r="G194" i="5" s="1"/>
  <c r="D194" i="5"/>
  <c r="B194" i="5"/>
  <c r="C194" i="5" s="1"/>
  <c r="A194" i="5"/>
  <c r="M193" i="5"/>
  <c r="N193" i="5" s="1"/>
  <c r="L193" i="5"/>
  <c r="K193" i="5"/>
  <c r="J193" i="5"/>
  <c r="I193" i="5"/>
  <c r="H193" i="5"/>
  <c r="E193" i="5"/>
  <c r="G193" i="5" s="1"/>
  <c r="D193" i="5"/>
  <c r="B193" i="5"/>
  <c r="C193" i="5" s="1"/>
  <c r="A193" i="5"/>
  <c r="M192" i="5"/>
  <c r="N192" i="5" s="1"/>
  <c r="L192" i="5"/>
  <c r="K192" i="5"/>
  <c r="J192" i="5"/>
  <c r="I192" i="5"/>
  <c r="H192" i="5"/>
  <c r="E192" i="5"/>
  <c r="G192" i="5" s="1"/>
  <c r="D192" i="5"/>
  <c r="B192" i="5"/>
  <c r="C192" i="5" s="1"/>
  <c r="A192" i="5"/>
  <c r="M191" i="5"/>
  <c r="N191" i="5" s="1"/>
  <c r="L191" i="5"/>
  <c r="K191" i="5"/>
  <c r="J191" i="5"/>
  <c r="I191" i="5"/>
  <c r="H191" i="5"/>
  <c r="E191" i="5"/>
  <c r="G191" i="5" s="1"/>
  <c r="D191" i="5"/>
  <c r="C191" i="5"/>
  <c r="B191" i="5"/>
  <c r="A191" i="5"/>
  <c r="M190" i="5"/>
  <c r="N190" i="5" s="1"/>
  <c r="L190" i="5"/>
  <c r="K190" i="5"/>
  <c r="J190" i="5"/>
  <c r="I190" i="5"/>
  <c r="H190" i="5"/>
  <c r="E190" i="5"/>
  <c r="G190" i="5" s="1"/>
  <c r="D190" i="5"/>
  <c r="B190" i="5"/>
  <c r="C190" i="5" s="1"/>
  <c r="A190" i="5"/>
  <c r="M189" i="5"/>
  <c r="N189" i="5" s="1"/>
  <c r="L189" i="5"/>
  <c r="K189" i="5"/>
  <c r="J189" i="5"/>
  <c r="I189" i="5"/>
  <c r="H189" i="5"/>
  <c r="E189" i="5"/>
  <c r="G189" i="5" s="1"/>
  <c r="D189" i="5"/>
  <c r="B189" i="5"/>
  <c r="C189" i="5" s="1"/>
  <c r="A189" i="5"/>
  <c r="M188" i="5"/>
  <c r="N188" i="5" s="1"/>
  <c r="L188" i="5"/>
  <c r="K188" i="5"/>
  <c r="J188" i="5"/>
  <c r="I188" i="5"/>
  <c r="H188" i="5"/>
  <c r="E188" i="5"/>
  <c r="G188" i="5" s="1"/>
  <c r="D188" i="5"/>
  <c r="B188" i="5"/>
  <c r="C188" i="5" s="1"/>
  <c r="A188" i="5"/>
  <c r="M187" i="5"/>
  <c r="N187" i="5" s="1"/>
  <c r="L187" i="5"/>
  <c r="K187" i="5"/>
  <c r="J187" i="5"/>
  <c r="I187" i="5"/>
  <c r="H187" i="5"/>
  <c r="E187" i="5"/>
  <c r="G187" i="5" s="1"/>
  <c r="D187" i="5"/>
  <c r="C187" i="5"/>
  <c r="B187" i="5"/>
  <c r="A187" i="5"/>
  <c r="M186" i="5"/>
  <c r="N186" i="5" s="1"/>
  <c r="L186" i="5"/>
  <c r="K186" i="5"/>
  <c r="J186" i="5"/>
  <c r="I186" i="5"/>
  <c r="H186" i="5"/>
  <c r="E186" i="5"/>
  <c r="G186" i="5" s="1"/>
  <c r="D186" i="5"/>
  <c r="B186" i="5"/>
  <c r="C186" i="5" s="1"/>
  <c r="A186" i="5"/>
  <c r="M185" i="5"/>
  <c r="N185" i="5" s="1"/>
  <c r="L185" i="5"/>
  <c r="K185" i="5"/>
  <c r="J185" i="5"/>
  <c r="I185" i="5"/>
  <c r="H185" i="5"/>
  <c r="E185" i="5"/>
  <c r="G185" i="5" s="1"/>
  <c r="D185" i="5"/>
  <c r="B185" i="5"/>
  <c r="C185" i="5" s="1"/>
  <c r="A185" i="5"/>
  <c r="M184" i="5"/>
  <c r="N184" i="5" s="1"/>
  <c r="L184" i="5"/>
  <c r="K184" i="5"/>
  <c r="J184" i="5"/>
  <c r="I184" i="5"/>
  <c r="H184" i="5"/>
  <c r="E184" i="5"/>
  <c r="G184" i="5" s="1"/>
  <c r="D184" i="5"/>
  <c r="B184" i="5"/>
  <c r="C184" i="5" s="1"/>
  <c r="A184" i="5"/>
  <c r="M183" i="5"/>
  <c r="N183" i="5" s="1"/>
  <c r="L183" i="5"/>
  <c r="K183" i="5"/>
  <c r="J183" i="5"/>
  <c r="I183" i="5"/>
  <c r="H183" i="5"/>
  <c r="E183" i="5"/>
  <c r="G183" i="5" s="1"/>
  <c r="D183" i="5"/>
  <c r="C183" i="5"/>
  <c r="B183" i="5"/>
  <c r="A183" i="5"/>
  <c r="M182" i="5"/>
  <c r="N182" i="5" s="1"/>
  <c r="L182" i="5"/>
  <c r="K182" i="5"/>
  <c r="J182" i="5"/>
  <c r="I182" i="5"/>
  <c r="H182" i="5"/>
  <c r="E182" i="5"/>
  <c r="G182" i="5" s="1"/>
  <c r="D182" i="5"/>
  <c r="B182" i="5"/>
  <c r="C182" i="5" s="1"/>
  <c r="A182" i="5"/>
  <c r="M181" i="5"/>
  <c r="N181" i="5" s="1"/>
  <c r="L181" i="5"/>
  <c r="K181" i="5"/>
  <c r="J181" i="5"/>
  <c r="I181" i="5"/>
  <c r="H181" i="5"/>
  <c r="E181" i="5"/>
  <c r="G181" i="5" s="1"/>
  <c r="D181" i="5"/>
  <c r="B181" i="5"/>
  <c r="C181" i="5" s="1"/>
  <c r="A181" i="5"/>
  <c r="M180" i="5"/>
  <c r="N180" i="5" s="1"/>
  <c r="L180" i="5"/>
  <c r="K180" i="5"/>
  <c r="J180" i="5"/>
  <c r="I180" i="5"/>
  <c r="H180" i="5"/>
  <c r="E180" i="5"/>
  <c r="G180" i="5" s="1"/>
  <c r="D180" i="5"/>
  <c r="B180" i="5"/>
  <c r="C180" i="5" s="1"/>
  <c r="A180" i="5"/>
  <c r="M179" i="5"/>
  <c r="N179" i="5" s="1"/>
  <c r="L179" i="5"/>
  <c r="K179" i="5"/>
  <c r="J179" i="5"/>
  <c r="I179" i="5"/>
  <c r="H179" i="5"/>
  <c r="E179" i="5"/>
  <c r="G179" i="5" s="1"/>
  <c r="D179" i="5"/>
  <c r="C179" i="5"/>
  <c r="B179" i="5"/>
  <c r="A179" i="5"/>
  <c r="M178" i="5"/>
  <c r="N178" i="5" s="1"/>
  <c r="L178" i="5"/>
  <c r="K178" i="5"/>
  <c r="J178" i="5"/>
  <c r="I178" i="5"/>
  <c r="H178" i="5"/>
  <c r="E178" i="5"/>
  <c r="G178" i="5" s="1"/>
  <c r="D178" i="5"/>
  <c r="B178" i="5"/>
  <c r="C178" i="5" s="1"/>
  <c r="A178" i="5"/>
  <c r="M177" i="5"/>
  <c r="N177" i="5" s="1"/>
  <c r="L177" i="5"/>
  <c r="K177" i="5"/>
  <c r="J177" i="5"/>
  <c r="I177" i="5"/>
  <c r="H177" i="5"/>
  <c r="E177" i="5"/>
  <c r="G177" i="5" s="1"/>
  <c r="D177" i="5"/>
  <c r="B177" i="5"/>
  <c r="C177" i="5" s="1"/>
  <c r="A177" i="5"/>
  <c r="M176" i="5"/>
  <c r="N176" i="5" s="1"/>
  <c r="L176" i="5"/>
  <c r="K176" i="5"/>
  <c r="J176" i="5"/>
  <c r="I176" i="5"/>
  <c r="H176" i="5"/>
  <c r="E176" i="5"/>
  <c r="G176" i="5" s="1"/>
  <c r="D176" i="5"/>
  <c r="B176" i="5"/>
  <c r="C176" i="5" s="1"/>
  <c r="A176" i="5"/>
  <c r="M175" i="5"/>
  <c r="N175" i="5" s="1"/>
  <c r="L175" i="5"/>
  <c r="K175" i="5"/>
  <c r="J175" i="5"/>
  <c r="I175" i="5"/>
  <c r="H175" i="5"/>
  <c r="E175" i="5"/>
  <c r="G175" i="5" s="1"/>
  <c r="D175" i="5"/>
  <c r="C175" i="5"/>
  <c r="B175" i="5"/>
  <c r="A175" i="5"/>
  <c r="M174" i="5"/>
  <c r="N174" i="5" s="1"/>
  <c r="L174" i="5"/>
  <c r="K174" i="5"/>
  <c r="J174" i="5"/>
  <c r="I174" i="5"/>
  <c r="H174" i="5"/>
  <c r="E174" i="5"/>
  <c r="G174" i="5" s="1"/>
  <c r="D174" i="5"/>
  <c r="B174" i="5"/>
  <c r="C174" i="5" s="1"/>
  <c r="A174" i="5"/>
  <c r="M173" i="5"/>
  <c r="N173" i="5" s="1"/>
  <c r="L173" i="5"/>
  <c r="K173" i="5"/>
  <c r="J173" i="5"/>
  <c r="I173" i="5"/>
  <c r="H173" i="5"/>
  <c r="E173" i="5"/>
  <c r="G173" i="5" s="1"/>
  <c r="D173" i="5"/>
  <c r="B173" i="5"/>
  <c r="C173" i="5" s="1"/>
  <c r="A173" i="5"/>
  <c r="M172" i="5"/>
  <c r="N172" i="5" s="1"/>
  <c r="L172" i="5"/>
  <c r="K172" i="5"/>
  <c r="J172" i="5"/>
  <c r="I172" i="5"/>
  <c r="H172" i="5"/>
  <c r="E172" i="5"/>
  <c r="G172" i="5" s="1"/>
  <c r="D172" i="5"/>
  <c r="B172" i="5"/>
  <c r="C172" i="5" s="1"/>
  <c r="A172" i="5"/>
  <c r="M171" i="5"/>
  <c r="N171" i="5" s="1"/>
  <c r="L171" i="5"/>
  <c r="K171" i="5"/>
  <c r="J171" i="5"/>
  <c r="I171" i="5"/>
  <c r="H171" i="5"/>
  <c r="E171" i="5"/>
  <c r="G171" i="5" s="1"/>
  <c r="D171" i="5"/>
  <c r="C171" i="5"/>
  <c r="B171" i="5"/>
  <c r="A171" i="5"/>
  <c r="M170" i="5"/>
  <c r="N170" i="5" s="1"/>
  <c r="L170" i="5"/>
  <c r="K170" i="5"/>
  <c r="J170" i="5"/>
  <c r="I170" i="5"/>
  <c r="H170" i="5"/>
  <c r="E170" i="5"/>
  <c r="G170" i="5" s="1"/>
  <c r="D170" i="5"/>
  <c r="B170" i="5"/>
  <c r="C170" i="5" s="1"/>
  <c r="A170" i="5"/>
  <c r="M169" i="5"/>
  <c r="N169" i="5" s="1"/>
  <c r="L169" i="5"/>
  <c r="K169" i="5"/>
  <c r="J169" i="5"/>
  <c r="I169" i="5"/>
  <c r="H169" i="5"/>
  <c r="E169" i="5"/>
  <c r="G169" i="5" s="1"/>
  <c r="D169" i="5"/>
  <c r="B169" i="5"/>
  <c r="C169" i="5" s="1"/>
  <c r="A169" i="5"/>
  <c r="M168" i="5"/>
  <c r="N168" i="5" s="1"/>
  <c r="L168" i="5"/>
  <c r="K168" i="5"/>
  <c r="J168" i="5"/>
  <c r="I168" i="5"/>
  <c r="H168" i="5"/>
  <c r="E168" i="5"/>
  <c r="G168" i="5" s="1"/>
  <c r="D168" i="5"/>
  <c r="B168" i="5"/>
  <c r="C168" i="5" s="1"/>
  <c r="A168" i="5"/>
  <c r="M167" i="5"/>
  <c r="N167" i="5" s="1"/>
  <c r="L167" i="5"/>
  <c r="K167" i="5"/>
  <c r="J167" i="5"/>
  <c r="I167" i="5"/>
  <c r="H167" i="5"/>
  <c r="E167" i="5"/>
  <c r="G167" i="5" s="1"/>
  <c r="D167" i="5"/>
  <c r="C167" i="5"/>
  <c r="B167" i="5"/>
  <c r="A167" i="5"/>
  <c r="M166" i="5"/>
  <c r="N166" i="5" s="1"/>
  <c r="L166" i="5"/>
  <c r="K166" i="5"/>
  <c r="J166" i="5"/>
  <c r="I166" i="5"/>
  <c r="H166" i="5"/>
  <c r="E166" i="5"/>
  <c r="G166" i="5" s="1"/>
  <c r="D166" i="5"/>
  <c r="B166" i="5"/>
  <c r="C166" i="5" s="1"/>
  <c r="A166" i="5"/>
  <c r="M165" i="5"/>
  <c r="N165" i="5" s="1"/>
  <c r="L165" i="5"/>
  <c r="K165" i="5"/>
  <c r="J165" i="5"/>
  <c r="I165" i="5"/>
  <c r="H165" i="5"/>
  <c r="E165" i="5"/>
  <c r="G165" i="5" s="1"/>
  <c r="D165" i="5"/>
  <c r="B165" i="5"/>
  <c r="C165" i="5" s="1"/>
  <c r="A165" i="5"/>
  <c r="M164" i="5"/>
  <c r="N164" i="5" s="1"/>
  <c r="L164" i="5"/>
  <c r="K164" i="5"/>
  <c r="J164" i="5"/>
  <c r="I164" i="5"/>
  <c r="H164" i="5"/>
  <c r="E164" i="5"/>
  <c r="G164" i="5" s="1"/>
  <c r="D164" i="5"/>
  <c r="B164" i="5"/>
  <c r="C164" i="5" s="1"/>
  <c r="A164" i="5"/>
  <c r="M163" i="5"/>
  <c r="N163" i="5" s="1"/>
  <c r="L163" i="5"/>
  <c r="K163" i="5"/>
  <c r="J163" i="5"/>
  <c r="I163" i="5"/>
  <c r="H163" i="5"/>
  <c r="E163" i="5"/>
  <c r="G163" i="5" s="1"/>
  <c r="D163" i="5"/>
  <c r="C163" i="5"/>
  <c r="B163" i="5"/>
  <c r="A163" i="5"/>
  <c r="M162" i="5"/>
  <c r="N162" i="5" s="1"/>
  <c r="L162" i="5"/>
  <c r="K162" i="5"/>
  <c r="J162" i="5"/>
  <c r="I162" i="5"/>
  <c r="H162" i="5"/>
  <c r="E162" i="5"/>
  <c r="G162" i="5" s="1"/>
  <c r="D162" i="5"/>
  <c r="B162" i="5"/>
  <c r="C162" i="5" s="1"/>
  <c r="A162" i="5"/>
  <c r="M161" i="5"/>
  <c r="N161" i="5" s="1"/>
  <c r="L161" i="5"/>
  <c r="K161" i="5"/>
  <c r="J161" i="5"/>
  <c r="I161" i="5"/>
  <c r="H161" i="5"/>
  <c r="E161" i="5"/>
  <c r="G161" i="5" s="1"/>
  <c r="D161" i="5"/>
  <c r="B161" i="5"/>
  <c r="C161" i="5" s="1"/>
  <c r="A161" i="5"/>
  <c r="M160" i="5"/>
  <c r="N160" i="5" s="1"/>
  <c r="L160" i="5"/>
  <c r="K160" i="5"/>
  <c r="J160" i="5"/>
  <c r="I160" i="5"/>
  <c r="H160" i="5"/>
  <c r="E160" i="5"/>
  <c r="G160" i="5" s="1"/>
  <c r="D160" i="5"/>
  <c r="B160" i="5"/>
  <c r="C160" i="5" s="1"/>
  <c r="A160" i="5"/>
  <c r="M159" i="5"/>
  <c r="N159" i="5" s="1"/>
  <c r="L159" i="5"/>
  <c r="K159" i="5"/>
  <c r="J159" i="5"/>
  <c r="I159" i="5"/>
  <c r="H159" i="5"/>
  <c r="E159" i="5"/>
  <c r="G159" i="5" s="1"/>
  <c r="D159" i="5"/>
  <c r="C159" i="5"/>
  <c r="B159" i="5"/>
  <c r="A159" i="5"/>
  <c r="M158" i="5"/>
  <c r="N158" i="5" s="1"/>
  <c r="L158" i="5"/>
  <c r="K158" i="5"/>
  <c r="J158" i="5"/>
  <c r="I158" i="5"/>
  <c r="H158" i="5"/>
  <c r="E158" i="5"/>
  <c r="G158" i="5" s="1"/>
  <c r="D158" i="5"/>
  <c r="B158" i="5"/>
  <c r="C158" i="5" s="1"/>
  <c r="A158" i="5"/>
  <c r="M157" i="5"/>
  <c r="N157" i="5" s="1"/>
  <c r="L157" i="5"/>
  <c r="K157" i="5"/>
  <c r="J157" i="5"/>
  <c r="I157" i="5"/>
  <c r="H157" i="5"/>
  <c r="E157" i="5"/>
  <c r="G157" i="5" s="1"/>
  <c r="D157" i="5"/>
  <c r="B157" i="5"/>
  <c r="C157" i="5" s="1"/>
  <c r="A157" i="5"/>
  <c r="M156" i="5"/>
  <c r="N156" i="5" s="1"/>
  <c r="L156" i="5"/>
  <c r="K156" i="5"/>
  <c r="J156" i="5"/>
  <c r="I156" i="5"/>
  <c r="H156" i="5"/>
  <c r="E156" i="5"/>
  <c r="G156" i="5" s="1"/>
  <c r="D156" i="5"/>
  <c r="B156" i="5"/>
  <c r="C156" i="5" s="1"/>
  <c r="A156" i="5"/>
  <c r="M155" i="5"/>
  <c r="N155" i="5" s="1"/>
  <c r="L155" i="5"/>
  <c r="K155" i="5"/>
  <c r="J155" i="5"/>
  <c r="I155" i="5"/>
  <c r="H155" i="5"/>
  <c r="E155" i="5"/>
  <c r="G155" i="5" s="1"/>
  <c r="D155" i="5"/>
  <c r="C155" i="5"/>
  <c r="B155" i="5"/>
  <c r="A155" i="5"/>
  <c r="M154" i="5"/>
  <c r="N154" i="5" s="1"/>
  <c r="L154" i="5"/>
  <c r="K154" i="5"/>
  <c r="J154" i="5"/>
  <c r="I154" i="5"/>
  <c r="H154" i="5"/>
  <c r="E154" i="5"/>
  <c r="G154" i="5" s="1"/>
  <c r="D154" i="5"/>
  <c r="B154" i="5"/>
  <c r="C154" i="5" s="1"/>
  <c r="A154" i="5"/>
  <c r="M153" i="5"/>
  <c r="N153" i="5" s="1"/>
  <c r="L153" i="5"/>
  <c r="K153" i="5"/>
  <c r="J153" i="5"/>
  <c r="I153" i="5"/>
  <c r="H153" i="5"/>
  <c r="E153" i="5"/>
  <c r="G153" i="5" s="1"/>
  <c r="D153" i="5"/>
  <c r="B153" i="5"/>
  <c r="C153" i="5" s="1"/>
  <c r="A153" i="5"/>
  <c r="M152" i="5"/>
  <c r="N152" i="5" s="1"/>
  <c r="L152" i="5"/>
  <c r="K152" i="5"/>
  <c r="J152" i="5"/>
  <c r="I152" i="5"/>
  <c r="H152" i="5"/>
  <c r="E152" i="5"/>
  <c r="G152" i="5" s="1"/>
  <c r="D152" i="5"/>
  <c r="B152" i="5"/>
  <c r="C152" i="5" s="1"/>
  <c r="A152" i="5"/>
  <c r="M151" i="5"/>
  <c r="N151" i="5" s="1"/>
  <c r="L151" i="5"/>
  <c r="K151" i="5"/>
  <c r="J151" i="5"/>
  <c r="I151" i="5"/>
  <c r="H151" i="5"/>
  <c r="E151" i="5"/>
  <c r="G151" i="5" s="1"/>
  <c r="D151" i="5"/>
  <c r="C151" i="5"/>
  <c r="B151" i="5"/>
  <c r="A151" i="5"/>
  <c r="M150" i="5"/>
  <c r="N150" i="5" s="1"/>
  <c r="L150" i="5"/>
  <c r="K150" i="5"/>
  <c r="J150" i="5"/>
  <c r="I150" i="5"/>
  <c r="H150" i="5"/>
  <c r="E150" i="5"/>
  <c r="G150" i="5" s="1"/>
  <c r="D150" i="5"/>
  <c r="B150" i="5"/>
  <c r="C150" i="5" s="1"/>
  <c r="A150" i="5"/>
  <c r="M149" i="5"/>
  <c r="N149" i="5" s="1"/>
  <c r="L149" i="5"/>
  <c r="K149" i="5"/>
  <c r="J149" i="5"/>
  <c r="I149" i="5"/>
  <c r="H149" i="5"/>
  <c r="E149" i="5"/>
  <c r="G149" i="5" s="1"/>
  <c r="D149" i="5"/>
  <c r="B149" i="5"/>
  <c r="C149" i="5" s="1"/>
  <c r="A149" i="5"/>
  <c r="M148" i="5"/>
  <c r="N148" i="5" s="1"/>
  <c r="L148" i="5"/>
  <c r="K148" i="5"/>
  <c r="J148" i="5"/>
  <c r="I148" i="5"/>
  <c r="H148" i="5"/>
  <c r="E148" i="5"/>
  <c r="G148" i="5" s="1"/>
  <c r="D148" i="5"/>
  <c r="B148" i="5"/>
  <c r="C148" i="5" s="1"/>
  <c r="A148" i="5"/>
  <c r="M147" i="5"/>
  <c r="N147" i="5" s="1"/>
  <c r="L147" i="5"/>
  <c r="K147" i="5"/>
  <c r="J147" i="5"/>
  <c r="I147" i="5"/>
  <c r="H147" i="5"/>
  <c r="E147" i="5"/>
  <c r="G147" i="5" s="1"/>
  <c r="D147" i="5"/>
  <c r="C147" i="5"/>
  <c r="B147" i="5"/>
  <c r="A147" i="5"/>
  <c r="M146" i="5"/>
  <c r="N146" i="5" s="1"/>
  <c r="L146" i="5"/>
  <c r="K146" i="5"/>
  <c r="J146" i="5"/>
  <c r="I146" i="5"/>
  <c r="H146" i="5"/>
  <c r="E146" i="5"/>
  <c r="G146" i="5" s="1"/>
  <c r="D146" i="5"/>
  <c r="B146" i="5"/>
  <c r="C146" i="5" s="1"/>
  <c r="A146" i="5"/>
  <c r="M145" i="5"/>
  <c r="N145" i="5" s="1"/>
  <c r="L145" i="5"/>
  <c r="K145" i="5"/>
  <c r="J145" i="5"/>
  <c r="I145" i="5"/>
  <c r="H145" i="5"/>
  <c r="E145" i="5"/>
  <c r="G145" i="5" s="1"/>
  <c r="D145" i="5"/>
  <c r="B145" i="5"/>
  <c r="C145" i="5" s="1"/>
  <c r="A145" i="5"/>
  <c r="M144" i="5"/>
  <c r="N144" i="5" s="1"/>
  <c r="L144" i="5"/>
  <c r="K144" i="5"/>
  <c r="J144" i="5"/>
  <c r="I144" i="5"/>
  <c r="H144" i="5"/>
  <c r="E144" i="5"/>
  <c r="G144" i="5" s="1"/>
  <c r="D144" i="5"/>
  <c r="B144" i="5"/>
  <c r="C144" i="5" s="1"/>
  <c r="A144" i="5"/>
  <c r="M143" i="5"/>
  <c r="N143" i="5" s="1"/>
  <c r="L143" i="5"/>
  <c r="K143" i="5"/>
  <c r="J143" i="5"/>
  <c r="I143" i="5"/>
  <c r="H143" i="5"/>
  <c r="E143" i="5"/>
  <c r="G143" i="5" s="1"/>
  <c r="D143" i="5"/>
  <c r="C143" i="5"/>
  <c r="B143" i="5"/>
  <c r="A143" i="5"/>
  <c r="M142" i="5"/>
  <c r="N142" i="5" s="1"/>
  <c r="L142" i="5"/>
  <c r="K142" i="5"/>
  <c r="J142" i="5"/>
  <c r="I142" i="5"/>
  <c r="H142" i="5"/>
  <c r="E142" i="5"/>
  <c r="G142" i="5" s="1"/>
  <c r="D142" i="5"/>
  <c r="B142" i="5"/>
  <c r="C142" i="5" s="1"/>
  <c r="A142" i="5"/>
  <c r="M141" i="5"/>
  <c r="N141" i="5" s="1"/>
  <c r="L141" i="5"/>
  <c r="K141" i="5"/>
  <c r="J141" i="5"/>
  <c r="I141" i="5"/>
  <c r="H141" i="5"/>
  <c r="E141" i="5"/>
  <c r="G141" i="5" s="1"/>
  <c r="D141" i="5"/>
  <c r="B141" i="5"/>
  <c r="C141" i="5" s="1"/>
  <c r="A141" i="5"/>
  <c r="M140" i="5"/>
  <c r="N140" i="5" s="1"/>
  <c r="L140" i="5"/>
  <c r="K140" i="5"/>
  <c r="J140" i="5"/>
  <c r="I140" i="5"/>
  <c r="H140" i="5"/>
  <c r="E140" i="5"/>
  <c r="G140" i="5" s="1"/>
  <c r="D140" i="5"/>
  <c r="B140" i="5"/>
  <c r="C140" i="5" s="1"/>
  <c r="A140" i="5"/>
  <c r="M139" i="5"/>
  <c r="N139" i="5" s="1"/>
  <c r="L139" i="5"/>
  <c r="K139" i="5"/>
  <c r="J139" i="5"/>
  <c r="I139" i="5"/>
  <c r="H139" i="5"/>
  <c r="E139" i="5"/>
  <c r="G139" i="5" s="1"/>
  <c r="D139" i="5"/>
  <c r="B139" i="5"/>
  <c r="C139" i="5" s="1"/>
  <c r="A139" i="5"/>
  <c r="M138" i="5"/>
  <c r="N138" i="5" s="1"/>
  <c r="L138" i="5"/>
  <c r="K138" i="5"/>
  <c r="J138" i="5"/>
  <c r="I138" i="5"/>
  <c r="H138" i="5"/>
  <c r="E138" i="5"/>
  <c r="G138" i="5" s="1"/>
  <c r="D138" i="5"/>
  <c r="B138" i="5"/>
  <c r="C138" i="5" s="1"/>
  <c r="A138" i="5"/>
  <c r="M137" i="5"/>
  <c r="N137" i="5" s="1"/>
  <c r="L137" i="5"/>
  <c r="K137" i="5"/>
  <c r="J137" i="5"/>
  <c r="I137" i="5"/>
  <c r="H137" i="5"/>
  <c r="E137" i="5"/>
  <c r="G137" i="5" s="1"/>
  <c r="D137" i="5"/>
  <c r="B137" i="5"/>
  <c r="C137" i="5" s="1"/>
  <c r="A137" i="5"/>
  <c r="M136" i="5"/>
  <c r="N136" i="5" s="1"/>
  <c r="L136" i="5"/>
  <c r="K136" i="5"/>
  <c r="J136" i="5"/>
  <c r="I136" i="5"/>
  <c r="H136" i="5"/>
  <c r="E136" i="5"/>
  <c r="G136" i="5" s="1"/>
  <c r="D136" i="5"/>
  <c r="B136" i="5"/>
  <c r="C136" i="5" s="1"/>
  <c r="A136" i="5"/>
  <c r="M135" i="5"/>
  <c r="N135" i="5" s="1"/>
  <c r="L135" i="5"/>
  <c r="K135" i="5"/>
  <c r="J135" i="5"/>
  <c r="I135" i="5"/>
  <c r="H135" i="5"/>
  <c r="E135" i="5"/>
  <c r="G135" i="5" s="1"/>
  <c r="D135" i="5"/>
  <c r="B135" i="5"/>
  <c r="C135" i="5" s="1"/>
  <c r="A135" i="5"/>
  <c r="N134" i="5"/>
  <c r="M134" i="5"/>
  <c r="L134" i="5"/>
  <c r="K134" i="5"/>
  <c r="J134" i="5"/>
  <c r="I134" i="5"/>
  <c r="H134" i="5"/>
  <c r="E134" i="5"/>
  <c r="G134" i="5" s="1"/>
  <c r="D134" i="5"/>
  <c r="B134" i="5"/>
  <c r="C134" i="5" s="1"/>
  <c r="A134" i="5"/>
  <c r="M133" i="5"/>
  <c r="N133" i="5" s="1"/>
  <c r="L133" i="5"/>
  <c r="K133" i="5"/>
  <c r="J133" i="5"/>
  <c r="I133" i="5"/>
  <c r="H133" i="5"/>
  <c r="E133" i="5"/>
  <c r="G133" i="5" s="1"/>
  <c r="D133" i="5"/>
  <c r="B133" i="5"/>
  <c r="C133" i="5" s="1"/>
  <c r="A133" i="5"/>
  <c r="M132" i="5"/>
  <c r="N132" i="5" s="1"/>
  <c r="L132" i="5"/>
  <c r="K132" i="5"/>
  <c r="J132" i="5"/>
  <c r="I132" i="5"/>
  <c r="H132" i="5"/>
  <c r="E132" i="5"/>
  <c r="G132" i="5" s="1"/>
  <c r="D132" i="5"/>
  <c r="B132" i="5"/>
  <c r="C132" i="5" s="1"/>
  <c r="A132" i="5"/>
  <c r="M131" i="5"/>
  <c r="N131" i="5" s="1"/>
  <c r="L131" i="5"/>
  <c r="K131" i="5"/>
  <c r="J131" i="5"/>
  <c r="I131" i="5"/>
  <c r="H131" i="5"/>
  <c r="E131" i="5"/>
  <c r="G131" i="5" s="1"/>
  <c r="D131" i="5"/>
  <c r="B131" i="5"/>
  <c r="C131" i="5" s="1"/>
  <c r="A131" i="5"/>
  <c r="M130" i="5"/>
  <c r="N130" i="5" s="1"/>
  <c r="L130" i="5"/>
  <c r="K130" i="5"/>
  <c r="J130" i="5"/>
  <c r="I130" i="5"/>
  <c r="H130" i="5"/>
  <c r="E130" i="5"/>
  <c r="G130" i="5" s="1"/>
  <c r="D130" i="5"/>
  <c r="B130" i="5"/>
  <c r="C130" i="5" s="1"/>
  <c r="A130" i="5"/>
  <c r="M129" i="5"/>
  <c r="N129" i="5" s="1"/>
  <c r="L129" i="5"/>
  <c r="K129" i="5"/>
  <c r="J129" i="5"/>
  <c r="I129" i="5"/>
  <c r="H129" i="5"/>
  <c r="E129" i="5"/>
  <c r="G129" i="5" s="1"/>
  <c r="D129" i="5"/>
  <c r="B129" i="5"/>
  <c r="C129" i="5" s="1"/>
  <c r="A129" i="5"/>
  <c r="M128" i="5"/>
  <c r="N128" i="5" s="1"/>
  <c r="L128" i="5"/>
  <c r="K128" i="5"/>
  <c r="J128" i="5"/>
  <c r="I128" i="5"/>
  <c r="H128" i="5"/>
  <c r="E128" i="5"/>
  <c r="G128" i="5" s="1"/>
  <c r="D128" i="5"/>
  <c r="B128" i="5"/>
  <c r="C128" i="5" s="1"/>
  <c r="A128" i="5"/>
  <c r="M127" i="5"/>
  <c r="N127" i="5" s="1"/>
  <c r="L127" i="5"/>
  <c r="K127" i="5"/>
  <c r="J127" i="5"/>
  <c r="I127" i="5"/>
  <c r="H127" i="5"/>
  <c r="E127" i="5"/>
  <c r="G127" i="5" s="1"/>
  <c r="D127" i="5"/>
  <c r="B127" i="5"/>
  <c r="C127" i="5" s="1"/>
  <c r="A127" i="5"/>
  <c r="M126" i="5"/>
  <c r="N126" i="5" s="1"/>
  <c r="L126" i="5"/>
  <c r="K126" i="5"/>
  <c r="J126" i="5"/>
  <c r="I126" i="5"/>
  <c r="H126" i="5"/>
  <c r="E126" i="5"/>
  <c r="G126" i="5" s="1"/>
  <c r="D126" i="5"/>
  <c r="B126" i="5"/>
  <c r="C126" i="5" s="1"/>
  <c r="A126" i="5"/>
  <c r="M125" i="5"/>
  <c r="N125" i="5" s="1"/>
  <c r="L125" i="5"/>
  <c r="K125" i="5"/>
  <c r="J125" i="5"/>
  <c r="I125" i="5"/>
  <c r="H125" i="5"/>
  <c r="E125" i="5"/>
  <c r="G125" i="5" s="1"/>
  <c r="D125" i="5"/>
  <c r="B125" i="5"/>
  <c r="C125" i="5" s="1"/>
  <c r="A125" i="5"/>
  <c r="M124" i="5"/>
  <c r="N124" i="5" s="1"/>
  <c r="L124" i="5"/>
  <c r="K124" i="5"/>
  <c r="J124" i="5"/>
  <c r="I124" i="5"/>
  <c r="H124" i="5"/>
  <c r="E124" i="5"/>
  <c r="G124" i="5" s="1"/>
  <c r="D124" i="5"/>
  <c r="B124" i="5"/>
  <c r="C124" i="5" s="1"/>
  <c r="A124" i="5"/>
  <c r="M123" i="5"/>
  <c r="N123" i="5" s="1"/>
  <c r="L123" i="5"/>
  <c r="K123" i="5"/>
  <c r="J123" i="5"/>
  <c r="I123" i="5"/>
  <c r="H123" i="5"/>
  <c r="E123" i="5"/>
  <c r="G123" i="5" s="1"/>
  <c r="D123" i="5"/>
  <c r="B123" i="5"/>
  <c r="C123" i="5" s="1"/>
  <c r="A123" i="5"/>
  <c r="M122" i="5"/>
  <c r="N122" i="5" s="1"/>
  <c r="L122" i="5"/>
  <c r="K122" i="5"/>
  <c r="J122" i="5"/>
  <c r="I122" i="5"/>
  <c r="H122" i="5"/>
  <c r="E122" i="5"/>
  <c r="G122" i="5" s="1"/>
  <c r="D122" i="5"/>
  <c r="B122" i="5"/>
  <c r="C122" i="5" s="1"/>
  <c r="A122" i="5"/>
  <c r="M121" i="5"/>
  <c r="N121" i="5" s="1"/>
  <c r="L121" i="5"/>
  <c r="K121" i="5"/>
  <c r="J121" i="5"/>
  <c r="I121" i="5"/>
  <c r="H121" i="5"/>
  <c r="E121" i="5"/>
  <c r="G121" i="5" s="1"/>
  <c r="D121" i="5"/>
  <c r="B121" i="5"/>
  <c r="C121" i="5" s="1"/>
  <c r="A121" i="5"/>
  <c r="M120" i="5"/>
  <c r="N120" i="5" s="1"/>
  <c r="L120" i="5"/>
  <c r="K120" i="5"/>
  <c r="J120" i="5"/>
  <c r="I120" i="5"/>
  <c r="H120" i="5"/>
  <c r="E120" i="5"/>
  <c r="G120" i="5" s="1"/>
  <c r="D120" i="5"/>
  <c r="B120" i="5"/>
  <c r="C120" i="5" s="1"/>
  <c r="A120" i="5"/>
  <c r="M119" i="5"/>
  <c r="N119" i="5" s="1"/>
  <c r="L119" i="5"/>
  <c r="K119" i="5"/>
  <c r="J119" i="5"/>
  <c r="I119" i="5"/>
  <c r="H119" i="5"/>
  <c r="E119" i="5"/>
  <c r="G119" i="5" s="1"/>
  <c r="D119" i="5"/>
  <c r="B119" i="5"/>
  <c r="C119" i="5" s="1"/>
  <c r="A119" i="5"/>
  <c r="M118" i="5"/>
  <c r="N118" i="5" s="1"/>
  <c r="L118" i="5"/>
  <c r="K118" i="5"/>
  <c r="J118" i="5"/>
  <c r="I118" i="5"/>
  <c r="H118" i="5"/>
  <c r="E118" i="5"/>
  <c r="G118" i="5" s="1"/>
  <c r="D118" i="5"/>
  <c r="B118" i="5"/>
  <c r="C118" i="5" s="1"/>
  <c r="A118" i="5"/>
  <c r="M117" i="5"/>
  <c r="N117" i="5" s="1"/>
  <c r="L117" i="5"/>
  <c r="K117" i="5"/>
  <c r="J117" i="5"/>
  <c r="I117" i="5"/>
  <c r="H117" i="5"/>
  <c r="E117" i="5"/>
  <c r="G117" i="5" s="1"/>
  <c r="D117" i="5"/>
  <c r="B117" i="5"/>
  <c r="C117" i="5" s="1"/>
  <c r="A117" i="5"/>
  <c r="M116" i="5"/>
  <c r="N116" i="5" s="1"/>
  <c r="L116" i="5"/>
  <c r="K116" i="5"/>
  <c r="J116" i="5"/>
  <c r="I116" i="5"/>
  <c r="H116" i="5"/>
  <c r="E116" i="5"/>
  <c r="G116" i="5" s="1"/>
  <c r="D116" i="5"/>
  <c r="B116" i="5"/>
  <c r="C116" i="5" s="1"/>
  <c r="A116" i="5"/>
  <c r="M115" i="5"/>
  <c r="N115" i="5" s="1"/>
  <c r="L115" i="5"/>
  <c r="K115" i="5"/>
  <c r="J115" i="5"/>
  <c r="I115" i="5"/>
  <c r="H115" i="5"/>
  <c r="E115" i="5"/>
  <c r="G115" i="5" s="1"/>
  <c r="D115" i="5"/>
  <c r="B115" i="5"/>
  <c r="C115" i="5" s="1"/>
  <c r="A115" i="5"/>
  <c r="M114" i="5"/>
  <c r="N114" i="5" s="1"/>
  <c r="L114" i="5"/>
  <c r="K114" i="5"/>
  <c r="J114" i="5"/>
  <c r="I114" i="5"/>
  <c r="H114" i="5"/>
  <c r="E114" i="5"/>
  <c r="G114" i="5" s="1"/>
  <c r="D114" i="5"/>
  <c r="B114" i="5"/>
  <c r="C114" i="5" s="1"/>
  <c r="A114" i="5"/>
  <c r="M113" i="5"/>
  <c r="N113" i="5" s="1"/>
  <c r="L113" i="5"/>
  <c r="K113" i="5"/>
  <c r="J113" i="5"/>
  <c r="I113" i="5"/>
  <c r="H113" i="5"/>
  <c r="E113" i="5"/>
  <c r="G113" i="5" s="1"/>
  <c r="D113" i="5"/>
  <c r="B113" i="5"/>
  <c r="C113" i="5" s="1"/>
  <c r="A113" i="5"/>
  <c r="M112" i="5"/>
  <c r="N112" i="5" s="1"/>
  <c r="L112" i="5"/>
  <c r="K112" i="5"/>
  <c r="J112" i="5"/>
  <c r="I112" i="5"/>
  <c r="H112" i="5"/>
  <c r="E112" i="5"/>
  <c r="G112" i="5" s="1"/>
  <c r="D112" i="5"/>
  <c r="B112" i="5"/>
  <c r="C112" i="5" s="1"/>
  <c r="A112" i="5"/>
  <c r="M111" i="5"/>
  <c r="N111" i="5" s="1"/>
  <c r="L111" i="5"/>
  <c r="K111" i="5"/>
  <c r="J111" i="5"/>
  <c r="I111" i="5"/>
  <c r="H111" i="5"/>
  <c r="E111" i="5"/>
  <c r="G111" i="5" s="1"/>
  <c r="D111" i="5"/>
  <c r="B111" i="5"/>
  <c r="C111" i="5" s="1"/>
  <c r="A111" i="5"/>
  <c r="M110" i="5"/>
  <c r="N110" i="5" s="1"/>
  <c r="L110" i="5"/>
  <c r="K110" i="5"/>
  <c r="J110" i="5"/>
  <c r="I110" i="5"/>
  <c r="H110" i="5"/>
  <c r="E110" i="5"/>
  <c r="G110" i="5" s="1"/>
  <c r="D110" i="5"/>
  <c r="B110" i="5"/>
  <c r="C110" i="5" s="1"/>
  <c r="A110" i="5"/>
  <c r="M109" i="5"/>
  <c r="N109" i="5" s="1"/>
  <c r="L109" i="5"/>
  <c r="K109" i="5"/>
  <c r="J109" i="5"/>
  <c r="I109" i="5"/>
  <c r="H109" i="5"/>
  <c r="E109" i="5"/>
  <c r="G109" i="5" s="1"/>
  <c r="D109" i="5"/>
  <c r="B109" i="5"/>
  <c r="C109" i="5" s="1"/>
  <c r="A109" i="5"/>
  <c r="M108" i="5"/>
  <c r="N108" i="5" s="1"/>
  <c r="L108" i="5"/>
  <c r="K108" i="5"/>
  <c r="J108" i="5"/>
  <c r="I108" i="5"/>
  <c r="H108" i="5"/>
  <c r="E108" i="5"/>
  <c r="G108" i="5" s="1"/>
  <c r="D108" i="5"/>
  <c r="B108" i="5"/>
  <c r="C108" i="5" s="1"/>
  <c r="A108" i="5"/>
  <c r="M107" i="5"/>
  <c r="N107" i="5" s="1"/>
  <c r="L107" i="5"/>
  <c r="K107" i="5"/>
  <c r="J107" i="5"/>
  <c r="I107" i="5"/>
  <c r="H107" i="5"/>
  <c r="E107" i="5"/>
  <c r="G107" i="5" s="1"/>
  <c r="D107" i="5"/>
  <c r="B107" i="5"/>
  <c r="C107" i="5" s="1"/>
  <c r="A107" i="5"/>
  <c r="N106" i="5"/>
  <c r="M106" i="5"/>
  <c r="L106" i="5"/>
  <c r="K106" i="5"/>
  <c r="J106" i="5"/>
  <c r="I106" i="5"/>
  <c r="H106" i="5"/>
  <c r="E106" i="5"/>
  <c r="G106" i="5" s="1"/>
  <c r="D106" i="5"/>
  <c r="B106" i="5"/>
  <c r="C106" i="5" s="1"/>
  <c r="A106" i="5"/>
  <c r="M105" i="5"/>
  <c r="N105" i="5" s="1"/>
  <c r="L105" i="5"/>
  <c r="K105" i="5"/>
  <c r="J105" i="5"/>
  <c r="I105" i="5"/>
  <c r="H105" i="5"/>
  <c r="E105" i="5"/>
  <c r="G105" i="5" s="1"/>
  <c r="D105" i="5"/>
  <c r="B105" i="5"/>
  <c r="C105" i="5" s="1"/>
  <c r="A105" i="5"/>
  <c r="M104" i="5"/>
  <c r="N104" i="5" s="1"/>
  <c r="L104" i="5"/>
  <c r="K104" i="5"/>
  <c r="J104" i="5"/>
  <c r="I104" i="5"/>
  <c r="H104" i="5"/>
  <c r="E104" i="5"/>
  <c r="G104" i="5" s="1"/>
  <c r="D104" i="5"/>
  <c r="B104" i="5"/>
  <c r="C104" i="5" s="1"/>
  <c r="A104" i="5"/>
  <c r="M103" i="5"/>
  <c r="N103" i="5" s="1"/>
  <c r="L103" i="5"/>
  <c r="K103" i="5"/>
  <c r="J103" i="5"/>
  <c r="I103" i="5"/>
  <c r="H103" i="5"/>
  <c r="E103" i="5"/>
  <c r="G103" i="5" s="1"/>
  <c r="D103" i="5"/>
  <c r="B103" i="5"/>
  <c r="C103" i="5" s="1"/>
  <c r="A103" i="5"/>
  <c r="M102" i="5"/>
  <c r="N102" i="5" s="1"/>
  <c r="L102" i="5"/>
  <c r="K102" i="5"/>
  <c r="J102" i="5"/>
  <c r="I102" i="5"/>
  <c r="H102" i="5"/>
  <c r="E102" i="5"/>
  <c r="G102" i="5" s="1"/>
  <c r="D102" i="5"/>
  <c r="B102" i="5"/>
  <c r="C102" i="5" s="1"/>
  <c r="A102" i="5"/>
  <c r="M101" i="5"/>
  <c r="N101" i="5" s="1"/>
  <c r="L101" i="5"/>
  <c r="K101" i="5"/>
  <c r="J101" i="5"/>
  <c r="I101" i="5"/>
  <c r="H101" i="5"/>
  <c r="E101" i="5"/>
  <c r="G101" i="5" s="1"/>
  <c r="D101" i="5"/>
  <c r="B101" i="5"/>
  <c r="C101" i="5" s="1"/>
  <c r="A101" i="5"/>
  <c r="M100" i="5"/>
  <c r="N100" i="5" s="1"/>
  <c r="L100" i="5"/>
  <c r="K100" i="5"/>
  <c r="J100" i="5"/>
  <c r="I100" i="5"/>
  <c r="H100" i="5"/>
  <c r="E100" i="5"/>
  <c r="G100" i="5" s="1"/>
  <c r="D100" i="5"/>
  <c r="B100" i="5"/>
  <c r="C100" i="5" s="1"/>
  <c r="A100" i="5"/>
  <c r="M99" i="5"/>
  <c r="N99" i="5" s="1"/>
  <c r="L99" i="5"/>
  <c r="K99" i="5"/>
  <c r="J99" i="5"/>
  <c r="I99" i="5"/>
  <c r="H99" i="5"/>
  <c r="E99" i="5"/>
  <c r="G99" i="5" s="1"/>
  <c r="D99" i="5"/>
  <c r="B99" i="5"/>
  <c r="C99" i="5" s="1"/>
  <c r="A99" i="5"/>
  <c r="M98" i="5"/>
  <c r="N98" i="5" s="1"/>
  <c r="L98" i="5"/>
  <c r="K98" i="5"/>
  <c r="J98" i="5"/>
  <c r="I98" i="5"/>
  <c r="H98" i="5"/>
  <c r="E98" i="5"/>
  <c r="G98" i="5" s="1"/>
  <c r="D98" i="5"/>
  <c r="B98" i="5"/>
  <c r="C98" i="5" s="1"/>
  <c r="A98" i="5"/>
  <c r="M97" i="5"/>
  <c r="N97" i="5" s="1"/>
  <c r="L97" i="5"/>
  <c r="K97" i="5"/>
  <c r="J97" i="5"/>
  <c r="I97" i="5"/>
  <c r="H97" i="5"/>
  <c r="E97" i="5"/>
  <c r="G97" i="5" s="1"/>
  <c r="D97" i="5"/>
  <c r="B97" i="5"/>
  <c r="C97" i="5" s="1"/>
  <c r="A97" i="5"/>
  <c r="M96" i="5"/>
  <c r="N96" i="5" s="1"/>
  <c r="L96" i="5"/>
  <c r="K96" i="5"/>
  <c r="J96" i="5"/>
  <c r="I96" i="5"/>
  <c r="H96" i="5"/>
  <c r="E96" i="5"/>
  <c r="G96" i="5" s="1"/>
  <c r="D96" i="5"/>
  <c r="B96" i="5"/>
  <c r="C96" i="5" s="1"/>
  <c r="A96" i="5"/>
  <c r="M95" i="5"/>
  <c r="N95" i="5" s="1"/>
  <c r="L95" i="5"/>
  <c r="K95" i="5"/>
  <c r="J95" i="5"/>
  <c r="I95" i="5"/>
  <c r="H95" i="5"/>
  <c r="E95" i="5"/>
  <c r="G95" i="5" s="1"/>
  <c r="D95" i="5"/>
  <c r="B95" i="5"/>
  <c r="C95" i="5" s="1"/>
  <c r="A95" i="5"/>
  <c r="M94" i="5"/>
  <c r="N94" i="5" s="1"/>
  <c r="L94" i="5"/>
  <c r="K94" i="5"/>
  <c r="J94" i="5"/>
  <c r="I94" i="5"/>
  <c r="H94" i="5"/>
  <c r="E94" i="5"/>
  <c r="G94" i="5" s="1"/>
  <c r="D94" i="5"/>
  <c r="B94" i="5"/>
  <c r="C94" i="5" s="1"/>
  <c r="A94" i="5"/>
  <c r="M93" i="5"/>
  <c r="N93" i="5" s="1"/>
  <c r="L93" i="5"/>
  <c r="K93" i="5"/>
  <c r="J93" i="5"/>
  <c r="I93" i="5"/>
  <c r="H93" i="5"/>
  <c r="E93" i="5"/>
  <c r="G93" i="5" s="1"/>
  <c r="D93" i="5"/>
  <c r="B93" i="5"/>
  <c r="C93" i="5" s="1"/>
  <c r="A93" i="5"/>
  <c r="M92" i="5"/>
  <c r="N92" i="5" s="1"/>
  <c r="L92" i="5"/>
  <c r="K92" i="5"/>
  <c r="J92" i="5"/>
  <c r="I92" i="5"/>
  <c r="H92" i="5"/>
  <c r="E92" i="5"/>
  <c r="G92" i="5" s="1"/>
  <c r="D92" i="5"/>
  <c r="B92" i="5"/>
  <c r="C92" i="5" s="1"/>
  <c r="A92" i="5"/>
  <c r="M91" i="5"/>
  <c r="N91" i="5" s="1"/>
  <c r="L91" i="5"/>
  <c r="K91" i="5"/>
  <c r="J91" i="5"/>
  <c r="I91" i="5"/>
  <c r="H91" i="5"/>
  <c r="E91" i="5"/>
  <c r="G91" i="5" s="1"/>
  <c r="D91" i="5"/>
  <c r="B91" i="5"/>
  <c r="C91" i="5" s="1"/>
  <c r="A91" i="5"/>
  <c r="M90" i="5"/>
  <c r="N90" i="5" s="1"/>
  <c r="L90" i="5"/>
  <c r="K90" i="5"/>
  <c r="J90" i="5"/>
  <c r="I90" i="5"/>
  <c r="H90" i="5"/>
  <c r="E90" i="5"/>
  <c r="G90" i="5" s="1"/>
  <c r="D90" i="5"/>
  <c r="B90" i="5"/>
  <c r="C90" i="5" s="1"/>
  <c r="A90" i="5"/>
  <c r="M89" i="5"/>
  <c r="N89" i="5" s="1"/>
  <c r="L89" i="5"/>
  <c r="K89" i="5"/>
  <c r="J89" i="5"/>
  <c r="I89" i="5"/>
  <c r="H89" i="5"/>
  <c r="E89" i="5"/>
  <c r="G89" i="5" s="1"/>
  <c r="D89" i="5"/>
  <c r="B89" i="5"/>
  <c r="C89" i="5" s="1"/>
  <c r="A89" i="5"/>
  <c r="M88" i="5"/>
  <c r="N88" i="5" s="1"/>
  <c r="L88" i="5"/>
  <c r="K88" i="5"/>
  <c r="J88" i="5"/>
  <c r="I88" i="5"/>
  <c r="H88" i="5"/>
  <c r="E88" i="5"/>
  <c r="G88" i="5" s="1"/>
  <c r="D88" i="5"/>
  <c r="B88" i="5"/>
  <c r="C88" i="5" s="1"/>
  <c r="A88" i="5"/>
  <c r="M87" i="5"/>
  <c r="N87" i="5" s="1"/>
  <c r="L87" i="5"/>
  <c r="K87" i="5"/>
  <c r="J87" i="5"/>
  <c r="I87" i="5"/>
  <c r="H87" i="5"/>
  <c r="E87" i="5"/>
  <c r="G87" i="5" s="1"/>
  <c r="D87" i="5"/>
  <c r="B87" i="5"/>
  <c r="C87" i="5" s="1"/>
  <c r="A87" i="5"/>
  <c r="M86" i="5"/>
  <c r="N86" i="5" s="1"/>
  <c r="L86" i="5"/>
  <c r="K86" i="5"/>
  <c r="J86" i="5"/>
  <c r="I86" i="5"/>
  <c r="H86" i="5"/>
  <c r="E86" i="5"/>
  <c r="G86" i="5" s="1"/>
  <c r="D86" i="5"/>
  <c r="B86" i="5"/>
  <c r="C86" i="5" s="1"/>
  <c r="A86" i="5"/>
  <c r="M85" i="5"/>
  <c r="N85" i="5" s="1"/>
  <c r="L85" i="5"/>
  <c r="K85" i="5"/>
  <c r="J85" i="5"/>
  <c r="I85" i="5"/>
  <c r="H85" i="5"/>
  <c r="E85" i="5"/>
  <c r="G85" i="5" s="1"/>
  <c r="D85" i="5"/>
  <c r="B85" i="5"/>
  <c r="C85" i="5" s="1"/>
  <c r="A85" i="5"/>
  <c r="M84" i="5"/>
  <c r="N84" i="5" s="1"/>
  <c r="L84" i="5"/>
  <c r="K84" i="5"/>
  <c r="J84" i="5"/>
  <c r="I84" i="5"/>
  <c r="H84" i="5"/>
  <c r="E84" i="5"/>
  <c r="G84" i="5" s="1"/>
  <c r="D84" i="5"/>
  <c r="B84" i="5"/>
  <c r="C84" i="5" s="1"/>
  <c r="A84" i="5"/>
  <c r="M83" i="5"/>
  <c r="N83" i="5" s="1"/>
  <c r="L83" i="5"/>
  <c r="K83" i="5"/>
  <c r="J83" i="5"/>
  <c r="I83" i="5"/>
  <c r="H83" i="5"/>
  <c r="E83" i="5"/>
  <c r="G83" i="5" s="1"/>
  <c r="D83" i="5"/>
  <c r="C83" i="5"/>
  <c r="B83" i="5"/>
  <c r="A83" i="5"/>
  <c r="M82" i="5"/>
  <c r="N82" i="5" s="1"/>
  <c r="L82" i="5"/>
  <c r="K82" i="5"/>
  <c r="J82" i="5"/>
  <c r="I82" i="5"/>
  <c r="H82" i="5"/>
  <c r="E82" i="5"/>
  <c r="G82" i="5" s="1"/>
  <c r="D82" i="5"/>
  <c r="B82" i="5"/>
  <c r="C82" i="5" s="1"/>
  <c r="A82" i="5"/>
  <c r="M81" i="5"/>
  <c r="N81" i="5" s="1"/>
  <c r="L81" i="5"/>
  <c r="K81" i="5"/>
  <c r="J81" i="5"/>
  <c r="I81" i="5"/>
  <c r="H81" i="5"/>
  <c r="E81" i="5"/>
  <c r="G81" i="5" s="1"/>
  <c r="D81" i="5"/>
  <c r="B81" i="5"/>
  <c r="C81" i="5" s="1"/>
  <c r="A81" i="5"/>
  <c r="M80" i="5"/>
  <c r="N80" i="5" s="1"/>
  <c r="L80" i="5"/>
  <c r="K80" i="5"/>
  <c r="J80" i="5"/>
  <c r="I80" i="5"/>
  <c r="H80" i="5"/>
  <c r="E80" i="5"/>
  <c r="G80" i="5" s="1"/>
  <c r="D80" i="5"/>
  <c r="B80" i="5"/>
  <c r="C80" i="5" s="1"/>
  <c r="A80" i="5"/>
  <c r="M79" i="5"/>
  <c r="N79" i="5" s="1"/>
  <c r="L79" i="5"/>
  <c r="K79" i="5"/>
  <c r="J79" i="5"/>
  <c r="I79" i="5"/>
  <c r="H79" i="5"/>
  <c r="E79" i="5"/>
  <c r="G79" i="5" s="1"/>
  <c r="D79" i="5"/>
  <c r="B79" i="5"/>
  <c r="C79" i="5" s="1"/>
  <c r="A79" i="5"/>
  <c r="M78" i="5"/>
  <c r="N78" i="5" s="1"/>
  <c r="L78" i="5"/>
  <c r="K78" i="5"/>
  <c r="J78" i="5"/>
  <c r="I78" i="5"/>
  <c r="H78" i="5"/>
  <c r="E78" i="5"/>
  <c r="G78" i="5" s="1"/>
  <c r="D78" i="5"/>
  <c r="B78" i="5"/>
  <c r="C78" i="5" s="1"/>
  <c r="A78" i="5"/>
  <c r="M77" i="5"/>
  <c r="N77" i="5" s="1"/>
  <c r="L77" i="5"/>
  <c r="K77" i="5"/>
  <c r="J77" i="5"/>
  <c r="I77" i="5"/>
  <c r="H77" i="5"/>
  <c r="E77" i="5"/>
  <c r="G77" i="5" s="1"/>
  <c r="D77" i="5"/>
  <c r="B77" i="5"/>
  <c r="C77" i="5" s="1"/>
  <c r="A77" i="5"/>
  <c r="M76" i="5"/>
  <c r="N76" i="5" s="1"/>
  <c r="L76" i="5"/>
  <c r="K76" i="5"/>
  <c r="J76" i="5"/>
  <c r="I76" i="5"/>
  <c r="H76" i="5"/>
  <c r="E76" i="5"/>
  <c r="G76" i="5" s="1"/>
  <c r="D76" i="5"/>
  <c r="B76" i="5"/>
  <c r="C76" i="5" s="1"/>
  <c r="A76" i="5"/>
  <c r="M75" i="5"/>
  <c r="N75" i="5" s="1"/>
  <c r="L75" i="5"/>
  <c r="K75" i="5"/>
  <c r="J75" i="5"/>
  <c r="I75" i="5"/>
  <c r="H75" i="5"/>
  <c r="E75" i="5"/>
  <c r="G75" i="5" s="1"/>
  <c r="D75" i="5"/>
  <c r="B75" i="5"/>
  <c r="C75" i="5" s="1"/>
  <c r="A75" i="5"/>
  <c r="M74" i="5"/>
  <c r="N74" i="5" s="1"/>
  <c r="L74" i="5"/>
  <c r="K74" i="5"/>
  <c r="J74" i="5"/>
  <c r="I74" i="5"/>
  <c r="H74" i="5"/>
  <c r="E74" i="5"/>
  <c r="G74" i="5" s="1"/>
  <c r="D74" i="5"/>
  <c r="B74" i="5"/>
  <c r="C74" i="5" s="1"/>
  <c r="A74" i="5"/>
  <c r="M73" i="5"/>
  <c r="N73" i="5" s="1"/>
  <c r="L73" i="5"/>
  <c r="K73" i="5"/>
  <c r="J73" i="5"/>
  <c r="I73" i="5"/>
  <c r="H73" i="5"/>
  <c r="E73" i="5"/>
  <c r="G73" i="5" s="1"/>
  <c r="D73" i="5"/>
  <c r="B73" i="5"/>
  <c r="C73" i="5" s="1"/>
  <c r="A73" i="5"/>
  <c r="M72" i="5"/>
  <c r="N72" i="5" s="1"/>
  <c r="L72" i="5"/>
  <c r="K72" i="5"/>
  <c r="J72" i="5"/>
  <c r="I72" i="5"/>
  <c r="H72" i="5"/>
  <c r="E72" i="5"/>
  <c r="G72" i="5" s="1"/>
  <c r="D72" i="5"/>
  <c r="B72" i="5"/>
  <c r="C72" i="5" s="1"/>
  <c r="A72" i="5"/>
  <c r="M71" i="5"/>
  <c r="N71" i="5" s="1"/>
  <c r="L71" i="5"/>
  <c r="K71" i="5"/>
  <c r="J71" i="5"/>
  <c r="I71" i="5"/>
  <c r="H71" i="5"/>
  <c r="E71" i="5"/>
  <c r="G71" i="5" s="1"/>
  <c r="D71" i="5"/>
  <c r="B71" i="5"/>
  <c r="C71" i="5" s="1"/>
  <c r="A71" i="5"/>
  <c r="M70" i="5"/>
  <c r="N70" i="5" s="1"/>
  <c r="L70" i="5"/>
  <c r="K70" i="5"/>
  <c r="J70" i="5"/>
  <c r="I70" i="5"/>
  <c r="H70" i="5"/>
  <c r="E70" i="5"/>
  <c r="G70" i="5" s="1"/>
  <c r="D70" i="5"/>
  <c r="B70" i="5"/>
  <c r="C70" i="5" s="1"/>
  <c r="A70" i="5"/>
  <c r="M69" i="5"/>
  <c r="N69" i="5" s="1"/>
  <c r="L69" i="5"/>
  <c r="K69" i="5"/>
  <c r="J69" i="5"/>
  <c r="I69" i="5"/>
  <c r="H69" i="5"/>
  <c r="E69" i="5"/>
  <c r="G69" i="5" s="1"/>
  <c r="D69" i="5"/>
  <c r="B69" i="5"/>
  <c r="C69" i="5" s="1"/>
  <c r="A69" i="5"/>
  <c r="M68" i="5"/>
  <c r="N68" i="5" s="1"/>
  <c r="L68" i="5"/>
  <c r="K68" i="5"/>
  <c r="J68" i="5"/>
  <c r="I68" i="5"/>
  <c r="H68" i="5"/>
  <c r="E68" i="5"/>
  <c r="G68" i="5" s="1"/>
  <c r="D68" i="5"/>
  <c r="B68" i="5"/>
  <c r="C68" i="5" s="1"/>
  <c r="A68" i="5"/>
  <c r="M67" i="5"/>
  <c r="N67" i="5" s="1"/>
  <c r="L67" i="5"/>
  <c r="K67" i="5"/>
  <c r="J67" i="5"/>
  <c r="I67" i="5"/>
  <c r="H67" i="5"/>
  <c r="E67" i="5"/>
  <c r="G67" i="5" s="1"/>
  <c r="D67" i="5"/>
  <c r="B67" i="5"/>
  <c r="C67" i="5" s="1"/>
  <c r="A67" i="5"/>
  <c r="M66" i="5"/>
  <c r="N66" i="5" s="1"/>
  <c r="L66" i="5"/>
  <c r="K66" i="5"/>
  <c r="J66" i="5"/>
  <c r="I66" i="5"/>
  <c r="H66" i="5"/>
  <c r="E66" i="5"/>
  <c r="G66" i="5" s="1"/>
  <c r="D66" i="5"/>
  <c r="B66" i="5"/>
  <c r="C66" i="5" s="1"/>
  <c r="A66" i="5"/>
  <c r="M65" i="5"/>
  <c r="N65" i="5" s="1"/>
  <c r="L65" i="5"/>
  <c r="K65" i="5"/>
  <c r="J65" i="5"/>
  <c r="I65" i="5"/>
  <c r="H65" i="5"/>
  <c r="E65" i="5"/>
  <c r="G65" i="5" s="1"/>
  <c r="D65" i="5"/>
  <c r="B65" i="5"/>
  <c r="C65" i="5" s="1"/>
  <c r="A65" i="5"/>
  <c r="M64" i="5"/>
  <c r="N64" i="5" s="1"/>
  <c r="L64" i="5"/>
  <c r="K64" i="5"/>
  <c r="J64" i="5"/>
  <c r="I64" i="5"/>
  <c r="H64" i="5"/>
  <c r="E64" i="5"/>
  <c r="G64" i="5" s="1"/>
  <c r="D64" i="5"/>
  <c r="B64" i="5"/>
  <c r="C64" i="5" s="1"/>
  <c r="A64" i="5"/>
  <c r="M63" i="5"/>
  <c r="N63" i="5" s="1"/>
  <c r="L63" i="5"/>
  <c r="K63" i="5"/>
  <c r="J63" i="5"/>
  <c r="I63" i="5"/>
  <c r="H63" i="5"/>
  <c r="E63" i="5"/>
  <c r="G63" i="5" s="1"/>
  <c r="D63" i="5"/>
  <c r="B63" i="5"/>
  <c r="C63" i="5" s="1"/>
  <c r="A63" i="5"/>
  <c r="M62" i="5"/>
  <c r="N62" i="5" s="1"/>
  <c r="L62" i="5"/>
  <c r="K62" i="5"/>
  <c r="J62" i="5"/>
  <c r="I62" i="5"/>
  <c r="H62" i="5"/>
  <c r="E62" i="5"/>
  <c r="G62" i="5" s="1"/>
  <c r="D62" i="5"/>
  <c r="B62" i="5"/>
  <c r="C62" i="5" s="1"/>
  <c r="A62" i="5"/>
  <c r="M61" i="5"/>
  <c r="N61" i="5" s="1"/>
  <c r="L61" i="5"/>
  <c r="K61" i="5"/>
  <c r="J61" i="5"/>
  <c r="I61" i="5"/>
  <c r="H61" i="5"/>
  <c r="E61" i="5"/>
  <c r="G61" i="5" s="1"/>
  <c r="D61" i="5"/>
  <c r="B61" i="5"/>
  <c r="C61" i="5" s="1"/>
  <c r="A61" i="5"/>
  <c r="M60" i="5"/>
  <c r="N60" i="5" s="1"/>
  <c r="L60" i="5"/>
  <c r="K60" i="5"/>
  <c r="J60" i="5"/>
  <c r="I60" i="5"/>
  <c r="H60" i="5"/>
  <c r="E60" i="5"/>
  <c r="G60" i="5" s="1"/>
  <c r="D60" i="5"/>
  <c r="B60" i="5"/>
  <c r="C60" i="5" s="1"/>
  <c r="A60" i="5"/>
  <c r="M59" i="5"/>
  <c r="N59" i="5" s="1"/>
  <c r="L59" i="5"/>
  <c r="K59" i="5"/>
  <c r="J59" i="5"/>
  <c r="I59" i="5"/>
  <c r="H59" i="5"/>
  <c r="E59" i="5"/>
  <c r="G59" i="5" s="1"/>
  <c r="D59" i="5"/>
  <c r="B59" i="5"/>
  <c r="C59" i="5" s="1"/>
  <c r="A59" i="5"/>
  <c r="M58" i="5"/>
  <c r="N58" i="5" s="1"/>
  <c r="L58" i="5"/>
  <c r="K58" i="5"/>
  <c r="J58" i="5"/>
  <c r="I58" i="5"/>
  <c r="H58" i="5"/>
  <c r="E58" i="5"/>
  <c r="G58" i="5" s="1"/>
  <c r="D58" i="5"/>
  <c r="B58" i="5"/>
  <c r="C58" i="5" s="1"/>
  <c r="A58" i="5"/>
  <c r="M57" i="5"/>
  <c r="N57" i="5" s="1"/>
  <c r="L57" i="5"/>
  <c r="K57" i="5"/>
  <c r="J57" i="5"/>
  <c r="I57" i="5"/>
  <c r="H57" i="5"/>
  <c r="E57" i="5"/>
  <c r="G57" i="5" s="1"/>
  <c r="D57" i="5"/>
  <c r="B57" i="5"/>
  <c r="C57" i="5" s="1"/>
  <c r="A57" i="5"/>
  <c r="M56" i="5"/>
  <c r="N56" i="5" s="1"/>
  <c r="L56" i="5"/>
  <c r="K56" i="5"/>
  <c r="J56" i="5"/>
  <c r="I56" i="5"/>
  <c r="H56" i="5"/>
  <c r="E56" i="5"/>
  <c r="G56" i="5" s="1"/>
  <c r="D56" i="5"/>
  <c r="B56" i="5"/>
  <c r="C56" i="5" s="1"/>
  <c r="A56" i="5"/>
  <c r="M55" i="5"/>
  <c r="N55" i="5" s="1"/>
  <c r="L55" i="5"/>
  <c r="K55" i="5"/>
  <c r="J55" i="5"/>
  <c r="I55" i="5"/>
  <c r="H55" i="5"/>
  <c r="E55" i="5"/>
  <c r="G55" i="5" s="1"/>
  <c r="D55" i="5"/>
  <c r="B55" i="5"/>
  <c r="C55" i="5" s="1"/>
  <c r="A55" i="5"/>
  <c r="M54" i="5"/>
  <c r="N54" i="5" s="1"/>
  <c r="L54" i="5"/>
  <c r="K54" i="5"/>
  <c r="J54" i="5"/>
  <c r="I54" i="5"/>
  <c r="H54" i="5"/>
  <c r="E54" i="5"/>
  <c r="G54" i="5" s="1"/>
  <c r="D54" i="5"/>
  <c r="B54" i="5"/>
  <c r="C54" i="5" s="1"/>
  <c r="A54" i="5"/>
  <c r="M53" i="5"/>
  <c r="N53" i="5" s="1"/>
  <c r="L53" i="5"/>
  <c r="K53" i="5"/>
  <c r="J53" i="5"/>
  <c r="I53" i="5"/>
  <c r="H53" i="5"/>
  <c r="E53" i="5"/>
  <c r="G53" i="5" s="1"/>
  <c r="D53" i="5"/>
  <c r="B53" i="5"/>
  <c r="C53" i="5" s="1"/>
  <c r="A53" i="5"/>
  <c r="M52" i="5"/>
  <c r="N52" i="5" s="1"/>
  <c r="L52" i="5"/>
  <c r="K52" i="5"/>
  <c r="J52" i="5"/>
  <c r="I52" i="5"/>
  <c r="H52" i="5"/>
  <c r="E52" i="5"/>
  <c r="G52" i="5" s="1"/>
  <c r="D52" i="5"/>
  <c r="B52" i="5"/>
  <c r="C52" i="5" s="1"/>
  <c r="A52" i="5"/>
  <c r="M51" i="5"/>
  <c r="N51" i="5" s="1"/>
  <c r="L51" i="5"/>
  <c r="K51" i="5"/>
  <c r="J51" i="5"/>
  <c r="I51" i="5"/>
  <c r="H51" i="5"/>
  <c r="E51" i="5"/>
  <c r="G51" i="5" s="1"/>
  <c r="D51" i="5"/>
  <c r="B51" i="5"/>
  <c r="C51" i="5" s="1"/>
  <c r="A51" i="5"/>
  <c r="L50" i="5"/>
  <c r="K50" i="5"/>
  <c r="M50" i="5" s="1"/>
  <c r="J50" i="5"/>
  <c r="I50" i="5"/>
  <c r="H50" i="5"/>
  <c r="E50" i="5"/>
  <c r="G50" i="5" s="1"/>
  <c r="D50" i="5"/>
  <c r="B50" i="5"/>
  <c r="C50" i="5" s="1"/>
  <c r="A50" i="5"/>
  <c r="M49" i="5"/>
  <c r="L49" i="5"/>
  <c r="K49" i="5"/>
  <c r="I49" i="5"/>
  <c r="J49" i="5" s="1"/>
  <c r="H49" i="5"/>
  <c r="E49" i="5"/>
  <c r="G49" i="5" s="1"/>
  <c r="D49" i="5"/>
  <c r="B49" i="5"/>
  <c r="C49" i="5" s="1"/>
  <c r="A49" i="5"/>
  <c r="L48" i="5"/>
  <c r="K48" i="5"/>
  <c r="M48" i="5" s="1"/>
  <c r="I48" i="5"/>
  <c r="J48" i="5" s="1"/>
  <c r="H48" i="5"/>
  <c r="E48" i="5"/>
  <c r="G48" i="5" s="1"/>
  <c r="D48" i="5"/>
  <c r="B48" i="5"/>
  <c r="C48" i="5" s="1"/>
  <c r="A48" i="5"/>
  <c r="L47" i="5"/>
  <c r="K47" i="5"/>
  <c r="M47" i="5" s="1"/>
  <c r="I47" i="5"/>
  <c r="J47" i="5" s="1"/>
  <c r="H47" i="5"/>
  <c r="E47" i="5"/>
  <c r="G47" i="5" s="1"/>
  <c r="D47" i="5"/>
  <c r="B47" i="5"/>
  <c r="C47" i="5" s="1"/>
  <c r="A47" i="5"/>
  <c r="L46" i="5"/>
  <c r="K46" i="5"/>
  <c r="M46" i="5" s="1"/>
  <c r="I46" i="5"/>
  <c r="J46" i="5" s="1"/>
  <c r="H46" i="5"/>
  <c r="E46" i="5"/>
  <c r="G46" i="5" s="1"/>
  <c r="D46" i="5"/>
  <c r="B46" i="5"/>
  <c r="C46" i="5" s="1"/>
  <c r="A46" i="5"/>
  <c r="L45" i="5"/>
  <c r="K45" i="5"/>
  <c r="M45" i="5" s="1"/>
  <c r="I45" i="5"/>
  <c r="J45" i="5" s="1"/>
  <c r="H45" i="5"/>
  <c r="E45" i="5"/>
  <c r="G45" i="5" s="1"/>
  <c r="D45" i="5"/>
  <c r="B45" i="5"/>
  <c r="C45" i="5" s="1"/>
  <c r="A45" i="5"/>
  <c r="L44" i="5"/>
  <c r="K44" i="5"/>
  <c r="M44" i="5" s="1"/>
  <c r="I44" i="5"/>
  <c r="J44" i="5" s="1"/>
  <c r="H44" i="5"/>
  <c r="E44" i="5"/>
  <c r="G44" i="5" s="1"/>
  <c r="D44" i="5"/>
  <c r="C44" i="5"/>
  <c r="B44" i="5"/>
  <c r="A44" i="5"/>
  <c r="L43" i="5"/>
  <c r="K43" i="5"/>
  <c r="M43" i="5" s="1"/>
  <c r="I43" i="5"/>
  <c r="J43" i="5" s="1"/>
  <c r="H43" i="5"/>
  <c r="E43" i="5"/>
  <c r="G43" i="5" s="1"/>
  <c r="D43" i="5"/>
  <c r="B43" i="5"/>
  <c r="C43" i="5" s="1"/>
  <c r="A43" i="5"/>
  <c r="L42" i="5"/>
  <c r="K42" i="5"/>
  <c r="M42" i="5" s="1"/>
  <c r="I42" i="5"/>
  <c r="J42" i="5" s="1"/>
  <c r="H42" i="5"/>
  <c r="E42" i="5"/>
  <c r="G42" i="5" s="1"/>
  <c r="D42" i="5"/>
  <c r="B42" i="5"/>
  <c r="C42" i="5" s="1"/>
  <c r="A42" i="5"/>
  <c r="L41" i="5"/>
  <c r="K41" i="5"/>
  <c r="M41" i="5" s="1"/>
  <c r="I41" i="5"/>
  <c r="J41" i="5" s="1"/>
  <c r="H41" i="5"/>
  <c r="E41" i="5"/>
  <c r="G41" i="5" s="1"/>
  <c r="D41" i="5"/>
  <c r="B41" i="5"/>
  <c r="C41" i="5" s="1"/>
  <c r="A41" i="5"/>
  <c r="L40" i="5"/>
  <c r="K40" i="5"/>
  <c r="M40" i="5" s="1"/>
  <c r="I40" i="5"/>
  <c r="J40" i="5" s="1"/>
  <c r="H40" i="5"/>
  <c r="E40" i="5"/>
  <c r="G40" i="5" s="1"/>
  <c r="D40" i="5"/>
  <c r="B40" i="5"/>
  <c r="C40" i="5" s="1"/>
  <c r="A40" i="5"/>
  <c r="L39" i="5"/>
  <c r="K39" i="5"/>
  <c r="M39" i="5" s="1"/>
  <c r="I39" i="5"/>
  <c r="J39" i="5" s="1"/>
  <c r="H39" i="5"/>
  <c r="E39" i="5"/>
  <c r="G39" i="5" s="1"/>
  <c r="D39" i="5"/>
  <c r="B39" i="5"/>
  <c r="C39" i="5" s="1"/>
  <c r="A39" i="5"/>
  <c r="L38" i="5"/>
  <c r="K38" i="5"/>
  <c r="M38" i="5" s="1"/>
  <c r="I38" i="5"/>
  <c r="J38" i="5" s="1"/>
  <c r="H38" i="5"/>
  <c r="E38" i="5"/>
  <c r="G38" i="5" s="1"/>
  <c r="D38" i="5"/>
  <c r="B38" i="5"/>
  <c r="C38" i="5" s="1"/>
  <c r="A38" i="5"/>
  <c r="L37" i="5"/>
  <c r="K37" i="5"/>
  <c r="M37" i="5" s="1"/>
  <c r="I37" i="5"/>
  <c r="J37" i="5" s="1"/>
  <c r="H37" i="5"/>
  <c r="E37" i="5"/>
  <c r="G37" i="5" s="1"/>
  <c r="D37" i="5"/>
  <c r="B37" i="5"/>
  <c r="C37" i="5" s="1"/>
  <c r="A37" i="5"/>
  <c r="L36" i="5"/>
  <c r="K36" i="5"/>
  <c r="M36" i="5" s="1"/>
  <c r="I36" i="5"/>
  <c r="J36" i="5" s="1"/>
  <c r="H36" i="5"/>
  <c r="E36" i="5"/>
  <c r="G36" i="5" s="1"/>
  <c r="D36" i="5"/>
  <c r="B36" i="5"/>
  <c r="C36" i="5" s="1"/>
  <c r="A36" i="5"/>
  <c r="L35" i="5"/>
  <c r="K35" i="5"/>
  <c r="M35" i="5" s="1"/>
  <c r="I35" i="5"/>
  <c r="J35" i="5" s="1"/>
  <c r="H35" i="5"/>
  <c r="E35" i="5"/>
  <c r="G35" i="5" s="1"/>
  <c r="D35" i="5"/>
  <c r="B35" i="5"/>
  <c r="C35" i="5" s="1"/>
  <c r="A35" i="5"/>
  <c r="L34" i="5"/>
  <c r="K34" i="5"/>
  <c r="M34" i="5" s="1"/>
  <c r="I34" i="5"/>
  <c r="J34" i="5" s="1"/>
  <c r="H34" i="5"/>
  <c r="E34" i="5"/>
  <c r="G34" i="5" s="1"/>
  <c r="D34" i="5"/>
  <c r="C34" i="5"/>
  <c r="B34" i="5"/>
  <c r="A34" i="5"/>
  <c r="L33" i="5"/>
  <c r="K33" i="5"/>
  <c r="M33" i="5" s="1"/>
  <c r="N33" i="5" s="1"/>
  <c r="I33" i="5"/>
  <c r="J33" i="5" s="1"/>
  <c r="H33" i="5"/>
  <c r="E33" i="5"/>
  <c r="G33" i="5" s="1"/>
  <c r="D33" i="5"/>
  <c r="B33" i="5"/>
  <c r="C33" i="5" s="1"/>
  <c r="A33" i="5"/>
  <c r="M32" i="5"/>
  <c r="L32" i="5"/>
  <c r="K32" i="5"/>
  <c r="I32" i="5"/>
  <c r="J32" i="5" s="1"/>
  <c r="H32" i="5"/>
  <c r="E32" i="5"/>
  <c r="G32" i="5" s="1"/>
  <c r="D32" i="5"/>
  <c r="B32" i="5"/>
  <c r="C32" i="5" s="1"/>
  <c r="A32" i="5"/>
  <c r="L31" i="5"/>
  <c r="K31" i="5"/>
  <c r="M31" i="5" s="1"/>
  <c r="I31" i="5"/>
  <c r="J31" i="5" s="1"/>
  <c r="H31" i="5"/>
  <c r="E31" i="5"/>
  <c r="G31" i="5" s="1"/>
  <c r="D31" i="5"/>
  <c r="B31" i="5"/>
  <c r="C31" i="5" s="1"/>
  <c r="A31" i="5"/>
  <c r="L30" i="5"/>
  <c r="K30" i="5"/>
  <c r="M30" i="5" s="1"/>
  <c r="I30" i="5"/>
  <c r="J30" i="5" s="1"/>
  <c r="H30" i="5"/>
  <c r="E30" i="5"/>
  <c r="G30" i="5" s="1"/>
  <c r="D30" i="5"/>
  <c r="B30" i="5"/>
  <c r="C30" i="5" s="1"/>
  <c r="A30" i="5"/>
  <c r="L29" i="5"/>
  <c r="K29" i="5"/>
  <c r="M29" i="5" s="1"/>
  <c r="I29" i="5"/>
  <c r="J29" i="5" s="1"/>
  <c r="H29" i="5"/>
  <c r="E29" i="5"/>
  <c r="G29" i="5" s="1"/>
  <c r="D29" i="5"/>
  <c r="B29" i="5"/>
  <c r="C29" i="5" s="1"/>
  <c r="A29" i="5"/>
  <c r="L28" i="5"/>
  <c r="K28" i="5"/>
  <c r="M28" i="5" s="1"/>
  <c r="I28" i="5"/>
  <c r="J28" i="5" s="1"/>
  <c r="H28" i="5"/>
  <c r="E28" i="5"/>
  <c r="G28" i="5" s="1"/>
  <c r="D28" i="5"/>
  <c r="B28" i="5"/>
  <c r="C28" i="5" s="1"/>
  <c r="A28" i="5"/>
  <c r="L27" i="5"/>
  <c r="K27" i="5"/>
  <c r="M27" i="5" s="1"/>
  <c r="I27" i="5"/>
  <c r="J27" i="5" s="1"/>
  <c r="H27" i="5"/>
  <c r="E27" i="5"/>
  <c r="G27" i="5" s="1"/>
  <c r="D27" i="5"/>
  <c r="C27" i="5"/>
  <c r="B27" i="5"/>
  <c r="A27" i="5"/>
  <c r="L26" i="5"/>
  <c r="K26" i="5"/>
  <c r="M26" i="5" s="1"/>
  <c r="N26" i="5" s="1"/>
  <c r="I26" i="5"/>
  <c r="J26" i="5" s="1"/>
  <c r="H26" i="5"/>
  <c r="E26" i="5"/>
  <c r="G26" i="5" s="1"/>
  <c r="D26" i="5"/>
  <c r="B26" i="5"/>
  <c r="C26" i="5" s="1"/>
  <c r="A26" i="5"/>
  <c r="L25" i="5"/>
  <c r="K25" i="5"/>
  <c r="M25" i="5" s="1"/>
  <c r="I25" i="5"/>
  <c r="J25" i="5" s="1"/>
  <c r="H25" i="5"/>
  <c r="E25" i="5"/>
  <c r="G25" i="5" s="1"/>
  <c r="D25" i="5"/>
  <c r="B25" i="5"/>
  <c r="C25" i="5" s="1"/>
  <c r="A25" i="5"/>
  <c r="L24" i="5"/>
  <c r="K24" i="5"/>
  <c r="M24" i="5" s="1"/>
  <c r="I24" i="5"/>
  <c r="J24" i="5" s="1"/>
  <c r="H24" i="5"/>
  <c r="E24" i="5"/>
  <c r="G24" i="5" s="1"/>
  <c r="D24" i="5"/>
  <c r="B24" i="5"/>
  <c r="C24" i="5" s="1"/>
  <c r="A24" i="5"/>
  <c r="L23" i="5"/>
  <c r="K23" i="5"/>
  <c r="M23" i="5" s="1"/>
  <c r="N23" i="5" s="1"/>
  <c r="I23" i="5"/>
  <c r="J23" i="5" s="1"/>
  <c r="H23" i="5"/>
  <c r="E23" i="5"/>
  <c r="G23" i="5" s="1"/>
  <c r="D23" i="5"/>
  <c r="B23" i="5"/>
  <c r="C23" i="5" s="1"/>
  <c r="A23" i="5"/>
  <c r="L22" i="5"/>
  <c r="K22" i="5"/>
  <c r="M22" i="5" s="1"/>
  <c r="N22" i="5" s="1"/>
  <c r="I22" i="5"/>
  <c r="J22" i="5" s="1"/>
  <c r="H22" i="5"/>
  <c r="E22" i="5"/>
  <c r="G22" i="5" s="1"/>
  <c r="D22" i="5"/>
  <c r="B22" i="5"/>
  <c r="C22" i="5" s="1"/>
  <c r="A22" i="5"/>
  <c r="L21" i="5"/>
  <c r="K21" i="5"/>
  <c r="M21" i="5" s="1"/>
  <c r="I21" i="5"/>
  <c r="J21" i="5" s="1"/>
  <c r="H21" i="5"/>
  <c r="E21" i="5"/>
  <c r="G21" i="5" s="1"/>
  <c r="D21" i="5"/>
  <c r="B21" i="5"/>
  <c r="C21" i="5" s="1"/>
  <c r="A21" i="5"/>
  <c r="L20" i="5"/>
  <c r="K20" i="5"/>
  <c r="M20" i="5" s="1"/>
  <c r="I20" i="5"/>
  <c r="J20" i="5" s="1"/>
  <c r="H20" i="5"/>
  <c r="E20" i="5"/>
  <c r="G20" i="5" s="1"/>
  <c r="D20" i="5"/>
  <c r="B20" i="5"/>
  <c r="C20" i="5" s="1"/>
  <c r="A20" i="5"/>
  <c r="L19" i="5"/>
  <c r="K19" i="5"/>
  <c r="M19" i="5" s="1"/>
  <c r="I19" i="5"/>
  <c r="J19" i="5" s="1"/>
  <c r="H19" i="5"/>
  <c r="E19" i="5"/>
  <c r="G19" i="5" s="1"/>
  <c r="D19" i="5"/>
  <c r="B19" i="5"/>
  <c r="C19" i="5" s="1"/>
  <c r="A19" i="5"/>
  <c r="L18" i="5"/>
  <c r="K18" i="5"/>
  <c r="M18" i="5" s="1"/>
  <c r="I18" i="5"/>
  <c r="J18" i="5" s="1"/>
  <c r="H18" i="5"/>
  <c r="E18" i="5"/>
  <c r="G18" i="5" s="1"/>
  <c r="D18" i="5"/>
  <c r="B18" i="5"/>
  <c r="C18" i="5" s="1"/>
  <c r="A18" i="5"/>
  <c r="L17" i="5"/>
  <c r="K17" i="5"/>
  <c r="M17" i="5" s="1"/>
  <c r="I17" i="5"/>
  <c r="J17" i="5" s="1"/>
  <c r="H17" i="5"/>
  <c r="E17" i="5"/>
  <c r="G17" i="5" s="1"/>
  <c r="D17" i="5"/>
  <c r="B17" i="5"/>
  <c r="C17" i="5" s="1"/>
  <c r="A17" i="5"/>
  <c r="L16" i="5"/>
  <c r="K16" i="5"/>
  <c r="M16" i="5" s="1"/>
  <c r="N16" i="5" s="1"/>
  <c r="I16" i="5"/>
  <c r="J16" i="5" s="1"/>
  <c r="H16" i="5"/>
  <c r="E16" i="5"/>
  <c r="G16" i="5" s="1"/>
  <c r="D16" i="5"/>
  <c r="B16" i="5"/>
  <c r="C16" i="5" s="1"/>
  <c r="A16" i="5"/>
  <c r="L15" i="5"/>
  <c r="K15" i="5"/>
  <c r="M15" i="5" s="1"/>
  <c r="I15" i="5"/>
  <c r="J15" i="5" s="1"/>
  <c r="H15" i="5"/>
  <c r="E15" i="5"/>
  <c r="G15" i="5" s="1"/>
  <c r="D15" i="5"/>
  <c r="B15" i="5"/>
  <c r="C15" i="5" s="1"/>
  <c r="A15" i="5"/>
  <c r="L14" i="5"/>
  <c r="K14" i="5"/>
  <c r="M14" i="5" s="1"/>
  <c r="I14" i="5"/>
  <c r="J14" i="5" s="1"/>
  <c r="H14" i="5"/>
  <c r="E14" i="5"/>
  <c r="G14" i="5" s="1"/>
  <c r="D14" i="5"/>
  <c r="B14" i="5"/>
  <c r="C14" i="5" s="1"/>
  <c r="A14" i="5"/>
  <c r="L13" i="5"/>
  <c r="K13" i="5"/>
  <c r="M13" i="5" s="1"/>
  <c r="I13" i="5"/>
  <c r="J13" i="5" s="1"/>
  <c r="H13" i="5"/>
  <c r="E13" i="5"/>
  <c r="G13" i="5" s="1"/>
  <c r="D13" i="5"/>
  <c r="B13" i="5"/>
  <c r="C13" i="5" s="1"/>
  <c r="A13" i="5"/>
  <c r="M12" i="5"/>
  <c r="L12" i="5"/>
  <c r="K12" i="5"/>
  <c r="I12" i="5"/>
  <c r="J12" i="5" s="1"/>
  <c r="H12" i="5"/>
  <c r="E12" i="5"/>
  <c r="G12" i="5" s="1"/>
  <c r="D12" i="5"/>
  <c r="B12" i="5"/>
  <c r="C12" i="5" s="1"/>
  <c r="A12" i="5"/>
  <c r="L11" i="5"/>
  <c r="K11" i="5"/>
  <c r="M11" i="5" s="1"/>
  <c r="N11" i="5" s="1"/>
  <c r="I11" i="5"/>
  <c r="J11" i="5" s="1"/>
  <c r="H11" i="5"/>
  <c r="E11" i="5"/>
  <c r="G11" i="5" s="1"/>
  <c r="D11" i="5"/>
  <c r="B11" i="5"/>
  <c r="C11" i="5" s="1"/>
  <c r="A11" i="5"/>
  <c r="L10" i="5"/>
  <c r="K10" i="5"/>
  <c r="M10" i="5" s="1"/>
  <c r="I10" i="5"/>
  <c r="J10" i="5" s="1"/>
  <c r="H10" i="5"/>
  <c r="E10" i="5"/>
  <c r="G10" i="5" s="1"/>
  <c r="D10" i="5"/>
  <c r="B10" i="5"/>
  <c r="C10" i="5" s="1"/>
  <c r="A10" i="5"/>
  <c r="L9" i="5"/>
  <c r="K9" i="5"/>
  <c r="M9" i="5" s="1"/>
  <c r="I9" i="5"/>
  <c r="J9" i="5" s="1"/>
  <c r="H9" i="5"/>
  <c r="E9" i="5"/>
  <c r="G9" i="5" s="1"/>
  <c r="D9" i="5"/>
  <c r="B9" i="5"/>
  <c r="C9" i="5" s="1"/>
  <c r="A9" i="5"/>
  <c r="L8" i="5"/>
  <c r="K8" i="5"/>
  <c r="M8" i="5" s="1"/>
  <c r="I8" i="5"/>
  <c r="J8" i="5" s="1"/>
  <c r="H8" i="5"/>
  <c r="E8" i="5"/>
  <c r="G8" i="5" s="1"/>
  <c r="D8" i="5"/>
  <c r="B8" i="5"/>
  <c r="C8" i="5" s="1"/>
  <c r="A8" i="5"/>
  <c r="L7" i="5"/>
  <c r="K7" i="5"/>
  <c r="M7" i="5" s="1"/>
  <c r="I7" i="5"/>
  <c r="J7" i="5" s="1"/>
  <c r="H7" i="5"/>
  <c r="E7" i="5"/>
  <c r="G7" i="5" s="1"/>
  <c r="D7" i="5"/>
  <c r="B7" i="5"/>
  <c r="C7" i="5" s="1"/>
  <c r="A7" i="5"/>
  <c r="L6" i="5"/>
  <c r="K6" i="5"/>
  <c r="M6" i="5" s="1"/>
  <c r="I6" i="5"/>
  <c r="J6" i="5" s="1"/>
  <c r="H6" i="5"/>
  <c r="E6" i="5"/>
  <c r="G6" i="5" s="1"/>
  <c r="D6" i="5"/>
  <c r="B6" i="5"/>
  <c r="C6" i="5" s="1"/>
  <c r="A6" i="5"/>
  <c r="L5" i="5"/>
  <c r="K5" i="5"/>
  <c r="M5" i="5" s="1"/>
  <c r="I5" i="5"/>
  <c r="J5" i="5" s="1"/>
  <c r="H5" i="5"/>
  <c r="E5" i="5"/>
  <c r="G5" i="5" s="1"/>
  <c r="D5" i="5"/>
  <c r="B5" i="5"/>
  <c r="C5" i="5" s="1"/>
  <c r="A5" i="5"/>
  <c r="L4" i="5"/>
  <c r="K4" i="5"/>
  <c r="M4" i="5" s="1"/>
  <c r="I4" i="5"/>
  <c r="J4" i="5" s="1"/>
  <c r="H4" i="5"/>
  <c r="E4" i="5"/>
  <c r="G4" i="5" s="1"/>
  <c r="D4" i="5"/>
  <c r="B4" i="5"/>
  <c r="C4" i="5" s="1"/>
  <c r="A4" i="5"/>
  <c r="L3" i="5"/>
  <c r="K3" i="5"/>
  <c r="M3" i="5" s="1"/>
  <c r="I3" i="5"/>
  <c r="J3" i="5" s="1"/>
  <c r="H3" i="5"/>
  <c r="E3" i="5"/>
  <c r="G3" i="5" s="1"/>
  <c r="D3" i="5"/>
  <c r="B3" i="5"/>
  <c r="C3" i="5" s="1"/>
  <c r="A3" i="5"/>
  <c r="L2" i="5"/>
  <c r="K2" i="5"/>
  <c r="M2" i="5" s="1"/>
  <c r="I2" i="5"/>
  <c r="J2" i="5" s="1"/>
  <c r="H2" i="5"/>
  <c r="E2" i="5"/>
  <c r="D2" i="5"/>
  <c r="B2" i="5"/>
  <c r="C2" i="5" s="1"/>
  <c r="A2" i="5"/>
  <c r="G10" i="7" l="1"/>
  <c r="G6" i="7"/>
  <c r="E11" i="7"/>
  <c r="G2" i="5"/>
  <c r="N15" i="5"/>
  <c r="N27" i="5"/>
  <c r="N28" i="5"/>
  <c r="N44" i="5"/>
  <c r="N47" i="5"/>
  <c r="V17" i="4"/>
  <c r="V18" i="4"/>
  <c r="V13" i="4"/>
  <c r="V9" i="4"/>
  <c r="N18" i="4"/>
  <c r="N14" i="4"/>
  <c r="N10" i="4"/>
  <c r="F15" i="4"/>
  <c r="F11" i="4"/>
  <c r="F7" i="4"/>
  <c r="V16" i="4"/>
  <c r="V12" i="4"/>
  <c r="V8" i="4"/>
  <c r="N17" i="4"/>
  <c r="N13" i="4"/>
  <c r="N9" i="4"/>
  <c r="F18" i="4"/>
  <c r="AC18" i="4" s="1"/>
  <c r="F14" i="4"/>
  <c r="F10" i="4"/>
  <c r="V15" i="4"/>
  <c r="V11" i="4"/>
  <c r="V7" i="4"/>
  <c r="N16" i="4"/>
  <c r="N12" i="4"/>
  <c r="N8" i="4"/>
  <c r="F17" i="4"/>
  <c r="AC17" i="4" s="1"/>
  <c r="F13" i="4"/>
  <c r="AC13" i="4" s="1"/>
  <c r="F9" i="4"/>
  <c r="AC9" i="4" s="1"/>
  <c r="V14" i="4"/>
  <c r="V10" i="4"/>
  <c r="N15" i="4"/>
  <c r="N11" i="4"/>
  <c r="N7" i="4"/>
  <c r="F16" i="4"/>
  <c r="F12" i="4"/>
  <c r="AC12" i="4" s="1"/>
  <c r="F8" i="4"/>
  <c r="AC8" i="4" s="1"/>
  <c r="N21" i="5"/>
  <c r="N34" i="5"/>
  <c r="N35" i="5"/>
  <c r="N39" i="5"/>
  <c r="N40" i="5"/>
  <c r="N41" i="5"/>
  <c r="N50" i="5"/>
  <c r="N8" i="5"/>
  <c r="N10" i="5"/>
  <c r="A13" i="6"/>
  <c r="A17" i="6"/>
  <c r="A21" i="6"/>
  <c r="A25" i="6"/>
  <c r="A29" i="6"/>
  <c r="A33" i="6"/>
  <c r="A37" i="6"/>
  <c r="A41" i="6"/>
  <c r="A11" i="6"/>
  <c r="A15" i="6"/>
  <c r="A19" i="6"/>
  <c r="A23" i="6"/>
  <c r="A27" i="6"/>
  <c r="A31" i="6"/>
  <c r="A35" i="6"/>
  <c r="A39" i="6"/>
  <c r="A34" i="6"/>
  <c r="A26" i="6"/>
  <c r="A18" i="6"/>
  <c r="A40" i="6"/>
  <c r="A32" i="6"/>
  <c r="A24" i="6"/>
  <c r="A16" i="6"/>
  <c r="A38" i="6"/>
  <c r="A30" i="6"/>
  <c r="A22" i="6"/>
  <c r="A14" i="6"/>
  <c r="A36" i="6"/>
  <c r="A28" i="6"/>
  <c r="A20" i="6"/>
  <c r="A12" i="6"/>
  <c r="Y15" i="4"/>
  <c r="S9" i="4"/>
  <c r="N49" i="5"/>
  <c r="Y14" i="4"/>
  <c r="N43" i="5"/>
  <c r="N9" i="5"/>
  <c r="N17" i="5"/>
  <c r="N2" i="5"/>
  <c r="N4" i="5"/>
  <c r="N7" i="5"/>
  <c r="N18" i="5"/>
  <c r="N19" i="5"/>
  <c r="N24" i="5"/>
  <c r="N31" i="5"/>
  <c r="N36" i="5"/>
  <c r="N42" i="5"/>
  <c r="N48" i="5"/>
  <c r="Z10" i="4"/>
  <c r="U11" i="4"/>
  <c r="W11" i="4" s="1"/>
  <c r="X8" i="4"/>
  <c r="Z12" i="4"/>
  <c r="Y9" i="4"/>
  <c r="S12" i="4"/>
  <c r="U15" i="4"/>
  <c r="W15" i="4" s="1"/>
  <c r="X7" i="4"/>
  <c r="T10" i="4"/>
  <c r="Q11" i="4"/>
  <c r="R7" i="4"/>
  <c r="L13" i="4"/>
  <c r="M10" i="4"/>
  <c r="O10" i="4" s="1"/>
  <c r="L9" i="4"/>
  <c r="Q8" i="4"/>
  <c r="L7" i="4"/>
  <c r="I12" i="4"/>
  <c r="H11" i="4"/>
  <c r="D10" i="4"/>
  <c r="C9" i="4"/>
  <c r="I8" i="4"/>
  <c r="C8" i="4"/>
  <c r="E7" i="4"/>
  <c r="G7" i="4" s="1"/>
  <c r="H13" i="4"/>
  <c r="E12" i="4"/>
  <c r="E11" i="4"/>
  <c r="G11" i="4" s="1"/>
  <c r="J10" i="4"/>
  <c r="C10" i="4"/>
  <c r="I9" i="4"/>
  <c r="J7" i="4"/>
  <c r="D7" i="4"/>
  <c r="E15" i="4"/>
  <c r="G15" i="4" s="1"/>
  <c r="I10" i="4"/>
  <c r="H9" i="4"/>
  <c r="C14" i="4"/>
  <c r="J12" i="4"/>
  <c r="C12" i="4"/>
  <c r="I11" i="4"/>
  <c r="E9" i="4"/>
  <c r="G9" i="4" s="1"/>
  <c r="J8" i="4"/>
  <c r="H8" i="4"/>
  <c r="I14" i="4"/>
  <c r="E13" i="4"/>
  <c r="G13" i="4" s="1"/>
  <c r="C11" i="4"/>
  <c r="I7" i="4"/>
  <c r="D8" i="4"/>
  <c r="H7" i="4"/>
  <c r="D12" i="4"/>
  <c r="E8" i="4"/>
  <c r="C7" i="4"/>
  <c r="E10" i="4"/>
  <c r="G10" i="4" s="1"/>
  <c r="T9" i="4"/>
  <c r="N12" i="5"/>
  <c r="N20" i="5"/>
  <c r="N32" i="5"/>
  <c r="M7" i="4"/>
  <c r="O7" i="4" s="1"/>
  <c r="Y7" i="4"/>
  <c r="Y8" i="4"/>
  <c r="M9" i="4"/>
  <c r="O9" i="4" s="1"/>
  <c r="Z9" i="4"/>
  <c r="P10" i="4"/>
  <c r="R11" i="4"/>
  <c r="K12" i="4"/>
  <c r="Y16" i="4"/>
  <c r="P7" i="4"/>
  <c r="Z7" i="4"/>
  <c r="Z8" i="4"/>
  <c r="Q9" i="4"/>
  <c r="U9" i="4"/>
  <c r="W9" i="4" s="1"/>
  <c r="Q10" i="4"/>
  <c r="X10" i="4"/>
  <c r="S11" i="4"/>
  <c r="Y11" i="4"/>
  <c r="U12" i="4"/>
  <c r="W12" i="4" s="1"/>
  <c r="T13" i="4"/>
  <c r="N5" i="5"/>
  <c r="N13" i="5"/>
  <c r="N29" i="5"/>
  <c r="N37" i="5"/>
  <c r="S7" i="4"/>
  <c r="K8" i="4"/>
  <c r="S8" i="4"/>
  <c r="U10" i="4"/>
  <c r="W10" i="4" s="1"/>
  <c r="K11" i="4"/>
  <c r="X11" i="4"/>
  <c r="T12" i="4"/>
  <c r="Q13" i="4"/>
  <c r="T7" i="4"/>
  <c r="M8" i="4"/>
  <c r="O8" i="4" s="1"/>
  <c r="T8" i="4"/>
  <c r="L11" i="4"/>
  <c r="M12" i="4"/>
  <c r="O12" i="4" s="1"/>
  <c r="M14" i="4"/>
  <c r="O14" i="4" s="1"/>
  <c r="Q15" i="4"/>
  <c r="S18" i="4"/>
  <c r="K7" i="4"/>
  <c r="Q7" i="4"/>
  <c r="U7" i="4"/>
  <c r="W7" i="4" s="1"/>
  <c r="P8" i="4"/>
  <c r="U8" i="4"/>
  <c r="W8" i="4" s="1"/>
  <c r="K9" i="4"/>
  <c r="R9" i="4"/>
  <c r="X9" i="4"/>
  <c r="K10" i="4"/>
  <c r="S10" i="4"/>
  <c r="Y10" i="4"/>
  <c r="M11" i="4"/>
  <c r="O11" i="4" s="1"/>
  <c r="T11" i="4"/>
  <c r="Z11" i="4"/>
  <c r="P12" i="4"/>
  <c r="Y12" i="4"/>
  <c r="K13" i="4"/>
  <c r="X13" i="4"/>
  <c r="T14" i="4"/>
  <c r="N3" i="5"/>
  <c r="N6" i="5"/>
  <c r="N14" i="5"/>
  <c r="N25" i="5"/>
  <c r="N30" i="5"/>
  <c r="N38" i="5"/>
  <c r="X17" i="4"/>
  <c r="N45" i="5"/>
  <c r="N46" i="5"/>
  <c r="U14" i="4"/>
  <c r="W14" i="4" s="1"/>
  <c r="X12" i="4"/>
  <c r="S13" i="4"/>
  <c r="Y13" i="4"/>
  <c r="S14" i="4"/>
  <c r="Z14" i="4"/>
  <c r="S15" i="4"/>
  <c r="S16" i="4"/>
  <c r="Z16" i="4"/>
  <c r="T18" i="4"/>
  <c r="T16" i="4"/>
  <c r="U17" i="4"/>
  <c r="W17" i="4" s="1"/>
  <c r="Y18" i="4"/>
  <c r="U13" i="4"/>
  <c r="W13" i="4" s="1"/>
  <c r="K15" i="4"/>
  <c r="X15" i="4"/>
  <c r="U16" i="4"/>
  <c r="W16" i="4" s="1"/>
  <c r="X18" i="4"/>
  <c r="O982" i="5"/>
  <c r="O966" i="5"/>
  <c r="O978" i="5"/>
  <c r="O974" i="5"/>
  <c r="O926" i="5"/>
  <c r="O917" i="5"/>
  <c r="O916" i="5"/>
  <c r="O901" i="5"/>
  <c r="O900" i="5"/>
  <c r="O673" i="5"/>
  <c r="O657" i="5"/>
  <c r="O641" i="5"/>
  <c r="O625" i="5"/>
  <c r="O621" i="5"/>
  <c r="O620" i="5"/>
  <c r="O669" i="5"/>
  <c r="O653" i="5"/>
  <c r="O611" i="5"/>
  <c r="O595" i="5"/>
  <c r="O579" i="5"/>
  <c r="O563" i="5"/>
  <c r="O479" i="5"/>
  <c r="O637" i="5"/>
  <c r="O607" i="5"/>
  <c r="O591" i="5"/>
  <c r="O575" i="5"/>
  <c r="O475" i="5"/>
  <c r="O474" i="5"/>
  <c r="O409" i="5"/>
  <c r="O393" i="5"/>
  <c r="O377" i="5"/>
  <c r="O361" i="5"/>
  <c r="O321" i="5"/>
  <c r="O305" i="5"/>
  <c r="O289" i="5"/>
  <c r="O405" i="5"/>
  <c r="O389" i="5"/>
  <c r="O373" i="5"/>
  <c r="O357" i="5"/>
  <c r="O353" i="5"/>
  <c r="O349" i="5"/>
  <c r="O345" i="5"/>
  <c r="O341" i="5"/>
  <c r="O337" i="5"/>
  <c r="O333" i="5"/>
  <c r="O332" i="5"/>
  <c r="O317" i="5"/>
  <c r="O316" i="5"/>
  <c r="O301" i="5"/>
  <c r="O300" i="5"/>
  <c r="O169" i="5"/>
  <c r="O165" i="5"/>
  <c r="O161" i="5"/>
  <c r="O157" i="5"/>
  <c r="O153" i="5"/>
  <c r="O149" i="5"/>
  <c r="O145" i="5"/>
  <c r="O141" i="5"/>
  <c r="O3" i="5"/>
  <c r="O6" i="5"/>
  <c r="O9" i="5"/>
  <c r="O12" i="5"/>
  <c r="O14" i="5"/>
  <c r="O17" i="5"/>
  <c r="O20" i="5"/>
  <c r="O25" i="5"/>
  <c r="P13" i="4"/>
  <c r="R12" i="4"/>
  <c r="L12" i="4"/>
  <c r="P11" i="4"/>
  <c r="R10" i="4"/>
  <c r="L10" i="4"/>
  <c r="P9" i="4"/>
  <c r="R8" i="4"/>
  <c r="L8" i="4"/>
  <c r="M17" i="4"/>
  <c r="O17" i="4" s="1"/>
  <c r="Q16" i="4"/>
  <c r="K16" i="4"/>
  <c r="M15" i="4"/>
  <c r="Q14" i="4"/>
  <c r="K14" i="4"/>
  <c r="M13" i="4"/>
  <c r="O13" i="4" s="1"/>
  <c r="Q12" i="4"/>
  <c r="P18" i="4"/>
  <c r="R17" i="4"/>
  <c r="L17" i="4"/>
  <c r="P16" i="4"/>
  <c r="R15" i="4"/>
  <c r="L15" i="4"/>
  <c r="P14" i="4"/>
  <c r="R13" i="4"/>
  <c r="M18" i="4"/>
  <c r="O18" i="4" s="1"/>
  <c r="Q17" i="4"/>
  <c r="K17" i="4"/>
  <c r="M16" i="4"/>
  <c r="O16" i="4" s="1"/>
  <c r="O30" i="5"/>
  <c r="O32" i="5"/>
  <c r="O37" i="5"/>
  <c r="O38" i="5"/>
  <c r="O40" i="5"/>
  <c r="O43" i="5"/>
  <c r="O51" i="5"/>
  <c r="O59" i="5"/>
  <c r="O67" i="5"/>
  <c r="O75" i="5"/>
  <c r="O83" i="5"/>
  <c r="O91" i="5"/>
  <c r="O99" i="5"/>
  <c r="O107" i="5"/>
  <c r="O115" i="5"/>
  <c r="O123" i="5"/>
  <c r="O131" i="5"/>
  <c r="O173" i="5"/>
  <c r="J13" i="4"/>
  <c r="D13" i="4"/>
  <c r="H12" i="4"/>
  <c r="J11" i="4"/>
  <c r="D11" i="4"/>
  <c r="H10" i="4"/>
  <c r="J9" i="4"/>
  <c r="D9" i="4"/>
  <c r="I17" i="4"/>
  <c r="C17" i="4"/>
  <c r="E16" i="4"/>
  <c r="G16" i="4" s="1"/>
  <c r="I15" i="4"/>
  <c r="C15" i="4"/>
  <c r="E14" i="4"/>
  <c r="G14" i="4" s="1"/>
  <c r="I13" i="4"/>
  <c r="C13" i="4"/>
  <c r="J18" i="4"/>
  <c r="D18" i="4"/>
  <c r="H17" i="4"/>
  <c r="D16" i="4"/>
  <c r="H15" i="4"/>
  <c r="J14" i="4"/>
  <c r="D14" i="4"/>
  <c r="I18" i="4"/>
  <c r="C18" i="4"/>
  <c r="E17" i="4"/>
  <c r="I16" i="4"/>
  <c r="C16" i="4"/>
  <c r="O4" i="5"/>
  <c r="O7" i="5"/>
  <c r="O15" i="5"/>
  <c r="O26" i="5"/>
  <c r="O28" i="5"/>
  <c r="O31" i="5"/>
  <c r="O39" i="5"/>
  <c r="O45" i="5"/>
  <c r="O46" i="5"/>
  <c r="O48" i="5"/>
  <c r="O50" i="5"/>
  <c r="O53" i="5"/>
  <c r="O56" i="5"/>
  <c r="O58" i="5"/>
  <c r="O61" i="5"/>
  <c r="O64" i="5"/>
  <c r="O66" i="5"/>
  <c r="O69" i="5"/>
  <c r="O72" i="5"/>
  <c r="O74" i="5"/>
  <c r="O77" i="5"/>
  <c r="O80" i="5"/>
  <c r="O82" i="5"/>
  <c r="O85" i="5"/>
  <c r="O88" i="5"/>
  <c r="O90" i="5"/>
  <c r="O93" i="5"/>
  <c r="O96" i="5"/>
  <c r="O98" i="5"/>
  <c r="O101" i="5"/>
  <c r="O104" i="5"/>
  <c r="O106" i="5"/>
  <c r="O109" i="5"/>
  <c r="O112" i="5"/>
  <c r="O114" i="5"/>
  <c r="O117" i="5"/>
  <c r="O120" i="5"/>
  <c r="O122" i="5"/>
  <c r="O125" i="5"/>
  <c r="O128" i="5"/>
  <c r="O130" i="5"/>
  <c r="O133" i="5"/>
  <c r="O136" i="5"/>
  <c r="O8" i="5"/>
  <c r="O10" i="5"/>
  <c r="O13" i="5"/>
  <c r="O16" i="5"/>
  <c r="O18" i="5"/>
  <c r="O21" i="5"/>
  <c r="O22" i="5"/>
  <c r="O24" i="5"/>
  <c r="O27" i="5"/>
  <c r="O33" i="5"/>
  <c r="O34" i="5"/>
  <c r="O36" i="5"/>
  <c r="O41" i="5"/>
  <c r="O47" i="5"/>
  <c r="O55" i="5"/>
  <c r="O63" i="5"/>
  <c r="O71" i="5"/>
  <c r="O79" i="5"/>
  <c r="O87" i="5"/>
  <c r="O95" i="5"/>
  <c r="O103" i="5"/>
  <c r="O111" i="5"/>
  <c r="O119" i="5"/>
  <c r="O127" i="5"/>
  <c r="O135" i="5"/>
  <c r="O138" i="5"/>
  <c r="O5" i="5"/>
  <c r="O11" i="5"/>
  <c r="O19" i="5"/>
  <c r="O23" i="5"/>
  <c r="O29" i="5"/>
  <c r="O35" i="5"/>
  <c r="O42" i="5"/>
  <c r="O44" i="5"/>
  <c r="O49" i="5"/>
  <c r="O52" i="5"/>
  <c r="O54" i="5"/>
  <c r="O57" i="5"/>
  <c r="O60" i="5"/>
  <c r="O62" i="5"/>
  <c r="O65" i="5"/>
  <c r="O68" i="5"/>
  <c r="O70" i="5"/>
  <c r="O73" i="5"/>
  <c r="O76" i="5"/>
  <c r="O78" i="5"/>
  <c r="O81" i="5"/>
  <c r="O84" i="5"/>
  <c r="O86" i="5"/>
  <c r="O89" i="5"/>
  <c r="O92" i="5"/>
  <c r="O94" i="5"/>
  <c r="O97" i="5"/>
  <c r="O100" i="5"/>
  <c r="O102" i="5"/>
  <c r="O105" i="5"/>
  <c r="O108" i="5"/>
  <c r="O110" i="5"/>
  <c r="O113" i="5"/>
  <c r="O116" i="5"/>
  <c r="O118" i="5"/>
  <c r="O121" i="5"/>
  <c r="O124" i="5"/>
  <c r="O126" i="5"/>
  <c r="O129" i="5"/>
  <c r="O132" i="5"/>
  <c r="O134" i="5"/>
  <c r="O137" i="5"/>
  <c r="O140" i="5"/>
  <c r="O142" i="5"/>
  <c r="O146" i="5"/>
  <c r="O150" i="5"/>
  <c r="O154" i="5"/>
  <c r="O158" i="5"/>
  <c r="O162" i="5"/>
  <c r="O166" i="5"/>
  <c r="O170" i="5"/>
  <c r="O2" i="5"/>
  <c r="O177" i="5"/>
  <c r="O181" i="5"/>
  <c r="O185" i="5"/>
  <c r="O189" i="5"/>
  <c r="O193" i="5"/>
  <c r="O197" i="5"/>
  <c r="O201" i="5"/>
  <c r="O205" i="5"/>
  <c r="O209" i="5"/>
  <c r="O213" i="5"/>
  <c r="O217" i="5"/>
  <c r="O221" i="5"/>
  <c r="O225" i="5"/>
  <c r="O229" i="5"/>
  <c r="O233" i="5"/>
  <c r="O236" i="5"/>
  <c r="O238" i="5"/>
  <c r="O241" i="5"/>
  <c r="O244" i="5"/>
  <c r="O246" i="5"/>
  <c r="O249" i="5"/>
  <c r="O252" i="5"/>
  <c r="O254" i="5"/>
  <c r="O257" i="5"/>
  <c r="O260" i="5"/>
  <c r="O262" i="5"/>
  <c r="O265" i="5"/>
  <c r="O268" i="5"/>
  <c r="O270" i="5"/>
  <c r="O273" i="5"/>
  <c r="O276" i="5"/>
  <c r="O278" i="5"/>
  <c r="O281" i="5"/>
  <c r="O284" i="5"/>
  <c r="O286" i="5"/>
  <c r="O288" i="5"/>
  <c r="O290" i="5"/>
  <c r="O296" i="5"/>
  <c r="O304" i="5"/>
  <c r="O306" i="5"/>
  <c r="O312" i="5"/>
  <c r="O320" i="5"/>
  <c r="O322" i="5"/>
  <c r="O330" i="5"/>
  <c r="O342" i="5"/>
  <c r="Z18" i="4"/>
  <c r="O139" i="5"/>
  <c r="O172" i="5"/>
  <c r="O235" i="5"/>
  <c r="O243" i="5"/>
  <c r="O251" i="5"/>
  <c r="O259" i="5"/>
  <c r="O267" i="5"/>
  <c r="O275" i="5"/>
  <c r="O283" i="5"/>
  <c r="O292" i="5"/>
  <c r="O298" i="5"/>
  <c r="O308" i="5"/>
  <c r="O314" i="5"/>
  <c r="O324" i="5"/>
  <c r="O329" i="5"/>
  <c r="O346" i="5"/>
  <c r="O365" i="5"/>
  <c r="O369" i="5"/>
  <c r="O381" i="5"/>
  <c r="O385" i="5"/>
  <c r="O397" i="5"/>
  <c r="O401" i="5"/>
  <c r="O417" i="5"/>
  <c r="S17" i="4"/>
  <c r="Y17" i="4"/>
  <c r="E18" i="4"/>
  <c r="G18" i="4" s="1"/>
  <c r="K18" i="4"/>
  <c r="Q18" i="4"/>
  <c r="U18" i="4"/>
  <c r="W18" i="4" s="1"/>
  <c r="O143" i="5"/>
  <c r="O144" i="5"/>
  <c r="O147" i="5"/>
  <c r="O148" i="5"/>
  <c r="O151" i="5"/>
  <c r="O152" i="5"/>
  <c r="O155" i="5"/>
  <c r="O156" i="5"/>
  <c r="O159" i="5"/>
  <c r="O160" i="5"/>
  <c r="O163" i="5"/>
  <c r="O164" i="5"/>
  <c r="O167" i="5"/>
  <c r="O168" i="5"/>
  <c r="O171" i="5"/>
  <c r="O176" i="5"/>
  <c r="O180" i="5"/>
  <c r="O184" i="5"/>
  <c r="O188" i="5"/>
  <c r="O192" i="5"/>
  <c r="O196" i="5"/>
  <c r="O200" i="5"/>
  <c r="O204" i="5"/>
  <c r="O208" i="5"/>
  <c r="O212" i="5"/>
  <c r="O216" i="5"/>
  <c r="O220" i="5"/>
  <c r="O224" i="5"/>
  <c r="O228" i="5"/>
  <c r="O232" i="5"/>
  <c r="O234" i="5"/>
  <c r="O237" i="5"/>
  <c r="O240" i="5"/>
  <c r="O242" i="5"/>
  <c r="O245" i="5"/>
  <c r="O248" i="5"/>
  <c r="O250" i="5"/>
  <c r="O253" i="5"/>
  <c r="O256" i="5"/>
  <c r="O258" i="5"/>
  <c r="O261" i="5"/>
  <c r="O264" i="5"/>
  <c r="O266" i="5"/>
  <c r="O269" i="5"/>
  <c r="O272" i="5"/>
  <c r="O274" i="5"/>
  <c r="O277" i="5"/>
  <c r="O280" i="5"/>
  <c r="O282" i="5"/>
  <c r="O285" i="5"/>
  <c r="O294" i="5"/>
  <c r="O297" i="5"/>
  <c r="O310" i="5"/>
  <c r="O313" i="5"/>
  <c r="O326" i="5"/>
  <c r="O334" i="5"/>
  <c r="O350" i="5"/>
  <c r="O413" i="5"/>
  <c r="Z13" i="4"/>
  <c r="H14" i="4"/>
  <c r="L14" i="4"/>
  <c r="R14" i="4"/>
  <c r="X14" i="4"/>
  <c r="D15" i="4"/>
  <c r="J15" i="4"/>
  <c r="P15" i="4"/>
  <c r="T15" i="4"/>
  <c r="Z15" i="4"/>
  <c r="H16" i="4"/>
  <c r="L16" i="4"/>
  <c r="R16" i="4"/>
  <c r="X16" i="4"/>
  <c r="D17" i="4"/>
  <c r="J17" i="4"/>
  <c r="P17" i="4"/>
  <c r="T17" i="4"/>
  <c r="Z17" i="4"/>
  <c r="H18" i="4"/>
  <c r="L18" i="4"/>
  <c r="R18" i="4"/>
  <c r="O174" i="5"/>
  <c r="O175" i="5"/>
  <c r="O178" i="5"/>
  <c r="O179" i="5"/>
  <c r="O182" i="5"/>
  <c r="O183" i="5"/>
  <c r="O186" i="5"/>
  <c r="O187" i="5"/>
  <c r="O190" i="5"/>
  <c r="O191" i="5"/>
  <c r="O194" i="5"/>
  <c r="O195" i="5"/>
  <c r="O198" i="5"/>
  <c r="O199" i="5"/>
  <c r="O202" i="5"/>
  <c r="O203" i="5"/>
  <c r="O206" i="5"/>
  <c r="O207" i="5"/>
  <c r="O210" i="5"/>
  <c r="O211" i="5"/>
  <c r="O214" i="5"/>
  <c r="O215" i="5"/>
  <c r="O218" i="5"/>
  <c r="O219" i="5"/>
  <c r="O222" i="5"/>
  <c r="O223" i="5"/>
  <c r="O226" i="5"/>
  <c r="O227" i="5"/>
  <c r="O230" i="5"/>
  <c r="O231" i="5"/>
  <c r="O239" i="5"/>
  <c r="O247" i="5"/>
  <c r="O255" i="5"/>
  <c r="O263" i="5"/>
  <c r="O271" i="5"/>
  <c r="O279" i="5"/>
  <c r="O293" i="5"/>
  <c r="O302" i="5"/>
  <c r="O309" i="5"/>
  <c r="O318" i="5"/>
  <c r="O325" i="5"/>
  <c r="O328" i="5"/>
  <c r="O338" i="5"/>
  <c r="O354" i="5"/>
  <c r="O295" i="5"/>
  <c r="O311" i="5"/>
  <c r="O327" i="5"/>
  <c r="O360" i="5"/>
  <c r="O370" i="5"/>
  <c r="O371" i="5"/>
  <c r="O376" i="5"/>
  <c r="O386" i="5"/>
  <c r="O387" i="5"/>
  <c r="O392" i="5"/>
  <c r="O402" i="5"/>
  <c r="O403" i="5"/>
  <c r="O408" i="5"/>
  <c r="O418" i="5"/>
  <c r="O419" i="5"/>
  <c r="O422" i="5"/>
  <c r="O423" i="5"/>
  <c r="O426" i="5"/>
  <c r="O427" i="5"/>
  <c r="O430" i="5"/>
  <c r="O431" i="5"/>
  <c r="O434" i="5"/>
  <c r="O435" i="5"/>
  <c r="O438" i="5"/>
  <c r="O439" i="5"/>
  <c r="O442" i="5"/>
  <c r="O443" i="5"/>
  <c r="O446" i="5"/>
  <c r="O447" i="5"/>
  <c r="O450" i="5"/>
  <c r="O451" i="5"/>
  <c r="O454" i="5"/>
  <c r="O455" i="5"/>
  <c r="O458" i="5"/>
  <c r="O459" i="5"/>
  <c r="O462" i="5"/>
  <c r="O463" i="5"/>
  <c r="O466" i="5"/>
  <c r="O467" i="5"/>
  <c r="O470" i="5"/>
  <c r="O471" i="5"/>
  <c r="O482" i="5"/>
  <c r="O488" i="5"/>
  <c r="O496" i="5"/>
  <c r="O504" i="5"/>
  <c r="O512" i="5"/>
  <c r="O520" i="5"/>
  <c r="O528" i="5"/>
  <c r="O536" i="5"/>
  <c r="O544" i="5"/>
  <c r="O552" i="5"/>
  <c r="O560" i="5"/>
  <c r="O299" i="5"/>
  <c r="O315" i="5"/>
  <c r="O331" i="5"/>
  <c r="O358" i="5"/>
  <c r="O359" i="5"/>
  <c r="O364" i="5"/>
  <c r="O374" i="5"/>
  <c r="O375" i="5"/>
  <c r="O380" i="5"/>
  <c r="O390" i="5"/>
  <c r="O391" i="5"/>
  <c r="O396" i="5"/>
  <c r="O406" i="5"/>
  <c r="O407" i="5"/>
  <c r="O412" i="5"/>
  <c r="O421" i="5"/>
  <c r="O425" i="5"/>
  <c r="O429" i="5"/>
  <c r="O433" i="5"/>
  <c r="O437" i="5"/>
  <c r="O441" i="5"/>
  <c r="O445" i="5"/>
  <c r="O449" i="5"/>
  <c r="O453" i="5"/>
  <c r="O457" i="5"/>
  <c r="O461" i="5"/>
  <c r="O465" i="5"/>
  <c r="O469" i="5"/>
  <c r="O473" i="5"/>
  <c r="O484" i="5"/>
  <c r="O487" i="5"/>
  <c r="O495" i="5"/>
  <c r="O503" i="5"/>
  <c r="O511" i="5"/>
  <c r="O519" i="5"/>
  <c r="O527" i="5"/>
  <c r="O535" i="5"/>
  <c r="O543" i="5"/>
  <c r="O551" i="5"/>
  <c r="O559" i="5"/>
  <c r="O567" i="5"/>
  <c r="O571" i="5"/>
  <c r="O583" i="5"/>
  <c r="O587" i="5"/>
  <c r="O599" i="5"/>
  <c r="O603" i="5"/>
  <c r="O618" i="5"/>
  <c r="O287" i="5"/>
  <c r="O303" i="5"/>
  <c r="O319" i="5"/>
  <c r="O335" i="5"/>
  <c r="O336" i="5"/>
  <c r="O339" i="5"/>
  <c r="O340" i="5"/>
  <c r="O343" i="5"/>
  <c r="O344" i="5"/>
  <c r="O347" i="5"/>
  <c r="O348" i="5"/>
  <c r="O351" i="5"/>
  <c r="O352" i="5"/>
  <c r="O355" i="5"/>
  <c r="O356" i="5"/>
  <c r="O362" i="5"/>
  <c r="O363" i="5"/>
  <c r="O368" i="5"/>
  <c r="O378" i="5"/>
  <c r="O379" i="5"/>
  <c r="O384" i="5"/>
  <c r="O394" i="5"/>
  <c r="O395" i="5"/>
  <c r="O400" i="5"/>
  <c r="O410" i="5"/>
  <c r="O411" i="5"/>
  <c r="O416" i="5"/>
  <c r="O476" i="5"/>
  <c r="O483" i="5"/>
  <c r="O492" i="5"/>
  <c r="O500" i="5"/>
  <c r="O508" i="5"/>
  <c r="O516" i="5"/>
  <c r="O524" i="5"/>
  <c r="O532" i="5"/>
  <c r="O540" i="5"/>
  <c r="O548" i="5"/>
  <c r="O556" i="5"/>
  <c r="O291" i="5"/>
  <c r="O307" i="5"/>
  <c r="O323" i="5"/>
  <c r="O366" i="5"/>
  <c r="O367" i="5"/>
  <c r="O372" i="5"/>
  <c r="O382" i="5"/>
  <c r="O383" i="5"/>
  <c r="O388" i="5"/>
  <c r="O398" i="5"/>
  <c r="O399" i="5"/>
  <c r="O404" i="5"/>
  <c r="O414" i="5"/>
  <c r="O415" i="5"/>
  <c r="O420" i="5"/>
  <c r="O424" i="5"/>
  <c r="O428" i="5"/>
  <c r="O432" i="5"/>
  <c r="O436" i="5"/>
  <c r="O440" i="5"/>
  <c r="O444" i="5"/>
  <c r="O448" i="5"/>
  <c r="O452" i="5"/>
  <c r="O456" i="5"/>
  <c r="O460" i="5"/>
  <c r="O464" i="5"/>
  <c r="O468" i="5"/>
  <c r="O472" i="5"/>
  <c r="O478" i="5"/>
  <c r="O480" i="5"/>
  <c r="O486" i="5"/>
  <c r="O491" i="5"/>
  <c r="O499" i="5"/>
  <c r="O507" i="5"/>
  <c r="O515" i="5"/>
  <c r="O523" i="5"/>
  <c r="O531" i="5"/>
  <c r="O539" i="5"/>
  <c r="O547" i="5"/>
  <c r="O555" i="5"/>
  <c r="O485" i="5"/>
  <c r="O562" i="5"/>
  <c r="O572" i="5"/>
  <c r="O573" i="5"/>
  <c r="O578" i="5"/>
  <c r="O588" i="5"/>
  <c r="O589" i="5"/>
  <c r="O594" i="5"/>
  <c r="O604" i="5"/>
  <c r="O605" i="5"/>
  <c r="O610" i="5"/>
  <c r="O617" i="5"/>
  <c r="O622" i="5"/>
  <c r="O634" i="5"/>
  <c r="O635" i="5"/>
  <c r="O640" i="5"/>
  <c r="O677" i="5"/>
  <c r="O681" i="5"/>
  <c r="O685" i="5"/>
  <c r="O689" i="5"/>
  <c r="O693" i="5"/>
  <c r="O697" i="5"/>
  <c r="O701" i="5"/>
  <c r="O705" i="5"/>
  <c r="O709" i="5"/>
  <c r="O713" i="5"/>
  <c r="O717" i="5"/>
  <c r="O721" i="5"/>
  <c r="O725" i="5"/>
  <c r="O729" i="5"/>
  <c r="O733" i="5"/>
  <c r="O737" i="5"/>
  <c r="O741" i="5"/>
  <c r="O745" i="5"/>
  <c r="O749" i="5"/>
  <c r="O753" i="5"/>
  <c r="O757" i="5"/>
  <c r="O761" i="5"/>
  <c r="O765" i="5"/>
  <c r="O769" i="5"/>
  <c r="O489" i="5"/>
  <c r="O490" i="5"/>
  <c r="O493" i="5"/>
  <c r="O494" i="5"/>
  <c r="O497" i="5"/>
  <c r="O498" i="5"/>
  <c r="O501" i="5"/>
  <c r="O502" i="5"/>
  <c r="O505" i="5"/>
  <c r="O506" i="5"/>
  <c r="O509" i="5"/>
  <c r="O510" i="5"/>
  <c r="O513" i="5"/>
  <c r="O514" i="5"/>
  <c r="O517" i="5"/>
  <c r="O518" i="5"/>
  <c r="O521" i="5"/>
  <c r="O522" i="5"/>
  <c r="O525" i="5"/>
  <c r="O526" i="5"/>
  <c r="O529" i="5"/>
  <c r="O530" i="5"/>
  <c r="O533" i="5"/>
  <c r="O534" i="5"/>
  <c r="O537" i="5"/>
  <c r="O538" i="5"/>
  <c r="O541" i="5"/>
  <c r="O542" i="5"/>
  <c r="O545" i="5"/>
  <c r="O546" i="5"/>
  <c r="O549" i="5"/>
  <c r="O550" i="5"/>
  <c r="O553" i="5"/>
  <c r="O554" i="5"/>
  <c r="O557" i="5"/>
  <c r="O558" i="5"/>
  <c r="O561" i="5"/>
  <c r="O566" i="5"/>
  <c r="O576" i="5"/>
  <c r="O577" i="5"/>
  <c r="O582" i="5"/>
  <c r="O592" i="5"/>
  <c r="O593" i="5"/>
  <c r="O598" i="5"/>
  <c r="O608" i="5"/>
  <c r="O609" i="5"/>
  <c r="O614" i="5"/>
  <c r="O624" i="5"/>
  <c r="O629" i="5"/>
  <c r="O633" i="5"/>
  <c r="O650" i="5"/>
  <c r="O651" i="5"/>
  <c r="O656" i="5"/>
  <c r="O477" i="5"/>
  <c r="O564" i="5"/>
  <c r="O565" i="5"/>
  <c r="O570" i="5"/>
  <c r="O580" i="5"/>
  <c r="O581" i="5"/>
  <c r="O586" i="5"/>
  <c r="O596" i="5"/>
  <c r="O597" i="5"/>
  <c r="O602" i="5"/>
  <c r="O612" i="5"/>
  <c r="O613" i="5"/>
  <c r="O616" i="5"/>
  <c r="O645" i="5"/>
  <c r="O649" i="5"/>
  <c r="O666" i="5"/>
  <c r="O667" i="5"/>
  <c r="O672" i="5"/>
  <c r="O481" i="5"/>
  <c r="O568" i="5"/>
  <c r="O569" i="5"/>
  <c r="O574" i="5"/>
  <c r="O584" i="5"/>
  <c r="O585" i="5"/>
  <c r="O590" i="5"/>
  <c r="O600" i="5"/>
  <c r="O601" i="5"/>
  <c r="O606" i="5"/>
  <c r="O615" i="5"/>
  <c r="O661" i="5"/>
  <c r="O665" i="5"/>
  <c r="O619" i="5"/>
  <c r="O628" i="5"/>
  <c r="O638" i="5"/>
  <c r="O639" i="5"/>
  <c r="O644" i="5"/>
  <c r="O654" i="5"/>
  <c r="O655" i="5"/>
  <c r="O660" i="5"/>
  <c r="O670" i="5"/>
  <c r="O671" i="5"/>
  <c r="O676" i="5"/>
  <c r="O736" i="5"/>
  <c r="O740" i="5"/>
  <c r="O744" i="5"/>
  <c r="O748" i="5"/>
  <c r="O752" i="5"/>
  <c r="O756" i="5"/>
  <c r="O760" i="5"/>
  <c r="O764" i="5"/>
  <c r="O775" i="5"/>
  <c r="O623" i="5"/>
  <c r="O626" i="5"/>
  <c r="O627" i="5"/>
  <c r="O632" i="5"/>
  <c r="O642" i="5"/>
  <c r="O643" i="5"/>
  <c r="O648" i="5"/>
  <c r="O658" i="5"/>
  <c r="O659" i="5"/>
  <c r="O664" i="5"/>
  <c r="O674" i="5"/>
  <c r="O675" i="5"/>
  <c r="O680" i="5"/>
  <c r="O684" i="5"/>
  <c r="O688" i="5"/>
  <c r="O692" i="5"/>
  <c r="O696" i="5"/>
  <c r="O700" i="5"/>
  <c r="O704" i="5"/>
  <c r="O708" i="5"/>
  <c r="O712" i="5"/>
  <c r="O716" i="5"/>
  <c r="O720" i="5"/>
  <c r="O724" i="5"/>
  <c r="O728" i="5"/>
  <c r="O732" i="5"/>
  <c r="O735" i="5"/>
  <c r="O739" i="5"/>
  <c r="O743" i="5"/>
  <c r="O747" i="5"/>
  <c r="O751" i="5"/>
  <c r="O755" i="5"/>
  <c r="O759" i="5"/>
  <c r="O763" i="5"/>
  <c r="O767" i="5"/>
  <c r="O771" i="5"/>
  <c r="O774" i="5"/>
  <c r="O630" i="5"/>
  <c r="O631" i="5"/>
  <c r="O636" i="5"/>
  <c r="O646" i="5"/>
  <c r="O647" i="5"/>
  <c r="O652" i="5"/>
  <c r="O662" i="5"/>
  <c r="O663" i="5"/>
  <c r="O668" i="5"/>
  <c r="O678" i="5"/>
  <c r="O679" i="5"/>
  <c r="O682" i="5"/>
  <c r="O683" i="5"/>
  <c r="O686" i="5"/>
  <c r="O687" i="5"/>
  <c r="O690" i="5"/>
  <c r="O691" i="5"/>
  <c r="O694" i="5"/>
  <c r="O695" i="5"/>
  <c r="O698" i="5"/>
  <c r="O699" i="5"/>
  <c r="O702" i="5"/>
  <c r="O703" i="5"/>
  <c r="O706" i="5"/>
  <c r="O707" i="5"/>
  <c r="O710" i="5"/>
  <c r="O711" i="5"/>
  <c r="O714" i="5"/>
  <c r="O715" i="5"/>
  <c r="O718" i="5"/>
  <c r="O719" i="5"/>
  <c r="O722" i="5"/>
  <c r="O723" i="5"/>
  <c r="O726" i="5"/>
  <c r="O727" i="5"/>
  <c r="O730" i="5"/>
  <c r="O731" i="5"/>
  <c r="O734" i="5"/>
  <c r="O738" i="5"/>
  <c r="O742" i="5"/>
  <c r="O746" i="5"/>
  <c r="O750" i="5"/>
  <c r="O754" i="5"/>
  <c r="O758" i="5"/>
  <c r="O762" i="5"/>
  <c r="O766" i="5"/>
  <c r="O770" i="5"/>
  <c r="O778" i="5"/>
  <c r="O827" i="5"/>
  <c r="O828" i="5"/>
  <c r="O831" i="5"/>
  <c r="O832" i="5"/>
  <c r="O835" i="5"/>
  <c r="O836" i="5"/>
  <c r="O839" i="5"/>
  <c r="O840" i="5"/>
  <c r="O843" i="5"/>
  <c r="O844" i="5"/>
  <c r="O845" i="5"/>
  <c r="O851" i="5"/>
  <c r="O852" i="5"/>
  <c r="O853" i="5"/>
  <c r="O859" i="5"/>
  <c r="O860" i="5"/>
  <c r="O861" i="5"/>
  <c r="O867" i="5"/>
  <c r="O868" i="5"/>
  <c r="O869" i="5"/>
  <c r="O875" i="5"/>
  <c r="O876" i="5"/>
  <c r="O877" i="5"/>
  <c r="O880" i="5"/>
  <c r="O881" i="5"/>
  <c r="O884" i="5"/>
  <c r="O885" i="5"/>
  <c r="O888" i="5"/>
  <c r="O889" i="5"/>
  <c r="O892" i="5"/>
  <c r="O897" i="5"/>
  <c r="O904" i="5"/>
  <c r="O910" i="5"/>
  <c r="O912" i="5"/>
  <c r="O918" i="5"/>
  <c r="O930" i="5"/>
  <c r="O938" i="5"/>
  <c r="O946" i="5"/>
  <c r="O954" i="5"/>
  <c r="O962" i="5"/>
  <c r="O970" i="5"/>
  <c r="O986" i="5"/>
  <c r="O994" i="5"/>
  <c r="O781" i="5"/>
  <c r="O785" i="5"/>
  <c r="O789" i="5"/>
  <c r="O793" i="5"/>
  <c r="O797" i="5"/>
  <c r="O801" i="5"/>
  <c r="O805" i="5"/>
  <c r="O809" i="5"/>
  <c r="O813" i="5"/>
  <c r="O817" i="5"/>
  <c r="O821" i="5"/>
  <c r="O826" i="5"/>
  <c r="O830" i="5"/>
  <c r="O834" i="5"/>
  <c r="O838" i="5"/>
  <c r="O842" i="5"/>
  <c r="O850" i="5"/>
  <c r="O858" i="5"/>
  <c r="O866" i="5"/>
  <c r="O874" i="5"/>
  <c r="O879" i="5"/>
  <c r="O883" i="5"/>
  <c r="O887" i="5"/>
  <c r="O894" i="5"/>
  <c r="O896" i="5"/>
  <c r="O902" i="5"/>
  <c r="O909" i="5"/>
  <c r="O922" i="5"/>
  <c r="O768" i="5"/>
  <c r="O779" i="5"/>
  <c r="O780" i="5"/>
  <c r="O783" i="5"/>
  <c r="O784" i="5"/>
  <c r="O787" i="5"/>
  <c r="O788" i="5"/>
  <c r="O791" i="5"/>
  <c r="O792" i="5"/>
  <c r="O795" i="5"/>
  <c r="O796" i="5"/>
  <c r="O799" i="5"/>
  <c r="O800" i="5"/>
  <c r="O803" i="5"/>
  <c r="O804" i="5"/>
  <c r="O807" i="5"/>
  <c r="O808" i="5"/>
  <c r="O811" i="5"/>
  <c r="O812" i="5"/>
  <c r="O815" i="5"/>
  <c r="O816" i="5"/>
  <c r="O819" i="5"/>
  <c r="O820" i="5"/>
  <c r="O823" i="5"/>
  <c r="O824" i="5"/>
  <c r="O825" i="5"/>
  <c r="O847" i="5"/>
  <c r="O848" i="5"/>
  <c r="O849" i="5"/>
  <c r="O855" i="5"/>
  <c r="O856" i="5"/>
  <c r="O857" i="5"/>
  <c r="O863" i="5"/>
  <c r="O864" i="5"/>
  <c r="O865" i="5"/>
  <c r="O871" i="5"/>
  <c r="O872" i="5"/>
  <c r="O873" i="5"/>
  <c r="O893" i="5"/>
  <c r="O906" i="5"/>
  <c r="O914" i="5"/>
  <c r="O921" i="5"/>
  <c r="O934" i="5"/>
  <c r="O942" i="5"/>
  <c r="O950" i="5"/>
  <c r="O958" i="5"/>
  <c r="O990" i="5"/>
  <c r="O998" i="5"/>
  <c r="O772" i="5"/>
  <c r="O773" i="5"/>
  <c r="O776" i="5"/>
  <c r="O777" i="5"/>
  <c r="O782" i="5"/>
  <c r="O786" i="5"/>
  <c r="O790" i="5"/>
  <c r="O794" i="5"/>
  <c r="O798" i="5"/>
  <c r="O802" i="5"/>
  <c r="O806" i="5"/>
  <c r="O810" i="5"/>
  <c r="O814" i="5"/>
  <c r="O818" i="5"/>
  <c r="O822" i="5"/>
  <c r="O829" i="5"/>
  <c r="O833" i="5"/>
  <c r="O837" i="5"/>
  <c r="O841" i="5"/>
  <c r="O846" i="5"/>
  <c r="O854" i="5"/>
  <c r="O862" i="5"/>
  <c r="O870" i="5"/>
  <c r="O878" i="5"/>
  <c r="O882" i="5"/>
  <c r="O886" i="5"/>
  <c r="O890" i="5"/>
  <c r="O898" i="5"/>
  <c r="O905" i="5"/>
  <c r="O908" i="5"/>
  <c r="O913" i="5"/>
  <c r="O920" i="5"/>
  <c r="O895" i="5"/>
  <c r="O911" i="5"/>
  <c r="O928" i="5"/>
  <c r="O941" i="5"/>
  <c r="O943" i="5"/>
  <c r="O944" i="5"/>
  <c r="O957" i="5"/>
  <c r="O959" i="5"/>
  <c r="O960" i="5"/>
  <c r="O965" i="5"/>
  <c r="O971" i="5"/>
  <c r="O976" i="5"/>
  <c r="O981" i="5"/>
  <c r="O989" i="5"/>
  <c r="O991" i="5"/>
  <c r="O992" i="5"/>
  <c r="O899" i="5"/>
  <c r="O915" i="5"/>
  <c r="O927" i="5"/>
  <c r="O937" i="5"/>
  <c r="O939" i="5"/>
  <c r="O940" i="5"/>
  <c r="O953" i="5"/>
  <c r="O955" i="5"/>
  <c r="O956" i="5"/>
  <c r="O964" i="5"/>
  <c r="O969" i="5"/>
  <c r="O975" i="5"/>
  <c r="O980" i="5"/>
  <c r="O985" i="5"/>
  <c r="O987" i="5"/>
  <c r="O988" i="5"/>
  <c r="O1001" i="5"/>
  <c r="O903" i="5"/>
  <c r="O919" i="5"/>
  <c r="O925" i="5"/>
  <c r="O933" i="5"/>
  <c r="O935" i="5"/>
  <c r="O936" i="5"/>
  <c r="O949" i="5"/>
  <c r="O951" i="5"/>
  <c r="O952" i="5"/>
  <c r="O963" i="5"/>
  <c r="O968" i="5"/>
  <c r="O973" i="5"/>
  <c r="O979" i="5"/>
  <c r="O984" i="5"/>
  <c r="O997" i="5"/>
  <c r="O999" i="5"/>
  <c r="O1000" i="5"/>
  <c r="O891" i="5"/>
  <c r="O907" i="5"/>
  <c r="O923" i="5"/>
  <c r="O924" i="5"/>
  <c r="O929" i="5"/>
  <c r="O931" i="5"/>
  <c r="O932" i="5"/>
  <c r="O945" i="5"/>
  <c r="O947" i="5"/>
  <c r="O948" i="5"/>
  <c r="O961" i="5"/>
  <c r="O967" i="5"/>
  <c r="O972" i="5"/>
  <c r="O977" i="5"/>
  <c r="O983" i="5"/>
  <c r="O993" i="5"/>
  <c r="O995" i="5"/>
  <c r="O996" i="5"/>
  <c r="G17" i="4" l="1"/>
  <c r="AD17" i="4" s="1"/>
  <c r="AD14" i="4"/>
  <c r="O15" i="4"/>
  <c r="AD16" i="4"/>
  <c r="G8" i="4"/>
  <c r="G12" i="4"/>
  <c r="AC16" i="4"/>
  <c r="N19" i="4"/>
  <c r="W19" i="4"/>
  <c r="AD11" i="4"/>
  <c r="J20" i="6"/>
  <c r="B20" i="6"/>
  <c r="H20" i="6"/>
  <c r="D20" i="6"/>
  <c r="I20" i="6"/>
  <c r="C20" i="6"/>
  <c r="E20" i="6"/>
  <c r="G20" i="6"/>
  <c r="H22" i="6"/>
  <c r="D22" i="6"/>
  <c r="J22" i="6"/>
  <c r="B22" i="6"/>
  <c r="G22" i="6"/>
  <c r="I22" i="6"/>
  <c r="C22" i="6"/>
  <c r="E22" i="6"/>
  <c r="F22" i="6" s="1"/>
  <c r="J24" i="6"/>
  <c r="B24" i="6"/>
  <c r="H24" i="6"/>
  <c r="D24" i="6"/>
  <c r="F24" i="6" s="1"/>
  <c r="E24" i="6"/>
  <c r="G24" i="6"/>
  <c r="I24" i="6"/>
  <c r="C24" i="6"/>
  <c r="H26" i="6"/>
  <c r="D26" i="6"/>
  <c r="J26" i="6"/>
  <c r="B26" i="6"/>
  <c r="C26" i="6"/>
  <c r="E26" i="6"/>
  <c r="G26" i="6"/>
  <c r="I26" i="6"/>
  <c r="G31" i="6"/>
  <c r="C31" i="6"/>
  <c r="I31" i="6"/>
  <c r="E31" i="6"/>
  <c r="H31" i="6"/>
  <c r="J31" i="6"/>
  <c r="B31" i="6"/>
  <c r="D31" i="6"/>
  <c r="F31" i="6" s="1"/>
  <c r="G15" i="6"/>
  <c r="C15" i="6"/>
  <c r="I15" i="6"/>
  <c r="E15" i="6"/>
  <c r="H15" i="6"/>
  <c r="J15" i="6"/>
  <c r="B15" i="6"/>
  <c r="D15" i="6"/>
  <c r="F15" i="6" s="1"/>
  <c r="I33" i="6"/>
  <c r="E33" i="6"/>
  <c r="G33" i="6"/>
  <c r="C33" i="6"/>
  <c r="D33" i="6"/>
  <c r="H33" i="6"/>
  <c r="J33" i="6"/>
  <c r="B33" i="6"/>
  <c r="I17" i="6"/>
  <c r="E17" i="6"/>
  <c r="G17" i="6"/>
  <c r="C17" i="6"/>
  <c r="D17" i="6"/>
  <c r="H17" i="6"/>
  <c r="J17" i="6"/>
  <c r="B17" i="6"/>
  <c r="AC10" i="4"/>
  <c r="AD8" i="4"/>
  <c r="AD12" i="4"/>
  <c r="J28" i="6"/>
  <c r="B28" i="6"/>
  <c r="H28" i="6"/>
  <c r="D28" i="6"/>
  <c r="I28" i="6"/>
  <c r="C28" i="6"/>
  <c r="E28" i="6"/>
  <c r="G28" i="6"/>
  <c r="H30" i="6"/>
  <c r="D30" i="6"/>
  <c r="J30" i="6"/>
  <c r="B30" i="6"/>
  <c r="G30" i="6"/>
  <c r="I30" i="6"/>
  <c r="C30" i="6"/>
  <c r="E30" i="6"/>
  <c r="J32" i="6"/>
  <c r="B32" i="6"/>
  <c r="H32" i="6"/>
  <c r="D32" i="6"/>
  <c r="E32" i="6"/>
  <c r="G32" i="6"/>
  <c r="I32" i="6"/>
  <c r="C32" i="6"/>
  <c r="H34" i="6"/>
  <c r="D34" i="6"/>
  <c r="J34" i="6"/>
  <c r="B34" i="6"/>
  <c r="C34" i="6"/>
  <c r="E34" i="6"/>
  <c r="F34" i="6" s="1"/>
  <c r="G34" i="6"/>
  <c r="I34" i="6"/>
  <c r="G27" i="6"/>
  <c r="C27" i="6"/>
  <c r="I27" i="6"/>
  <c r="E27" i="6"/>
  <c r="J27" i="6"/>
  <c r="B27" i="6"/>
  <c r="D27" i="6"/>
  <c r="F27" i="6"/>
  <c r="H27" i="6"/>
  <c r="G11" i="6"/>
  <c r="C11" i="6"/>
  <c r="I11" i="6"/>
  <c r="E11" i="6"/>
  <c r="J11" i="6"/>
  <c r="B11" i="6"/>
  <c r="D11" i="6"/>
  <c r="H11" i="6"/>
  <c r="I29" i="6"/>
  <c r="E29" i="6"/>
  <c r="G29" i="6"/>
  <c r="C29" i="6"/>
  <c r="H29" i="6"/>
  <c r="J29" i="6"/>
  <c r="B29" i="6"/>
  <c r="D29" i="6"/>
  <c r="I13" i="6"/>
  <c r="E13" i="6"/>
  <c r="F13" i="6" s="1"/>
  <c r="G13" i="6"/>
  <c r="C13" i="6"/>
  <c r="H13" i="6"/>
  <c r="J13" i="6"/>
  <c r="B13" i="6"/>
  <c r="D13" i="6"/>
  <c r="V19" i="4"/>
  <c r="AC14" i="4"/>
  <c r="AC7" i="4"/>
  <c r="F19" i="4"/>
  <c r="O19" i="4"/>
  <c r="AD15" i="4"/>
  <c r="J36" i="6"/>
  <c r="B36" i="6"/>
  <c r="H36" i="6"/>
  <c r="D36" i="6"/>
  <c r="I36" i="6"/>
  <c r="C36" i="6"/>
  <c r="E36" i="6"/>
  <c r="F36" i="6" s="1"/>
  <c r="G36" i="6"/>
  <c r="H38" i="6"/>
  <c r="D38" i="6"/>
  <c r="J38" i="6"/>
  <c r="B38" i="6"/>
  <c r="G38" i="6"/>
  <c r="I38" i="6"/>
  <c r="C38" i="6"/>
  <c r="E38" i="6"/>
  <c r="F38" i="6" s="1"/>
  <c r="J40" i="6"/>
  <c r="B40" i="6"/>
  <c r="H40" i="6"/>
  <c r="D40" i="6"/>
  <c r="E40" i="6"/>
  <c r="G40" i="6"/>
  <c r="I40" i="6"/>
  <c r="C40" i="6"/>
  <c r="G39" i="6"/>
  <c r="C39" i="6"/>
  <c r="I39" i="6"/>
  <c r="E39" i="6"/>
  <c r="H39" i="6"/>
  <c r="J39" i="6"/>
  <c r="B39" i="6"/>
  <c r="D39" i="6"/>
  <c r="F39" i="6" s="1"/>
  <c r="G23" i="6"/>
  <c r="C23" i="6"/>
  <c r="I23" i="6"/>
  <c r="E23" i="6"/>
  <c r="H23" i="6"/>
  <c r="J23" i="6"/>
  <c r="B23" i="6"/>
  <c r="D23" i="6"/>
  <c r="F23" i="6" s="1"/>
  <c r="I41" i="6"/>
  <c r="E41" i="6"/>
  <c r="G41" i="6"/>
  <c r="C41" i="6"/>
  <c r="D41" i="6"/>
  <c r="H41" i="6"/>
  <c r="J41" i="6"/>
  <c r="B41" i="6"/>
  <c r="I25" i="6"/>
  <c r="E25" i="6"/>
  <c r="G25" i="6"/>
  <c r="C25" i="6"/>
  <c r="D25" i="6"/>
  <c r="H25" i="6"/>
  <c r="J25" i="6"/>
  <c r="B25" i="6"/>
  <c r="AC11" i="4"/>
  <c r="AD18" i="4"/>
  <c r="AD10" i="4"/>
  <c r="AD13" i="4"/>
  <c r="AD9" i="4"/>
  <c r="AD7" i="4"/>
  <c r="G19" i="4"/>
  <c r="J12" i="6"/>
  <c r="B12" i="6"/>
  <c r="H12" i="6"/>
  <c r="D12" i="6"/>
  <c r="I12" i="6"/>
  <c r="C12" i="6"/>
  <c r="E12" i="6"/>
  <c r="G12" i="6"/>
  <c r="H14" i="6"/>
  <c r="D14" i="6"/>
  <c r="J14" i="6"/>
  <c r="B14" i="6"/>
  <c r="G14" i="6"/>
  <c r="I14" i="6"/>
  <c r="C14" i="6"/>
  <c r="E14" i="6"/>
  <c r="F14" i="6" s="1"/>
  <c r="J16" i="6"/>
  <c r="B16" i="6"/>
  <c r="H16" i="6"/>
  <c r="D16" i="6"/>
  <c r="E16" i="6"/>
  <c r="G16" i="6"/>
  <c r="I16" i="6"/>
  <c r="C16" i="6"/>
  <c r="H18" i="6"/>
  <c r="D18" i="6"/>
  <c r="J18" i="6"/>
  <c r="B18" i="6"/>
  <c r="C18" i="6"/>
  <c r="E18" i="6"/>
  <c r="F18" i="6" s="1"/>
  <c r="G18" i="6"/>
  <c r="I18" i="6"/>
  <c r="G35" i="6"/>
  <c r="C35" i="6"/>
  <c r="I35" i="6"/>
  <c r="E35" i="6"/>
  <c r="F35" i="6" s="1"/>
  <c r="J35" i="6"/>
  <c r="B35" i="6"/>
  <c r="D35" i="6"/>
  <c r="H35" i="6"/>
  <c r="G19" i="6"/>
  <c r="C19" i="6"/>
  <c r="I19" i="6"/>
  <c r="E19" i="6"/>
  <c r="J19" i="6"/>
  <c r="B19" i="6"/>
  <c r="D19" i="6"/>
  <c r="H19" i="6"/>
  <c r="I37" i="6"/>
  <c r="E37" i="6"/>
  <c r="G37" i="6"/>
  <c r="C37" i="6"/>
  <c r="H37" i="6"/>
  <c r="J37" i="6"/>
  <c r="B37" i="6"/>
  <c r="D37" i="6"/>
  <c r="I21" i="6"/>
  <c r="E21" i="6"/>
  <c r="G21" i="6"/>
  <c r="C21" i="6"/>
  <c r="H21" i="6"/>
  <c r="J21" i="6"/>
  <c r="B21" i="6"/>
  <c r="D21" i="6"/>
  <c r="AC15" i="4"/>
  <c r="AF12" i="4"/>
  <c r="AF10" i="4"/>
  <c r="AB8" i="4"/>
  <c r="AA7" i="4"/>
  <c r="AA15" i="4"/>
  <c r="AE11" i="4"/>
  <c r="AA8" i="4"/>
  <c r="AA10" i="4"/>
  <c r="AF11" i="4"/>
  <c r="J16" i="4"/>
  <c r="AF16" i="4" s="1"/>
  <c r="AB11" i="4"/>
  <c r="AB10" i="4"/>
  <c r="AE7" i="4"/>
  <c r="AB13" i="4"/>
  <c r="AB9" i="4"/>
  <c r="AF7" i="4"/>
  <c r="AE18" i="4"/>
  <c r="AE10" i="4"/>
  <c r="AB7" i="4"/>
  <c r="AB15" i="4"/>
  <c r="AE13" i="4"/>
  <c r="U19" i="4"/>
  <c r="Y19" i="4"/>
  <c r="AF9" i="4"/>
  <c r="AE12" i="4"/>
  <c r="AF8" i="4"/>
  <c r="AA13" i="4"/>
  <c r="S19" i="4"/>
  <c r="AB14" i="4"/>
  <c r="AE9" i="4"/>
  <c r="AE8" i="4"/>
  <c r="AA12" i="4"/>
  <c r="AB12" i="4"/>
  <c r="AA11" i="4"/>
  <c r="AA9" i="4"/>
  <c r="AB16" i="4"/>
  <c r="M19" i="4"/>
  <c r="AB17" i="4"/>
  <c r="D19" i="4"/>
  <c r="I19" i="4"/>
  <c r="T19" i="4"/>
  <c r="Z19" i="4"/>
  <c r="K19" i="4"/>
  <c r="P19" i="4"/>
  <c r="X19" i="4"/>
  <c r="AE16" i="4"/>
  <c r="AF15" i="4"/>
  <c r="AB18" i="4"/>
  <c r="AA16" i="4"/>
  <c r="Q19" i="4"/>
  <c r="L19" i="4"/>
  <c r="AF17" i="4"/>
  <c r="AE17" i="4"/>
  <c r="AA14" i="4"/>
  <c r="E19" i="4"/>
  <c r="R19" i="4"/>
  <c r="H19" i="4"/>
  <c r="A69" i="3"/>
  <c r="A65" i="3"/>
  <c r="A61" i="3"/>
  <c r="A57" i="3"/>
  <c r="A53" i="3"/>
  <c r="A49" i="3"/>
  <c r="A45" i="3"/>
  <c r="A41" i="3"/>
  <c r="A37" i="3"/>
  <c r="A33" i="3"/>
  <c r="A29" i="3"/>
  <c r="A25" i="3"/>
  <c r="A21" i="3"/>
  <c r="A17" i="3"/>
  <c r="A13" i="3"/>
  <c r="A64" i="3"/>
  <c r="A62" i="3"/>
  <c r="A55" i="3"/>
  <c r="A48" i="3"/>
  <c r="A46" i="3"/>
  <c r="A39" i="3"/>
  <c r="A32" i="3"/>
  <c r="A30" i="3"/>
  <c r="A23" i="3"/>
  <c r="A16" i="3"/>
  <c r="A14" i="3"/>
  <c r="A11" i="3"/>
  <c r="A44" i="3"/>
  <c r="A35" i="3"/>
  <c r="A28" i="3"/>
  <c r="A67" i="3"/>
  <c r="A60" i="3"/>
  <c r="A58" i="3"/>
  <c r="A51" i="3"/>
  <c r="A42" i="3"/>
  <c r="A26" i="3"/>
  <c r="A19" i="3"/>
  <c r="A63" i="3"/>
  <c r="A54" i="3"/>
  <c r="A40" i="3"/>
  <c r="A31" i="3"/>
  <c r="A22" i="3"/>
  <c r="A12" i="3"/>
  <c r="A9" i="3"/>
  <c r="A56" i="3"/>
  <c r="A47" i="3"/>
  <c r="A38" i="3"/>
  <c r="A24" i="3"/>
  <c r="A15" i="3"/>
  <c r="A10" i="3"/>
  <c r="A8" i="3"/>
  <c r="A20" i="3"/>
  <c r="A68" i="3"/>
  <c r="A59" i="3"/>
  <c r="A50" i="3"/>
  <c r="A36" i="3"/>
  <c r="A27" i="3"/>
  <c r="A18" i="3"/>
  <c r="A66" i="3"/>
  <c r="A52" i="3"/>
  <c r="A43" i="3"/>
  <c r="A34" i="3"/>
  <c r="AF14" i="4"/>
  <c r="AA17" i="4"/>
  <c r="AE14" i="4"/>
  <c r="AA18" i="4"/>
  <c r="AE15" i="4"/>
  <c r="AF18" i="4"/>
  <c r="AF13" i="4"/>
  <c r="C19" i="4"/>
  <c r="F16" i="6" l="1"/>
  <c r="F28" i="6"/>
  <c r="F17" i="6"/>
  <c r="F12" i="6"/>
  <c r="F25" i="6"/>
  <c r="F29" i="6"/>
  <c r="F32" i="6"/>
  <c r="F21" i="6"/>
  <c r="F40" i="6"/>
  <c r="F30" i="6"/>
  <c r="F41" i="6"/>
  <c r="F19" i="6"/>
  <c r="F37" i="6"/>
  <c r="F20" i="6"/>
  <c r="F26" i="6"/>
  <c r="F11" i="6"/>
  <c r="F33" i="6"/>
  <c r="I43" i="3"/>
  <c r="H43" i="3"/>
  <c r="H27" i="3"/>
  <c r="I27" i="3"/>
  <c r="I68" i="3"/>
  <c r="H68" i="3"/>
  <c r="I15" i="3"/>
  <c r="H15" i="3"/>
  <c r="I56" i="3"/>
  <c r="H56" i="3"/>
  <c r="I31" i="3"/>
  <c r="H31" i="3"/>
  <c r="H19" i="3"/>
  <c r="I19" i="3"/>
  <c r="H58" i="3"/>
  <c r="I58" i="3"/>
  <c r="H35" i="3"/>
  <c r="I35" i="3"/>
  <c r="I16" i="3"/>
  <c r="H16" i="3"/>
  <c r="I39" i="3"/>
  <c r="H39" i="3"/>
  <c r="H62" i="3"/>
  <c r="I62" i="3"/>
  <c r="H21" i="3"/>
  <c r="I21" i="3"/>
  <c r="H37" i="3"/>
  <c r="I37" i="3"/>
  <c r="H53" i="3"/>
  <c r="I53" i="3"/>
  <c r="H69" i="3"/>
  <c r="I69" i="3"/>
  <c r="AD19" i="4"/>
  <c r="AC19" i="4"/>
  <c r="C10" i="6"/>
  <c r="A6" i="6" s="1"/>
  <c r="I52" i="3"/>
  <c r="H52" i="3"/>
  <c r="I24" i="3"/>
  <c r="H24" i="3"/>
  <c r="H26" i="3"/>
  <c r="I26" i="3"/>
  <c r="I60" i="3"/>
  <c r="H60" i="3"/>
  <c r="I44" i="3"/>
  <c r="H44" i="3"/>
  <c r="I23" i="3"/>
  <c r="H23" i="3"/>
  <c r="H46" i="3"/>
  <c r="I46" i="3"/>
  <c r="I64" i="3"/>
  <c r="H64" i="3"/>
  <c r="H25" i="3"/>
  <c r="I25" i="3"/>
  <c r="I41" i="3"/>
  <c r="H41" i="3"/>
  <c r="I57" i="3"/>
  <c r="H57" i="3"/>
  <c r="H10" i="6"/>
  <c r="H6" i="6" s="1"/>
  <c r="J10" i="6"/>
  <c r="J6" i="6" s="1"/>
  <c r="G10" i="6"/>
  <c r="G6" i="6" s="1"/>
  <c r="I20" i="3"/>
  <c r="H20" i="3"/>
  <c r="H9" i="3"/>
  <c r="I9" i="3"/>
  <c r="I40" i="3"/>
  <c r="H40" i="3"/>
  <c r="H66" i="3"/>
  <c r="I66" i="3"/>
  <c r="H50" i="3"/>
  <c r="I50" i="3"/>
  <c r="I8" i="3"/>
  <c r="H8" i="3"/>
  <c r="H38" i="3"/>
  <c r="I38" i="3"/>
  <c r="I12" i="3"/>
  <c r="H12" i="3"/>
  <c r="H54" i="3"/>
  <c r="I54" i="3"/>
  <c r="H42" i="3"/>
  <c r="I42" i="3"/>
  <c r="H67" i="3"/>
  <c r="I67" i="3"/>
  <c r="H11" i="3"/>
  <c r="I11" i="3"/>
  <c r="H30" i="3"/>
  <c r="I30" i="3"/>
  <c r="I48" i="3"/>
  <c r="H48" i="3"/>
  <c r="H13" i="3"/>
  <c r="I13" i="3"/>
  <c r="H29" i="3"/>
  <c r="I29" i="3"/>
  <c r="H45" i="3"/>
  <c r="I45" i="3"/>
  <c r="H61" i="3"/>
  <c r="I61" i="3"/>
  <c r="E10" i="6"/>
  <c r="E6" i="6" s="1"/>
  <c r="I36" i="3"/>
  <c r="H36" i="3"/>
  <c r="H34" i="3"/>
  <c r="I34" i="3"/>
  <c r="H18" i="3"/>
  <c r="I18" i="3"/>
  <c r="I59" i="3"/>
  <c r="H59" i="3"/>
  <c r="H10" i="3"/>
  <c r="I10" i="3"/>
  <c r="I47" i="3"/>
  <c r="H47" i="3"/>
  <c r="H22" i="3"/>
  <c r="I22" i="3"/>
  <c r="I63" i="3"/>
  <c r="H63" i="3"/>
  <c r="H51" i="3"/>
  <c r="I51" i="3"/>
  <c r="I28" i="3"/>
  <c r="H28" i="3"/>
  <c r="H14" i="3"/>
  <c r="I14" i="3"/>
  <c r="I32" i="3"/>
  <c r="H32" i="3"/>
  <c r="I55" i="3"/>
  <c r="H55" i="3"/>
  <c r="H17" i="3"/>
  <c r="I17" i="3"/>
  <c r="H33" i="3"/>
  <c r="I33" i="3"/>
  <c r="I49" i="3"/>
  <c r="H49" i="3"/>
  <c r="I65" i="3"/>
  <c r="H65" i="3"/>
  <c r="D10" i="6"/>
  <c r="D6" i="6" s="1"/>
  <c r="I10" i="6"/>
  <c r="I6" i="6" s="1"/>
  <c r="J19" i="4"/>
  <c r="AE19" i="4"/>
  <c r="AA19" i="4"/>
  <c r="AB19" i="4"/>
  <c r="AF19" i="4"/>
  <c r="T22" i="3"/>
  <c r="P22" i="3"/>
  <c r="L22" i="3"/>
  <c r="F22" i="3"/>
  <c r="B22" i="3"/>
  <c r="Q22" i="3"/>
  <c r="K22" i="3"/>
  <c r="D22" i="3"/>
  <c r="U22" i="3"/>
  <c r="O22" i="3"/>
  <c r="J22" i="3"/>
  <c r="C22" i="3"/>
  <c r="N22" i="3"/>
  <c r="S22" i="3"/>
  <c r="G22" i="3"/>
  <c r="E22" i="3"/>
  <c r="M22" i="3"/>
  <c r="R22" i="3"/>
  <c r="R28" i="3"/>
  <c r="N28" i="3"/>
  <c r="J28" i="3"/>
  <c r="D28" i="3"/>
  <c r="T28" i="3"/>
  <c r="O28" i="3"/>
  <c r="G28" i="3"/>
  <c r="B28" i="3"/>
  <c r="S28" i="3"/>
  <c r="M28" i="3"/>
  <c r="F28" i="3"/>
  <c r="Q28" i="3"/>
  <c r="E28" i="3"/>
  <c r="L28" i="3"/>
  <c r="U28" i="3"/>
  <c r="P28" i="3"/>
  <c r="C28" i="3"/>
  <c r="K28" i="3"/>
  <c r="R32" i="3"/>
  <c r="N32" i="3"/>
  <c r="J32" i="3"/>
  <c r="D32" i="3"/>
  <c r="S32" i="3"/>
  <c r="M32" i="3"/>
  <c r="F32" i="3"/>
  <c r="Q32" i="3"/>
  <c r="L32" i="3"/>
  <c r="E32" i="3"/>
  <c r="P32" i="3"/>
  <c r="C32" i="3"/>
  <c r="U32" i="3"/>
  <c r="K32" i="3"/>
  <c r="T32" i="3"/>
  <c r="O32" i="3"/>
  <c r="B32" i="3"/>
  <c r="G32" i="3"/>
  <c r="U55" i="3"/>
  <c r="Q55" i="3"/>
  <c r="M55" i="3"/>
  <c r="G55" i="3"/>
  <c r="C55" i="3"/>
  <c r="S55" i="3"/>
  <c r="N55" i="3"/>
  <c r="F55" i="3"/>
  <c r="L55" i="3"/>
  <c r="R55" i="3"/>
  <c r="E55" i="3"/>
  <c r="P55" i="3"/>
  <c r="D55" i="3"/>
  <c r="K55" i="3"/>
  <c r="O55" i="3"/>
  <c r="B55" i="3"/>
  <c r="T55" i="3"/>
  <c r="J55" i="3"/>
  <c r="S17" i="3"/>
  <c r="O17" i="3"/>
  <c r="K17" i="3"/>
  <c r="E17" i="3"/>
  <c r="U17" i="3"/>
  <c r="P17" i="3"/>
  <c r="J17" i="3"/>
  <c r="C17" i="3"/>
  <c r="T17" i="3"/>
  <c r="N17" i="3"/>
  <c r="G17" i="3"/>
  <c r="B17" i="3"/>
  <c r="M17" i="3"/>
  <c r="R17" i="3"/>
  <c r="F17" i="3"/>
  <c r="L17" i="3"/>
  <c r="Q17" i="3"/>
  <c r="D17" i="3"/>
  <c r="S33" i="3"/>
  <c r="O33" i="3"/>
  <c r="K33" i="3"/>
  <c r="E33" i="3"/>
  <c r="U33" i="3"/>
  <c r="P33" i="3"/>
  <c r="J33" i="3"/>
  <c r="C33" i="3"/>
  <c r="N33" i="3"/>
  <c r="G33" i="3"/>
  <c r="T33" i="3"/>
  <c r="B33" i="3"/>
  <c r="L33" i="3"/>
  <c r="R33" i="3"/>
  <c r="F33" i="3"/>
  <c r="M33" i="3"/>
  <c r="Q33" i="3"/>
  <c r="D33" i="3"/>
  <c r="S49" i="3"/>
  <c r="O49" i="3"/>
  <c r="K49" i="3"/>
  <c r="E49" i="3"/>
  <c r="U49" i="3"/>
  <c r="P49" i="3"/>
  <c r="J49" i="3"/>
  <c r="C49" i="3"/>
  <c r="T49" i="3"/>
  <c r="N49" i="3"/>
  <c r="G49" i="3"/>
  <c r="B49" i="3"/>
  <c r="M49" i="3"/>
  <c r="R49" i="3"/>
  <c r="F49" i="3"/>
  <c r="L49" i="3"/>
  <c r="Q49" i="3"/>
  <c r="D49" i="3"/>
  <c r="S65" i="3"/>
  <c r="O65" i="3"/>
  <c r="K65" i="3"/>
  <c r="E65" i="3"/>
  <c r="U65" i="3"/>
  <c r="P65" i="3"/>
  <c r="J65" i="3"/>
  <c r="C65" i="3"/>
  <c r="T65" i="3"/>
  <c r="N65" i="3"/>
  <c r="G65" i="3"/>
  <c r="B65" i="3"/>
  <c r="R65" i="3"/>
  <c r="F65" i="3"/>
  <c r="M65" i="3"/>
  <c r="Q65" i="3"/>
  <c r="D65" i="3"/>
  <c r="L65" i="3"/>
  <c r="R10" i="3"/>
  <c r="N10" i="3"/>
  <c r="J10" i="3"/>
  <c r="D10" i="3"/>
  <c r="U10" i="3"/>
  <c r="P10" i="3"/>
  <c r="K10" i="3"/>
  <c r="C10" i="3"/>
  <c r="S10" i="3"/>
  <c r="M10" i="3"/>
  <c r="F10" i="3"/>
  <c r="E10" i="3"/>
  <c r="T10" i="3"/>
  <c r="O10" i="3"/>
  <c r="G10" i="3"/>
  <c r="B10" i="3"/>
  <c r="Q10" i="3"/>
  <c r="L10" i="3"/>
  <c r="U51" i="3"/>
  <c r="Q51" i="3"/>
  <c r="M51" i="3"/>
  <c r="G51" i="3"/>
  <c r="C51" i="3"/>
  <c r="T51" i="3"/>
  <c r="O51" i="3"/>
  <c r="J51" i="3"/>
  <c r="B51" i="3"/>
  <c r="N51" i="3"/>
  <c r="F51" i="3"/>
  <c r="S51" i="3"/>
  <c r="R51" i="3"/>
  <c r="E51" i="3"/>
  <c r="L51" i="3"/>
  <c r="P51" i="3"/>
  <c r="D51" i="3"/>
  <c r="K51" i="3"/>
  <c r="T14" i="3"/>
  <c r="P14" i="3"/>
  <c r="L14" i="3"/>
  <c r="F14" i="3"/>
  <c r="B14" i="3"/>
  <c r="S14" i="3"/>
  <c r="N14" i="3"/>
  <c r="G14" i="3"/>
  <c r="R14" i="3"/>
  <c r="M14" i="3"/>
  <c r="E14" i="3"/>
  <c r="Q14" i="3"/>
  <c r="D14" i="3"/>
  <c r="K14" i="3"/>
  <c r="J14" i="3"/>
  <c r="O14" i="3"/>
  <c r="C14" i="3"/>
  <c r="U14" i="3"/>
  <c r="U43" i="3"/>
  <c r="Q43" i="3"/>
  <c r="M43" i="3"/>
  <c r="G43" i="3"/>
  <c r="C43" i="3"/>
  <c r="R43" i="3"/>
  <c r="L43" i="3"/>
  <c r="E43" i="3"/>
  <c r="K43" i="3"/>
  <c r="P43" i="3"/>
  <c r="D43" i="3"/>
  <c r="T43" i="3"/>
  <c r="J43" i="3"/>
  <c r="O43" i="3"/>
  <c r="B43" i="3"/>
  <c r="S43" i="3"/>
  <c r="F43" i="3"/>
  <c r="N43" i="3"/>
  <c r="U27" i="3"/>
  <c r="Q27" i="3"/>
  <c r="M27" i="3"/>
  <c r="G27" i="3"/>
  <c r="C27" i="3"/>
  <c r="R27" i="3"/>
  <c r="L27" i="3"/>
  <c r="E27" i="3"/>
  <c r="D27" i="3"/>
  <c r="P27" i="3"/>
  <c r="K27" i="3"/>
  <c r="O27" i="3"/>
  <c r="B27" i="3"/>
  <c r="T27" i="3"/>
  <c r="J27" i="3"/>
  <c r="F27" i="3"/>
  <c r="N27" i="3"/>
  <c r="S27" i="3"/>
  <c r="R68" i="3"/>
  <c r="N68" i="3"/>
  <c r="J68" i="3"/>
  <c r="D68" i="3"/>
  <c r="Q68" i="3"/>
  <c r="L68" i="3"/>
  <c r="E68" i="3"/>
  <c r="U68" i="3"/>
  <c r="P68" i="3"/>
  <c r="K68" i="3"/>
  <c r="C68" i="3"/>
  <c r="O68" i="3"/>
  <c r="B68" i="3"/>
  <c r="T68" i="3"/>
  <c r="G68" i="3"/>
  <c r="M68" i="3"/>
  <c r="S68" i="3"/>
  <c r="F68" i="3"/>
  <c r="U15" i="3"/>
  <c r="Q15" i="3"/>
  <c r="M15" i="3"/>
  <c r="G15" i="3"/>
  <c r="C15" i="3"/>
  <c r="P15" i="3"/>
  <c r="K15" i="3"/>
  <c r="D15" i="3"/>
  <c r="T15" i="3"/>
  <c r="J15" i="3"/>
  <c r="B15" i="3"/>
  <c r="O15" i="3"/>
  <c r="S15" i="3"/>
  <c r="F15" i="3"/>
  <c r="N15" i="3"/>
  <c r="L15" i="3"/>
  <c r="R15" i="3"/>
  <c r="E15" i="3"/>
  <c r="R56" i="3"/>
  <c r="N56" i="3"/>
  <c r="J56" i="3"/>
  <c r="D56" i="3"/>
  <c r="U56" i="3"/>
  <c r="P56" i="3"/>
  <c r="K56" i="3"/>
  <c r="C56" i="3"/>
  <c r="T56" i="3"/>
  <c r="O56" i="3"/>
  <c r="G56" i="3"/>
  <c r="B56" i="3"/>
  <c r="L56" i="3"/>
  <c r="S56" i="3"/>
  <c r="F56" i="3"/>
  <c r="M56" i="3"/>
  <c r="Q56" i="3"/>
  <c r="E56" i="3"/>
  <c r="U31" i="3"/>
  <c r="Q31" i="3"/>
  <c r="M31" i="3"/>
  <c r="G31" i="3"/>
  <c r="C31" i="3"/>
  <c r="P31" i="3"/>
  <c r="K31" i="3"/>
  <c r="D31" i="3"/>
  <c r="O31" i="3"/>
  <c r="J31" i="3"/>
  <c r="B31" i="3"/>
  <c r="T31" i="3"/>
  <c r="N31" i="3"/>
  <c r="S31" i="3"/>
  <c r="F31" i="3"/>
  <c r="R31" i="3"/>
  <c r="E31" i="3"/>
  <c r="L31" i="3"/>
  <c r="U19" i="3"/>
  <c r="Q19" i="3"/>
  <c r="M19" i="3"/>
  <c r="G19" i="3"/>
  <c r="C19" i="3"/>
  <c r="T19" i="3"/>
  <c r="O19" i="3"/>
  <c r="J19" i="3"/>
  <c r="B19" i="3"/>
  <c r="S19" i="3"/>
  <c r="N19" i="3"/>
  <c r="F19" i="3"/>
  <c r="R19" i="3"/>
  <c r="E19" i="3"/>
  <c r="L19" i="3"/>
  <c r="P19" i="3"/>
  <c r="D19" i="3"/>
  <c r="K19" i="3"/>
  <c r="T58" i="3"/>
  <c r="P58" i="3"/>
  <c r="L58" i="3"/>
  <c r="F58" i="3"/>
  <c r="B58" i="3"/>
  <c r="U58" i="3"/>
  <c r="O58" i="3"/>
  <c r="J58" i="3"/>
  <c r="C58" i="3"/>
  <c r="S58" i="3"/>
  <c r="N58" i="3"/>
  <c r="G58" i="3"/>
  <c r="M58" i="3"/>
  <c r="R58" i="3"/>
  <c r="E58" i="3"/>
  <c r="K58" i="3"/>
  <c r="Q58" i="3"/>
  <c r="D58" i="3"/>
  <c r="U35" i="3"/>
  <c r="Q35" i="3"/>
  <c r="M35" i="3"/>
  <c r="G35" i="3"/>
  <c r="C35" i="3"/>
  <c r="T35" i="3"/>
  <c r="O35" i="3"/>
  <c r="J35" i="3"/>
  <c r="B35" i="3"/>
  <c r="S35" i="3"/>
  <c r="F35" i="3"/>
  <c r="N35" i="3"/>
  <c r="L35" i="3"/>
  <c r="R35" i="3"/>
  <c r="E35" i="3"/>
  <c r="D35" i="3"/>
  <c r="K35" i="3"/>
  <c r="P35" i="3"/>
  <c r="R16" i="3"/>
  <c r="N16" i="3"/>
  <c r="J16" i="3"/>
  <c r="D16" i="3"/>
  <c r="S16" i="3"/>
  <c r="M16" i="3"/>
  <c r="F16" i="3"/>
  <c r="Q16" i="3"/>
  <c r="L16" i="3"/>
  <c r="E16" i="3"/>
  <c r="U16" i="3"/>
  <c r="K16" i="3"/>
  <c r="P16" i="3"/>
  <c r="C16" i="3"/>
  <c r="O16" i="3"/>
  <c r="T16" i="3"/>
  <c r="G16" i="3"/>
  <c r="B16" i="3"/>
  <c r="U39" i="3"/>
  <c r="Q39" i="3"/>
  <c r="M39" i="3"/>
  <c r="G39" i="3"/>
  <c r="C39" i="3"/>
  <c r="S39" i="3"/>
  <c r="N39" i="3"/>
  <c r="F39" i="3"/>
  <c r="R39" i="3"/>
  <c r="E39" i="3"/>
  <c r="L39" i="3"/>
  <c r="K39" i="3"/>
  <c r="P39" i="3"/>
  <c r="D39" i="3"/>
  <c r="T39" i="3"/>
  <c r="J39" i="3"/>
  <c r="O39" i="3"/>
  <c r="B39" i="3"/>
  <c r="T62" i="3"/>
  <c r="P62" i="3"/>
  <c r="L62" i="3"/>
  <c r="F62" i="3"/>
  <c r="B62" i="3"/>
  <c r="S62" i="3"/>
  <c r="N62" i="3"/>
  <c r="G62" i="3"/>
  <c r="R62" i="3"/>
  <c r="M62" i="3"/>
  <c r="E62" i="3"/>
  <c r="K62" i="3"/>
  <c r="Q62" i="3"/>
  <c r="D62" i="3"/>
  <c r="U62" i="3"/>
  <c r="J62" i="3"/>
  <c r="O62" i="3"/>
  <c r="C62" i="3"/>
  <c r="S21" i="3"/>
  <c r="O21" i="3"/>
  <c r="K21" i="3"/>
  <c r="E21" i="3"/>
  <c r="T21" i="3"/>
  <c r="N21" i="3"/>
  <c r="G21" i="3"/>
  <c r="B21" i="3"/>
  <c r="R21" i="3"/>
  <c r="M21" i="3"/>
  <c r="F21" i="3"/>
  <c r="L21" i="3"/>
  <c r="Q21" i="3"/>
  <c r="D21" i="3"/>
  <c r="C21" i="3"/>
  <c r="U21" i="3"/>
  <c r="J21" i="3"/>
  <c r="P21" i="3"/>
  <c r="S37" i="3"/>
  <c r="O37" i="3"/>
  <c r="K37" i="3"/>
  <c r="E37" i="3"/>
  <c r="T37" i="3"/>
  <c r="N37" i="3"/>
  <c r="G37" i="3"/>
  <c r="B37" i="3"/>
  <c r="M37" i="3"/>
  <c r="F37" i="3"/>
  <c r="R37" i="3"/>
  <c r="Q37" i="3"/>
  <c r="D37" i="3"/>
  <c r="L37" i="3"/>
  <c r="J37" i="3"/>
  <c r="P37" i="3"/>
  <c r="C37" i="3"/>
  <c r="U37" i="3"/>
  <c r="S53" i="3"/>
  <c r="O53" i="3"/>
  <c r="K53" i="3"/>
  <c r="E53" i="3"/>
  <c r="T53" i="3"/>
  <c r="N53" i="3"/>
  <c r="G53" i="3"/>
  <c r="B53" i="3"/>
  <c r="R53" i="3"/>
  <c r="M53" i="3"/>
  <c r="F53" i="3"/>
  <c r="L53" i="3"/>
  <c r="Q53" i="3"/>
  <c r="D53" i="3"/>
  <c r="U53" i="3"/>
  <c r="J53" i="3"/>
  <c r="P53" i="3"/>
  <c r="C53" i="3"/>
  <c r="S69" i="3"/>
  <c r="O69" i="3"/>
  <c r="K69" i="3"/>
  <c r="E69" i="3"/>
  <c r="T69" i="3"/>
  <c r="N69" i="3"/>
  <c r="G69" i="3"/>
  <c r="B69" i="3"/>
  <c r="R69" i="3"/>
  <c r="M69" i="3"/>
  <c r="F69" i="3"/>
  <c r="Q69" i="3"/>
  <c r="D69" i="3"/>
  <c r="L69" i="3"/>
  <c r="P69" i="3"/>
  <c r="C69" i="3"/>
  <c r="U69" i="3"/>
  <c r="J69" i="3"/>
  <c r="T18" i="3"/>
  <c r="P18" i="3"/>
  <c r="L18" i="3"/>
  <c r="F18" i="3"/>
  <c r="B18" i="3"/>
  <c r="R18" i="3"/>
  <c r="M18" i="3"/>
  <c r="E18" i="3"/>
  <c r="Q18" i="3"/>
  <c r="K18" i="3"/>
  <c r="D18" i="3"/>
  <c r="O18" i="3"/>
  <c r="C18" i="3"/>
  <c r="U18" i="3"/>
  <c r="J18" i="3"/>
  <c r="N18" i="3"/>
  <c r="S18" i="3"/>
  <c r="G18" i="3"/>
  <c r="U47" i="3"/>
  <c r="Q47" i="3"/>
  <c r="M47" i="3"/>
  <c r="G47" i="3"/>
  <c r="C47" i="3"/>
  <c r="P47" i="3"/>
  <c r="K47" i="3"/>
  <c r="D47" i="3"/>
  <c r="T47" i="3"/>
  <c r="O47" i="3"/>
  <c r="J47" i="3"/>
  <c r="B47" i="3"/>
  <c r="S47" i="3"/>
  <c r="F47" i="3"/>
  <c r="N47" i="3"/>
  <c r="R47" i="3"/>
  <c r="E47" i="3"/>
  <c r="L47" i="3"/>
  <c r="R52" i="3"/>
  <c r="N52" i="3"/>
  <c r="J52" i="3"/>
  <c r="D52" i="3"/>
  <c r="Q52" i="3"/>
  <c r="L52" i="3"/>
  <c r="E52" i="3"/>
  <c r="P52" i="3"/>
  <c r="K52" i="3"/>
  <c r="C52" i="3"/>
  <c r="U52" i="3"/>
  <c r="T52" i="3"/>
  <c r="G52" i="3"/>
  <c r="O52" i="3"/>
  <c r="B52" i="3"/>
  <c r="S52" i="3"/>
  <c r="F52" i="3"/>
  <c r="M52" i="3"/>
  <c r="R36" i="3"/>
  <c r="N36" i="3"/>
  <c r="J36" i="3"/>
  <c r="D36" i="3"/>
  <c r="Q36" i="3"/>
  <c r="L36" i="3"/>
  <c r="E36" i="3"/>
  <c r="U36" i="3"/>
  <c r="K36" i="3"/>
  <c r="C36" i="3"/>
  <c r="P36" i="3"/>
  <c r="O36" i="3"/>
  <c r="B36" i="3"/>
  <c r="T36" i="3"/>
  <c r="G36" i="3"/>
  <c r="F36" i="3"/>
  <c r="M36" i="3"/>
  <c r="S36" i="3"/>
  <c r="R24" i="3"/>
  <c r="N24" i="3"/>
  <c r="J24" i="3"/>
  <c r="D24" i="3"/>
  <c r="U24" i="3"/>
  <c r="P24" i="3"/>
  <c r="K24" i="3"/>
  <c r="C24" i="3"/>
  <c r="T24" i="3"/>
  <c r="G24" i="3"/>
  <c r="B24" i="3"/>
  <c r="O24" i="3"/>
  <c r="S24" i="3"/>
  <c r="F24" i="3"/>
  <c r="M24" i="3"/>
  <c r="L24" i="3"/>
  <c r="Q24" i="3"/>
  <c r="E24" i="3"/>
  <c r="T26" i="3"/>
  <c r="P26" i="3"/>
  <c r="L26" i="3"/>
  <c r="F26" i="3"/>
  <c r="B26" i="3"/>
  <c r="U26" i="3"/>
  <c r="O26" i="3"/>
  <c r="J26" i="3"/>
  <c r="C26" i="3"/>
  <c r="N26" i="3"/>
  <c r="G26" i="3"/>
  <c r="S26" i="3"/>
  <c r="M26" i="3"/>
  <c r="R26" i="3"/>
  <c r="E26" i="3"/>
  <c r="D26" i="3"/>
  <c r="K26" i="3"/>
  <c r="Q26" i="3"/>
  <c r="R60" i="3"/>
  <c r="N60" i="3"/>
  <c r="J60" i="3"/>
  <c r="D60" i="3"/>
  <c r="T60" i="3"/>
  <c r="O60" i="3"/>
  <c r="G60" i="3"/>
  <c r="B60" i="3"/>
  <c r="S60" i="3"/>
  <c r="M60" i="3"/>
  <c r="F60" i="3"/>
  <c r="Q60" i="3"/>
  <c r="E60" i="3"/>
  <c r="L60" i="3"/>
  <c r="P60" i="3"/>
  <c r="C60" i="3"/>
  <c r="U60" i="3"/>
  <c r="K60" i="3"/>
  <c r="R44" i="3"/>
  <c r="N44" i="3"/>
  <c r="J44" i="3"/>
  <c r="D44" i="3"/>
  <c r="T44" i="3"/>
  <c r="O44" i="3"/>
  <c r="G44" i="3"/>
  <c r="B44" i="3"/>
  <c r="S44" i="3"/>
  <c r="M44" i="3"/>
  <c r="F44" i="3"/>
  <c r="L44" i="3"/>
  <c r="Q44" i="3"/>
  <c r="E44" i="3"/>
  <c r="C44" i="3"/>
  <c r="U44" i="3"/>
  <c r="K44" i="3"/>
  <c r="P44" i="3"/>
  <c r="U23" i="3"/>
  <c r="Q23" i="3"/>
  <c r="M23" i="3"/>
  <c r="G23" i="3"/>
  <c r="C23" i="3"/>
  <c r="S23" i="3"/>
  <c r="N23" i="3"/>
  <c r="F23" i="3"/>
  <c r="R23" i="3"/>
  <c r="E23" i="3"/>
  <c r="L23" i="3"/>
  <c r="P23" i="3"/>
  <c r="D23" i="3"/>
  <c r="K23" i="3"/>
  <c r="J23" i="3"/>
  <c r="O23" i="3"/>
  <c r="B23" i="3"/>
  <c r="T23" i="3"/>
  <c r="T46" i="3"/>
  <c r="P46" i="3"/>
  <c r="L46" i="3"/>
  <c r="F46" i="3"/>
  <c r="B46" i="3"/>
  <c r="S46" i="3"/>
  <c r="N46" i="3"/>
  <c r="G46" i="3"/>
  <c r="R46" i="3"/>
  <c r="M46" i="3"/>
  <c r="E46" i="3"/>
  <c r="Q46" i="3"/>
  <c r="D46" i="3"/>
  <c r="K46" i="3"/>
  <c r="O46" i="3"/>
  <c r="C46" i="3"/>
  <c r="U46" i="3"/>
  <c r="J46" i="3"/>
  <c r="R64" i="3"/>
  <c r="N64" i="3"/>
  <c r="J64" i="3"/>
  <c r="D64" i="3"/>
  <c r="S64" i="3"/>
  <c r="M64" i="3"/>
  <c r="F64" i="3"/>
  <c r="Q64" i="3"/>
  <c r="L64" i="3"/>
  <c r="E64" i="3"/>
  <c r="P64" i="3"/>
  <c r="C64" i="3"/>
  <c r="U64" i="3"/>
  <c r="K64" i="3"/>
  <c r="O64" i="3"/>
  <c r="B64" i="3"/>
  <c r="T64" i="3"/>
  <c r="G64" i="3"/>
  <c r="S25" i="3"/>
  <c r="O25" i="3"/>
  <c r="K25" i="3"/>
  <c r="E25" i="3"/>
  <c r="R25" i="3"/>
  <c r="M25" i="3"/>
  <c r="F25" i="3"/>
  <c r="Q25" i="3"/>
  <c r="L25" i="3"/>
  <c r="D25" i="3"/>
  <c r="U25" i="3"/>
  <c r="J25" i="3"/>
  <c r="P25" i="3"/>
  <c r="C25" i="3"/>
  <c r="N25" i="3"/>
  <c r="T25" i="3"/>
  <c r="G25" i="3"/>
  <c r="B25" i="3"/>
  <c r="S41" i="3"/>
  <c r="O41" i="3"/>
  <c r="K41" i="3"/>
  <c r="E41" i="3"/>
  <c r="R41" i="3"/>
  <c r="M41" i="3"/>
  <c r="F41" i="3"/>
  <c r="Q41" i="3"/>
  <c r="L41" i="3"/>
  <c r="D41" i="3"/>
  <c r="P41" i="3"/>
  <c r="C41" i="3"/>
  <c r="U41" i="3"/>
  <c r="J41" i="3"/>
  <c r="G41" i="3"/>
  <c r="N41" i="3"/>
  <c r="B41" i="3"/>
  <c r="T41" i="3"/>
  <c r="S57" i="3"/>
  <c r="O57" i="3"/>
  <c r="K57" i="3"/>
  <c r="E57" i="3"/>
  <c r="R57" i="3"/>
  <c r="M57" i="3"/>
  <c r="F57" i="3"/>
  <c r="Q57" i="3"/>
  <c r="L57" i="3"/>
  <c r="D57" i="3"/>
  <c r="U57" i="3"/>
  <c r="J57" i="3"/>
  <c r="P57" i="3"/>
  <c r="C57" i="3"/>
  <c r="T57" i="3"/>
  <c r="G57" i="3"/>
  <c r="N57" i="3"/>
  <c r="B57" i="3"/>
  <c r="T34" i="3"/>
  <c r="P34" i="3"/>
  <c r="L34" i="3"/>
  <c r="F34" i="3"/>
  <c r="B34" i="3"/>
  <c r="R34" i="3"/>
  <c r="M34" i="3"/>
  <c r="E34" i="3"/>
  <c r="D34" i="3"/>
  <c r="Q34" i="3"/>
  <c r="K34" i="3"/>
  <c r="U34" i="3"/>
  <c r="J34" i="3"/>
  <c r="O34" i="3"/>
  <c r="C34" i="3"/>
  <c r="N34" i="3"/>
  <c r="S34" i="3"/>
  <c r="G34" i="3"/>
  <c r="U59" i="3"/>
  <c r="Q59" i="3"/>
  <c r="M59" i="3"/>
  <c r="G59" i="3"/>
  <c r="C59" i="3"/>
  <c r="R59" i="3"/>
  <c r="L59" i="3"/>
  <c r="E59" i="3"/>
  <c r="P59" i="3"/>
  <c r="K59" i="3"/>
  <c r="D59" i="3"/>
  <c r="O59" i="3"/>
  <c r="B59" i="3"/>
  <c r="T59" i="3"/>
  <c r="J59" i="3"/>
  <c r="N59" i="3"/>
  <c r="S59" i="3"/>
  <c r="F59" i="3"/>
  <c r="U63" i="3"/>
  <c r="Q63" i="3"/>
  <c r="M63" i="3"/>
  <c r="G63" i="3"/>
  <c r="C63" i="3"/>
  <c r="P63" i="3"/>
  <c r="K63" i="3"/>
  <c r="D63" i="3"/>
  <c r="T63" i="3"/>
  <c r="O63" i="3"/>
  <c r="J63" i="3"/>
  <c r="B63" i="3"/>
  <c r="N63" i="3"/>
  <c r="S63" i="3"/>
  <c r="F63" i="3"/>
  <c r="L63" i="3"/>
  <c r="R63" i="3"/>
  <c r="E63" i="3"/>
  <c r="R20" i="3"/>
  <c r="N20" i="3"/>
  <c r="J20" i="3"/>
  <c r="D20" i="3"/>
  <c r="Q20" i="3"/>
  <c r="L20" i="3"/>
  <c r="E20" i="3"/>
  <c r="U20" i="3"/>
  <c r="P20" i="3"/>
  <c r="C20" i="3"/>
  <c r="K20" i="3"/>
  <c r="T20" i="3"/>
  <c r="G20" i="3"/>
  <c r="O20" i="3"/>
  <c r="B20" i="3"/>
  <c r="S20" i="3"/>
  <c r="F20" i="3"/>
  <c r="M20" i="3"/>
  <c r="U9" i="3"/>
  <c r="Q9" i="3"/>
  <c r="M9" i="3"/>
  <c r="G9" i="3"/>
  <c r="C9" i="3"/>
  <c r="S9" i="3"/>
  <c r="N9" i="3"/>
  <c r="F9" i="3"/>
  <c r="P9" i="3"/>
  <c r="K9" i="3"/>
  <c r="D9" i="3"/>
  <c r="O9" i="3"/>
  <c r="B9" i="3"/>
  <c r="R9" i="3"/>
  <c r="L9" i="3"/>
  <c r="E9" i="3"/>
  <c r="T9" i="3"/>
  <c r="J9" i="3"/>
  <c r="R40" i="3"/>
  <c r="N40" i="3"/>
  <c r="J40" i="3"/>
  <c r="D40" i="3"/>
  <c r="U40" i="3"/>
  <c r="P40" i="3"/>
  <c r="K40" i="3"/>
  <c r="C40" i="3"/>
  <c r="T40" i="3"/>
  <c r="G40" i="3"/>
  <c r="B40" i="3"/>
  <c r="O40" i="3"/>
  <c r="M40" i="3"/>
  <c r="S40" i="3"/>
  <c r="F40" i="3"/>
  <c r="E40" i="3"/>
  <c r="L40" i="3"/>
  <c r="Q40" i="3"/>
  <c r="T66" i="3"/>
  <c r="P66" i="3"/>
  <c r="L66" i="3"/>
  <c r="F66" i="3"/>
  <c r="B66" i="3"/>
  <c r="R66" i="3"/>
  <c r="M66" i="3"/>
  <c r="E66" i="3"/>
  <c r="Q66" i="3"/>
  <c r="K66" i="3"/>
  <c r="D66" i="3"/>
  <c r="U66" i="3"/>
  <c r="J66" i="3"/>
  <c r="O66" i="3"/>
  <c r="C66" i="3"/>
  <c r="S66" i="3"/>
  <c r="G66" i="3"/>
  <c r="N66" i="3"/>
  <c r="T50" i="3"/>
  <c r="P50" i="3"/>
  <c r="L50" i="3"/>
  <c r="F50" i="3"/>
  <c r="B50" i="3"/>
  <c r="R50" i="3"/>
  <c r="M50" i="3"/>
  <c r="E50" i="3"/>
  <c r="Q50" i="3"/>
  <c r="K50" i="3"/>
  <c r="D50" i="3"/>
  <c r="O50" i="3"/>
  <c r="C50" i="3"/>
  <c r="U50" i="3"/>
  <c r="J50" i="3"/>
  <c r="N50" i="3"/>
  <c r="S50" i="3"/>
  <c r="G50" i="3"/>
  <c r="T8" i="3"/>
  <c r="P8" i="3"/>
  <c r="L8" i="3"/>
  <c r="F8" i="3"/>
  <c r="B8" i="3"/>
  <c r="Q8" i="3"/>
  <c r="K8" i="3"/>
  <c r="D8" i="3"/>
  <c r="S8" i="3"/>
  <c r="N8" i="3"/>
  <c r="G8" i="3"/>
  <c r="M8" i="3"/>
  <c r="U8" i="3"/>
  <c r="O8" i="3"/>
  <c r="J8" i="3"/>
  <c r="C8" i="3"/>
  <c r="R8" i="3"/>
  <c r="E8" i="3"/>
  <c r="T38" i="3"/>
  <c r="P38" i="3"/>
  <c r="L38" i="3"/>
  <c r="F38" i="3"/>
  <c r="B38" i="3"/>
  <c r="Q38" i="3"/>
  <c r="K38" i="3"/>
  <c r="D38" i="3"/>
  <c r="U38" i="3"/>
  <c r="J38" i="3"/>
  <c r="C38" i="3"/>
  <c r="O38" i="3"/>
  <c r="S38" i="3"/>
  <c r="G38" i="3"/>
  <c r="N38" i="3"/>
  <c r="M38" i="3"/>
  <c r="R38" i="3"/>
  <c r="E38" i="3"/>
  <c r="R12" i="3"/>
  <c r="N12" i="3"/>
  <c r="J12" i="3"/>
  <c r="D12" i="3"/>
  <c r="T12" i="3"/>
  <c r="O12" i="3"/>
  <c r="G12" i="3"/>
  <c r="B12" i="3"/>
  <c r="Q12" i="3"/>
  <c r="K12" i="3"/>
  <c r="U12" i="3"/>
  <c r="M12" i="3"/>
  <c r="E12" i="3"/>
  <c r="L12" i="3"/>
  <c r="C12" i="3"/>
  <c r="P12" i="3"/>
  <c r="F12" i="3"/>
  <c r="S12" i="3"/>
  <c r="T54" i="3"/>
  <c r="P54" i="3"/>
  <c r="L54" i="3"/>
  <c r="F54" i="3"/>
  <c r="B54" i="3"/>
  <c r="Q54" i="3"/>
  <c r="K54" i="3"/>
  <c r="D54" i="3"/>
  <c r="U54" i="3"/>
  <c r="J54" i="3"/>
  <c r="O54" i="3"/>
  <c r="C54" i="3"/>
  <c r="N54" i="3"/>
  <c r="S54" i="3"/>
  <c r="G54" i="3"/>
  <c r="M54" i="3"/>
  <c r="R54" i="3"/>
  <c r="E54" i="3"/>
  <c r="T42" i="3"/>
  <c r="P42" i="3"/>
  <c r="L42" i="3"/>
  <c r="F42" i="3"/>
  <c r="B42" i="3"/>
  <c r="U42" i="3"/>
  <c r="O42" i="3"/>
  <c r="J42" i="3"/>
  <c r="C42" i="3"/>
  <c r="S42" i="3"/>
  <c r="G42" i="3"/>
  <c r="N42" i="3"/>
  <c r="R42" i="3"/>
  <c r="E42" i="3"/>
  <c r="M42" i="3"/>
  <c r="Q42" i="3"/>
  <c r="D42" i="3"/>
  <c r="K42" i="3"/>
  <c r="U67" i="3"/>
  <c r="Q67" i="3"/>
  <c r="M67" i="3"/>
  <c r="G67" i="3"/>
  <c r="C67" i="3"/>
  <c r="T67" i="3"/>
  <c r="O67" i="3"/>
  <c r="J67" i="3"/>
  <c r="B67" i="3"/>
  <c r="S67" i="3"/>
  <c r="N67" i="3"/>
  <c r="F67" i="3"/>
  <c r="L67" i="3"/>
  <c r="R67" i="3"/>
  <c r="E67" i="3"/>
  <c r="K67" i="3"/>
  <c r="P67" i="3"/>
  <c r="D67" i="3"/>
  <c r="U11" i="3"/>
  <c r="Q11" i="3"/>
  <c r="M11" i="3"/>
  <c r="G11" i="3"/>
  <c r="R11" i="3"/>
  <c r="L11" i="3"/>
  <c r="E11" i="3"/>
  <c r="O11" i="3"/>
  <c r="F11" i="3"/>
  <c r="S11" i="3"/>
  <c r="K11" i="3"/>
  <c r="C11" i="3"/>
  <c r="B11" i="3"/>
  <c r="T11" i="3"/>
  <c r="N11" i="3"/>
  <c r="D11" i="3"/>
  <c r="P11" i="3"/>
  <c r="J11" i="3"/>
  <c r="T30" i="3"/>
  <c r="P30" i="3"/>
  <c r="L30" i="3"/>
  <c r="F30" i="3"/>
  <c r="B30" i="3"/>
  <c r="S30" i="3"/>
  <c r="N30" i="3"/>
  <c r="G30" i="3"/>
  <c r="R30" i="3"/>
  <c r="E30" i="3"/>
  <c r="M30" i="3"/>
  <c r="K30" i="3"/>
  <c r="Q30" i="3"/>
  <c r="D30" i="3"/>
  <c r="C30" i="3"/>
  <c r="U30" i="3"/>
  <c r="J30" i="3"/>
  <c r="O30" i="3"/>
  <c r="R48" i="3"/>
  <c r="N48" i="3"/>
  <c r="J48" i="3"/>
  <c r="D48" i="3"/>
  <c r="S48" i="3"/>
  <c r="M48" i="3"/>
  <c r="F48" i="3"/>
  <c r="Q48" i="3"/>
  <c r="L48" i="3"/>
  <c r="E48" i="3"/>
  <c r="U48" i="3"/>
  <c r="K48" i="3"/>
  <c r="P48" i="3"/>
  <c r="C48" i="3"/>
  <c r="T48" i="3"/>
  <c r="G48" i="3"/>
  <c r="O48" i="3"/>
  <c r="B48" i="3"/>
  <c r="S13" i="3"/>
  <c r="O13" i="3"/>
  <c r="K13" i="3"/>
  <c r="E13" i="3"/>
  <c r="Q13" i="3"/>
  <c r="L13" i="3"/>
  <c r="D13" i="3"/>
  <c r="P13" i="3"/>
  <c r="J13" i="3"/>
  <c r="U13" i="3"/>
  <c r="N13" i="3"/>
  <c r="C13" i="3"/>
  <c r="T13" i="3"/>
  <c r="G13" i="3"/>
  <c r="F13" i="3"/>
  <c r="M13" i="3"/>
  <c r="B13" i="3"/>
  <c r="R13" i="3"/>
  <c r="S29" i="3"/>
  <c r="O29" i="3"/>
  <c r="K29" i="3"/>
  <c r="E29" i="3"/>
  <c r="Q29" i="3"/>
  <c r="L29" i="3"/>
  <c r="D29" i="3"/>
  <c r="U29" i="3"/>
  <c r="P29" i="3"/>
  <c r="J29" i="3"/>
  <c r="C29" i="3"/>
  <c r="T29" i="3"/>
  <c r="G29" i="3"/>
  <c r="N29" i="3"/>
  <c r="B29" i="3"/>
  <c r="R29" i="3"/>
  <c r="F29" i="3"/>
  <c r="M29" i="3"/>
  <c r="S45" i="3"/>
  <c r="O45" i="3"/>
  <c r="K45" i="3"/>
  <c r="E45" i="3"/>
  <c r="Q45" i="3"/>
  <c r="L45" i="3"/>
  <c r="D45" i="3"/>
  <c r="P45" i="3"/>
  <c r="J45" i="3"/>
  <c r="C45" i="3"/>
  <c r="U45" i="3"/>
  <c r="N45" i="3"/>
  <c r="B45" i="3"/>
  <c r="T45" i="3"/>
  <c r="G45" i="3"/>
  <c r="M45" i="3"/>
  <c r="R45" i="3"/>
  <c r="F45" i="3"/>
  <c r="S61" i="3"/>
  <c r="O61" i="3"/>
  <c r="K61" i="3"/>
  <c r="E61" i="3"/>
  <c r="Q61" i="3"/>
  <c r="L61" i="3"/>
  <c r="D61" i="3"/>
  <c r="U61" i="3"/>
  <c r="P61" i="3"/>
  <c r="J61" i="3"/>
  <c r="C61" i="3"/>
  <c r="T61" i="3"/>
  <c r="G61" i="3"/>
  <c r="N61" i="3"/>
  <c r="B61" i="3"/>
  <c r="R61" i="3"/>
  <c r="F61" i="3"/>
  <c r="M61" i="3"/>
  <c r="F10" i="6" l="1"/>
  <c r="F6" i="6" s="1"/>
  <c r="I7" i="3"/>
  <c r="H7" i="3"/>
  <c r="N7" i="3"/>
  <c r="K7" i="3"/>
  <c r="Q7" i="3"/>
  <c r="S7" i="3"/>
  <c r="C7" i="3"/>
  <c r="T7" i="3"/>
  <c r="G7" i="3"/>
  <c r="P7" i="3"/>
  <c r="F7" i="3"/>
  <c r="L7" i="3"/>
</calcChain>
</file>

<file path=xl/sharedStrings.xml><?xml version="1.0" encoding="utf-8"?>
<sst xmlns="http://schemas.openxmlformats.org/spreadsheetml/2006/main" count="504" uniqueCount="304">
  <si>
    <t>CONTROL DE BOLETOS — TDS · PIN · PKS</t>
  </si>
  <si>
    <t>Un solo libro para los tres buses, dividido por meses. Se cargaron los viajes de octubre de TDS y PIN; PKS empieza vacío.</t>
  </si>
  <si>
    <t>1. REGISTRAR UN VIAJE (ventana emergente)</t>
  </si>
  <si>
    <t>Primera vez (una sola vez): clic derecho en la barra de acceso rápido (arriba a la izquierda) → Personalizar barra de herramientas de acceso rápido → en «Comandos disponibles en» elige «Comandos que no están en la cinta de opciones» → busca «Formulario…» → Agregar → Aceptar. En Excel para Mac: pestaña Datos → Formulario.</t>
  </si>
  <si>
    <t>Cada vez: ve a la hoja Registro, haz clic en cualquier celda con datos y pulsa el botón Formulario. Se abre una ventana con un campo por cada columna.</t>
  </si>
  <si>
    <t>Añadir: botón Nuevo, llena los campos (Tab pasa al siguiente) y pulsa Enter. Corregir: Buscar anterior / Buscar siguiente, edita y Enter. Eliminar borra el registro mostrado. Criterios sirve para buscar (por ejemplo Bus = TDS).</t>
  </si>
  <si>
    <t>Esta ventana no está disponible en Excel para la web ni en el celular; allí escribe directamente en la hoja Registro (una fila por viaje).</t>
  </si>
  <si>
    <t>2. CÓMO ESCRIBIR LOS DATOS</t>
  </si>
  <si>
    <t>Bus: TDS, PIN o PKS. Fecha: por ejemplo 24-10-26.</t>
  </si>
  <si>
    <t>Boletos de ida y de llegada: «cantidad x precio», separados con punto y coma o con +. Ejemplo: 25x40; 3x50. Si en la llegada no hubo boletos, escribe Sin boleto (el monto calculado se iguala al registrado, como en tus hojas anteriores).</t>
  </si>
  <si>
    <t>Gastos y Otros gastos: «concepto monto» separados con punto y coma. Ejemplo: Peaje 50; Veatico 50. Otros gastos es para cosas como el diesel; se restan después, igual que en tu segunda hoja.</t>
  </si>
  <si>
    <t>Si escribes en la hoja con Alt+Enter (una línea por dato), también funciona.</t>
  </si>
  <si>
    <t>3. DÓNDE VER LOS RESULTADOS</t>
  </si>
  <si>
    <t>Cálculo: hoja automática; no escribas ahí. Capacidad: 1000 viajes, unos 12 meses para los tres buses (filas 2 a 1001 de Registro).</t>
  </si>
  <si>
    <t>Bus</t>
  </si>
  <si>
    <t>Fecha</t>
  </si>
  <si>
    <t>Destino</t>
  </si>
  <si>
    <t>Hora salida - llegada</t>
  </si>
  <si>
    <t>Boletos de ida (detalle)</t>
  </si>
  <si>
    <t>Boletos de llegada (detalle)</t>
  </si>
  <si>
    <t>Monto registrado que trajeron</t>
  </si>
  <si>
    <t>Gastos (concepto y monto)</t>
  </si>
  <si>
    <t>Otros gastos (concepto y monto)</t>
  </si>
  <si>
    <t>Observaciones</t>
  </si>
  <si>
    <t>TDS</t>
  </si>
  <si>
    <t>Lp</t>
  </si>
  <si>
    <t>08:30 - 15:30</t>
  </si>
  <si>
    <t>25x40; 3x50</t>
  </si>
  <si>
    <t>1x3300</t>
  </si>
  <si>
    <t>Peaje 50; Veatico 50</t>
  </si>
  <si>
    <t>Cbba</t>
  </si>
  <si>
    <t>6:30 - 17:30</t>
  </si>
  <si>
    <t>15x40; 15x50; 5x60</t>
  </si>
  <si>
    <t>1x4060</t>
  </si>
  <si>
    <t>Peaje 50; Veatico 50; Gasto 100</t>
  </si>
  <si>
    <t>5:30 - 15:30</t>
  </si>
  <si>
    <t>43x50; 2x80; 10x70</t>
  </si>
  <si>
    <t>1x3599</t>
  </si>
  <si>
    <t>Diesel 8400</t>
  </si>
  <si>
    <t>4:00</t>
  </si>
  <si>
    <t>43x40; 4x50; 7x60</t>
  </si>
  <si>
    <t>1x2080</t>
  </si>
  <si>
    <t>Peaje 50; Veatico 50; Engrase 40</t>
  </si>
  <si>
    <t>9:30-17:00</t>
  </si>
  <si>
    <t>37x40; 2x50; 2x70; 8x60</t>
  </si>
  <si>
    <t>Peaje 50; Diesel 400; Veatico 50</t>
  </si>
  <si>
    <t>Diesel 7500</t>
  </si>
  <si>
    <t>15:30-4:00</t>
  </si>
  <si>
    <t>9x60; 2x70; 45x50</t>
  </si>
  <si>
    <t>1x2350</t>
  </si>
  <si>
    <t>6:30-14:30</t>
  </si>
  <si>
    <t>24x40; 4x60; 5x50</t>
  </si>
  <si>
    <t>1x2455</t>
  </si>
  <si>
    <t>19:30-8:00</t>
  </si>
  <si>
    <t>35x40; 11x60</t>
  </si>
  <si>
    <t>1x2365</t>
  </si>
  <si>
    <t>Peaje 50</t>
  </si>
  <si>
    <t>4:00-11:00</t>
  </si>
  <si>
    <t>14x40; 31x50; 1x60; 4x70; 7x60</t>
  </si>
  <si>
    <t>1x2395</t>
  </si>
  <si>
    <t>7:00-14:30</t>
  </si>
  <si>
    <t>30x40; 12x35; 1x70</t>
  </si>
  <si>
    <t>1x3670</t>
  </si>
  <si>
    <t>Diesel 8380</t>
  </si>
  <si>
    <t>17:30-4:30</t>
  </si>
  <si>
    <t>19x40; 10x60; 5x50; 11x35</t>
  </si>
  <si>
    <t>1x2100</t>
  </si>
  <si>
    <t>12:00-19:00</t>
  </si>
  <si>
    <t>46x50; 4x70</t>
  </si>
  <si>
    <t>1x5280</t>
  </si>
  <si>
    <t>Peaje 50; Veatico 50; Engrase 30</t>
  </si>
  <si>
    <t>4:30-16:30</t>
  </si>
  <si>
    <t>38x40; 5x60; 8x50</t>
  </si>
  <si>
    <t>1x2855</t>
  </si>
  <si>
    <t>Peaje 50; Veatico 50; Ayudante 120</t>
  </si>
  <si>
    <t>Diesel 8190</t>
  </si>
  <si>
    <t>4:30-19:00</t>
  </si>
  <si>
    <t>36x40; 3x60; 2x50</t>
  </si>
  <si>
    <t>1x2960</t>
  </si>
  <si>
    <t>Peaje 50; Veatico 50; Engrase 20</t>
  </si>
  <si>
    <t>3:30-16:00</t>
  </si>
  <si>
    <t>29x40; 3x50; 10x60</t>
  </si>
  <si>
    <t>1x2070</t>
  </si>
  <si>
    <t>Peaje 50; Veatico 50; Diesel 500</t>
  </si>
  <si>
    <t>3:30-14:30</t>
  </si>
  <si>
    <t>Sin boleto</t>
  </si>
  <si>
    <t>Peaje 50; Veatico 50; Extra 20</t>
  </si>
  <si>
    <t>Diesel 8370</t>
  </si>
  <si>
    <t>5:00-19:00</t>
  </si>
  <si>
    <t>1x3250</t>
  </si>
  <si>
    <t>05:00-12:00</t>
  </si>
  <si>
    <t>29x50; 18x60; 11x80</t>
  </si>
  <si>
    <t>1x3360</t>
  </si>
  <si>
    <t>Peaje 60; Veatico 50; Taxi 20</t>
  </si>
  <si>
    <t>Diesel 5550</t>
  </si>
  <si>
    <t>7:00-15:30</t>
  </si>
  <si>
    <t>37x40; 5x60</t>
  </si>
  <si>
    <t>1x3275</t>
  </si>
  <si>
    <t>Peaje 45; Veatico 50</t>
  </si>
  <si>
    <t>3:30-12:00</t>
  </si>
  <si>
    <t>41x50; 7x40; 4x80</t>
  </si>
  <si>
    <t>Peaje 45; Veatico 50; Ayudante 120</t>
  </si>
  <si>
    <t>3:30-10:00</t>
  </si>
  <si>
    <t>42x50; 5x70; 2x60</t>
  </si>
  <si>
    <t>1x2340</t>
  </si>
  <si>
    <t>Diesel 8500</t>
  </si>
  <si>
    <t>4:30-17:00</t>
  </si>
  <si>
    <t>7x70; 35x50</t>
  </si>
  <si>
    <t>6:30-15:30</t>
  </si>
  <si>
    <t>19x50; 6x40; 4x70; 4x60</t>
  </si>
  <si>
    <t>4:30-11:00</t>
  </si>
  <si>
    <t>47x50; 12x70</t>
  </si>
  <si>
    <t>1x2335</t>
  </si>
  <si>
    <t>PIN</t>
  </si>
  <si>
    <t>17:30-5:30</t>
  </si>
  <si>
    <t>31x40; 5x50; 7X60</t>
  </si>
  <si>
    <t>1X1925</t>
  </si>
  <si>
    <t>29x40; 13x50; 6x60; 4x70</t>
  </si>
  <si>
    <t>1x2520</t>
  </si>
  <si>
    <t>Bultos 180</t>
  </si>
  <si>
    <t>16:00-5:30</t>
  </si>
  <si>
    <t>32x40; 8x70; 4x60</t>
  </si>
  <si>
    <t>1x2215</t>
  </si>
  <si>
    <t>Bultos 300</t>
  </si>
  <si>
    <t>15:30-5:00</t>
  </si>
  <si>
    <t>18x40; 15x50; 4x70; 8x60</t>
  </si>
  <si>
    <t>1x3860</t>
  </si>
  <si>
    <t>13:30-20:30</t>
  </si>
  <si>
    <t>38x40; 10x60; 1x70</t>
  </si>
  <si>
    <t>1x2685</t>
  </si>
  <si>
    <t>Peaje 50; Veatico 50; Engrase-Llantas 100; Gastos 65</t>
  </si>
  <si>
    <t>04:30-12:00</t>
  </si>
  <si>
    <t>3x70; 5x60; 42x50</t>
  </si>
  <si>
    <t>1x2235</t>
  </si>
  <si>
    <t>Peaje 52; Veatico 50; Gastos 70</t>
  </si>
  <si>
    <t>1x80; 4x70; 7x60; 20x50</t>
  </si>
  <si>
    <t>Peaje 50; Veatico 50; Gasto 80</t>
  </si>
  <si>
    <t>4:30-13:30</t>
  </si>
  <si>
    <t>29x40; 18x50; 3x70; 8x60</t>
  </si>
  <si>
    <t>Peaje 50; Veatico 50; engrase 45</t>
  </si>
  <si>
    <t>5:30-14:30</t>
  </si>
  <si>
    <t>37x40; 10x60</t>
  </si>
  <si>
    <t>1x3015</t>
  </si>
  <si>
    <t>Peaje 55; Veatico 50</t>
  </si>
  <si>
    <t>4:30-13:00</t>
  </si>
  <si>
    <t>47x50; 2x70</t>
  </si>
  <si>
    <t>1x2825</t>
  </si>
  <si>
    <t>16:00-7:30</t>
  </si>
  <si>
    <t>7x70; 14x40; 22x50; 5x60</t>
  </si>
  <si>
    <t>1x1425</t>
  </si>
  <si>
    <t>18:00-12:30</t>
  </si>
  <si>
    <t>49x50; 12x70</t>
  </si>
  <si>
    <t>1x2795</t>
  </si>
  <si>
    <t>30x50; 2x70; 2x90; 1x60</t>
  </si>
  <si>
    <t>1x1415</t>
  </si>
  <si>
    <t>19:30-8:30</t>
  </si>
  <si>
    <t>44x40; 11x60</t>
  </si>
  <si>
    <t>1x2115</t>
  </si>
  <si>
    <t>19:30-7:30</t>
  </si>
  <si>
    <t>49x40; 1x50; 11x60</t>
  </si>
  <si>
    <t>1x1905</t>
  </si>
  <si>
    <t>14:30-5:30</t>
  </si>
  <si>
    <t>Peaje 55; Veatico 50; Engrase 80</t>
  </si>
  <si>
    <t>24x40; 3x70; 18x50; 2x80; 8x60</t>
  </si>
  <si>
    <t>1x1925</t>
  </si>
  <si>
    <t>9x60; 2x70; 16x50; 30x40</t>
  </si>
  <si>
    <t>1x1725</t>
  </si>
  <si>
    <t>15:30-4:30</t>
  </si>
  <si>
    <t>26x50; 14x40; 1x80; 6x70; 4x60</t>
  </si>
  <si>
    <t>1x3660</t>
  </si>
  <si>
    <t>Peaje 60; Veatico 50</t>
  </si>
  <si>
    <t>9:00-17:00</t>
  </si>
  <si>
    <t>37x40; 3x60; 4x50; 2x70</t>
  </si>
  <si>
    <t>1x1795</t>
  </si>
  <si>
    <t>Veatico 50; Peaje 35</t>
  </si>
  <si>
    <t>40x50; 2x60; 12x70</t>
  </si>
  <si>
    <t>43x60; 2x80; 5x50; 10x70</t>
  </si>
  <si>
    <t>Engrase 40; gastos 90</t>
  </si>
  <si>
    <t>Elige el bus, el año y el mes (celdas amarillas). Se muestran los viajes de ese bus y mes con todos los cálculos. «Fila en Registro» indica dónde corregir un dato.</t>
  </si>
  <si>
    <t>Bus:</t>
  </si>
  <si>
    <t>Año:</t>
  </si>
  <si>
    <t>Mes:</t>
  </si>
  <si>
    <t>Octubre</t>
  </si>
  <si>
    <t>INFORMACIÓN DEL VIAJE</t>
  </si>
  <si>
    <t>IDA</t>
  </si>
  <si>
    <t>LLEGADA</t>
  </si>
  <si>
    <t>GASTOS Y NETO</t>
  </si>
  <si>
    <t>OTROS GASTOS</t>
  </si>
  <si>
    <t>NOTAS</t>
  </si>
  <si>
    <t>Fila en Registro</t>
  </si>
  <si>
    <t>Total boletos ida (cant.)</t>
  </si>
  <si>
    <t>Monto total de ida</t>
  </si>
  <si>
    <t>Total boletos llegada (cant.)</t>
  </si>
  <si>
    <t>Monto calculado</t>
  </si>
  <si>
    <t>Verificación</t>
  </si>
  <si>
    <t>Gastos (detalle)</t>
  </si>
  <si>
    <t>Total gastos</t>
  </si>
  <si>
    <t>Total menos gastos</t>
  </si>
  <si>
    <t>Otros gastos (detalle)</t>
  </si>
  <si>
    <t>Total otros gastos</t>
  </si>
  <si>
    <t>Neto final</t>
  </si>
  <si>
    <t>TOTALES</t>
  </si>
  <si>
    <t>PKS</t>
  </si>
  <si>
    <t>TODOS LOS BUSES</t>
  </si>
  <si>
    <t>N°</t>
  </si>
  <si>
    <t>Mes</t>
  </si>
  <si>
    <t>Viajes</t>
  </si>
  <si>
    <t>Boletos</t>
  </si>
  <si>
    <t>Monto ida</t>
  </si>
  <si>
    <t>Monto llegada</t>
  </si>
  <si>
    <t>Gastos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</si>
  <si>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</si>
  <si>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</si>
  <si>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</si>
  <si>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</si>
  <si>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</si>
  <si>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</si>
  <si>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</si>
  <si>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</si>
  <si>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</si>
  <si>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Noviembre</t>
  </si>
  <si>
    <t>Diciembre</t>
  </si>
  <si>
    <t>TOTAL AÑO</t>
  </si>
  <si>
    <t>Clave mes (aaaamm)</t>
  </si>
  <si>
    <t>Total boletos ida</t>
  </si>
  <si>
    <t>Total boletos llegada</t>
  </si>
  <si>
    <t>Monto calculado llegada</t>
  </si>
  <si>
    <t>Orden (Consulta)</t>
  </si>
  <si>
    <t>4:00-13:30</t>
  </si>
  <si>
    <t>43x50; 6x70; 2x80; 1x60</t>
  </si>
  <si>
    <t>1x2815</t>
  </si>
  <si>
    <t>Veatico 92</t>
  </si>
  <si>
    <t>Diesel 2700</t>
  </si>
  <si>
    <t>13x50; 18x40; 2x60; 1x70</t>
  </si>
  <si>
    <t>1x200</t>
  </si>
  <si>
    <t>5:00-12:00</t>
  </si>
  <si>
    <t>40x50; 8x70; 3x60</t>
  </si>
  <si>
    <t>veatico 50; Peaje 40</t>
  </si>
  <si>
    <t>Aumento 200 rudy</t>
  </si>
  <si>
    <t>Diesel 2500</t>
  </si>
  <si>
    <t>3x80; 1x70; 7x40; 4x60; 8x55; 20x50</t>
  </si>
  <si>
    <t>5:00-14:30</t>
  </si>
  <si>
    <t>32x50; 5x70; 1x60</t>
  </si>
  <si>
    <t>26x50; 7x70; 2x80; 2x90; 13x60</t>
  </si>
  <si>
    <t>veatico 50; peaje 40; llantero 350</t>
  </si>
  <si>
    <t>Diesel 3000; devolviorRudy 200</t>
  </si>
  <si>
    <t>Descuento ida (monto)</t>
  </si>
  <si>
    <t>Descuento ida</t>
  </si>
  <si>
    <t>Monto ida neto</t>
  </si>
  <si>
    <t>Descuento</t>
  </si>
  <si>
    <t>Ida neto</t>
  </si>
  <si>
    <t>Cambia el año en la celda amarilla. Todo se calcula solo a partir de la hoja Registro. Monto ida = total de los boletos de ida. Descuento = descuentos registrados (solo afectan a la ida). Ida neto = Monto ida − Descuento. Monto llegada = monto registrado que trajeron. Neto final = monto llegada − gastos − otros gastos. Ida y llegada van separados.</t>
  </si>
  <si>
    <t>Elige el bus, el año y el mes (celdas amarillas). Se muestra cada día del mes con los montos de ida (normal y neto) y de llegada (normal y neto). Ida neto = Monto ida − Descuento. Llegada neta = Monto llegada − Gastos − Otros gastos.</t>
  </si>
  <si>
    <t>Mes n°:</t>
  </si>
  <si>
    <t>DÍA</t>
  </si>
  <si>
    <t>Día</t>
  </si>
  <si>
    <t>Monto ida (normal)</t>
  </si>
  <si>
    <t>Monto llegada (normal)</t>
  </si>
  <si>
    <t>Otros gastos</t>
  </si>
  <si>
    <t>Monto llegada neto</t>
  </si>
  <si>
    <t>TOTAL MES</t>
  </si>
  <si>
    <t>Descuento ida (monto): si se hizo un descuento, escribe solo el monto (por ejemplo 50). Se resta únicamente al monto de ida: Monto ida neto = Monto ida − Descuento. No cambia la llegada ni el neto final. Si no hubo descuento, déjalo vacío.</t>
  </si>
  <si>
    <t>Consulta: elige bus, año y mes y verás esos viajes con todos los cálculos y los totales (incluye Descuento y Monto ida neto).</t>
  </si>
  <si>
    <t>Resumen: totales de cada mes del año para cada bus y para todos juntos (incluye Descuento e Ida neto).</t>
  </si>
  <si>
    <t>Resumen diario: elige bus, año y mes y verás cada día del mes con Monto ida (normal y neto), Descuento, Monto llegada (normal y neto), Gastos y Otros gastos, con el total del mes.</t>
  </si>
  <si>
    <t>MENÚ — haz clic en una opción para ir a esa hoja</t>
  </si>
  <si>
    <t>✎  REGISTRO — anotar un viaje nuevo o corregir uno</t>
  </si>
  <si>
    <t>🔎  CONSULTA — ver los viajes de un bus en un mes</t>
  </si>
  <si>
    <t>📅  RESUMEN — totales de cada mes del año</t>
  </si>
  <si>
    <t>📊  RESUMEN DIARIO — cada día del mes de un bus</t>
  </si>
  <si>
    <t>Las celdas amarillas son las que tú escribes o eliges; todo lo demás se calcula solo.</t>
  </si>
  <si>
    <t>⌂ Inicio</t>
  </si>
  <si>
    <t>MONTO IDA (normal)</t>
  </si>
  <si>
    <t>DESCUENTO</t>
  </si>
  <si>
    <t>IDA NETO</t>
  </si>
  <si>
    <t>MONTO LLEGADA</t>
  </si>
  <si>
    <t>GASTOS + OTROS</t>
  </si>
  <si>
    <t>NETO FINAL</t>
  </si>
  <si>
    <t>GRÁFICOS DEL AÑO</t>
  </si>
  <si>
    <t>VIAJES DEL MES</t>
  </si>
  <si>
    <t>IDA NORMAL</t>
  </si>
  <si>
    <t>LLEGADA NORMAL</t>
  </si>
  <si>
    <t>GASTOS</t>
  </si>
  <si>
    <t>LLEGADA NETA</t>
  </si>
  <si>
    <t>Clave:</t>
  </si>
  <si>
    <t>Anota abajo cada factura que conseguiste (fecha y monto). Arriba eliges año y mes: se compara el IVA de las ventas del mes (Ida neto + Llegada normal de los 3 buses) con el IVA de las facturas de ese mes.</t>
  </si>
  <si>
    <t>Tasa IVA:</t>
  </si>
  <si>
    <t>COMPARACIÓN DEL MES</t>
  </si>
  <si>
    <t>Concepto</t>
  </si>
  <si>
    <t>Monto</t>
  </si>
  <si>
    <t>Ida neto del mes (3 buses)</t>
  </si>
  <si>
    <t>Llegada normal del mes (3 buses)</t>
  </si>
  <si>
    <t>TOTAL VENTAS  →  IVA débito</t>
  </si>
  <si>
    <t>Diferencia (ventas − facturas)</t>
  </si>
  <si>
    <t>IVA A PAGAR</t>
  </si>
  <si>
    <t>SALDO A FAVOR (crédito)</t>
  </si>
  <si>
    <t>REGISTRO DE FACTURAS — una por fila (puedes anotar las de todos los meses; ✓ marca las del mes elegido)</t>
  </si>
  <si>
    <t>N° factura</t>
  </si>
  <si>
    <t>Proveedor / NIT</t>
  </si>
  <si>
    <t>Monto factura</t>
  </si>
  <si>
    <t>IVA (crédito)</t>
  </si>
  <si>
    <t>¿Del mes?</t>
  </si>
  <si>
    <t>🧾  FACTURAS — registrar facturas y calcular el IVA del mes</t>
  </si>
  <si>
    <t>Facturas: anota cada factura (fecha, número, proveedor, monto). Elige año y mes arriba: IVA débito = tasa × (Ida neto + Llegada normal de los 3 buses); IVA crédito = tasa × total de facturas del mes; IVA a pagar = débito − crédito (si sale negativo, es saldo a favor). La tasa (13%) se puede cambiar.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</si>
</sst>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"/>
    <numFmt numFmtId="165" formatCode="0&quot; viajes&quot;"/>
    <numFmt numFmtId="166" formatCode="0;\-0;&quot;-&quot;"/>
    <numFmt numFmtId="167" formatCode="#,##0.00;[Red]\-#,##0.00;&quot;-&quot;"/>
    <numFmt numFmtId="168" formatCode="#,##0;\-#,##0;&quot;-&quot;"/>
  </numFmts>
  <fonts count="51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7F7F7F"/>
      <name val="Arial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6"/>
      <color rgb="FFFFFFFF"/>
      <name val="Arial"/>
      <family val="2"/>
    </font>
    <font>
      <sz val="10"/>
      <color rgb="FF404040"/>
      <name val="Arial"/>
      <family val="2"/>
    </font>
    <font>
      <i/>
      <sz val="10"/>
      <color rgb="FF404040"/>
      <name val="Arial"/>
      <family val="2"/>
    </font>
    <font>
      <b/>
      <sz val="11"/>
      <color theme="1"/>
      <name val="Arial"/>
      <family val="2"/>
    </font>
    <font>
      <b/>
      <sz val="11"/>
      <color rgb="FF1F3864"/>
      <name val="Arial"/>
      <family val="2"/>
    </font>
    <font>
      <u/>
      <sz val="11"/>
      <color theme="10"/>
      <name val="Calibri"/>
      <family val="2"/>
      <charset val="1"/>
    </font>
    <font>
      <b/>
      <sz val="12"/>
      <color rgb="FFFFFFFF"/>
      <name val="Calibri"/>
      <family val="2"/>
    </font>
    <font>
      <i/>
      <sz val="11"/>
      <color rgb="FF404040"/>
      <name val="Arial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  <charset val="1"/>
    </font>
    <font>
      <i/>
      <sz val="9"/>
      <color rgb="FF404040"/>
      <name val="Arial"/>
      <family val="2"/>
    </font>
    <font>
      <b/>
      <sz val="12"/>
      <color rgb="FF0000FF"/>
      <name val="Arial"/>
      <family val="2"/>
    </font>
    <font>
      <b/>
      <sz val="9"/>
      <color rgb="FFFFFFFF"/>
      <name val="Calibri"/>
      <family val="2"/>
    </font>
    <font>
      <b/>
      <sz val="14"/>
      <color rgb="FF2E75B6"/>
      <name val="Calibri"/>
      <family val="2"/>
    </font>
    <font>
      <b/>
      <sz val="14"/>
      <color rgb="FF548235"/>
      <name val="Calibri"/>
      <family val="2"/>
    </font>
    <font>
      <b/>
      <sz val="14"/>
      <color rgb="FFC55A11"/>
      <name val="Calibri"/>
      <family val="2"/>
    </font>
    <font>
      <b/>
      <sz val="14"/>
      <color rgb="FF1F3864"/>
      <name val="Calibri"/>
      <family val="2"/>
    </font>
    <font>
      <b/>
      <sz val="10"/>
      <name val="Arial"/>
      <family val="2"/>
    </font>
    <font>
      <b/>
      <sz val="11"/>
      <color rgb="FF2E75B6"/>
      <name val="Arial"/>
      <family val="2"/>
    </font>
    <font>
      <b/>
      <sz val="10"/>
      <color rgb="FF2E75B6"/>
      <name val="Arial"/>
      <family val="2"/>
    </font>
    <font>
      <b/>
      <sz val="12"/>
      <color rgb="FF1F3864"/>
      <name val="Calibri"/>
      <family val="2"/>
    </font>
    <font>
      <b/>
      <sz val="10"/>
      <color rgb="FFBFBFBF"/>
      <name val="Arial"/>
      <family val="2"/>
    </font>
    <font>
      <sz val="10"/>
      <color rgb="FFBFBFBF"/>
      <name val="Arial"/>
      <family val="2"/>
    </font>
    <font>
      <b/>
      <sz val="9"/>
      <color rgb="FFFFFFFF"/>
      <name val="Arial"/>
      <family val="2"/>
    </font>
    <font>
      <b/>
      <sz val="14"/>
      <color rgb="FF1F3864"/>
      <name val="Arial"/>
      <family val="2"/>
    </font>
    <font>
      <b/>
      <sz val="12"/>
      <color rgb="FF2E75B6"/>
      <name val="Arial"/>
      <family val="2"/>
    </font>
    <font>
      <b/>
      <sz val="12"/>
      <color rgb="FF548235"/>
      <name val="Arial"/>
      <family val="2"/>
    </font>
    <font>
      <b/>
      <sz val="12"/>
      <color rgb="FFC55A11"/>
      <name val="Arial"/>
      <family val="2"/>
    </font>
    <font>
      <b/>
      <sz val="8"/>
      <color rgb="FFBFBFBF"/>
      <name val="Arial"/>
      <family val="2"/>
    </font>
    <font>
      <sz val="8"/>
      <color rgb="FFBFBFBF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Calibri"/>
      <family val="2"/>
    </font>
    <font>
      <b/>
      <sz val="10"/>
      <color rgb="FF548235"/>
      <name val="Arial"/>
      <family val="2"/>
    </font>
    <font>
      <b/>
      <sz val="10"/>
      <color rgb="FF1F3864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rgb="FF404040"/>
      <name val="Arial"/>
      <family val="2"/>
    </font>
    <font>
      <b/>
      <sz val="18"/>
      <color rgb="FFC55A11"/>
      <name val="Arial"/>
      <family val="2"/>
    </font>
    <font>
      <b/>
      <sz val="18"/>
      <color rgb="FF548235"/>
      <name val="Arial"/>
      <family val="2"/>
    </font>
    <font>
      <b/>
      <sz val="14"/>
      <color rgb="FF548235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FF9D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9DB"/>
      </patternFill>
    </fill>
    <fill>
      <patternFill patternType="solid">
        <fgColor rgb="FFFFF9D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1F3864"/>
        <bgColor rgb="FFC6EFCE"/>
      </patternFill>
    </fill>
    <fill>
      <patternFill patternType="solid">
        <fgColor rgb="FFC55A11"/>
        <bgColor rgb="FFC6EFCE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3864"/>
        <bgColor rgb="FF003366"/>
      </patternFill>
    </fill>
    <fill>
      <patternFill patternType="solid">
        <fgColor rgb="FF548235"/>
        <bgColor rgb="FF0066CC"/>
      </patternFill>
    </fill>
    <fill>
      <patternFill patternType="solid">
        <fgColor rgb="FFC55A11"/>
        <bgColor rgb="FF0066CC"/>
      </patternFill>
    </fill>
    <fill>
      <patternFill patternType="solid">
        <fgColor rgb="FFD6DCE4"/>
        <bgColor rgb="FFC6EFCE"/>
      </patternFill>
    </fill>
    <fill>
      <patternFill patternType="solid">
        <fgColor rgb="FFDDEBF7"/>
        <bgColor rgb="FFC6EFCE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C6EFCE"/>
      </patternFill>
    </fill>
    <fill>
      <patternFill patternType="solid">
        <fgColor rgb="FF2E75B6"/>
        <bgColor rgb="FF003366"/>
      </patternFill>
    </fill>
    <fill>
      <patternFill patternType="solid">
        <fgColor rgb="FF548235"/>
        <bgColor rgb="FF003366"/>
      </patternFill>
    </fill>
    <fill>
      <patternFill patternType="solid">
        <fgColor rgb="FFC55A11"/>
        <bgColor rgb="FF003366"/>
      </patternFill>
    </fill>
    <fill>
      <patternFill patternType="solid">
        <fgColor rgb="FF1F3864"/>
        <bgColor rgb="FF0066CC"/>
      </patternFill>
    </fill>
    <fill>
      <patternFill patternType="solid">
        <fgColor rgb="FFD6DCE4"/>
        <bgColor rgb="FFFFF9DB"/>
      </patternFill>
    </fill>
    <fill>
      <patternFill patternType="solid">
        <fgColor rgb="FFEAE0F4"/>
        <bgColor indexed="64"/>
      </patternFill>
    </fill>
    <fill>
      <patternFill patternType="solid">
        <fgColor rgb="FF7030A0"/>
        <bgColor indexed="64"/>
      </patternFill>
    </fill>
  </fills>
  <borders count="4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medium">
        <color rgb="FF2E75B6"/>
      </left>
      <right/>
      <top/>
      <bottom/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/>
      <right/>
      <top style="medium">
        <color rgb="FF2E75B6"/>
      </top>
      <bottom/>
      <diagonal/>
    </border>
    <border>
      <left style="medium">
        <color rgb="FF2E75B6"/>
      </left>
      <right/>
      <top/>
      <bottom style="medium">
        <color rgb="FF2E75B6"/>
      </bottom>
      <diagonal/>
    </border>
    <border>
      <left style="medium">
        <color rgb="FF548235"/>
      </left>
      <right/>
      <top/>
      <bottom/>
      <diagonal/>
    </border>
    <border>
      <left style="medium">
        <color rgb="FF548235"/>
      </left>
      <right/>
      <top style="medium">
        <color rgb="FF548235"/>
      </top>
      <bottom/>
      <diagonal/>
    </border>
    <border>
      <left/>
      <right/>
      <top style="medium">
        <color rgb="FF548235"/>
      </top>
      <bottom/>
      <diagonal/>
    </border>
    <border>
      <left style="medium">
        <color rgb="FF548235"/>
      </left>
      <right/>
      <top/>
      <bottom style="medium">
        <color rgb="FF548235"/>
      </bottom>
      <diagonal/>
    </border>
    <border>
      <left style="medium">
        <color rgb="FFC55A11"/>
      </left>
      <right/>
      <top/>
      <bottom/>
      <diagonal/>
    </border>
    <border>
      <left style="medium">
        <color rgb="FFC55A11"/>
      </left>
      <right/>
      <top style="medium">
        <color rgb="FFC55A11"/>
      </top>
      <bottom/>
      <diagonal/>
    </border>
    <border>
      <left/>
      <right/>
      <top style="medium">
        <color rgb="FFC55A11"/>
      </top>
      <bottom/>
      <diagonal/>
    </border>
    <border>
      <left style="medium">
        <color rgb="FFC55A11"/>
      </left>
      <right/>
      <top/>
      <bottom style="medium">
        <color rgb="FFC55A11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548235"/>
      </left>
      <right style="medium">
        <color rgb="FF548235"/>
      </right>
      <top style="medium">
        <color rgb="FF548235"/>
      </top>
      <bottom/>
      <diagonal/>
    </border>
    <border>
      <left style="medium">
        <color rgb="FF548235"/>
      </left>
      <right style="medium">
        <color rgb="FF548235"/>
      </right>
      <top/>
      <bottom style="medium">
        <color rgb="FF548235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rgb="FFC55A11"/>
      </right>
      <top style="medium">
        <color rgb="FFC55A11"/>
      </top>
      <bottom/>
      <diagonal/>
    </border>
    <border>
      <left/>
      <right style="medium">
        <color rgb="FFC55A11"/>
      </right>
      <top/>
      <bottom/>
      <diagonal/>
    </border>
    <border>
      <left/>
      <right style="medium">
        <color rgb="FF548235"/>
      </right>
      <top style="medium">
        <color rgb="FF548235"/>
      </top>
      <bottom/>
      <diagonal/>
    </border>
    <border>
      <left/>
      <right style="medium">
        <color rgb="FF548235"/>
      </right>
      <top/>
      <bottom/>
      <diagonal/>
    </border>
    <border>
      <left/>
      <right style="medium">
        <color rgb="FF548235"/>
      </right>
      <top/>
      <bottom style="medium">
        <color rgb="FF548235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4" fontId="3" fillId="3" borderId="1" xfId="0" applyNumberFormat="1" applyFont="1" applyFill="1" applyBorder="1" applyAlignment="1">
      <alignment vertical="top"/>
    </xf>
    <xf numFmtId="0" fontId="2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5" fillId="0" borderId="0" xfId="0" applyFont="1"/>
    <xf numFmtId="0" fontId="6" fillId="0" borderId="0" xfId="0" applyFont="1" applyAlignment="1">
      <alignment horizontal="right"/>
    </xf>
    <xf numFmtId="0" fontId="0" fillId="0" borderId="0" xfId="0" applyNumberFormat="1"/>
    <xf numFmtId="0" fontId="8" fillId="0" borderId="0" xfId="0" applyFont="1"/>
    <xf numFmtId="0" fontId="9" fillId="0" borderId="0" xfId="0" applyFont="1" applyAlignment="1">
      <alignment vertical="top" wrapText="1"/>
    </xf>
    <xf numFmtId="0" fontId="11" fillId="9" borderId="0" xfId="0" applyFont="1" applyFill="1" applyAlignment="1">
      <alignment vertical="center" wrapText="1"/>
    </xf>
    <xf numFmtId="0" fontId="13" fillId="0" borderId="0" xfId="0" applyFont="1" applyAlignment="1">
      <alignment vertical="top" wrapText="1"/>
    </xf>
    <xf numFmtId="0" fontId="15" fillId="0" borderId="0" xfId="0" applyFont="1"/>
    <xf numFmtId="0" fontId="17" fillId="10" borderId="0" xfId="1" applyFont="1" applyFill="1" applyBorder="1" applyAlignment="1">
      <alignment horizontal="left" vertical="center" indent="1"/>
    </xf>
    <xf numFmtId="0" fontId="17" fillId="7" borderId="4" xfId="1" applyFont="1" applyFill="1" applyBorder="1" applyAlignment="1">
      <alignment horizontal="left" vertical="center" indent="1"/>
    </xf>
    <xf numFmtId="0" fontId="17" fillId="11" borderId="4" xfId="1" applyFont="1" applyFill="1" applyBorder="1" applyAlignment="1">
      <alignment horizontal="left" vertical="center" indent="1"/>
    </xf>
    <xf numFmtId="0" fontId="18" fillId="0" borderId="0" xfId="0" applyFont="1"/>
    <xf numFmtId="0" fontId="15" fillId="12" borderId="0" xfId="0" applyFont="1" applyFill="1" applyAlignment="1">
      <alignment horizontal="left" vertical="center" wrapText="1" indent="1"/>
    </xf>
    <xf numFmtId="0" fontId="12" fillId="0" borderId="0" xfId="0" applyFont="1" applyAlignment="1">
      <alignment horizontal="left" vertical="top" wrapText="1" inden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9" fillId="9" borderId="0" xfId="1" applyFont="1" applyFill="1" applyAlignment="1">
      <alignment horizontal="center"/>
    </xf>
    <xf numFmtId="0" fontId="11" fillId="9" borderId="0" xfId="0" applyFont="1" applyFill="1" applyAlignment="1">
      <alignment vertical="center"/>
    </xf>
    <xf numFmtId="0" fontId="20" fillId="9" borderId="0" xfId="0" applyFont="1" applyFill="1" applyAlignment="1">
      <alignment vertical="center"/>
    </xf>
    <xf numFmtId="0" fontId="11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21" fillId="0" borderId="0" xfId="0" applyFont="1"/>
    <xf numFmtId="0" fontId="22" fillId="3" borderId="1" xfId="0" applyFont="1" applyFill="1" applyBorder="1" applyAlignment="1">
      <alignment horizontal="center" vertical="center"/>
    </xf>
    <xf numFmtId="0" fontId="19" fillId="9" borderId="0" xfId="1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top"/>
    </xf>
    <xf numFmtId="164" fontId="1" fillId="8" borderId="1" xfId="0" applyNumberFormat="1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3" fontId="1" fillId="8" borderId="1" xfId="0" applyNumberFormat="1" applyFont="1" applyFill="1" applyBorder="1" applyAlignment="1">
      <alignment vertical="top"/>
    </xf>
    <xf numFmtId="40" fontId="10" fillId="5" borderId="1" xfId="0" applyNumberFormat="1" applyFont="1" applyFill="1" applyBorder="1" applyAlignment="1">
      <alignment horizontal="center" vertical="center"/>
    </xf>
    <xf numFmtId="40" fontId="1" fillId="8" borderId="1" xfId="0" applyNumberFormat="1" applyFont="1" applyFill="1" applyBorder="1" applyAlignment="1">
      <alignment vertical="top"/>
    </xf>
    <xf numFmtId="40" fontId="1" fillId="0" borderId="1" xfId="0" applyNumberFormat="1" applyFont="1" applyBorder="1" applyAlignment="1">
      <alignment vertical="top"/>
    </xf>
    <xf numFmtId="40" fontId="28" fillId="8" borderId="1" xfId="0" applyNumberFormat="1" applyFont="1" applyFill="1" applyBorder="1" applyAlignment="1">
      <alignment vertical="top"/>
    </xf>
    <xf numFmtId="40" fontId="28" fillId="0" borderId="1" xfId="0" applyNumberFormat="1" applyFont="1" applyBorder="1" applyAlignment="1">
      <alignment vertical="top"/>
    </xf>
    <xf numFmtId="40" fontId="29" fillId="5" borderId="1" xfId="0" applyNumberFormat="1" applyFont="1" applyFill="1" applyBorder="1" applyAlignment="1">
      <alignment horizontal="center" vertical="center"/>
    </xf>
    <xf numFmtId="40" fontId="30" fillId="8" borderId="1" xfId="0" applyNumberFormat="1" applyFont="1" applyFill="1" applyBorder="1" applyAlignment="1">
      <alignment vertical="top"/>
    </xf>
    <xf numFmtId="40" fontId="30" fillId="0" borderId="1" xfId="0" applyNumberFormat="1" applyFont="1" applyBorder="1" applyAlignment="1">
      <alignment vertical="top"/>
    </xf>
    <xf numFmtId="0" fontId="7" fillId="18" borderId="1" xfId="0" applyFont="1" applyFill="1" applyBorder="1" applyAlignment="1">
      <alignment horizontal="center" vertical="center" wrapText="1"/>
    </xf>
    <xf numFmtId="0" fontId="21" fillId="0" borderId="0" xfId="0" applyFont="1" applyAlignment="1"/>
    <xf numFmtId="0" fontId="22" fillId="3" borderId="1" xfId="0" applyFont="1" applyFill="1" applyBorder="1" applyAlignment="1">
      <alignment horizontal="center"/>
    </xf>
    <xf numFmtId="0" fontId="2" fillId="22" borderId="26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3" borderId="26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2" fillId="24" borderId="26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21" borderId="26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0" fillId="12" borderId="2" xfId="0" applyFill="1" applyBorder="1"/>
    <xf numFmtId="0" fontId="2" fillId="21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0" fillId="29" borderId="28" xfId="0" applyFont="1" applyFill="1" applyBorder="1" applyAlignment="1">
      <alignment horizontal="center" vertical="center"/>
    </xf>
    <xf numFmtId="0" fontId="10" fillId="29" borderId="29" xfId="0" applyFont="1" applyFill="1" applyBorder="1" applyAlignment="1">
      <alignment horizontal="center" vertical="center"/>
    </xf>
    <xf numFmtId="1" fontId="10" fillId="29" borderId="30" xfId="0" applyNumberFormat="1" applyFont="1" applyFill="1" applyBorder="1" applyAlignment="1">
      <alignment vertical="center"/>
    </xf>
    <xf numFmtId="3" fontId="10" fillId="29" borderId="28" xfId="0" applyNumberFormat="1" applyFont="1" applyFill="1" applyBorder="1" applyAlignment="1">
      <alignment vertical="center"/>
    </xf>
    <xf numFmtId="40" fontId="10" fillId="29" borderId="28" xfId="0" applyNumberFormat="1" applyFont="1" applyFill="1" applyBorder="1" applyAlignment="1">
      <alignment vertical="center"/>
    </xf>
    <xf numFmtId="40" fontId="29" fillId="29" borderId="28" xfId="0" applyNumberFormat="1" applyFont="1" applyFill="1" applyBorder="1" applyAlignment="1">
      <alignment vertical="center"/>
    </xf>
    <xf numFmtId="40" fontId="10" fillId="29" borderId="29" xfId="0" applyNumberFormat="1" applyFont="1" applyFill="1" applyBorder="1" applyAlignment="1">
      <alignment vertical="center"/>
    </xf>
    <xf numFmtId="0" fontId="28" fillId="0" borderId="2" xfId="0" applyFont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28" fillId="8" borderId="24" xfId="0" applyFont="1" applyFill="1" applyBorder="1" applyAlignment="1">
      <alignment horizontal="center" vertical="center"/>
    </xf>
    <xf numFmtId="0" fontId="31" fillId="0" borderId="0" xfId="0" applyFont="1"/>
    <xf numFmtId="0" fontId="7" fillId="9" borderId="0" xfId="0" applyFont="1" applyFill="1" applyAlignment="1">
      <alignment vertical="center"/>
    </xf>
    <xf numFmtId="0" fontId="13" fillId="0" borderId="0" xfId="0" applyFont="1" applyAlignment="1"/>
    <xf numFmtId="0" fontId="22" fillId="6" borderId="0" xfId="0" applyFont="1" applyFill="1" applyAlignment="1">
      <alignment horizontal="center"/>
    </xf>
    <xf numFmtId="0" fontId="32" fillId="0" borderId="0" xfId="0" applyFont="1" applyAlignment="1">
      <alignment horizontal="right"/>
    </xf>
    <xf numFmtId="0" fontId="33" fillId="0" borderId="0" xfId="0" applyFont="1"/>
    <xf numFmtId="0" fontId="34" fillId="7" borderId="6" xfId="0" applyFont="1" applyFill="1" applyBorder="1" applyAlignment="1">
      <alignment horizontal="center" wrapText="1"/>
    </xf>
    <xf numFmtId="0" fontId="34" fillId="11" borderId="10" xfId="0" applyFont="1" applyFill="1" applyBorder="1" applyAlignment="1">
      <alignment horizontal="center" wrapText="1"/>
    </xf>
    <xf numFmtId="0" fontId="34" fillId="11" borderId="31" xfId="0" applyFont="1" applyFill="1" applyBorder="1" applyAlignment="1">
      <alignment horizontal="center" wrapText="1"/>
    </xf>
    <xf numFmtId="0" fontId="34" fillId="10" borderId="14" xfId="0" applyFont="1" applyFill="1" applyBorder="1" applyAlignment="1">
      <alignment horizontal="center" wrapText="1"/>
    </xf>
    <xf numFmtId="40" fontId="36" fillId="15" borderId="8" xfId="0" applyNumberFormat="1" applyFont="1" applyFill="1" applyBorder="1" applyAlignment="1">
      <alignment horizontal="center" vertical="center"/>
    </xf>
    <xf numFmtId="40" fontId="37" fillId="16" borderId="12" xfId="0" applyNumberFormat="1" applyFont="1" applyFill="1" applyBorder="1" applyAlignment="1">
      <alignment horizontal="center" vertical="center"/>
    </xf>
    <xf numFmtId="40" fontId="38" fillId="17" borderId="16" xfId="0" applyNumberFormat="1" applyFont="1" applyFill="1" applyBorder="1" applyAlignment="1">
      <alignment horizontal="center" vertical="center"/>
    </xf>
    <xf numFmtId="40" fontId="37" fillId="16" borderId="32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/>
    </xf>
    <xf numFmtId="166" fontId="14" fillId="12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6" fontId="5" fillId="0" borderId="1" xfId="0" applyNumberFormat="1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6" fontId="5" fillId="8" borderId="1" xfId="0" applyNumberFormat="1" applyFont="1" applyFill="1" applyBorder="1" applyAlignment="1">
      <alignment horizontal="center"/>
    </xf>
    <xf numFmtId="167" fontId="5" fillId="8" borderId="1" xfId="0" applyNumberFormat="1" applyFont="1" applyFill="1" applyBorder="1"/>
    <xf numFmtId="167" fontId="6" fillId="8" borderId="1" xfId="0" applyNumberFormat="1" applyFont="1" applyFill="1" applyBorder="1"/>
    <xf numFmtId="167" fontId="5" fillId="0" borderId="1" xfId="0" applyNumberFormat="1" applyFont="1" applyFill="1" applyBorder="1"/>
    <xf numFmtId="167" fontId="6" fillId="0" borderId="1" xfId="0" applyNumberFormat="1" applyFont="1" applyFill="1" applyBorder="1"/>
    <xf numFmtId="167" fontId="30" fillId="8" borderId="1" xfId="0" applyNumberFormat="1" applyFont="1" applyFill="1" applyBorder="1"/>
    <xf numFmtId="167" fontId="30" fillId="0" borderId="1" xfId="0" applyNumberFormat="1" applyFont="1" applyFill="1" applyBorder="1"/>
    <xf numFmtId="167" fontId="14" fillId="12" borderId="1" xfId="0" applyNumberFormat="1" applyFont="1" applyFill="1" applyBorder="1"/>
    <xf numFmtId="167" fontId="29" fillId="12" borderId="1" xfId="0" applyNumberFormat="1" applyFont="1" applyFill="1" applyBorder="1"/>
    <xf numFmtId="0" fontId="39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1" fillId="8" borderId="1" xfId="0" applyFont="1" applyFill="1" applyBorder="1" applyAlignment="1">
      <alignment vertical="top"/>
    </xf>
    <xf numFmtId="167" fontId="1" fillId="0" borderId="1" xfId="0" applyNumberFormat="1" applyFont="1" applyBorder="1" applyAlignment="1">
      <alignment vertical="center"/>
    </xf>
    <xf numFmtId="167" fontId="1" fillId="8" borderId="1" xfId="0" applyNumberFormat="1" applyFont="1" applyFill="1" applyBorder="1" applyAlignment="1">
      <alignment vertical="center"/>
    </xf>
    <xf numFmtId="167" fontId="1" fillId="8" borderId="25" xfId="0" applyNumberFormat="1" applyFont="1" applyFill="1" applyBorder="1" applyAlignment="1">
      <alignment vertical="center"/>
    </xf>
    <xf numFmtId="167" fontId="30" fillId="0" borderId="1" xfId="0" applyNumberFormat="1" applyFont="1" applyBorder="1" applyAlignment="1">
      <alignment vertical="center"/>
    </xf>
    <xf numFmtId="167" fontId="30" fillId="8" borderId="1" xfId="0" applyNumberFormat="1" applyFont="1" applyFill="1" applyBorder="1" applyAlignment="1">
      <alignment vertical="center"/>
    </xf>
    <xf numFmtId="167" fontId="30" fillId="8" borderId="25" xfId="0" applyNumberFormat="1" applyFont="1" applyFill="1" applyBorder="1" applyAlignment="1">
      <alignment vertical="center"/>
    </xf>
    <xf numFmtId="167" fontId="28" fillId="0" borderId="2" xfId="0" applyNumberFormat="1" applyFont="1" applyBorder="1" applyAlignment="1">
      <alignment vertical="center"/>
    </xf>
    <xf numFmtId="167" fontId="28" fillId="8" borderId="2" xfId="0" applyNumberFormat="1" applyFont="1" applyFill="1" applyBorder="1" applyAlignment="1">
      <alignment vertical="center"/>
    </xf>
    <xf numFmtId="167" fontId="28" fillId="8" borderId="24" xfId="0" applyNumberFormat="1" applyFont="1" applyFill="1" applyBorder="1" applyAlignment="1">
      <alignment vertical="center"/>
    </xf>
    <xf numFmtId="167" fontId="28" fillId="0" borderId="1" xfId="0" applyNumberFormat="1" applyFont="1" applyBorder="1" applyAlignment="1">
      <alignment vertical="center"/>
    </xf>
    <xf numFmtId="167" fontId="28" fillId="8" borderId="1" xfId="0" applyNumberFormat="1" applyFont="1" applyFill="1" applyBorder="1" applyAlignment="1">
      <alignment vertical="center"/>
    </xf>
    <xf numFmtId="167" fontId="28" fillId="8" borderId="25" xfId="0" applyNumberFormat="1" applyFont="1" applyFill="1" applyBorder="1" applyAlignment="1">
      <alignment vertical="center"/>
    </xf>
    <xf numFmtId="168" fontId="1" fillId="0" borderId="26" xfId="0" applyNumberFormat="1" applyFont="1" applyBorder="1" applyAlignment="1">
      <alignment vertical="center"/>
    </xf>
    <xf numFmtId="168" fontId="1" fillId="8" borderId="26" xfId="0" applyNumberFormat="1" applyFont="1" applyFill="1" applyBorder="1" applyAlignment="1">
      <alignment vertical="center"/>
    </xf>
    <xf numFmtId="168" fontId="1" fillId="8" borderId="27" xfId="0" applyNumberFormat="1" applyFont="1" applyFill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168" fontId="1" fillId="8" borderId="1" xfId="0" applyNumberFormat="1" applyFont="1" applyFill="1" applyBorder="1" applyAlignment="1">
      <alignment vertical="center"/>
    </xf>
    <xf numFmtId="168" fontId="1" fillId="8" borderId="25" xfId="0" applyNumberFormat="1" applyFont="1" applyFill="1" applyBorder="1" applyAlignment="1">
      <alignment vertical="center"/>
    </xf>
    <xf numFmtId="0" fontId="40" fillId="0" borderId="0" xfId="0" applyFont="1"/>
    <xf numFmtId="9" fontId="22" fillId="6" borderId="0" xfId="0" applyNumberFormat="1" applyFont="1" applyFill="1" applyAlignment="1">
      <alignment horizontal="center"/>
    </xf>
    <xf numFmtId="0" fontId="42" fillId="9" borderId="0" xfId="1" applyFont="1" applyFill="1" applyAlignment="1">
      <alignment horizontal="center"/>
    </xf>
    <xf numFmtId="0" fontId="6" fillId="12" borderId="1" xfId="0" applyFont="1" applyFill="1" applyBorder="1" applyAlignment="1">
      <alignment horizontal="center"/>
    </xf>
    <xf numFmtId="40" fontId="8" fillId="15" borderId="1" xfId="0" applyNumberFormat="1" applyFont="1" applyFill="1" applyBorder="1" applyAlignment="1">
      <alignment vertical="center"/>
    </xf>
    <xf numFmtId="40" fontId="8" fillId="8" borderId="1" xfId="0" applyNumberFormat="1" applyFont="1" applyFill="1" applyBorder="1" applyAlignment="1">
      <alignment vertical="center"/>
    </xf>
    <xf numFmtId="40" fontId="8" fillId="16" borderId="25" xfId="0" applyNumberFormat="1" applyFont="1" applyFill="1" applyBorder="1" applyAlignment="1">
      <alignment vertical="center"/>
    </xf>
    <xf numFmtId="40" fontId="8" fillId="30" borderId="34" xfId="0" applyNumberFormat="1" applyFont="1" applyFill="1" applyBorder="1" applyAlignment="1">
      <alignment vertical="center"/>
    </xf>
    <xf numFmtId="40" fontId="14" fillId="12" borderId="28" xfId="0" applyNumberFormat="1" applyFont="1" applyFill="1" applyBorder="1" applyAlignment="1">
      <alignment vertical="center"/>
    </xf>
    <xf numFmtId="0" fontId="6" fillId="12" borderId="2" xfId="0" applyFont="1" applyFill="1" applyBorder="1" applyAlignment="1">
      <alignment horizontal="center"/>
    </xf>
    <xf numFmtId="40" fontId="8" fillId="15" borderId="2" xfId="0" applyNumberFormat="1" applyFont="1" applyFill="1" applyBorder="1" applyAlignment="1">
      <alignment vertical="center"/>
    </xf>
    <xf numFmtId="40" fontId="8" fillId="16" borderId="24" xfId="0" applyNumberFormat="1" applyFont="1" applyFill="1" applyBorder="1" applyAlignment="1">
      <alignment vertical="center"/>
    </xf>
    <xf numFmtId="40" fontId="14" fillId="12" borderId="29" xfId="0" applyNumberFormat="1" applyFont="1" applyFill="1" applyBorder="1" applyAlignment="1">
      <alignment vertical="center"/>
    </xf>
    <xf numFmtId="40" fontId="14" fillId="30" borderId="33" xfId="0" applyNumberFormat="1" applyFont="1" applyFill="1" applyBorder="1" applyAlignment="1">
      <alignment vertical="center"/>
    </xf>
    <xf numFmtId="40" fontId="8" fillId="8" borderId="2" xfId="0" applyNumberFormat="1" applyFont="1" applyFill="1" applyBorder="1" applyAlignment="1">
      <alignment vertical="center"/>
    </xf>
    <xf numFmtId="0" fontId="6" fillId="30" borderId="1" xfId="0" applyFont="1" applyFill="1" applyBorder="1" applyAlignment="1">
      <alignment horizontal="center" vertical="center"/>
    </xf>
    <xf numFmtId="164" fontId="41" fillId="6" borderId="1" xfId="0" applyNumberFormat="1" applyFont="1" applyFill="1" applyBorder="1" applyAlignment="1">
      <alignment horizontal="center"/>
    </xf>
    <xf numFmtId="49" fontId="41" fillId="6" borderId="1" xfId="0" applyNumberFormat="1" applyFont="1" applyFill="1" applyBorder="1"/>
    <xf numFmtId="0" fontId="41" fillId="6" borderId="1" xfId="0" applyFont="1" applyFill="1" applyBorder="1"/>
    <xf numFmtId="40" fontId="41" fillId="6" borderId="1" xfId="0" applyNumberFormat="1" applyFont="1" applyFill="1" applyBorder="1"/>
    <xf numFmtId="40" fontId="45" fillId="0" borderId="1" xfId="0" applyNumberFormat="1" applyFont="1" applyBorder="1"/>
    <xf numFmtId="0" fontId="37" fillId="0" borderId="1" xfId="0" applyFont="1" applyBorder="1" applyAlignment="1">
      <alignment horizontal="center"/>
    </xf>
    <xf numFmtId="0" fontId="17" fillId="9" borderId="4" xfId="1" applyFont="1" applyFill="1" applyBorder="1" applyAlignment="1">
      <alignment horizontal="left" vertical="center" indent="1"/>
    </xf>
    <xf numFmtId="0" fontId="17" fillId="31" borderId="3" xfId="1" applyFont="1" applyFill="1" applyBorder="1" applyAlignment="1">
      <alignment horizontal="left" vertical="center" indent="1"/>
    </xf>
    <xf numFmtId="0" fontId="12" fillId="0" borderId="0" xfId="0" applyFont="1" applyFill="1" applyAlignment="1">
      <alignment horizontal="left" vertical="top" wrapText="1" indent="1"/>
    </xf>
    <xf numFmtId="0" fontId="7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3" fillId="7" borderId="6" xfId="0" applyFont="1" applyFill="1" applyBorder="1" applyAlignment="1">
      <alignment horizontal="center" wrapText="1"/>
    </xf>
    <xf numFmtId="0" fontId="23" fillId="7" borderId="7" xfId="0" applyFont="1" applyFill="1" applyBorder="1" applyAlignment="1">
      <alignment horizontal="center" wrapText="1"/>
    </xf>
    <xf numFmtId="40" fontId="24" fillId="15" borderId="5" xfId="0" applyNumberFormat="1" applyFont="1" applyFill="1" applyBorder="1" applyAlignment="1">
      <alignment horizontal="center" vertical="center"/>
    </xf>
    <xf numFmtId="40" fontId="24" fillId="15" borderId="0" xfId="0" applyNumberFormat="1" applyFont="1" applyFill="1" applyBorder="1" applyAlignment="1">
      <alignment horizontal="center" vertical="center"/>
    </xf>
    <xf numFmtId="0" fontId="23" fillId="11" borderId="10" xfId="0" applyFont="1" applyFill="1" applyBorder="1" applyAlignment="1">
      <alignment horizontal="center" wrapText="1"/>
    </xf>
    <xf numFmtId="0" fontId="23" fillId="11" borderId="11" xfId="0" applyFont="1" applyFill="1" applyBorder="1" applyAlignment="1">
      <alignment horizontal="center" wrapText="1"/>
    </xf>
    <xf numFmtId="40" fontId="25" fillId="16" borderId="9" xfId="0" applyNumberFormat="1" applyFont="1" applyFill="1" applyBorder="1" applyAlignment="1">
      <alignment horizontal="center" vertical="center"/>
    </xf>
    <xf numFmtId="40" fontId="25" fillId="16" borderId="0" xfId="0" applyNumberFormat="1" applyFont="1" applyFill="1" applyBorder="1" applyAlignment="1">
      <alignment horizontal="center" vertical="center"/>
    </xf>
    <xf numFmtId="0" fontId="23" fillId="10" borderId="14" xfId="0" applyFont="1" applyFill="1" applyBorder="1" applyAlignment="1">
      <alignment horizontal="center" wrapText="1"/>
    </xf>
    <xf numFmtId="0" fontId="23" fillId="10" borderId="15" xfId="0" applyFont="1" applyFill="1" applyBorder="1" applyAlignment="1">
      <alignment horizontal="center" wrapText="1"/>
    </xf>
    <xf numFmtId="40" fontId="26" fillId="17" borderId="13" xfId="0" applyNumberFormat="1" applyFont="1" applyFill="1" applyBorder="1" applyAlignment="1">
      <alignment horizontal="center" vertical="center"/>
    </xf>
    <xf numFmtId="40" fontId="26" fillId="17" borderId="0" xfId="0" applyNumberFormat="1" applyFont="1" applyFill="1" applyBorder="1" applyAlignment="1">
      <alignment horizontal="center" vertical="center"/>
    </xf>
    <xf numFmtId="0" fontId="23" fillId="9" borderId="18" xfId="0" applyFont="1" applyFill="1" applyBorder="1" applyAlignment="1">
      <alignment horizontal="center" wrapText="1"/>
    </xf>
    <xf numFmtId="0" fontId="23" fillId="9" borderId="22" xfId="0" applyFont="1" applyFill="1" applyBorder="1" applyAlignment="1">
      <alignment horizontal="center" wrapText="1"/>
    </xf>
    <xf numFmtId="40" fontId="27" fillId="12" borderId="17" xfId="0" applyNumberFormat="1" applyFont="1" applyFill="1" applyBorder="1" applyAlignment="1">
      <alignment horizontal="center" vertical="center"/>
    </xf>
    <xf numFmtId="40" fontId="27" fillId="12" borderId="23" xfId="0" applyNumberFormat="1" applyFont="1" applyFill="1" applyBorder="1" applyAlignment="1">
      <alignment horizontal="center" vertical="center"/>
    </xf>
    <xf numFmtId="0" fontId="7" fillId="25" borderId="26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 vertical="center" wrapText="1"/>
    </xf>
    <xf numFmtId="0" fontId="7" fillId="26" borderId="26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7" fillId="26" borderId="2" xfId="0" applyFont="1" applyFill="1" applyBorder="1" applyAlignment="1">
      <alignment horizontal="center" vertical="center" wrapText="1"/>
    </xf>
    <xf numFmtId="0" fontId="7" fillId="27" borderId="26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7" fillId="27" borderId="2" xfId="0" applyFont="1" applyFill="1" applyBorder="1" applyAlignment="1">
      <alignment horizontal="center" vertical="center" wrapText="1"/>
    </xf>
    <xf numFmtId="0" fontId="7" fillId="28" borderId="26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34" fillId="9" borderId="18" xfId="0" applyFont="1" applyFill="1" applyBorder="1" applyAlignment="1">
      <alignment horizontal="center" wrapText="1"/>
    </xf>
    <xf numFmtId="0" fontId="34" fillId="9" borderId="19" xfId="0" applyFont="1" applyFill="1" applyBorder="1" applyAlignment="1">
      <alignment horizontal="center" wrapText="1"/>
    </xf>
    <xf numFmtId="1" fontId="35" fillId="12" borderId="20" xfId="0" applyNumberFormat="1" applyFont="1" applyFill="1" applyBorder="1" applyAlignment="1">
      <alignment horizontal="center" vertical="center"/>
    </xf>
    <xf numFmtId="40" fontId="35" fillId="12" borderId="21" xfId="0" applyNumberFormat="1" applyFont="1" applyFill="1" applyBorder="1" applyAlignment="1">
      <alignment horizontal="center" vertical="center"/>
    </xf>
    <xf numFmtId="0" fontId="47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35" xfId="0" applyFont="1" applyFill="1" applyBorder="1" applyAlignment="1">
      <alignment horizontal="center" vertical="center"/>
    </xf>
    <xf numFmtId="40" fontId="48" fillId="17" borderId="13" xfId="0" applyNumberFormat="1" applyFont="1" applyFill="1" applyBorder="1" applyAlignment="1">
      <alignment horizontal="center" vertical="center"/>
    </xf>
    <xf numFmtId="40" fontId="48" fillId="17" borderId="36" xfId="0" applyNumberFormat="1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37" xfId="0" applyFont="1" applyFill="1" applyBorder="1" applyAlignment="1">
      <alignment horizontal="center" vertical="center"/>
    </xf>
    <xf numFmtId="40" fontId="50" fillId="16" borderId="9" xfId="0" applyNumberFormat="1" applyFont="1" applyFill="1" applyBorder="1" applyAlignment="1">
      <alignment horizontal="center" vertical="center"/>
    </xf>
    <xf numFmtId="40" fontId="49" fillId="16" borderId="38" xfId="0" applyNumberFormat="1" applyFont="1" applyFill="1" applyBorder="1" applyAlignment="1">
      <alignment horizontal="center" vertical="center"/>
    </xf>
    <xf numFmtId="40" fontId="49" fillId="16" borderId="12" xfId="0" applyNumberFormat="1" applyFont="1" applyFill="1" applyBorder="1" applyAlignment="1">
      <alignment horizontal="center" vertical="center"/>
    </xf>
    <xf numFmtId="40" fontId="49" fillId="16" borderId="39" xfId="0" applyNumberFormat="1" applyFont="1" applyFill="1" applyBorder="1" applyAlignment="1">
      <alignment horizontal="center" vertical="center"/>
    </xf>
    <xf numFmtId="0" fontId="7" fillId="31" borderId="0" xfId="0" applyFont="1" applyFill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30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43" fillId="16" borderId="25" xfId="0" applyFont="1" applyFill="1" applyBorder="1" applyAlignment="1">
      <alignment horizontal="left" vertical="center"/>
    </xf>
    <xf numFmtId="0" fontId="5" fillId="16" borderId="25" xfId="0" applyFont="1" applyFill="1" applyBorder="1" applyAlignment="1">
      <alignment horizontal="left" vertical="center"/>
    </xf>
    <xf numFmtId="0" fontId="44" fillId="12" borderId="28" xfId="0" applyFont="1" applyFill="1" applyBorder="1" applyAlignment="1">
      <alignment horizontal="left" vertical="center"/>
    </xf>
    <xf numFmtId="0" fontId="6" fillId="12" borderId="28" xfId="0" applyFont="1" applyFill="1" applyBorder="1" applyAlignment="1">
      <alignment horizontal="left" vertical="center"/>
    </xf>
    <xf numFmtId="0" fontId="46" fillId="30" borderId="34" xfId="0" applyFont="1" applyFill="1" applyBorder="1" applyAlignment="1">
      <alignment horizontal="left" vertical="center"/>
    </xf>
    <xf numFmtId="0" fontId="5" fillId="30" borderId="34" xfId="0" applyFont="1" applyFill="1" applyBorder="1" applyAlignment="1">
      <alignment horizontal="left" vertical="center"/>
    </xf>
    <xf numFmtId="0" fontId="13" fillId="0" borderId="0" xfId="0" applyFont="1" applyAlignment="1">
      <alignment vertical="top" wrapText="1"/>
    </xf>
  </cellXfs>
  <cellStyles count="2">
    <cellStyle name="Hipervínculo" xfId="1" builtinId="8"/>
    <cellStyle name="Normal" xfId="0" builtinId="0"/>
  </cellStyles>
  <dxfs count="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Ida neto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TDS</c:v>
          </c:tx>
          <c:spPr>
            <a:solidFill>
              <a:srgbClr val="2E75B6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Resumen!$G$7:$G$18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53675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8-44E0-A353-CD60DC7AEAEA}"/>
            </c:ext>
          </c:extLst>
        </c:ser>
        <c:ser>
          <c:idx val="1"/>
          <c:order val="1"/>
          <c:tx>
            <c:v>PIN</c:v>
          </c:tx>
          <c:spPr>
            <a:solidFill>
              <a:srgbClr val="548235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Resumen!$O$7:$O$18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52980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8-44E0-A353-CD60DC7AEAEA}"/>
            </c:ext>
          </c:extLst>
        </c:ser>
        <c:ser>
          <c:idx val="2"/>
          <c:order val="2"/>
          <c:tx>
            <c:v>PKS</c:v>
          </c:tx>
          <c:spPr>
            <a:solidFill>
              <a:srgbClr val="C55A11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Resumen!$W$7:$W$18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F8-44E0-A353-CD60DC7AE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976480"/>
        <c:axId val="230968576"/>
      </c:barChart>
      <c:catAx>
        <c:axId val="23097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0968576"/>
        <c:crosses val="autoZero"/>
        <c:auto val="1"/>
        <c:lblAlgn val="ctr"/>
        <c:lblOffset val="100"/>
        <c:noMultiLvlLbl val="0"/>
      </c:catAx>
      <c:valAx>
        <c:axId val="23096857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230976480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Neto final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TDS</c:v>
          </c:tx>
          <c:spPr>
            <a:solidFill>
              <a:srgbClr val="2E75B6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Resumen!$J$7:$J$18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2752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7-4082-B982-675FA2FFD271}"/>
            </c:ext>
          </c:extLst>
        </c:ser>
        <c:ser>
          <c:idx val="1"/>
          <c:order val="1"/>
          <c:tx>
            <c:v>PIN</c:v>
          </c:tx>
          <c:spPr>
            <a:solidFill>
              <a:srgbClr val="548235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Resumen!$R$7:$R$18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50048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7-4082-B982-675FA2FFD271}"/>
            </c:ext>
          </c:extLst>
        </c:ser>
        <c:ser>
          <c:idx val="2"/>
          <c:order val="2"/>
          <c:tx>
            <c:v>PKS</c:v>
          </c:tx>
          <c:spPr>
            <a:solidFill>
              <a:srgbClr val="C55A11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Resumen!$Z$7:$Z$18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C7-4082-B982-675FA2FF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976064"/>
        <c:axId val="230971904"/>
      </c:barChart>
      <c:catAx>
        <c:axId val="23097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0971904"/>
        <c:crosses val="autoZero"/>
        <c:auto val="1"/>
        <c:lblAlgn val="ctr"/>
        <c:lblOffset val="100"/>
        <c:noMultiLvlLbl val="0"/>
      </c:catAx>
      <c:valAx>
        <c:axId val="230971904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230976064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Ida neto y llegada neta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Ida neto</c:v>
          </c:tx>
          <c:spPr>
            <a:solidFill>
              <a:srgbClr val="2E75B6"/>
            </a:solidFill>
          </c:spPr>
          <c:invertIfNegative val="0"/>
          <c:cat>
            <c:numRef>
              <c:f>'Resumen diario'!$A$11:$A$41</c:f>
              <c:numCache>
                <c:formatCode>dd\-mm\-yy</c:formatCode>
                <c:ptCount val="31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</c:numCache>
            </c:numRef>
          </c:cat>
          <c:val>
            <c:numRef>
              <c:f>'Resumen diario'!$F$11:$F$41</c:f>
              <c:numCache>
                <c:formatCode>#,##0.00;[Red]\-#,##0.00;"-"</c:formatCode>
                <c:ptCount val="31"/>
                <c:pt idx="0">
                  <c:v>1150</c:v>
                </c:pt>
                <c:pt idx="1">
                  <c:v>1650</c:v>
                </c:pt>
                <c:pt idx="2">
                  <c:v>3010</c:v>
                </c:pt>
                <c:pt idx="3">
                  <c:v>2340</c:v>
                </c:pt>
                <c:pt idx="4">
                  <c:v>2200</c:v>
                </c:pt>
                <c:pt idx="5">
                  <c:v>2930</c:v>
                </c:pt>
                <c:pt idx="6">
                  <c:v>1450</c:v>
                </c:pt>
                <c:pt idx="7">
                  <c:v>2060</c:v>
                </c:pt>
                <c:pt idx="8">
                  <c:v>2870</c:v>
                </c:pt>
                <c:pt idx="9">
                  <c:v>3685</c:v>
                </c:pt>
                <c:pt idx="10">
                  <c:v>2580</c:v>
                </c:pt>
                <c:pt idx="11">
                  <c:v>2220</c:v>
                </c:pt>
                <c:pt idx="12">
                  <c:v>1720</c:v>
                </c:pt>
                <c:pt idx="13">
                  <c:v>1910</c:v>
                </c:pt>
                <c:pt idx="14">
                  <c:v>0</c:v>
                </c:pt>
                <c:pt idx="15">
                  <c:v>0</c:v>
                </c:pt>
                <c:pt idx="16">
                  <c:v>3410</c:v>
                </c:pt>
                <c:pt idx="17">
                  <c:v>1780</c:v>
                </c:pt>
                <c:pt idx="18">
                  <c:v>2650</c:v>
                </c:pt>
                <c:pt idx="19">
                  <c:v>2570</c:v>
                </c:pt>
                <c:pt idx="20">
                  <c:v>2240</c:v>
                </c:pt>
                <c:pt idx="21">
                  <c:v>1710</c:v>
                </c:pt>
                <c:pt idx="22">
                  <c:v>3190</c:v>
                </c:pt>
                <c:pt idx="23">
                  <c:v>2790</c:v>
                </c:pt>
                <c:pt idx="24">
                  <c:v>1560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2A-4624-B4BB-FDE88924ACCB}"/>
            </c:ext>
          </c:extLst>
        </c:ser>
        <c:ser>
          <c:idx val="1"/>
          <c:order val="1"/>
          <c:tx>
            <c:v>Llegada neta</c:v>
          </c:tx>
          <c:spPr>
            <a:solidFill>
              <a:srgbClr val="548235"/>
            </a:solidFill>
          </c:spPr>
          <c:invertIfNegative val="0"/>
          <c:cat>
            <c:numRef>
              <c:f>'Resumen diario'!$A$11:$A$41</c:f>
              <c:numCache>
                <c:formatCode>dd\-mm\-yy</c:formatCode>
                <c:ptCount val="31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</c:numCache>
            </c:numRef>
          </c:cat>
          <c:val>
            <c:numRef>
              <c:f>'Resumen diario'!$J$11:$J$41</c:f>
              <c:numCache>
                <c:formatCode>#,##0.00;[Red]\-#,##0.00;"-"</c:formatCode>
                <c:ptCount val="31"/>
                <c:pt idx="0">
                  <c:v>3200</c:v>
                </c:pt>
                <c:pt idx="1">
                  <c:v>3860</c:v>
                </c:pt>
                <c:pt idx="2">
                  <c:v>-4901</c:v>
                </c:pt>
                <c:pt idx="3">
                  <c:v>1940</c:v>
                </c:pt>
                <c:pt idx="4">
                  <c:v>-4700</c:v>
                </c:pt>
                <c:pt idx="5">
                  <c:v>2250</c:v>
                </c:pt>
                <c:pt idx="6">
                  <c:v>2355</c:v>
                </c:pt>
                <c:pt idx="7">
                  <c:v>2315</c:v>
                </c:pt>
                <c:pt idx="8">
                  <c:v>2395</c:v>
                </c:pt>
                <c:pt idx="9">
                  <c:v>-2710</c:v>
                </c:pt>
                <c:pt idx="10">
                  <c:v>5150</c:v>
                </c:pt>
                <c:pt idx="11">
                  <c:v>-5555</c:v>
                </c:pt>
                <c:pt idx="12">
                  <c:v>2840</c:v>
                </c:pt>
                <c:pt idx="13">
                  <c:v>1470</c:v>
                </c:pt>
                <c:pt idx="14">
                  <c:v>-5620</c:v>
                </c:pt>
                <c:pt idx="15">
                  <c:v>3110</c:v>
                </c:pt>
                <c:pt idx="16">
                  <c:v>-2320</c:v>
                </c:pt>
                <c:pt idx="17">
                  <c:v>3180</c:v>
                </c:pt>
                <c:pt idx="18">
                  <c:v>3060</c:v>
                </c:pt>
                <c:pt idx="19">
                  <c:v>-6260</c:v>
                </c:pt>
                <c:pt idx="20">
                  <c:v>0</c:v>
                </c:pt>
                <c:pt idx="21">
                  <c:v>3630</c:v>
                </c:pt>
                <c:pt idx="22">
                  <c:v>-6160</c:v>
                </c:pt>
                <c:pt idx="23">
                  <c:v>23</c:v>
                </c:pt>
                <c:pt idx="24">
                  <c:v>200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2A-4624-B4BB-FDE88924A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884560"/>
        <c:axId val="234861264"/>
      </c:barChart>
      <c:catAx>
        <c:axId val="234884560"/>
        <c:scaling>
          <c:orientation val="minMax"/>
        </c:scaling>
        <c:delete val="0"/>
        <c:axPos val="b"/>
        <c:numFmt formatCode="dd" sourceLinked="0"/>
        <c:majorTickMark val="out"/>
        <c:minorTickMark val="none"/>
        <c:tickLblPos val="low"/>
        <c:crossAx val="234861264"/>
        <c:crosses val="autoZero"/>
        <c:auto val="0"/>
        <c:lblAlgn val="ctr"/>
        <c:lblOffset val="100"/>
        <c:noMultiLvlLbl val="0"/>
      </c:catAx>
      <c:valAx>
        <c:axId val="234861264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234884560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190500</xdr:rowOff>
    </xdr:from>
    <xdr:to>
      <xdr:col>9</xdr:col>
      <xdr:colOff>136525</xdr:colOff>
      <xdr:row>40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FB1FBB-FB3A-E8E9-ECC6-506F000B4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390525</xdr:colOff>
      <xdr:row>20</xdr:row>
      <xdr:rowOff>190500</xdr:rowOff>
    </xdr:from>
    <xdr:to>
      <xdr:col>17</xdr:col>
      <xdr:colOff>527050</xdr:colOff>
      <xdr:row>40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C78FA8-02FC-2666-CE12-C99A50C11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21</xdr:col>
      <xdr:colOff>254000</xdr:colOff>
      <xdr:row>30</xdr:row>
      <xdr:rowOff>34925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2BF5D-79AD-C946-A626-7519D5BCE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B30"/>
  <sheetViews>
    <sheetView showGridLines="0" tabSelected="1" zoomScaleNormal="100" workbookViewId="0"/>
  </sheetViews>
  <sheetFormatPr baseColWidth="10" defaultColWidth="8.7109375" defaultRowHeight="14.25" x14ac:dyDescent="0.2"/>
  <cols>
    <col min="1" max="1" width="3.7109375" style="19" customWidth="1"/>
    <col min="2" max="2" width="115" style="19" customWidth="1"/>
    <col min="3" max="16384" width="8.7109375" style="19"/>
  </cols>
  <sheetData>
    <row r="1" spans="2:2" ht="32.1" customHeight="1" x14ac:dyDescent="0.2">
      <c r="B1" s="21" t="s">
        <v>0</v>
      </c>
    </row>
    <row r="2" spans="2:2" x14ac:dyDescent="0.2">
      <c r="B2" s="22" t="s">
        <v>1</v>
      </c>
    </row>
    <row r="4" spans="2:2" ht="15" x14ac:dyDescent="0.25">
      <c r="B4" s="23" t="s">
        <v>265</v>
      </c>
    </row>
    <row r="5" spans="2:2" ht="26.1" customHeight="1" thickBot="1" x14ac:dyDescent="0.25">
      <c r="B5" s="24" t="s">
        <v>266</v>
      </c>
    </row>
    <row r="6" spans="2:2" ht="26.1" customHeight="1" thickBot="1" x14ac:dyDescent="0.25">
      <c r="B6" s="25" t="s">
        <v>267</v>
      </c>
    </row>
    <row r="7" spans="2:2" ht="26.1" customHeight="1" thickBot="1" x14ac:dyDescent="0.25">
      <c r="B7" s="26" t="s">
        <v>268</v>
      </c>
    </row>
    <row r="8" spans="2:2" ht="26.1" customHeight="1" thickBot="1" x14ac:dyDescent="0.25">
      <c r="B8" s="161" t="s">
        <v>269</v>
      </c>
    </row>
    <row r="9" spans="2:2" ht="26.1" customHeight="1" thickBot="1" x14ac:dyDescent="0.25">
      <c r="B9" s="162" t="s">
        <v>302</v>
      </c>
    </row>
    <row r="10" spans="2:2" x14ac:dyDescent="0.2">
      <c r="B10" s="27" t="s">
        <v>270</v>
      </c>
    </row>
    <row r="11" spans="2:2" x14ac:dyDescent="0.2">
      <c r="B11" s="20"/>
    </row>
    <row r="12" spans="2:2" ht="21.95" customHeight="1" x14ac:dyDescent="0.2">
      <c r="B12" s="28" t="s">
        <v>2</v>
      </c>
    </row>
    <row r="13" spans="2:2" ht="38.25" customHeight="1" x14ac:dyDescent="0.2">
      <c r="B13" s="29" t="s">
        <v>3</v>
      </c>
    </row>
    <row r="14" spans="2:2" ht="25.5" customHeight="1" x14ac:dyDescent="0.2">
      <c r="B14" s="29" t="s">
        <v>4</v>
      </c>
    </row>
    <row r="15" spans="2:2" ht="25.5" customHeight="1" x14ac:dyDescent="0.2">
      <c r="B15" s="29" t="s">
        <v>5</v>
      </c>
    </row>
    <row r="16" spans="2:2" x14ac:dyDescent="0.2">
      <c r="B16" s="29" t="s">
        <v>6</v>
      </c>
    </row>
    <row r="17" spans="2:2" x14ac:dyDescent="0.2">
      <c r="B17" s="20"/>
    </row>
    <row r="18" spans="2:2" ht="21.95" customHeight="1" x14ac:dyDescent="0.2">
      <c r="B18" s="28" t="s">
        <v>7</v>
      </c>
    </row>
    <row r="19" spans="2:2" x14ac:dyDescent="0.2">
      <c r="B19" s="29" t="s">
        <v>8</v>
      </c>
    </row>
    <row r="20" spans="2:2" ht="25.5" customHeight="1" x14ac:dyDescent="0.2">
      <c r="B20" s="29" t="s">
        <v>9</v>
      </c>
    </row>
    <row r="21" spans="2:2" ht="25.5" customHeight="1" x14ac:dyDescent="0.2">
      <c r="B21" s="29" t="s">
        <v>261</v>
      </c>
    </row>
    <row r="22" spans="2:2" ht="25.5" customHeight="1" x14ac:dyDescent="0.2">
      <c r="B22" s="29" t="s">
        <v>10</v>
      </c>
    </row>
    <row r="23" spans="2:2" x14ac:dyDescent="0.2">
      <c r="B23" s="29" t="s">
        <v>11</v>
      </c>
    </row>
    <row r="24" spans="2:2" x14ac:dyDescent="0.2">
      <c r="B24" s="20"/>
    </row>
    <row r="25" spans="2:2" ht="21.95" customHeight="1" x14ac:dyDescent="0.2">
      <c r="B25" s="28" t="s">
        <v>12</v>
      </c>
    </row>
    <row r="26" spans="2:2" x14ac:dyDescent="0.2">
      <c r="B26" s="29" t="s">
        <v>262</v>
      </c>
    </row>
    <row r="27" spans="2:2" x14ac:dyDescent="0.2">
      <c r="B27" s="29" t="s">
        <v>263</v>
      </c>
    </row>
    <row r="28" spans="2:2" ht="25.5" x14ac:dyDescent="0.2">
      <c r="B28" s="29" t="s">
        <v>264</v>
      </c>
    </row>
    <row r="29" spans="2:2" ht="38.25" x14ac:dyDescent="0.2">
      <c r="B29" s="163" t="s">
        <v>303</v>
      </c>
    </row>
    <row r="30" spans="2:2" x14ac:dyDescent="0.2">
      <c r="B30" s="29" t="s">
        <v>13</v>
      </c>
    </row>
  </sheetData>
  <hyperlinks>
    <hyperlink ref="B5" location="'Registro'!A1" tooltip="Ir a Registro" display="✎  REGISTRO — anotar un viaje nuevo o corregir uno" xr:uid="{A63BE104-7E23-4EF5-92F6-E9C5BCF94AD8}"/>
    <hyperlink ref="B6" location="'Consulta'!A1" tooltip="Ir a Consulta" display="🔎  CONSULTA — ver los viajes de un bus en un mes" xr:uid="{CEAE79B1-5B2B-4399-8C08-CE3079821B0B}"/>
    <hyperlink ref="B7" location="'Resumen'!A1" tooltip="Ir a Resumen" display="📅  RESUMEN — totales de cada mes del año" xr:uid="{CA4C3F98-B31F-4D36-8023-C6F5D1A583CD}"/>
    <hyperlink ref="B8" location="'Resumen diario'!A1" tooltip="Ir a Resumen diario" display="📊  RESUMEN DIARIO — cada día del mes de un bus" xr:uid="{03D02CAB-AE85-4850-ACF5-DF455106462E}"/>
    <hyperlink ref="B9" location="'Facturas'!A1" tooltip="Ir a Facturas" display="🧾  FACTURAS — registrar facturas y calcular el IVA del mes" xr:uid="{04C2CB00-A8F3-4F95-9664-1F1D3DC74995}"/>
  </hyperlinks>
  <printOptions horizontalCentered="1"/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  <pageSetUpPr fitToPage="1"/>
  </sheetPr>
  <dimension ref="A1:M1001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3" width="10" customWidth="1"/>
    <col min="4" max="4" width="18" customWidth="1"/>
    <col min="5" max="5" width="30" customWidth="1"/>
    <col min="6" max="6" width="14.7109375" customWidth="1"/>
    <col min="7" max="7" width="26" customWidth="1"/>
    <col min="8" max="8" width="18" customWidth="1"/>
    <col min="9" max="9" width="30" customWidth="1"/>
    <col min="10" max="10" width="26" customWidth="1"/>
    <col min="11" max="11" width="28" customWidth="1"/>
    <col min="13" max="13" width="12.7109375" customWidth="1"/>
  </cols>
  <sheetData>
    <row r="1" spans="1:13" ht="36" customHeight="1" x14ac:dyDescent="0.25">
      <c r="A1" s="30" t="s">
        <v>14</v>
      </c>
      <c r="B1" s="30" t="s">
        <v>15</v>
      </c>
      <c r="C1" s="30" t="s">
        <v>16</v>
      </c>
      <c r="D1" s="30" t="s">
        <v>17</v>
      </c>
      <c r="E1" s="30" t="s">
        <v>18</v>
      </c>
      <c r="F1" s="31" t="s">
        <v>246</v>
      </c>
      <c r="G1" s="30" t="s">
        <v>19</v>
      </c>
      <c r="H1" s="30" t="s">
        <v>20</v>
      </c>
      <c r="I1" s="30" t="s">
        <v>21</v>
      </c>
      <c r="J1" s="30" t="s">
        <v>22</v>
      </c>
      <c r="K1" s="30" t="s">
        <v>23</v>
      </c>
      <c r="M1" s="32" t="s">
        <v>271</v>
      </c>
    </row>
    <row r="2" spans="1:13" x14ac:dyDescent="0.25">
      <c r="A2" s="2" t="s">
        <v>24</v>
      </c>
      <c r="B2" s="3">
        <v>46296</v>
      </c>
      <c r="C2" s="2" t="s">
        <v>25</v>
      </c>
      <c r="D2" s="2" t="s">
        <v>26</v>
      </c>
      <c r="E2" s="4" t="s">
        <v>27</v>
      </c>
      <c r="F2" s="5"/>
      <c r="G2" s="4" t="s">
        <v>28</v>
      </c>
      <c r="H2" s="5">
        <v>3300</v>
      </c>
      <c r="I2" s="4" t="s">
        <v>29</v>
      </c>
      <c r="J2" s="4"/>
      <c r="K2" s="4"/>
    </row>
    <row r="3" spans="1:13" x14ac:dyDescent="0.25">
      <c r="A3" s="2" t="s">
        <v>24</v>
      </c>
      <c r="B3" s="3">
        <v>46297</v>
      </c>
      <c r="C3" s="2" t="s">
        <v>30</v>
      </c>
      <c r="D3" s="2" t="s">
        <v>31</v>
      </c>
      <c r="E3" s="4" t="s">
        <v>32</v>
      </c>
      <c r="F3" s="5"/>
      <c r="G3" s="4" t="s">
        <v>33</v>
      </c>
      <c r="H3" s="5">
        <v>4060</v>
      </c>
      <c r="I3" s="4" t="s">
        <v>34</v>
      </c>
      <c r="J3" s="4"/>
      <c r="K3" s="4"/>
    </row>
    <row r="4" spans="1:13" x14ac:dyDescent="0.25">
      <c r="A4" s="2" t="s">
        <v>24</v>
      </c>
      <c r="B4" s="3">
        <v>46298</v>
      </c>
      <c r="C4" s="2" t="s">
        <v>30</v>
      </c>
      <c r="D4" s="2" t="s">
        <v>35</v>
      </c>
      <c r="E4" s="4" t="s">
        <v>36</v>
      </c>
      <c r="F4" s="5"/>
      <c r="G4" s="4" t="s">
        <v>37</v>
      </c>
      <c r="H4" s="5">
        <v>3599</v>
      </c>
      <c r="I4" s="4" t="s">
        <v>29</v>
      </c>
      <c r="J4" s="4" t="s">
        <v>38</v>
      </c>
      <c r="K4" s="4"/>
    </row>
    <row r="5" spans="1:13" x14ac:dyDescent="0.25">
      <c r="A5" s="2" t="s">
        <v>24</v>
      </c>
      <c r="B5" s="3">
        <v>46299</v>
      </c>
      <c r="C5" s="2" t="s">
        <v>25</v>
      </c>
      <c r="D5" s="2" t="s">
        <v>39</v>
      </c>
      <c r="E5" s="4" t="s">
        <v>40</v>
      </c>
      <c r="F5" s="5"/>
      <c r="G5" s="4" t="s">
        <v>41</v>
      </c>
      <c r="H5" s="5">
        <v>2080</v>
      </c>
      <c r="I5" s="4" t="s">
        <v>42</v>
      </c>
      <c r="J5" s="4"/>
      <c r="K5" s="4"/>
    </row>
    <row r="6" spans="1:13" x14ac:dyDescent="0.25">
      <c r="A6" s="2" t="s">
        <v>24</v>
      </c>
      <c r="B6" s="3">
        <v>46300</v>
      </c>
      <c r="C6" s="2" t="s">
        <v>30</v>
      </c>
      <c r="D6" s="2" t="s">
        <v>43</v>
      </c>
      <c r="E6" s="4" t="s">
        <v>44</v>
      </c>
      <c r="F6" s="5"/>
      <c r="G6" s="4" t="s">
        <v>28</v>
      </c>
      <c r="H6" s="5">
        <v>3300</v>
      </c>
      <c r="I6" s="4" t="s">
        <v>45</v>
      </c>
      <c r="J6" s="4" t="s">
        <v>46</v>
      </c>
      <c r="K6" s="4"/>
    </row>
    <row r="7" spans="1:13" x14ac:dyDescent="0.25">
      <c r="A7" s="2" t="s">
        <v>24</v>
      </c>
      <c r="B7" s="3">
        <v>46301</v>
      </c>
      <c r="C7" s="2" t="s">
        <v>25</v>
      </c>
      <c r="D7" s="2" t="s">
        <v>47</v>
      </c>
      <c r="E7" s="4" t="s">
        <v>48</v>
      </c>
      <c r="F7" s="5"/>
      <c r="G7" s="4" t="s">
        <v>49</v>
      </c>
      <c r="H7" s="5">
        <v>2350</v>
      </c>
      <c r="I7" s="4" t="s">
        <v>29</v>
      </c>
      <c r="J7" s="4"/>
      <c r="K7" s="4"/>
    </row>
    <row r="8" spans="1:13" x14ac:dyDescent="0.25">
      <c r="A8" s="2" t="s">
        <v>24</v>
      </c>
      <c r="B8" s="3">
        <v>46302</v>
      </c>
      <c r="C8" s="2" t="s">
        <v>25</v>
      </c>
      <c r="D8" s="2" t="s">
        <v>50</v>
      </c>
      <c r="E8" s="4" t="s">
        <v>51</v>
      </c>
      <c r="F8" s="5"/>
      <c r="G8" s="4" t="s">
        <v>52</v>
      </c>
      <c r="H8" s="5">
        <v>2455</v>
      </c>
      <c r="I8" s="4" t="s">
        <v>29</v>
      </c>
      <c r="J8" s="4"/>
      <c r="K8" s="4"/>
    </row>
    <row r="9" spans="1:13" x14ac:dyDescent="0.25">
      <c r="A9" s="2" t="s">
        <v>24</v>
      </c>
      <c r="B9" s="3">
        <v>46303</v>
      </c>
      <c r="C9" s="2" t="s">
        <v>25</v>
      </c>
      <c r="D9" s="2" t="s">
        <v>53</v>
      </c>
      <c r="E9" s="4" t="s">
        <v>54</v>
      </c>
      <c r="F9" s="5"/>
      <c r="G9" s="4" t="s">
        <v>55</v>
      </c>
      <c r="H9" s="5">
        <v>2365</v>
      </c>
      <c r="I9" s="4" t="s">
        <v>56</v>
      </c>
      <c r="J9" s="4"/>
      <c r="K9" s="4"/>
    </row>
    <row r="10" spans="1:13" x14ac:dyDescent="0.25">
      <c r="A10" s="2" t="s">
        <v>24</v>
      </c>
      <c r="B10" s="3">
        <v>46304</v>
      </c>
      <c r="C10" s="2" t="s">
        <v>25</v>
      </c>
      <c r="D10" s="2" t="s">
        <v>57</v>
      </c>
      <c r="E10" s="4" t="s">
        <v>58</v>
      </c>
      <c r="F10" s="5"/>
      <c r="G10" s="4" t="s">
        <v>59</v>
      </c>
      <c r="H10" s="5">
        <v>2395</v>
      </c>
      <c r="I10" s="4"/>
      <c r="J10" s="4"/>
      <c r="K10" s="4"/>
    </row>
    <row r="11" spans="1:13" x14ac:dyDescent="0.25">
      <c r="A11" s="2" t="s">
        <v>24</v>
      </c>
      <c r="B11" s="3">
        <v>46305</v>
      </c>
      <c r="C11" s="2" t="s">
        <v>30</v>
      </c>
      <c r="D11" s="2" t="s">
        <v>60</v>
      </c>
      <c r="E11" s="4" t="s">
        <v>61</v>
      </c>
      <c r="F11" s="5"/>
      <c r="G11" s="4" t="s">
        <v>62</v>
      </c>
      <c r="H11" s="5">
        <v>3670</v>
      </c>
      <c r="I11" s="4" t="s">
        <v>29</v>
      </c>
      <c r="J11" s="4" t="s">
        <v>63</v>
      </c>
      <c r="K11" s="4"/>
    </row>
    <row r="12" spans="1:13" x14ac:dyDescent="0.25">
      <c r="A12" s="2" t="s">
        <v>24</v>
      </c>
      <c r="B12" s="3">
        <v>46305</v>
      </c>
      <c r="C12" s="2" t="s">
        <v>25</v>
      </c>
      <c r="D12" s="2" t="s">
        <v>64</v>
      </c>
      <c r="E12" s="4" t="s">
        <v>65</v>
      </c>
      <c r="F12" s="5"/>
      <c r="G12" s="4" t="s">
        <v>66</v>
      </c>
      <c r="H12" s="5">
        <v>2100</v>
      </c>
      <c r="I12" s="4"/>
      <c r="J12" s="4"/>
      <c r="K12" s="4"/>
    </row>
    <row r="13" spans="1:13" x14ac:dyDescent="0.25">
      <c r="A13" s="2" t="s">
        <v>24</v>
      </c>
      <c r="B13" s="3">
        <v>46306</v>
      </c>
      <c r="C13" s="2" t="s">
        <v>30</v>
      </c>
      <c r="D13" s="2" t="s">
        <v>67</v>
      </c>
      <c r="E13" s="4" t="s">
        <v>68</v>
      </c>
      <c r="F13" s="5"/>
      <c r="G13" s="4" t="s">
        <v>69</v>
      </c>
      <c r="H13" s="5">
        <v>5280</v>
      </c>
      <c r="I13" s="4" t="s">
        <v>70</v>
      </c>
      <c r="J13" s="4"/>
      <c r="K13" s="4"/>
    </row>
    <row r="14" spans="1:13" x14ac:dyDescent="0.25">
      <c r="A14" s="2" t="s">
        <v>24</v>
      </c>
      <c r="B14" s="3">
        <v>46307</v>
      </c>
      <c r="C14" s="2" t="s">
        <v>25</v>
      </c>
      <c r="D14" s="2" t="s">
        <v>71</v>
      </c>
      <c r="E14" s="4" t="s">
        <v>72</v>
      </c>
      <c r="F14" s="5"/>
      <c r="G14" s="4" t="s">
        <v>73</v>
      </c>
      <c r="H14" s="5">
        <v>2855</v>
      </c>
      <c r="I14" s="4" t="s">
        <v>74</v>
      </c>
      <c r="J14" s="4" t="s">
        <v>75</v>
      </c>
      <c r="K14" s="4"/>
    </row>
    <row r="15" spans="1:13" x14ac:dyDescent="0.25">
      <c r="A15" s="2" t="s">
        <v>24</v>
      </c>
      <c r="B15" s="3">
        <v>46308</v>
      </c>
      <c r="C15" s="2" t="s">
        <v>30</v>
      </c>
      <c r="D15" s="2" t="s">
        <v>76</v>
      </c>
      <c r="E15" s="4" t="s">
        <v>77</v>
      </c>
      <c r="F15" s="5"/>
      <c r="G15" s="4" t="s">
        <v>78</v>
      </c>
      <c r="H15" s="5">
        <v>2960</v>
      </c>
      <c r="I15" s="4" t="s">
        <v>79</v>
      </c>
      <c r="J15" s="4"/>
      <c r="K15" s="4"/>
    </row>
    <row r="16" spans="1:13" x14ac:dyDescent="0.25">
      <c r="A16" s="2" t="s">
        <v>24</v>
      </c>
      <c r="B16" s="3">
        <v>46309</v>
      </c>
      <c r="C16" s="2" t="s">
        <v>25</v>
      </c>
      <c r="D16" s="2" t="s">
        <v>80</v>
      </c>
      <c r="E16" s="4" t="s">
        <v>81</v>
      </c>
      <c r="F16" s="5"/>
      <c r="G16" s="4" t="s">
        <v>82</v>
      </c>
      <c r="H16" s="5">
        <v>2070</v>
      </c>
      <c r="I16" s="4" t="s">
        <v>83</v>
      </c>
      <c r="J16" s="4"/>
      <c r="K16" s="4"/>
    </row>
    <row r="17" spans="1:11" x14ac:dyDescent="0.25">
      <c r="A17" s="2" t="s">
        <v>24</v>
      </c>
      <c r="B17" s="3">
        <v>46310</v>
      </c>
      <c r="C17" s="2" t="s">
        <v>25</v>
      </c>
      <c r="D17" s="2" t="s">
        <v>84</v>
      </c>
      <c r="E17" s="4" t="s">
        <v>85</v>
      </c>
      <c r="F17" s="5"/>
      <c r="G17" s="4" t="s">
        <v>85</v>
      </c>
      <c r="H17" s="5">
        <v>2870</v>
      </c>
      <c r="I17" s="4" t="s">
        <v>86</v>
      </c>
      <c r="J17" s="4" t="s">
        <v>87</v>
      </c>
      <c r="K17" s="4"/>
    </row>
    <row r="18" spans="1:11" x14ac:dyDescent="0.25">
      <c r="A18" s="2" t="s">
        <v>24</v>
      </c>
      <c r="B18" s="3">
        <v>46311</v>
      </c>
      <c r="C18" s="2" t="s">
        <v>25</v>
      </c>
      <c r="D18" s="2" t="s">
        <v>88</v>
      </c>
      <c r="E18" s="4" t="s">
        <v>85</v>
      </c>
      <c r="F18" s="5"/>
      <c r="G18" s="4" t="s">
        <v>89</v>
      </c>
      <c r="H18" s="5">
        <v>3250</v>
      </c>
      <c r="I18" s="4" t="s">
        <v>42</v>
      </c>
      <c r="J18" s="4"/>
      <c r="K18" s="4"/>
    </row>
    <row r="19" spans="1:11" x14ac:dyDescent="0.25">
      <c r="A19" s="2" t="s">
        <v>24</v>
      </c>
      <c r="B19" s="3">
        <v>46312</v>
      </c>
      <c r="C19" s="2" t="s">
        <v>30</v>
      </c>
      <c r="D19" s="2" t="s">
        <v>90</v>
      </c>
      <c r="E19" s="4" t="s">
        <v>91</v>
      </c>
      <c r="F19" s="5"/>
      <c r="G19" s="4" t="s">
        <v>92</v>
      </c>
      <c r="H19" s="5">
        <v>3360</v>
      </c>
      <c r="I19" s="4" t="s">
        <v>93</v>
      </c>
      <c r="J19" s="4" t="s">
        <v>94</v>
      </c>
      <c r="K19" s="4"/>
    </row>
    <row r="20" spans="1:11" x14ac:dyDescent="0.25">
      <c r="A20" s="2" t="s">
        <v>24</v>
      </c>
      <c r="B20" s="3">
        <v>46313</v>
      </c>
      <c r="C20" s="2" t="s">
        <v>25</v>
      </c>
      <c r="D20" s="2" t="s">
        <v>95</v>
      </c>
      <c r="E20" s="4" t="s">
        <v>96</v>
      </c>
      <c r="F20" s="5"/>
      <c r="G20" s="4" t="s">
        <v>97</v>
      </c>
      <c r="H20" s="5">
        <v>3275</v>
      </c>
      <c r="I20" s="4" t="s">
        <v>98</v>
      </c>
      <c r="J20" s="4"/>
      <c r="K20" s="4"/>
    </row>
    <row r="21" spans="1:11" x14ac:dyDescent="0.25">
      <c r="A21" s="2" t="s">
        <v>24</v>
      </c>
      <c r="B21" s="3">
        <v>46314</v>
      </c>
      <c r="C21" s="2" t="s">
        <v>30</v>
      </c>
      <c r="D21" s="2" t="s">
        <v>99</v>
      </c>
      <c r="E21" s="4" t="s">
        <v>100</v>
      </c>
      <c r="F21" s="5"/>
      <c r="G21" s="4" t="s">
        <v>97</v>
      </c>
      <c r="H21" s="5">
        <v>3275</v>
      </c>
      <c r="I21" s="4" t="s">
        <v>101</v>
      </c>
      <c r="J21" s="4"/>
      <c r="K21" s="4"/>
    </row>
    <row r="22" spans="1:11" x14ac:dyDescent="0.25">
      <c r="A22" s="2" t="s">
        <v>24</v>
      </c>
      <c r="B22" s="3">
        <v>46315</v>
      </c>
      <c r="C22" s="2" t="s">
        <v>25</v>
      </c>
      <c r="D22" s="2" t="s">
        <v>102</v>
      </c>
      <c r="E22" s="4" t="s">
        <v>103</v>
      </c>
      <c r="F22" s="5"/>
      <c r="G22" s="4" t="s">
        <v>104</v>
      </c>
      <c r="H22" s="5">
        <v>2340</v>
      </c>
      <c r="I22" s="4" t="s">
        <v>29</v>
      </c>
      <c r="J22" s="4" t="s">
        <v>105</v>
      </c>
      <c r="K22" s="4"/>
    </row>
    <row r="23" spans="1:11" x14ac:dyDescent="0.25">
      <c r="A23" s="2" t="s">
        <v>24</v>
      </c>
      <c r="B23" s="3">
        <v>46316</v>
      </c>
      <c r="C23" s="2" t="s">
        <v>25</v>
      </c>
      <c r="D23" s="2" t="s">
        <v>106</v>
      </c>
      <c r="E23" s="4" t="s">
        <v>107</v>
      </c>
      <c r="F23" s="5"/>
      <c r="G23" s="4" t="s">
        <v>85</v>
      </c>
      <c r="H23" s="5">
        <v>0</v>
      </c>
      <c r="I23" s="4"/>
      <c r="J23" s="4"/>
      <c r="K23" s="4"/>
    </row>
    <row r="24" spans="1:11" x14ac:dyDescent="0.25">
      <c r="A24" s="2" t="s">
        <v>24</v>
      </c>
      <c r="B24" s="3">
        <v>46317</v>
      </c>
      <c r="C24" s="2" t="s">
        <v>30</v>
      </c>
      <c r="D24" s="2" t="s">
        <v>108</v>
      </c>
      <c r="E24" s="4" t="s">
        <v>109</v>
      </c>
      <c r="F24" s="5"/>
      <c r="G24" s="4" t="s">
        <v>85</v>
      </c>
      <c r="H24" s="5">
        <v>3760</v>
      </c>
      <c r="I24" s="4" t="s">
        <v>70</v>
      </c>
      <c r="J24" s="4"/>
      <c r="K24" s="4"/>
    </row>
    <row r="25" spans="1:11" x14ac:dyDescent="0.25">
      <c r="A25" s="2" t="s">
        <v>24</v>
      </c>
      <c r="B25" s="3">
        <v>46318</v>
      </c>
      <c r="C25" s="2" t="s">
        <v>25</v>
      </c>
      <c r="D25" s="2" t="s">
        <v>110</v>
      </c>
      <c r="E25" s="4" t="s">
        <v>111</v>
      </c>
      <c r="F25" s="5"/>
      <c r="G25" s="4" t="s">
        <v>112</v>
      </c>
      <c r="H25" s="5">
        <v>2335</v>
      </c>
      <c r="I25" s="4" t="s">
        <v>98</v>
      </c>
      <c r="J25" s="4" t="s">
        <v>38</v>
      </c>
      <c r="K25" s="4"/>
    </row>
    <row r="26" spans="1:11" x14ac:dyDescent="0.25">
      <c r="A26" s="2" t="s">
        <v>113</v>
      </c>
      <c r="B26" s="3">
        <v>46296</v>
      </c>
      <c r="C26" s="2" t="s">
        <v>25</v>
      </c>
      <c r="D26" s="2" t="s">
        <v>114</v>
      </c>
      <c r="E26" s="4" t="s">
        <v>115</v>
      </c>
      <c r="F26" s="5"/>
      <c r="G26" s="4" t="s">
        <v>116</v>
      </c>
      <c r="H26" s="5">
        <v>1925</v>
      </c>
      <c r="I26" s="4" t="s">
        <v>29</v>
      </c>
      <c r="J26" s="4"/>
      <c r="K26" s="4"/>
    </row>
    <row r="27" spans="1:11" x14ac:dyDescent="0.25">
      <c r="A27" s="2" t="s">
        <v>113</v>
      </c>
      <c r="B27" s="3">
        <v>46297</v>
      </c>
      <c r="C27" s="2" t="s">
        <v>25</v>
      </c>
      <c r="D27" s="2" t="s">
        <v>114</v>
      </c>
      <c r="E27" s="4" t="s">
        <v>117</v>
      </c>
      <c r="F27" s="5"/>
      <c r="G27" s="4" t="s">
        <v>118</v>
      </c>
      <c r="H27" s="5">
        <v>2520</v>
      </c>
      <c r="I27" s="4"/>
      <c r="J27" s="4"/>
      <c r="K27" s="4" t="s">
        <v>119</v>
      </c>
    </row>
    <row r="28" spans="1:11" x14ac:dyDescent="0.25">
      <c r="A28" s="2" t="s">
        <v>113</v>
      </c>
      <c r="B28" s="3">
        <v>46298</v>
      </c>
      <c r="C28" s="2" t="s">
        <v>25</v>
      </c>
      <c r="D28" s="2" t="s">
        <v>120</v>
      </c>
      <c r="E28" s="4" t="s">
        <v>121</v>
      </c>
      <c r="F28" s="5"/>
      <c r="G28" s="4" t="s">
        <v>122</v>
      </c>
      <c r="H28" s="5">
        <v>2215</v>
      </c>
      <c r="I28" s="4"/>
      <c r="J28" s="4"/>
      <c r="K28" s="4" t="s">
        <v>123</v>
      </c>
    </row>
    <row r="29" spans="1:11" x14ac:dyDescent="0.25">
      <c r="A29" s="2" t="s">
        <v>113</v>
      </c>
      <c r="B29" s="3">
        <v>46299</v>
      </c>
      <c r="C29" s="2" t="s">
        <v>30</v>
      </c>
      <c r="D29" s="2" t="s">
        <v>124</v>
      </c>
      <c r="E29" s="4" t="s">
        <v>125</v>
      </c>
      <c r="F29" s="5"/>
      <c r="G29" s="4" t="s">
        <v>126</v>
      </c>
      <c r="H29" s="5">
        <v>3860</v>
      </c>
      <c r="I29" s="4" t="s">
        <v>29</v>
      </c>
      <c r="J29" s="4"/>
      <c r="K29" s="4"/>
    </row>
    <row r="30" spans="1:11" x14ac:dyDescent="0.25">
      <c r="A30" s="2" t="s">
        <v>113</v>
      </c>
      <c r="B30" s="3">
        <v>46300</v>
      </c>
      <c r="C30" s="2" t="s">
        <v>25</v>
      </c>
      <c r="D30" s="2" t="s">
        <v>127</v>
      </c>
      <c r="E30" s="4" t="s">
        <v>128</v>
      </c>
      <c r="F30" s="5"/>
      <c r="G30" s="4" t="s">
        <v>129</v>
      </c>
      <c r="H30" s="5">
        <v>2685</v>
      </c>
      <c r="I30" s="4" t="s">
        <v>130</v>
      </c>
      <c r="J30" s="4"/>
      <c r="K30" s="4"/>
    </row>
    <row r="31" spans="1:11" x14ac:dyDescent="0.25">
      <c r="A31" s="2" t="s">
        <v>113</v>
      </c>
      <c r="B31" s="3">
        <v>46302</v>
      </c>
      <c r="C31" s="2" t="s">
        <v>25</v>
      </c>
      <c r="D31" s="2" t="s">
        <v>131</v>
      </c>
      <c r="E31" s="4" t="s">
        <v>132</v>
      </c>
      <c r="F31" s="5"/>
      <c r="G31" s="4" t="s">
        <v>133</v>
      </c>
      <c r="H31" s="5">
        <v>2235</v>
      </c>
      <c r="I31" s="4" t="s">
        <v>134</v>
      </c>
      <c r="J31" s="4"/>
      <c r="K31" s="4"/>
    </row>
    <row r="32" spans="1:11" x14ac:dyDescent="0.25">
      <c r="A32" s="2" t="s">
        <v>113</v>
      </c>
      <c r="B32" s="3">
        <v>46303</v>
      </c>
      <c r="C32" s="2" t="s">
        <v>30</v>
      </c>
      <c r="D32" s="2" t="s">
        <v>99</v>
      </c>
      <c r="E32" s="4" t="s">
        <v>135</v>
      </c>
      <c r="F32" s="5"/>
      <c r="G32" s="4" t="s">
        <v>28</v>
      </c>
      <c r="H32" s="5">
        <v>3300</v>
      </c>
      <c r="I32" s="4" t="s">
        <v>136</v>
      </c>
      <c r="J32" s="4"/>
      <c r="K32" s="4"/>
    </row>
    <row r="33" spans="1:11" x14ac:dyDescent="0.25">
      <c r="A33" s="2" t="s">
        <v>113</v>
      </c>
      <c r="B33" s="3">
        <v>46304</v>
      </c>
      <c r="C33" s="2" t="s">
        <v>25</v>
      </c>
      <c r="D33" s="2" t="s">
        <v>137</v>
      </c>
      <c r="E33" s="4" t="s">
        <v>138</v>
      </c>
      <c r="F33" s="5"/>
      <c r="G33" s="4" t="s">
        <v>73</v>
      </c>
      <c r="H33" s="5">
        <v>2855</v>
      </c>
      <c r="I33" s="4" t="s">
        <v>139</v>
      </c>
      <c r="J33" s="4"/>
      <c r="K33" s="4"/>
    </row>
    <row r="34" spans="1:11" x14ac:dyDescent="0.25">
      <c r="A34" s="2" t="s">
        <v>113</v>
      </c>
      <c r="B34" s="3">
        <v>46305</v>
      </c>
      <c r="C34" s="2" t="s">
        <v>25</v>
      </c>
      <c r="D34" s="2" t="s">
        <v>140</v>
      </c>
      <c r="E34" s="4" t="s">
        <v>141</v>
      </c>
      <c r="F34" s="5"/>
      <c r="G34" s="4" t="s">
        <v>142</v>
      </c>
      <c r="H34" s="5">
        <v>3015</v>
      </c>
      <c r="I34" s="4" t="s">
        <v>143</v>
      </c>
      <c r="J34" s="4"/>
      <c r="K34" s="4"/>
    </row>
    <row r="35" spans="1:11" x14ac:dyDescent="0.25">
      <c r="A35" s="2" t="s">
        <v>113</v>
      </c>
      <c r="B35" s="3">
        <v>46306</v>
      </c>
      <c r="C35" s="2" t="s">
        <v>25</v>
      </c>
      <c r="D35" s="2" t="s">
        <v>144</v>
      </c>
      <c r="E35" s="4" t="s">
        <v>145</v>
      </c>
      <c r="F35" s="5"/>
      <c r="G35" s="4" t="s">
        <v>146</v>
      </c>
      <c r="H35" s="5">
        <v>2825</v>
      </c>
      <c r="I35" s="4" t="s">
        <v>143</v>
      </c>
      <c r="J35" s="4"/>
      <c r="K35" s="4"/>
    </row>
    <row r="36" spans="1:11" x14ac:dyDescent="0.25">
      <c r="A36" s="2" t="s">
        <v>113</v>
      </c>
      <c r="B36" s="3">
        <v>46306</v>
      </c>
      <c r="C36" s="2" t="s">
        <v>25</v>
      </c>
      <c r="D36" s="2" t="s">
        <v>147</v>
      </c>
      <c r="E36" s="4" t="s">
        <v>148</v>
      </c>
      <c r="F36" s="5"/>
      <c r="G36" s="4" t="s">
        <v>149</v>
      </c>
      <c r="H36" s="5">
        <v>1425</v>
      </c>
      <c r="I36" s="4" t="s">
        <v>143</v>
      </c>
      <c r="J36" s="4"/>
      <c r="K36" s="4"/>
    </row>
    <row r="37" spans="1:11" x14ac:dyDescent="0.25">
      <c r="A37" s="2" t="s">
        <v>113</v>
      </c>
      <c r="B37" s="3">
        <v>46307</v>
      </c>
      <c r="C37" s="2" t="s">
        <v>25</v>
      </c>
      <c r="D37" s="2" t="s">
        <v>150</v>
      </c>
      <c r="E37" s="4" t="s">
        <v>151</v>
      </c>
      <c r="F37" s="5"/>
      <c r="G37" s="4" t="s">
        <v>152</v>
      </c>
      <c r="H37" s="5">
        <v>2795</v>
      </c>
      <c r="I37" s="4" t="s">
        <v>143</v>
      </c>
      <c r="J37" s="4"/>
      <c r="K37" s="4"/>
    </row>
    <row r="38" spans="1:11" x14ac:dyDescent="0.25">
      <c r="A38" s="2" t="s">
        <v>113</v>
      </c>
      <c r="B38" s="3">
        <v>46308</v>
      </c>
      <c r="C38" s="2" t="s">
        <v>25</v>
      </c>
      <c r="D38" s="2" t="s">
        <v>102</v>
      </c>
      <c r="E38" s="4" t="s">
        <v>153</v>
      </c>
      <c r="F38" s="5"/>
      <c r="G38" s="4" t="s">
        <v>154</v>
      </c>
      <c r="H38" s="5">
        <v>1415</v>
      </c>
      <c r="I38" s="4" t="s">
        <v>143</v>
      </c>
      <c r="J38" s="4"/>
      <c r="K38" s="4"/>
    </row>
    <row r="39" spans="1:11" x14ac:dyDescent="0.25">
      <c r="A39" s="2" t="s">
        <v>113</v>
      </c>
      <c r="B39" s="3">
        <v>46309</v>
      </c>
      <c r="C39" s="2" t="s">
        <v>25</v>
      </c>
      <c r="D39" s="2" t="s">
        <v>155</v>
      </c>
      <c r="E39" s="4" t="s">
        <v>156</v>
      </c>
      <c r="F39" s="5"/>
      <c r="G39" s="4" t="s">
        <v>157</v>
      </c>
      <c r="H39" s="5">
        <v>2115</v>
      </c>
      <c r="I39" s="4" t="s">
        <v>143</v>
      </c>
      <c r="J39" s="4"/>
      <c r="K39" s="4"/>
    </row>
    <row r="40" spans="1:11" x14ac:dyDescent="0.25">
      <c r="A40" s="2" t="s">
        <v>113</v>
      </c>
      <c r="B40" s="3">
        <v>46310</v>
      </c>
      <c r="C40" s="2" t="s">
        <v>25</v>
      </c>
      <c r="D40" s="2" t="s">
        <v>158</v>
      </c>
      <c r="E40" s="4" t="s">
        <v>159</v>
      </c>
      <c r="F40" s="5"/>
      <c r="G40" s="4" t="s">
        <v>160</v>
      </c>
      <c r="H40" s="5">
        <v>1905</v>
      </c>
      <c r="I40" s="4" t="s">
        <v>143</v>
      </c>
      <c r="J40" s="4"/>
      <c r="K40" s="4"/>
    </row>
    <row r="41" spans="1:11" x14ac:dyDescent="0.25">
      <c r="A41" s="2" t="s">
        <v>113</v>
      </c>
      <c r="B41" s="3">
        <v>46311</v>
      </c>
      <c r="C41" s="2" t="s">
        <v>25</v>
      </c>
      <c r="D41" s="2" t="s">
        <v>161</v>
      </c>
      <c r="E41" s="4" t="s">
        <v>85</v>
      </c>
      <c r="F41" s="5"/>
      <c r="G41" s="4" t="s">
        <v>85</v>
      </c>
      <c r="H41" s="5">
        <v>2775</v>
      </c>
      <c r="I41" s="4" t="s">
        <v>162</v>
      </c>
      <c r="J41" s="4"/>
      <c r="K41" s="4"/>
    </row>
    <row r="42" spans="1:11" x14ac:dyDescent="0.25">
      <c r="A42" s="2" t="s">
        <v>113</v>
      </c>
      <c r="B42" s="3">
        <v>46312</v>
      </c>
      <c r="C42" s="2" t="s">
        <v>25</v>
      </c>
      <c r="D42" s="2" t="s">
        <v>90</v>
      </c>
      <c r="E42" s="4" t="s">
        <v>163</v>
      </c>
      <c r="F42" s="5"/>
      <c r="G42" s="4" t="s">
        <v>164</v>
      </c>
      <c r="H42" s="5">
        <v>1925</v>
      </c>
      <c r="I42" s="4" t="s">
        <v>143</v>
      </c>
      <c r="J42" s="4"/>
      <c r="K42" s="4"/>
    </row>
    <row r="43" spans="1:11" x14ac:dyDescent="0.25">
      <c r="A43" s="2" t="s">
        <v>113</v>
      </c>
      <c r="B43" s="3">
        <v>46314</v>
      </c>
      <c r="C43" s="2" t="s">
        <v>25</v>
      </c>
      <c r="D43" s="2" t="s">
        <v>127</v>
      </c>
      <c r="E43" s="4" t="s">
        <v>165</v>
      </c>
      <c r="F43" s="5"/>
      <c r="G43" s="4" t="s">
        <v>166</v>
      </c>
      <c r="H43" s="5">
        <v>1725</v>
      </c>
      <c r="I43" s="4" t="s">
        <v>143</v>
      </c>
      <c r="J43" s="4"/>
      <c r="K43" s="4"/>
    </row>
    <row r="44" spans="1:11" x14ac:dyDescent="0.25">
      <c r="A44" s="2" t="s">
        <v>113</v>
      </c>
      <c r="B44" s="3">
        <v>46315</v>
      </c>
      <c r="C44" s="2" t="s">
        <v>30</v>
      </c>
      <c r="D44" s="2" t="s">
        <v>167</v>
      </c>
      <c r="E44" s="4" t="s">
        <v>168</v>
      </c>
      <c r="F44" s="5"/>
      <c r="G44" s="4" t="s">
        <v>169</v>
      </c>
      <c r="H44" s="5">
        <v>3660</v>
      </c>
      <c r="I44" s="4" t="s">
        <v>170</v>
      </c>
      <c r="J44" s="4"/>
      <c r="K44" s="4"/>
    </row>
    <row r="45" spans="1:11" x14ac:dyDescent="0.25">
      <c r="A45" s="2" t="s">
        <v>113</v>
      </c>
      <c r="B45" s="3">
        <v>46317</v>
      </c>
      <c r="C45" s="2" t="s">
        <v>25</v>
      </c>
      <c r="D45" s="2" t="s">
        <v>171</v>
      </c>
      <c r="E45" s="4" t="s">
        <v>172</v>
      </c>
      <c r="F45" s="5"/>
      <c r="G45" s="4" t="s">
        <v>173</v>
      </c>
      <c r="H45" s="5">
        <v>1795</v>
      </c>
      <c r="I45" s="4" t="s">
        <v>174</v>
      </c>
      <c r="J45" s="4"/>
      <c r="K45" s="4"/>
    </row>
    <row r="46" spans="1:11" x14ac:dyDescent="0.25">
      <c r="A46" s="2" t="s">
        <v>113</v>
      </c>
      <c r="B46" s="3">
        <v>46318</v>
      </c>
      <c r="C46" s="2" t="s">
        <v>30</v>
      </c>
      <c r="D46" s="2" t="s">
        <v>84</v>
      </c>
      <c r="E46" s="4" t="s">
        <v>175</v>
      </c>
      <c r="F46" s="5"/>
      <c r="G46" s="4" t="s">
        <v>176</v>
      </c>
      <c r="H46" s="5">
        <v>3750</v>
      </c>
      <c r="I46" s="4" t="s">
        <v>177</v>
      </c>
      <c r="J46" s="4"/>
      <c r="K46" s="4"/>
    </row>
    <row r="47" spans="1:11" x14ac:dyDescent="0.25">
      <c r="A47" s="2" t="s">
        <v>24</v>
      </c>
      <c r="B47" s="3">
        <v>46319</v>
      </c>
      <c r="C47" s="2" t="s">
        <v>25</v>
      </c>
      <c r="D47" s="2" t="s">
        <v>228</v>
      </c>
      <c r="E47" s="4" t="s">
        <v>229</v>
      </c>
      <c r="F47" s="5"/>
      <c r="G47" s="4" t="s">
        <v>230</v>
      </c>
      <c r="H47" s="5">
        <v>2815</v>
      </c>
      <c r="I47" s="4" t="s">
        <v>231</v>
      </c>
      <c r="J47" s="4" t="s">
        <v>232</v>
      </c>
      <c r="K47" s="4"/>
    </row>
    <row r="48" spans="1:11" x14ac:dyDescent="0.25">
      <c r="A48" s="2" t="s">
        <v>24</v>
      </c>
      <c r="B48" s="3">
        <v>46320</v>
      </c>
      <c r="C48" s="2" t="s">
        <v>25</v>
      </c>
      <c r="D48" s="2" t="s">
        <v>137</v>
      </c>
      <c r="E48" s="4" t="s">
        <v>233</v>
      </c>
      <c r="F48" s="5"/>
      <c r="G48" s="4" t="s">
        <v>234</v>
      </c>
      <c r="H48" s="5">
        <v>200</v>
      </c>
      <c r="I48" s="4"/>
      <c r="J48" s="4"/>
      <c r="K48" s="4"/>
    </row>
    <row r="49" spans="1:11" x14ac:dyDescent="0.25">
      <c r="A49" s="2" t="s">
        <v>113</v>
      </c>
      <c r="B49" s="3">
        <v>46319</v>
      </c>
      <c r="C49" s="2" t="s">
        <v>25</v>
      </c>
      <c r="D49" s="2" t="s">
        <v>235</v>
      </c>
      <c r="E49" s="4" t="s">
        <v>236</v>
      </c>
      <c r="F49" s="5"/>
      <c r="G49" s="4" t="s">
        <v>240</v>
      </c>
      <c r="H49" s="5">
        <v>2415</v>
      </c>
      <c r="I49" s="4" t="s">
        <v>237</v>
      </c>
      <c r="J49" s="4" t="s">
        <v>239</v>
      </c>
      <c r="K49" s="4" t="s">
        <v>238</v>
      </c>
    </row>
    <row r="50" spans="1:11" x14ac:dyDescent="0.25">
      <c r="A50" s="2" t="s">
        <v>113</v>
      </c>
      <c r="B50" s="3">
        <v>46320</v>
      </c>
      <c r="C50" s="2" t="s">
        <v>30</v>
      </c>
      <c r="D50" s="2" t="s">
        <v>241</v>
      </c>
      <c r="E50" s="4" t="s">
        <v>242</v>
      </c>
      <c r="F50" s="5"/>
      <c r="G50" s="4" t="s">
        <v>243</v>
      </c>
      <c r="H50" s="5">
        <v>3560</v>
      </c>
      <c r="I50" s="4" t="s">
        <v>244</v>
      </c>
      <c r="J50" s="4" t="s">
        <v>245</v>
      </c>
      <c r="K50" s="4"/>
    </row>
    <row r="51" spans="1:11" x14ac:dyDescent="0.25">
      <c r="A51" s="2"/>
      <c r="B51" s="3"/>
      <c r="C51" s="2"/>
      <c r="D51" s="2"/>
      <c r="E51" s="4"/>
      <c r="F51" s="5"/>
      <c r="G51" s="4"/>
      <c r="H51" s="5"/>
      <c r="I51" s="4"/>
      <c r="J51" s="4"/>
      <c r="K51" s="4"/>
    </row>
    <row r="52" spans="1:11" x14ac:dyDescent="0.25">
      <c r="A52" s="2"/>
      <c r="B52" s="3"/>
      <c r="C52" s="2"/>
      <c r="D52" s="2"/>
      <c r="E52" s="4"/>
      <c r="F52" s="5"/>
      <c r="G52" s="4"/>
      <c r="H52" s="5"/>
      <c r="I52" s="4"/>
      <c r="J52" s="4"/>
      <c r="K52" s="4"/>
    </row>
    <row r="53" spans="1:11" x14ac:dyDescent="0.25">
      <c r="A53" s="2"/>
      <c r="B53" s="3"/>
      <c r="C53" s="2"/>
      <c r="D53" s="2"/>
      <c r="E53" s="4"/>
      <c r="F53" s="5"/>
      <c r="G53" s="4"/>
      <c r="H53" s="5"/>
      <c r="I53" s="4"/>
      <c r="J53" s="4"/>
      <c r="K53" s="4"/>
    </row>
    <row r="54" spans="1:11" x14ac:dyDescent="0.25">
      <c r="A54" s="2"/>
      <c r="B54" s="3"/>
      <c r="C54" s="2"/>
      <c r="D54" s="2"/>
      <c r="E54" s="4"/>
      <c r="F54" s="5"/>
      <c r="G54" s="4"/>
      <c r="H54" s="5"/>
      <c r="I54" s="4"/>
      <c r="J54" s="4"/>
      <c r="K54" s="4"/>
    </row>
    <row r="55" spans="1:11" x14ac:dyDescent="0.25">
      <c r="A55" s="2"/>
      <c r="B55" s="3"/>
      <c r="C55" s="2"/>
      <c r="D55" s="2"/>
      <c r="E55" s="4"/>
      <c r="F55" s="5"/>
      <c r="G55" s="4"/>
      <c r="H55" s="5"/>
      <c r="I55" s="4"/>
      <c r="J55" s="4"/>
      <c r="K55" s="4"/>
    </row>
    <row r="56" spans="1:11" x14ac:dyDescent="0.25">
      <c r="A56" s="2"/>
      <c r="B56" s="3"/>
      <c r="C56" s="2"/>
      <c r="D56" s="2"/>
      <c r="E56" s="4"/>
      <c r="F56" s="5"/>
      <c r="G56" s="4"/>
      <c r="H56" s="5"/>
      <c r="I56" s="4"/>
      <c r="J56" s="4"/>
      <c r="K56" s="4"/>
    </row>
    <row r="57" spans="1:11" x14ac:dyDescent="0.25">
      <c r="A57" s="2"/>
      <c r="B57" s="3"/>
      <c r="C57" s="2"/>
      <c r="D57" s="2"/>
      <c r="E57" s="4"/>
      <c r="F57" s="5"/>
      <c r="G57" s="4"/>
      <c r="H57" s="5"/>
      <c r="I57" s="4"/>
      <c r="J57" s="4"/>
      <c r="K57" s="4"/>
    </row>
    <row r="58" spans="1:11" x14ac:dyDescent="0.25">
      <c r="A58" s="2"/>
      <c r="B58" s="3"/>
      <c r="C58" s="2"/>
      <c r="D58" s="2"/>
      <c r="E58" s="4"/>
      <c r="F58" s="5"/>
      <c r="G58" s="4"/>
      <c r="H58" s="5"/>
      <c r="I58" s="4"/>
      <c r="J58" s="4"/>
      <c r="K58" s="4"/>
    </row>
    <row r="59" spans="1:11" x14ac:dyDescent="0.25">
      <c r="A59" s="2"/>
      <c r="B59" s="3"/>
      <c r="C59" s="2"/>
      <c r="D59" s="2"/>
      <c r="E59" s="4"/>
      <c r="F59" s="5"/>
      <c r="G59" s="4"/>
      <c r="H59" s="5"/>
      <c r="I59" s="4"/>
      <c r="J59" s="4"/>
      <c r="K59" s="4"/>
    </row>
    <row r="60" spans="1:11" x14ac:dyDescent="0.25">
      <c r="A60" s="2"/>
      <c r="B60" s="3"/>
      <c r="C60" s="2"/>
      <c r="D60" s="2"/>
      <c r="E60" s="4"/>
      <c r="F60" s="5"/>
      <c r="G60" s="4"/>
      <c r="H60" s="5"/>
      <c r="I60" s="4"/>
      <c r="J60" s="4"/>
      <c r="K60" s="4"/>
    </row>
    <row r="61" spans="1:11" x14ac:dyDescent="0.25">
      <c r="A61" s="2"/>
      <c r="B61" s="3"/>
      <c r="C61" s="2"/>
      <c r="D61" s="2"/>
      <c r="E61" s="4"/>
      <c r="F61" s="5"/>
      <c r="G61" s="4"/>
      <c r="H61" s="5"/>
      <c r="I61" s="4"/>
      <c r="J61" s="4"/>
      <c r="K61" s="4"/>
    </row>
    <row r="62" spans="1:11" x14ac:dyDescent="0.25">
      <c r="A62" s="2"/>
      <c r="B62" s="3"/>
      <c r="C62" s="2"/>
      <c r="D62" s="2"/>
      <c r="E62" s="4"/>
      <c r="F62" s="5"/>
      <c r="G62" s="4"/>
      <c r="H62" s="5"/>
      <c r="I62" s="4"/>
      <c r="J62" s="4"/>
      <c r="K62" s="4"/>
    </row>
    <row r="63" spans="1:11" x14ac:dyDescent="0.25">
      <c r="A63" s="2"/>
      <c r="B63" s="3"/>
      <c r="C63" s="2"/>
      <c r="D63" s="2"/>
      <c r="E63" s="4"/>
      <c r="F63" s="5"/>
      <c r="G63" s="4"/>
      <c r="H63" s="5"/>
      <c r="I63" s="4"/>
      <c r="J63" s="4"/>
      <c r="K63" s="4"/>
    </row>
    <row r="64" spans="1:11" x14ac:dyDescent="0.25">
      <c r="A64" s="2"/>
      <c r="B64" s="3"/>
      <c r="C64" s="2"/>
      <c r="D64" s="2"/>
      <c r="E64" s="4"/>
      <c r="F64" s="5"/>
      <c r="G64" s="4"/>
      <c r="H64" s="5"/>
      <c r="I64" s="4"/>
      <c r="J64" s="4"/>
      <c r="K64" s="4"/>
    </row>
    <row r="65" spans="1:11" x14ac:dyDescent="0.25">
      <c r="A65" s="2"/>
      <c r="B65" s="3"/>
      <c r="C65" s="2"/>
      <c r="D65" s="2"/>
      <c r="E65" s="4"/>
      <c r="F65" s="5"/>
      <c r="G65" s="4"/>
      <c r="H65" s="5"/>
      <c r="I65" s="4"/>
      <c r="J65" s="4"/>
      <c r="K65" s="4"/>
    </row>
    <row r="66" spans="1:11" x14ac:dyDescent="0.25">
      <c r="A66" s="2"/>
      <c r="B66" s="3"/>
      <c r="C66" s="2"/>
      <c r="D66" s="2"/>
      <c r="E66" s="4"/>
      <c r="F66" s="5"/>
      <c r="G66" s="4"/>
      <c r="H66" s="5"/>
      <c r="I66" s="4"/>
      <c r="J66" s="4"/>
      <c r="K66" s="4"/>
    </row>
    <row r="67" spans="1:11" x14ac:dyDescent="0.25">
      <c r="A67" s="2"/>
      <c r="B67" s="3"/>
      <c r="C67" s="2"/>
      <c r="D67" s="2"/>
      <c r="E67" s="4"/>
      <c r="F67" s="5"/>
      <c r="G67" s="4"/>
      <c r="H67" s="5"/>
      <c r="I67" s="4"/>
      <c r="J67" s="4"/>
      <c r="K67" s="4"/>
    </row>
    <row r="68" spans="1:11" x14ac:dyDescent="0.25">
      <c r="A68" s="2"/>
      <c r="B68" s="3"/>
      <c r="C68" s="2"/>
      <c r="D68" s="2"/>
      <c r="E68" s="4"/>
      <c r="F68" s="5"/>
      <c r="G68" s="4"/>
      <c r="H68" s="5"/>
      <c r="I68" s="4"/>
      <c r="J68" s="4"/>
      <c r="K68" s="4"/>
    </row>
    <row r="69" spans="1:11" x14ac:dyDescent="0.25">
      <c r="A69" s="2"/>
      <c r="B69" s="3"/>
      <c r="C69" s="2"/>
      <c r="D69" s="2"/>
      <c r="E69" s="4"/>
      <c r="F69" s="5"/>
      <c r="G69" s="4"/>
      <c r="H69" s="5"/>
      <c r="I69" s="4"/>
      <c r="J69" s="4"/>
      <c r="K69" s="4"/>
    </row>
    <row r="70" spans="1:11" x14ac:dyDescent="0.25">
      <c r="A70" s="2"/>
      <c r="B70" s="3"/>
      <c r="C70" s="2"/>
      <c r="D70" s="2"/>
      <c r="E70" s="4"/>
      <c r="F70" s="5"/>
      <c r="G70" s="4"/>
      <c r="H70" s="5"/>
      <c r="I70" s="4"/>
      <c r="J70" s="4"/>
      <c r="K70" s="4"/>
    </row>
    <row r="71" spans="1:11" x14ac:dyDescent="0.25">
      <c r="A71" s="2"/>
      <c r="B71" s="3"/>
      <c r="C71" s="2"/>
      <c r="D71" s="2"/>
      <c r="E71" s="4"/>
      <c r="F71" s="5"/>
      <c r="G71" s="4"/>
      <c r="H71" s="5"/>
      <c r="I71" s="4"/>
      <c r="J71" s="4"/>
      <c r="K71" s="4"/>
    </row>
    <row r="72" spans="1:11" x14ac:dyDescent="0.25">
      <c r="A72" s="2"/>
      <c r="B72" s="3"/>
      <c r="C72" s="2"/>
      <c r="D72" s="2"/>
      <c r="E72" s="4"/>
      <c r="F72" s="5"/>
      <c r="G72" s="4"/>
      <c r="H72" s="5"/>
      <c r="I72" s="4"/>
      <c r="J72" s="4"/>
      <c r="K72" s="4"/>
    </row>
    <row r="73" spans="1:11" x14ac:dyDescent="0.25">
      <c r="A73" s="2"/>
      <c r="B73" s="3"/>
      <c r="C73" s="2"/>
      <c r="D73" s="2"/>
      <c r="E73" s="4"/>
      <c r="F73" s="5"/>
      <c r="G73" s="4"/>
      <c r="H73" s="5"/>
      <c r="I73" s="4"/>
      <c r="J73" s="4"/>
      <c r="K73" s="4"/>
    </row>
    <row r="74" spans="1:11" x14ac:dyDescent="0.25">
      <c r="A74" s="2"/>
      <c r="B74" s="3"/>
      <c r="C74" s="2"/>
      <c r="D74" s="2"/>
      <c r="E74" s="4"/>
      <c r="F74" s="5"/>
      <c r="G74" s="4"/>
      <c r="H74" s="5"/>
      <c r="I74" s="4"/>
      <c r="J74" s="4"/>
      <c r="K74" s="4"/>
    </row>
    <row r="75" spans="1:11" x14ac:dyDescent="0.25">
      <c r="A75" s="2"/>
      <c r="B75" s="3"/>
      <c r="C75" s="2"/>
      <c r="D75" s="2"/>
      <c r="E75" s="4"/>
      <c r="F75" s="5"/>
      <c r="G75" s="4"/>
      <c r="H75" s="5"/>
      <c r="I75" s="4"/>
      <c r="J75" s="4"/>
      <c r="K75" s="4"/>
    </row>
    <row r="76" spans="1:11" x14ac:dyDescent="0.25">
      <c r="A76" s="2"/>
      <c r="B76" s="3"/>
      <c r="C76" s="2"/>
      <c r="D76" s="2"/>
      <c r="E76" s="4"/>
      <c r="F76" s="5"/>
      <c r="G76" s="4"/>
      <c r="H76" s="5"/>
      <c r="I76" s="4"/>
      <c r="J76" s="4"/>
      <c r="K76" s="4"/>
    </row>
    <row r="77" spans="1:11" x14ac:dyDescent="0.25">
      <c r="A77" s="2"/>
      <c r="B77" s="3"/>
      <c r="C77" s="2"/>
      <c r="D77" s="2"/>
      <c r="E77" s="4"/>
      <c r="F77" s="5"/>
      <c r="G77" s="4"/>
      <c r="H77" s="5"/>
      <c r="I77" s="4"/>
      <c r="J77" s="4"/>
      <c r="K77" s="4"/>
    </row>
    <row r="78" spans="1:11" x14ac:dyDescent="0.25">
      <c r="A78" s="2"/>
      <c r="B78" s="3"/>
      <c r="C78" s="2"/>
      <c r="D78" s="2"/>
      <c r="E78" s="4"/>
      <c r="F78" s="5"/>
      <c r="G78" s="4"/>
      <c r="H78" s="5"/>
      <c r="I78" s="4"/>
      <c r="J78" s="4"/>
      <c r="K78" s="4"/>
    </row>
    <row r="79" spans="1:11" x14ac:dyDescent="0.25">
      <c r="A79" s="2"/>
      <c r="B79" s="3"/>
      <c r="C79" s="2"/>
      <c r="D79" s="2"/>
      <c r="E79" s="4"/>
      <c r="F79" s="5"/>
      <c r="G79" s="4"/>
      <c r="H79" s="5"/>
      <c r="I79" s="4"/>
      <c r="J79" s="4"/>
      <c r="K79" s="4"/>
    </row>
    <row r="80" spans="1:11" x14ac:dyDescent="0.25">
      <c r="A80" s="2"/>
      <c r="B80" s="3"/>
      <c r="C80" s="2"/>
      <c r="D80" s="2"/>
      <c r="E80" s="4"/>
      <c r="F80" s="5"/>
      <c r="G80" s="4"/>
      <c r="H80" s="5"/>
      <c r="I80" s="4"/>
      <c r="J80" s="4"/>
      <c r="K80" s="4"/>
    </row>
    <row r="81" spans="1:11" x14ac:dyDescent="0.25">
      <c r="A81" s="2"/>
      <c r="B81" s="3"/>
      <c r="C81" s="2"/>
      <c r="D81" s="2"/>
      <c r="E81" s="4"/>
      <c r="F81" s="5"/>
      <c r="G81" s="4"/>
      <c r="H81" s="5"/>
      <c r="I81" s="4"/>
      <c r="J81" s="4"/>
      <c r="K81" s="4"/>
    </row>
    <row r="82" spans="1:11" x14ac:dyDescent="0.25">
      <c r="A82" s="2"/>
      <c r="B82" s="3"/>
      <c r="C82" s="2"/>
      <c r="D82" s="2"/>
      <c r="E82" s="4"/>
      <c r="F82" s="5"/>
      <c r="G82" s="4"/>
      <c r="H82" s="5"/>
      <c r="I82" s="4"/>
      <c r="J82" s="4"/>
      <c r="K82" s="4"/>
    </row>
    <row r="83" spans="1:11" x14ac:dyDescent="0.25">
      <c r="A83" s="2"/>
      <c r="B83" s="3"/>
      <c r="C83" s="2"/>
      <c r="D83" s="2"/>
      <c r="E83" s="4"/>
      <c r="F83" s="5"/>
      <c r="G83" s="4"/>
      <c r="H83" s="5"/>
      <c r="I83" s="4"/>
      <c r="J83" s="4"/>
      <c r="K83" s="4"/>
    </row>
    <row r="84" spans="1:11" x14ac:dyDescent="0.25">
      <c r="A84" s="2"/>
      <c r="B84" s="3"/>
      <c r="C84" s="2"/>
      <c r="D84" s="2"/>
      <c r="E84" s="4"/>
      <c r="F84" s="5"/>
      <c r="G84" s="4"/>
      <c r="H84" s="5"/>
      <c r="I84" s="4"/>
      <c r="J84" s="4"/>
      <c r="K84" s="4"/>
    </row>
    <row r="85" spans="1:11" x14ac:dyDescent="0.25">
      <c r="A85" s="2"/>
      <c r="B85" s="3"/>
      <c r="C85" s="2"/>
      <c r="D85" s="2"/>
      <c r="E85" s="4"/>
      <c r="F85" s="5"/>
      <c r="G85" s="4"/>
      <c r="H85" s="5"/>
      <c r="I85" s="4"/>
      <c r="J85" s="4"/>
      <c r="K85" s="4"/>
    </row>
    <row r="86" spans="1:11" x14ac:dyDescent="0.25">
      <c r="A86" s="2"/>
      <c r="B86" s="3"/>
      <c r="C86" s="2"/>
      <c r="D86" s="2"/>
      <c r="E86" s="4"/>
      <c r="F86" s="5"/>
      <c r="G86" s="4"/>
      <c r="H86" s="5"/>
      <c r="I86" s="4"/>
      <c r="J86" s="4"/>
      <c r="K86" s="4"/>
    </row>
    <row r="87" spans="1:11" x14ac:dyDescent="0.25">
      <c r="A87" s="2"/>
      <c r="B87" s="3"/>
      <c r="C87" s="2"/>
      <c r="D87" s="2"/>
      <c r="E87" s="4"/>
      <c r="F87" s="5"/>
      <c r="G87" s="4"/>
      <c r="H87" s="5"/>
      <c r="I87" s="4"/>
      <c r="J87" s="4"/>
      <c r="K87" s="4"/>
    </row>
    <row r="88" spans="1:11" x14ac:dyDescent="0.25">
      <c r="A88" s="2"/>
      <c r="B88" s="3"/>
      <c r="C88" s="2"/>
      <c r="D88" s="2"/>
      <c r="E88" s="4"/>
      <c r="F88" s="5"/>
      <c r="G88" s="4"/>
      <c r="H88" s="5"/>
      <c r="I88" s="4"/>
      <c r="J88" s="4"/>
      <c r="K88" s="4"/>
    </row>
    <row r="89" spans="1:11" x14ac:dyDescent="0.25">
      <c r="A89" s="2"/>
      <c r="B89" s="3"/>
      <c r="C89" s="2"/>
      <c r="D89" s="2"/>
      <c r="E89" s="4"/>
      <c r="F89" s="5"/>
      <c r="G89" s="4"/>
      <c r="H89" s="5"/>
      <c r="I89" s="4"/>
      <c r="J89" s="4"/>
      <c r="K89" s="4"/>
    </row>
    <row r="90" spans="1:11" x14ac:dyDescent="0.25">
      <c r="A90" s="2"/>
      <c r="B90" s="3"/>
      <c r="C90" s="2"/>
      <c r="D90" s="2"/>
      <c r="E90" s="4"/>
      <c r="F90" s="5"/>
      <c r="G90" s="4"/>
      <c r="H90" s="5"/>
      <c r="I90" s="4"/>
      <c r="J90" s="4"/>
      <c r="K90" s="4"/>
    </row>
    <row r="91" spans="1:11" x14ac:dyDescent="0.25">
      <c r="A91" s="2"/>
      <c r="B91" s="3"/>
      <c r="C91" s="2"/>
      <c r="D91" s="2"/>
      <c r="E91" s="4"/>
      <c r="F91" s="5"/>
      <c r="G91" s="4"/>
      <c r="H91" s="5"/>
      <c r="I91" s="4"/>
      <c r="J91" s="4"/>
      <c r="K91" s="4"/>
    </row>
    <row r="92" spans="1:11" x14ac:dyDescent="0.25">
      <c r="A92" s="2"/>
      <c r="B92" s="3"/>
      <c r="C92" s="2"/>
      <c r="D92" s="2"/>
      <c r="E92" s="4"/>
      <c r="F92" s="5"/>
      <c r="G92" s="4"/>
      <c r="H92" s="5"/>
      <c r="I92" s="4"/>
      <c r="J92" s="4"/>
      <c r="K92" s="4"/>
    </row>
    <row r="93" spans="1:11" x14ac:dyDescent="0.25">
      <c r="A93" s="2"/>
      <c r="B93" s="3"/>
      <c r="C93" s="2"/>
      <c r="D93" s="2"/>
      <c r="E93" s="4"/>
      <c r="F93" s="5"/>
      <c r="G93" s="4"/>
      <c r="H93" s="5"/>
      <c r="I93" s="4"/>
      <c r="J93" s="4"/>
      <c r="K93" s="4"/>
    </row>
    <row r="94" spans="1:11" x14ac:dyDescent="0.25">
      <c r="A94" s="2"/>
      <c r="B94" s="3"/>
      <c r="C94" s="2"/>
      <c r="D94" s="2"/>
      <c r="E94" s="4"/>
      <c r="F94" s="5"/>
      <c r="G94" s="4"/>
      <c r="H94" s="5"/>
      <c r="I94" s="4"/>
      <c r="J94" s="4"/>
      <c r="K94" s="4"/>
    </row>
    <row r="95" spans="1:11" x14ac:dyDescent="0.25">
      <c r="A95" s="2"/>
      <c r="B95" s="3"/>
      <c r="C95" s="2"/>
      <c r="D95" s="2"/>
      <c r="E95" s="4"/>
      <c r="F95" s="5"/>
      <c r="G95" s="4"/>
      <c r="H95" s="5"/>
      <c r="I95" s="4"/>
      <c r="J95" s="4"/>
      <c r="K95" s="4"/>
    </row>
    <row r="96" spans="1:11" x14ac:dyDescent="0.25">
      <c r="A96" s="2"/>
      <c r="B96" s="3"/>
      <c r="C96" s="2"/>
      <c r="D96" s="2"/>
      <c r="E96" s="4"/>
      <c r="F96" s="5"/>
      <c r="G96" s="4"/>
      <c r="H96" s="5"/>
      <c r="I96" s="4"/>
      <c r="J96" s="4"/>
      <c r="K96" s="4"/>
    </row>
    <row r="97" spans="1:11" x14ac:dyDescent="0.25">
      <c r="A97" s="2"/>
      <c r="B97" s="3"/>
      <c r="C97" s="2"/>
      <c r="D97" s="2"/>
      <c r="E97" s="4"/>
      <c r="F97" s="5"/>
      <c r="G97" s="4"/>
      <c r="H97" s="5"/>
      <c r="I97" s="4"/>
      <c r="J97" s="4"/>
      <c r="K97" s="4"/>
    </row>
    <row r="98" spans="1:11" x14ac:dyDescent="0.25">
      <c r="A98" s="2"/>
      <c r="B98" s="3"/>
      <c r="C98" s="2"/>
      <c r="D98" s="2"/>
      <c r="E98" s="4"/>
      <c r="F98" s="5"/>
      <c r="G98" s="4"/>
      <c r="H98" s="5"/>
      <c r="I98" s="4"/>
      <c r="J98" s="4"/>
      <c r="K98" s="4"/>
    </row>
    <row r="99" spans="1:11" x14ac:dyDescent="0.25">
      <c r="A99" s="2"/>
      <c r="B99" s="3"/>
      <c r="C99" s="2"/>
      <c r="D99" s="2"/>
      <c r="E99" s="4"/>
      <c r="F99" s="5"/>
      <c r="G99" s="4"/>
      <c r="H99" s="5"/>
      <c r="I99" s="4"/>
      <c r="J99" s="4"/>
      <c r="K99" s="4"/>
    </row>
    <row r="100" spans="1:11" x14ac:dyDescent="0.25">
      <c r="A100" s="2"/>
      <c r="B100" s="3"/>
      <c r="C100" s="2"/>
      <c r="D100" s="2"/>
      <c r="E100" s="4"/>
      <c r="F100" s="5"/>
      <c r="G100" s="4"/>
      <c r="H100" s="5"/>
      <c r="I100" s="4"/>
      <c r="J100" s="4"/>
      <c r="K100" s="4"/>
    </row>
    <row r="101" spans="1:11" x14ac:dyDescent="0.25">
      <c r="A101" s="2"/>
      <c r="B101" s="3"/>
      <c r="C101" s="2"/>
      <c r="D101" s="2"/>
      <c r="E101" s="4"/>
      <c r="F101" s="5"/>
      <c r="G101" s="4"/>
      <c r="H101" s="5"/>
      <c r="I101" s="4"/>
      <c r="J101" s="4"/>
      <c r="K101" s="4"/>
    </row>
    <row r="102" spans="1:11" x14ac:dyDescent="0.25">
      <c r="A102" s="2"/>
      <c r="B102" s="3"/>
      <c r="C102" s="2"/>
      <c r="D102" s="2"/>
      <c r="E102" s="4"/>
      <c r="F102" s="5"/>
      <c r="G102" s="4"/>
      <c r="H102" s="5"/>
      <c r="I102" s="4"/>
      <c r="J102" s="4"/>
      <c r="K102" s="4"/>
    </row>
    <row r="103" spans="1:11" x14ac:dyDescent="0.25">
      <c r="A103" s="2"/>
      <c r="B103" s="3"/>
      <c r="C103" s="2"/>
      <c r="D103" s="2"/>
      <c r="E103" s="4"/>
      <c r="F103" s="5"/>
      <c r="G103" s="4"/>
      <c r="H103" s="5"/>
      <c r="I103" s="4"/>
      <c r="J103" s="4"/>
      <c r="K103" s="4"/>
    </row>
    <row r="104" spans="1:11" x14ac:dyDescent="0.25">
      <c r="A104" s="2"/>
      <c r="B104" s="3"/>
      <c r="C104" s="2"/>
      <c r="D104" s="2"/>
      <c r="E104" s="4"/>
      <c r="F104" s="5"/>
      <c r="G104" s="4"/>
      <c r="H104" s="5"/>
      <c r="I104" s="4"/>
      <c r="J104" s="4"/>
      <c r="K104" s="4"/>
    </row>
    <row r="105" spans="1:11" x14ac:dyDescent="0.25">
      <c r="A105" s="2"/>
      <c r="B105" s="3"/>
      <c r="C105" s="2"/>
      <c r="D105" s="2"/>
      <c r="E105" s="4"/>
      <c r="F105" s="5"/>
      <c r="G105" s="4"/>
      <c r="H105" s="5"/>
      <c r="I105" s="4"/>
      <c r="J105" s="4"/>
      <c r="K105" s="4"/>
    </row>
    <row r="106" spans="1:11" x14ac:dyDescent="0.25">
      <c r="A106" s="2"/>
      <c r="B106" s="3"/>
      <c r="C106" s="2"/>
      <c r="D106" s="2"/>
      <c r="E106" s="4"/>
      <c r="F106" s="5"/>
      <c r="G106" s="4"/>
      <c r="H106" s="5"/>
      <c r="I106" s="4"/>
      <c r="J106" s="4"/>
      <c r="K106" s="4"/>
    </row>
    <row r="107" spans="1:11" x14ac:dyDescent="0.25">
      <c r="A107" s="2"/>
      <c r="B107" s="3"/>
      <c r="C107" s="2"/>
      <c r="D107" s="2"/>
      <c r="E107" s="4"/>
      <c r="F107" s="5"/>
      <c r="G107" s="4"/>
      <c r="H107" s="5"/>
      <c r="I107" s="4"/>
      <c r="J107" s="4"/>
      <c r="K107" s="4"/>
    </row>
    <row r="108" spans="1:11" x14ac:dyDescent="0.25">
      <c r="A108" s="2"/>
      <c r="B108" s="3"/>
      <c r="C108" s="2"/>
      <c r="D108" s="2"/>
      <c r="E108" s="4"/>
      <c r="F108" s="5"/>
      <c r="G108" s="4"/>
      <c r="H108" s="5"/>
      <c r="I108" s="4"/>
      <c r="J108" s="4"/>
      <c r="K108" s="4"/>
    </row>
    <row r="109" spans="1:11" x14ac:dyDescent="0.25">
      <c r="A109" s="2"/>
      <c r="B109" s="3"/>
      <c r="C109" s="2"/>
      <c r="D109" s="2"/>
      <c r="E109" s="4"/>
      <c r="F109" s="5"/>
      <c r="G109" s="4"/>
      <c r="H109" s="5"/>
      <c r="I109" s="4"/>
      <c r="J109" s="4"/>
      <c r="K109" s="4"/>
    </row>
    <row r="110" spans="1:11" x14ac:dyDescent="0.25">
      <c r="A110" s="2"/>
      <c r="B110" s="3"/>
      <c r="C110" s="2"/>
      <c r="D110" s="2"/>
      <c r="E110" s="4"/>
      <c r="F110" s="5"/>
      <c r="G110" s="4"/>
      <c r="H110" s="5"/>
      <c r="I110" s="4"/>
      <c r="J110" s="4"/>
      <c r="K110" s="4"/>
    </row>
    <row r="111" spans="1:11" x14ac:dyDescent="0.25">
      <c r="A111" s="2"/>
      <c r="B111" s="3"/>
      <c r="C111" s="2"/>
      <c r="D111" s="2"/>
      <c r="E111" s="4"/>
      <c r="F111" s="5"/>
      <c r="G111" s="4"/>
      <c r="H111" s="5"/>
      <c r="I111" s="4"/>
      <c r="J111" s="4"/>
      <c r="K111" s="4"/>
    </row>
    <row r="112" spans="1:11" x14ac:dyDescent="0.25">
      <c r="A112" s="2"/>
      <c r="B112" s="3"/>
      <c r="C112" s="2"/>
      <c r="D112" s="2"/>
      <c r="E112" s="4"/>
      <c r="F112" s="5"/>
      <c r="G112" s="4"/>
      <c r="H112" s="5"/>
      <c r="I112" s="4"/>
      <c r="J112" s="4"/>
      <c r="K112" s="4"/>
    </row>
    <row r="113" spans="1:11" x14ac:dyDescent="0.25">
      <c r="A113" s="2"/>
      <c r="B113" s="3"/>
      <c r="C113" s="2"/>
      <c r="D113" s="2"/>
      <c r="E113" s="4"/>
      <c r="F113" s="5"/>
      <c r="G113" s="4"/>
      <c r="H113" s="5"/>
      <c r="I113" s="4"/>
      <c r="J113" s="4"/>
      <c r="K113" s="4"/>
    </row>
    <row r="114" spans="1:11" x14ac:dyDescent="0.25">
      <c r="A114" s="2"/>
      <c r="B114" s="3"/>
      <c r="C114" s="2"/>
      <c r="D114" s="2"/>
      <c r="E114" s="4"/>
      <c r="F114" s="5"/>
      <c r="G114" s="4"/>
      <c r="H114" s="5"/>
      <c r="I114" s="4"/>
      <c r="J114" s="4"/>
      <c r="K114" s="4"/>
    </row>
    <row r="115" spans="1:11" x14ac:dyDescent="0.25">
      <c r="A115" s="2"/>
      <c r="B115" s="3"/>
      <c r="C115" s="2"/>
      <c r="D115" s="2"/>
      <c r="E115" s="4"/>
      <c r="F115" s="5"/>
      <c r="G115" s="4"/>
      <c r="H115" s="5"/>
      <c r="I115" s="4"/>
      <c r="J115" s="4"/>
      <c r="K115" s="4"/>
    </row>
    <row r="116" spans="1:11" x14ac:dyDescent="0.25">
      <c r="A116" s="2"/>
      <c r="B116" s="3"/>
      <c r="C116" s="2"/>
      <c r="D116" s="2"/>
      <c r="E116" s="4"/>
      <c r="F116" s="5"/>
      <c r="G116" s="4"/>
      <c r="H116" s="5"/>
      <c r="I116" s="4"/>
      <c r="J116" s="4"/>
      <c r="K116" s="4"/>
    </row>
    <row r="117" spans="1:11" x14ac:dyDescent="0.25">
      <c r="A117" s="2"/>
      <c r="B117" s="3"/>
      <c r="C117" s="2"/>
      <c r="D117" s="2"/>
      <c r="E117" s="4"/>
      <c r="F117" s="5"/>
      <c r="G117" s="4"/>
      <c r="H117" s="5"/>
      <c r="I117" s="4"/>
      <c r="J117" s="4"/>
      <c r="K117" s="4"/>
    </row>
    <row r="118" spans="1:11" x14ac:dyDescent="0.25">
      <c r="A118" s="2"/>
      <c r="B118" s="3"/>
      <c r="C118" s="2"/>
      <c r="D118" s="2"/>
      <c r="E118" s="4"/>
      <c r="F118" s="5"/>
      <c r="G118" s="4"/>
      <c r="H118" s="5"/>
      <c r="I118" s="4"/>
      <c r="J118" s="4"/>
      <c r="K118" s="4"/>
    </row>
    <row r="119" spans="1:11" x14ac:dyDescent="0.25">
      <c r="A119" s="2"/>
      <c r="B119" s="3"/>
      <c r="C119" s="2"/>
      <c r="D119" s="2"/>
      <c r="E119" s="4"/>
      <c r="F119" s="5"/>
      <c r="G119" s="4"/>
      <c r="H119" s="5"/>
      <c r="I119" s="4"/>
      <c r="J119" s="4"/>
      <c r="K119" s="4"/>
    </row>
    <row r="120" spans="1:11" x14ac:dyDescent="0.25">
      <c r="A120" s="2"/>
      <c r="B120" s="3"/>
      <c r="C120" s="2"/>
      <c r="D120" s="2"/>
      <c r="E120" s="4"/>
      <c r="F120" s="5"/>
      <c r="G120" s="4"/>
      <c r="H120" s="5"/>
      <c r="I120" s="4"/>
      <c r="J120" s="4"/>
      <c r="K120" s="4"/>
    </row>
    <row r="121" spans="1:11" x14ac:dyDescent="0.25">
      <c r="A121" s="2"/>
      <c r="B121" s="3"/>
      <c r="C121" s="2"/>
      <c r="D121" s="2"/>
      <c r="E121" s="4"/>
      <c r="F121" s="5"/>
      <c r="G121" s="4"/>
      <c r="H121" s="5"/>
      <c r="I121" s="4"/>
      <c r="J121" s="4"/>
      <c r="K121" s="4"/>
    </row>
    <row r="122" spans="1:11" x14ac:dyDescent="0.25">
      <c r="A122" s="2"/>
      <c r="B122" s="3"/>
      <c r="C122" s="2"/>
      <c r="D122" s="2"/>
      <c r="E122" s="4"/>
      <c r="F122" s="5"/>
      <c r="G122" s="4"/>
      <c r="H122" s="5"/>
      <c r="I122" s="4"/>
      <c r="J122" s="4"/>
      <c r="K122" s="4"/>
    </row>
    <row r="123" spans="1:11" x14ac:dyDescent="0.25">
      <c r="A123" s="2"/>
      <c r="B123" s="3"/>
      <c r="C123" s="2"/>
      <c r="D123" s="2"/>
      <c r="E123" s="4"/>
      <c r="F123" s="5"/>
      <c r="G123" s="4"/>
      <c r="H123" s="5"/>
      <c r="I123" s="4"/>
      <c r="J123" s="4"/>
      <c r="K123" s="4"/>
    </row>
    <row r="124" spans="1:11" x14ac:dyDescent="0.25">
      <c r="A124" s="2"/>
      <c r="B124" s="3"/>
      <c r="C124" s="2"/>
      <c r="D124" s="2"/>
      <c r="E124" s="4"/>
      <c r="F124" s="5"/>
      <c r="G124" s="4"/>
      <c r="H124" s="5"/>
      <c r="I124" s="4"/>
      <c r="J124" s="4"/>
      <c r="K124" s="4"/>
    </row>
    <row r="125" spans="1:11" x14ac:dyDescent="0.25">
      <c r="A125" s="2"/>
      <c r="B125" s="3"/>
      <c r="C125" s="2"/>
      <c r="D125" s="2"/>
      <c r="E125" s="4"/>
      <c r="F125" s="5"/>
      <c r="G125" s="4"/>
      <c r="H125" s="5"/>
      <c r="I125" s="4"/>
      <c r="J125" s="4"/>
      <c r="K125" s="4"/>
    </row>
    <row r="126" spans="1:11" x14ac:dyDescent="0.25">
      <c r="A126" s="2"/>
      <c r="B126" s="3"/>
      <c r="C126" s="2"/>
      <c r="D126" s="2"/>
      <c r="E126" s="4"/>
      <c r="F126" s="5"/>
      <c r="G126" s="4"/>
      <c r="H126" s="5"/>
      <c r="I126" s="4"/>
      <c r="J126" s="4"/>
      <c r="K126" s="4"/>
    </row>
    <row r="127" spans="1:11" x14ac:dyDescent="0.25">
      <c r="A127" s="2"/>
      <c r="B127" s="3"/>
      <c r="C127" s="2"/>
      <c r="D127" s="2"/>
      <c r="E127" s="4"/>
      <c r="F127" s="5"/>
      <c r="G127" s="4"/>
      <c r="H127" s="5"/>
      <c r="I127" s="4"/>
      <c r="J127" s="4"/>
      <c r="K127" s="4"/>
    </row>
    <row r="128" spans="1:11" x14ac:dyDescent="0.25">
      <c r="A128" s="2"/>
      <c r="B128" s="3"/>
      <c r="C128" s="2"/>
      <c r="D128" s="2"/>
      <c r="E128" s="4"/>
      <c r="F128" s="5"/>
      <c r="G128" s="4"/>
      <c r="H128" s="5"/>
      <c r="I128" s="4"/>
      <c r="J128" s="4"/>
      <c r="K128" s="4"/>
    </row>
    <row r="129" spans="1:11" x14ac:dyDescent="0.25">
      <c r="A129" s="2"/>
      <c r="B129" s="3"/>
      <c r="C129" s="2"/>
      <c r="D129" s="2"/>
      <c r="E129" s="4"/>
      <c r="F129" s="5"/>
      <c r="G129" s="4"/>
      <c r="H129" s="5"/>
      <c r="I129" s="4"/>
      <c r="J129" s="4"/>
      <c r="K129" s="4"/>
    </row>
    <row r="130" spans="1:11" x14ac:dyDescent="0.25">
      <c r="A130" s="2"/>
      <c r="B130" s="3"/>
      <c r="C130" s="2"/>
      <c r="D130" s="2"/>
      <c r="E130" s="4"/>
      <c r="F130" s="5"/>
      <c r="G130" s="4"/>
      <c r="H130" s="5"/>
      <c r="I130" s="4"/>
      <c r="J130" s="4"/>
      <c r="K130" s="4"/>
    </row>
    <row r="131" spans="1:11" x14ac:dyDescent="0.25">
      <c r="A131" s="2"/>
      <c r="B131" s="3"/>
      <c r="C131" s="2"/>
      <c r="D131" s="2"/>
      <c r="E131" s="4"/>
      <c r="F131" s="5"/>
      <c r="G131" s="4"/>
      <c r="H131" s="5"/>
      <c r="I131" s="4"/>
      <c r="J131" s="4"/>
      <c r="K131" s="4"/>
    </row>
    <row r="132" spans="1:11" x14ac:dyDescent="0.25">
      <c r="A132" s="2"/>
      <c r="B132" s="3"/>
      <c r="C132" s="2"/>
      <c r="D132" s="2"/>
      <c r="E132" s="4"/>
      <c r="F132" s="5"/>
      <c r="G132" s="4"/>
      <c r="H132" s="5"/>
      <c r="I132" s="4"/>
      <c r="J132" s="4"/>
      <c r="K132" s="4"/>
    </row>
    <row r="133" spans="1:11" x14ac:dyDescent="0.25">
      <c r="A133" s="2"/>
      <c r="B133" s="3"/>
      <c r="C133" s="2"/>
      <c r="D133" s="2"/>
      <c r="E133" s="4"/>
      <c r="F133" s="5"/>
      <c r="G133" s="4"/>
      <c r="H133" s="5"/>
      <c r="I133" s="4"/>
      <c r="J133" s="4"/>
      <c r="K133" s="4"/>
    </row>
    <row r="134" spans="1:11" x14ac:dyDescent="0.25">
      <c r="A134" s="2"/>
      <c r="B134" s="3"/>
      <c r="C134" s="2"/>
      <c r="D134" s="2"/>
      <c r="E134" s="4"/>
      <c r="F134" s="5"/>
      <c r="G134" s="4"/>
      <c r="H134" s="5"/>
      <c r="I134" s="4"/>
      <c r="J134" s="4"/>
      <c r="K134" s="4"/>
    </row>
    <row r="135" spans="1:11" x14ac:dyDescent="0.25">
      <c r="A135" s="2"/>
      <c r="B135" s="3"/>
      <c r="C135" s="2"/>
      <c r="D135" s="2"/>
      <c r="E135" s="4"/>
      <c r="F135" s="5"/>
      <c r="G135" s="4"/>
      <c r="H135" s="5"/>
      <c r="I135" s="4"/>
      <c r="J135" s="4"/>
      <c r="K135" s="4"/>
    </row>
    <row r="136" spans="1:11" x14ac:dyDescent="0.25">
      <c r="A136" s="2"/>
      <c r="B136" s="3"/>
      <c r="C136" s="2"/>
      <c r="D136" s="2"/>
      <c r="E136" s="4"/>
      <c r="F136" s="5"/>
      <c r="G136" s="4"/>
      <c r="H136" s="5"/>
      <c r="I136" s="4"/>
      <c r="J136" s="4"/>
      <c r="K136" s="4"/>
    </row>
    <row r="137" spans="1:11" x14ac:dyDescent="0.25">
      <c r="A137" s="2"/>
      <c r="B137" s="3"/>
      <c r="C137" s="2"/>
      <c r="D137" s="2"/>
      <c r="E137" s="4"/>
      <c r="F137" s="5"/>
      <c r="G137" s="4"/>
      <c r="H137" s="5"/>
      <c r="I137" s="4"/>
      <c r="J137" s="4"/>
      <c r="K137" s="4"/>
    </row>
    <row r="138" spans="1:11" x14ac:dyDescent="0.25">
      <c r="A138" s="2"/>
      <c r="B138" s="3"/>
      <c r="C138" s="2"/>
      <c r="D138" s="2"/>
      <c r="E138" s="4"/>
      <c r="F138" s="5"/>
      <c r="G138" s="4"/>
      <c r="H138" s="5"/>
      <c r="I138" s="4"/>
      <c r="J138" s="4"/>
      <c r="K138" s="4"/>
    </row>
    <row r="139" spans="1:11" x14ac:dyDescent="0.25">
      <c r="A139" s="2"/>
      <c r="B139" s="3"/>
      <c r="C139" s="2"/>
      <c r="D139" s="2"/>
      <c r="E139" s="4"/>
      <c r="F139" s="5"/>
      <c r="G139" s="4"/>
      <c r="H139" s="5"/>
      <c r="I139" s="4"/>
      <c r="J139" s="4"/>
      <c r="K139" s="4"/>
    </row>
    <row r="140" spans="1:11" x14ac:dyDescent="0.25">
      <c r="A140" s="2"/>
      <c r="B140" s="3"/>
      <c r="C140" s="2"/>
      <c r="D140" s="2"/>
      <c r="E140" s="4"/>
      <c r="F140" s="5"/>
      <c r="G140" s="4"/>
      <c r="H140" s="5"/>
      <c r="I140" s="4"/>
      <c r="J140" s="4"/>
      <c r="K140" s="4"/>
    </row>
    <row r="141" spans="1:11" x14ac:dyDescent="0.25">
      <c r="A141" s="2"/>
      <c r="B141" s="3"/>
      <c r="C141" s="2"/>
      <c r="D141" s="2"/>
      <c r="E141" s="4"/>
      <c r="F141" s="5"/>
      <c r="G141" s="4"/>
      <c r="H141" s="5"/>
      <c r="I141" s="4"/>
      <c r="J141" s="4"/>
      <c r="K141" s="4"/>
    </row>
    <row r="142" spans="1:11" x14ac:dyDescent="0.25">
      <c r="A142" s="2"/>
      <c r="B142" s="3"/>
      <c r="C142" s="2"/>
      <c r="D142" s="2"/>
      <c r="E142" s="4"/>
      <c r="F142" s="5"/>
      <c r="G142" s="4"/>
      <c r="H142" s="5"/>
      <c r="I142" s="4"/>
      <c r="J142" s="4"/>
      <c r="K142" s="4"/>
    </row>
    <row r="143" spans="1:11" x14ac:dyDescent="0.25">
      <c r="A143" s="2"/>
      <c r="B143" s="3"/>
      <c r="C143" s="2"/>
      <c r="D143" s="2"/>
      <c r="E143" s="4"/>
      <c r="F143" s="5"/>
      <c r="G143" s="4"/>
      <c r="H143" s="5"/>
      <c r="I143" s="4"/>
      <c r="J143" s="4"/>
      <c r="K143" s="4"/>
    </row>
    <row r="144" spans="1:11" x14ac:dyDescent="0.25">
      <c r="A144" s="2"/>
      <c r="B144" s="3"/>
      <c r="C144" s="2"/>
      <c r="D144" s="2"/>
      <c r="E144" s="4"/>
      <c r="F144" s="5"/>
      <c r="G144" s="4"/>
      <c r="H144" s="5"/>
      <c r="I144" s="4"/>
      <c r="J144" s="4"/>
      <c r="K144" s="4"/>
    </row>
    <row r="145" spans="1:11" x14ac:dyDescent="0.25">
      <c r="A145" s="2"/>
      <c r="B145" s="3"/>
      <c r="C145" s="2"/>
      <c r="D145" s="2"/>
      <c r="E145" s="4"/>
      <c r="F145" s="5"/>
      <c r="G145" s="4"/>
      <c r="H145" s="5"/>
      <c r="I145" s="4"/>
      <c r="J145" s="4"/>
      <c r="K145" s="4"/>
    </row>
    <row r="146" spans="1:11" x14ac:dyDescent="0.25">
      <c r="A146" s="2"/>
      <c r="B146" s="3"/>
      <c r="C146" s="2"/>
      <c r="D146" s="2"/>
      <c r="E146" s="4"/>
      <c r="F146" s="5"/>
      <c r="G146" s="4"/>
      <c r="H146" s="5"/>
      <c r="I146" s="4"/>
      <c r="J146" s="4"/>
      <c r="K146" s="4"/>
    </row>
    <row r="147" spans="1:11" x14ac:dyDescent="0.25">
      <c r="A147" s="2"/>
      <c r="B147" s="3"/>
      <c r="C147" s="2"/>
      <c r="D147" s="2"/>
      <c r="E147" s="4"/>
      <c r="F147" s="5"/>
      <c r="G147" s="4"/>
      <c r="H147" s="5"/>
      <c r="I147" s="4"/>
      <c r="J147" s="4"/>
      <c r="K147" s="4"/>
    </row>
    <row r="148" spans="1:11" x14ac:dyDescent="0.25">
      <c r="A148" s="2"/>
      <c r="B148" s="3"/>
      <c r="C148" s="2"/>
      <c r="D148" s="2"/>
      <c r="E148" s="4"/>
      <c r="F148" s="5"/>
      <c r="G148" s="4"/>
      <c r="H148" s="5"/>
      <c r="I148" s="4"/>
      <c r="J148" s="4"/>
      <c r="K148" s="4"/>
    </row>
    <row r="149" spans="1:11" x14ac:dyDescent="0.25">
      <c r="A149" s="2"/>
      <c r="B149" s="3"/>
      <c r="C149" s="2"/>
      <c r="D149" s="2"/>
      <c r="E149" s="4"/>
      <c r="F149" s="5"/>
      <c r="G149" s="4"/>
      <c r="H149" s="5"/>
      <c r="I149" s="4"/>
      <c r="J149" s="4"/>
      <c r="K149" s="4"/>
    </row>
    <row r="150" spans="1:11" x14ac:dyDescent="0.25">
      <c r="A150" s="2"/>
      <c r="B150" s="3"/>
      <c r="C150" s="2"/>
      <c r="D150" s="2"/>
      <c r="E150" s="4"/>
      <c r="F150" s="5"/>
      <c r="G150" s="4"/>
      <c r="H150" s="5"/>
      <c r="I150" s="4"/>
      <c r="J150" s="4"/>
      <c r="K150" s="4"/>
    </row>
    <row r="151" spans="1:11" x14ac:dyDescent="0.25">
      <c r="A151" s="2"/>
      <c r="B151" s="3"/>
      <c r="C151" s="2"/>
      <c r="D151" s="2"/>
      <c r="E151" s="4"/>
      <c r="F151" s="5"/>
      <c r="G151" s="4"/>
      <c r="H151" s="5"/>
      <c r="I151" s="4"/>
      <c r="J151" s="4"/>
      <c r="K151" s="4"/>
    </row>
    <row r="152" spans="1:11" x14ac:dyDescent="0.25">
      <c r="A152" s="2"/>
      <c r="B152" s="3"/>
      <c r="C152" s="2"/>
      <c r="D152" s="2"/>
      <c r="E152" s="4"/>
      <c r="F152" s="5"/>
      <c r="G152" s="4"/>
      <c r="H152" s="5"/>
      <c r="I152" s="4"/>
      <c r="J152" s="4"/>
      <c r="K152" s="4"/>
    </row>
    <row r="153" spans="1:11" x14ac:dyDescent="0.25">
      <c r="A153" s="2"/>
      <c r="B153" s="3"/>
      <c r="C153" s="2"/>
      <c r="D153" s="2"/>
      <c r="E153" s="4"/>
      <c r="F153" s="5"/>
      <c r="G153" s="4"/>
      <c r="H153" s="5"/>
      <c r="I153" s="4"/>
      <c r="J153" s="4"/>
      <c r="K153" s="4"/>
    </row>
    <row r="154" spans="1:11" x14ac:dyDescent="0.25">
      <c r="A154" s="2"/>
      <c r="B154" s="3"/>
      <c r="C154" s="2"/>
      <c r="D154" s="2"/>
      <c r="E154" s="4"/>
      <c r="F154" s="5"/>
      <c r="G154" s="4"/>
      <c r="H154" s="5"/>
      <c r="I154" s="4"/>
      <c r="J154" s="4"/>
      <c r="K154" s="4"/>
    </row>
    <row r="155" spans="1:11" x14ac:dyDescent="0.25">
      <c r="A155" s="2"/>
      <c r="B155" s="3"/>
      <c r="C155" s="2"/>
      <c r="D155" s="2"/>
      <c r="E155" s="4"/>
      <c r="F155" s="5"/>
      <c r="G155" s="4"/>
      <c r="H155" s="5"/>
      <c r="I155" s="4"/>
      <c r="J155" s="4"/>
      <c r="K155" s="4"/>
    </row>
    <row r="156" spans="1:11" x14ac:dyDescent="0.25">
      <c r="A156" s="2"/>
      <c r="B156" s="3"/>
      <c r="C156" s="2"/>
      <c r="D156" s="2"/>
      <c r="E156" s="4"/>
      <c r="F156" s="5"/>
      <c r="G156" s="4"/>
      <c r="H156" s="5"/>
      <c r="I156" s="4"/>
      <c r="J156" s="4"/>
      <c r="K156" s="4"/>
    </row>
    <row r="157" spans="1:11" x14ac:dyDescent="0.25">
      <c r="A157" s="2"/>
      <c r="B157" s="3"/>
      <c r="C157" s="2"/>
      <c r="D157" s="2"/>
      <c r="E157" s="4"/>
      <c r="F157" s="5"/>
      <c r="G157" s="4"/>
      <c r="H157" s="5"/>
      <c r="I157" s="4"/>
      <c r="J157" s="4"/>
      <c r="K157" s="4"/>
    </row>
    <row r="158" spans="1:11" x14ac:dyDescent="0.25">
      <c r="A158" s="2"/>
      <c r="B158" s="3"/>
      <c r="C158" s="2"/>
      <c r="D158" s="2"/>
      <c r="E158" s="4"/>
      <c r="F158" s="5"/>
      <c r="G158" s="4"/>
      <c r="H158" s="5"/>
      <c r="I158" s="4"/>
      <c r="J158" s="4"/>
      <c r="K158" s="4"/>
    </row>
    <row r="159" spans="1:11" x14ac:dyDescent="0.25">
      <c r="A159" s="2"/>
      <c r="B159" s="3"/>
      <c r="C159" s="2"/>
      <c r="D159" s="2"/>
      <c r="E159" s="4"/>
      <c r="F159" s="5"/>
      <c r="G159" s="4"/>
      <c r="H159" s="5"/>
      <c r="I159" s="4"/>
      <c r="J159" s="4"/>
      <c r="K159" s="4"/>
    </row>
    <row r="160" spans="1:11" x14ac:dyDescent="0.25">
      <c r="A160" s="2"/>
      <c r="B160" s="3"/>
      <c r="C160" s="2"/>
      <c r="D160" s="2"/>
      <c r="E160" s="4"/>
      <c r="F160" s="5"/>
      <c r="G160" s="4"/>
      <c r="H160" s="5"/>
      <c r="I160" s="4"/>
      <c r="J160" s="4"/>
      <c r="K160" s="4"/>
    </row>
    <row r="161" spans="1:11" x14ac:dyDescent="0.25">
      <c r="A161" s="2"/>
      <c r="B161" s="3"/>
      <c r="C161" s="2"/>
      <c r="D161" s="2"/>
      <c r="E161" s="4"/>
      <c r="F161" s="5"/>
      <c r="G161" s="4"/>
      <c r="H161" s="5"/>
      <c r="I161" s="4"/>
      <c r="J161" s="4"/>
      <c r="K161" s="4"/>
    </row>
    <row r="162" spans="1:11" x14ac:dyDescent="0.25">
      <c r="A162" s="2"/>
      <c r="B162" s="3"/>
      <c r="C162" s="2"/>
      <c r="D162" s="2"/>
      <c r="E162" s="4"/>
      <c r="F162" s="5"/>
      <c r="G162" s="4"/>
      <c r="H162" s="5"/>
      <c r="I162" s="4"/>
      <c r="J162" s="4"/>
      <c r="K162" s="4"/>
    </row>
    <row r="163" spans="1:11" x14ac:dyDescent="0.25">
      <c r="A163" s="2"/>
      <c r="B163" s="3"/>
      <c r="C163" s="2"/>
      <c r="D163" s="2"/>
      <c r="E163" s="4"/>
      <c r="F163" s="5"/>
      <c r="G163" s="4"/>
      <c r="H163" s="5"/>
      <c r="I163" s="4"/>
      <c r="J163" s="4"/>
      <c r="K163" s="4"/>
    </row>
    <row r="164" spans="1:11" x14ac:dyDescent="0.25">
      <c r="A164" s="2"/>
      <c r="B164" s="3"/>
      <c r="C164" s="2"/>
      <c r="D164" s="2"/>
      <c r="E164" s="4"/>
      <c r="F164" s="5"/>
      <c r="G164" s="4"/>
      <c r="H164" s="5"/>
      <c r="I164" s="4"/>
      <c r="J164" s="4"/>
      <c r="K164" s="4"/>
    </row>
    <row r="165" spans="1:11" x14ac:dyDescent="0.25">
      <c r="A165" s="2"/>
      <c r="B165" s="3"/>
      <c r="C165" s="2"/>
      <c r="D165" s="2"/>
      <c r="E165" s="4"/>
      <c r="F165" s="5"/>
      <c r="G165" s="4"/>
      <c r="H165" s="5"/>
      <c r="I165" s="4"/>
      <c r="J165" s="4"/>
      <c r="K165" s="4"/>
    </row>
    <row r="166" spans="1:11" x14ac:dyDescent="0.25">
      <c r="A166" s="2"/>
      <c r="B166" s="3"/>
      <c r="C166" s="2"/>
      <c r="D166" s="2"/>
      <c r="E166" s="4"/>
      <c r="F166" s="5"/>
      <c r="G166" s="4"/>
      <c r="H166" s="5"/>
      <c r="I166" s="4"/>
      <c r="J166" s="4"/>
      <c r="K166" s="4"/>
    </row>
    <row r="167" spans="1:11" x14ac:dyDescent="0.25">
      <c r="A167" s="2"/>
      <c r="B167" s="3"/>
      <c r="C167" s="2"/>
      <c r="D167" s="2"/>
      <c r="E167" s="4"/>
      <c r="F167" s="5"/>
      <c r="G167" s="4"/>
      <c r="H167" s="5"/>
      <c r="I167" s="4"/>
      <c r="J167" s="4"/>
      <c r="K167" s="4"/>
    </row>
    <row r="168" spans="1:11" x14ac:dyDescent="0.25">
      <c r="A168" s="2"/>
      <c r="B168" s="3"/>
      <c r="C168" s="2"/>
      <c r="D168" s="2"/>
      <c r="E168" s="4"/>
      <c r="F168" s="5"/>
      <c r="G168" s="4"/>
      <c r="H168" s="5"/>
      <c r="I168" s="4"/>
      <c r="J168" s="4"/>
      <c r="K168" s="4"/>
    </row>
    <row r="169" spans="1:11" x14ac:dyDescent="0.25">
      <c r="A169" s="2"/>
      <c r="B169" s="3"/>
      <c r="C169" s="2"/>
      <c r="D169" s="2"/>
      <c r="E169" s="4"/>
      <c r="F169" s="5"/>
      <c r="G169" s="4"/>
      <c r="H169" s="5"/>
      <c r="I169" s="4"/>
      <c r="J169" s="4"/>
      <c r="K169" s="4"/>
    </row>
    <row r="170" spans="1:11" x14ac:dyDescent="0.25">
      <c r="A170" s="2"/>
      <c r="B170" s="3"/>
      <c r="C170" s="2"/>
      <c r="D170" s="2"/>
      <c r="E170" s="4"/>
      <c r="F170" s="5"/>
      <c r="G170" s="4"/>
      <c r="H170" s="5"/>
      <c r="I170" s="4"/>
      <c r="J170" s="4"/>
      <c r="K170" s="4"/>
    </row>
    <row r="171" spans="1:11" x14ac:dyDescent="0.25">
      <c r="A171" s="2"/>
      <c r="B171" s="3"/>
      <c r="C171" s="2"/>
      <c r="D171" s="2"/>
      <c r="E171" s="4"/>
      <c r="F171" s="5"/>
      <c r="G171" s="4"/>
      <c r="H171" s="5"/>
      <c r="I171" s="4"/>
      <c r="J171" s="4"/>
      <c r="K171" s="4"/>
    </row>
    <row r="172" spans="1:11" x14ac:dyDescent="0.25">
      <c r="A172" s="2"/>
      <c r="B172" s="3"/>
      <c r="C172" s="2"/>
      <c r="D172" s="2"/>
      <c r="E172" s="4"/>
      <c r="F172" s="5"/>
      <c r="G172" s="4"/>
      <c r="H172" s="5"/>
      <c r="I172" s="4"/>
      <c r="J172" s="4"/>
      <c r="K172" s="4"/>
    </row>
    <row r="173" spans="1:11" x14ac:dyDescent="0.25">
      <c r="A173" s="2"/>
      <c r="B173" s="3"/>
      <c r="C173" s="2"/>
      <c r="D173" s="2"/>
      <c r="E173" s="4"/>
      <c r="F173" s="5"/>
      <c r="G173" s="4"/>
      <c r="H173" s="5"/>
      <c r="I173" s="4"/>
      <c r="J173" s="4"/>
      <c r="K173" s="4"/>
    </row>
    <row r="174" spans="1:11" x14ac:dyDescent="0.25">
      <c r="A174" s="2"/>
      <c r="B174" s="3"/>
      <c r="C174" s="2"/>
      <c r="D174" s="2"/>
      <c r="E174" s="4"/>
      <c r="F174" s="5"/>
      <c r="G174" s="4"/>
      <c r="H174" s="5"/>
      <c r="I174" s="4"/>
      <c r="J174" s="4"/>
      <c r="K174" s="4"/>
    </row>
    <row r="175" spans="1:11" x14ac:dyDescent="0.25">
      <c r="A175" s="2"/>
      <c r="B175" s="3"/>
      <c r="C175" s="2"/>
      <c r="D175" s="2"/>
      <c r="E175" s="4"/>
      <c r="F175" s="5"/>
      <c r="G175" s="4"/>
      <c r="H175" s="5"/>
      <c r="I175" s="4"/>
      <c r="J175" s="4"/>
      <c r="K175" s="4"/>
    </row>
    <row r="176" spans="1:11" x14ac:dyDescent="0.25">
      <c r="A176" s="2"/>
      <c r="B176" s="3"/>
      <c r="C176" s="2"/>
      <c r="D176" s="2"/>
      <c r="E176" s="4"/>
      <c r="F176" s="5"/>
      <c r="G176" s="4"/>
      <c r="H176" s="5"/>
      <c r="I176" s="4"/>
      <c r="J176" s="4"/>
      <c r="K176" s="4"/>
    </row>
    <row r="177" spans="1:11" x14ac:dyDescent="0.25">
      <c r="A177" s="2"/>
      <c r="B177" s="3"/>
      <c r="C177" s="2"/>
      <c r="D177" s="2"/>
      <c r="E177" s="4"/>
      <c r="F177" s="5"/>
      <c r="G177" s="4"/>
      <c r="H177" s="5"/>
      <c r="I177" s="4"/>
      <c r="J177" s="4"/>
      <c r="K177" s="4"/>
    </row>
    <row r="178" spans="1:11" x14ac:dyDescent="0.25">
      <c r="A178" s="2"/>
      <c r="B178" s="3"/>
      <c r="C178" s="2"/>
      <c r="D178" s="2"/>
      <c r="E178" s="4"/>
      <c r="F178" s="5"/>
      <c r="G178" s="4"/>
      <c r="H178" s="5"/>
      <c r="I178" s="4"/>
      <c r="J178" s="4"/>
      <c r="K178" s="4"/>
    </row>
    <row r="179" spans="1:11" x14ac:dyDescent="0.25">
      <c r="A179" s="2"/>
      <c r="B179" s="3"/>
      <c r="C179" s="2"/>
      <c r="D179" s="2"/>
      <c r="E179" s="4"/>
      <c r="F179" s="5"/>
      <c r="G179" s="4"/>
      <c r="H179" s="5"/>
      <c r="I179" s="4"/>
      <c r="J179" s="4"/>
      <c r="K179" s="4"/>
    </row>
    <row r="180" spans="1:11" x14ac:dyDescent="0.25">
      <c r="A180" s="2"/>
      <c r="B180" s="3"/>
      <c r="C180" s="2"/>
      <c r="D180" s="2"/>
      <c r="E180" s="4"/>
      <c r="F180" s="5"/>
      <c r="G180" s="4"/>
      <c r="H180" s="5"/>
      <c r="I180" s="4"/>
      <c r="J180" s="4"/>
      <c r="K180" s="4"/>
    </row>
    <row r="181" spans="1:11" x14ac:dyDescent="0.25">
      <c r="A181" s="2"/>
      <c r="B181" s="3"/>
      <c r="C181" s="2"/>
      <c r="D181" s="2"/>
      <c r="E181" s="4"/>
      <c r="F181" s="5"/>
      <c r="G181" s="4"/>
      <c r="H181" s="5"/>
      <c r="I181" s="4"/>
      <c r="J181" s="4"/>
      <c r="K181" s="4"/>
    </row>
    <row r="182" spans="1:11" x14ac:dyDescent="0.25">
      <c r="A182" s="2"/>
      <c r="B182" s="3"/>
      <c r="C182" s="2"/>
      <c r="D182" s="2"/>
      <c r="E182" s="4"/>
      <c r="F182" s="5"/>
      <c r="G182" s="4"/>
      <c r="H182" s="5"/>
      <c r="I182" s="4"/>
      <c r="J182" s="4"/>
      <c r="K182" s="4"/>
    </row>
    <row r="183" spans="1:11" x14ac:dyDescent="0.25">
      <c r="A183" s="2"/>
      <c r="B183" s="3"/>
      <c r="C183" s="2"/>
      <c r="D183" s="2"/>
      <c r="E183" s="4"/>
      <c r="F183" s="5"/>
      <c r="G183" s="4"/>
      <c r="H183" s="5"/>
      <c r="I183" s="4"/>
      <c r="J183" s="4"/>
      <c r="K183" s="4"/>
    </row>
    <row r="184" spans="1:11" x14ac:dyDescent="0.25">
      <c r="A184" s="2"/>
      <c r="B184" s="3"/>
      <c r="C184" s="2"/>
      <c r="D184" s="2"/>
      <c r="E184" s="4"/>
      <c r="F184" s="5"/>
      <c r="G184" s="4"/>
      <c r="H184" s="5"/>
      <c r="I184" s="4"/>
      <c r="J184" s="4"/>
      <c r="K184" s="4"/>
    </row>
    <row r="185" spans="1:11" x14ac:dyDescent="0.25">
      <c r="A185" s="2"/>
      <c r="B185" s="3"/>
      <c r="C185" s="2"/>
      <c r="D185" s="2"/>
      <c r="E185" s="4"/>
      <c r="F185" s="5"/>
      <c r="G185" s="4"/>
      <c r="H185" s="5"/>
      <c r="I185" s="4"/>
      <c r="J185" s="4"/>
      <c r="K185" s="4"/>
    </row>
    <row r="186" spans="1:11" x14ac:dyDescent="0.25">
      <c r="A186" s="2"/>
      <c r="B186" s="3"/>
      <c r="C186" s="2"/>
      <c r="D186" s="2"/>
      <c r="E186" s="4"/>
      <c r="F186" s="5"/>
      <c r="G186" s="4"/>
      <c r="H186" s="5"/>
      <c r="I186" s="4"/>
      <c r="J186" s="4"/>
      <c r="K186" s="4"/>
    </row>
    <row r="187" spans="1:11" x14ac:dyDescent="0.25">
      <c r="A187" s="2"/>
      <c r="B187" s="3"/>
      <c r="C187" s="2"/>
      <c r="D187" s="2"/>
      <c r="E187" s="4"/>
      <c r="F187" s="5"/>
      <c r="G187" s="4"/>
      <c r="H187" s="5"/>
      <c r="I187" s="4"/>
      <c r="J187" s="4"/>
      <c r="K187" s="4"/>
    </row>
    <row r="188" spans="1:11" x14ac:dyDescent="0.25">
      <c r="A188" s="2"/>
      <c r="B188" s="3"/>
      <c r="C188" s="2"/>
      <c r="D188" s="2"/>
      <c r="E188" s="4"/>
      <c r="F188" s="5"/>
      <c r="G188" s="4"/>
      <c r="H188" s="5"/>
      <c r="I188" s="4"/>
      <c r="J188" s="4"/>
      <c r="K188" s="4"/>
    </row>
    <row r="189" spans="1:11" x14ac:dyDescent="0.25">
      <c r="A189" s="2"/>
      <c r="B189" s="3"/>
      <c r="C189" s="2"/>
      <c r="D189" s="2"/>
      <c r="E189" s="4"/>
      <c r="F189" s="5"/>
      <c r="G189" s="4"/>
      <c r="H189" s="5"/>
      <c r="I189" s="4"/>
      <c r="J189" s="4"/>
      <c r="K189" s="4"/>
    </row>
    <row r="190" spans="1:11" x14ac:dyDescent="0.25">
      <c r="A190" s="2"/>
      <c r="B190" s="3"/>
      <c r="C190" s="2"/>
      <c r="D190" s="2"/>
      <c r="E190" s="4"/>
      <c r="F190" s="5"/>
      <c r="G190" s="4"/>
      <c r="H190" s="5"/>
      <c r="I190" s="4"/>
      <c r="J190" s="4"/>
      <c r="K190" s="4"/>
    </row>
    <row r="191" spans="1:11" x14ac:dyDescent="0.25">
      <c r="A191" s="2"/>
      <c r="B191" s="3"/>
      <c r="C191" s="2"/>
      <c r="D191" s="2"/>
      <c r="E191" s="4"/>
      <c r="F191" s="5"/>
      <c r="G191" s="4"/>
      <c r="H191" s="5"/>
      <c r="I191" s="4"/>
      <c r="J191" s="4"/>
      <c r="K191" s="4"/>
    </row>
    <row r="192" spans="1:11" x14ac:dyDescent="0.25">
      <c r="A192" s="2"/>
      <c r="B192" s="3"/>
      <c r="C192" s="2"/>
      <c r="D192" s="2"/>
      <c r="E192" s="4"/>
      <c r="F192" s="5"/>
      <c r="G192" s="4"/>
      <c r="H192" s="5"/>
      <c r="I192" s="4"/>
      <c r="J192" s="4"/>
      <c r="K192" s="4"/>
    </row>
    <row r="193" spans="1:11" x14ac:dyDescent="0.25">
      <c r="A193" s="2"/>
      <c r="B193" s="3"/>
      <c r="C193" s="2"/>
      <c r="D193" s="2"/>
      <c r="E193" s="4"/>
      <c r="F193" s="5"/>
      <c r="G193" s="4"/>
      <c r="H193" s="5"/>
      <c r="I193" s="4"/>
      <c r="J193" s="4"/>
      <c r="K193" s="4"/>
    </row>
    <row r="194" spans="1:11" x14ac:dyDescent="0.25">
      <c r="A194" s="2"/>
      <c r="B194" s="3"/>
      <c r="C194" s="2"/>
      <c r="D194" s="2"/>
      <c r="E194" s="4"/>
      <c r="F194" s="5"/>
      <c r="G194" s="4"/>
      <c r="H194" s="5"/>
      <c r="I194" s="4"/>
      <c r="J194" s="4"/>
      <c r="K194" s="4"/>
    </row>
    <row r="195" spans="1:11" x14ac:dyDescent="0.25">
      <c r="A195" s="2"/>
      <c r="B195" s="3"/>
      <c r="C195" s="2"/>
      <c r="D195" s="2"/>
      <c r="E195" s="4"/>
      <c r="F195" s="5"/>
      <c r="G195" s="4"/>
      <c r="H195" s="5"/>
      <c r="I195" s="4"/>
      <c r="J195" s="4"/>
      <c r="K195" s="4"/>
    </row>
    <row r="196" spans="1:11" x14ac:dyDescent="0.25">
      <c r="A196" s="2"/>
      <c r="B196" s="3"/>
      <c r="C196" s="2"/>
      <c r="D196" s="2"/>
      <c r="E196" s="4"/>
      <c r="F196" s="5"/>
      <c r="G196" s="4"/>
      <c r="H196" s="5"/>
      <c r="I196" s="4"/>
      <c r="J196" s="4"/>
      <c r="K196" s="4"/>
    </row>
    <row r="197" spans="1:11" x14ac:dyDescent="0.25">
      <c r="A197" s="2"/>
      <c r="B197" s="3"/>
      <c r="C197" s="2"/>
      <c r="D197" s="2"/>
      <c r="E197" s="4"/>
      <c r="F197" s="5"/>
      <c r="G197" s="4"/>
      <c r="H197" s="5"/>
      <c r="I197" s="4"/>
      <c r="J197" s="4"/>
      <c r="K197" s="4"/>
    </row>
    <row r="198" spans="1:11" x14ac:dyDescent="0.25">
      <c r="A198" s="2"/>
      <c r="B198" s="3"/>
      <c r="C198" s="2"/>
      <c r="D198" s="2"/>
      <c r="E198" s="4"/>
      <c r="F198" s="5"/>
      <c r="G198" s="4"/>
      <c r="H198" s="5"/>
      <c r="I198" s="4"/>
      <c r="J198" s="4"/>
      <c r="K198" s="4"/>
    </row>
    <row r="199" spans="1:11" x14ac:dyDescent="0.25">
      <c r="A199" s="2"/>
      <c r="B199" s="3"/>
      <c r="C199" s="2"/>
      <c r="D199" s="2"/>
      <c r="E199" s="4"/>
      <c r="F199" s="5"/>
      <c r="G199" s="4"/>
      <c r="H199" s="5"/>
      <c r="I199" s="4"/>
      <c r="J199" s="4"/>
      <c r="K199" s="4"/>
    </row>
    <row r="200" spans="1:11" x14ac:dyDescent="0.25">
      <c r="A200" s="2"/>
      <c r="B200" s="3"/>
      <c r="C200" s="2"/>
      <c r="D200" s="2"/>
      <c r="E200" s="4"/>
      <c r="F200" s="5"/>
      <c r="G200" s="4"/>
      <c r="H200" s="5"/>
      <c r="I200" s="4"/>
      <c r="J200" s="4"/>
      <c r="K200" s="4"/>
    </row>
    <row r="201" spans="1:11" x14ac:dyDescent="0.25">
      <c r="A201" s="2"/>
      <c r="B201" s="3"/>
      <c r="C201" s="2"/>
      <c r="D201" s="2"/>
      <c r="E201" s="4"/>
      <c r="F201" s="5"/>
      <c r="G201" s="4"/>
      <c r="H201" s="5"/>
      <c r="I201" s="4"/>
      <c r="J201" s="4"/>
      <c r="K201" s="4"/>
    </row>
    <row r="202" spans="1:11" x14ac:dyDescent="0.25">
      <c r="A202" s="2"/>
      <c r="B202" s="3"/>
      <c r="C202" s="2"/>
      <c r="D202" s="2"/>
      <c r="E202" s="4"/>
      <c r="F202" s="5"/>
      <c r="G202" s="4"/>
      <c r="H202" s="5"/>
      <c r="I202" s="4"/>
      <c r="J202" s="4"/>
      <c r="K202" s="4"/>
    </row>
    <row r="203" spans="1:11" x14ac:dyDescent="0.25">
      <c r="A203" s="2"/>
      <c r="B203" s="3"/>
      <c r="C203" s="2"/>
      <c r="D203" s="2"/>
      <c r="E203" s="4"/>
      <c r="F203" s="5"/>
      <c r="G203" s="4"/>
      <c r="H203" s="5"/>
      <c r="I203" s="4"/>
      <c r="J203" s="4"/>
      <c r="K203" s="4"/>
    </row>
    <row r="204" spans="1:11" x14ac:dyDescent="0.25">
      <c r="A204" s="2"/>
      <c r="B204" s="3"/>
      <c r="C204" s="2"/>
      <c r="D204" s="2"/>
      <c r="E204" s="4"/>
      <c r="F204" s="5"/>
      <c r="G204" s="4"/>
      <c r="H204" s="5"/>
      <c r="I204" s="4"/>
      <c r="J204" s="4"/>
      <c r="K204" s="4"/>
    </row>
    <row r="205" spans="1:11" x14ac:dyDescent="0.25">
      <c r="A205" s="2"/>
      <c r="B205" s="3"/>
      <c r="C205" s="2"/>
      <c r="D205" s="2"/>
      <c r="E205" s="4"/>
      <c r="F205" s="5"/>
      <c r="G205" s="4"/>
      <c r="H205" s="5"/>
      <c r="I205" s="4"/>
      <c r="J205" s="4"/>
      <c r="K205" s="4"/>
    </row>
    <row r="206" spans="1:11" x14ac:dyDescent="0.25">
      <c r="A206" s="2"/>
      <c r="B206" s="3"/>
      <c r="C206" s="2"/>
      <c r="D206" s="2"/>
      <c r="E206" s="4"/>
      <c r="F206" s="5"/>
      <c r="G206" s="4"/>
      <c r="H206" s="5"/>
      <c r="I206" s="4"/>
      <c r="J206" s="4"/>
      <c r="K206" s="4"/>
    </row>
    <row r="207" spans="1:11" x14ac:dyDescent="0.25">
      <c r="A207" s="2"/>
      <c r="B207" s="3"/>
      <c r="C207" s="2"/>
      <c r="D207" s="2"/>
      <c r="E207" s="4"/>
      <c r="F207" s="5"/>
      <c r="G207" s="4"/>
      <c r="H207" s="5"/>
      <c r="I207" s="4"/>
      <c r="J207" s="4"/>
      <c r="K207" s="4"/>
    </row>
    <row r="208" spans="1:11" x14ac:dyDescent="0.25">
      <c r="A208" s="2"/>
      <c r="B208" s="3"/>
      <c r="C208" s="2"/>
      <c r="D208" s="2"/>
      <c r="E208" s="4"/>
      <c r="F208" s="5"/>
      <c r="G208" s="4"/>
      <c r="H208" s="5"/>
      <c r="I208" s="4"/>
      <c r="J208" s="4"/>
      <c r="K208" s="4"/>
    </row>
    <row r="209" spans="1:11" x14ac:dyDescent="0.25">
      <c r="A209" s="2"/>
      <c r="B209" s="3"/>
      <c r="C209" s="2"/>
      <c r="D209" s="2"/>
      <c r="E209" s="4"/>
      <c r="F209" s="5"/>
      <c r="G209" s="4"/>
      <c r="H209" s="5"/>
      <c r="I209" s="4"/>
      <c r="J209" s="4"/>
      <c r="K209" s="4"/>
    </row>
    <row r="210" spans="1:11" x14ac:dyDescent="0.25">
      <c r="A210" s="2"/>
      <c r="B210" s="3"/>
      <c r="C210" s="2"/>
      <c r="D210" s="2"/>
      <c r="E210" s="4"/>
      <c r="F210" s="5"/>
      <c r="G210" s="4"/>
      <c r="H210" s="5"/>
      <c r="I210" s="4"/>
      <c r="J210" s="4"/>
      <c r="K210" s="4"/>
    </row>
    <row r="211" spans="1:11" x14ac:dyDescent="0.25">
      <c r="A211" s="2"/>
      <c r="B211" s="3"/>
      <c r="C211" s="2"/>
      <c r="D211" s="2"/>
      <c r="E211" s="4"/>
      <c r="F211" s="5"/>
      <c r="G211" s="4"/>
      <c r="H211" s="5"/>
      <c r="I211" s="4"/>
      <c r="J211" s="4"/>
      <c r="K211" s="4"/>
    </row>
    <row r="212" spans="1:11" x14ac:dyDescent="0.25">
      <c r="A212" s="2"/>
      <c r="B212" s="3"/>
      <c r="C212" s="2"/>
      <c r="D212" s="2"/>
      <c r="E212" s="4"/>
      <c r="F212" s="5"/>
      <c r="G212" s="4"/>
      <c r="H212" s="5"/>
      <c r="I212" s="4"/>
      <c r="J212" s="4"/>
      <c r="K212" s="4"/>
    </row>
    <row r="213" spans="1:11" x14ac:dyDescent="0.25">
      <c r="A213" s="2"/>
      <c r="B213" s="3"/>
      <c r="C213" s="2"/>
      <c r="D213" s="2"/>
      <c r="E213" s="4"/>
      <c r="F213" s="5"/>
      <c r="G213" s="4"/>
      <c r="H213" s="5"/>
      <c r="I213" s="4"/>
      <c r="J213" s="4"/>
      <c r="K213" s="4"/>
    </row>
    <row r="214" spans="1:11" x14ac:dyDescent="0.25">
      <c r="A214" s="2"/>
      <c r="B214" s="3"/>
      <c r="C214" s="2"/>
      <c r="D214" s="2"/>
      <c r="E214" s="4"/>
      <c r="F214" s="5"/>
      <c r="G214" s="4"/>
      <c r="H214" s="5"/>
      <c r="I214" s="4"/>
      <c r="J214" s="4"/>
      <c r="K214" s="4"/>
    </row>
    <row r="215" spans="1:11" x14ac:dyDescent="0.25">
      <c r="A215" s="2"/>
      <c r="B215" s="3"/>
      <c r="C215" s="2"/>
      <c r="D215" s="2"/>
      <c r="E215" s="4"/>
      <c r="F215" s="5"/>
      <c r="G215" s="4"/>
      <c r="H215" s="5"/>
      <c r="I215" s="4"/>
      <c r="J215" s="4"/>
      <c r="K215" s="4"/>
    </row>
    <row r="216" spans="1:11" x14ac:dyDescent="0.25">
      <c r="A216" s="2"/>
      <c r="B216" s="3"/>
      <c r="C216" s="2"/>
      <c r="D216" s="2"/>
      <c r="E216" s="4"/>
      <c r="F216" s="5"/>
      <c r="G216" s="4"/>
      <c r="H216" s="5"/>
      <c r="I216" s="4"/>
      <c r="J216" s="4"/>
      <c r="K216" s="4"/>
    </row>
    <row r="217" spans="1:11" x14ac:dyDescent="0.25">
      <c r="A217" s="2"/>
      <c r="B217" s="3"/>
      <c r="C217" s="2"/>
      <c r="D217" s="2"/>
      <c r="E217" s="4"/>
      <c r="F217" s="5"/>
      <c r="G217" s="4"/>
      <c r="H217" s="5"/>
      <c r="I217" s="4"/>
      <c r="J217" s="4"/>
      <c r="K217" s="4"/>
    </row>
    <row r="218" spans="1:11" x14ac:dyDescent="0.25">
      <c r="A218" s="2"/>
      <c r="B218" s="3"/>
      <c r="C218" s="2"/>
      <c r="D218" s="2"/>
      <c r="E218" s="4"/>
      <c r="F218" s="5"/>
      <c r="G218" s="4"/>
      <c r="H218" s="5"/>
      <c r="I218" s="4"/>
      <c r="J218" s="4"/>
      <c r="K218" s="4"/>
    </row>
    <row r="219" spans="1:11" x14ac:dyDescent="0.25">
      <c r="A219" s="2"/>
      <c r="B219" s="3"/>
      <c r="C219" s="2"/>
      <c r="D219" s="2"/>
      <c r="E219" s="4"/>
      <c r="F219" s="5"/>
      <c r="G219" s="4"/>
      <c r="H219" s="5"/>
      <c r="I219" s="4"/>
      <c r="J219" s="4"/>
      <c r="K219" s="4"/>
    </row>
    <row r="220" spans="1:11" x14ac:dyDescent="0.25">
      <c r="A220" s="2"/>
      <c r="B220" s="3"/>
      <c r="C220" s="2"/>
      <c r="D220" s="2"/>
      <c r="E220" s="4"/>
      <c r="F220" s="5"/>
      <c r="G220" s="4"/>
      <c r="H220" s="5"/>
      <c r="I220" s="4"/>
      <c r="J220" s="4"/>
      <c r="K220" s="4"/>
    </row>
    <row r="221" spans="1:11" x14ac:dyDescent="0.25">
      <c r="A221" s="2"/>
      <c r="B221" s="3"/>
      <c r="C221" s="2"/>
      <c r="D221" s="2"/>
      <c r="E221" s="4"/>
      <c r="F221" s="5"/>
      <c r="G221" s="4"/>
      <c r="H221" s="5"/>
      <c r="I221" s="4"/>
      <c r="J221" s="4"/>
      <c r="K221" s="4"/>
    </row>
    <row r="222" spans="1:11" x14ac:dyDescent="0.25">
      <c r="A222" s="2"/>
      <c r="B222" s="3"/>
      <c r="C222" s="2"/>
      <c r="D222" s="2"/>
      <c r="E222" s="4"/>
      <c r="F222" s="5"/>
      <c r="G222" s="4"/>
      <c r="H222" s="5"/>
      <c r="I222" s="4"/>
      <c r="J222" s="4"/>
      <c r="K222" s="4"/>
    </row>
    <row r="223" spans="1:11" x14ac:dyDescent="0.25">
      <c r="A223" s="2"/>
      <c r="B223" s="3"/>
      <c r="C223" s="2"/>
      <c r="D223" s="2"/>
      <c r="E223" s="4"/>
      <c r="F223" s="5"/>
      <c r="G223" s="4"/>
      <c r="H223" s="5"/>
      <c r="I223" s="4"/>
      <c r="J223" s="4"/>
      <c r="K223" s="4"/>
    </row>
    <row r="224" spans="1:11" x14ac:dyDescent="0.25">
      <c r="A224" s="2"/>
      <c r="B224" s="3"/>
      <c r="C224" s="2"/>
      <c r="D224" s="2"/>
      <c r="E224" s="4"/>
      <c r="F224" s="5"/>
      <c r="G224" s="4"/>
      <c r="H224" s="5"/>
      <c r="I224" s="4"/>
      <c r="J224" s="4"/>
      <c r="K224" s="4"/>
    </row>
    <row r="225" spans="1:11" x14ac:dyDescent="0.25">
      <c r="A225" s="2"/>
      <c r="B225" s="3"/>
      <c r="C225" s="2"/>
      <c r="D225" s="2"/>
      <c r="E225" s="4"/>
      <c r="F225" s="5"/>
      <c r="G225" s="4"/>
      <c r="H225" s="5"/>
      <c r="I225" s="4"/>
      <c r="J225" s="4"/>
      <c r="K225" s="4"/>
    </row>
    <row r="226" spans="1:11" x14ac:dyDescent="0.25">
      <c r="A226" s="2"/>
      <c r="B226" s="3"/>
      <c r="C226" s="2"/>
      <c r="D226" s="2"/>
      <c r="E226" s="4"/>
      <c r="F226" s="5"/>
      <c r="G226" s="4"/>
      <c r="H226" s="5"/>
      <c r="I226" s="4"/>
      <c r="J226" s="4"/>
      <c r="K226" s="4"/>
    </row>
    <row r="227" spans="1:11" x14ac:dyDescent="0.25">
      <c r="A227" s="2"/>
      <c r="B227" s="3"/>
      <c r="C227" s="2"/>
      <c r="D227" s="2"/>
      <c r="E227" s="4"/>
      <c r="F227" s="5"/>
      <c r="G227" s="4"/>
      <c r="H227" s="5"/>
      <c r="I227" s="4"/>
      <c r="J227" s="4"/>
      <c r="K227" s="4"/>
    </row>
    <row r="228" spans="1:11" x14ac:dyDescent="0.25">
      <c r="A228" s="2"/>
      <c r="B228" s="3"/>
      <c r="C228" s="2"/>
      <c r="D228" s="2"/>
      <c r="E228" s="4"/>
      <c r="F228" s="5"/>
      <c r="G228" s="4"/>
      <c r="H228" s="5"/>
      <c r="I228" s="4"/>
      <c r="J228" s="4"/>
      <c r="K228" s="4"/>
    </row>
    <row r="229" spans="1:11" x14ac:dyDescent="0.25">
      <c r="A229" s="2"/>
      <c r="B229" s="3"/>
      <c r="C229" s="2"/>
      <c r="D229" s="2"/>
      <c r="E229" s="4"/>
      <c r="F229" s="5"/>
      <c r="G229" s="4"/>
      <c r="H229" s="5"/>
      <c r="I229" s="4"/>
      <c r="J229" s="4"/>
      <c r="K229" s="4"/>
    </row>
    <row r="230" spans="1:11" x14ac:dyDescent="0.25">
      <c r="A230" s="2"/>
      <c r="B230" s="3"/>
      <c r="C230" s="2"/>
      <c r="D230" s="2"/>
      <c r="E230" s="4"/>
      <c r="F230" s="5"/>
      <c r="G230" s="4"/>
      <c r="H230" s="5"/>
      <c r="I230" s="4"/>
      <c r="J230" s="4"/>
      <c r="K230" s="4"/>
    </row>
    <row r="231" spans="1:11" x14ac:dyDescent="0.25">
      <c r="A231" s="2"/>
      <c r="B231" s="3"/>
      <c r="C231" s="2"/>
      <c r="D231" s="2"/>
      <c r="E231" s="4"/>
      <c r="F231" s="5"/>
      <c r="G231" s="4"/>
      <c r="H231" s="5"/>
      <c r="I231" s="4"/>
      <c r="J231" s="4"/>
      <c r="K231" s="4"/>
    </row>
    <row r="232" spans="1:11" x14ac:dyDescent="0.25">
      <c r="A232" s="2"/>
      <c r="B232" s="3"/>
      <c r="C232" s="2"/>
      <c r="D232" s="2"/>
      <c r="E232" s="4"/>
      <c r="F232" s="5"/>
      <c r="G232" s="4"/>
      <c r="H232" s="5"/>
      <c r="I232" s="4"/>
      <c r="J232" s="4"/>
      <c r="K232" s="4"/>
    </row>
    <row r="233" spans="1:11" x14ac:dyDescent="0.25">
      <c r="A233" s="2"/>
      <c r="B233" s="3"/>
      <c r="C233" s="2"/>
      <c r="D233" s="2"/>
      <c r="E233" s="4"/>
      <c r="F233" s="5"/>
      <c r="G233" s="4"/>
      <c r="H233" s="5"/>
      <c r="I233" s="4"/>
      <c r="J233" s="4"/>
      <c r="K233" s="4"/>
    </row>
    <row r="234" spans="1:11" x14ac:dyDescent="0.25">
      <c r="A234" s="2"/>
      <c r="B234" s="3"/>
      <c r="C234" s="2"/>
      <c r="D234" s="2"/>
      <c r="E234" s="4"/>
      <c r="F234" s="5"/>
      <c r="G234" s="4"/>
      <c r="H234" s="5"/>
      <c r="I234" s="4"/>
      <c r="J234" s="4"/>
      <c r="K234" s="4"/>
    </row>
    <row r="235" spans="1:11" x14ac:dyDescent="0.25">
      <c r="A235" s="2"/>
      <c r="B235" s="3"/>
      <c r="C235" s="2"/>
      <c r="D235" s="2"/>
      <c r="E235" s="4"/>
      <c r="F235" s="5"/>
      <c r="G235" s="4"/>
      <c r="H235" s="5"/>
      <c r="I235" s="4"/>
      <c r="J235" s="4"/>
      <c r="K235" s="4"/>
    </row>
    <row r="236" spans="1:11" x14ac:dyDescent="0.25">
      <c r="A236" s="2"/>
      <c r="B236" s="3"/>
      <c r="C236" s="2"/>
      <c r="D236" s="2"/>
      <c r="E236" s="4"/>
      <c r="F236" s="5"/>
      <c r="G236" s="4"/>
      <c r="H236" s="5"/>
      <c r="I236" s="4"/>
      <c r="J236" s="4"/>
      <c r="K236" s="4"/>
    </row>
    <row r="237" spans="1:11" x14ac:dyDescent="0.25">
      <c r="A237" s="2"/>
      <c r="B237" s="3"/>
      <c r="C237" s="2"/>
      <c r="D237" s="2"/>
      <c r="E237" s="4"/>
      <c r="F237" s="5"/>
      <c r="G237" s="4"/>
      <c r="H237" s="5"/>
      <c r="I237" s="4"/>
      <c r="J237" s="4"/>
      <c r="K237" s="4"/>
    </row>
    <row r="238" spans="1:11" x14ac:dyDescent="0.25">
      <c r="A238" s="2"/>
      <c r="B238" s="3"/>
      <c r="C238" s="2"/>
      <c r="D238" s="2"/>
      <c r="E238" s="4"/>
      <c r="F238" s="5"/>
      <c r="G238" s="4"/>
      <c r="H238" s="5"/>
      <c r="I238" s="4"/>
      <c r="J238" s="4"/>
      <c r="K238" s="4"/>
    </row>
    <row r="239" spans="1:11" x14ac:dyDescent="0.25">
      <c r="A239" s="2"/>
      <c r="B239" s="3"/>
      <c r="C239" s="2"/>
      <c r="D239" s="2"/>
      <c r="E239" s="4"/>
      <c r="F239" s="5"/>
      <c r="G239" s="4"/>
      <c r="H239" s="5"/>
      <c r="I239" s="4"/>
      <c r="J239" s="4"/>
      <c r="K239" s="4"/>
    </row>
    <row r="240" spans="1:11" x14ac:dyDescent="0.25">
      <c r="A240" s="2"/>
      <c r="B240" s="3"/>
      <c r="C240" s="2"/>
      <c r="D240" s="2"/>
      <c r="E240" s="4"/>
      <c r="F240" s="5"/>
      <c r="G240" s="4"/>
      <c r="H240" s="5"/>
      <c r="I240" s="4"/>
      <c r="J240" s="4"/>
      <c r="K240" s="4"/>
    </row>
    <row r="241" spans="1:11" x14ac:dyDescent="0.25">
      <c r="A241" s="2"/>
      <c r="B241" s="3"/>
      <c r="C241" s="2"/>
      <c r="D241" s="2"/>
      <c r="E241" s="4"/>
      <c r="F241" s="5"/>
      <c r="G241" s="4"/>
      <c r="H241" s="5"/>
      <c r="I241" s="4"/>
      <c r="J241" s="4"/>
      <c r="K241" s="4"/>
    </row>
    <row r="242" spans="1:11" x14ac:dyDescent="0.25">
      <c r="A242" s="2"/>
      <c r="B242" s="3"/>
      <c r="C242" s="2"/>
      <c r="D242" s="2"/>
      <c r="E242" s="4"/>
      <c r="F242" s="5"/>
      <c r="G242" s="4"/>
      <c r="H242" s="5"/>
      <c r="I242" s="4"/>
      <c r="J242" s="4"/>
      <c r="K242" s="4"/>
    </row>
    <row r="243" spans="1:11" x14ac:dyDescent="0.25">
      <c r="A243" s="2"/>
      <c r="B243" s="3"/>
      <c r="C243" s="2"/>
      <c r="D243" s="2"/>
      <c r="E243" s="4"/>
      <c r="F243" s="5"/>
      <c r="G243" s="4"/>
      <c r="H243" s="5"/>
      <c r="I243" s="4"/>
      <c r="J243" s="4"/>
      <c r="K243" s="4"/>
    </row>
    <row r="244" spans="1:11" x14ac:dyDescent="0.25">
      <c r="A244" s="2"/>
      <c r="B244" s="3"/>
      <c r="C244" s="2"/>
      <c r="D244" s="2"/>
      <c r="E244" s="4"/>
      <c r="F244" s="5"/>
      <c r="G244" s="4"/>
      <c r="H244" s="5"/>
      <c r="I244" s="4"/>
      <c r="J244" s="4"/>
      <c r="K244" s="4"/>
    </row>
    <row r="245" spans="1:11" x14ac:dyDescent="0.25">
      <c r="A245" s="2"/>
      <c r="B245" s="3"/>
      <c r="C245" s="2"/>
      <c r="D245" s="2"/>
      <c r="E245" s="4"/>
      <c r="F245" s="5"/>
      <c r="G245" s="4"/>
      <c r="H245" s="5"/>
      <c r="I245" s="4"/>
      <c r="J245" s="4"/>
      <c r="K245" s="4"/>
    </row>
    <row r="246" spans="1:11" x14ac:dyDescent="0.25">
      <c r="A246" s="2"/>
      <c r="B246" s="3"/>
      <c r="C246" s="2"/>
      <c r="D246" s="2"/>
      <c r="E246" s="4"/>
      <c r="F246" s="5"/>
      <c r="G246" s="4"/>
      <c r="H246" s="5"/>
      <c r="I246" s="4"/>
      <c r="J246" s="4"/>
      <c r="K246" s="4"/>
    </row>
    <row r="247" spans="1:11" x14ac:dyDescent="0.25">
      <c r="A247" s="2"/>
      <c r="B247" s="3"/>
      <c r="C247" s="2"/>
      <c r="D247" s="2"/>
      <c r="E247" s="4"/>
      <c r="F247" s="5"/>
      <c r="G247" s="4"/>
      <c r="H247" s="5"/>
      <c r="I247" s="4"/>
      <c r="J247" s="4"/>
      <c r="K247" s="4"/>
    </row>
    <row r="248" spans="1:11" x14ac:dyDescent="0.25">
      <c r="A248" s="2"/>
      <c r="B248" s="3"/>
      <c r="C248" s="2"/>
      <c r="D248" s="2"/>
      <c r="E248" s="4"/>
      <c r="F248" s="5"/>
      <c r="G248" s="4"/>
      <c r="H248" s="5"/>
      <c r="I248" s="4"/>
      <c r="J248" s="4"/>
      <c r="K248" s="4"/>
    </row>
    <row r="249" spans="1:11" x14ac:dyDescent="0.25">
      <c r="A249" s="2"/>
      <c r="B249" s="3"/>
      <c r="C249" s="2"/>
      <c r="D249" s="2"/>
      <c r="E249" s="4"/>
      <c r="F249" s="5"/>
      <c r="G249" s="4"/>
      <c r="H249" s="5"/>
      <c r="I249" s="4"/>
      <c r="J249" s="4"/>
      <c r="K249" s="4"/>
    </row>
    <row r="250" spans="1:11" x14ac:dyDescent="0.25">
      <c r="A250" s="2"/>
      <c r="B250" s="3"/>
      <c r="C250" s="2"/>
      <c r="D250" s="2"/>
      <c r="E250" s="4"/>
      <c r="F250" s="5"/>
      <c r="G250" s="4"/>
      <c r="H250" s="5"/>
      <c r="I250" s="4"/>
      <c r="J250" s="4"/>
      <c r="K250" s="4"/>
    </row>
    <row r="251" spans="1:11" x14ac:dyDescent="0.25">
      <c r="A251" s="2"/>
      <c r="B251" s="3"/>
      <c r="C251" s="2"/>
      <c r="D251" s="2"/>
      <c r="E251" s="4"/>
      <c r="F251" s="5"/>
      <c r="G251" s="4"/>
      <c r="H251" s="5"/>
      <c r="I251" s="4"/>
      <c r="J251" s="4"/>
      <c r="K251" s="4"/>
    </row>
    <row r="252" spans="1:11" x14ac:dyDescent="0.25">
      <c r="A252" s="2"/>
      <c r="B252" s="3"/>
      <c r="C252" s="2"/>
      <c r="D252" s="2"/>
      <c r="E252" s="4"/>
      <c r="F252" s="5"/>
      <c r="G252" s="4"/>
      <c r="H252" s="5"/>
      <c r="I252" s="4"/>
      <c r="J252" s="4"/>
      <c r="K252" s="4"/>
    </row>
    <row r="253" spans="1:11" x14ac:dyDescent="0.25">
      <c r="A253" s="2"/>
      <c r="B253" s="3"/>
      <c r="C253" s="2"/>
      <c r="D253" s="2"/>
      <c r="E253" s="4"/>
      <c r="F253" s="5"/>
      <c r="G253" s="4"/>
      <c r="H253" s="5"/>
      <c r="I253" s="4"/>
      <c r="J253" s="4"/>
      <c r="K253" s="4"/>
    </row>
    <row r="254" spans="1:11" x14ac:dyDescent="0.25">
      <c r="A254" s="2"/>
      <c r="B254" s="3"/>
      <c r="C254" s="2"/>
      <c r="D254" s="2"/>
      <c r="E254" s="4"/>
      <c r="F254" s="5"/>
      <c r="G254" s="4"/>
      <c r="H254" s="5"/>
      <c r="I254" s="4"/>
      <c r="J254" s="4"/>
      <c r="K254" s="4"/>
    </row>
    <row r="255" spans="1:11" x14ac:dyDescent="0.25">
      <c r="A255" s="2"/>
      <c r="B255" s="3"/>
      <c r="C255" s="2"/>
      <c r="D255" s="2"/>
      <c r="E255" s="4"/>
      <c r="F255" s="5"/>
      <c r="G255" s="4"/>
      <c r="H255" s="5"/>
      <c r="I255" s="4"/>
      <c r="J255" s="4"/>
      <c r="K255" s="4"/>
    </row>
    <row r="256" spans="1:11" x14ac:dyDescent="0.25">
      <c r="A256" s="2"/>
      <c r="B256" s="3"/>
      <c r="C256" s="2"/>
      <c r="D256" s="2"/>
      <c r="E256" s="4"/>
      <c r="F256" s="5"/>
      <c r="G256" s="4"/>
      <c r="H256" s="5"/>
      <c r="I256" s="4"/>
      <c r="J256" s="4"/>
      <c r="K256" s="4"/>
    </row>
    <row r="257" spans="1:11" x14ac:dyDescent="0.25">
      <c r="A257" s="2"/>
      <c r="B257" s="3"/>
      <c r="C257" s="2"/>
      <c r="D257" s="2"/>
      <c r="E257" s="4"/>
      <c r="F257" s="5"/>
      <c r="G257" s="4"/>
      <c r="H257" s="5"/>
      <c r="I257" s="4"/>
      <c r="J257" s="4"/>
      <c r="K257" s="4"/>
    </row>
    <row r="258" spans="1:11" x14ac:dyDescent="0.25">
      <c r="A258" s="2"/>
      <c r="B258" s="3"/>
      <c r="C258" s="2"/>
      <c r="D258" s="2"/>
      <c r="E258" s="4"/>
      <c r="F258" s="5"/>
      <c r="G258" s="4"/>
      <c r="H258" s="5"/>
      <c r="I258" s="4"/>
      <c r="J258" s="4"/>
      <c r="K258" s="4"/>
    </row>
    <row r="259" spans="1:11" x14ac:dyDescent="0.25">
      <c r="A259" s="2"/>
      <c r="B259" s="3"/>
      <c r="C259" s="2"/>
      <c r="D259" s="2"/>
      <c r="E259" s="4"/>
      <c r="F259" s="5"/>
      <c r="G259" s="4"/>
      <c r="H259" s="5"/>
      <c r="I259" s="4"/>
      <c r="J259" s="4"/>
      <c r="K259" s="4"/>
    </row>
    <row r="260" spans="1:11" x14ac:dyDescent="0.25">
      <c r="A260" s="2"/>
      <c r="B260" s="3"/>
      <c r="C260" s="2"/>
      <c r="D260" s="2"/>
      <c r="E260" s="4"/>
      <c r="F260" s="5"/>
      <c r="G260" s="4"/>
      <c r="H260" s="5"/>
      <c r="I260" s="4"/>
      <c r="J260" s="4"/>
      <c r="K260" s="4"/>
    </row>
    <row r="261" spans="1:11" x14ac:dyDescent="0.25">
      <c r="A261" s="2"/>
      <c r="B261" s="3"/>
      <c r="C261" s="2"/>
      <c r="D261" s="2"/>
      <c r="E261" s="4"/>
      <c r="F261" s="5"/>
      <c r="G261" s="4"/>
      <c r="H261" s="5"/>
      <c r="I261" s="4"/>
      <c r="J261" s="4"/>
      <c r="K261" s="4"/>
    </row>
    <row r="262" spans="1:11" x14ac:dyDescent="0.25">
      <c r="A262" s="2"/>
      <c r="B262" s="3"/>
      <c r="C262" s="2"/>
      <c r="D262" s="2"/>
      <c r="E262" s="4"/>
      <c r="F262" s="5"/>
      <c r="G262" s="4"/>
      <c r="H262" s="5"/>
      <c r="I262" s="4"/>
      <c r="J262" s="4"/>
      <c r="K262" s="4"/>
    </row>
    <row r="263" spans="1:11" x14ac:dyDescent="0.25">
      <c r="A263" s="2"/>
      <c r="B263" s="3"/>
      <c r="C263" s="2"/>
      <c r="D263" s="2"/>
      <c r="E263" s="4"/>
      <c r="F263" s="5"/>
      <c r="G263" s="4"/>
      <c r="H263" s="5"/>
      <c r="I263" s="4"/>
      <c r="J263" s="4"/>
      <c r="K263" s="4"/>
    </row>
    <row r="264" spans="1:11" x14ac:dyDescent="0.25">
      <c r="A264" s="2"/>
      <c r="B264" s="3"/>
      <c r="C264" s="2"/>
      <c r="D264" s="2"/>
      <c r="E264" s="4"/>
      <c r="F264" s="5"/>
      <c r="G264" s="4"/>
      <c r="H264" s="5"/>
      <c r="I264" s="4"/>
      <c r="J264" s="4"/>
      <c r="K264" s="4"/>
    </row>
    <row r="265" spans="1:11" x14ac:dyDescent="0.25">
      <c r="A265" s="2"/>
      <c r="B265" s="3"/>
      <c r="C265" s="2"/>
      <c r="D265" s="2"/>
      <c r="E265" s="4"/>
      <c r="F265" s="5"/>
      <c r="G265" s="4"/>
      <c r="H265" s="5"/>
      <c r="I265" s="4"/>
      <c r="J265" s="4"/>
      <c r="K265" s="4"/>
    </row>
    <row r="266" spans="1:11" x14ac:dyDescent="0.25">
      <c r="A266" s="2"/>
      <c r="B266" s="3"/>
      <c r="C266" s="2"/>
      <c r="D266" s="2"/>
      <c r="E266" s="4"/>
      <c r="F266" s="5"/>
      <c r="G266" s="4"/>
      <c r="H266" s="5"/>
      <c r="I266" s="4"/>
      <c r="J266" s="4"/>
      <c r="K266" s="4"/>
    </row>
    <row r="267" spans="1:11" x14ac:dyDescent="0.25">
      <c r="A267" s="2"/>
      <c r="B267" s="3"/>
      <c r="C267" s="2"/>
      <c r="D267" s="2"/>
      <c r="E267" s="4"/>
      <c r="F267" s="5"/>
      <c r="G267" s="4"/>
      <c r="H267" s="5"/>
      <c r="I267" s="4"/>
      <c r="J267" s="4"/>
      <c r="K267" s="4"/>
    </row>
    <row r="268" spans="1:11" x14ac:dyDescent="0.25">
      <c r="A268" s="2"/>
      <c r="B268" s="3"/>
      <c r="C268" s="2"/>
      <c r="D268" s="2"/>
      <c r="E268" s="4"/>
      <c r="F268" s="5"/>
      <c r="G268" s="4"/>
      <c r="H268" s="5"/>
      <c r="I268" s="4"/>
      <c r="J268" s="4"/>
      <c r="K268" s="4"/>
    </row>
    <row r="269" spans="1:11" x14ac:dyDescent="0.25">
      <c r="A269" s="2"/>
      <c r="B269" s="3"/>
      <c r="C269" s="2"/>
      <c r="D269" s="2"/>
      <c r="E269" s="4"/>
      <c r="F269" s="5"/>
      <c r="G269" s="4"/>
      <c r="H269" s="5"/>
      <c r="I269" s="4"/>
      <c r="J269" s="4"/>
      <c r="K269" s="4"/>
    </row>
    <row r="270" spans="1:11" x14ac:dyDescent="0.25">
      <c r="A270" s="2"/>
      <c r="B270" s="3"/>
      <c r="C270" s="2"/>
      <c r="D270" s="2"/>
      <c r="E270" s="4"/>
      <c r="F270" s="5"/>
      <c r="G270" s="4"/>
      <c r="H270" s="5"/>
      <c r="I270" s="4"/>
      <c r="J270" s="4"/>
      <c r="K270" s="4"/>
    </row>
    <row r="271" spans="1:11" x14ac:dyDescent="0.25">
      <c r="A271" s="2"/>
      <c r="B271" s="3"/>
      <c r="C271" s="2"/>
      <c r="D271" s="2"/>
      <c r="E271" s="4"/>
      <c r="F271" s="5"/>
      <c r="G271" s="4"/>
      <c r="H271" s="5"/>
      <c r="I271" s="4"/>
      <c r="J271" s="4"/>
      <c r="K271" s="4"/>
    </row>
    <row r="272" spans="1:11" x14ac:dyDescent="0.25">
      <c r="A272" s="2"/>
      <c r="B272" s="3"/>
      <c r="C272" s="2"/>
      <c r="D272" s="2"/>
      <c r="E272" s="4"/>
      <c r="F272" s="5"/>
      <c r="G272" s="4"/>
      <c r="H272" s="5"/>
      <c r="I272" s="4"/>
      <c r="J272" s="4"/>
      <c r="K272" s="4"/>
    </row>
    <row r="273" spans="1:11" x14ac:dyDescent="0.25">
      <c r="A273" s="2"/>
      <c r="B273" s="3"/>
      <c r="C273" s="2"/>
      <c r="D273" s="2"/>
      <c r="E273" s="4"/>
      <c r="F273" s="5"/>
      <c r="G273" s="4"/>
      <c r="H273" s="5"/>
      <c r="I273" s="4"/>
      <c r="J273" s="4"/>
      <c r="K273" s="4"/>
    </row>
    <row r="274" spans="1:11" x14ac:dyDescent="0.25">
      <c r="A274" s="2"/>
      <c r="B274" s="3"/>
      <c r="C274" s="2"/>
      <c r="D274" s="2"/>
      <c r="E274" s="4"/>
      <c r="F274" s="5"/>
      <c r="G274" s="4"/>
      <c r="H274" s="5"/>
      <c r="I274" s="4"/>
      <c r="J274" s="4"/>
      <c r="K274" s="4"/>
    </row>
    <row r="275" spans="1:11" x14ac:dyDescent="0.25">
      <c r="A275" s="2"/>
      <c r="B275" s="3"/>
      <c r="C275" s="2"/>
      <c r="D275" s="2"/>
      <c r="E275" s="4"/>
      <c r="F275" s="5"/>
      <c r="G275" s="4"/>
      <c r="H275" s="5"/>
      <c r="I275" s="4"/>
      <c r="J275" s="4"/>
      <c r="K275" s="4"/>
    </row>
    <row r="276" spans="1:11" x14ac:dyDescent="0.25">
      <c r="A276" s="2"/>
      <c r="B276" s="3"/>
      <c r="C276" s="2"/>
      <c r="D276" s="2"/>
      <c r="E276" s="4"/>
      <c r="F276" s="5"/>
      <c r="G276" s="4"/>
      <c r="H276" s="5"/>
      <c r="I276" s="4"/>
      <c r="J276" s="4"/>
      <c r="K276" s="4"/>
    </row>
    <row r="277" spans="1:11" x14ac:dyDescent="0.25">
      <c r="A277" s="2"/>
      <c r="B277" s="3"/>
      <c r="C277" s="2"/>
      <c r="D277" s="2"/>
      <c r="E277" s="4"/>
      <c r="F277" s="5"/>
      <c r="G277" s="4"/>
      <c r="H277" s="5"/>
      <c r="I277" s="4"/>
      <c r="J277" s="4"/>
      <c r="K277" s="4"/>
    </row>
    <row r="278" spans="1:11" x14ac:dyDescent="0.25">
      <c r="A278" s="2"/>
      <c r="B278" s="3"/>
      <c r="C278" s="2"/>
      <c r="D278" s="2"/>
      <c r="E278" s="4"/>
      <c r="F278" s="5"/>
      <c r="G278" s="4"/>
      <c r="H278" s="5"/>
      <c r="I278" s="4"/>
      <c r="J278" s="4"/>
      <c r="K278" s="4"/>
    </row>
    <row r="279" spans="1:11" x14ac:dyDescent="0.25">
      <c r="A279" s="2"/>
      <c r="B279" s="3"/>
      <c r="C279" s="2"/>
      <c r="D279" s="2"/>
      <c r="E279" s="4"/>
      <c r="F279" s="5"/>
      <c r="G279" s="4"/>
      <c r="H279" s="5"/>
      <c r="I279" s="4"/>
      <c r="J279" s="4"/>
      <c r="K279" s="4"/>
    </row>
    <row r="280" spans="1:11" x14ac:dyDescent="0.25">
      <c r="A280" s="2"/>
      <c r="B280" s="3"/>
      <c r="C280" s="2"/>
      <c r="D280" s="2"/>
      <c r="E280" s="4"/>
      <c r="F280" s="5"/>
      <c r="G280" s="4"/>
      <c r="H280" s="5"/>
      <c r="I280" s="4"/>
      <c r="J280" s="4"/>
      <c r="K280" s="4"/>
    </row>
    <row r="281" spans="1:11" x14ac:dyDescent="0.25">
      <c r="A281" s="2"/>
      <c r="B281" s="3"/>
      <c r="C281" s="2"/>
      <c r="D281" s="2"/>
      <c r="E281" s="4"/>
      <c r="F281" s="5"/>
      <c r="G281" s="4"/>
      <c r="H281" s="5"/>
      <c r="I281" s="4"/>
      <c r="J281" s="4"/>
      <c r="K281" s="4"/>
    </row>
    <row r="282" spans="1:11" x14ac:dyDescent="0.25">
      <c r="A282" s="2"/>
      <c r="B282" s="3"/>
      <c r="C282" s="2"/>
      <c r="D282" s="2"/>
      <c r="E282" s="4"/>
      <c r="F282" s="5"/>
      <c r="G282" s="4"/>
      <c r="H282" s="5"/>
      <c r="I282" s="4"/>
      <c r="J282" s="4"/>
      <c r="K282" s="4"/>
    </row>
    <row r="283" spans="1:11" x14ac:dyDescent="0.25">
      <c r="A283" s="2"/>
      <c r="B283" s="3"/>
      <c r="C283" s="2"/>
      <c r="D283" s="2"/>
      <c r="E283" s="4"/>
      <c r="F283" s="5"/>
      <c r="G283" s="4"/>
      <c r="H283" s="5"/>
      <c r="I283" s="4"/>
      <c r="J283" s="4"/>
      <c r="K283" s="4"/>
    </row>
    <row r="284" spans="1:11" x14ac:dyDescent="0.25">
      <c r="A284" s="2"/>
      <c r="B284" s="3"/>
      <c r="C284" s="2"/>
      <c r="D284" s="2"/>
      <c r="E284" s="4"/>
      <c r="F284" s="5"/>
      <c r="G284" s="4"/>
      <c r="H284" s="5"/>
      <c r="I284" s="4"/>
      <c r="J284" s="4"/>
      <c r="K284" s="4"/>
    </row>
    <row r="285" spans="1:11" x14ac:dyDescent="0.25">
      <c r="A285" s="2"/>
      <c r="B285" s="3"/>
      <c r="C285" s="2"/>
      <c r="D285" s="2"/>
      <c r="E285" s="4"/>
      <c r="F285" s="5"/>
      <c r="G285" s="4"/>
      <c r="H285" s="5"/>
      <c r="I285" s="4"/>
      <c r="J285" s="4"/>
      <c r="K285" s="4"/>
    </row>
    <row r="286" spans="1:11" x14ac:dyDescent="0.25">
      <c r="A286" s="2"/>
      <c r="B286" s="3"/>
      <c r="C286" s="2"/>
      <c r="D286" s="2"/>
      <c r="E286" s="4"/>
      <c r="F286" s="5"/>
      <c r="G286" s="4"/>
      <c r="H286" s="5"/>
      <c r="I286" s="4"/>
      <c r="J286" s="4"/>
      <c r="K286" s="4"/>
    </row>
    <row r="287" spans="1:11" x14ac:dyDescent="0.25">
      <c r="A287" s="2"/>
      <c r="B287" s="3"/>
      <c r="C287" s="2"/>
      <c r="D287" s="2"/>
      <c r="E287" s="4"/>
      <c r="F287" s="5"/>
      <c r="G287" s="4"/>
      <c r="H287" s="5"/>
      <c r="I287" s="4"/>
      <c r="J287" s="4"/>
      <c r="K287" s="4"/>
    </row>
    <row r="288" spans="1:11" x14ac:dyDescent="0.25">
      <c r="A288" s="2"/>
      <c r="B288" s="3"/>
      <c r="C288" s="2"/>
      <c r="D288" s="2"/>
      <c r="E288" s="4"/>
      <c r="F288" s="5"/>
      <c r="G288" s="4"/>
      <c r="H288" s="5"/>
      <c r="I288" s="4"/>
      <c r="J288" s="4"/>
      <c r="K288" s="4"/>
    </row>
    <row r="289" spans="1:11" x14ac:dyDescent="0.25">
      <c r="A289" s="2"/>
      <c r="B289" s="3"/>
      <c r="C289" s="2"/>
      <c r="D289" s="2"/>
      <c r="E289" s="4"/>
      <c r="F289" s="5"/>
      <c r="G289" s="4"/>
      <c r="H289" s="5"/>
      <c r="I289" s="4"/>
      <c r="J289" s="4"/>
      <c r="K289" s="4"/>
    </row>
    <row r="290" spans="1:11" x14ac:dyDescent="0.25">
      <c r="A290" s="2"/>
      <c r="B290" s="3"/>
      <c r="C290" s="2"/>
      <c r="D290" s="2"/>
      <c r="E290" s="4"/>
      <c r="F290" s="5"/>
      <c r="G290" s="4"/>
      <c r="H290" s="5"/>
      <c r="I290" s="4"/>
      <c r="J290" s="4"/>
      <c r="K290" s="4"/>
    </row>
    <row r="291" spans="1:11" x14ac:dyDescent="0.25">
      <c r="A291" s="2"/>
      <c r="B291" s="3"/>
      <c r="C291" s="2"/>
      <c r="D291" s="2"/>
      <c r="E291" s="4"/>
      <c r="F291" s="5"/>
      <c r="G291" s="4"/>
      <c r="H291" s="5"/>
      <c r="I291" s="4"/>
      <c r="J291" s="4"/>
      <c r="K291" s="4"/>
    </row>
    <row r="292" spans="1:11" x14ac:dyDescent="0.25">
      <c r="A292" s="2"/>
      <c r="B292" s="3"/>
      <c r="C292" s="2"/>
      <c r="D292" s="2"/>
      <c r="E292" s="4"/>
      <c r="F292" s="5"/>
      <c r="G292" s="4"/>
      <c r="H292" s="5"/>
      <c r="I292" s="4"/>
      <c r="J292" s="4"/>
      <c r="K292" s="4"/>
    </row>
    <row r="293" spans="1:11" x14ac:dyDescent="0.25">
      <c r="A293" s="2"/>
      <c r="B293" s="3"/>
      <c r="C293" s="2"/>
      <c r="D293" s="2"/>
      <c r="E293" s="4"/>
      <c r="F293" s="5"/>
      <c r="G293" s="4"/>
      <c r="H293" s="5"/>
      <c r="I293" s="4"/>
      <c r="J293" s="4"/>
      <c r="K293" s="4"/>
    </row>
    <row r="294" spans="1:11" x14ac:dyDescent="0.25">
      <c r="A294" s="2"/>
      <c r="B294" s="3"/>
      <c r="C294" s="2"/>
      <c r="D294" s="2"/>
      <c r="E294" s="4"/>
      <c r="F294" s="5"/>
      <c r="G294" s="4"/>
      <c r="H294" s="5"/>
      <c r="I294" s="4"/>
      <c r="J294" s="4"/>
      <c r="K294" s="4"/>
    </row>
    <row r="295" spans="1:11" x14ac:dyDescent="0.25">
      <c r="A295" s="2"/>
      <c r="B295" s="3"/>
      <c r="C295" s="2"/>
      <c r="D295" s="2"/>
      <c r="E295" s="4"/>
      <c r="F295" s="5"/>
      <c r="G295" s="4"/>
      <c r="H295" s="5"/>
      <c r="I295" s="4"/>
      <c r="J295" s="4"/>
      <c r="K295" s="4"/>
    </row>
    <row r="296" spans="1:11" x14ac:dyDescent="0.25">
      <c r="A296" s="2"/>
      <c r="B296" s="3"/>
      <c r="C296" s="2"/>
      <c r="D296" s="2"/>
      <c r="E296" s="4"/>
      <c r="F296" s="5"/>
      <c r="G296" s="4"/>
      <c r="H296" s="5"/>
      <c r="I296" s="4"/>
      <c r="J296" s="4"/>
      <c r="K296" s="4"/>
    </row>
    <row r="297" spans="1:11" x14ac:dyDescent="0.25">
      <c r="A297" s="2"/>
      <c r="B297" s="3"/>
      <c r="C297" s="2"/>
      <c r="D297" s="2"/>
      <c r="E297" s="4"/>
      <c r="F297" s="5"/>
      <c r="G297" s="4"/>
      <c r="H297" s="5"/>
      <c r="I297" s="4"/>
      <c r="J297" s="4"/>
      <c r="K297" s="4"/>
    </row>
    <row r="298" spans="1:11" x14ac:dyDescent="0.25">
      <c r="A298" s="2"/>
      <c r="B298" s="3"/>
      <c r="C298" s="2"/>
      <c r="D298" s="2"/>
      <c r="E298" s="4"/>
      <c r="F298" s="5"/>
      <c r="G298" s="4"/>
      <c r="H298" s="5"/>
      <c r="I298" s="4"/>
      <c r="J298" s="4"/>
      <c r="K298" s="4"/>
    </row>
    <row r="299" spans="1:11" x14ac:dyDescent="0.25">
      <c r="A299" s="2"/>
      <c r="B299" s="3"/>
      <c r="C299" s="2"/>
      <c r="D299" s="2"/>
      <c r="E299" s="4"/>
      <c r="F299" s="5"/>
      <c r="G299" s="4"/>
      <c r="H299" s="5"/>
      <c r="I299" s="4"/>
      <c r="J299" s="4"/>
      <c r="K299" s="4"/>
    </row>
    <row r="300" spans="1:11" x14ac:dyDescent="0.25">
      <c r="A300" s="2"/>
      <c r="B300" s="3"/>
      <c r="C300" s="2"/>
      <c r="D300" s="2"/>
      <c r="E300" s="4"/>
      <c r="F300" s="5"/>
      <c r="G300" s="4"/>
      <c r="H300" s="5"/>
      <c r="I300" s="4"/>
      <c r="J300" s="4"/>
      <c r="K300" s="4"/>
    </row>
    <row r="301" spans="1:11" x14ac:dyDescent="0.25">
      <c r="A301" s="2"/>
      <c r="B301" s="3"/>
      <c r="C301" s="2"/>
      <c r="D301" s="2"/>
      <c r="E301" s="4"/>
      <c r="F301" s="5"/>
      <c r="G301" s="4"/>
      <c r="H301" s="5"/>
      <c r="I301" s="4"/>
      <c r="J301" s="4"/>
      <c r="K301" s="4"/>
    </row>
    <row r="302" spans="1:11" x14ac:dyDescent="0.25">
      <c r="A302" s="2"/>
      <c r="B302" s="3"/>
      <c r="C302" s="2"/>
      <c r="D302" s="2"/>
      <c r="E302" s="4"/>
      <c r="F302" s="5"/>
      <c r="G302" s="4"/>
      <c r="H302" s="5"/>
      <c r="I302" s="4"/>
      <c r="J302" s="4"/>
      <c r="K302" s="4"/>
    </row>
    <row r="303" spans="1:11" x14ac:dyDescent="0.25">
      <c r="A303" s="2"/>
      <c r="B303" s="3"/>
      <c r="C303" s="2"/>
      <c r="D303" s="2"/>
      <c r="E303" s="4"/>
      <c r="F303" s="5"/>
      <c r="G303" s="4"/>
      <c r="H303" s="5"/>
      <c r="I303" s="4"/>
      <c r="J303" s="4"/>
      <c r="K303" s="4"/>
    </row>
    <row r="304" spans="1:11" x14ac:dyDescent="0.25">
      <c r="A304" s="2"/>
      <c r="B304" s="3"/>
      <c r="C304" s="2"/>
      <c r="D304" s="2"/>
      <c r="E304" s="4"/>
      <c r="F304" s="5"/>
      <c r="G304" s="4"/>
      <c r="H304" s="5"/>
      <c r="I304" s="4"/>
      <c r="J304" s="4"/>
      <c r="K304" s="4"/>
    </row>
    <row r="305" spans="1:11" x14ac:dyDescent="0.25">
      <c r="A305" s="2"/>
      <c r="B305" s="3"/>
      <c r="C305" s="2"/>
      <c r="D305" s="2"/>
      <c r="E305" s="4"/>
      <c r="F305" s="5"/>
      <c r="G305" s="4"/>
      <c r="H305" s="5"/>
      <c r="I305" s="4"/>
      <c r="J305" s="4"/>
      <c r="K305" s="4"/>
    </row>
    <row r="306" spans="1:11" x14ac:dyDescent="0.25">
      <c r="A306" s="2"/>
      <c r="B306" s="3"/>
      <c r="C306" s="2"/>
      <c r="D306" s="2"/>
      <c r="E306" s="4"/>
      <c r="F306" s="5"/>
      <c r="G306" s="4"/>
      <c r="H306" s="5"/>
      <c r="I306" s="4"/>
      <c r="J306" s="4"/>
      <c r="K306" s="4"/>
    </row>
    <row r="307" spans="1:11" x14ac:dyDescent="0.25">
      <c r="A307" s="2"/>
      <c r="B307" s="3"/>
      <c r="C307" s="2"/>
      <c r="D307" s="2"/>
      <c r="E307" s="4"/>
      <c r="F307" s="5"/>
      <c r="G307" s="4"/>
      <c r="H307" s="5"/>
      <c r="I307" s="4"/>
      <c r="J307" s="4"/>
      <c r="K307" s="4"/>
    </row>
    <row r="308" spans="1:11" x14ac:dyDescent="0.25">
      <c r="A308" s="2"/>
      <c r="B308" s="3"/>
      <c r="C308" s="2"/>
      <c r="D308" s="2"/>
      <c r="E308" s="4"/>
      <c r="F308" s="5"/>
      <c r="G308" s="4"/>
      <c r="H308" s="5"/>
      <c r="I308" s="4"/>
      <c r="J308" s="4"/>
      <c r="K308" s="4"/>
    </row>
    <row r="309" spans="1:11" x14ac:dyDescent="0.25">
      <c r="A309" s="2"/>
      <c r="B309" s="3"/>
      <c r="C309" s="2"/>
      <c r="D309" s="2"/>
      <c r="E309" s="4"/>
      <c r="F309" s="5"/>
      <c r="G309" s="4"/>
      <c r="H309" s="5"/>
      <c r="I309" s="4"/>
      <c r="J309" s="4"/>
      <c r="K309" s="4"/>
    </row>
    <row r="310" spans="1:11" x14ac:dyDescent="0.25">
      <c r="A310" s="2"/>
      <c r="B310" s="3"/>
      <c r="C310" s="2"/>
      <c r="D310" s="2"/>
      <c r="E310" s="4"/>
      <c r="F310" s="5"/>
      <c r="G310" s="4"/>
      <c r="H310" s="5"/>
      <c r="I310" s="4"/>
      <c r="J310" s="4"/>
      <c r="K310" s="4"/>
    </row>
    <row r="311" spans="1:11" x14ac:dyDescent="0.25">
      <c r="A311" s="2"/>
      <c r="B311" s="3"/>
      <c r="C311" s="2"/>
      <c r="D311" s="2"/>
      <c r="E311" s="4"/>
      <c r="F311" s="5"/>
      <c r="G311" s="4"/>
      <c r="H311" s="5"/>
      <c r="I311" s="4"/>
      <c r="J311" s="4"/>
      <c r="K311" s="4"/>
    </row>
    <row r="312" spans="1:11" x14ac:dyDescent="0.25">
      <c r="A312" s="2"/>
      <c r="B312" s="3"/>
      <c r="C312" s="2"/>
      <c r="D312" s="2"/>
      <c r="E312" s="4"/>
      <c r="F312" s="5"/>
      <c r="G312" s="4"/>
      <c r="H312" s="5"/>
      <c r="I312" s="4"/>
      <c r="J312" s="4"/>
      <c r="K312" s="4"/>
    </row>
    <row r="313" spans="1:11" x14ac:dyDescent="0.25">
      <c r="A313" s="2"/>
      <c r="B313" s="3"/>
      <c r="C313" s="2"/>
      <c r="D313" s="2"/>
      <c r="E313" s="4"/>
      <c r="F313" s="5"/>
      <c r="G313" s="4"/>
      <c r="H313" s="5"/>
      <c r="I313" s="4"/>
      <c r="J313" s="4"/>
      <c r="K313" s="4"/>
    </row>
    <row r="314" spans="1:11" x14ac:dyDescent="0.25">
      <c r="A314" s="2"/>
      <c r="B314" s="3"/>
      <c r="C314" s="2"/>
      <c r="D314" s="2"/>
      <c r="E314" s="4"/>
      <c r="F314" s="5"/>
      <c r="G314" s="4"/>
      <c r="H314" s="5"/>
      <c r="I314" s="4"/>
      <c r="J314" s="4"/>
      <c r="K314" s="4"/>
    </row>
    <row r="315" spans="1:11" x14ac:dyDescent="0.25">
      <c r="A315" s="2"/>
      <c r="B315" s="3"/>
      <c r="C315" s="2"/>
      <c r="D315" s="2"/>
      <c r="E315" s="4"/>
      <c r="F315" s="5"/>
      <c r="G315" s="4"/>
      <c r="H315" s="5"/>
      <c r="I315" s="4"/>
      <c r="J315" s="4"/>
      <c r="K315" s="4"/>
    </row>
    <row r="316" spans="1:11" x14ac:dyDescent="0.25">
      <c r="A316" s="2"/>
      <c r="B316" s="3"/>
      <c r="C316" s="2"/>
      <c r="D316" s="2"/>
      <c r="E316" s="4"/>
      <c r="F316" s="5"/>
      <c r="G316" s="4"/>
      <c r="H316" s="5"/>
      <c r="I316" s="4"/>
      <c r="J316" s="4"/>
      <c r="K316" s="4"/>
    </row>
    <row r="317" spans="1:11" x14ac:dyDescent="0.25">
      <c r="A317" s="2"/>
      <c r="B317" s="3"/>
      <c r="C317" s="2"/>
      <c r="D317" s="2"/>
      <c r="E317" s="4"/>
      <c r="F317" s="5"/>
      <c r="G317" s="4"/>
      <c r="H317" s="5"/>
      <c r="I317" s="4"/>
      <c r="J317" s="4"/>
      <c r="K317" s="4"/>
    </row>
    <row r="318" spans="1:11" x14ac:dyDescent="0.25">
      <c r="A318" s="2"/>
      <c r="B318" s="3"/>
      <c r="C318" s="2"/>
      <c r="D318" s="2"/>
      <c r="E318" s="4"/>
      <c r="F318" s="5"/>
      <c r="G318" s="4"/>
      <c r="H318" s="5"/>
      <c r="I318" s="4"/>
      <c r="J318" s="4"/>
      <c r="K318" s="4"/>
    </row>
    <row r="319" spans="1:11" x14ac:dyDescent="0.25">
      <c r="A319" s="2"/>
      <c r="B319" s="3"/>
      <c r="C319" s="2"/>
      <c r="D319" s="2"/>
      <c r="E319" s="4"/>
      <c r="F319" s="5"/>
      <c r="G319" s="4"/>
      <c r="H319" s="5"/>
      <c r="I319" s="4"/>
      <c r="J319" s="4"/>
      <c r="K319" s="4"/>
    </row>
    <row r="320" spans="1:11" x14ac:dyDescent="0.25">
      <c r="A320" s="2"/>
      <c r="B320" s="3"/>
      <c r="C320" s="2"/>
      <c r="D320" s="2"/>
      <c r="E320" s="4"/>
      <c r="F320" s="5"/>
      <c r="G320" s="4"/>
      <c r="H320" s="5"/>
      <c r="I320" s="4"/>
      <c r="J320" s="4"/>
      <c r="K320" s="4"/>
    </row>
    <row r="321" spans="1:11" x14ac:dyDescent="0.25">
      <c r="A321" s="2"/>
      <c r="B321" s="3"/>
      <c r="C321" s="2"/>
      <c r="D321" s="2"/>
      <c r="E321" s="4"/>
      <c r="F321" s="5"/>
      <c r="G321" s="4"/>
      <c r="H321" s="5"/>
      <c r="I321" s="4"/>
      <c r="J321" s="4"/>
      <c r="K321" s="4"/>
    </row>
    <row r="322" spans="1:11" x14ac:dyDescent="0.25">
      <c r="A322" s="2"/>
      <c r="B322" s="3"/>
      <c r="C322" s="2"/>
      <c r="D322" s="2"/>
      <c r="E322" s="4"/>
      <c r="F322" s="5"/>
      <c r="G322" s="4"/>
      <c r="H322" s="5"/>
      <c r="I322" s="4"/>
      <c r="J322" s="4"/>
      <c r="K322" s="4"/>
    </row>
    <row r="323" spans="1:11" x14ac:dyDescent="0.25">
      <c r="A323" s="2"/>
      <c r="B323" s="3"/>
      <c r="C323" s="2"/>
      <c r="D323" s="2"/>
      <c r="E323" s="4"/>
      <c r="F323" s="5"/>
      <c r="G323" s="4"/>
      <c r="H323" s="5"/>
      <c r="I323" s="4"/>
      <c r="J323" s="4"/>
      <c r="K323" s="4"/>
    </row>
    <row r="324" spans="1:11" x14ac:dyDescent="0.25">
      <c r="A324" s="2"/>
      <c r="B324" s="3"/>
      <c r="C324" s="2"/>
      <c r="D324" s="2"/>
      <c r="E324" s="4"/>
      <c r="F324" s="5"/>
      <c r="G324" s="4"/>
      <c r="H324" s="5"/>
      <c r="I324" s="4"/>
      <c r="J324" s="4"/>
      <c r="K324" s="4"/>
    </row>
    <row r="325" spans="1:11" x14ac:dyDescent="0.25">
      <c r="A325" s="2"/>
      <c r="B325" s="3"/>
      <c r="C325" s="2"/>
      <c r="D325" s="2"/>
      <c r="E325" s="4"/>
      <c r="F325" s="5"/>
      <c r="G325" s="4"/>
      <c r="H325" s="5"/>
      <c r="I325" s="4"/>
      <c r="J325" s="4"/>
      <c r="K325" s="4"/>
    </row>
    <row r="326" spans="1:11" x14ac:dyDescent="0.25">
      <c r="A326" s="2"/>
      <c r="B326" s="3"/>
      <c r="C326" s="2"/>
      <c r="D326" s="2"/>
      <c r="E326" s="4"/>
      <c r="F326" s="5"/>
      <c r="G326" s="4"/>
      <c r="H326" s="5"/>
      <c r="I326" s="4"/>
      <c r="J326" s="4"/>
      <c r="K326" s="4"/>
    </row>
    <row r="327" spans="1:11" x14ac:dyDescent="0.25">
      <c r="A327" s="2"/>
      <c r="B327" s="3"/>
      <c r="C327" s="2"/>
      <c r="D327" s="2"/>
      <c r="E327" s="4"/>
      <c r="F327" s="5"/>
      <c r="G327" s="4"/>
      <c r="H327" s="5"/>
      <c r="I327" s="4"/>
      <c r="J327" s="4"/>
      <c r="K327" s="4"/>
    </row>
    <row r="328" spans="1:11" x14ac:dyDescent="0.25">
      <c r="A328" s="2"/>
      <c r="B328" s="3"/>
      <c r="C328" s="2"/>
      <c r="D328" s="2"/>
      <c r="E328" s="4"/>
      <c r="F328" s="5"/>
      <c r="G328" s="4"/>
      <c r="H328" s="5"/>
      <c r="I328" s="4"/>
      <c r="J328" s="4"/>
      <c r="K328" s="4"/>
    </row>
    <row r="329" spans="1:11" x14ac:dyDescent="0.25">
      <c r="A329" s="2"/>
      <c r="B329" s="3"/>
      <c r="C329" s="2"/>
      <c r="D329" s="2"/>
      <c r="E329" s="4"/>
      <c r="F329" s="5"/>
      <c r="G329" s="4"/>
      <c r="H329" s="5"/>
      <c r="I329" s="4"/>
      <c r="J329" s="4"/>
      <c r="K329" s="4"/>
    </row>
    <row r="330" spans="1:11" x14ac:dyDescent="0.25">
      <c r="A330" s="2"/>
      <c r="B330" s="3"/>
      <c r="C330" s="2"/>
      <c r="D330" s="2"/>
      <c r="E330" s="4"/>
      <c r="F330" s="5"/>
      <c r="G330" s="4"/>
      <c r="H330" s="5"/>
      <c r="I330" s="4"/>
      <c r="J330" s="4"/>
      <c r="K330" s="4"/>
    </row>
    <row r="331" spans="1:11" x14ac:dyDescent="0.25">
      <c r="A331" s="2"/>
      <c r="B331" s="3"/>
      <c r="C331" s="2"/>
      <c r="D331" s="2"/>
      <c r="E331" s="4"/>
      <c r="F331" s="5"/>
      <c r="G331" s="4"/>
      <c r="H331" s="5"/>
      <c r="I331" s="4"/>
      <c r="J331" s="4"/>
      <c r="K331" s="4"/>
    </row>
    <row r="332" spans="1:11" x14ac:dyDescent="0.25">
      <c r="A332" s="2"/>
      <c r="B332" s="3"/>
      <c r="C332" s="2"/>
      <c r="D332" s="2"/>
      <c r="E332" s="4"/>
      <c r="F332" s="5"/>
      <c r="G332" s="4"/>
      <c r="H332" s="5"/>
      <c r="I332" s="4"/>
      <c r="J332" s="4"/>
      <c r="K332" s="4"/>
    </row>
    <row r="333" spans="1:11" x14ac:dyDescent="0.25">
      <c r="A333" s="2"/>
      <c r="B333" s="3"/>
      <c r="C333" s="2"/>
      <c r="D333" s="2"/>
      <c r="E333" s="4"/>
      <c r="F333" s="5"/>
      <c r="G333" s="4"/>
      <c r="H333" s="5"/>
      <c r="I333" s="4"/>
      <c r="J333" s="4"/>
      <c r="K333" s="4"/>
    </row>
    <row r="334" spans="1:11" x14ac:dyDescent="0.25">
      <c r="A334" s="2"/>
      <c r="B334" s="3"/>
      <c r="C334" s="2"/>
      <c r="D334" s="2"/>
      <c r="E334" s="4"/>
      <c r="F334" s="5"/>
      <c r="G334" s="4"/>
      <c r="H334" s="5"/>
      <c r="I334" s="4"/>
      <c r="J334" s="4"/>
      <c r="K334" s="4"/>
    </row>
    <row r="335" spans="1:11" x14ac:dyDescent="0.25">
      <c r="A335" s="2"/>
      <c r="B335" s="3"/>
      <c r="C335" s="2"/>
      <c r="D335" s="2"/>
      <c r="E335" s="4"/>
      <c r="F335" s="5"/>
      <c r="G335" s="4"/>
      <c r="H335" s="5"/>
      <c r="I335" s="4"/>
      <c r="J335" s="4"/>
      <c r="K335" s="4"/>
    </row>
    <row r="336" spans="1:11" x14ac:dyDescent="0.25">
      <c r="A336" s="2"/>
      <c r="B336" s="3"/>
      <c r="C336" s="2"/>
      <c r="D336" s="2"/>
      <c r="E336" s="4"/>
      <c r="F336" s="5"/>
      <c r="G336" s="4"/>
      <c r="H336" s="5"/>
      <c r="I336" s="4"/>
      <c r="J336" s="4"/>
      <c r="K336" s="4"/>
    </row>
    <row r="337" spans="1:11" x14ac:dyDescent="0.25">
      <c r="A337" s="2"/>
      <c r="B337" s="3"/>
      <c r="C337" s="2"/>
      <c r="D337" s="2"/>
      <c r="E337" s="4"/>
      <c r="F337" s="5"/>
      <c r="G337" s="4"/>
      <c r="H337" s="5"/>
      <c r="I337" s="4"/>
      <c r="J337" s="4"/>
      <c r="K337" s="4"/>
    </row>
    <row r="338" spans="1:11" x14ac:dyDescent="0.25">
      <c r="A338" s="2"/>
      <c r="B338" s="3"/>
      <c r="C338" s="2"/>
      <c r="D338" s="2"/>
      <c r="E338" s="4"/>
      <c r="F338" s="5"/>
      <c r="G338" s="4"/>
      <c r="H338" s="5"/>
      <c r="I338" s="4"/>
      <c r="J338" s="4"/>
      <c r="K338" s="4"/>
    </row>
    <row r="339" spans="1:11" x14ac:dyDescent="0.25">
      <c r="A339" s="2"/>
      <c r="B339" s="3"/>
      <c r="C339" s="2"/>
      <c r="D339" s="2"/>
      <c r="E339" s="4"/>
      <c r="F339" s="5"/>
      <c r="G339" s="4"/>
      <c r="H339" s="5"/>
      <c r="I339" s="4"/>
      <c r="J339" s="4"/>
      <c r="K339" s="4"/>
    </row>
    <row r="340" spans="1:11" x14ac:dyDescent="0.25">
      <c r="A340" s="2"/>
      <c r="B340" s="3"/>
      <c r="C340" s="2"/>
      <c r="D340" s="2"/>
      <c r="E340" s="4"/>
      <c r="F340" s="5"/>
      <c r="G340" s="4"/>
      <c r="H340" s="5"/>
      <c r="I340" s="4"/>
      <c r="J340" s="4"/>
      <c r="K340" s="4"/>
    </row>
    <row r="341" spans="1:11" x14ac:dyDescent="0.25">
      <c r="A341" s="2"/>
      <c r="B341" s="3"/>
      <c r="C341" s="2"/>
      <c r="D341" s="2"/>
      <c r="E341" s="4"/>
      <c r="F341" s="5"/>
      <c r="G341" s="4"/>
      <c r="H341" s="5"/>
      <c r="I341" s="4"/>
      <c r="J341" s="4"/>
      <c r="K341" s="4"/>
    </row>
    <row r="342" spans="1:11" x14ac:dyDescent="0.25">
      <c r="A342" s="2"/>
      <c r="B342" s="3"/>
      <c r="C342" s="2"/>
      <c r="D342" s="2"/>
      <c r="E342" s="4"/>
      <c r="F342" s="5"/>
      <c r="G342" s="4"/>
      <c r="H342" s="5"/>
      <c r="I342" s="4"/>
      <c r="J342" s="4"/>
      <c r="K342" s="4"/>
    </row>
    <row r="343" spans="1:11" x14ac:dyDescent="0.25">
      <c r="A343" s="2"/>
      <c r="B343" s="3"/>
      <c r="C343" s="2"/>
      <c r="D343" s="2"/>
      <c r="E343" s="4"/>
      <c r="F343" s="5"/>
      <c r="G343" s="4"/>
      <c r="H343" s="5"/>
      <c r="I343" s="4"/>
      <c r="J343" s="4"/>
      <c r="K343" s="4"/>
    </row>
    <row r="344" spans="1:11" x14ac:dyDescent="0.25">
      <c r="A344" s="2"/>
      <c r="B344" s="3"/>
      <c r="C344" s="2"/>
      <c r="D344" s="2"/>
      <c r="E344" s="4"/>
      <c r="F344" s="5"/>
      <c r="G344" s="4"/>
      <c r="H344" s="5"/>
      <c r="I344" s="4"/>
      <c r="J344" s="4"/>
      <c r="K344" s="4"/>
    </row>
    <row r="345" spans="1:11" x14ac:dyDescent="0.25">
      <c r="A345" s="2"/>
      <c r="B345" s="3"/>
      <c r="C345" s="2"/>
      <c r="D345" s="2"/>
      <c r="E345" s="4"/>
      <c r="F345" s="5"/>
      <c r="G345" s="4"/>
      <c r="H345" s="5"/>
      <c r="I345" s="4"/>
      <c r="J345" s="4"/>
      <c r="K345" s="4"/>
    </row>
    <row r="346" spans="1:11" x14ac:dyDescent="0.25">
      <c r="A346" s="2"/>
      <c r="B346" s="3"/>
      <c r="C346" s="2"/>
      <c r="D346" s="2"/>
      <c r="E346" s="4"/>
      <c r="F346" s="5"/>
      <c r="G346" s="4"/>
      <c r="H346" s="5"/>
      <c r="I346" s="4"/>
      <c r="J346" s="4"/>
      <c r="K346" s="4"/>
    </row>
    <row r="347" spans="1:11" x14ac:dyDescent="0.25">
      <c r="A347" s="2"/>
      <c r="B347" s="3"/>
      <c r="C347" s="2"/>
      <c r="D347" s="2"/>
      <c r="E347" s="4"/>
      <c r="F347" s="5"/>
      <c r="G347" s="4"/>
      <c r="H347" s="5"/>
      <c r="I347" s="4"/>
      <c r="J347" s="4"/>
      <c r="K347" s="4"/>
    </row>
    <row r="348" spans="1:11" x14ac:dyDescent="0.25">
      <c r="A348" s="2"/>
      <c r="B348" s="3"/>
      <c r="C348" s="2"/>
      <c r="D348" s="2"/>
      <c r="E348" s="4"/>
      <c r="F348" s="5"/>
      <c r="G348" s="4"/>
      <c r="H348" s="5"/>
      <c r="I348" s="4"/>
      <c r="J348" s="4"/>
      <c r="K348" s="4"/>
    </row>
    <row r="349" spans="1:11" x14ac:dyDescent="0.25">
      <c r="A349" s="2"/>
      <c r="B349" s="3"/>
      <c r="C349" s="2"/>
      <c r="D349" s="2"/>
      <c r="E349" s="4"/>
      <c r="F349" s="5"/>
      <c r="G349" s="4"/>
      <c r="H349" s="5"/>
      <c r="I349" s="4"/>
      <c r="J349" s="4"/>
      <c r="K349" s="4"/>
    </row>
    <row r="350" spans="1:11" x14ac:dyDescent="0.25">
      <c r="A350" s="2"/>
      <c r="B350" s="3"/>
      <c r="C350" s="2"/>
      <c r="D350" s="2"/>
      <c r="E350" s="4"/>
      <c r="F350" s="5"/>
      <c r="G350" s="4"/>
      <c r="H350" s="5"/>
      <c r="I350" s="4"/>
      <c r="J350" s="4"/>
      <c r="K350" s="4"/>
    </row>
    <row r="351" spans="1:11" x14ac:dyDescent="0.25">
      <c r="A351" s="2"/>
      <c r="B351" s="3"/>
      <c r="C351" s="2"/>
      <c r="D351" s="2"/>
      <c r="E351" s="4"/>
      <c r="F351" s="5"/>
      <c r="G351" s="4"/>
      <c r="H351" s="5"/>
      <c r="I351" s="4"/>
      <c r="J351" s="4"/>
      <c r="K351" s="4"/>
    </row>
    <row r="352" spans="1:11" x14ac:dyDescent="0.25">
      <c r="A352" s="2"/>
      <c r="B352" s="3"/>
      <c r="C352" s="2"/>
      <c r="D352" s="2"/>
      <c r="E352" s="4"/>
      <c r="F352" s="5"/>
      <c r="G352" s="4"/>
      <c r="H352" s="5"/>
      <c r="I352" s="4"/>
      <c r="J352" s="4"/>
      <c r="K352" s="4"/>
    </row>
    <row r="353" spans="1:11" x14ac:dyDescent="0.25">
      <c r="A353" s="2"/>
      <c r="B353" s="3"/>
      <c r="C353" s="2"/>
      <c r="D353" s="2"/>
      <c r="E353" s="4"/>
      <c r="F353" s="5"/>
      <c r="G353" s="4"/>
      <c r="H353" s="5"/>
      <c r="I353" s="4"/>
      <c r="J353" s="4"/>
      <c r="K353" s="4"/>
    </row>
    <row r="354" spans="1:11" x14ac:dyDescent="0.25">
      <c r="A354" s="2"/>
      <c r="B354" s="3"/>
      <c r="C354" s="2"/>
      <c r="D354" s="2"/>
      <c r="E354" s="4"/>
      <c r="F354" s="5"/>
      <c r="G354" s="4"/>
      <c r="H354" s="5"/>
      <c r="I354" s="4"/>
      <c r="J354" s="4"/>
      <c r="K354" s="4"/>
    </row>
    <row r="355" spans="1:11" x14ac:dyDescent="0.25">
      <c r="A355" s="2"/>
      <c r="B355" s="3"/>
      <c r="C355" s="2"/>
      <c r="D355" s="2"/>
      <c r="E355" s="4"/>
      <c r="F355" s="5"/>
      <c r="G355" s="4"/>
      <c r="H355" s="5"/>
      <c r="I355" s="4"/>
      <c r="J355" s="4"/>
      <c r="K355" s="4"/>
    </row>
    <row r="356" spans="1:11" x14ac:dyDescent="0.25">
      <c r="A356" s="2"/>
      <c r="B356" s="3"/>
      <c r="C356" s="2"/>
      <c r="D356" s="2"/>
      <c r="E356" s="4"/>
      <c r="F356" s="5"/>
      <c r="G356" s="4"/>
      <c r="H356" s="5"/>
      <c r="I356" s="4"/>
      <c r="J356" s="4"/>
      <c r="K356" s="4"/>
    </row>
    <row r="357" spans="1:11" x14ac:dyDescent="0.25">
      <c r="A357" s="2"/>
      <c r="B357" s="3"/>
      <c r="C357" s="2"/>
      <c r="D357" s="2"/>
      <c r="E357" s="4"/>
      <c r="F357" s="5"/>
      <c r="G357" s="4"/>
      <c r="H357" s="5"/>
      <c r="I357" s="4"/>
      <c r="J357" s="4"/>
      <c r="K357" s="4"/>
    </row>
    <row r="358" spans="1:11" x14ac:dyDescent="0.25">
      <c r="A358" s="2"/>
      <c r="B358" s="3"/>
      <c r="C358" s="2"/>
      <c r="D358" s="2"/>
      <c r="E358" s="4"/>
      <c r="F358" s="5"/>
      <c r="G358" s="4"/>
      <c r="H358" s="5"/>
      <c r="I358" s="4"/>
      <c r="J358" s="4"/>
      <c r="K358" s="4"/>
    </row>
    <row r="359" spans="1:11" x14ac:dyDescent="0.25">
      <c r="A359" s="2"/>
      <c r="B359" s="3"/>
      <c r="C359" s="2"/>
      <c r="D359" s="2"/>
      <c r="E359" s="4"/>
      <c r="F359" s="5"/>
      <c r="G359" s="4"/>
      <c r="H359" s="5"/>
      <c r="I359" s="4"/>
      <c r="J359" s="4"/>
      <c r="K359" s="4"/>
    </row>
    <row r="360" spans="1:11" x14ac:dyDescent="0.25">
      <c r="A360" s="2"/>
      <c r="B360" s="3"/>
      <c r="C360" s="2"/>
      <c r="D360" s="2"/>
      <c r="E360" s="4"/>
      <c r="F360" s="5"/>
      <c r="G360" s="4"/>
      <c r="H360" s="5"/>
      <c r="I360" s="4"/>
      <c r="J360" s="4"/>
      <c r="K360" s="4"/>
    </row>
    <row r="361" spans="1:11" x14ac:dyDescent="0.25">
      <c r="A361" s="2"/>
      <c r="B361" s="3"/>
      <c r="C361" s="2"/>
      <c r="D361" s="2"/>
      <c r="E361" s="4"/>
      <c r="F361" s="5"/>
      <c r="G361" s="4"/>
      <c r="H361" s="5"/>
      <c r="I361" s="4"/>
      <c r="J361" s="4"/>
      <c r="K361" s="4"/>
    </row>
    <row r="362" spans="1:11" x14ac:dyDescent="0.25">
      <c r="A362" s="2"/>
      <c r="B362" s="3"/>
      <c r="C362" s="2"/>
      <c r="D362" s="2"/>
      <c r="E362" s="4"/>
      <c r="F362" s="5"/>
      <c r="G362" s="4"/>
      <c r="H362" s="5"/>
      <c r="I362" s="4"/>
      <c r="J362" s="4"/>
      <c r="K362" s="4"/>
    </row>
    <row r="363" spans="1:11" x14ac:dyDescent="0.25">
      <c r="A363" s="2"/>
      <c r="B363" s="3"/>
      <c r="C363" s="2"/>
      <c r="D363" s="2"/>
      <c r="E363" s="4"/>
      <c r="F363" s="5"/>
      <c r="G363" s="4"/>
      <c r="H363" s="5"/>
      <c r="I363" s="4"/>
      <c r="J363" s="4"/>
      <c r="K363" s="4"/>
    </row>
    <row r="364" spans="1:11" x14ac:dyDescent="0.25">
      <c r="A364" s="2"/>
      <c r="B364" s="3"/>
      <c r="C364" s="2"/>
      <c r="D364" s="2"/>
      <c r="E364" s="4"/>
      <c r="F364" s="5"/>
      <c r="G364" s="4"/>
      <c r="H364" s="5"/>
      <c r="I364" s="4"/>
      <c r="J364" s="4"/>
      <c r="K364" s="4"/>
    </row>
    <row r="365" spans="1:11" x14ac:dyDescent="0.25">
      <c r="A365" s="2"/>
      <c r="B365" s="3"/>
      <c r="C365" s="2"/>
      <c r="D365" s="2"/>
      <c r="E365" s="4"/>
      <c r="F365" s="5"/>
      <c r="G365" s="4"/>
      <c r="H365" s="5"/>
      <c r="I365" s="4"/>
      <c r="J365" s="4"/>
      <c r="K365" s="4"/>
    </row>
    <row r="366" spans="1:11" x14ac:dyDescent="0.25">
      <c r="A366" s="2"/>
      <c r="B366" s="3"/>
      <c r="C366" s="2"/>
      <c r="D366" s="2"/>
      <c r="E366" s="4"/>
      <c r="F366" s="5"/>
      <c r="G366" s="4"/>
      <c r="H366" s="5"/>
      <c r="I366" s="4"/>
      <c r="J366" s="4"/>
      <c r="K366" s="4"/>
    </row>
    <row r="367" spans="1:11" x14ac:dyDescent="0.25">
      <c r="A367" s="2"/>
      <c r="B367" s="3"/>
      <c r="C367" s="2"/>
      <c r="D367" s="2"/>
      <c r="E367" s="4"/>
      <c r="F367" s="5"/>
      <c r="G367" s="4"/>
      <c r="H367" s="5"/>
      <c r="I367" s="4"/>
      <c r="J367" s="4"/>
      <c r="K367" s="4"/>
    </row>
    <row r="368" spans="1:11" x14ac:dyDescent="0.25">
      <c r="A368" s="2"/>
      <c r="B368" s="3"/>
      <c r="C368" s="2"/>
      <c r="D368" s="2"/>
      <c r="E368" s="4"/>
      <c r="F368" s="5"/>
      <c r="G368" s="4"/>
      <c r="H368" s="5"/>
      <c r="I368" s="4"/>
      <c r="J368" s="4"/>
      <c r="K368" s="4"/>
    </row>
    <row r="369" spans="1:11" x14ac:dyDescent="0.25">
      <c r="A369" s="2"/>
      <c r="B369" s="3"/>
      <c r="C369" s="2"/>
      <c r="D369" s="2"/>
      <c r="E369" s="4"/>
      <c r="F369" s="5"/>
      <c r="G369" s="4"/>
      <c r="H369" s="5"/>
      <c r="I369" s="4"/>
      <c r="J369" s="4"/>
      <c r="K369" s="4"/>
    </row>
    <row r="370" spans="1:11" x14ac:dyDescent="0.25">
      <c r="A370" s="2"/>
      <c r="B370" s="3"/>
      <c r="C370" s="2"/>
      <c r="D370" s="2"/>
      <c r="E370" s="4"/>
      <c r="F370" s="5"/>
      <c r="G370" s="4"/>
      <c r="H370" s="5"/>
      <c r="I370" s="4"/>
      <c r="J370" s="4"/>
      <c r="K370" s="4"/>
    </row>
    <row r="371" spans="1:11" x14ac:dyDescent="0.25">
      <c r="A371" s="2"/>
      <c r="B371" s="3"/>
      <c r="C371" s="2"/>
      <c r="D371" s="2"/>
      <c r="E371" s="4"/>
      <c r="F371" s="5"/>
      <c r="G371" s="4"/>
      <c r="H371" s="5"/>
      <c r="I371" s="4"/>
      <c r="J371" s="4"/>
      <c r="K371" s="4"/>
    </row>
    <row r="372" spans="1:11" x14ac:dyDescent="0.25">
      <c r="A372" s="2"/>
      <c r="B372" s="3"/>
      <c r="C372" s="2"/>
      <c r="D372" s="2"/>
      <c r="E372" s="4"/>
      <c r="F372" s="5"/>
      <c r="G372" s="4"/>
      <c r="H372" s="5"/>
      <c r="I372" s="4"/>
      <c r="J372" s="4"/>
      <c r="K372" s="4"/>
    </row>
    <row r="373" spans="1:11" x14ac:dyDescent="0.25">
      <c r="A373" s="2"/>
      <c r="B373" s="3"/>
      <c r="C373" s="2"/>
      <c r="D373" s="2"/>
      <c r="E373" s="4"/>
      <c r="F373" s="5"/>
      <c r="G373" s="4"/>
      <c r="H373" s="5"/>
      <c r="I373" s="4"/>
      <c r="J373" s="4"/>
      <c r="K373" s="4"/>
    </row>
    <row r="374" spans="1:11" x14ac:dyDescent="0.25">
      <c r="A374" s="2"/>
      <c r="B374" s="3"/>
      <c r="C374" s="2"/>
      <c r="D374" s="2"/>
      <c r="E374" s="4"/>
      <c r="F374" s="5"/>
      <c r="G374" s="4"/>
      <c r="H374" s="5"/>
      <c r="I374" s="4"/>
      <c r="J374" s="4"/>
      <c r="K374" s="4"/>
    </row>
    <row r="375" spans="1:11" x14ac:dyDescent="0.25">
      <c r="A375" s="2"/>
      <c r="B375" s="3"/>
      <c r="C375" s="2"/>
      <c r="D375" s="2"/>
      <c r="E375" s="4"/>
      <c r="F375" s="5"/>
      <c r="G375" s="4"/>
      <c r="H375" s="5"/>
      <c r="I375" s="4"/>
      <c r="J375" s="4"/>
      <c r="K375" s="4"/>
    </row>
    <row r="376" spans="1:11" x14ac:dyDescent="0.25">
      <c r="A376" s="2"/>
      <c r="B376" s="3"/>
      <c r="C376" s="2"/>
      <c r="D376" s="2"/>
      <c r="E376" s="4"/>
      <c r="F376" s="5"/>
      <c r="G376" s="4"/>
      <c r="H376" s="5"/>
      <c r="I376" s="4"/>
      <c r="J376" s="4"/>
      <c r="K376" s="4"/>
    </row>
    <row r="377" spans="1:11" x14ac:dyDescent="0.25">
      <c r="A377" s="2"/>
      <c r="B377" s="3"/>
      <c r="C377" s="2"/>
      <c r="D377" s="2"/>
      <c r="E377" s="4"/>
      <c r="F377" s="5"/>
      <c r="G377" s="4"/>
      <c r="H377" s="5"/>
      <c r="I377" s="4"/>
      <c r="J377" s="4"/>
      <c r="K377" s="4"/>
    </row>
    <row r="378" spans="1:11" x14ac:dyDescent="0.25">
      <c r="A378" s="2"/>
      <c r="B378" s="3"/>
      <c r="C378" s="2"/>
      <c r="D378" s="2"/>
      <c r="E378" s="4"/>
      <c r="F378" s="5"/>
      <c r="G378" s="4"/>
      <c r="H378" s="5"/>
      <c r="I378" s="4"/>
      <c r="J378" s="4"/>
      <c r="K378" s="4"/>
    </row>
    <row r="379" spans="1:11" x14ac:dyDescent="0.25">
      <c r="A379" s="2"/>
      <c r="B379" s="3"/>
      <c r="C379" s="2"/>
      <c r="D379" s="2"/>
      <c r="E379" s="4"/>
      <c r="F379" s="5"/>
      <c r="G379" s="4"/>
      <c r="H379" s="5"/>
      <c r="I379" s="4"/>
      <c r="J379" s="4"/>
      <c r="K379" s="4"/>
    </row>
    <row r="380" spans="1:11" x14ac:dyDescent="0.25">
      <c r="A380" s="2"/>
      <c r="B380" s="3"/>
      <c r="C380" s="2"/>
      <c r="D380" s="2"/>
      <c r="E380" s="4"/>
      <c r="F380" s="5"/>
      <c r="G380" s="4"/>
      <c r="H380" s="5"/>
      <c r="I380" s="4"/>
      <c r="J380" s="4"/>
      <c r="K380" s="4"/>
    </row>
    <row r="381" spans="1:11" x14ac:dyDescent="0.25">
      <c r="A381" s="2"/>
      <c r="B381" s="3"/>
      <c r="C381" s="2"/>
      <c r="D381" s="2"/>
      <c r="E381" s="4"/>
      <c r="F381" s="5"/>
      <c r="G381" s="4"/>
      <c r="H381" s="5"/>
      <c r="I381" s="4"/>
      <c r="J381" s="4"/>
      <c r="K381" s="4"/>
    </row>
    <row r="382" spans="1:11" x14ac:dyDescent="0.25">
      <c r="A382" s="2"/>
      <c r="B382" s="3"/>
      <c r="C382" s="2"/>
      <c r="D382" s="2"/>
      <c r="E382" s="4"/>
      <c r="F382" s="5"/>
      <c r="G382" s="4"/>
      <c r="H382" s="5"/>
      <c r="I382" s="4"/>
      <c r="J382" s="4"/>
      <c r="K382" s="4"/>
    </row>
    <row r="383" spans="1:11" x14ac:dyDescent="0.25">
      <c r="A383" s="2"/>
      <c r="B383" s="3"/>
      <c r="C383" s="2"/>
      <c r="D383" s="2"/>
      <c r="E383" s="4"/>
      <c r="F383" s="5"/>
      <c r="G383" s="4"/>
      <c r="H383" s="5"/>
      <c r="I383" s="4"/>
      <c r="J383" s="4"/>
      <c r="K383" s="4"/>
    </row>
    <row r="384" spans="1:11" x14ac:dyDescent="0.25">
      <c r="A384" s="2"/>
      <c r="B384" s="3"/>
      <c r="C384" s="2"/>
      <c r="D384" s="2"/>
      <c r="E384" s="4"/>
      <c r="F384" s="5"/>
      <c r="G384" s="4"/>
      <c r="H384" s="5"/>
      <c r="I384" s="4"/>
      <c r="J384" s="4"/>
      <c r="K384" s="4"/>
    </row>
    <row r="385" spans="1:11" x14ac:dyDescent="0.25">
      <c r="A385" s="2"/>
      <c r="B385" s="3"/>
      <c r="C385" s="2"/>
      <c r="D385" s="2"/>
      <c r="E385" s="4"/>
      <c r="F385" s="5"/>
      <c r="G385" s="4"/>
      <c r="H385" s="5"/>
      <c r="I385" s="4"/>
      <c r="J385" s="4"/>
      <c r="K385" s="4"/>
    </row>
    <row r="386" spans="1:11" x14ac:dyDescent="0.25">
      <c r="A386" s="2"/>
      <c r="B386" s="3"/>
      <c r="C386" s="2"/>
      <c r="D386" s="2"/>
      <c r="E386" s="4"/>
      <c r="F386" s="5"/>
      <c r="G386" s="4"/>
      <c r="H386" s="5"/>
      <c r="I386" s="4"/>
      <c r="J386" s="4"/>
      <c r="K386" s="4"/>
    </row>
    <row r="387" spans="1:11" x14ac:dyDescent="0.25">
      <c r="A387" s="2"/>
      <c r="B387" s="3"/>
      <c r="C387" s="2"/>
      <c r="D387" s="2"/>
      <c r="E387" s="4"/>
      <c r="F387" s="5"/>
      <c r="G387" s="4"/>
      <c r="H387" s="5"/>
      <c r="I387" s="4"/>
      <c r="J387" s="4"/>
      <c r="K387" s="4"/>
    </row>
    <row r="388" spans="1:11" x14ac:dyDescent="0.25">
      <c r="A388" s="2"/>
      <c r="B388" s="3"/>
      <c r="C388" s="2"/>
      <c r="D388" s="2"/>
      <c r="E388" s="4"/>
      <c r="F388" s="5"/>
      <c r="G388" s="4"/>
      <c r="H388" s="5"/>
      <c r="I388" s="4"/>
      <c r="J388" s="4"/>
      <c r="K388" s="4"/>
    </row>
    <row r="389" spans="1:11" x14ac:dyDescent="0.25">
      <c r="A389" s="2"/>
      <c r="B389" s="3"/>
      <c r="C389" s="2"/>
      <c r="D389" s="2"/>
      <c r="E389" s="4"/>
      <c r="F389" s="5"/>
      <c r="G389" s="4"/>
      <c r="H389" s="5"/>
      <c r="I389" s="4"/>
      <c r="J389" s="4"/>
      <c r="K389" s="4"/>
    </row>
    <row r="390" spans="1:11" x14ac:dyDescent="0.25">
      <c r="A390" s="2"/>
      <c r="B390" s="3"/>
      <c r="C390" s="2"/>
      <c r="D390" s="2"/>
      <c r="E390" s="4"/>
      <c r="F390" s="5"/>
      <c r="G390" s="4"/>
      <c r="H390" s="5"/>
      <c r="I390" s="4"/>
      <c r="J390" s="4"/>
      <c r="K390" s="4"/>
    </row>
    <row r="391" spans="1:11" x14ac:dyDescent="0.25">
      <c r="A391" s="2"/>
      <c r="B391" s="3"/>
      <c r="C391" s="2"/>
      <c r="D391" s="2"/>
      <c r="E391" s="4"/>
      <c r="F391" s="5"/>
      <c r="G391" s="4"/>
      <c r="H391" s="5"/>
      <c r="I391" s="4"/>
      <c r="J391" s="4"/>
      <c r="K391" s="4"/>
    </row>
    <row r="392" spans="1:11" x14ac:dyDescent="0.25">
      <c r="A392" s="2"/>
      <c r="B392" s="3"/>
      <c r="C392" s="2"/>
      <c r="D392" s="2"/>
      <c r="E392" s="4"/>
      <c r="F392" s="5"/>
      <c r="G392" s="4"/>
      <c r="H392" s="5"/>
      <c r="I392" s="4"/>
      <c r="J392" s="4"/>
      <c r="K392" s="4"/>
    </row>
    <row r="393" spans="1:11" x14ac:dyDescent="0.25">
      <c r="A393" s="2"/>
      <c r="B393" s="3"/>
      <c r="C393" s="2"/>
      <c r="D393" s="2"/>
      <c r="E393" s="4"/>
      <c r="F393" s="5"/>
      <c r="G393" s="4"/>
      <c r="H393" s="5"/>
      <c r="I393" s="4"/>
      <c r="J393" s="4"/>
      <c r="K393" s="4"/>
    </row>
    <row r="394" spans="1:11" x14ac:dyDescent="0.25">
      <c r="A394" s="2"/>
      <c r="B394" s="3"/>
      <c r="C394" s="2"/>
      <c r="D394" s="2"/>
      <c r="E394" s="4"/>
      <c r="F394" s="5"/>
      <c r="G394" s="4"/>
      <c r="H394" s="5"/>
      <c r="I394" s="4"/>
      <c r="J394" s="4"/>
      <c r="K394" s="4"/>
    </row>
    <row r="395" spans="1:11" x14ac:dyDescent="0.25">
      <c r="A395" s="2"/>
      <c r="B395" s="3"/>
      <c r="C395" s="2"/>
      <c r="D395" s="2"/>
      <c r="E395" s="4"/>
      <c r="F395" s="5"/>
      <c r="G395" s="4"/>
      <c r="H395" s="5"/>
      <c r="I395" s="4"/>
      <c r="J395" s="4"/>
      <c r="K395" s="4"/>
    </row>
    <row r="396" spans="1:11" x14ac:dyDescent="0.25">
      <c r="A396" s="2"/>
      <c r="B396" s="3"/>
      <c r="C396" s="2"/>
      <c r="D396" s="2"/>
      <c r="E396" s="4"/>
      <c r="F396" s="5"/>
      <c r="G396" s="4"/>
      <c r="H396" s="5"/>
      <c r="I396" s="4"/>
      <c r="J396" s="4"/>
      <c r="K396" s="4"/>
    </row>
    <row r="397" spans="1:11" x14ac:dyDescent="0.25">
      <c r="A397" s="2"/>
      <c r="B397" s="3"/>
      <c r="C397" s="2"/>
      <c r="D397" s="2"/>
      <c r="E397" s="4"/>
      <c r="F397" s="5"/>
      <c r="G397" s="4"/>
      <c r="H397" s="5"/>
      <c r="I397" s="4"/>
      <c r="J397" s="4"/>
      <c r="K397" s="4"/>
    </row>
    <row r="398" spans="1:11" x14ac:dyDescent="0.25">
      <c r="A398" s="2"/>
      <c r="B398" s="3"/>
      <c r="C398" s="2"/>
      <c r="D398" s="2"/>
      <c r="E398" s="4"/>
      <c r="F398" s="5"/>
      <c r="G398" s="4"/>
      <c r="H398" s="5"/>
      <c r="I398" s="4"/>
      <c r="J398" s="4"/>
      <c r="K398" s="4"/>
    </row>
    <row r="399" spans="1:11" x14ac:dyDescent="0.25">
      <c r="A399" s="2"/>
      <c r="B399" s="3"/>
      <c r="C399" s="2"/>
      <c r="D399" s="2"/>
      <c r="E399" s="4"/>
      <c r="F399" s="5"/>
      <c r="G399" s="4"/>
      <c r="H399" s="5"/>
      <c r="I399" s="4"/>
      <c r="J399" s="4"/>
      <c r="K399" s="4"/>
    </row>
    <row r="400" spans="1:11" x14ac:dyDescent="0.25">
      <c r="A400" s="2"/>
      <c r="B400" s="3"/>
      <c r="C400" s="2"/>
      <c r="D400" s="2"/>
      <c r="E400" s="4"/>
      <c r="F400" s="5"/>
      <c r="G400" s="4"/>
      <c r="H400" s="5"/>
      <c r="I400" s="4"/>
      <c r="J400" s="4"/>
      <c r="K400" s="4"/>
    </row>
    <row r="401" spans="1:11" x14ac:dyDescent="0.25">
      <c r="A401" s="2"/>
      <c r="B401" s="3"/>
      <c r="C401" s="2"/>
      <c r="D401" s="2"/>
      <c r="E401" s="4"/>
      <c r="F401" s="5"/>
      <c r="G401" s="4"/>
      <c r="H401" s="5"/>
      <c r="I401" s="4"/>
      <c r="J401" s="4"/>
      <c r="K401" s="4"/>
    </row>
    <row r="402" spans="1:11" x14ac:dyDescent="0.25">
      <c r="A402" s="2"/>
      <c r="B402" s="3"/>
      <c r="C402" s="2"/>
      <c r="D402" s="2"/>
      <c r="E402" s="4"/>
      <c r="F402" s="5"/>
      <c r="G402" s="4"/>
      <c r="H402" s="5"/>
      <c r="I402" s="4"/>
      <c r="J402" s="4"/>
      <c r="K402" s="4"/>
    </row>
    <row r="403" spans="1:11" x14ac:dyDescent="0.25">
      <c r="A403" s="2"/>
      <c r="B403" s="3"/>
      <c r="C403" s="2"/>
      <c r="D403" s="2"/>
      <c r="E403" s="4"/>
      <c r="F403" s="5"/>
      <c r="G403" s="4"/>
      <c r="H403" s="5"/>
      <c r="I403" s="4"/>
      <c r="J403" s="4"/>
      <c r="K403" s="4"/>
    </row>
    <row r="404" spans="1:11" x14ac:dyDescent="0.25">
      <c r="A404" s="2"/>
      <c r="B404" s="3"/>
      <c r="C404" s="2"/>
      <c r="D404" s="2"/>
      <c r="E404" s="4"/>
      <c r="F404" s="5"/>
      <c r="G404" s="4"/>
      <c r="H404" s="5"/>
      <c r="I404" s="4"/>
      <c r="J404" s="4"/>
      <c r="K404" s="4"/>
    </row>
    <row r="405" spans="1:11" x14ac:dyDescent="0.25">
      <c r="A405" s="2"/>
      <c r="B405" s="3"/>
      <c r="C405" s="2"/>
      <c r="D405" s="2"/>
      <c r="E405" s="4"/>
      <c r="F405" s="5"/>
      <c r="G405" s="4"/>
      <c r="H405" s="5"/>
      <c r="I405" s="4"/>
      <c r="J405" s="4"/>
      <c r="K405" s="4"/>
    </row>
    <row r="406" spans="1:11" x14ac:dyDescent="0.25">
      <c r="A406" s="2"/>
      <c r="B406" s="3"/>
      <c r="C406" s="2"/>
      <c r="D406" s="2"/>
      <c r="E406" s="4"/>
      <c r="F406" s="5"/>
      <c r="G406" s="4"/>
      <c r="H406" s="5"/>
      <c r="I406" s="4"/>
      <c r="J406" s="4"/>
      <c r="K406" s="4"/>
    </row>
    <row r="407" spans="1:11" x14ac:dyDescent="0.25">
      <c r="A407" s="2"/>
      <c r="B407" s="3"/>
      <c r="C407" s="2"/>
      <c r="D407" s="2"/>
      <c r="E407" s="4"/>
      <c r="F407" s="5"/>
      <c r="G407" s="4"/>
      <c r="H407" s="5"/>
      <c r="I407" s="4"/>
      <c r="J407" s="4"/>
      <c r="K407" s="4"/>
    </row>
    <row r="408" spans="1:11" x14ac:dyDescent="0.25">
      <c r="A408" s="2"/>
      <c r="B408" s="3"/>
      <c r="C408" s="2"/>
      <c r="D408" s="2"/>
      <c r="E408" s="4"/>
      <c r="F408" s="5"/>
      <c r="G408" s="4"/>
      <c r="H408" s="5"/>
      <c r="I408" s="4"/>
      <c r="J408" s="4"/>
      <c r="K408" s="4"/>
    </row>
    <row r="409" spans="1:11" x14ac:dyDescent="0.25">
      <c r="A409" s="2"/>
      <c r="B409" s="3"/>
      <c r="C409" s="2"/>
      <c r="D409" s="2"/>
      <c r="E409" s="4"/>
      <c r="F409" s="5"/>
      <c r="G409" s="4"/>
      <c r="H409" s="5"/>
      <c r="I409" s="4"/>
      <c r="J409" s="4"/>
      <c r="K409" s="4"/>
    </row>
    <row r="410" spans="1:11" x14ac:dyDescent="0.25">
      <c r="A410" s="2"/>
      <c r="B410" s="3"/>
      <c r="C410" s="2"/>
      <c r="D410" s="2"/>
      <c r="E410" s="4"/>
      <c r="F410" s="5"/>
      <c r="G410" s="4"/>
      <c r="H410" s="5"/>
      <c r="I410" s="4"/>
      <c r="J410" s="4"/>
      <c r="K410" s="4"/>
    </row>
    <row r="411" spans="1:11" x14ac:dyDescent="0.25">
      <c r="A411" s="2"/>
      <c r="B411" s="3"/>
      <c r="C411" s="2"/>
      <c r="D411" s="2"/>
      <c r="E411" s="4"/>
      <c r="F411" s="5"/>
      <c r="G411" s="4"/>
      <c r="H411" s="5"/>
      <c r="I411" s="4"/>
      <c r="J411" s="4"/>
      <c r="K411" s="4"/>
    </row>
    <row r="412" spans="1:11" x14ac:dyDescent="0.25">
      <c r="A412" s="2"/>
      <c r="B412" s="3"/>
      <c r="C412" s="2"/>
      <c r="D412" s="2"/>
      <c r="E412" s="4"/>
      <c r="F412" s="5"/>
      <c r="G412" s="4"/>
      <c r="H412" s="5"/>
      <c r="I412" s="4"/>
      <c r="J412" s="4"/>
      <c r="K412" s="4"/>
    </row>
    <row r="413" spans="1:11" x14ac:dyDescent="0.25">
      <c r="A413" s="2"/>
      <c r="B413" s="3"/>
      <c r="C413" s="2"/>
      <c r="D413" s="2"/>
      <c r="E413" s="4"/>
      <c r="F413" s="5"/>
      <c r="G413" s="4"/>
      <c r="H413" s="5"/>
      <c r="I413" s="4"/>
      <c r="J413" s="4"/>
      <c r="K413" s="4"/>
    </row>
    <row r="414" spans="1:11" x14ac:dyDescent="0.25">
      <c r="A414" s="2"/>
      <c r="B414" s="3"/>
      <c r="C414" s="2"/>
      <c r="D414" s="2"/>
      <c r="E414" s="4"/>
      <c r="F414" s="5"/>
      <c r="G414" s="4"/>
      <c r="H414" s="5"/>
      <c r="I414" s="4"/>
      <c r="J414" s="4"/>
      <c r="K414" s="4"/>
    </row>
    <row r="415" spans="1:11" x14ac:dyDescent="0.25">
      <c r="A415" s="2"/>
      <c r="B415" s="3"/>
      <c r="C415" s="2"/>
      <c r="D415" s="2"/>
      <c r="E415" s="4"/>
      <c r="F415" s="5"/>
      <c r="G415" s="4"/>
      <c r="H415" s="5"/>
      <c r="I415" s="4"/>
      <c r="J415" s="4"/>
      <c r="K415" s="4"/>
    </row>
    <row r="416" spans="1:11" x14ac:dyDescent="0.25">
      <c r="A416" s="2"/>
      <c r="B416" s="3"/>
      <c r="C416" s="2"/>
      <c r="D416" s="2"/>
      <c r="E416" s="4"/>
      <c r="F416" s="5"/>
      <c r="G416" s="4"/>
      <c r="H416" s="5"/>
      <c r="I416" s="4"/>
      <c r="J416" s="4"/>
      <c r="K416" s="4"/>
    </row>
    <row r="417" spans="1:11" x14ac:dyDescent="0.25">
      <c r="A417" s="2"/>
      <c r="B417" s="3"/>
      <c r="C417" s="2"/>
      <c r="D417" s="2"/>
      <c r="E417" s="4"/>
      <c r="F417" s="5"/>
      <c r="G417" s="4"/>
      <c r="H417" s="5"/>
      <c r="I417" s="4"/>
      <c r="J417" s="4"/>
      <c r="K417" s="4"/>
    </row>
    <row r="418" spans="1:11" x14ac:dyDescent="0.25">
      <c r="A418" s="2"/>
      <c r="B418" s="3"/>
      <c r="C418" s="2"/>
      <c r="D418" s="2"/>
      <c r="E418" s="4"/>
      <c r="F418" s="5"/>
      <c r="G418" s="4"/>
      <c r="H418" s="5"/>
      <c r="I418" s="4"/>
      <c r="J418" s="4"/>
      <c r="K418" s="4"/>
    </row>
    <row r="419" spans="1:11" x14ac:dyDescent="0.25">
      <c r="A419" s="2"/>
      <c r="B419" s="3"/>
      <c r="C419" s="2"/>
      <c r="D419" s="2"/>
      <c r="E419" s="4"/>
      <c r="F419" s="5"/>
      <c r="G419" s="4"/>
      <c r="H419" s="5"/>
      <c r="I419" s="4"/>
      <c r="J419" s="4"/>
      <c r="K419" s="4"/>
    </row>
    <row r="420" spans="1:11" x14ac:dyDescent="0.25">
      <c r="A420" s="2"/>
      <c r="B420" s="3"/>
      <c r="C420" s="2"/>
      <c r="D420" s="2"/>
      <c r="E420" s="4"/>
      <c r="F420" s="5"/>
      <c r="G420" s="4"/>
      <c r="H420" s="5"/>
      <c r="I420" s="4"/>
      <c r="J420" s="4"/>
      <c r="K420" s="4"/>
    </row>
    <row r="421" spans="1:11" x14ac:dyDescent="0.25">
      <c r="A421" s="2"/>
      <c r="B421" s="3"/>
      <c r="C421" s="2"/>
      <c r="D421" s="2"/>
      <c r="E421" s="4"/>
      <c r="F421" s="5"/>
      <c r="G421" s="4"/>
      <c r="H421" s="5"/>
      <c r="I421" s="4"/>
      <c r="J421" s="4"/>
      <c r="K421" s="4"/>
    </row>
    <row r="422" spans="1:11" x14ac:dyDescent="0.25">
      <c r="A422" s="2"/>
      <c r="B422" s="3"/>
      <c r="C422" s="2"/>
      <c r="D422" s="2"/>
      <c r="E422" s="4"/>
      <c r="F422" s="5"/>
      <c r="G422" s="4"/>
      <c r="H422" s="5"/>
      <c r="I422" s="4"/>
      <c r="J422" s="4"/>
      <c r="K422" s="4"/>
    </row>
    <row r="423" spans="1:11" x14ac:dyDescent="0.25">
      <c r="A423" s="2"/>
      <c r="B423" s="3"/>
      <c r="C423" s="2"/>
      <c r="D423" s="2"/>
      <c r="E423" s="4"/>
      <c r="F423" s="5"/>
      <c r="G423" s="4"/>
      <c r="H423" s="5"/>
      <c r="I423" s="4"/>
      <c r="J423" s="4"/>
      <c r="K423" s="4"/>
    </row>
    <row r="424" spans="1:11" x14ac:dyDescent="0.25">
      <c r="A424" s="2"/>
      <c r="B424" s="3"/>
      <c r="C424" s="2"/>
      <c r="D424" s="2"/>
      <c r="E424" s="4"/>
      <c r="F424" s="5"/>
      <c r="G424" s="4"/>
      <c r="H424" s="5"/>
      <c r="I424" s="4"/>
      <c r="J424" s="4"/>
      <c r="K424" s="4"/>
    </row>
    <row r="425" spans="1:11" x14ac:dyDescent="0.25">
      <c r="A425" s="2"/>
      <c r="B425" s="3"/>
      <c r="C425" s="2"/>
      <c r="D425" s="2"/>
      <c r="E425" s="4"/>
      <c r="F425" s="5"/>
      <c r="G425" s="4"/>
      <c r="H425" s="5"/>
      <c r="I425" s="4"/>
      <c r="J425" s="4"/>
      <c r="K425" s="4"/>
    </row>
    <row r="426" spans="1:11" x14ac:dyDescent="0.25">
      <c r="A426" s="2"/>
      <c r="B426" s="3"/>
      <c r="C426" s="2"/>
      <c r="D426" s="2"/>
      <c r="E426" s="4"/>
      <c r="F426" s="5"/>
      <c r="G426" s="4"/>
      <c r="H426" s="5"/>
      <c r="I426" s="4"/>
      <c r="J426" s="4"/>
      <c r="K426" s="4"/>
    </row>
    <row r="427" spans="1:11" x14ac:dyDescent="0.25">
      <c r="A427" s="2"/>
      <c r="B427" s="3"/>
      <c r="C427" s="2"/>
      <c r="D427" s="2"/>
      <c r="E427" s="4"/>
      <c r="F427" s="5"/>
      <c r="G427" s="4"/>
      <c r="H427" s="5"/>
      <c r="I427" s="4"/>
      <c r="J427" s="4"/>
      <c r="K427" s="4"/>
    </row>
    <row r="428" spans="1:11" x14ac:dyDescent="0.25">
      <c r="A428" s="2"/>
      <c r="B428" s="3"/>
      <c r="C428" s="2"/>
      <c r="D428" s="2"/>
      <c r="E428" s="4"/>
      <c r="F428" s="5"/>
      <c r="G428" s="4"/>
      <c r="H428" s="5"/>
      <c r="I428" s="4"/>
      <c r="J428" s="4"/>
      <c r="K428" s="4"/>
    </row>
    <row r="429" spans="1:11" x14ac:dyDescent="0.25">
      <c r="A429" s="2"/>
      <c r="B429" s="3"/>
      <c r="C429" s="2"/>
      <c r="D429" s="2"/>
      <c r="E429" s="4"/>
      <c r="F429" s="5"/>
      <c r="G429" s="4"/>
      <c r="H429" s="5"/>
      <c r="I429" s="4"/>
      <c r="J429" s="4"/>
      <c r="K429" s="4"/>
    </row>
    <row r="430" spans="1:11" x14ac:dyDescent="0.25">
      <c r="A430" s="2"/>
      <c r="B430" s="3"/>
      <c r="C430" s="2"/>
      <c r="D430" s="2"/>
      <c r="E430" s="4"/>
      <c r="F430" s="5"/>
      <c r="G430" s="4"/>
      <c r="H430" s="5"/>
      <c r="I430" s="4"/>
      <c r="J430" s="4"/>
      <c r="K430" s="4"/>
    </row>
    <row r="431" spans="1:11" x14ac:dyDescent="0.25">
      <c r="A431" s="2"/>
      <c r="B431" s="3"/>
      <c r="C431" s="2"/>
      <c r="D431" s="2"/>
      <c r="E431" s="4"/>
      <c r="F431" s="5"/>
      <c r="G431" s="4"/>
      <c r="H431" s="5"/>
      <c r="I431" s="4"/>
      <c r="J431" s="4"/>
      <c r="K431" s="4"/>
    </row>
    <row r="432" spans="1:11" x14ac:dyDescent="0.25">
      <c r="A432" s="2"/>
      <c r="B432" s="3"/>
      <c r="C432" s="2"/>
      <c r="D432" s="2"/>
      <c r="E432" s="4"/>
      <c r="F432" s="5"/>
      <c r="G432" s="4"/>
      <c r="H432" s="5"/>
      <c r="I432" s="4"/>
      <c r="J432" s="4"/>
      <c r="K432" s="4"/>
    </row>
    <row r="433" spans="1:11" x14ac:dyDescent="0.25">
      <c r="A433" s="2"/>
      <c r="B433" s="3"/>
      <c r="C433" s="2"/>
      <c r="D433" s="2"/>
      <c r="E433" s="4"/>
      <c r="F433" s="5"/>
      <c r="G433" s="4"/>
      <c r="H433" s="5"/>
      <c r="I433" s="4"/>
      <c r="J433" s="4"/>
      <c r="K433" s="4"/>
    </row>
    <row r="434" spans="1:11" x14ac:dyDescent="0.25">
      <c r="A434" s="2"/>
      <c r="B434" s="3"/>
      <c r="C434" s="2"/>
      <c r="D434" s="2"/>
      <c r="E434" s="4"/>
      <c r="F434" s="5"/>
      <c r="G434" s="4"/>
      <c r="H434" s="5"/>
      <c r="I434" s="4"/>
      <c r="J434" s="4"/>
      <c r="K434" s="4"/>
    </row>
    <row r="435" spans="1:11" x14ac:dyDescent="0.25">
      <c r="A435" s="2"/>
      <c r="B435" s="3"/>
      <c r="C435" s="2"/>
      <c r="D435" s="2"/>
      <c r="E435" s="4"/>
      <c r="F435" s="5"/>
      <c r="G435" s="4"/>
      <c r="H435" s="5"/>
      <c r="I435" s="4"/>
      <c r="J435" s="4"/>
      <c r="K435" s="4"/>
    </row>
    <row r="436" spans="1:11" x14ac:dyDescent="0.25">
      <c r="A436" s="2"/>
      <c r="B436" s="3"/>
      <c r="C436" s="2"/>
      <c r="D436" s="2"/>
      <c r="E436" s="4"/>
      <c r="F436" s="5"/>
      <c r="G436" s="4"/>
      <c r="H436" s="5"/>
      <c r="I436" s="4"/>
      <c r="J436" s="4"/>
      <c r="K436" s="4"/>
    </row>
    <row r="437" spans="1:11" x14ac:dyDescent="0.25">
      <c r="A437" s="2"/>
      <c r="B437" s="3"/>
      <c r="C437" s="2"/>
      <c r="D437" s="2"/>
      <c r="E437" s="4"/>
      <c r="F437" s="5"/>
      <c r="G437" s="4"/>
      <c r="H437" s="5"/>
      <c r="I437" s="4"/>
      <c r="J437" s="4"/>
      <c r="K437" s="4"/>
    </row>
    <row r="438" spans="1:11" x14ac:dyDescent="0.25">
      <c r="A438" s="2"/>
      <c r="B438" s="3"/>
      <c r="C438" s="2"/>
      <c r="D438" s="2"/>
      <c r="E438" s="4"/>
      <c r="F438" s="5"/>
      <c r="G438" s="4"/>
      <c r="H438" s="5"/>
      <c r="I438" s="4"/>
      <c r="J438" s="4"/>
      <c r="K438" s="4"/>
    </row>
    <row r="439" spans="1:11" x14ac:dyDescent="0.25">
      <c r="A439" s="2"/>
      <c r="B439" s="3"/>
      <c r="C439" s="2"/>
      <c r="D439" s="2"/>
      <c r="E439" s="4"/>
      <c r="F439" s="5"/>
      <c r="G439" s="4"/>
      <c r="H439" s="5"/>
      <c r="I439" s="4"/>
      <c r="J439" s="4"/>
      <c r="K439" s="4"/>
    </row>
    <row r="440" spans="1:11" x14ac:dyDescent="0.25">
      <c r="A440" s="2"/>
      <c r="B440" s="3"/>
      <c r="C440" s="2"/>
      <c r="D440" s="2"/>
      <c r="E440" s="4"/>
      <c r="F440" s="5"/>
      <c r="G440" s="4"/>
      <c r="H440" s="5"/>
      <c r="I440" s="4"/>
      <c r="J440" s="4"/>
      <c r="K440" s="4"/>
    </row>
    <row r="441" spans="1:11" x14ac:dyDescent="0.25">
      <c r="A441" s="2"/>
      <c r="B441" s="3"/>
      <c r="C441" s="2"/>
      <c r="D441" s="2"/>
      <c r="E441" s="4"/>
      <c r="F441" s="5"/>
      <c r="G441" s="4"/>
      <c r="H441" s="5"/>
      <c r="I441" s="4"/>
      <c r="J441" s="4"/>
      <c r="K441" s="4"/>
    </row>
    <row r="442" spans="1:11" x14ac:dyDescent="0.25">
      <c r="A442" s="2"/>
      <c r="B442" s="3"/>
      <c r="C442" s="2"/>
      <c r="D442" s="2"/>
      <c r="E442" s="4"/>
      <c r="F442" s="5"/>
      <c r="G442" s="4"/>
      <c r="H442" s="5"/>
      <c r="I442" s="4"/>
      <c r="J442" s="4"/>
      <c r="K442" s="4"/>
    </row>
    <row r="443" spans="1:11" x14ac:dyDescent="0.25">
      <c r="A443" s="2"/>
      <c r="B443" s="3"/>
      <c r="C443" s="2"/>
      <c r="D443" s="2"/>
      <c r="E443" s="4"/>
      <c r="F443" s="5"/>
      <c r="G443" s="4"/>
      <c r="H443" s="5"/>
      <c r="I443" s="4"/>
      <c r="J443" s="4"/>
      <c r="K443" s="4"/>
    </row>
    <row r="444" spans="1:11" x14ac:dyDescent="0.25">
      <c r="A444" s="2"/>
      <c r="B444" s="3"/>
      <c r="C444" s="2"/>
      <c r="D444" s="2"/>
      <c r="E444" s="4"/>
      <c r="F444" s="5"/>
      <c r="G444" s="4"/>
      <c r="H444" s="5"/>
      <c r="I444" s="4"/>
      <c r="J444" s="4"/>
      <c r="K444" s="4"/>
    </row>
    <row r="445" spans="1:11" x14ac:dyDescent="0.25">
      <c r="A445" s="2"/>
      <c r="B445" s="3"/>
      <c r="C445" s="2"/>
      <c r="D445" s="2"/>
      <c r="E445" s="4"/>
      <c r="F445" s="5"/>
      <c r="G445" s="4"/>
      <c r="H445" s="5"/>
      <c r="I445" s="4"/>
      <c r="J445" s="4"/>
      <c r="K445" s="4"/>
    </row>
    <row r="446" spans="1:11" x14ac:dyDescent="0.25">
      <c r="A446" s="2"/>
      <c r="B446" s="3"/>
      <c r="C446" s="2"/>
      <c r="D446" s="2"/>
      <c r="E446" s="4"/>
      <c r="F446" s="5"/>
      <c r="G446" s="4"/>
      <c r="H446" s="5"/>
      <c r="I446" s="4"/>
      <c r="J446" s="4"/>
      <c r="K446" s="4"/>
    </row>
    <row r="447" spans="1:11" x14ac:dyDescent="0.25">
      <c r="A447" s="2"/>
      <c r="B447" s="3"/>
      <c r="C447" s="2"/>
      <c r="D447" s="2"/>
      <c r="E447" s="4"/>
      <c r="F447" s="5"/>
      <c r="G447" s="4"/>
      <c r="H447" s="5"/>
      <c r="I447" s="4"/>
      <c r="J447" s="4"/>
      <c r="K447" s="4"/>
    </row>
    <row r="448" spans="1:11" x14ac:dyDescent="0.25">
      <c r="A448" s="2"/>
      <c r="B448" s="3"/>
      <c r="C448" s="2"/>
      <c r="D448" s="2"/>
      <c r="E448" s="4"/>
      <c r="F448" s="5"/>
      <c r="G448" s="4"/>
      <c r="H448" s="5"/>
      <c r="I448" s="4"/>
      <c r="J448" s="4"/>
      <c r="K448" s="4"/>
    </row>
    <row r="449" spans="1:11" x14ac:dyDescent="0.25">
      <c r="A449" s="2"/>
      <c r="B449" s="3"/>
      <c r="C449" s="2"/>
      <c r="D449" s="2"/>
      <c r="E449" s="4"/>
      <c r="F449" s="5"/>
      <c r="G449" s="4"/>
      <c r="H449" s="5"/>
      <c r="I449" s="4"/>
      <c r="J449" s="4"/>
      <c r="K449" s="4"/>
    </row>
    <row r="450" spans="1:11" x14ac:dyDescent="0.25">
      <c r="A450" s="2"/>
      <c r="B450" s="3"/>
      <c r="C450" s="2"/>
      <c r="D450" s="2"/>
      <c r="E450" s="4"/>
      <c r="F450" s="5"/>
      <c r="G450" s="4"/>
      <c r="H450" s="5"/>
      <c r="I450" s="4"/>
      <c r="J450" s="4"/>
      <c r="K450" s="4"/>
    </row>
    <row r="451" spans="1:11" x14ac:dyDescent="0.25">
      <c r="A451" s="2"/>
      <c r="B451" s="3"/>
      <c r="C451" s="2"/>
      <c r="D451" s="2"/>
      <c r="E451" s="4"/>
      <c r="F451" s="5"/>
      <c r="G451" s="4"/>
      <c r="H451" s="5"/>
      <c r="I451" s="4"/>
      <c r="J451" s="4"/>
      <c r="K451" s="4"/>
    </row>
    <row r="452" spans="1:11" x14ac:dyDescent="0.25">
      <c r="A452" s="2"/>
      <c r="B452" s="3"/>
      <c r="C452" s="2"/>
      <c r="D452" s="2"/>
      <c r="E452" s="4"/>
      <c r="F452" s="5"/>
      <c r="G452" s="4"/>
      <c r="H452" s="5"/>
      <c r="I452" s="4"/>
      <c r="J452" s="4"/>
      <c r="K452" s="4"/>
    </row>
    <row r="453" spans="1:11" x14ac:dyDescent="0.25">
      <c r="A453" s="2"/>
      <c r="B453" s="3"/>
      <c r="C453" s="2"/>
      <c r="D453" s="2"/>
      <c r="E453" s="4"/>
      <c r="F453" s="5"/>
      <c r="G453" s="4"/>
      <c r="H453" s="5"/>
      <c r="I453" s="4"/>
      <c r="J453" s="4"/>
      <c r="K453" s="4"/>
    </row>
    <row r="454" spans="1:11" x14ac:dyDescent="0.25">
      <c r="A454" s="2"/>
      <c r="B454" s="3"/>
      <c r="C454" s="2"/>
      <c r="D454" s="2"/>
      <c r="E454" s="4"/>
      <c r="F454" s="5"/>
      <c r="G454" s="4"/>
      <c r="H454" s="5"/>
      <c r="I454" s="4"/>
      <c r="J454" s="4"/>
      <c r="K454" s="4"/>
    </row>
    <row r="455" spans="1:11" x14ac:dyDescent="0.25">
      <c r="A455" s="2"/>
      <c r="B455" s="3"/>
      <c r="C455" s="2"/>
      <c r="D455" s="2"/>
      <c r="E455" s="4"/>
      <c r="F455" s="5"/>
      <c r="G455" s="4"/>
      <c r="H455" s="5"/>
      <c r="I455" s="4"/>
      <c r="J455" s="4"/>
      <c r="K455" s="4"/>
    </row>
    <row r="456" spans="1:11" x14ac:dyDescent="0.25">
      <c r="A456" s="2"/>
      <c r="B456" s="3"/>
      <c r="C456" s="2"/>
      <c r="D456" s="2"/>
      <c r="E456" s="4"/>
      <c r="F456" s="5"/>
      <c r="G456" s="4"/>
      <c r="H456" s="5"/>
      <c r="I456" s="4"/>
      <c r="J456" s="4"/>
      <c r="K456" s="4"/>
    </row>
    <row r="457" spans="1:11" x14ac:dyDescent="0.25">
      <c r="A457" s="2"/>
      <c r="B457" s="3"/>
      <c r="C457" s="2"/>
      <c r="D457" s="2"/>
      <c r="E457" s="4"/>
      <c r="F457" s="5"/>
      <c r="G457" s="4"/>
      <c r="H457" s="5"/>
      <c r="I457" s="4"/>
      <c r="J457" s="4"/>
      <c r="K457" s="4"/>
    </row>
    <row r="458" spans="1:11" x14ac:dyDescent="0.25">
      <c r="A458" s="2"/>
      <c r="B458" s="3"/>
      <c r="C458" s="2"/>
      <c r="D458" s="2"/>
      <c r="E458" s="4"/>
      <c r="F458" s="5"/>
      <c r="G458" s="4"/>
      <c r="H458" s="5"/>
      <c r="I458" s="4"/>
      <c r="J458" s="4"/>
      <c r="K458" s="4"/>
    </row>
    <row r="459" spans="1:11" x14ac:dyDescent="0.25">
      <c r="A459" s="2"/>
      <c r="B459" s="3"/>
      <c r="C459" s="2"/>
      <c r="D459" s="2"/>
      <c r="E459" s="4"/>
      <c r="F459" s="5"/>
      <c r="G459" s="4"/>
      <c r="H459" s="5"/>
      <c r="I459" s="4"/>
      <c r="J459" s="4"/>
      <c r="K459" s="4"/>
    </row>
    <row r="460" spans="1:11" x14ac:dyDescent="0.25">
      <c r="A460" s="2"/>
      <c r="B460" s="3"/>
      <c r="C460" s="2"/>
      <c r="D460" s="2"/>
      <c r="E460" s="4"/>
      <c r="F460" s="5"/>
      <c r="G460" s="4"/>
      <c r="H460" s="5"/>
      <c r="I460" s="4"/>
      <c r="J460" s="4"/>
      <c r="K460" s="4"/>
    </row>
    <row r="461" spans="1:11" x14ac:dyDescent="0.25">
      <c r="A461" s="2"/>
      <c r="B461" s="3"/>
      <c r="C461" s="2"/>
      <c r="D461" s="2"/>
      <c r="E461" s="4"/>
      <c r="F461" s="5"/>
      <c r="G461" s="4"/>
      <c r="H461" s="5"/>
      <c r="I461" s="4"/>
      <c r="J461" s="4"/>
      <c r="K461" s="4"/>
    </row>
    <row r="462" spans="1:11" x14ac:dyDescent="0.25">
      <c r="A462" s="2"/>
      <c r="B462" s="3"/>
      <c r="C462" s="2"/>
      <c r="D462" s="2"/>
      <c r="E462" s="4"/>
      <c r="F462" s="5"/>
      <c r="G462" s="4"/>
      <c r="H462" s="5"/>
      <c r="I462" s="4"/>
      <c r="J462" s="4"/>
      <c r="K462" s="4"/>
    </row>
    <row r="463" spans="1:11" x14ac:dyDescent="0.25">
      <c r="A463" s="2"/>
      <c r="B463" s="3"/>
      <c r="C463" s="2"/>
      <c r="D463" s="2"/>
      <c r="E463" s="4"/>
      <c r="F463" s="5"/>
      <c r="G463" s="4"/>
      <c r="H463" s="5"/>
      <c r="I463" s="4"/>
      <c r="J463" s="4"/>
      <c r="K463" s="4"/>
    </row>
    <row r="464" spans="1:11" x14ac:dyDescent="0.25">
      <c r="A464" s="2"/>
      <c r="B464" s="3"/>
      <c r="C464" s="2"/>
      <c r="D464" s="2"/>
      <c r="E464" s="4"/>
      <c r="F464" s="5"/>
      <c r="G464" s="4"/>
      <c r="H464" s="5"/>
      <c r="I464" s="4"/>
      <c r="J464" s="4"/>
      <c r="K464" s="4"/>
    </row>
    <row r="465" spans="1:11" x14ac:dyDescent="0.25">
      <c r="A465" s="2"/>
      <c r="B465" s="3"/>
      <c r="C465" s="2"/>
      <c r="D465" s="2"/>
      <c r="E465" s="4"/>
      <c r="F465" s="5"/>
      <c r="G465" s="4"/>
      <c r="H465" s="5"/>
      <c r="I465" s="4"/>
      <c r="J465" s="4"/>
      <c r="K465" s="4"/>
    </row>
    <row r="466" spans="1:11" x14ac:dyDescent="0.25">
      <c r="A466" s="2"/>
      <c r="B466" s="3"/>
      <c r="C466" s="2"/>
      <c r="D466" s="2"/>
      <c r="E466" s="4"/>
      <c r="F466" s="5"/>
      <c r="G466" s="4"/>
      <c r="H466" s="5"/>
      <c r="I466" s="4"/>
      <c r="J466" s="4"/>
      <c r="K466" s="4"/>
    </row>
    <row r="467" spans="1:11" x14ac:dyDescent="0.25">
      <c r="A467" s="2"/>
      <c r="B467" s="3"/>
      <c r="C467" s="2"/>
      <c r="D467" s="2"/>
      <c r="E467" s="4"/>
      <c r="F467" s="5"/>
      <c r="G467" s="4"/>
      <c r="H467" s="5"/>
      <c r="I467" s="4"/>
      <c r="J467" s="4"/>
      <c r="K467" s="4"/>
    </row>
    <row r="468" spans="1:11" x14ac:dyDescent="0.25">
      <c r="A468" s="2"/>
      <c r="B468" s="3"/>
      <c r="C468" s="2"/>
      <c r="D468" s="2"/>
      <c r="E468" s="4"/>
      <c r="F468" s="5"/>
      <c r="G468" s="4"/>
      <c r="H468" s="5"/>
      <c r="I468" s="4"/>
      <c r="J468" s="4"/>
      <c r="K468" s="4"/>
    </row>
    <row r="469" spans="1:11" x14ac:dyDescent="0.25">
      <c r="A469" s="2"/>
      <c r="B469" s="3"/>
      <c r="C469" s="2"/>
      <c r="D469" s="2"/>
      <c r="E469" s="4"/>
      <c r="F469" s="5"/>
      <c r="G469" s="4"/>
      <c r="H469" s="5"/>
      <c r="I469" s="4"/>
      <c r="J469" s="4"/>
      <c r="K469" s="4"/>
    </row>
    <row r="470" spans="1:11" x14ac:dyDescent="0.25">
      <c r="A470" s="2"/>
      <c r="B470" s="3"/>
      <c r="C470" s="2"/>
      <c r="D470" s="2"/>
      <c r="E470" s="4"/>
      <c r="F470" s="5"/>
      <c r="G470" s="4"/>
      <c r="H470" s="5"/>
      <c r="I470" s="4"/>
      <c r="J470" s="4"/>
      <c r="K470" s="4"/>
    </row>
    <row r="471" spans="1:11" x14ac:dyDescent="0.25">
      <c r="A471" s="2"/>
      <c r="B471" s="3"/>
      <c r="C471" s="2"/>
      <c r="D471" s="2"/>
      <c r="E471" s="4"/>
      <c r="F471" s="5"/>
      <c r="G471" s="4"/>
      <c r="H471" s="5"/>
      <c r="I471" s="4"/>
      <c r="J471" s="4"/>
      <c r="K471" s="4"/>
    </row>
    <row r="472" spans="1:11" x14ac:dyDescent="0.25">
      <c r="A472" s="2"/>
      <c r="B472" s="3"/>
      <c r="C472" s="2"/>
      <c r="D472" s="2"/>
      <c r="E472" s="4"/>
      <c r="F472" s="5"/>
      <c r="G472" s="4"/>
      <c r="H472" s="5"/>
      <c r="I472" s="4"/>
      <c r="J472" s="4"/>
      <c r="K472" s="4"/>
    </row>
    <row r="473" spans="1:11" x14ac:dyDescent="0.25">
      <c r="A473" s="2"/>
      <c r="B473" s="3"/>
      <c r="C473" s="2"/>
      <c r="D473" s="2"/>
      <c r="E473" s="4"/>
      <c r="F473" s="5"/>
      <c r="G473" s="4"/>
      <c r="H473" s="5"/>
      <c r="I473" s="4"/>
      <c r="J473" s="4"/>
      <c r="K473" s="4"/>
    </row>
    <row r="474" spans="1:11" x14ac:dyDescent="0.25">
      <c r="A474" s="2"/>
      <c r="B474" s="3"/>
      <c r="C474" s="2"/>
      <c r="D474" s="2"/>
      <c r="E474" s="4"/>
      <c r="F474" s="5"/>
      <c r="G474" s="4"/>
      <c r="H474" s="5"/>
      <c r="I474" s="4"/>
      <c r="J474" s="4"/>
      <c r="K474" s="4"/>
    </row>
    <row r="475" spans="1:11" x14ac:dyDescent="0.25">
      <c r="A475" s="2"/>
      <c r="B475" s="3"/>
      <c r="C475" s="2"/>
      <c r="D475" s="2"/>
      <c r="E475" s="4"/>
      <c r="F475" s="5"/>
      <c r="G475" s="4"/>
      <c r="H475" s="5"/>
      <c r="I475" s="4"/>
      <c r="J475" s="4"/>
      <c r="K475" s="4"/>
    </row>
    <row r="476" spans="1:11" x14ac:dyDescent="0.25">
      <c r="A476" s="2"/>
      <c r="B476" s="3"/>
      <c r="C476" s="2"/>
      <c r="D476" s="2"/>
      <c r="E476" s="4"/>
      <c r="F476" s="5"/>
      <c r="G476" s="4"/>
      <c r="H476" s="5"/>
      <c r="I476" s="4"/>
      <c r="J476" s="4"/>
      <c r="K476" s="4"/>
    </row>
    <row r="477" spans="1:11" x14ac:dyDescent="0.25">
      <c r="A477" s="2"/>
      <c r="B477" s="3"/>
      <c r="C477" s="2"/>
      <c r="D477" s="2"/>
      <c r="E477" s="4"/>
      <c r="F477" s="5"/>
      <c r="G477" s="4"/>
      <c r="H477" s="5"/>
      <c r="I477" s="4"/>
      <c r="J477" s="4"/>
      <c r="K477" s="4"/>
    </row>
    <row r="478" spans="1:11" x14ac:dyDescent="0.25">
      <c r="A478" s="2"/>
      <c r="B478" s="3"/>
      <c r="C478" s="2"/>
      <c r="D478" s="2"/>
      <c r="E478" s="4"/>
      <c r="F478" s="5"/>
      <c r="G478" s="4"/>
      <c r="H478" s="5"/>
      <c r="I478" s="4"/>
      <c r="J478" s="4"/>
      <c r="K478" s="4"/>
    </row>
    <row r="479" spans="1:11" x14ac:dyDescent="0.25">
      <c r="A479" s="2"/>
      <c r="B479" s="3"/>
      <c r="C479" s="2"/>
      <c r="D479" s="2"/>
      <c r="E479" s="4"/>
      <c r="F479" s="5"/>
      <c r="G479" s="4"/>
      <c r="H479" s="5"/>
      <c r="I479" s="4"/>
      <c r="J479" s="4"/>
      <c r="K479" s="4"/>
    </row>
    <row r="480" spans="1:11" x14ac:dyDescent="0.25">
      <c r="A480" s="2"/>
      <c r="B480" s="3"/>
      <c r="C480" s="2"/>
      <c r="D480" s="2"/>
      <c r="E480" s="4"/>
      <c r="F480" s="5"/>
      <c r="G480" s="4"/>
      <c r="H480" s="5"/>
      <c r="I480" s="4"/>
      <c r="J480" s="4"/>
      <c r="K480" s="4"/>
    </row>
    <row r="481" spans="1:11" x14ac:dyDescent="0.25">
      <c r="A481" s="2"/>
      <c r="B481" s="3"/>
      <c r="C481" s="2"/>
      <c r="D481" s="2"/>
      <c r="E481" s="4"/>
      <c r="F481" s="5"/>
      <c r="G481" s="4"/>
      <c r="H481" s="5"/>
      <c r="I481" s="4"/>
      <c r="J481" s="4"/>
      <c r="K481" s="4"/>
    </row>
    <row r="482" spans="1:11" x14ac:dyDescent="0.25">
      <c r="A482" s="2"/>
      <c r="B482" s="3"/>
      <c r="C482" s="2"/>
      <c r="D482" s="2"/>
      <c r="E482" s="4"/>
      <c r="F482" s="5"/>
      <c r="G482" s="4"/>
      <c r="H482" s="5"/>
      <c r="I482" s="4"/>
      <c r="J482" s="4"/>
      <c r="K482" s="4"/>
    </row>
    <row r="483" spans="1:11" x14ac:dyDescent="0.25">
      <c r="A483" s="2"/>
      <c r="B483" s="3"/>
      <c r="C483" s="2"/>
      <c r="D483" s="2"/>
      <c r="E483" s="4"/>
      <c r="F483" s="5"/>
      <c r="G483" s="4"/>
      <c r="H483" s="5"/>
      <c r="I483" s="4"/>
      <c r="J483" s="4"/>
      <c r="K483" s="4"/>
    </row>
    <row r="484" spans="1:11" x14ac:dyDescent="0.25">
      <c r="A484" s="2"/>
      <c r="B484" s="3"/>
      <c r="C484" s="2"/>
      <c r="D484" s="2"/>
      <c r="E484" s="4"/>
      <c r="F484" s="5"/>
      <c r="G484" s="4"/>
      <c r="H484" s="5"/>
      <c r="I484" s="4"/>
      <c r="J484" s="4"/>
      <c r="K484" s="4"/>
    </row>
    <row r="485" spans="1:11" x14ac:dyDescent="0.25">
      <c r="A485" s="2"/>
      <c r="B485" s="3"/>
      <c r="C485" s="2"/>
      <c r="D485" s="2"/>
      <c r="E485" s="4"/>
      <c r="F485" s="5"/>
      <c r="G485" s="4"/>
      <c r="H485" s="5"/>
      <c r="I485" s="4"/>
      <c r="J485" s="4"/>
      <c r="K485" s="4"/>
    </row>
    <row r="486" spans="1:11" x14ac:dyDescent="0.25">
      <c r="A486" s="2"/>
      <c r="B486" s="3"/>
      <c r="C486" s="2"/>
      <c r="D486" s="2"/>
      <c r="E486" s="4"/>
      <c r="F486" s="5"/>
      <c r="G486" s="4"/>
      <c r="H486" s="5"/>
      <c r="I486" s="4"/>
      <c r="J486" s="4"/>
      <c r="K486" s="4"/>
    </row>
    <row r="487" spans="1:11" x14ac:dyDescent="0.25">
      <c r="A487" s="2"/>
      <c r="B487" s="3"/>
      <c r="C487" s="2"/>
      <c r="D487" s="2"/>
      <c r="E487" s="4"/>
      <c r="F487" s="5"/>
      <c r="G487" s="4"/>
      <c r="H487" s="5"/>
      <c r="I487" s="4"/>
      <c r="J487" s="4"/>
      <c r="K487" s="4"/>
    </row>
    <row r="488" spans="1:11" x14ac:dyDescent="0.25">
      <c r="A488" s="2"/>
      <c r="B488" s="3"/>
      <c r="C488" s="2"/>
      <c r="D488" s="2"/>
      <c r="E488" s="4"/>
      <c r="F488" s="5"/>
      <c r="G488" s="4"/>
      <c r="H488" s="5"/>
      <c r="I488" s="4"/>
      <c r="J488" s="4"/>
      <c r="K488" s="4"/>
    </row>
    <row r="489" spans="1:11" x14ac:dyDescent="0.25">
      <c r="A489" s="2"/>
      <c r="B489" s="3"/>
      <c r="C489" s="2"/>
      <c r="D489" s="2"/>
      <c r="E489" s="4"/>
      <c r="F489" s="5"/>
      <c r="G489" s="4"/>
      <c r="H489" s="5"/>
      <c r="I489" s="4"/>
      <c r="J489" s="4"/>
      <c r="K489" s="4"/>
    </row>
    <row r="490" spans="1:11" x14ac:dyDescent="0.25">
      <c r="A490" s="2"/>
      <c r="B490" s="3"/>
      <c r="C490" s="2"/>
      <c r="D490" s="2"/>
      <c r="E490" s="4"/>
      <c r="F490" s="5"/>
      <c r="G490" s="4"/>
      <c r="H490" s="5"/>
      <c r="I490" s="4"/>
      <c r="J490" s="4"/>
      <c r="K490" s="4"/>
    </row>
    <row r="491" spans="1:11" x14ac:dyDescent="0.25">
      <c r="A491" s="2"/>
      <c r="B491" s="3"/>
      <c r="C491" s="2"/>
      <c r="D491" s="2"/>
      <c r="E491" s="4"/>
      <c r="F491" s="5"/>
      <c r="G491" s="4"/>
      <c r="H491" s="5"/>
      <c r="I491" s="4"/>
      <c r="J491" s="4"/>
      <c r="K491" s="4"/>
    </row>
    <row r="492" spans="1:11" x14ac:dyDescent="0.25">
      <c r="A492" s="2"/>
      <c r="B492" s="3"/>
      <c r="C492" s="2"/>
      <c r="D492" s="2"/>
      <c r="E492" s="4"/>
      <c r="F492" s="5"/>
      <c r="G492" s="4"/>
      <c r="H492" s="5"/>
      <c r="I492" s="4"/>
      <c r="J492" s="4"/>
      <c r="K492" s="4"/>
    </row>
    <row r="493" spans="1:11" x14ac:dyDescent="0.25">
      <c r="A493" s="2"/>
      <c r="B493" s="3"/>
      <c r="C493" s="2"/>
      <c r="D493" s="2"/>
      <c r="E493" s="4"/>
      <c r="F493" s="5"/>
      <c r="G493" s="4"/>
      <c r="H493" s="5"/>
      <c r="I493" s="4"/>
      <c r="J493" s="4"/>
      <c r="K493" s="4"/>
    </row>
    <row r="494" spans="1:11" x14ac:dyDescent="0.25">
      <c r="A494" s="2"/>
      <c r="B494" s="3"/>
      <c r="C494" s="2"/>
      <c r="D494" s="2"/>
      <c r="E494" s="4"/>
      <c r="F494" s="5"/>
      <c r="G494" s="4"/>
      <c r="H494" s="5"/>
      <c r="I494" s="4"/>
      <c r="J494" s="4"/>
      <c r="K494" s="4"/>
    </row>
    <row r="495" spans="1:11" x14ac:dyDescent="0.25">
      <c r="A495" s="2"/>
      <c r="B495" s="3"/>
      <c r="C495" s="2"/>
      <c r="D495" s="2"/>
      <c r="E495" s="4"/>
      <c r="F495" s="5"/>
      <c r="G495" s="4"/>
      <c r="H495" s="5"/>
      <c r="I495" s="4"/>
      <c r="J495" s="4"/>
      <c r="K495" s="4"/>
    </row>
    <row r="496" spans="1:11" x14ac:dyDescent="0.25">
      <c r="A496" s="2"/>
      <c r="B496" s="3"/>
      <c r="C496" s="2"/>
      <c r="D496" s="2"/>
      <c r="E496" s="4"/>
      <c r="F496" s="5"/>
      <c r="G496" s="4"/>
      <c r="H496" s="5"/>
      <c r="I496" s="4"/>
      <c r="J496" s="4"/>
      <c r="K496" s="4"/>
    </row>
    <row r="497" spans="1:11" x14ac:dyDescent="0.25">
      <c r="A497" s="2"/>
      <c r="B497" s="3"/>
      <c r="C497" s="2"/>
      <c r="D497" s="2"/>
      <c r="E497" s="4"/>
      <c r="F497" s="5"/>
      <c r="G497" s="4"/>
      <c r="H497" s="5"/>
      <c r="I497" s="4"/>
      <c r="J497" s="4"/>
      <c r="K497" s="4"/>
    </row>
    <row r="498" spans="1:11" x14ac:dyDescent="0.25">
      <c r="A498" s="2"/>
      <c r="B498" s="3"/>
      <c r="C498" s="2"/>
      <c r="D498" s="2"/>
      <c r="E498" s="4"/>
      <c r="F498" s="5"/>
      <c r="G498" s="4"/>
      <c r="H498" s="5"/>
      <c r="I498" s="4"/>
      <c r="J498" s="4"/>
      <c r="K498" s="4"/>
    </row>
    <row r="499" spans="1:11" x14ac:dyDescent="0.25">
      <c r="A499" s="2"/>
      <c r="B499" s="3"/>
      <c r="C499" s="2"/>
      <c r="D499" s="2"/>
      <c r="E499" s="4"/>
      <c r="F499" s="5"/>
      <c r="G499" s="4"/>
      <c r="H499" s="5"/>
      <c r="I499" s="4"/>
      <c r="J499" s="4"/>
      <c r="K499" s="4"/>
    </row>
    <row r="500" spans="1:11" x14ac:dyDescent="0.25">
      <c r="A500" s="2"/>
      <c r="B500" s="3"/>
      <c r="C500" s="2"/>
      <c r="D500" s="2"/>
      <c r="E500" s="4"/>
      <c r="F500" s="5"/>
      <c r="G500" s="4"/>
      <c r="H500" s="5"/>
      <c r="I500" s="4"/>
      <c r="J500" s="4"/>
      <c r="K500" s="4"/>
    </row>
    <row r="501" spans="1:11" x14ac:dyDescent="0.25">
      <c r="A501" s="2"/>
      <c r="B501" s="3"/>
      <c r="C501" s="2"/>
      <c r="D501" s="2"/>
      <c r="E501" s="4"/>
      <c r="F501" s="5"/>
      <c r="G501" s="4"/>
      <c r="H501" s="5"/>
      <c r="I501" s="4"/>
      <c r="J501" s="4"/>
      <c r="K501" s="4"/>
    </row>
    <row r="502" spans="1:11" x14ac:dyDescent="0.25">
      <c r="A502" s="2"/>
      <c r="B502" s="3"/>
      <c r="C502" s="2"/>
      <c r="D502" s="2"/>
      <c r="E502" s="4"/>
      <c r="F502" s="5"/>
      <c r="G502" s="4"/>
      <c r="H502" s="5"/>
      <c r="I502" s="4"/>
      <c r="J502" s="4"/>
      <c r="K502" s="4"/>
    </row>
    <row r="503" spans="1:11" x14ac:dyDescent="0.25">
      <c r="A503" s="2"/>
      <c r="B503" s="3"/>
      <c r="C503" s="2"/>
      <c r="D503" s="2"/>
      <c r="E503" s="4"/>
      <c r="F503" s="5"/>
      <c r="G503" s="4"/>
      <c r="H503" s="5"/>
      <c r="I503" s="4"/>
      <c r="J503" s="4"/>
      <c r="K503" s="4"/>
    </row>
    <row r="504" spans="1:11" x14ac:dyDescent="0.25">
      <c r="A504" s="2"/>
      <c r="B504" s="3"/>
      <c r="C504" s="2"/>
      <c r="D504" s="2"/>
      <c r="E504" s="4"/>
      <c r="F504" s="5"/>
      <c r="G504" s="4"/>
      <c r="H504" s="5"/>
      <c r="I504" s="4"/>
      <c r="J504" s="4"/>
      <c r="K504" s="4"/>
    </row>
    <row r="505" spans="1:11" x14ac:dyDescent="0.25">
      <c r="A505" s="2"/>
      <c r="B505" s="3"/>
      <c r="C505" s="2"/>
      <c r="D505" s="2"/>
      <c r="E505" s="4"/>
      <c r="F505" s="5"/>
      <c r="G505" s="4"/>
      <c r="H505" s="5"/>
      <c r="I505" s="4"/>
      <c r="J505" s="4"/>
      <c r="K505" s="4"/>
    </row>
    <row r="506" spans="1:11" x14ac:dyDescent="0.25">
      <c r="A506" s="2"/>
      <c r="B506" s="3"/>
      <c r="C506" s="2"/>
      <c r="D506" s="2"/>
      <c r="E506" s="4"/>
      <c r="F506" s="5"/>
      <c r="G506" s="4"/>
      <c r="H506" s="5"/>
      <c r="I506" s="4"/>
      <c r="J506" s="4"/>
      <c r="K506" s="4"/>
    </row>
    <row r="507" spans="1:11" x14ac:dyDescent="0.25">
      <c r="A507" s="2"/>
      <c r="B507" s="3"/>
      <c r="C507" s="2"/>
      <c r="D507" s="2"/>
      <c r="E507" s="4"/>
      <c r="F507" s="5"/>
      <c r="G507" s="4"/>
      <c r="H507" s="5"/>
      <c r="I507" s="4"/>
      <c r="J507" s="4"/>
      <c r="K507" s="4"/>
    </row>
    <row r="508" spans="1:11" x14ac:dyDescent="0.25">
      <c r="A508" s="2"/>
      <c r="B508" s="3"/>
      <c r="C508" s="2"/>
      <c r="D508" s="2"/>
      <c r="E508" s="4"/>
      <c r="F508" s="5"/>
      <c r="G508" s="4"/>
      <c r="H508" s="5"/>
      <c r="I508" s="4"/>
      <c r="J508" s="4"/>
      <c r="K508" s="4"/>
    </row>
    <row r="509" spans="1:11" x14ac:dyDescent="0.25">
      <c r="A509" s="2"/>
      <c r="B509" s="3"/>
      <c r="C509" s="2"/>
      <c r="D509" s="2"/>
      <c r="E509" s="4"/>
      <c r="F509" s="5"/>
      <c r="G509" s="4"/>
      <c r="H509" s="5"/>
      <c r="I509" s="4"/>
      <c r="J509" s="4"/>
      <c r="K509" s="4"/>
    </row>
    <row r="510" spans="1:11" x14ac:dyDescent="0.25">
      <c r="A510" s="2"/>
      <c r="B510" s="3"/>
      <c r="C510" s="2"/>
      <c r="D510" s="2"/>
      <c r="E510" s="4"/>
      <c r="F510" s="5"/>
      <c r="G510" s="4"/>
      <c r="H510" s="5"/>
      <c r="I510" s="4"/>
      <c r="J510" s="4"/>
      <c r="K510" s="4"/>
    </row>
    <row r="511" spans="1:11" x14ac:dyDescent="0.25">
      <c r="A511" s="2"/>
      <c r="B511" s="3"/>
      <c r="C511" s="2"/>
      <c r="D511" s="2"/>
      <c r="E511" s="4"/>
      <c r="F511" s="5"/>
      <c r="G511" s="4"/>
      <c r="H511" s="5"/>
      <c r="I511" s="4"/>
      <c r="J511" s="4"/>
      <c r="K511" s="4"/>
    </row>
    <row r="512" spans="1:11" x14ac:dyDescent="0.25">
      <c r="A512" s="2"/>
      <c r="B512" s="3"/>
      <c r="C512" s="2"/>
      <c r="D512" s="2"/>
      <c r="E512" s="4"/>
      <c r="F512" s="5"/>
      <c r="G512" s="4"/>
      <c r="H512" s="5"/>
      <c r="I512" s="4"/>
      <c r="J512" s="4"/>
      <c r="K512" s="4"/>
    </row>
    <row r="513" spans="1:11" x14ac:dyDescent="0.25">
      <c r="A513" s="2"/>
      <c r="B513" s="3"/>
      <c r="C513" s="2"/>
      <c r="D513" s="2"/>
      <c r="E513" s="4"/>
      <c r="F513" s="5"/>
      <c r="G513" s="4"/>
      <c r="H513" s="5"/>
      <c r="I513" s="4"/>
      <c r="J513" s="4"/>
      <c r="K513" s="4"/>
    </row>
    <row r="514" spans="1:11" x14ac:dyDescent="0.25">
      <c r="A514" s="2"/>
      <c r="B514" s="3"/>
      <c r="C514" s="2"/>
      <c r="D514" s="2"/>
      <c r="E514" s="4"/>
      <c r="F514" s="5"/>
      <c r="G514" s="4"/>
      <c r="H514" s="5"/>
      <c r="I514" s="4"/>
      <c r="J514" s="4"/>
      <c r="K514" s="4"/>
    </row>
    <row r="515" spans="1:11" x14ac:dyDescent="0.25">
      <c r="A515" s="2"/>
      <c r="B515" s="3"/>
      <c r="C515" s="2"/>
      <c r="D515" s="2"/>
      <c r="E515" s="4"/>
      <c r="F515" s="5"/>
      <c r="G515" s="4"/>
      <c r="H515" s="5"/>
      <c r="I515" s="4"/>
      <c r="J515" s="4"/>
      <c r="K515" s="4"/>
    </row>
    <row r="516" spans="1:11" x14ac:dyDescent="0.25">
      <c r="A516" s="2"/>
      <c r="B516" s="3"/>
      <c r="C516" s="2"/>
      <c r="D516" s="2"/>
      <c r="E516" s="4"/>
      <c r="F516" s="5"/>
      <c r="G516" s="4"/>
      <c r="H516" s="5"/>
      <c r="I516" s="4"/>
      <c r="J516" s="4"/>
      <c r="K516" s="4"/>
    </row>
    <row r="517" spans="1:11" x14ac:dyDescent="0.25">
      <c r="A517" s="2"/>
      <c r="B517" s="3"/>
      <c r="C517" s="2"/>
      <c r="D517" s="2"/>
      <c r="E517" s="4"/>
      <c r="F517" s="5"/>
      <c r="G517" s="4"/>
      <c r="H517" s="5"/>
      <c r="I517" s="4"/>
      <c r="J517" s="4"/>
      <c r="K517" s="4"/>
    </row>
    <row r="518" spans="1:11" x14ac:dyDescent="0.25">
      <c r="A518" s="2"/>
      <c r="B518" s="3"/>
      <c r="C518" s="2"/>
      <c r="D518" s="2"/>
      <c r="E518" s="4"/>
      <c r="F518" s="5"/>
      <c r="G518" s="4"/>
      <c r="H518" s="5"/>
      <c r="I518" s="4"/>
      <c r="J518" s="4"/>
      <c r="K518" s="4"/>
    </row>
    <row r="519" spans="1:11" x14ac:dyDescent="0.25">
      <c r="A519" s="2"/>
      <c r="B519" s="3"/>
      <c r="C519" s="2"/>
      <c r="D519" s="2"/>
      <c r="E519" s="4"/>
      <c r="F519" s="5"/>
      <c r="G519" s="4"/>
      <c r="H519" s="5"/>
      <c r="I519" s="4"/>
      <c r="J519" s="4"/>
      <c r="K519" s="4"/>
    </row>
    <row r="520" spans="1:11" x14ac:dyDescent="0.25">
      <c r="A520" s="2"/>
      <c r="B520" s="3"/>
      <c r="C520" s="2"/>
      <c r="D520" s="2"/>
      <c r="E520" s="4"/>
      <c r="F520" s="5"/>
      <c r="G520" s="4"/>
      <c r="H520" s="5"/>
      <c r="I520" s="4"/>
      <c r="J520" s="4"/>
      <c r="K520" s="4"/>
    </row>
    <row r="521" spans="1:11" x14ac:dyDescent="0.25">
      <c r="A521" s="2"/>
      <c r="B521" s="3"/>
      <c r="C521" s="2"/>
      <c r="D521" s="2"/>
      <c r="E521" s="4"/>
      <c r="F521" s="5"/>
      <c r="G521" s="4"/>
      <c r="H521" s="5"/>
      <c r="I521" s="4"/>
      <c r="J521" s="4"/>
      <c r="K521" s="4"/>
    </row>
    <row r="522" spans="1:11" x14ac:dyDescent="0.25">
      <c r="A522" s="2"/>
      <c r="B522" s="3"/>
      <c r="C522" s="2"/>
      <c r="D522" s="2"/>
      <c r="E522" s="4"/>
      <c r="F522" s="5"/>
      <c r="G522" s="4"/>
      <c r="H522" s="5"/>
      <c r="I522" s="4"/>
      <c r="J522" s="4"/>
      <c r="K522" s="4"/>
    </row>
    <row r="523" spans="1:11" x14ac:dyDescent="0.25">
      <c r="A523" s="2"/>
      <c r="B523" s="3"/>
      <c r="C523" s="2"/>
      <c r="D523" s="2"/>
      <c r="E523" s="4"/>
      <c r="F523" s="5"/>
      <c r="G523" s="4"/>
      <c r="H523" s="5"/>
      <c r="I523" s="4"/>
      <c r="J523" s="4"/>
      <c r="K523" s="4"/>
    </row>
    <row r="524" spans="1:11" x14ac:dyDescent="0.25">
      <c r="A524" s="2"/>
      <c r="B524" s="3"/>
      <c r="C524" s="2"/>
      <c r="D524" s="2"/>
      <c r="E524" s="4"/>
      <c r="F524" s="5"/>
      <c r="G524" s="4"/>
      <c r="H524" s="5"/>
      <c r="I524" s="4"/>
      <c r="J524" s="4"/>
      <c r="K524" s="4"/>
    </row>
    <row r="525" spans="1:11" x14ac:dyDescent="0.25">
      <c r="A525" s="2"/>
      <c r="B525" s="3"/>
      <c r="C525" s="2"/>
      <c r="D525" s="2"/>
      <c r="E525" s="4"/>
      <c r="F525" s="5"/>
      <c r="G525" s="4"/>
      <c r="H525" s="5"/>
      <c r="I525" s="4"/>
      <c r="J525" s="4"/>
      <c r="K525" s="4"/>
    </row>
    <row r="526" spans="1:11" x14ac:dyDescent="0.25">
      <c r="A526" s="2"/>
      <c r="B526" s="3"/>
      <c r="C526" s="2"/>
      <c r="D526" s="2"/>
      <c r="E526" s="4"/>
      <c r="F526" s="5"/>
      <c r="G526" s="4"/>
      <c r="H526" s="5"/>
      <c r="I526" s="4"/>
      <c r="J526" s="4"/>
      <c r="K526" s="4"/>
    </row>
    <row r="527" spans="1:11" x14ac:dyDescent="0.25">
      <c r="A527" s="2"/>
      <c r="B527" s="3"/>
      <c r="C527" s="2"/>
      <c r="D527" s="2"/>
      <c r="E527" s="4"/>
      <c r="F527" s="5"/>
      <c r="G527" s="4"/>
      <c r="H527" s="5"/>
      <c r="I527" s="4"/>
      <c r="J527" s="4"/>
      <c r="K527" s="4"/>
    </row>
    <row r="528" spans="1:11" x14ac:dyDescent="0.25">
      <c r="A528" s="2"/>
      <c r="B528" s="3"/>
      <c r="C528" s="2"/>
      <c r="D528" s="2"/>
      <c r="E528" s="4"/>
      <c r="F528" s="5"/>
      <c r="G528" s="4"/>
      <c r="H528" s="5"/>
      <c r="I528" s="4"/>
      <c r="J528" s="4"/>
      <c r="K528" s="4"/>
    </row>
    <row r="529" spans="1:11" x14ac:dyDescent="0.25">
      <c r="A529" s="2"/>
      <c r="B529" s="3"/>
      <c r="C529" s="2"/>
      <c r="D529" s="2"/>
      <c r="E529" s="4"/>
      <c r="F529" s="5"/>
      <c r="G529" s="4"/>
      <c r="H529" s="5"/>
      <c r="I529" s="4"/>
      <c r="J529" s="4"/>
      <c r="K529" s="4"/>
    </row>
    <row r="530" spans="1:11" x14ac:dyDescent="0.25">
      <c r="A530" s="2"/>
      <c r="B530" s="3"/>
      <c r="C530" s="2"/>
      <c r="D530" s="2"/>
      <c r="E530" s="4"/>
      <c r="F530" s="5"/>
      <c r="G530" s="4"/>
      <c r="H530" s="5"/>
      <c r="I530" s="4"/>
      <c r="J530" s="4"/>
      <c r="K530" s="4"/>
    </row>
    <row r="531" spans="1:11" x14ac:dyDescent="0.25">
      <c r="A531" s="2"/>
      <c r="B531" s="3"/>
      <c r="C531" s="2"/>
      <c r="D531" s="2"/>
      <c r="E531" s="4"/>
      <c r="F531" s="5"/>
      <c r="G531" s="4"/>
      <c r="H531" s="5"/>
      <c r="I531" s="4"/>
      <c r="J531" s="4"/>
      <c r="K531" s="4"/>
    </row>
    <row r="532" spans="1:11" x14ac:dyDescent="0.25">
      <c r="A532" s="2"/>
      <c r="B532" s="3"/>
      <c r="C532" s="2"/>
      <c r="D532" s="2"/>
      <c r="E532" s="4"/>
      <c r="F532" s="5"/>
      <c r="G532" s="4"/>
      <c r="H532" s="5"/>
      <c r="I532" s="4"/>
      <c r="J532" s="4"/>
      <c r="K532" s="4"/>
    </row>
    <row r="533" spans="1:11" x14ac:dyDescent="0.25">
      <c r="A533" s="2"/>
      <c r="B533" s="3"/>
      <c r="C533" s="2"/>
      <c r="D533" s="2"/>
      <c r="E533" s="4"/>
      <c r="F533" s="5"/>
      <c r="G533" s="4"/>
      <c r="H533" s="5"/>
      <c r="I533" s="4"/>
      <c r="J533" s="4"/>
      <c r="K533" s="4"/>
    </row>
    <row r="534" spans="1:11" x14ac:dyDescent="0.25">
      <c r="A534" s="2"/>
      <c r="B534" s="3"/>
      <c r="C534" s="2"/>
      <c r="D534" s="2"/>
      <c r="E534" s="4"/>
      <c r="F534" s="5"/>
      <c r="G534" s="4"/>
      <c r="H534" s="5"/>
      <c r="I534" s="4"/>
      <c r="J534" s="4"/>
      <c r="K534" s="4"/>
    </row>
    <row r="535" spans="1:11" x14ac:dyDescent="0.25">
      <c r="A535" s="2"/>
      <c r="B535" s="3"/>
      <c r="C535" s="2"/>
      <c r="D535" s="2"/>
      <c r="E535" s="4"/>
      <c r="F535" s="5"/>
      <c r="G535" s="4"/>
      <c r="H535" s="5"/>
      <c r="I535" s="4"/>
      <c r="J535" s="4"/>
      <c r="K535" s="4"/>
    </row>
    <row r="536" spans="1:11" x14ac:dyDescent="0.25">
      <c r="A536" s="2"/>
      <c r="B536" s="3"/>
      <c r="C536" s="2"/>
      <c r="D536" s="2"/>
      <c r="E536" s="4"/>
      <c r="F536" s="5"/>
      <c r="G536" s="4"/>
      <c r="H536" s="5"/>
      <c r="I536" s="4"/>
      <c r="J536" s="4"/>
      <c r="K536" s="4"/>
    </row>
    <row r="537" spans="1:11" x14ac:dyDescent="0.25">
      <c r="A537" s="2"/>
      <c r="B537" s="3"/>
      <c r="C537" s="2"/>
      <c r="D537" s="2"/>
      <c r="E537" s="4"/>
      <c r="F537" s="5"/>
      <c r="G537" s="4"/>
      <c r="H537" s="5"/>
      <c r="I537" s="4"/>
      <c r="J537" s="4"/>
      <c r="K537" s="4"/>
    </row>
    <row r="538" spans="1:11" x14ac:dyDescent="0.25">
      <c r="A538" s="2"/>
      <c r="B538" s="3"/>
      <c r="C538" s="2"/>
      <c r="D538" s="2"/>
      <c r="E538" s="4"/>
      <c r="F538" s="5"/>
      <c r="G538" s="4"/>
      <c r="H538" s="5"/>
      <c r="I538" s="4"/>
      <c r="J538" s="4"/>
      <c r="K538" s="4"/>
    </row>
    <row r="539" spans="1:11" x14ac:dyDescent="0.25">
      <c r="A539" s="2"/>
      <c r="B539" s="3"/>
      <c r="C539" s="2"/>
      <c r="D539" s="2"/>
      <c r="E539" s="4"/>
      <c r="F539" s="5"/>
      <c r="G539" s="4"/>
      <c r="H539" s="5"/>
      <c r="I539" s="4"/>
      <c r="J539" s="4"/>
      <c r="K539" s="4"/>
    </row>
    <row r="540" spans="1:11" x14ac:dyDescent="0.25">
      <c r="A540" s="2"/>
      <c r="B540" s="3"/>
      <c r="C540" s="2"/>
      <c r="D540" s="2"/>
      <c r="E540" s="4"/>
      <c r="F540" s="5"/>
      <c r="G540" s="4"/>
      <c r="H540" s="5"/>
      <c r="I540" s="4"/>
      <c r="J540" s="4"/>
      <c r="K540" s="4"/>
    </row>
    <row r="541" spans="1:11" x14ac:dyDescent="0.25">
      <c r="A541" s="2"/>
      <c r="B541" s="3"/>
      <c r="C541" s="2"/>
      <c r="D541" s="2"/>
      <c r="E541" s="4"/>
      <c r="F541" s="5"/>
      <c r="G541" s="4"/>
      <c r="H541" s="5"/>
      <c r="I541" s="4"/>
      <c r="J541" s="4"/>
      <c r="K541" s="4"/>
    </row>
    <row r="542" spans="1:11" x14ac:dyDescent="0.25">
      <c r="A542" s="2"/>
      <c r="B542" s="3"/>
      <c r="C542" s="2"/>
      <c r="D542" s="2"/>
      <c r="E542" s="4"/>
      <c r="F542" s="5"/>
      <c r="G542" s="4"/>
      <c r="H542" s="5"/>
      <c r="I542" s="4"/>
      <c r="J542" s="4"/>
      <c r="K542" s="4"/>
    </row>
    <row r="543" spans="1:11" x14ac:dyDescent="0.25">
      <c r="A543" s="2"/>
      <c r="B543" s="3"/>
      <c r="C543" s="2"/>
      <c r="D543" s="2"/>
      <c r="E543" s="4"/>
      <c r="F543" s="5"/>
      <c r="G543" s="4"/>
      <c r="H543" s="5"/>
      <c r="I543" s="4"/>
      <c r="J543" s="4"/>
      <c r="K543" s="4"/>
    </row>
    <row r="544" spans="1:11" x14ac:dyDescent="0.25">
      <c r="A544" s="2"/>
      <c r="B544" s="3"/>
      <c r="C544" s="2"/>
      <c r="D544" s="2"/>
      <c r="E544" s="4"/>
      <c r="F544" s="5"/>
      <c r="G544" s="4"/>
      <c r="H544" s="5"/>
      <c r="I544" s="4"/>
      <c r="J544" s="4"/>
      <c r="K544" s="4"/>
    </row>
    <row r="545" spans="1:11" x14ac:dyDescent="0.25">
      <c r="A545" s="2"/>
      <c r="B545" s="3"/>
      <c r="C545" s="2"/>
      <c r="D545" s="2"/>
      <c r="E545" s="4"/>
      <c r="F545" s="5"/>
      <c r="G545" s="4"/>
      <c r="H545" s="5"/>
      <c r="I545" s="4"/>
      <c r="J545" s="4"/>
      <c r="K545" s="4"/>
    </row>
    <row r="546" spans="1:11" x14ac:dyDescent="0.25">
      <c r="A546" s="2"/>
      <c r="B546" s="3"/>
      <c r="C546" s="2"/>
      <c r="D546" s="2"/>
      <c r="E546" s="4"/>
      <c r="F546" s="5"/>
      <c r="G546" s="4"/>
      <c r="H546" s="5"/>
      <c r="I546" s="4"/>
      <c r="J546" s="4"/>
      <c r="K546" s="4"/>
    </row>
    <row r="547" spans="1:11" x14ac:dyDescent="0.25">
      <c r="A547" s="2"/>
      <c r="B547" s="3"/>
      <c r="C547" s="2"/>
      <c r="D547" s="2"/>
      <c r="E547" s="4"/>
      <c r="F547" s="5"/>
      <c r="G547" s="4"/>
      <c r="H547" s="5"/>
      <c r="I547" s="4"/>
      <c r="J547" s="4"/>
      <c r="K547" s="4"/>
    </row>
    <row r="548" spans="1:11" x14ac:dyDescent="0.25">
      <c r="A548" s="2"/>
      <c r="B548" s="3"/>
      <c r="C548" s="2"/>
      <c r="D548" s="2"/>
      <c r="E548" s="4"/>
      <c r="F548" s="5"/>
      <c r="G548" s="4"/>
      <c r="H548" s="5"/>
      <c r="I548" s="4"/>
      <c r="J548" s="4"/>
      <c r="K548" s="4"/>
    </row>
    <row r="549" spans="1:11" x14ac:dyDescent="0.25">
      <c r="A549" s="2"/>
      <c r="B549" s="3"/>
      <c r="C549" s="2"/>
      <c r="D549" s="2"/>
      <c r="E549" s="4"/>
      <c r="F549" s="5"/>
      <c r="G549" s="4"/>
      <c r="H549" s="5"/>
      <c r="I549" s="4"/>
      <c r="J549" s="4"/>
      <c r="K549" s="4"/>
    </row>
    <row r="550" spans="1:11" x14ac:dyDescent="0.25">
      <c r="A550" s="2"/>
      <c r="B550" s="3"/>
      <c r="C550" s="2"/>
      <c r="D550" s="2"/>
      <c r="E550" s="4"/>
      <c r="F550" s="5"/>
      <c r="G550" s="4"/>
      <c r="H550" s="5"/>
      <c r="I550" s="4"/>
      <c r="J550" s="4"/>
      <c r="K550" s="4"/>
    </row>
    <row r="551" spans="1:11" x14ac:dyDescent="0.25">
      <c r="A551" s="2"/>
      <c r="B551" s="3"/>
      <c r="C551" s="2"/>
      <c r="D551" s="2"/>
      <c r="E551" s="4"/>
      <c r="F551" s="5"/>
      <c r="G551" s="4"/>
      <c r="H551" s="5"/>
      <c r="I551" s="4"/>
      <c r="J551" s="4"/>
      <c r="K551" s="4"/>
    </row>
    <row r="552" spans="1:11" x14ac:dyDescent="0.25">
      <c r="A552" s="2"/>
      <c r="B552" s="3"/>
      <c r="C552" s="2"/>
      <c r="D552" s="2"/>
      <c r="E552" s="4"/>
      <c r="F552" s="5"/>
      <c r="G552" s="4"/>
      <c r="H552" s="5"/>
      <c r="I552" s="4"/>
      <c r="J552" s="4"/>
      <c r="K552" s="4"/>
    </row>
    <row r="553" spans="1:11" x14ac:dyDescent="0.25">
      <c r="A553" s="2"/>
      <c r="B553" s="3"/>
      <c r="C553" s="2"/>
      <c r="D553" s="2"/>
      <c r="E553" s="4"/>
      <c r="F553" s="5"/>
      <c r="G553" s="4"/>
      <c r="H553" s="5"/>
      <c r="I553" s="4"/>
      <c r="J553" s="4"/>
      <c r="K553" s="4"/>
    </row>
    <row r="554" spans="1:11" x14ac:dyDescent="0.25">
      <c r="A554" s="2"/>
      <c r="B554" s="3"/>
      <c r="C554" s="2"/>
      <c r="D554" s="2"/>
      <c r="E554" s="4"/>
      <c r="F554" s="5"/>
      <c r="G554" s="4"/>
      <c r="H554" s="5"/>
      <c r="I554" s="4"/>
      <c r="J554" s="4"/>
      <c r="K554" s="4"/>
    </row>
    <row r="555" spans="1:11" x14ac:dyDescent="0.25">
      <c r="A555" s="2"/>
      <c r="B555" s="3"/>
      <c r="C555" s="2"/>
      <c r="D555" s="2"/>
      <c r="E555" s="4"/>
      <c r="F555" s="5"/>
      <c r="G555" s="4"/>
      <c r="H555" s="5"/>
      <c r="I555" s="4"/>
      <c r="J555" s="4"/>
      <c r="K555" s="4"/>
    </row>
    <row r="556" spans="1:11" x14ac:dyDescent="0.25">
      <c r="A556" s="2"/>
      <c r="B556" s="3"/>
      <c r="C556" s="2"/>
      <c r="D556" s="2"/>
      <c r="E556" s="4"/>
      <c r="F556" s="5"/>
      <c r="G556" s="4"/>
      <c r="H556" s="5"/>
      <c r="I556" s="4"/>
      <c r="J556" s="4"/>
      <c r="K556" s="4"/>
    </row>
    <row r="557" spans="1:11" x14ac:dyDescent="0.25">
      <c r="A557" s="2"/>
      <c r="B557" s="3"/>
      <c r="C557" s="2"/>
      <c r="D557" s="2"/>
      <c r="E557" s="4"/>
      <c r="F557" s="5"/>
      <c r="G557" s="4"/>
      <c r="H557" s="5"/>
      <c r="I557" s="4"/>
      <c r="J557" s="4"/>
      <c r="K557" s="4"/>
    </row>
    <row r="558" spans="1:11" x14ac:dyDescent="0.25">
      <c r="A558" s="2"/>
      <c r="B558" s="3"/>
      <c r="C558" s="2"/>
      <c r="D558" s="2"/>
      <c r="E558" s="4"/>
      <c r="F558" s="5"/>
      <c r="G558" s="4"/>
      <c r="H558" s="5"/>
      <c r="I558" s="4"/>
      <c r="J558" s="4"/>
      <c r="K558" s="4"/>
    </row>
    <row r="559" spans="1:11" x14ac:dyDescent="0.25">
      <c r="A559" s="2"/>
      <c r="B559" s="3"/>
      <c r="C559" s="2"/>
      <c r="D559" s="2"/>
      <c r="E559" s="4"/>
      <c r="F559" s="5"/>
      <c r="G559" s="4"/>
      <c r="H559" s="5"/>
      <c r="I559" s="4"/>
      <c r="J559" s="4"/>
      <c r="K559" s="4"/>
    </row>
    <row r="560" spans="1:11" x14ac:dyDescent="0.25">
      <c r="A560" s="2"/>
      <c r="B560" s="3"/>
      <c r="C560" s="2"/>
      <c r="D560" s="2"/>
      <c r="E560" s="4"/>
      <c r="F560" s="5"/>
      <c r="G560" s="4"/>
      <c r="H560" s="5"/>
      <c r="I560" s="4"/>
      <c r="J560" s="4"/>
      <c r="K560" s="4"/>
    </row>
    <row r="561" spans="1:11" x14ac:dyDescent="0.25">
      <c r="A561" s="2"/>
      <c r="B561" s="3"/>
      <c r="C561" s="2"/>
      <c r="D561" s="2"/>
      <c r="E561" s="4"/>
      <c r="F561" s="5"/>
      <c r="G561" s="4"/>
      <c r="H561" s="5"/>
      <c r="I561" s="4"/>
      <c r="J561" s="4"/>
      <c r="K561" s="4"/>
    </row>
    <row r="562" spans="1:11" x14ac:dyDescent="0.25">
      <c r="A562" s="2"/>
      <c r="B562" s="3"/>
      <c r="C562" s="2"/>
      <c r="D562" s="2"/>
      <c r="E562" s="4"/>
      <c r="F562" s="5"/>
      <c r="G562" s="4"/>
      <c r="H562" s="5"/>
      <c r="I562" s="4"/>
      <c r="J562" s="4"/>
      <c r="K562" s="4"/>
    </row>
    <row r="563" spans="1:11" x14ac:dyDescent="0.25">
      <c r="A563" s="2"/>
      <c r="B563" s="3"/>
      <c r="C563" s="2"/>
      <c r="D563" s="2"/>
      <c r="E563" s="4"/>
      <c r="F563" s="5"/>
      <c r="G563" s="4"/>
      <c r="H563" s="5"/>
      <c r="I563" s="4"/>
      <c r="J563" s="4"/>
      <c r="K563" s="4"/>
    </row>
    <row r="564" spans="1:11" x14ac:dyDescent="0.25">
      <c r="A564" s="2"/>
      <c r="B564" s="3"/>
      <c r="C564" s="2"/>
      <c r="D564" s="2"/>
      <c r="E564" s="4"/>
      <c r="F564" s="5"/>
      <c r="G564" s="4"/>
      <c r="H564" s="5"/>
      <c r="I564" s="4"/>
      <c r="J564" s="4"/>
      <c r="K564" s="4"/>
    </row>
    <row r="565" spans="1:11" x14ac:dyDescent="0.25">
      <c r="A565" s="2"/>
      <c r="B565" s="3"/>
      <c r="C565" s="2"/>
      <c r="D565" s="2"/>
      <c r="E565" s="4"/>
      <c r="F565" s="5"/>
      <c r="G565" s="4"/>
      <c r="H565" s="5"/>
      <c r="I565" s="4"/>
      <c r="J565" s="4"/>
      <c r="K565" s="4"/>
    </row>
    <row r="566" spans="1:11" x14ac:dyDescent="0.25">
      <c r="A566" s="2"/>
      <c r="B566" s="3"/>
      <c r="C566" s="2"/>
      <c r="D566" s="2"/>
      <c r="E566" s="4"/>
      <c r="F566" s="5"/>
      <c r="G566" s="4"/>
      <c r="H566" s="5"/>
      <c r="I566" s="4"/>
      <c r="J566" s="4"/>
      <c r="K566" s="4"/>
    </row>
    <row r="567" spans="1:11" x14ac:dyDescent="0.25">
      <c r="A567" s="2"/>
      <c r="B567" s="3"/>
      <c r="C567" s="2"/>
      <c r="D567" s="2"/>
      <c r="E567" s="4"/>
      <c r="F567" s="5"/>
      <c r="G567" s="4"/>
      <c r="H567" s="5"/>
      <c r="I567" s="4"/>
      <c r="J567" s="4"/>
      <c r="K567" s="4"/>
    </row>
    <row r="568" spans="1:11" x14ac:dyDescent="0.25">
      <c r="A568" s="2"/>
      <c r="B568" s="3"/>
      <c r="C568" s="2"/>
      <c r="D568" s="2"/>
      <c r="E568" s="4"/>
      <c r="F568" s="5"/>
      <c r="G568" s="4"/>
      <c r="H568" s="5"/>
      <c r="I568" s="4"/>
      <c r="J568" s="4"/>
      <c r="K568" s="4"/>
    </row>
    <row r="569" spans="1:11" x14ac:dyDescent="0.25">
      <c r="A569" s="2"/>
      <c r="B569" s="3"/>
      <c r="C569" s="2"/>
      <c r="D569" s="2"/>
      <c r="E569" s="4"/>
      <c r="F569" s="5"/>
      <c r="G569" s="4"/>
      <c r="H569" s="5"/>
      <c r="I569" s="4"/>
      <c r="J569" s="4"/>
      <c r="K569" s="4"/>
    </row>
    <row r="570" spans="1:11" x14ac:dyDescent="0.25">
      <c r="A570" s="2"/>
      <c r="B570" s="3"/>
      <c r="C570" s="2"/>
      <c r="D570" s="2"/>
      <c r="E570" s="4"/>
      <c r="F570" s="5"/>
      <c r="G570" s="4"/>
      <c r="H570" s="5"/>
      <c r="I570" s="4"/>
      <c r="J570" s="4"/>
      <c r="K570" s="4"/>
    </row>
    <row r="571" spans="1:11" x14ac:dyDescent="0.25">
      <c r="A571" s="2"/>
      <c r="B571" s="3"/>
      <c r="C571" s="2"/>
      <c r="D571" s="2"/>
      <c r="E571" s="4"/>
      <c r="F571" s="5"/>
      <c r="G571" s="4"/>
      <c r="H571" s="5"/>
      <c r="I571" s="4"/>
      <c r="J571" s="4"/>
      <c r="K571" s="4"/>
    </row>
    <row r="572" spans="1:11" x14ac:dyDescent="0.25">
      <c r="A572" s="2"/>
      <c r="B572" s="3"/>
      <c r="C572" s="2"/>
      <c r="D572" s="2"/>
      <c r="E572" s="4"/>
      <c r="F572" s="5"/>
      <c r="G572" s="4"/>
      <c r="H572" s="5"/>
      <c r="I572" s="4"/>
      <c r="J572" s="4"/>
      <c r="K572" s="4"/>
    </row>
    <row r="573" spans="1:11" x14ac:dyDescent="0.25">
      <c r="A573" s="2"/>
      <c r="B573" s="3"/>
      <c r="C573" s="2"/>
      <c r="D573" s="2"/>
      <c r="E573" s="4"/>
      <c r="F573" s="5"/>
      <c r="G573" s="4"/>
      <c r="H573" s="5"/>
      <c r="I573" s="4"/>
      <c r="J573" s="4"/>
      <c r="K573" s="4"/>
    </row>
    <row r="574" spans="1:11" x14ac:dyDescent="0.25">
      <c r="A574" s="2"/>
      <c r="B574" s="3"/>
      <c r="C574" s="2"/>
      <c r="D574" s="2"/>
      <c r="E574" s="4"/>
      <c r="F574" s="5"/>
      <c r="G574" s="4"/>
      <c r="H574" s="5"/>
      <c r="I574" s="4"/>
      <c r="J574" s="4"/>
      <c r="K574" s="4"/>
    </row>
    <row r="575" spans="1:11" x14ac:dyDescent="0.25">
      <c r="A575" s="2"/>
      <c r="B575" s="3"/>
      <c r="C575" s="2"/>
      <c r="D575" s="2"/>
      <c r="E575" s="4"/>
      <c r="F575" s="5"/>
      <c r="G575" s="4"/>
      <c r="H575" s="5"/>
      <c r="I575" s="4"/>
      <c r="J575" s="4"/>
      <c r="K575" s="4"/>
    </row>
    <row r="576" spans="1:11" x14ac:dyDescent="0.25">
      <c r="A576" s="2"/>
      <c r="B576" s="3"/>
      <c r="C576" s="2"/>
      <c r="D576" s="2"/>
      <c r="E576" s="4"/>
      <c r="F576" s="5"/>
      <c r="G576" s="4"/>
      <c r="H576" s="5"/>
      <c r="I576" s="4"/>
      <c r="J576" s="4"/>
      <c r="K576" s="4"/>
    </row>
    <row r="577" spans="1:11" x14ac:dyDescent="0.25">
      <c r="A577" s="2"/>
      <c r="B577" s="3"/>
      <c r="C577" s="2"/>
      <c r="D577" s="2"/>
      <c r="E577" s="4"/>
      <c r="F577" s="5"/>
      <c r="G577" s="4"/>
      <c r="H577" s="5"/>
      <c r="I577" s="4"/>
      <c r="J577" s="4"/>
      <c r="K577" s="4"/>
    </row>
    <row r="578" spans="1:11" x14ac:dyDescent="0.25">
      <c r="A578" s="2"/>
      <c r="B578" s="3"/>
      <c r="C578" s="2"/>
      <c r="D578" s="2"/>
      <c r="E578" s="4"/>
      <c r="F578" s="5"/>
      <c r="G578" s="4"/>
      <c r="H578" s="5"/>
      <c r="I578" s="4"/>
      <c r="J578" s="4"/>
      <c r="K578" s="4"/>
    </row>
    <row r="579" spans="1:11" x14ac:dyDescent="0.25">
      <c r="A579" s="2"/>
      <c r="B579" s="3"/>
      <c r="C579" s="2"/>
      <c r="D579" s="2"/>
      <c r="E579" s="4"/>
      <c r="F579" s="5"/>
      <c r="G579" s="4"/>
      <c r="H579" s="5"/>
      <c r="I579" s="4"/>
      <c r="J579" s="4"/>
      <c r="K579" s="4"/>
    </row>
    <row r="580" spans="1:11" x14ac:dyDescent="0.25">
      <c r="A580" s="2"/>
      <c r="B580" s="3"/>
      <c r="C580" s="2"/>
      <c r="D580" s="2"/>
      <c r="E580" s="4"/>
      <c r="F580" s="5"/>
      <c r="G580" s="4"/>
      <c r="H580" s="5"/>
      <c r="I580" s="4"/>
      <c r="J580" s="4"/>
      <c r="K580" s="4"/>
    </row>
    <row r="581" spans="1:11" x14ac:dyDescent="0.25">
      <c r="A581" s="2"/>
      <c r="B581" s="3"/>
      <c r="C581" s="2"/>
      <c r="D581" s="2"/>
      <c r="E581" s="4"/>
      <c r="F581" s="5"/>
      <c r="G581" s="4"/>
      <c r="H581" s="5"/>
      <c r="I581" s="4"/>
      <c r="J581" s="4"/>
      <c r="K581" s="4"/>
    </row>
    <row r="582" spans="1:11" x14ac:dyDescent="0.25">
      <c r="A582" s="2"/>
      <c r="B582" s="3"/>
      <c r="C582" s="2"/>
      <c r="D582" s="2"/>
      <c r="E582" s="4"/>
      <c r="F582" s="5"/>
      <c r="G582" s="4"/>
      <c r="H582" s="5"/>
      <c r="I582" s="4"/>
      <c r="J582" s="4"/>
      <c r="K582" s="4"/>
    </row>
    <row r="583" spans="1:11" x14ac:dyDescent="0.25">
      <c r="A583" s="2"/>
      <c r="B583" s="3"/>
      <c r="C583" s="2"/>
      <c r="D583" s="2"/>
      <c r="E583" s="4"/>
      <c r="F583" s="5"/>
      <c r="G583" s="4"/>
      <c r="H583" s="5"/>
      <c r="I583" s="4"/>
      <c r="J583" s="4"/>
      <c r="K583" s="4"/>
    </row>
    <row r="584" spans="1:11" x14ac:dyDescent="0.25">
      <c r="A584" s="2"/>
      <c r="B584" s="3"/>
      <c r="C584" s="2"/>
      <c r="D584" s="2"/>
      <c r="E584" s="4"/>
      <c r="F584" s="5"/>
      <c r="G584" s="4"/>
      <c r="H584" s="5"/>
      <c r="I584" s="4"/>
      <c r="J584" s="4"/>
      <c r="K584" s="4"/>
    </row>
    <row r="585" spans="1:11" x14ac:dyDescent="0.25">
      <c r="A585" s="2"/>
      <c r="B585" s="3"/>
      <c r="C585" s="2"/>
      <c r="D585" s="2"/>
      <c r="E585" s="4"/>
      <c r="F585" s="5"/>
      <c r="G585" s="4"/>
      <c r="H585" s="5"/>
      <c r="I585" s="4"/>
      <c r="J585" s="4"/>
      <c r="K585" s="4"/>
    </row>
    <row r="586" spans="1:11" x14ac:dyDescent="0.25">
      <c r="A586" s="2"/>
      <c r="B586" s="3"/>
      <c r="C586" s="2"/>
      <c r="D586" s="2"/>
      <c r="E586" s="4"/>
      <c r="F586" s="5"/>
      <c r="G586" s="4"/>
      <c r="H586" s="5"/>
      <c r="I586" s="4"/>
      <c r="J586" s="4"/>
      <c r="K586" s="4"/>
    </row>
    <row r="587" spans="1:11" x14ac:dyDescent="0.25">
      <c r="A587" s="2"/>
      <c r="B587" s="3"/>
      <c r="C587" s="2"/>
      <c r="D587" s="2"/>
      <c r="E587" s="4"/>
      <c r="F587" s="5"/>
      <c r="G587" s="4"/>
      <c r="H587" s="5"/>
      <c r="I587" s="4"/>
      <c r="J587" s="4"/>
      <c r="K587" s="4"/>
    </row>
    <row r="588" spans="1:11" x14ac:dyDescent="0.25">
      <c r="A588" s="2"/>
      <c r="B588" s="3"/>
      <c r="C588" s="2"/>
      <c r="D588" s="2"/>
      <c r="E588" s="4"/>
      <c r="F588" s="5"/>
      <c r="G588" s="4"/>
      <c r="H588" s="5"/>
      <c r="I588" s="4"/>
      <c r="J588" s="4"/>
      <c r="K588" s="4"/>
    </row>
    <row r="589" spans="1:11" x14ac:dyDescent="0.25">
      <c r="A589" s="2"/>
      <c r="B589" s="3"/>
      <c r="C589" s="2"/>
      <c r="D589" s="2"/>
      <c r="E589" s="4"/>
      <c r="F589" s="5"/>
      <c r="G589" s="4"/>
      <c r="H589" s="5"/>
      <c r="I589" s="4"/>
      <c r="J589" s="4"/>
      <c r="K589" s="4"/>
    </row>
    <row r="590" spans="1:11" x14ac:dyDescent="0.25">
      <c r="A590" s="2"/>
      <c r="B590" s="3"/>
      <c r="C590" s="2"/>
      <c r="D590" s="2"/>
      <c r="E590" s="4"/>
      <c r="F590" s="5"/>
      <c r="G590" s="4"/>
      <c r="H590" s="5"/>
      <c r="I590" s="4"/>
      <c r="J590" s="4"/>
      <c r="K590" s="4"/>
    </row>
    <row r="591" spans="1:11" x14ac:dyDescent="0.25">
      <c r="A591" s="2"/>
      <c r="B591" s="3"/>
      <c r="C591" s="2"/>
      <c r="D591" s="2"/>
      <c r="E591" s="4"/>
      <c r="F591" s="5"/>
      <c r="G591" s="4"/>
      <c r="H591" s="5"/>
      <c r="I591" s="4"/>
      <c r="J591" s="4"/>
      <c r="K591" s="4"/>
    </row>
    <row r="592" spans="1:11" x14ac:dyDescent="0.25">
      <c r="A592" s="2"/>
      <c r="B592" s="3"/>
      <c r="C592" s="2"/>
      <c r="D592" s="2"/>
      <c r="E592" s="4"/>
      <c r="F592" s="5"/>
      <c r="G592" s="4"/>
      <c r="H592" s="5"/>
      <c r="I592" s="4"/>
      <c r="J592" s="4"/>
      <c r="K592" s="4"/>
    </row>
    <row r="593" spans="1:11" x14ac:dyDescent="0.25">
      <c r="A593" s="2"/>
      <c r="B593" s="3"/>
      <c r="C593" s="2"/>
      <c r="D593" s="2"/>
      <c r="E593" s="4"/>
      <c r="F593" s="5"/>
      <c r="G593" s="4"/>
      <c r="H593" s="5"/>
      <c r="I593" s="4"/>
      <c r="J593" s="4"/>
      <c r="K593" s="4"/>
    </row>
    <row r="594" spans="1:11" x14ac:dyDescent="0.25">
      <c r="A594" s="2"/>
      <c r="B594" s="3"/>
      <c r="C594" s="2"/>
      <c r="D594" s="2"/>
      <c r="E594" s="4"/>
      <c r="F594" s="5"/>
      <c r="G594" s="4"/>
      <c r="H594" s="5"/>
      <c r="I594" s="4"/>
      <c r="J594" s="4"/>
      <c r="K594" s="4"/>
    </row>
    <row r="595" spans="1:11" x14ac:dyDescent="0.25">
      <c r="A595" s="2"/>
      <c r="B595" s="3"/>
      <c r="C595" s="2"/>
      <c r="D595" s="2"/>
      <c r="E595" s="4"/>
      <c r="F595" s="5"/>
      <c r="G595" s="4"/>
      <c r="H595" s="5"/>
      <c r="I595" s="4"/>
      <c r="J595" s="4"/>
      <c r="K595" s="4"/>
    </row>
    <row r="596" spans="1:11" x14ac:dyDescent="0.25">
      <c r="A596" s="2"/>
      <c r="B596" s="3"/>
      <c r="C596" s="2"/>
      <c r="D596" s="2"/>
      <c r="E596" s="4"/>
      <c r="F596" s="5"/>
      <c r="G596" s="4"/>
      <c r="H596" s="5"/>
      <c r="I596" s="4"/>
      <c r="J596" s="4"/>
      <c r="K596" s="4"/>
    </row>
    <row r="597" spans="1:11" x14ac:dyDescent="0.25">
      <c r="A597" s="2"/>
      <c r="B597" s="3"/>
      <c r="C597" s="2"/>
      <c r="D597" s="2"/>
      <c r="E597" s="4"/>
      <c r="F597" s="5"/>
      <c r="G597" s="4"/>
      <c r="H597" s="5"/>
      <c r="I597" s="4"/>
      <c r="J597" s="4"/>
      <c r="K597" s="4"/>
    </row>
    <row r="598" spans="1:11" x14ac:dyDescent="0.25">
      <c r="A598" s="2"/>
      <c r="B598" s="3"/>
      <c r="C598" s="2"/>
      <c r="D598" s="2"/>
      <c r="E598" s="4"/>
      <c r="F598" s="5"/>
      <c r="G598" s="4"/>
      <c r="H598" s="5"/>
      <c r="I598" s="4"/>
      <c r="J598" s="4"/>
      <c r="K598" s="4"/>
    </row>
    <row r="599" spans="1:11" x14ac:dyDescent="0.25">
      <c r="A599" s="2"/>
      <c r="B599" s="3"/>
      <c r="C599" s="2"/>
      <c r="D599" s="2"/>
      <c r="E599" s="4"/>
      <c r="F599" s="5"/>
      <c r="G599" s="4"/>
      <c r="H599" s="5"/>
      <c r="I599" s="4"/>
      <c r="J599" s="4"/>
      <c r="K599" s="4"/>
    </row>
    <row r="600" spans="1:11" x14ac:dyDescent="0.25">
      <c r="A600" s="2"/>
      <c r="B600" s="3"/>
      <c r="C600" s="2"/>
      <c r="D600" s="2"/>
      <c r="E600" s="4"/>
      <c r="F600" s="5"/>
      <c r="G600" s="4"/>
      <c r="H600" s="5"/>
      <c r="I600" s="4"/>
      <c r="J600" s="4"/>
      <c r="K600" s="4"/>
    </row>
    <row r="601" spans="1:11" x14ac:dyDescent="0.25">
      <c r="A601" s="2"/>
      <c r="B601" s="3"/>
      <c r="C601" s="2"/>
      <c r="D601" s="2"/>
      <c r="E601" s="4"/>
      <c r="F601" s="5"/>
      <c r="G601" s="4"/>
      <c r="H601" s="5"/>
      <c r="I601" s="4"/>
      <c r="J601" s="4"/>
      <c r="K601" s="4"/>
    </row>
    <row r="602" spans="1:11" x14ac:dyDescent="0.25">
      <c r="A602" s="2"/>
      <c r="B602" s="3"/>
      <c r="C602" s="2"/>
      <c r="D602" s="2"/>
      <c r="E602" s="4"/>
      <c r="F602" s="5"/>
      <c r="G602" s="4"/>
      <c r="H602" s="5"/>
      <c r="I602" s="4"/>
      <c r="J602" s="4"/>
      <c r="K602" s="4"/>
    </row>
    <row r="603" spans="1:11" x14ac:dyDescent="0.25">
      <c r="A603" s="2"/>
      <c r="B603" s="3"/>
      <c r="C603" s="2"/>
      <c r="D603" s="2"/>
      <c r="E603" s="4"/>
      <c r="F603" s="5"/>
      <c r="G603" s="4"/>
      <c r="H603" s="5"/>
      <c r="I603" s="4"/>
      <c r="J603" s="4"/>
      <c r="K603" s="4"/>
    </row>
    <row r="604" spans="1:11" x14ac:dyDescent="0.25">
      <c r="A604" s="2"/>
      <c r="B604" s="3"/>
      <c r="C604" s="2"/>
      <c r="D604" s="2"/>
      <c r="E604" s="4"/>
      <c r="F604" s="5"/>
      <c r="G604" s="4"/>
      <c r="H604" s="5"/>
      <c r="I604" s="4"/>
      <c r="J604" s="4"/>
      <c r="K604" s="4"/>
    </row>
    <row r="605" spans="1:11" x14ac:dyDescent="0.25">
      <c r="A605" s="2"/>
      <c r="B605" s="3"/>
      <c r="C605" s="2"/>
      <c r="D605" s="2"/>
      <c r="E605" s="4"/>
      <c r="F605" s="5"/>
      <c r="G605" s="4"/>
      <c r="H605" s="5"/>
      <c r="I605" s="4"/>
      <c r="J605" s="4"/>
      <c r="K605" s="4"/>
    </row>
    <row r="606" spans="1:11" x14ac:dyDescent="0.25">
      <c r="A606" s="2"/>
      <c r="B606" s="3"/>
      <c r="C606" s="2"/>
      <c r="D606" s="2"/>
      <c r="E606" s="4"/>
      <c r="F606" s="5"/>
      <c r="G606" s="4"/>
      <c r="H606" s="5"/>
      <c r="I606" s="4"/>
      <c r="J606" s="4"/>
      <c r="K606" s="4"/>
    </row>
    <row r="607" spans="1:11" x14ac:dyDescent="0.25">
      <c r="A607" s="2"/>
      <c r="B607" s="3"/>
      <c r="C607" s="2"/>
      <c r="D607" s="2"/>
      <c r="E607" s="4"/>
      <c r="F607" s="5"/>
      <c r="G607" s="4"/>
      <c r="H607" s="5"/>
      <c r="I607" s="4"/>
      <c r="J607" s="4"/>
      <c r="K607" s="4"/>
    </row>
    <row r="608" spans="1:11" x14ac:dyDescent="0.25">
      <c r="A608" s="2"/>
      <c r="B608" s="3"/>
      <c r="C608" s="2"/>
      <c r="D608" s="2"/>
      <c r="E608" s="4"/>
      <c r="F608" s="5"/>
      <c r="G608" s="4"/>
      <c r="H608" s="5"/>
      <c r="I608" s="4"/>
      <c r="J608" s="4"/>
      <c r="K608" s="4"/>
    </row>
    <row r="609" spans="1:11" x14ac:dyDescent="0.25">
      <c r="A609" s="2"/>
      <c r="B609" s="3"/>
      <c r="C609" s="2"/>
      <c r="D609" s="2"/>
      <c r="E609" s="4"/>
      <c r="F609" s="5"/>
      <c r="G609" s="4"/>
      <c r="H609" s="5"/>
      <c r="I609" s="4"/>
      <c r="J609" s="4"/>
      <c r="K609" s="4"/>
    </row>
    <row r="610" spans="1:11" x14ac:dyDescent="0.25">
      <c r="A610" s="2"/>
      <c r="B610" s="3"/>
      <c r="C610" s="2"/>
      <c r="D610" s="2"/>
      <c r="E610" s="4"/>
      <c r="F610" s="5"/>
      <c r="G610" s="4"/>
      <c r="H610" s="5"/>
      <c r="I610" s="4"/>
      <c r="J610" s="4"/>
      <c r="K610" s="4"/>
    </row>
    <row r="611" spans="1:11" x14ac:dyDescent="0.25">
      <c r="A611" s="2"/>
      <c r="B611" s="3"/>
      <c r="C611" s="2"/>
      <c r="D611" s="2"/>
      <c r="E611" s="4"/>
      <c r="F611" s="5"/>
      <c r="G611" s="4"/>
      <c r="H611" s="5"/>
      <c r="I611" s="4"/>
      <c r="J611" s="4"/>
      <c r="K611" s="4"/>
    </row>
    <row r="612" spans="1:11" x14ac:dyDescent="0.25">
      <c r="A612" s="2"/>
      <c r="B612" s="3"/>
      <c r="C612" s="2"/>
      <c r="D612" s="2"/>
      <c r="E612" s="4"/>
      <c r="F612" s="5"/>
      <c r="G612" s="4"/>
      <c r="H612" s="5"/>
      <c r="I612" s="4"/>
      <c r="J612" s="4"/>
      <c r="K612" s="4"/>
    </row>
    <row r="613" spans="1:11" x14ac:dyDescent="0.25">
      <c r="A613" s="2"/>
      <c r="B613" s="3"/>
      <c r="C613" s="2"/>
      <c r="D613" s="2"/>
      <c r="E613" s="4"/>
      <c r="F613" s="5"/>
      <c r="G613" s="4"/>
      <c r="H613" s="5"/>
      <c r="I613" s="4"/>
      <c r="J613" s="4"/>
      <c r="K613" s="4"/>
    </row>
    <row r="614" spans="1:11" x14ac:dyDescent="0.25">
      <c r="A614" s="2"/>
      <c r="B614" s="3"/>
      <c r="C614" s="2"/>
      <c r="D614" s="2"/>
      <c r="E614" s="4"/>
      <c r="F614" s="5"/>
      <c r="G614" s="4"/>
      <c r="H614" s="5"/>
      <c r="I614" s="4"/>
      <c r="J614" s="4"/>
      <c r="K614" s="4"/>
    </row>
    <row r="615" spans="1:11" x14ac:dyDescent="0.25">
      <c r="A615" s="2"/>
      <c r="B615" s="3"/>
      <c r="C615" s="2"/>
      <c r="D615" s="2"/>
      <c r="E615" s="4"/>
      <c r="F615" s="5"/>
      <c r="G615" s="4"/>
      <c r="H615" s="5"/>
      <c r="I615" s="4"/>
      <c r="J615" s="4"/>
      <c r="K615" s="4"/>
    </row>
    <row r="616" spans="1:11" x14ac:dyDescent="0.25">
      <c r="A616" s="2"/>
      <c r="B616" s="3"/>
      <c r="C616" s="2"/>
      <c r="D616" s="2"/>
      <c r="E616" s="4"/>
      <c r="F616" s="5"/>
      <c r="G616" s="4"/>
      <c r="H616" s="5"/>
      <c r="I616" s="4"/>
      <c r="J616" s="4"/>
      <c r="K616" s="4"/>
    </row>
    <row r="617" spans="1:11" x14ac:dyDescent="0.25">
      <c r="A617" s="2"/>
      <c r="B617" s="3"/>
      <c r="C617" s="2"/>
      <c r="D617" s="2"/>
      <c r="E617" s="4"/>
      <c r="F617" s="5"/>
      <c r="G617" s="4"/>
      <c r="H617" s="5"/>
      <c r="I617" s="4"/>
      <c r="J617" s="4"/>
      <c r="K617" s="4"/>
    </row>
    <row r="618" spans="1:11" x14ac:dyDescent="0.25">
      <c r="A618" s="2"/>
      <c r="B618" s="3"/>
      <c r="C618" s="2"/>
      <c r="D618" s="2"/>
      <c r="E618" s="4"/>
      <c r="F618" s="5"/>
      <c r="G618" s="4"/>
      <c r="H618" s="5"/>
      <c r="I618" s="4"/>
      <c r="J618" s="4"/>
      <c r="K618" s="4"/>
    </row>
    <row r="619" spans="1:11" x14ac:dyDescent="0.25">
      <c r="A619" s="2"/>
      <c r="B619" s="3"/>
      <c r="C619" s="2"/>
      <c r="D619" s="2"/>
      <c r="E619" s="4"/>
      <c r="F619" s="5"/>
      <c r="G619" s="4"/>
      <c r="H619" s="5"/>
      <c r="I619" s="4"/>
      <c r="J619" s="4"/>
      <c r="K619" s="4"/>
    </row>
    <row r="620" spans="1:11" x14ac:dyDescent="0.25">
      <c r="A620" s="2"/>
      <c r="B620" s="3"/>
      <c r="C620" s="2"/>
      <c r="D620" s="2"/>
      <c r="E620" s="4"/>
      <c r="F620" s="5"/>
      <c r="G620" s="4"/>
      <c r="H620" s="5"/>
      <c r="I620" s="4"/>
      <c r="J620" s="4"/>
      <c r="K620" s="4"/>
    </row>
    <row r="621" spans="1:11" x14ac:dyDescent="0.25">
      <c r="A621" s="2"/>
      <c r="B621" s="3"/>
      <c r="C621" s="2"/>
      <c r="D621" s="2"/>
      <c r="E621" s="4"/>
      <c r="F621" s="5"/>
      <c r="G621" s="4"/>
      <c r="H621" s="5"/>
      <c r="I621" s="4"/>
      <c r="J621" s="4"/>
      <c r="K621" s="4"/>
    </row>
    <row r="622" spans="1:11" x14ac:dyDescent="0.25">
      <c r="A622" s="2"/>
      <c r="B622" s="3"/>
      <c r="C622" s="2"/>
      <c r="D622" s="2"/>
      <c r="E622" s="4"/>
      <c r="F622" s="5"/>
      <c r="G622" s="4"/>
      <c r="H622" s="5"/>
      <c r="I622" s="4"/>
      <c r="J622" s="4"/>
      <c r="K622" s="4"/>
    </row>
    <row r="623" spans="1:11" x14ac:dyDescent="0.25">
      <c r="A623" s="2"/>
      <c r="B623" s="3"/>
      <c r="C623" s="2"/>
      <c r="D623" s="2"/>
      <c r="E623" s="4"/>
      <c r="F623" s="5"/>
      <c r="G623" s="4"/>
      <c r="H623" s="5"/>
      <c r="I623" s="4"/>
      <c r="J623" s="4"/>
      <c r="K623" s="4"/>
    </row>
    <row r="624" spans="1:11" x14ac:dyDescent="0.25">
      <c r="A624" s="2"/>
      <c r="B624" s="3"/>
      <c r="C624" s="2"/>
      <c r="D624" s="2"/>
      <c r="E624" s="4"/>
      <c r="F624" s="5"/>
      <c r="G624" s="4"/>
      <c r="H624" s="5"/>
      <c r="I624" s="4"/>
      <c r="J624" s="4"/>
      <c r="K624" s="4"/>
    </row>
    <row r="625" spans="1:11" x14ac:dyDescent="0.25">
      <c r="A625" s="2"/>
      <c r="B625" s="3"/>
      <c r="C625" s="2"/>
      <c r="D625" s="2"/>
      <c r="E625" s="4"/>
      <c r="F625" s="5"/>
      <c r="G625" s="4"/>
      <c r="H625" s="5"/>
      <c r="I625" s="4"/>
      <c r="J625" s="4"/>
      <c r="K625" s="4"/>
    </row>
    <row r="626" spans="1:11" x14ac:dyDescent="0.25">
      <c r="A626" s="2"/>
      <c r="B626" s="3"/>
      <c r="C626" s="2"/>
      <c r="D626" s="2"/>
      <c r="E626" s="4"/>
      <c r="F626" s="5"/>
      <c r="G626" s="4"/>
      <c r="H626" s="5"/>
      <c r="I626" s="4"/>
      <c r="J626" s="4"/>
      <c r="K626" s="4"/>
    </row>
    <row r="627" spans="1:11" x14ac:dyDescent="0.25">
      <c r="A627" s="2"/>
      <c r="B627" s="3"/>
      <c r="C627" s="2"/>
      <c r="D627" s="2"/>
      <c r="E627" s="4"/>
      <c r="F627" s="5"/>
      <c r="G627" s="4"/>
      <c r="H627" s="5"/>
      <c r="I627" s="4"/>
      <c r="J627" s="4"/>
      <c r="K627" s="4"/>
    </row>
    <row r="628" spans="1:11" x14ac:dyDescent="0.25">
      <c r="A628" s="2"/>
      <c r="B628" s="3"/>
      <c r="C628" s="2"/>
      <c r="D628" s="2"/>
      <c r="E628" s="4"/>
      <c r="F628" s="5"/>
      <c r="G628" s="4"/>
      <c r="H628" s="5"/>
      <c r="I628" s="4"/>
      <c r="J628" s="4"/>
      <c r="K628" s="4"/>
    </row>
    <row r="629" spans="1:11" x14ac:dyDescent="0.25">
      <c r="A629" s="2"/>
      <c r="B629" s="3"/>
      <c r="C629" s="2"/>
      <c r="D629" s="2"/>
      <c r="E629" s="4"/>
      <c r="F629" s="5"/>
      <c r="G629" s="4"/>
      <c r="H629" s="5"/>
      <c r="I629" s="4"/>
      <c r="J629" s="4"/>
      <c r="K629" s="4"/>
    </row>
    <row r="630" spans="1:11" x14ac:dyDescent="0.25">
      <c r="A630" s="2"/>
      <c r="B630" s="3"/>
      <c r="C630" s="2"/>
      <c r="D630" s="2"/>
      <c r="E630" s="4"/>
      <c r="F630" s="5"/>
      <c r="G630" s="4"/>
      <c r="H630" s="5"/>
      <c r="I630" s="4"/>
      <c r="J630" s="4"/>
      <c r="K630" s="4"/>
    </row>
    <row r="631" spans="1:11" x14ac:dyDescent="0.25">
      <c r="A631" s="2"/>
      <c r="B631" s="3"/>
      <c r="C631" s="2"/>
      <c r="D631" s="2"/>
      <c r="E631" s="4"/>
      <c r="F631" s="5"/>
      <c r="G631" s="4"/>
      <c r="H631" s="5"/>
      <c r="I631" s="4"/>
      <c r="J631" s="4"/>
      <c r="K631" s="4"/>
    </row>
    <row r="632" spans="1:11" x14ac:dyDescent="0.25">
      <c r="A632" s="2"/>
      <c r="B632" s="3"/>
      <c r="C632" s="2"/>
      <c r="D632" s="2"/>
      <c r="E632" s="4"/>
      <c r="F632" s="5"/>
      <c r="G632" s="4"/>
      <c r="H632" s="5"/>
      <c r="I632" s="4"/>
      <c r="J632" s="4"/>
      <c r="K632" s="4"/>
    </row>
    <row r="633" spans="1:11" x14ac:dyDescent="0.25">
      <c r="A633" s="2"/>
      <c r="B633" s="3"/>
      <c r="C633" s="2"/>
      <c r="D633" s="2"/>
      <c r="E633" s="4"/>
      <c r="F633" s="5"/>
      <c r="G633" s="4"/>
      <c r="H633" s="5"/>
      <c r="I633" s="4"/>
      <c r="J633" s="4"/>
      <c r="K633" s="4"/>
    </row>
    <row r="634" spans="1:11" x14ac:dyDescent="0.25">
      <c r="A634" s="2"/>
      <c r="B634" s="3"/>
      <c r="C634" s="2"/>
      <c r="D634" s="2"/>
      <c r="E634" s="4"/>
      <c r="F634" s="5"/>
      <c r="G634" s="4"/>
      <c r="H634" s="5"/>
      <c r="I634" s="4"/>
      <c r="J634" s="4"/>
      <c r="K634" s="4"/>
    </row>
    <row r="635" spans="1:11" x14ac:dyDescent="0.25">
      <c r="A635" s="2"/>
      <c r="B635" s="3"/>
      <c r="C635" s="2"/>
      <c r="D635" s="2"/>
      <c r="E635" s="4"/>
      <c r="F635" s="5"/>
      <c r="G635" s="4"/>
      <c r="H635" s="5"/>
      <c r="I635" s="4"/>
      <c r="J635" s="4"/>
      <c r="K635" s="4"/>
    </row>
    <row r="636" spans="1:11" x14ac:dyDescent="0.25">
      <c r="A636" s="2"/>
      <c r="B636" s="3"/>
      <c r="C636" s="2"/>
      <c r="D636" s="2"/>
      <c r="E636" s="4"/>
      <c r="F636" s="5"/>
      <c r="G636" s="4"/>
      <c r="H636" s="5"/>
      <c r="I636" s="4"/>
      <c r="J636" s="4"/>
      <c r="K636" s="4"/>
    </row>
    <row r="637" spans="1:11" x14ac:dyDescent="0.25">
      <c r="A637" s="2"/>
      <c r="B637" s="3"/>
      <c r="C637" s="2"/>
      <c r="D637" s="2"/>
      <c r="E637" s="4"/>
      <c r="F637" s="5"/>
      <c r="G637" s="4"/>
      <c r="H637" s="5"/>
      <c r="I637" s="4"/>
      <c r="J637" s="4"/>
      <c r="K637" s="4"/>
    </row>
    <row r="638" spans="1:11" x14ac:dyDescent="0.25">
      <c r="A638" s="2"/>
      <c r="B638" s="3"/>
      <c r="C638" s="2"/>
      <c r="D638" s="2"/>
      <c r="E638" s="4"/>
      <c r="F638" s="5"/>
      <c r="G638" s="4"/>
      <c r="H638" s="5"/>
      <c r="I638" s="4"/>
      <c r="J638" s="4"/>
      <c r="K638" s="4"/>
    </row>
    <row r="639" spans="1:11" x14ac:dyDescent="0.25">
      <c r="A639" s="2"/>
      <c r="B639" s="3"/>
      <c r="C639" s="2"/>
      <c r="D639" s="2"/>
      <c r="E639" s="4"/>
      <c r="F639" s="5"/>
      <c r="G639" s="4"/>
      <c r="H639" s="5"/>
      <c r="I639" s="4"/>
      <c r="J639" s="4"/>
      <c r="K639" s="4"/>
    </row>
    <row r="640" spans="1:11" x14ac:dyDescent="0.25">
      <c r="A640" s="2"/>
      <c r="B640" s="3"/>
      <c r="C640" s="2"/>
      <c r="D640" s="2"/>
      <c r="E640" s="4"/>
      <c r="F640" s="5"/>
      <c r="G640" s="4"/>
      <c r="H640" s="5"/>
      <c r="I640" s="4"/>
      <c r="J640" s="4"/>
      <c r="K640" s="4"/>
    </row>
    <row r="641" spans="1:11" x14ac:dyDescent="0.25">
      <c r="A641" s="2"/>
      <c r="B641" s="3"/>
      <c r="C641" s="2"/>
      <c r="D641" s="2"/>
      <c r="E641" s="4"/>
      <c r="F641" s="5"/>
      <c r="G641" s="4"/>
      <c r="H641" s="5"/>
      <c r="I641" s="4"/>
      <c r="J641" s="4"/>
      <c r="K641" s="4"/>
    </row>
    <row r="642" spans="1:11" x14ac:dyDescent="0.25">
      <c r="A642" s="2"/>
      <c r="B642" s="3"/>
      <c r="C642" s="2"/>
      <c r="D642" s="2"/>
      <c r="E642" s="4"/>
      <c r="F642" s="5"/>
      <c r="G642" s="4"/>
      <c r="H642" s="5"/>
      <c r="I642" s="4"/>
      <c r="J642" s="4"/>
      <c r="K642" s="4"/>
    </row>
    <row r="643" spans="1:11" x14ac:dyDescent="0.25">
      <c r="A643" s="2"/>
      <c r="B643" s="3"/>
      <c r="C643" s="2"/>
      <c r="D643" s="2"/>
      <c r="E643" s="4"/>
      <c r="F643" s="5"/>
      <c r="G643" s="4"/>
      <c r="H643" s="5"/>
      <c r="I643" s="4"/>
      <c r="J643" s="4"/>
      <c r="K643" s="4"/>
    </row>
    <row r="644" spans="1:11" x14ac:dyDescent="0.25">
      <c r="A644" s="2"/>
      <c r="B644" s="3"/>
      <c r="C644" s="2"/>
      <c r="D644" s="2"/>
      <c r="E644" s="4"/>
      <c r="F644" s="5"/>
      <c r="G644" s="4"/>
      <c r="H644" s="5"/>
      <c r="I644" s="4"/>
      <c r="J644" s="4"/>
      <c r="K644" s="4"/>
    </row>
    <row r="645" spans="1:11" x14ac:dyDescent="0.25">
      <c r="A645" s="2"/>
      <c r="B645" s="3"/>
      <c r="C645" s="2"/>
      <c r="D645" s="2"/>
      <c r="E645" s="4"/>
      <c r="F645" s="5"/>
      <c r="G645" s="4"/>
      <c r="H645" s="5"/>
      <c r="I645" s="4"/>
      <c r="J645" s="4"/>
      <c r="K645" s="4"/>
    </row>
    <row r="646" spans="1:11" x14ac:dyDescent="0.25">
      <c r="A646" s="2"/>
      <c r="B646" s="3"/>
      <c r="C646" s="2"/>
      <c r="D646" s="2"/>
      <c r="E646" s="4"/>
      <c r="F646" s="5"/>
      <c r="G646" s="4"/>
      <c r="H646" s="5"/>
      <c r="I646" s="4"/>
      <c r="J646" s="4"/>
      <c r="K646" s="4"/>
    </row>
    <row r="647" spans="1:11" x14ac:dyDescent="0.25">
      <c r="A647" s="2"/>
      <c r="B647" s="3"/>
      <c r="C647" s="2"/>
      <c r="D647" s="2"/>
      <c r="E647" s="4"/>
      <c r="F647" s="5"/>
      <c r="G647" s="4"/>
      <c r="H647" s="5"/>
      <c r="I647" s="4"/>
      <c r="J647" s="4"/>
      <c r="K647" s="4"/>
    </row>
    <row r="648" spans="1:11" x14ac:dyDescent="0.25">
      <c r="A648" s="2"/>
      <c r="B648" s="3"/>
      <c r="C648" s="2"/>
      <c r="D648" s="2"/>
      <c r="E648" s="4"/>
      <c r="F648" s="5"/>
      <c r="G648" s="4"/>
      <c r="H648" s="5"/>
      <c r="I648" s="4"/>
      <c r="J648" s="4"/>
      <c r="K648" s="4"/>
    </row>
    <row r="649" spans="1:11" x14ac:dyDescent="0.25">
      <c r="A649" s="2"/>
      <c r="B649" s="3"/>
      <c r="C649" s="2"/>
      <c r="D649" s="2"/>
      <c r="E649" s="4"/>
      <c r="F649" s="5"/>
      <c r="G649" s="4"/>
      <c r="H649" s="5"/>
      <c r="I649" s="4"/>
      <c r="J649" s="4"/>
      <c r="K649" s="4"/>
    </row>
    <row r="650" spans="1:11" x14ac:dyDescent="0.25">
      <c r="A650" s="2"/>
      <c r="B650" s="3"/>
      <c r="C650" s="2"/>
      <c r="D650" s="2"/>
      <c r="E650" s="4"/>
      <c r="F650" s="5"/>
      <c r="G650" s="4"/>
      <c r="H650" s="5"/>
      <c r="I650" s="4"/>
      <c r="J650" s="4"/>
      <c r="K650" s="4"/>
    </row>
    <row r="651" spans="1:11" x14ac:dyDescent="0.25">
      <c r="A651" s="2"/>
      <c r="B651" s="3"/>
      <c r="C651" s="2"/>
      <c r="D651" s="2"/>
      <c r="E651" s="4"/>
      <c r="F651" s="5"/>
      <c r="G651" s="4"/>
      <c r="H651" s="5"/>
      <c r="I651" s="4"/>
      <c r="J651" s="4"/>
      <c r="K651" s="4"/>
    </row>
    <row r="652" spans="1:11" x14ac:dyDescent="0.25">
      <c r="A652" s="2"/>
      <c r="B652" s="3"/>
      <c r="C652" s="2"/>
      <c r="D652" s="2"/>
      <c r="E652" s="4"/>
      <c r="F652" s="5"/>
      <c r="G652" s="4"/>
      <c r="H652" s="5"/>
      <c r="I652" s="4"/>
      <c r="J652" s="4"/>
      <c r="K652" s="4"/>
    </row>
    <row r="653" spans="1:11" x14ac:dyDescent="0.25">
      <c r="A653" s="2"/>
      <c r="B653" s="3"/>
      <c r="C653" s="2"/>
      <c r="D653" s="2"/>
      <c r="E653" s="4"/>
      <c r="F653" s="5"/>
      <c r="G653" s="4"/>
      <c r="H653" s="5"/>
      <c r="I653" s="4"/>
      <c r="J653" s="4"/>
      <c r="K653" s="4"/>
    </row>
    <row r="654" spans="1:11" x14ac:dyDescent="0.25">
      <c r="A654" s="2"/>
      <c r="B654" s="3"/>
      <c r="C654" s="2"/>
      <c r="D654" s="2"/>
      <c r="E654" s="4"/>
      <c r="F654" s="5"/>
      <c r="G654" s="4"/>
      <c r="H654" s="5"/>
      <c r="I654" s="4"/>
      <c r="J654" s="4"/>
      <c r="K654" s="4"/>
    </row>
    <row r="655" spans="1:11" x14ac:dyDescent="0.25">
      <c r="A655" s="2"/>
      <c r="B655" s="3"/>
      <c r="C655" s="2"/>
      <c r="D655" s="2"/>
      <c r="E655" s="4"/>
      <c r="F655" s="5"/>
      <c r="G655" s="4"/>
      <c r="H655" s="5"/>
      <c r="I655" s="4"/>
      <c r="J655" s="4"/>
      <c r="K655" s="4"/>
    </row>
    <row r="656" spans="1:11" x14ac:dyDescent="0.25">
      <c r="A656" s="2"/>
      <c r="B656" s="3"/>
      <c r="C656" s="2"/>
      <c r="D656" s="2"/>
      <c r="E656" s="4"/>
      <c r="F656" s="5"/>
      <c r="G656" s="4"/>
      <c r="H656" s="5"/>
      <c r="I656" s="4"/>
      <c r="J656" s="4"/>
      <c r="K656" s="4"/>
    </row>
    <row r="657" spans="1:11" x14ac:dyDescent="0.25">
      <c r="A657" s="2"/>
      <c r="B657" s="3"/>
      <c r="C657" s="2"/>
      <c r="D657" s="2"/>
      <c r="E657" s="4"/>
      <c r="F657" s="5"/>
      <c r="G657" s="4"/>
      <c r="H657" s="5"/>
      <c r="I657" s="4"/>
      <c r="J657" s="4"/>
      <c r="K657" s="4"/>
    </row>
    <row r="658" spans="1:11" x14ac:dyDescent="0.25">
      <c r="A658" s="2"/>
      <c r="B658" s="3"/>
      <c r="C658" s="2"/>
      <c r="D658" s="2"/>
      <c r="E658" s="4"/>
      <c r="F658" s="5"/>
      <c r="G658" s="4"/>
      <c r="H658" s="5"/>
      <c r="I658" s="4"/>
      <c r="J658" s="4"/>
      <c r="K658" s="4"/>
    </row>
    <row r="659" spans="1:11" x14ac:dyDescent="0.25">
      <c r="A659" s="2"/>
      <c r="B659" s="3"/>
      <c r="C659" s="2"/>
      <c r="D659" s="2"/>
      <c r="E659" s="4"/>
      <c r="F659" s="5"/>
      <c r="G659" s="4"/>
      <c r="H659" s="5"/>
      <c r="I659" s="4"/>
      <c r="J659" s="4"/>
      <c r="K659" s="4"/>
    </row>
    <row r="660" spans="1:11" x14ac:dyDescent="0.25">
      <c r="A660" s="2"/>
      <c r="B660" s="3"/>
      <c r="C660" s="2"/>
      <c r="D660" s="2"/>
      <c r="E660" s="4"/>
      <c r="F660" s="5"/>
      <c r="G660" s="4"/>
      <c r="H660" s="5"/>
      <c r="I660" s="4"/>
      <c r="J660" s="4"/>
      <c r="K660" s="4"/>
    </row>
    <row r="661" spans="1:11" x14ac:dyDescent="0.25">
      <c r="A661" s="2"/>
      <c r="B661" s="3"/>
      <c r="C661" s="2"/>
      <c r="D661" s="2"/>
      <c r="E661" s="4"/>
      <c r="F661" s="5"/>
      <c r="G661" s="4"/>
      <c r="H661" s="5"/>
      <c r="I661" s="4"/>
      <c r="J661" s="4"/>
      <c r="K661" s="4"/>
    </row>
    <row r="662" spans="1:11" x14ac:dyDescent="0.25">
      <c r="A662" s="2"/>
      <c r="B662" s="3"/>
      <c r="C662" s="2"/>
      <c r="D662" s="2"/>
      <c r="E662" s="4"/>
      <c r="F662" s="5"/>
      <c r="G662" s="4"/>
      <c r="H662" s="5"/>
      <c r="I662" s="4"/>
      <c r="J662" s="4"/>
      <c r="K662" s="4"/>
    </row>
    <row r="663" spans="1:11" x14ac:dyDescent="0.25">
      <c r="A663" s="2"/>
      <c r="B663" s="3"/>
      <c r="C663" s="2"/>
      <c r="D663" s="2"/>
      <c r="E663" s="4"/>
      <c r="F663" s="5"/>
      <c r="G663" s="4"/>
      <c r="H663" s="5"/>
      <c r="I663" s="4"/>
      <c r="J663" s="4"/>
      <c r="K663" s="4"/>
    </row>
    <row r="664" spans="1:11" x14ac:dyDescent="0.25">
      <c r="A664" s="2"/>
      <c r="B664" s="3"/>
      <c r="C664" s="2"/>
      <c r="D664" s="2"/>
      <c r="E664" s="4"/>
      <c r="F664" s="5"/>
      <c r="G664" s="4"/>
      <c r="H664" s="5"/>
      <c r="I664" s="4"/>
      <c r="J664" s="4"/>
      <c r="K664" s="4"/>
    </row>
    <row r="665" spans="1:11" x14ac:dyDescent="0.25">
      <c r="A665" s="2"/>
      <c r="B665" s="3"/>
      <c r="C665" s="2"/>
      <c r="D665" s="2"/>
      <c r="E665" s="4"/>
      <c r="F665" s="5"/>
      <c r="G665" s="4"/>
      <c r="H665" s="5"/>
      <c r="I665" s="4"/>
      <c r="J665" s="4"/>
      <c r="K665" s="4"/>
    </row>
    <row r="666" spans="1:11" x14ac:dyDescent="0.25">
      <c r="A666" s="2"/>
      <c r="B666" s="3"/>
      <c r="C666" s="2"/>
      <c r="D666" s="2"/>
      <c r="E666" s="4"/>
      <c r="F666" s="5"/>
      <c r="G666" s="4"/>
      <c r="H666" s="5"/>
      <c r="I666" s="4"/>
      <c r="J666" s="4"/>
      <c r="K666" s="4"/>
    </row>
    <row r="667" spans="1:11" x14ac:dyDescent="0.25">
      <c r="A667" s="2"/>
      <c r="B667" s="3"/>
      <c r="C667" s="2"/>
      <c r="D667" s="2"/>
      <c r="E667" s="4"/>
      <c r="F667" s="5"/>
      <c r="G667" s="4"/>
      <c r="H667" s="5"/>
      <c r="I667" s="4"/>
      <c r="J667" s="4"/>
      <c r="K667" s="4"/>
    </row>
    <row r="668" spans="1:11" x14ac:dyDescent="0.25">
      <c r="A668" s="2"/>
      <c r="B668" s="3"/>
      <c r="C668" s="2"/>
      <c r="D668" s="2"/>
      <c r="E668" s="4"/>
      <c r="F668" s="5"/>
      <c r="G668" s="4"/>
      <c r="H668" s="5"/>
      <c r="I668" s="4"/>
      <c r="J668" s="4"/>
      <c r="K668" s="4"/>
    </row>
    <row r="669" spans="1:11" x14ac:dyDescent="0.25">
      <c r="A669" s="2"/>
      <c r="B669" s="3"/>
      <c r="C669" s="2"/>
      <c r="D669" s="2"/>
      <c r="E669" s="4"/>
      <c r="F669" s="5"/>
      <c r="G669" s="4"/>
      <c r="H669" s="5"/>
      <c r="I669" s="4"/>
      <c r="J669" s="4"/>
      <c r="K669" s="4"/>
    </row>
    <row r="670" spans="1:11" x14ac:dyDescent="0.25">
      <c r="A670" s="2"/>
      <c r="B670" s="3"/>
      <c r="C670" s="2"/>
      <c r="D670" s="2"/>
      <c r="E670" s="4"/>
      <c r="F670" s="5"/>
      <c r="G670" s="4"/>
      <c r="H670" s="5"/>
      <c r="I670" s="4"/>
      <c r="J670" s="4"/>
      <c r="K670" s="4"/>
    </row>
    <row r="671" spans="1:11" x14ac:dyDescent="0.25">
      <c r="A671" s="2"/>
      <c r="B671" s="3"/>
      <c r="C671" s="2"/>
      <c r="D671" s="2"/>
      <c r="E671" s="4"/>
      <c r="F671" s="5"/>
      <c r="G671" s="4"/>
      <c r="H671" s="5"/>
      <c r="I671" s="4"/>
      <c r="J671" s="4"/>
      <c r="K671" s="4"/>
    </row>
    <row r="672" spans="1:11" x14ac:dyDescent="0.25">
      <c r="A672" s="2"/>
      <c r="B672" s="3"/>
      <c r="C672" s="2"/>
      <c r="D672" s="2"/>
      <c r="E672" s="4"/>
      <c r="F672" s="5"/>
      <c r="G672" s="4"/>
      <c r="H672" s="5"/>
      <c r="I672" s="4"/>
      <c r="J672" s="4"/>
      <c r="K672" s="4"/>
    </row>
    <row r="673" spans="1:11" x14ac:dyDescent="0.25">
      <c r="A673" s="2"/>
      <c r="B673" s="3"/>
      <c r="C673" s="2"/>
      <c r="D673" s="2"/>
      <c r="E673" s="4"/>
      <c r="F673" s="5"/>
      <c r="G673" s="4"/>
      <c r="H673" s="5"/>
      <c r="I673" s="4"/>
      <c r="J673" s="4"/>
      <c r="K673" s="4"/>
    </row>
    <row r="674" spans="1:11" x14ac:dyDescent="0.25">
      <c r="A674" s="2"/>
      <c r="B674" s="3"/>
      <c r="C674" s="2"/>
      <c r="D674" s="2"/>
      <c r="E674" s="4"/>
      <c r="F674" s="5"/>
      <c r="G674" s="4"/>
      <c r="H674" s="5"/>
      <c r="I674" s="4"/>
      <c r="J674" s="4"/>
      <c r="K674" s="4"/>
    </row>
    <row r="675" spans="1:11" x14ac:dyDescent="0.25">
      <c r="A675" s="2"/>
      <c r="B675" s="3"/>
      <c r="C675" s="2"/>
      <c r="D675" s="2"/>
      <c r="E675" s="4"/>
      <c r="F675" s="5"/>
      <c r="G675" s="4"/>
      <c r="H675" s="5"/>
      <c r="I675" s="4"/>
      <c r="J675" s="4"/>
      <c r="K675" s="4"/>
    </row>
    <row r="676" spans="1:11" x14ac:dyDescent="0.25">
      <c r="A676" s="2"/>
      <c r="B676" s="3"/>
      <c r="C676" s="2"/>
      <c r="D676" s="2"/>
      <c r="E676" s="4"/>
      <c r="F676" s="5"/>
      <c r="G676" s="4"/>
      <c r="H676" s="5"/>
      <c r="I676" s="4"/>
      <c r="J676" s="4"/>
      <c r="K676" s="4"/>
    </row>
    <row r="677" spans="1:11" x14ac:dyDescent="0.25">
      <c r="A677" s="2"/>
      <c r="B677" s="3"/>
      <c r="C677" s="2"/>
      <c r="D677" s="2"/>
      <c r="E677" s="4"/>
      <c r="F677" s="5"/>
      <c r="G677" s="4"/>
      <c r="H677" s="5"/>
      <c r="I677" s="4"/>
      <c r="J677" s="4"/>
      <c r="K677" s="4"/>
    </row>
    <row r="678" spans="1:11" x14ac:dyDescent="0.25">
      <c r="A678" s="2"/>
      <c r="B678" s="3"/>
      <c r="C678" s="2"/>
      <c r="D678" s="2"/>
      <c r="E678" s="4"/>
      <c r="F678" s="5"/>
      <c r="G678" s="4"/>
      <c r="H678" s="5"/>
      <c r="I678" s="4"/>
      <c r="J678" s="4"/>
      <c r="K678" s="4"/>
    </row>
    <row r="679" spans="1:11" x14ac:dyDescent="0.25">
      <c r="A679" s="2"/>
      <c r="B679" s="3"/>
      <c r="C679" s="2"/>
      <c r="D679" s="2"/>
      <c r="E679" s="4"/>
      <c r="F679" s="5"/>
      <c r="G679" s="4"/>
      <c r="H679" s="5"/>
      <c r="I679" s="4"/>
      <c r="J679" s="4"/>
      <c r="K679" s="4"/>
    </row>
    <row r="680" spans="1:11" x14ac:dyDescent="0.25">
      <c r="A680" s="2"/>
      <c r="B680" s="3"/>
      <c r="C680" s="2"/>
      <c r="D680" s="2"/>
      <c r="E680" s="4"/>
      <c r="F680" s="5"/>
      <c r="G680" s="4"/>
      <c r="H680" s="5"/>
      <c r="I680" s="4"/>
      <c r="J680" s="4"/>
      <c r="K680" s="4"/>
    </row>
    <row r="681" spans="1:11" x14ac:dyDescent="0.25">
      <c r="A681" s="2"/>
      <c r="B681" s="3"/>
      <c r="C681" s="2"/>
      <c r="D681" s="2"/>
      <c r="E681" s="4"/>
      <c r="F681" s="5"/>
      <c r="G681" s="4"/>
      <c r="H681" s="5"/>
      <c r="I681" s="4"/>
      <c r="J681" s="4"/>
      <c r="K681" s="4"/>
    </row>
    <row r="682" spans="1:11" x14ac:dyDescent="0.25">
      <c r="A682" s="2"/>
      <c r="B682" s="3"/>
      <c r="C682" s="2"/>
      <c r="D682" s="2"/>
      <c r="E682" s="4"/>
      <c r="F682" s="5"/>
      <c r="G682" s="4"/>
      <c r="H682" s="5"/>
      <c r="I682" s="4"/>
      <c r="J682" s="4"/>
      <c r="K682" s="4"/>
    </row>
    <row r="683" spans="1:11" x14ac:dyDescent="0.25">
      <c r="A683" s="2"/>
      <c r="B683" s="3"/>
      <c r="C683" s="2"/>
      <c r="D683" s="2"/>
      <c r="E683" s="4"/>
      <c r="F683" s="5"/>
      <c r="G683" s="4"/>
      <c r="H683" s="5"/>
      <c r="I683" s="4"/>
      <c r="J683" s="4"/>
      <c r="K683" s="4"/>
    </row>
    <row r="684" spans="1:11" x14ac:dyDescent="0.25">
      <c r="A684" s="2"/>
      <c r="B684" s="3"/>
      <c r="C684" s="2"/>
      <c r="D684" s="2"/>
      <c r="E684" s="4"/>
      <c r="F684" s="5"/>
      <c r="G684" s="4"/>
      <c r="H684" s="5"/>
      <c r="I684" s="4"/>
      <c r="J684" s="4"/>
      <c r="K684" s="4"/>
    </row>
    <row r="685" spans="1:11" x14ac:dyDescent="0.25">
      <c r="A685" s="2"/>
      <c r="B685" s="3"/>
      <c r="C685" s="2"/>
      <c r="D685" s="2"/>
      <c r="E685" s="4"/>
      <c r="F685" s="5"/>
      <c r="G685" s="4"/>
      <c r="H685" s="5"/>
      <c r="I685" s="4"/>
      <c r="J685" s="4"/>
      <c r="K685" s="4"/>
    </row>
    <row r="686" spans="1:11" x14ac:dyDescent="0.25">
      <c r="A686" s="2"/>
      <c r="B686" s="3"/>
      <c r="C686" s="2"/>
      <c r="D686" s="2"/>
      <c r="E686" s="4"/>
      <c r="F686" s="5"/>
      <c r="G686" s="4"/>
      <c r="H686" s="5"/>
      <c r="I686" s="4"/>
      <c r="J686" s="4"/>
      <c r="K686" s="4"/>
    </row>
    <row r="687" spans="1:11" x14ac:dyDescent="0.25">
      <c r="A687" s="2"/>
      <c r="B687" s="3"/>
      <c r="C687" s="2"/>
      <c r="D687" s="2"/>
      <c r="E687" s="4"/>
      <c r="F687" s="5"/>
      <c r="G687" s="4"/>
      <c r="H687" s="5"/>
      <c r="I687" s="4"/>
      <c r="J687" s="4"/>
      <c r="K687" s="4"/>
    </row>
    <row r="688" spans="1:11" x14ac:dyDescent="0.25">
      <c r="A688" s="2"/>
      <c r="B688" s="3"/>
      <c r="C688" s="2"/>
      <c r="D688" s="2"/>
      <c r="E688" s="4"/>
      <c r="F688" s="5"/>
      <c r="G688" s="4"/>
      <c r="H688" s="5"/>
      <c r="I688" s="4"/>
      <c r="J688" s="4"/>
      <c r="K688" s="4"/>
    </row>
    <row r="689" spans="1:11" x14ac:dyDescent="0.25">
      <c r="A689" s="2"/>
      <c r="B689" s="3"/>
      <c r="C689" s="2"/>
      <c r="D689" s="2"/>
      <c r="E689" s="4"/>
      <c r="F689" s="5"/>
      <c r="G689" s="4"/>
      <c r="H689" s="5"/>
      <c r="I689" s="4"/>
      <c r="J689" s="4"/>
      <c r="K689" s="4"/>
    </row>
    <row r="690" spans="1:11" x14ac:dyDescent="0.25">
      <c r="A690" s="2"/>
      <c r="B690" s="3"/>
      <c r="C690" s="2"/>
      <c r="D690" s="2"/>
      <c r="E690" s="4"/>
      <c r="F690" s="5"/>
      <c r="G690" s="4"/>
      <c r="H690" s="5"/>
      <c r="I690" s="4"/>
      <c r="J690" s="4"/>
      <c r="K690" s="4"/>
    </row>
    <row r="691" spans="1:11" x14ac:dyDescent="0.25">
      <c r="A691" s="2"/>
      <c r="B691" s="3"/>
      <c r="C691" s="2"/>
      <c r="D691" s="2"/>
      <c r="E691" s="4"/>
      <c r="F691" s="5"/>
      <c r="G691" s="4"/>
      <c r="H691" s="5"/>
      <c r="I691" s="4"/>
      <c r="J691" s="4"/>
      <c r="K691" s="4"/>
    </row>
    <row r="692" spans="1:11" x14ac:dyDescent="0.25">
      <c r="A692" s="2"/>
      <c r="B692" s="3"/>
      <c r="C692" s="2"/>
      <c r="D692" s="2"/>
      <c r="E692" s="4"/>
      <c r="F692" s="5"/>
      <c r="G692" s="4"/>
      <c r="H692" s="5"/>
      <c r="I692" s="4"/>
      <c r="J692" s="4"/>
      <c r="K692" s="4"/>
    </row>
    <row r="693" spans="1:11" x14ac:dyDescent="0.25">
      <c r="A693" s="2"/>
      <c r="B693" s="3"/>
      <c r="C693" s="2"/>
      <c r="D693" s="2"/>
      <c r="E693" s="4"/>
      <c r="F693" s="5"/>
      <c r="G693" s="4"/>
      <c r="H693" s="5"/>
      <c r="I693" s="4"/>
      <c r="J693" s="4"/>
      <c r="K693" s="4"/>
    </row>
    <row r="694" spans="1:11" x14ac:dyDescent="0.25">
      <c r="A694" s="2"/>
      <c r="B694" s="3"/>
      <c r="C694" s="2"/>
      <c r="D694" s="2"/>
      <c r="E694" s="4"/>
      <c r="F694" s="5"/>
      <c r="G694" s="4"/>
      <c r="H694" s="5"/>
      <c r="I694" s="4"/>
      <c r="J694" s="4"/>
      <c r="K694" s="4"/>
    </row>
    <row r="695" spans="1:11" x14ac:dyDescent="0.25">
      <c r="A695" s="2"/>
      <c r="B695" s="3"/>
      <c r="C695" s="2"/>
      <c r="D695" s="2"/>
      <c r="E695" s="4"/>
      <c r="F695" s="5"/>
      <c r="G695" s="4"/>
      <c r="H695" s="5"/>
      <c r="I695" s="4"/>
      <c r="J695" s="4"/>
      <c r="K695" s="4"/>
    </row>
    <row r="696" spans="1:11" x14ac:dyDescent="0.25">
      <c r="A696" s="2"/>
      <c r="B696" s="3"/>
      <c r="C696" s="2"/>
      <c r="D696" s="2"/>
      <c r="E696" s="4"/>
      <c r="F696" s="5"/>
      <c r="G696" s="4"/>
      <c r="H696" s="5"/>
      <c r="I696" s="4"/>
      <c r="J696" s="4"/>
      <c r="K696" s="4"/>
    </row>
    <row r="697" spans="1:11" x14ac:dyDescent="0.25">
      <c r="A697" s="2"/>
      <c r="B697" s="3"/>
      <c r="C697" s="2"/>
      <c r="D697" s="2"/>
      <c r="E697" s="4"/>
      <c r="F697" s="5"/>
      <c r="G697" s="4"/>
      <c r="H697" s="5"/>
      <c r="I697" s="4"/>
      <c r="J697" s="4"/>
      <c r="K697" s="4"/>
    </row>
    <row r="698" spans="1:11" x14ac:dyDescent="0.25">
      <c r="A698" s="2"/>
      <c r="B698" s="3"/>
      <c r="C698" s="2"/>
      <c r="D698" s="2"/>
      <c r="E698" s="4"/>
      <c r="F698" s="5"/>
      <c r="G698" s="4"/>
      <c r="H698" s="5"/>
      <c r="I698" s="4"/>
      <c r="J698" s="4"/>
      <c r="K698" s="4"/>
    </row>
    <row r="699" spans="1:11" x14ac:dyDescent="0.25">
      <c r="A699" s="2"/>
      <c r="B699" s="3"/>
      <c r="C699" s="2"/>
      <c r="D699" s="2"/>
      <c r="E699" s="4"/>
      <c r="F699" s="5"/>
      <c r="G699" s="4"/>
      <c r="H699" s="5"/>
      <c r="I699" s="4"/>
      <c r="J699" s="4"/>
      <c r="K699" s="4"/>
    </row>
    <row r="700" spans="1:11" x14ac:dyDescent="0.25">
      <c r="A700" s="2"/>
      <c r="B700" s="3"/>
      <c r="C700" s="2"/>
      <c r="D700" s="2"/>
      <c r="E700" s="4"/>
      <c r="F700" s="5"/>
      <c r="G700" s="4"/>
      <c r="H700" s="5"/>
      <c r="I700" s="4"/>
      <c r="J700" s="4"/>
      <c r="K700" s="4"/>
    </row>
    <row r="701" spans="1:11" x14ac:dyDescent="0.25">
      <c r="A701" s="2"/>
      <c r="B701" s="3"/>
      <c r="C701" s="2"/>
      <c r="D701" s="2"/>
      <c r="E701" s="4"/>
      <c r="F701" s="5"/>
      <c r="G701" s="4"/>
      <c r="H701" s="5"/>
      <c r="I701" s="4"/>
      <c r="J701" s="4"/>
      <c r="K701" s="4"/>
    </row>
    <row r="702" spans="1:11" x14ac:dyDescent="0.25">
      <c r="A702" s="2"/>
      <c r="B702" s="3"/>
      <c r="C702" s="2"/>
      <c r="D702" s="2"/>
      <c r="E702" s="4"/>
      <c r="F702" s="5"/>
      <c r="G702" s="4"/>
      <c r="H702" s="5"/>
      <c r="I702" s="4"/>
      <c r="J702" s="4"/>
      <c r="K702" s="4"/>
    </row>
    <row r="703" spans="1:11" x14ac:dyDescent="0.25">
      <c r="A703" s="2"/>
      <c r="B703" s="3"/>
      <c r="C703" s="2"/>
      <c r="D703" s="2"/>
      <c r="E703" s="4"/>
      <c r="F703" s="5"/>
      <c r="G703" s="4"/>
      <c r="H703" s="5"/>
      <c r="I703" s="4"/>
      <c r="J703" s="4"/>
      <c r="K703" s="4"/>
    </row>
    <row r="704" spans="1:11" x14ac:dyDescent="0.25">
      <c r="A704" s="2"/>
      <c r="B704" s="3"/>
      <c r="C704" s="2"/>
      <c r="D704" s="2"/>
      <c r="E704" s="4"/>
      <c r="F704" s="5"/>
      <c r="G704" s="4"/>
      <c r="H704" s="5"/>
      <c r="I704" s="4"/>
      <c r="J704" s="4"/>
      <c r="K704" s="4"/>
    </row>
    <row r="705" spans="1:11" x14ac:dyDescent="0.25">
      <c r="A705" s="2"/>
      <c r="B705" s="3"/>
      <c r="C705" s="2"/>
      <c r="D705" s="2"/>
      <c r="E705" s="4"/>
      <c r="F705" s="5"/>
      <c r="G705" s="4"/>
      <c r="H705" s="5"/>
      <c r="I705" s="4"/>
      <c r="J705" s="4"/>
      <c r="K705" s="4"/>
    </row>
    <row r="706" spans="1:11" x14ac:dyDescent="0.25">
      <c r="A706" s="2"/>
      <c r="B706" s="3"/>
      <c r="C706" s="2"/>
      <c r="D706" s="2"/>
      <c r="E706" s="4"/>
      <c r="F706" s="5"/>
      <c r="G706" s="4"/>
      <c r="H706" s="5"/>
      <c r="I706" s="4"/>
      <c r="J706" s="4"/>
      <c r="K706" s="4"/>
    </row>
    <row r="707" spans="1:11" x14ac:dyDescent="0.25">
      <c r="A707" s="2"/>
      <c r="B707" s="3"/>
      <c r="C707" s="2"/>
      <c r="D707" s="2"/>
      <c r="E707" s="4"/>
      <c r="F707" s="5"/>
      <c r="G707" s="4"/>
      <c r="H707" s="5"/>
      <c r="I707" s="4"/>
      <c r="J707" s="4"/>
      <c r="K707" s="4"/>
    </row>
    <row r="708" spans="1:11" x14ac:dyDescent="0.25">
      <c r="A708" s="2"/>
      <c r="B708" s="3"/>
      <c r="C708" s="2"/>
      <c r="D708" s="2"/>
      <c r="E708" s="4"/>
      <c r="F708" s="5"/>
      <c r="G708" s="4"/>
      <c r="H708" s="5"/>
      <c r="I708" s="4"/>
      <c r="J708" s="4"/>
      <c r="K708" s="4"/>
    </row>
    <row r="709" spans="1:11" x14ac:dyDescent="0.25">
      <c r="A709" s="2"/>
      <c r="B709" s="3"/>
      <c r="C709" s="2"/>
      <c r="D709" s="2"/>
      <c r="E709" s="4"/>
      <c r="F709" s="5"/>
      <c r="G709" s="4"/>
      <c r="H709" s="5"/>
      <c r="I709" s="4"/>
      <c r="J709" s="4"/>
      <c r="K709" s="4"/>
    </row>
    <row r="710" spans="1:11" x14ac:dyDescent="0.25">
      <c r="A710" s="2"/>
      <c r="B710" s="3"/>
      <c r="C710" s="2"/>
      <c r="D710" s="2"/>
      <c r="E710" s="4"/>
      <c r="F710" s="5"/>
      <c r="G710" s="4"/>
      <c r="H710" s="5"/>
      <c r="I710" s="4"/>
      <c r="J710" s="4"/>
      <c r="K710" s="4"/>
    </row>
    <row r="711" spans="1:11" x14ac:dyDescent="0.25">
      <c r="A711" s="2"/>
      <c r="B711" s="3"/>
      <c r="C711" s="2"/>
      <c r="D711" s="2"/>
      <c r="E711" s="4"/>
      <c r="F711" s="5"/>
      <c r="G711" s="4"/>
      <c r="H711" s="5"/>
      <c r="I711" s="4"/>
      <c r="J711" s="4"/>
      <c r="K711" s="4"/>
    </row>
    <row r="712" spans="1:11" x14ac:dyDescent="0.25">
      <c r="A712" s="2"/>
      <c r="B712" s="3"/>
      <c r="C712" s="2"/>
      <c r="D712" s="2"/>
      <c r="E712" s="4"/>
      <c r="F712" s="5"/>
      <c r="G712" s="4"/>
      <c r="H712" s="5"/>
      <c r="I712" s="4"/>
      <c r="J712" s="4"/>
      <c r="K712" s="4"/>
    </row>
    <row r="713" spans="1:11" x14ac:dyDescent="0.25">
      <c r="A713" s="2"/>
      <c r="B713" s="3"/>
      <c r="C713" s="2"/>
      <c r="D713" s="2"/>
      <c r="E713" s="4"/>
      <c r="F713" s="5"/>
      <c r="G713" s="4"/>
      <c r="H713" s="5"/>
      <c r="I713" s="4"/>
      <c r="J713" s="4"/>
      <c r="K713" s="4"/>
    </row>
    <row r="714" spans="1:11" x14ac:dyDescent="0.25">
      <c r="A714" s="2"/>
      <c r="B714" s="3"/>
      <c r="C714" s="2"/>
      <c r="D714" s="2"/>
      <c r="E714" s="4"/>
      <c r="F714" s="5"/>
      <c r="G714" s="4"/>
      <c r="H714" s="5"/>
      <c r="I714" s="4"/>
      <c r="J714" s="4"/>
      <c r="K714" s="4"/>
    </row>
    <row r="715" spans="1:11" x14ac:dyDescent="0.25">
      <c r="A715" s="2"/>
      <c r="B715" s="3"/>
      <c r="C715" s="2"/>
      <c r="D715" s="2"/>
      <c r="E715" s="4"/>
      <c r="F715" s="5"/>
      <c r="G715" s="4"/>
      <c r="H715" s="5"/>
      <c r="I715" s="4"/>
      <c r="J715" s="4"/>
      <c r="K715" s="4"/>
    </row>
    <row r="716" spans="1:11" x14ac:dyDescent="0.25">
      <c r="A716" s="2"/>
      <c r="B716" s="3"/>
      <c r="C716" s="2"/>
      <c r="D716" s="2"/>
      <c r="E716" s="4"/>
      <c r="F716" s="5"/>
      <c r="G716" s="4"/>
      <c r="H716" s="5"/>
      <c r="I716" s="4"/>
      <c r="J716" s="4"/>
      <c r="K716" s="4"/>
    </row>
    <row r="717" spans="1:11" x14ac:dyDescent="0.25">
      <c r="A717" s="2"/>
      <c r="B717" s="3"/>
      <c r="C717" s="2"/>
      <c r="D717" s="2"/>
      <c r="E717" s="4"/>
      <c r="F717" s="5"/>
      <c r="G717" s="4"/>
      <c r="H717" s="5"/>
      <c r="I717" s="4"/>
      <c r="J717" s="4"/>
      <c r="K717" s="4"/>
    </row>
    <row r="718" spans="1:11" x14ac:dyDescent="0.25">
      <c r="A718" s="2"/>
      <c r="B718" s="3"/>
      <c r="C718" s="2"/>
      <c r="D718" s="2"/>
      <c r="E718" s="4"/>
      <c r="F718" s="5"/>
      <c r="G718" s="4"/>
      <c r="H718" s="5"/>
      <c r="I718" s="4"/>
      <c r="J718" s="4"/>
      <c r="K718" s="4"/>
    </row>
    <row r="719" spans="1:11" x14ac:dyDescent="0.25">
      <c r="A719" s="2"/>
      <c r="B719" s="3"/>
      <c r="C719" s="2"/>
      <c r="D719" s="2"/>
      <c r="E719" s="4"/>
      <c r="F719" s="5"/>
      <c r="G719" s="4"/>
      <c r="H719" s="5"/>
      <c r="I719" s="4"/>
      <c r="J719" s="4"/>
      <c r="K719" s="4"/>
    </row>
    <row r="720" spans="1:11" x14ac:dyDescent="0.25">
      <c r="A720" s="2"/>
      <c r="B720" s="3"/>
      <c r="C720" s="2"/>
      <c r="D720" s="2"/>
      <c r="E720" s="4"/>
      <c r="F720" s="5"/>
      <c r="G720" s="4"/>
      <c r="H720" s="5"/>
      <c r="I720" s="4"/>
      <c r="J720" s="4"/>
      <c r="K720" s="4"/>
    </row>
    <row r="721" spans="1:11" x14ac:dyDescent="0.25">
      <c r="A721" s="2"/>
      <c r="B721" s="3"/>
      <c r="C721" s="2"/>
      <c r="D721" s="2"/>
      <c r="E721" s="4"/>
      <c r="F721" s="5"/>
      <c r="G721" s="4"/>
      <c r="H721" s="5"/>
      <c r="I721" s="4"/>
      <c r="J721" s="4"/>
      <c r="K721" s="4"/>
    </row>
    <row r="722" spans="1:11" x14ac:dyDescent="0.25">
      <c r="A722" s="2"/>
      <c r="B722" s="3"/>
      <c r="C722" s="2"/>
      <c r="D722" s="2"/>
      <c r="E722" s="4"/>
      <c r="F722" s="5"/>
      <c r="G722" s="4"/>
      <c r="H722" s="5"/>
      <c r="I722" s="4"/>
      <c r="J722" s="4"/>
      <c r="K722" s="4"/>
    </row>
    <row r="723" spans="1:11" x14ac:dyDescent="0.25">
      <c r="A723" s="2"/>
      <c r="B723" s="3"/>
      <c r="C723" s="2"/>
      <c r="D723" s="2"/>
      <c r="E723" s="4"/>
      <c r="F723" s="5"/>
      <c r="G723" s="4"/>
      <c r="H723" s="5"/>
      <c r="I723" s="4"/>
      <c r="J723" s="4"/>
      <c r="K723" s="4"/>
    </row>
    <row r="724" spans="1:11" x14ac:dyDescent="0.25">
      <c r="A724" s="2"/>
      <c r="B724" s="3"/>
      <c r="C724" s="2"/>
      <c r="D724" s="2"/>
      <c r="E724" s="4"/>
      <c r="F724" s="5"/>
      <c r="G724" s="4"/>
      <c r="H724" s="5"/>
      <c r="I724" s="4"/>
      <c r="J724" s="4"/>
      <c r="K724" s="4"/>
    </row>
    <row r="725" spans="1:11" x14ac:dyDescent="0.25">
      <c r="A725" s="2"/>
      <c r="B725" s="3"/>
      <c r="C725" s="2"/>
      <c r="D725" s="2"/>
      <c r="E725" s="4"/>
      <c r="F725" s="5"/>
      <c r="G725" s="4"/>
      <c r="H725" s="5"/>
      <c r="I725" s="4"/>
      <c r="J725" s="4"/>
      <c r="K725" s="4"/>
    </row>
    <row r="726" spans="1:11" x14ac:dyDescent="0.25">
      <c r="A726" s="2"/>
      <c r="B726" s="3"/>
      <c r="C726" s="2"/>
      <c r="D726" s="2"/>
      <c r="E726" s="4"/>
      <c r="F726" s="5"/>
      <c r="G726" s="4"/>
      <c r="H726" s="5"/>
      <c r="I726" s="4"/>
      <c r="J726" s="4"/>
      <c r="K726" s="4"/>
    </row>
    <row r="727" spans="1:11" x14ac:dyDescent="0.25">
      <c r="A727" s="2"/>
      <c r="B727" s="3"/>
      <c r="C727" s="2"/>
      <c r="D727" s="2"/>
      <c r="E727" s="4"/>
      <c r="F727" s="5"/>
      <c r="G727" s="4"/>
      <c r="H727" s="5"/>
      <c r="I727" s="4"/>
      <c r="J727" s="4"/>
      <c r="K727" s="4"/>
    </row>
    <row r="728" spans="1:11" x14ac:dyDescent="0.25">
      <c r="A728" s="2"/>
      <c r="B728" s="3"/>
      <c r="C728" s="2"/>
      <c r="D728" s="2"/>
      <c r="E728" s="4"/>
      <c r="F728" s="5"/>
      <c r="G728" s="4"/>
      <c r="H728" s="5"/>
      <c r="I728" s="4"/>
      <c r="J728" s="4"/>
      <c r="K728" s="4"/>
    </row>
    <row r="729" spans="1:11" x14ac:dyDescent="0.25">
      <c r="A729" s="2"/>
      <c r="B729" s="3"/>
      <c r="C729" s="2"/>
      <c r="D729" s="2"/>
      <c r="E729" s="4"/>
      <c r="F729" s="5"/>
      <c r="G729" s="4"/>
      <c r="H729" s="5"/>
      <c r="I729" s="4"/>
      <c r="J729" s="4"/>
      <c r="K729" s="4"/>
    </row>
    <row r="730" spans="1:11" x14ac:dyDescent="0.25">
      <c r="A730" s="2"/>
      <c r="B730" s="3"/>
      <c r="C730" s="2"/>
      <c r="D730" s="2"/>
      <c r="E730" s="4"/>
      <c r="F730" s="5"/>
      <c r="G730" s="4"/>
      <c r="H730" s="5"/>
      <c r="I730" s="4"/>
      <c r="J730" s="4"/>
      <c r="K730" s="4"/>
    </row>
    <row r="731" spans="1:11" x14ac:dyDescent="0.25">
      <c r="A731" s="2"/>
      <c r="B731" s="3"/>
      <c r="C731" s="2"/>
      <c r="D731" s="2"/>
      <c r="E731" s="4"/>
      <c r="F731" s="5"/>
      <c r="G731" s="4"/>
      <c r="H731" s="5"/>
      <c r="I731" s="4"/>
      <c r="J731" s="4"/>
      <c r="K731" s="4"/>
    </row>
    <row r="732" spans="1:11" x14ac:dyDescent="0.25">
      <c r="A732" s="2"/>
      <c r="B732" s="3"/>
      <c r="C732" s="2"/>
      <c r="D732" s="2"/>
      <c r="E732" s="4"/>
      <c r="F732" s="5"/>
      <c r="G732" s="4"/>
      <c r="H732" s="5"/>
      <c r="I732" s="4"/>
      <c r="J732" s="4"/>
      <c r="K732" s="4"/>
    </row>
    <row r="733" spans="1:11" x14ac:dyDescent="0.25">
      <c r="A733" s="2"/>
      <c r="B733" s="3"/>
      <c r="C733" s="2"/>
      <c r="D733" s="2"/>
      <c r="E733" s="4"/>
      <c r="F733" s="5"/>
      <c r="G733" s="4"/>
      <c r="H733" s="5"/>
      <c r="I733" s="4"/>
      <c r="J733" s="4"/>
      <c r="K733" s="4"/>
    </row>
    <row r="734" spans="1:11" x14ac:dyDescent="0.25">
      <c r="A734" s="2"/>
      <c r="B734" s="3"/>
      <c r="C734" s="2"/>
      <c r="D734" s="2"/>
      <c r="E734" s="4"/>
      <c r="F734" s="5"/>
      <c r="G734" s="4"/>
      <c r="H734" s="5"/>
      <c r="I734" s="4"/>
      <c r="J734" s="4"/>
      <c r="K734" s="4"/>
    </row>
    <row r="735" spans="1:11" x14ac:dyDescent="0.25">
      <c r="A735" s="2"/>
      <c r="B735" s="3"/>
      <c r="C735" s="2"/>
      <c r="D735" s="2"/>
      <c r="E735" s="4"/>
      <c r="F735" s="5"/>
      <c r="G735" s="4"/>
      <c r="H735" s="5"/>
      <c r="I735" s="4"/>
      <c r="J735" s="4"/>
      <c r="K735" s="4"/>
    </row>
    <row r="736" spans="1:11" x14ac:dyDescent="0.25">
      <c r="A736" s="2"/>
      <c r="B736" s="3"/>
      <c r="C736" s="2"/>
      <c r="D736" s="2"/>
      <c r="E736" s="4"/>
      <c r="F736" s="5"/>
      <c r="G736" s="4"/>
      <c r="H736" s="5"/>
      <c r="I736" s="4"/>
      <c r="J736" s="4"/>
      <c r="K736" s="4"/>
    </row>
    <row r="737" spans="1:11" x14ac:dyDescent="0.25">
      <c r="A737" s="2"/>
      <c r="B737" s="3"/>
      <c r="C737" s="2"/>
      <c r="D737" s="2"/>
      <c r="E737" s="4"/>
      <c r="F737" s="5"/>
      <c r="G737" s="4"/>
      <c r="H737" s="5"/>
      <c r="I737" s="4"/>
      <c r="J737" s="4"/>
      <c r="K737" s="4"/>
    </row>
    <row r="738" spans="1:11" x14ac:dyDescent="0.25">
      <c r="A738" s="2"/>
      <c r="B738" s="3"/>
      <c r="C738" s="2"/>
      <c r="D738" s="2"/>
      <c r="E738" s="4"/>
      <c r="F738" s="5"/>
      <c r="G738" s="4"/>
      <c r="H738" s="5"/>
      <c r="I738" s="4"/>
      <c r="J738" s="4"/>
      <c r="K738" s="4"/>
    </row>
    <row r="739" spans="1:11" x14ac:dyDescent="0.25">
      <c r="A739" s="2"/>
      <c r="B739" s="3"/>
      <c r="C739" s="2"/>
      <c r="D739" s="2"/>
      <c r="E739" s="4"/>
      <c r="F739" s="5"/>
      <c r="G739" s="4"/>
      <c r="H739" s="5"/>
      <c r="I739" s="4"/>
      <c r="J739" s="4"/>
      <c r="K739" s="4"/>
    </row>
    <row r="740" spans="1:11" x14ac:dyDescent="0.25">
      <c r="A740" s="2"/>
      <c r="B740" s="3"/>
      <c r="C740" s="2"/>
      <c r="D740" s="2"/>
      <c r="E740" s="4"/>
      <c r="F740" s="5"/>
      <c r="G740" s="4"/>
      <c r="H740" s="5"/>
      <c r="I740" s="4"/>
      <c r="J740" s="4"/>
      <c r="K740" s="4"/>
    </row>
    <row r="741" spans="1:11" x14ac:dyDescent="0.25">
      <c r="A741" s="2"/>
      <c r="B741" s="3"/>
      <c r="C741" s="2"/>
      <c r="D741" s="2"/>
      <c r="E741" s="4"/>
      <c r="F741" s="5"/>
      <c r="G741" s="4"/>
      <c r="H741" s="5"/>
      <c r="I741" s="4"/>
      <c r="J741" s="4"/>
      <c r="K741" s="4"/>
    </row>
    <row r="742" spans="1:11" x14ac:dyDescent="0.25">
      <c r="A742" s="2"/>
      <c r="B742" s="3"/>
      <c r="C742" s="2"/>
      <c r="D742" s="2"/>
      <c r="E742" s="4"/>
      <c r="F742" s="5"/>
      <c r="G742" s="4"/>
      <c r="H742" s="5"/>
      <c r="I742" s="4"/>
      <c r="J742" s="4"/>
      <c r="K742" s="4"/>
    </row>
    <row r="743" spans="1:11" x14ac:dyDescent="0.25">
      <c r="A743" s="2"/>
      <c r="B743" s="3"/>
      <c r="C743" s="2"/>
      <c r="D743" s="2"/>
      <c r="E743" s="4"/>
      <c r="F743" s="5"/>
      <c r="G743" s="4"/>
      <c r="H743" s="5"/>
      <c r="I743" s="4"/>
      <c r="J743" s="4"/>
      <c r="K743" s="4"/>
    </row>
    <row r="744" spans="1:11" x14ac:dyDescent="0.25">
      <c r="A744" s="2"/>
      <c r="B744" s="3"/>
      <c r="C744" s="2"/>
      <c r="D744" s="2"/>
      <c r="E744" s="4"/>
      <c r="F744" s="5"/>
      <c r="G744" s="4"/>
      <c r="H744" s="5"/>
      <c r="I744" s="4"/>
      <c r="J744" s="4"/>
      <c r="K744" s="4"/>
    </row>
    <row r="745" spans="1:11" x14ac:dyDescent="0.25">
      <c r="A745" s="2"/>
      <c r="B745" s="3"/>
      <c r="C745" s="2"/>
      <c r="D745" s="2"/>
      <c r="E745" s="4"/>
      <c r="F745" s="5"/>
      <c r="G745" s="4"/>
      <c r="H745" s="5"/>
      <c r="I745" s="4"/>
      <c r="J745" s="4"/>
      <c r="K745" s="4"/>
    </row>
    <row r="746" spans="1:11" x14ac:dyDescent="0.25">
      <c r="A746" s="2"/>
      <c r="B746" s="3"/>
      <c r="C746" s="2"/>
      <c r="D746" s="2"/>
      <c r="E746" s="4"/>
      <c r="F746" s="5"/>
      <c r="G746" s="4"/>
      <c r="H746" s="5"/>
      <c r="I746" s="4"/>
      <c r="J746" s="4"/>
      <c r="K746" s="4"/>
    </row>
    <row r="747" spans="1:11" x14ac:dyDescent="0.25">
      <c r="A747" s="2"/>
      <c r="B747" s="3"/>
      <c r="C747" s="2"/>
      <c r="D747" s="2"/>
      <c r="E747" s="4"/>
      <c r="F747" s="5"/>
      <c r="G747" s="4"/>
      <c r="H747" s="5"/>
      <c r="I747" s="4"/>
      <c r="J747" s="4"/>
      <c r="K747" s="4"/>
    </row>
    <row r="748" spans="1:11" x14ac:dyDescent="0.25">
      <c r="A748" s="2"/>
      <c r="B748" s="3"/>
      <c r="C748" s="2"/>
      <c r="D748" s="2"/>
      <c r="E748" s="4"/>
      <c r="F748" s="5"/>
      <c r="G748" s="4"/>
      <c r="H748" s="5"/>
      <c r="I748" s="4"/>
      <c r="J748" s="4"/>
      <c r="K748" s="4"/>
    </row>
    <row r="749" spans="1:11" x14ac:dyDescent="0.25">
      <c r="A749" s="2"/>
      <c r="B749" s="3"/>
      <c r="C749" s="2"/>
      <c r="D749" s="2"/>
      <c r="E749" s="4"/>
      <c r="F749" s="5"/>
      <c r="G749" s="4"/>
      <c r="H749" s="5"/>
      <c r="I749" s="4"/>
      <c r="J749" s="4"/>
      <c r="K749" s="4"/>
    </row>
    <row r="750" spans="1:11" x14ac:dyDescent="0.25">
      <c r="A750" s="2"/>
      <c r="B750" s="3"/>
      <c r="C750" s="2"/>
      <c r="D750" s="2"/>
      <c r="E750" s="4"/>
      <c r="F750" s="5"/>
      <c r="G750" s="4"/>
      <c r="H750" s="5"/>
      <c r="I750" s="4"/>
      <c r="J750" s="4"/>
      <c r="K750" s="4"/>
    </row>
    <row r="751" spans="1:11" x14ac:dyDescent="0.25">
      <c r="A751" s="2"/>
      <c r="B751" s="3"/>
      <c r="C751" s="2"/>
      <c r="D751" s="2"/>
      <c r="E751" s="4"/>
      <c r="F751" s="5"/>
      <c r="G751" s="4"/>
      <c r="H751" s="5"/>
      <c r="I751" s="4"/>
      <c r="J751" s="4"/>
      <c r="K751" s="4"/>
    </row>
    <row r="752" spans="1:11" x14ac:dyDescent="0.25">
      <c r="A752" s="2"/>
      <c r="B752" s="3"/>
      <c r="C752" s="2"/>
      <c r="D752" s="2"/>
      <c r="E752" s="4"/>
      <c r="F752" s="5"/>
      <c r="G752" s="4"/>
      <c r="H752" s="5"/>
      <c r="I752" s="4"/>
      <c r="J752" s="4"/>
      <c r="K752" s="4"/>
    </row>
    <row r="753" spans="1:11" x14ac:dyDescent="0.25">
      <c r="A753" s="2"/>
      <c r="B753" s="3"/>
      <c r="C753" s="2"/>
      <c r="D753" s="2"/>
      <c r="E753" s="4"/>
      <c r="F753" s="5"/>
      <c r="G753" s="4"/>
      <c r="H753" s="5"/>
      <c r="I753" s="4"/>
      <c r="J753" s="4"/>
      <c r="K753" s="4"/>
    </row>
    <row r="754" spans="1:11" x14ac:dyDescent="0.25">
      <c r="A754" s="2"/>
      <c r="B754" s="3"/>
      <c r="C754" s="2"/>
      <c r="D754" s="2"/>
      <c r="E754" s="4"/>
      <c r="F754" s="5"/>
      <c r="G754" s="4"/>
      <c r="H754" s="5"/>
      <c r="I754" s="4"/>
      <c r="J754" s="4"/>
      <c r="K754" s="4"/>
    </row>
    <row r="755" spans="1:11" x14ac:dyDescent="0.25">
      <c r="A755" s="2"/>
      <c r="B755" s="3"/>
      <c r="C755" s="2"/>
      <c r="D755" s="2"/>
      <c r="E755" s="4"/>
      <c r="F755" s="5"/>
      <c r="G755" s="4"/>
      <c r="H755" s="5"/>
      <c r="I755" s="4"/>
      <c r="J755" s="4"/>
      <c r="K755" s="4"/>
    </row>
    <row r="756" spans="1:11" x14ac:dyDescent="0.25">
      <c r="A756" s="2"/>
      <c r="B756" s="3"/>
      <c r="C756" s="2"/>
      <c r="D756" s="2"/>
      <c r="E756" s="4"/>
      <c r="F756" s="5"/>
      <c r="G756" s="4"/>
      <c r="H756" s="5"/>
      <c r="I756" s="4"/>
      <c r="J756" s="4"/>
      <c r="K756" s="4"/>
    </row>
    <row r="757" spans="1:11" x14ac:dyDescent="0.25">
      <c r="A757" s="2"/>
      <c r="B757" s="3"/>
      <c r="C757" s="2"/>
      <c r="D757" s="2"/>
      <c r="E757" s="4"/>
      <c r="F757" s="5"/>
      <c r="G757" s="4"/>
      <c r="H757" s="5"/>
      <c r="I757" s="4"/>
      <c r="J757" s="4"/>
      <c r="K757" s="4"/>
    </row>
    <row r="758" spans="1:11" x14ac:dyDescent="0.25">
      <c r="A758" s="2"/>
      <c r="B758" s="3"/>
      <c r="C758" s="2"/>
      <c r="D758" s="2"/>
      <c r="E758" s="4"/>
      <c r="F758" s="5"/>
      <c r="G758" s="4"/>
      <c r="H758" s="5"/>
      <c r="I758" s="4"/>
      <c r="J758" s="4"/>
      <c r="K758" s="4"/>
    </row>
    <row r="759" spans="1:11" x14ac:dyDescent="0.25">
      <c r="A759" s="2"/>
      <c r="B759" s="3"/>
      <c r="C759" s="2"/>
      <c r="D759" s="2"/>
      <c r="E759" s="4"/>
      <c r="F759" s="5"/>
      <c r="G759" s="4"/>
      <c r="H759" s="5"/>
      <c r="I759" s="4"/>
      <c r="J759" s="4"/>
      <c r="K759" s="4"/>
    </row>
    <row r="760" spans="1:11" x14ac:dyDescent="0.25">
      <c r="A760" s="2"/>
      <c r="B760" s="3"/>
      <c r="C760" s="2"/>
      <c r="D760" s="2"/>
      <c r="E760" s="4"/>
      <c r="F760" s="5"/>
      <c r="G760" s="4"/>
      <c r="H760" s="5"/>
      <c r="I760" s="4"/>
      <c r="J760" s="4"/>
      <c r="K760" s="4"/>
    </row>
    <row r="761" spans="1:11" x14ac:dyDescent="0.25">
      <c r="A761" s="2"/>
      <c r="B761" s="3"/>
      <c r="C761" s="2"/>
      <c r="D761" s="2"/>
      <c r="E761" s="4"/>
      <c r="F761" s="5"/>
      <c r="G761" s="4"/>
      <c r="H761" s="5"/>
      <c r="I761" s="4"/>
      <c r="J761" s="4"/>
      <c r="K761" s="4"/>
    </row>
    <row r="762" spans="1:11" x14ac:dyDescent="0.25">
      <c r="A762" s="2"/>
      <c r="B762" s="3"/>
      <c r="C762" s="2"/>
      <c r="D762" s="2"/>
      <c r="E762" s="4"/>
      <c r="F762" s="5"/>
      <c r="G762" s="4"/>
      <c r="H762" s="5"/>
      <c r="I762" s="4"/>
      <c r="J762" s="4"/>
      <c r="K762" s="4"/>
    </row>
    <row r="763" spans="1:11" x14ac:dyDescent="0.25">
      <c r="A763" s="2"/>
      <c r="B763" s="3"/>
      <c r="C763" s="2"/>
      <c r="D763" s="2"/>
      <c r="E763" s="4"/>
      <c r="F763" s="5"/>
      <c r="G763" s="4"/>
      <c r="H763" s="5"/>
      <c r="I763" s="4"/>
      <c r="J763" s="4"/>
      <c r="K763" s="4"/>
    </row>
    <row r="764" spans="1:11" x14ac:dyDescent="0.25">
      <c r="A764" s="2"/>
      <c r="B764" s="3"/>
      <c r="C764" s="2"/>
      <c r="D764" s="2"/>
      <c r="E764" s="4"/>
      <c r="F764" s="5"/>
      <c r="G764" s="4"/>
      <c r="H764" s="5"/>
      <c r="I764" s="4"/>
      <c r="J764" s="4"/>
      <c r="K764" s="4"/>
    </row>
    <row r="765" spans="1:11" x14ac:dyDescent="0.25">
      <c r="A765" s="2"/>
      <c r="B765" s="3"/>
      <c r="C765" s="2"/>
      <c r="D765" s="2"/>
      <c r="E765" s="4"/>
      <c r="F765" s="5"/>
      <c r="G765" s="4"/>
      <c r="H765" s="5"/>
      <c r="I765" s="4"/>
      <c r="J765" s="4"/>
      <c r="K765" s="4"/>
    </row>
    <row r="766" spans="1:11" x14ac:dyDescent="0.25">
      <c r="A766" s="2"/>
      <c r="B766" s="3"/>
      <c r="C766" s="2"/>
      <c r="D766" s="2"/>
      <c r="E766" s="4"/>
      <c r="F766" s="5"/>
      <c r="G766" s="4"/>
      <c r="H766" s="5"/>
      <c r="I766" s="4"/>
      <c r="J766" s="4"/>
      <c r="K766" s="4"/>
    </row>
    <row r="767" spans="1:11" x14ac:dyDescent="0.25">
      <c r="A767" s="2"/>
      <c r="B767" s="3"/>
      <c r="C767" s="2"/>
      <c r="D767" s="2"/>
      <c r="E767" s="4"/>
      <c r="F767" s="5"/>
      <c r="G767" s="4"/>
      <c r="H767" s="5"/>
      <c r="I767" s="4"/>
      <c r="J767" s="4"/>
      <c r="K767" s="4"/>
    </row>
    <row r="768" spans="1:11" x14ac:dyDescent="0.25">
      <c r="A768" s="2"/>
      <c r="B768" s="3"/>
      <c r="C768" s="2"/>
      <c r="D768" s="2"/>
      <c r="E768" s="4"/>
      <c r="F768" s="5"/>
      <c r="G768" s="4"/>
      <c r="H768" s="5"/>
      <c r="I768" s="4"/>
      <c r="J768" s="4"/>
      <c r="K768" s="4"/>
    </row>
    <row r="769" spans="1:11" x14ac:dyDescent="0.25">
      <c r="A769" s="2"/>
      <c r="B769" s="3"/>
      <c r="C769" s="2"/>
      <c r="D769" s="2"/>
      <c r="E769" s="4"/>
      <c r="F769" s="5"/>
      <c r="G769" s="4"/>
      <c r="H769" s="5"/>
      <c r="I769" s="4"/>
      <c r="J769" s="4"/>
      <c r="K769" s="4"/>
    </row>
    <row r="770" spans="1:11" x14ac:dyDescent="0.25">
      <c r="A770" s="2"/>
      <c r="B770" s="3"/>
      <c r="C770" s="2"/>
      <c r="D770" s="2"/>
      <c r="E770" s="4"/>
      <c r="F770" s="5"/>
      <c r="G770" s="4"/>
      <c r="H770" s="5"/>
      <c r="I770" s="4"/>
      <c r="J770" s="4"/>
      <c r="K770" s="4"/>
    </row>
    <row r="771" spans="1:11" x14ac:dyDescent="0.25">
      <c r="A771" s="2"/>
      <c r="B771" s="3"/>
      <c r="C771" s="2"/>
      <c r="D771" s="2"/>
      <c r="E771" s="4"/>
      <c r="F771" s="5"/>
      <c r="G771" s="4"/>
      <c r="H771" s="5"/>
      <c r="I771" s="4"/>
      <c r="J771" s="4"/>
      <c r="K771" s="4"/>
    </row>
    <row r="772" spans="1:11" x14ac:dyDescent="0.25">
      <c r="A772" s="2"/>
      <c r="B772" s="3"/>
      <c r="C772" s="2"/>
      <c r="D772" s="2"/>
      <c r="E772" s="4"/>
      <c r="F772" s="5"/>
      <c r="G772" s="4"/>
      <c r="H772" s="5"/>
      <c r="I772" s="4"/>
      <c r="J772" s="4"/>
      <c r="K772" s="4"/>
    </row>
    <row r="773" spans="1:11" x14ac:dyDescent="0.25">
      <c r="A773" s="2"/>
      <c r="B773" s="3"/>
      <c r="C773" s="2"/>
      <c r="D773" s="2"/>
      <c r="E773" s="4"/>
      <c r="F773" s="5"/>
      <c r="G773" s="4"/>
      <c r="H773" s="5"/>
      <c r="I773" s="4"/>
      <c r="J773" s="4"/>
      <c r="K773" s="4"/>
    </row>
    <row r="774" spans="1:11" x14ac:dyDescent="0.25">
      <c r="A774" s="2"/>
      <c r="B774" s="3"/>
      <c r="C774" s="2"/>
      <c r="D774" s="2"/>
      <c r="E774" s="4"/>
      <c r="F774" s="5"/>
      <c r="G774" s="4"/>
      <c r="H774" s="5"/>
      <c r="I774" s="4"/>
      <c r="J774" s="4"/>
      <c r="K774" s="4"/>
    </row>
    <row r="775" spans="1:11" x14ac:dyDescent="0.25">
      <c r="A775" s="2"/>
      <c r="B775" s="3"/>
      <c r="C775" s="2"/>
      <c r="D775" s="2"/>
      <c r="E775" s="4"/>
      <c r="F775" s="5"/>
      <c r="G775" s="4"/>
      <c r="H775" s="5"/>
      <c r="I775" s="4"/>
      <c r="J775" s="4"/>
      <c r="K775" s="4"/>
    </row>
    <row r="776" spans="1:11" x14ac:dyDescent="0.25">
      <c r="A776" s="2"/>
      <c r="B776" s="3"/>
      <c r="C776" s="2"/>
      <c r="D776" s="2"/>
      <c r="E776" s="4"/>
      <c r="F776" s="5"/>
      <c r="G776" s="4"/>
      <c r="H776" s="5"/>
      <c r="I776" s="4"/>
      <c r="J776" s="4"/>
      <c r="K776" s="4"/>
    </row>
    <row r="777" spans="1:11" x14ac:dyDescent="0.25">
      <c r="A777" s="2"/>
      <c r="B777" s="3"/>
      <c r="C777" s="2"/>
      <c r="D777" s="2"/>
      <c r="E777" s="4"/>
      <c r="F777" s="5"/>
      <c r="G777" s="4"/>
      <c r="H777" s="5"/>
      <c r="I777" s="4"/>
      <c r="J777" s="4"/>
      <c r="K777" s="4"/>
    </row>
    <row r="778" spans="1:11" x14ac:dyDescent="0.25">
      <c r="A778" s="2"/>
      <c r="B778" s="3"/>
      <c r="C778" s="2"/>
      <c r="D778" s="2"/>
      <c r="E778" s="4"/>
      <c r="F778" s="5"/>
      <c r="G778" s="4"/>
      <c r="H778" s="5"/>
      <c r="I778" s="4"/>
      <c r="J778" s="4"/>
      <c r="K778" s="4"/>
    </row>
    <row r="779" spans="1:11" x14ac:dyDescent="0.25">
      <c r="A779" s="2"/>
      <c r="B779" s="3"/>
      <c r="C779" s="2"/>
      <c r="D779" s="2"/>
      <c r="E779" s="4"/>
      <c r="F779" s="5"/>
      <c r="G779" s="4"/>
      <c r="H779" s="5"/>
      <c r="I779" s="4"/>
      <c r="J779" s="4"/>
      <c r="K779" s="4"/>
    </row>
    <row r="780" spans="1:11" x14ac:dyDescent="0.25">
      <c r="A780" s="2"/>
      <c r="B780" s="3"/>
      <c r="C780" s="2"/>
      <c r="D780" s="2"/>
      <c r="E780" s="4"/>
      <c r="F780" s="5"/>
      <c r="G780" s="4"/>
      <c r="H780" s="5"/>
      <c r="I780" s="4"/>
      <c r="J780" s="4"/>
      <c r="K780" s="4"/>
    </row>
    <row r="781" spans="1:11" x14ac:dyDescent="0.25">
      <c r="A781" s="2"/>
      <c r="B781" s="3"/>
      <c r="C781" s="2"/>
      <c r="D781" s="2"/>
      <c r="E781" s="4"/>
      <c r="F781" s="5"/>
      <c r="G781" s="4"/>
      <c r="H781" s="5"/>
      <c r="I781" s="4"/>
      <c r="J781" s="4"/>
      <c r="K781" s="4"/>
    </row>
    <row r="782" spans="1:11" x14ac:dyDescent="0.25">
      <c r="A782" s="2"/>
      <c r="B782" s="3"/>
      <c r="C782" s="2"/>
      <c r="D782" s="2"/>
      <c r="E782" s="4"/>
      <c r="F782" s="5"/>
      <c r="G782" s="4"/>
      <c r="H782" s="5"/>
      <c r="I782" s="4"/>
      <c r="J782" s="4"/>
      <c r="K782" s="4"/>
    </row>
    <row r="783" spans="1:11" x14ac:dyDescent="0.25">
      <c r="A783" s="2"/>
      <c r="B783" s="3"/>
      <c r="C783" s="2"/>
      <c r="D783" s="2"/>
      <c r="E783" s="4"/>
      <c r="F783" s="5"/>
      <c r="G783" s="4"/>
      <c r="H783" s="5"/>
      <c r="I783" s="4"/>
      <c r="J783" s="4"/>
      <c r="K783" s="4"/>
    </row>
    <row r="784" spans="1:11" x14ac:dyDescent="0.25">
      <c r="A784" s="2"/>
      <c r="B784" s="3"/>
      <c r="C784" s="2"/>
      <c r="D784" s="2"/>
      <c r="E784" s="4"/>
      <c r="F784" s="5"/>
      <c r="G784" s="4"/>
      <c r="H784" s="5"/>
      <c r="I784" s="4"/>
      <c r="J784" s="4"/>
      <c r="K784" s="4"/>
    </row>
    <row r="785" spans="1:11" x14ac:dyDescent="0.25">
      <c r="A785" s="2"/>
      <c r="B785" s="3"/>
      <c r="C785" s="2"/>
      <c r="D785" s="2"/>
      <c r="E785" s="4"/>
      <c r="F785" s="5"/>
      <c r="G785" s="4"/>
      <c r="H785" s="5"/>
      <c r="I785" s="4"/>
      <c r="J785" s="4"/>
      <c r="K785" s="4"/>
    </row>
    <row r="786" spans="1:11" x14ac:dyDescent="0.25">
      <c r="A786" s="2"/>
      <c r="B786" s="3"/>
      <c r="C786" s="2"/>
      <c r="D786" s="2"/>
      <c r="E786" s="4"/>
      <c r="F786" s="5"/>
      <c r="G786" s="4"/>
      <c r="H786" s="5"/>
      <c r="I786" s="4"/>
      <c r="J786" s="4"/>
      <c r="K786" s="4"/>
    </row>
    <row r="787" spans="1:11" x14ac:dyDescent="0.25">
      <c r="A787" s="2"/>
      <c r="B787" s="3"/>
      <c r="C787" s="2"/>
      <c r="D787" s="2"/>
      <c r="E787" s="4"/>
      <c r="F787" s="5"/>
      <c r="G787" s="4"/>
      <c r="H787" s="5"/>
      <c r="I787" s="4"/>
      <c r="J787" s="4"/>
      <c r="K787" s="4"/>
    </row>
    <row r="788" spans="1:11" x14ac:dyDescent="0.25">
      <c r="A788" s="2"/>
      <c r="B788" s="3"/>
      <c r="C788" s="2"/>
      <c r="D788" s="2"/>
      <c r="E788" s="4"/>
      <c r="F788" s="5"/>
      <c r="G788" s="4"/>
      <c r="H788" s="5"/>
      <c r="I788" s="4"/>
      <c r="J788" s="4"/>
      <c r="K788" s="4"/>
    </row>
    <row r="789" spans="1:11" x14ac:dyDescent="0.25">
      <c r="A789" s="2"/>
      <c r="B789" s="3"/>
      <c r="C789" s="2"/>
      <c r="D789" s="2"/>
      <c r="E789" s="4"/>
      <c r="F789" s="5"/>
      <c r="G789" s="4"/>
      <c r="H789" s="5"/>
      <c r="I789" s="4"/>
      <c r="J789" s="4"/>
      <c r="K789" s="4"/>
    </row>
    <row r="790" spans="1:11" x14ac:dyDescent="0.25">
      <c r="A790" s="2"/>
      <c r="B790" s="3"/>
      <c r="C790" s="2"/>
      <c r="D790" s="2"/>
      <c r="E790" s="4"/>
      <c r="F790" s="5"/>
      <c r="G790" s="4"/>
      <c r="H790" s="5"/>
      <c r="I790" s="4"/>
      <c r="J790" s="4"/>
      <c r="K790" s="4"/>
    </row>
    <row r="791" spans="1:11" x14ac:dyDescent="0.25">
      <c r="A791" s="2"/>
      <c r="B791" s="3"/>
      <c r="C791" s="2"/>
      <c r="D791" s="2"/>
      <c r="E791" s="4"/>
      <c r="F791" s="5"/>
      <c r="G791" s="4"/>
      <c r="H791" s="5"/>
      <c r="I791" s="4"/>
      <c r="J791" s="4"/>
      <c r="K791" s="4"/>
    </row>
    <row r="792" spans="1:11" x14ac:dyDescent="0.25">
      <c r="A792" s="2"/>
      <c r="B792" s="3"/>
      <c r="C792" s="2"/>
      <c r="D792" s="2"/>
      <c r="E792" s="4"/>
      <c r="F792" s="5"/>
      <c r="G792" s="4"/>
      <c r="H792" s="5"/>
      <c r="I792" s="4"/>
      <c r="J792" s="4"/>
      <c r="K792" s="4"/>
    </row>
    <row r="793" spans="1:11" x14ac:dyDescent="0.25">
      <c r="A793" s="2"/>
      <c r="B793" s="3"/>
      <c r="C793" s="2"/>
      <c r="D793" s="2"/>
      <c r="E793" s="4"/>
      <c r="F793" s="5"/>
      <c r="G793" s="4"/>
      <c r="H793" s="5"/>
      <c r="I793" s="4"/>
      <c r="J793" s="4"/>
      <c r="K793" s="4"/>
    </row>
    <row r="794" spans="1:11" x14ac:dyDescent="0.25">
      <c r="A794" s="2"/>
      <c r="B794" s="3"/>
      <c r="C794" s="2"/>
      <c r="D794" s="2"/>
      <c r="E794" s="4"/>
      <c r="F794" s="5"/>
      <c r="G794" s="4"/>
      <c r="H794" s="5"/>
      <c r="I794" s="4"/>
      <c r="J794" s="4"/>
      <c r="K794" s="4"/>
    </row>
    <row r="795" spans="1:11" x14ac:dyDescent="0.25">
      <c r="A795" s="2"/>
      <c r="B795" s="3"/>
      <c r="C795" s="2"/>
      <c r="D795" s="2"/>
      <c r="E795" s="4"/>
      <c r="F795" s="5"/>
      <c r="G795" s="4"/>
      <c r="H795" s="5"/>
      <c r="I795" s="4"/>
      <c r="J795" s="4"/>
      <c r="K795" s="4"/>
    </row>
    <row r="796" spans="1:11" x14ac:dyDescent="0.25">
      <c r="A796" s="2"/>
      <c r="B796" s="3"/>
      <c r="C796" s="2"/>
      <c r="D796" s="2"/>
      <c r="E796" s="4"/>
      <c r="F796" s="5"/>
      <c r="G796" s="4"/>
      <c r="H796" s="5"/>
      <c r="I796" s="4"/>
      <c r="J796" s="4"/>
      <c r="K796" s="4"/>
    </row>
    <row r="797" spans="1:11" x14ac:dyDescent="0.25">
      <c r="A797" s="2"/>
      <c r="B797" s="3"/>
      <c r="C797" s="2"/>
      <c r="D797" s="2"/>
      <c r="E797" s="4"/>
      <c r="F797" s="5"/>
      <c r="G797" s="4"/>
      <c r="H797" s="5"/>
      <c r="I797" s="4"/>
      <c r="J797" s="4"/>
      <c r="K797" s="4"/>
    </row>
    <row r="798" spans="1:11" x14ac:dyDescent="0.25">
      <c r="A798" s="2"/>
      <c r="B798" s="3"/>
      <c r="C798" s="2"/>
      <c r="D798" s="2"/>
      <c r="E798" s="4"/>
      <c r="F798" s="5"/>
      <c r="G798" s="4"/>
      <c r="H798" s="5"/>
      <c r="I798" s="4"/>
      <c r="J798" s="4"/>
      <c r="K798" s="4"/>
    </row>
    <row r="799" spans="1:11" x14ac:dyDescent="0.25">
      <c r="A799" s="2"/>
      <c r="B799" s="3"/>
      <c r="C799" s="2"/>
      <c r="D799" s="2"/>
      <c r="E799" s="4"/>
      <c r="F799" s="5"/>
      <c r="G799" s="4"/>
      <c r="H799" s="5"/>
      <c r="I799" s="4"/>
      <c r="J799" s="4"/>
      <c r="K799" s="4"/>
    </row>
    <row r="800" spans="1:11" x14ac:dyDescent="0.25">
      <c r="A800" s="2"/>
      <c r="B800" s="3"/>
      <c r="C800" s="2"/>
      <c r="D800" s="2"/>
      <c r="E800" s="4"/>
      <c r="F800" s="5"/>
      <c r="G800" s="4"/>
      <c r="H800" s="5"/>
      <c r="I800" s="4"/>
      <c r="J800" s="4"/>
      <c r="K800" s="4"/>
    </row>
    <row r="801" spans="1:11" x14ac:dyDescent="0.25">
      <c r="A801" s="2"/>
      <c r="B801" s="3"/>
      <c r="C801" s="2"/>
      <c r="D801" s="2"/>
      <c r="E801" s="4"/>
      <c r="F801" s="5"/>
      <c r="G801" s="4"/>
      <c r="H801" s="5"/>
      <c r="I801" s="4"/>
      <c r="J801" s="4"/>
      <c r="K801" s="4"/>
    </row>
    <row r="802" spans="1:11" x14ac:dyDescent="0.25">
      <c r="A802" s="2"/>
      <c r="B802" s="3"/>
      <c r="C802" s="2"/>
      <c r="D802" s="2"/>
      <c r="E802" s="4"/>
      <c r="F802" s="5"/>
      <c r="G802" s="4"/>
      <c r="H802" s="5"/>
      <c r="I802" s="4"/>
      <c r="J802" s="4"/>
      <c r="K802" s="4"/>
    </row>
    <row r="803" spans="1:11" x14ac:dyDescent="0.25">
      <c r="A803" s="2"/>
      <c r="B803" s="3"/>
      <c r="C803" s="2"/>
      <c r="D803" s="2"/>
      <c r="E803" s="4"/>
      <c r="F803" s="5"/>
      <c r="G803" s="4"/>
      <c r="H803" s="5"/>
      <c r="I803" s="4"/>
      <c r="J803" s="4"/>
      <c r="K803" s="4"/>
    </row>
    <row r="804" spans="1:11" x14ac:dyDescent="0.25">
      <c r="A804" s="2"/>
      <c r="B804" s="3"/>
      <c r="C804" s="2"/>
      <c r="D804" s="2"/>
      <c r="E804" s="4"/>
      <c r="F804" s="5"/>
      <c r="G804" s="4"/>
      <c r="H804" s="5"/>
      <c r="I804" s="4"/>
      <c r="J804" s="4"/>
      <c r="K804" s="4"/>
    </row>
    <row r="805" spans="1:11" x14ac:dyDescent="0.25">
      <c r="A805" s="2"/>
      <c r="B805" s="3"/>
      <c r="C805" s="2"/>
      <c r="D805" s="2"/>
      <c r="E805" s="4"/>
      <c r="F805" s="5"/>
      <c r="G805" s="4"/>
      <c r="H805" s="5"/>
      <c r="I805" s="4"/>
      <c r="J805" s="4"/>
      <c r="K805" s="4"/>
    </row>
    <row r="806" spans="1:11" x14ac:dyDescent="0.25">
      <c r="A806" s="2"/>
      <c r="B806" s="3"/>
      <c r="C806" s="2"/>
      <c r="D806" s="2"/>
      <c r="E806" s="4"/>
      <c r="F806" s="5"/>
      <c r="G806" s="4"/>
      <c r="H806" s="5"/>
      <c r="I806" s="4"/>
      <c r="J806" s="4"/>
      <c r="K806" s="4"/>
    </row>
    <row r="807" spans="1:11" x14ac:dyDescent="0.25">
      <c r="A807" s="2"/>
      <c r="B807" s="3"/>
      <c r="C807" s="2"/>
      <c r="D807" s="2"/>
      <c r="E807" s="4"/>
      <c r="F807" s="5"/>
      <c r="G807" s="4"/>
      <c r="H807" s="5"/>
      <c r="I807" s="4"/>
      <c r="J807" s="4"/>
      <c r="K807" s="4"/>
    </row>
    <row r="808" spans="1:11" x14ac:dyDescent="0.25">
      <c r="A808" s="2"/>
      <c r="B808" s="3"/>
      <c r="C808" s="2"/>
      <c r="D808" s="2"/>
      <c r="E808" s="4"/>
      <c r="F808" s="5"/>
      <c r="G808" s="4"/>
      <c r="H808" s="5"/>
      <c r="I808" s="4"/>
      <c r="J808" s="4"/>
      <c r="K808" s="4"/>
    </row>
    <row r="809" spans="1:11" x14ac:dyDescent="0.25">
      <c r="A809" s="2"/>
      <c r="B809" s="3"/>
      <c r="C809" s="2"/>
      <c r="D809" s="2"/>
      <c r="E809" s="4"/>
      <c r="F809" s="5"/>
      <c r="G809" s="4"/>
      <c r="H809" s="5"/>
      <c r="I809" s="4"/>
      <c r="J809" s="4"/>
      <c r="K809" s="4"/>
    </row>
    <row r="810" spans="1:11" x14ac:dyDescent="0.25">
      <c r="A810" s="2"/>
      <c r="B810" s="3"/>
      <c r="C810" s="2"/>
      <c r="D810" s="2"/>
      <c r="E810" s="4"/>
      <c r="F810" s="5"/>
      <c r="G810" s="4"/>
      <c r="H810" s="5"/>
      <c r="I810" s="4"/>
      <c r="J810" s="4"/>
      <c r="K810" s="4"/>
    </row>
    <row r="811" spans="1:11" x14ac:dyDescent="0.25">
      <c r="A811" s="2"/>
      <c r="B811" s="3"/>
      <c r="C811" s="2"/>
      <c r="D811" s="2"/>
      <c r="E811" s="4"/>
      <c r="F811" s="5"/>
      <c r="G811" s="4"/>
      <c r="H811" s="5"/>
      <c r="I811" s="4"/>
      <c r="J811" s="4"/>
      <c r="K811" s="4"/>
    </row>
    <row r="812" spans="1:11" x14ac:dyDescent="0.25">
      <c r="A812" s="2"/>
      <c r="B812" s="3"/>
      <c r="C812" s="2"/>
      <c r="D812" s="2"/>
      <c r="E812" s="4"/>
      <c r="F812" s="5"/>
      <c r="G812" s="4"/>
      <c r="H812" s="5"/>
      <c r="I812" s="4"/>
      <c r="J812" s="4"/>
      <c r="K812" s="4"/>
    </row>
    <row r="813" spans="1:11" x14ac:dyDescent="0.25">
      <c r="A813" s="2"/>
      <c r="B813" s="3"/>
      <c r="C813" s="2"/>
      <c r="D813" s="2"/>
      <c r="E813" s="4"/>
      <c r="F813" s="5"/>
      <c r="G813" s="4"/>
      <c r="H813" s="5"/>
      <c r="I813" s="4"/>
      <c r="J813" s="4"/>
      <c r="K813" s="4"/>
    </row>
    <row r="814" spans="1:11" x14ac:dyDescent="0.25">
      <c r="A814" s="2"/>
      <c r="B814" s="3"/>
      <c r="C814" s="2"/>
      <c r="D814" s="2"/>
      <c r="E814" s="4"/>
      <c r="F814" s="5"/>
      <c r="G814" s="4"/>
      <c r="H814" s="5"/>
      <c r="I814" s="4"/>
      <c r="J814" s="4"/>
      <c r="K814" s="4"/>
    </row>
    <row r="815" spans="1:11" x14ac:dyDescent="0.25">
      <c r="A815" s="2"/>
      <c r="B815" s="3"/>
      <c r="C815" s="2"/>
      <c r="D815" s="2"/>
      <c r="E815" s="4"/>
      <c r="F815" s="5"/>
      <c r="G815" s="4"/>
      <c r="H815" s="5"/>
      <c r="I815" s="4"/>
      <c r="J815" s="4"/>
      <c r="K815" s="4"/>
    </row>
    <row r="816" spans="1:11" x14ac:dyDescent="0.25">
      <c r="A816" s="2"/>
      <c r="B816" s="3"/>
      <c r="C816" s="2"/>
      <c r="D816" s="2"/>
      <c r="E816" s="4"/>
      <c r="F816" s="5"/>
      <c r="G816" s="4"/>
      <c r="H816" s="5"/>
      <c r="I816" s="4"/>
      <c r="J816" s="4"/>
      <c r="K816" s="4"/>
    </row>
    <row r="817" spans="1:11" x14ac:dyDescent="0.25">
      <c r="A817" s="2"/>
      <c r="B817" s="3"/>
      <c r="C817" s="2"/>
      <c r="D817" s="2"/>
      <c r="E817" s="4"/>
      <c r="F817" s="5"/>
      <c r="G817" s="4"/>
      <c r="H817" s="5"/>
      <c r="I817" s="4"/>
      <c r="J817" s="4"/>
      <c r="K817" s="4"/>
    </row>
    <row r="818" spans="1:11" x14ac:dyDescent="0.25">
      <c r="A818" s="2"/>
      <c r="B818" s="3"/>
      <c r="C818" s="2"/>
      <c r="D818" s="2"/>
      <c r="E818" s="4"/>
      <c r="F818" s="5"/>
      <c r="G818" s="4"/>
      <c r="H818" s="5"/>
      <c r="I818" s="4"/>
      <c r="J818" s="4"/>
      <c r="K818" s="4"/>
    </row>
    <row r="819" spans="1:11" x14ac:dyDescent="0.25">
      <c r="A819" s="2"/>
      <c r="B819" s="3"/>
      <c r="C819" s="2"/>
      <c r="D819" s="2"/>
      <c r="E819" s="4"/>
      <c r="F819" s="5"/>
      <c r="G819" s="4"/>
      <c r="H819" s="5"/>
      <c r="I819" s="4"/>
      <c r="J819" s="4"/>
      <c r="K819" s="4"/>
    </row>
    <row r="820" spans="1:11" x14ac:dyDescent="0.25">
      <c r="A820" s="2"/>
      <c r="B820" s="3"/>
      <c r="C820" s="2"/>
      <c r="D820" s="2"/>
      <c r="E820" s="4"/>
      <c r="F820" s="5"/>
      <c r="G820" s="4"/>
      <c r="H820" s="5"/>
      <c r="I820" s="4"/>
      <c r="J820" s="4"/>
      <c r="K820" s="4"/>
    </row>
    <row r="821" spans="1:11" x14ac:dyDescent="0.25">
      <c r="A821" s="2"/>
      <c r="B821" s="3"/>
      <c r="C821" s="2"/>
      <c r="D821" s="2"/>
      <c r="E821" s="4"/>
      <c r="F821" s="5"/>
      <c r="G821" s="4"/>
      <c r="H821" s="5"/>
      <c r="I821" s="4"/>
      <c r="J821" s="4"/>
      <c r="K821" s="4"/>
    </row>
    <row r="822" spans="1:11" x14ac:dyDescent="0.25">
      <c r="A822" s="2"/>
      <c r="B822" s="3"/>
      <c r="C822" s="2"/>
      <c r="D822" s="2"/>
      <c r="E822" s="4"/>
      <c r="F822" s="5"/>
      <c r="G822" s="4"/>
      <c r="H822" s="5"/>
      <c r="I822" s="4"/>
      <c r="J822" s="4"/>
      <c r="K822" s="4"/>
    </row>
    <row r="823" spans="1:11" x14ac:dyDescent="0.25">
      <c r="A823" s="2"/>
      <c r="B823" s="3"/>
      <c r="C823" s="2"/>
      <c r="D823" s="2"/>
      <c r="E823" s="4"/>
      <c r="F823" s="5"/>
      <c r="G823" s="4"/>
      <c r="H823" s="5"/>
      <c r="I823" s="4"/>
      <c r="J823" s="4"/>
      <c r="K823" s="4"/>
    </row>
    <row r="824" spans="1:11" x14ac:dyDescent="0.25">
      <c r="A824" s="2"/>
      <c r="B824" s="3"/>
      <c r="C824" s="2"/>
      <c r="D824" s="2"/>
      <c r="E824" s="4"/>
      <c r="F824" s="5"/>
      <c r="G824" s="4"/>
      <c r="H824" s="5"/>
      <c r="I824" s="4"/>
      <c r="J824" s="4"/>
      <c r="K824" s="4"/>
    </row>
    <row r="825" spans="1:11" x14ac:dyDescent="0.25">
      <c r="A825" s="2"/>
      <c r="B825" s="3"/>
      <c r="C825" s="2"/>
      <c r="D825" s="2"/>
      <c r="E825" s="4"/>
      <c r="F825" s="5"/>
      <c r="G825" s="4"/>
      <c r="H825" s="5"/>
      <c r="I825" s="4"/>
      <c r="J825" s="4"/>
      <c r="K825" s="4"/>
    </row>
    <row r="826" spans="1:11" x14ac:dyDescent="0.25">
      <c r="A826" s="2"/>
      <c r="B826" s="3"/>
      <c r="C826" s="2"/>
      <c r="D826" s="2"/>
      <c r="E826" s="4"/>
      <c r="F826" s="5"/>
      <c r="G826" s="4"/>
      <c r="H826" s="5"/>
      <c r="I826" s="4"/>
      <c r="J826" s="4"/>
      <c r="K826" s="4"/>
    </row>
    <row r="827" spans="1:11" x14ac:dyDescent="0.25">
      <c r="A827" s="2"/>
      <c r="B827" s="3"/>
      <c r="C827" s="2"/>
      <c r="D827" s="2"/>
      <c r="E827" s="4"/>
      <c r="F827" s="5"/>
      <c r="G827" s="4"/>
      <c r="H827" s="5"/>
      <c r="I827" s="4"/>
      <c r="J827" s="4"/>
      <c r="K827" s="4"/>
    </row>
    <row r="828" spans="1:11" x14ac:dyDescent="0.25">
      <c r="A828" s="2"/>
      <c r="B828" s="3"/>
      <c r="C828" s="2"/>
      <c r="D828" s="2"/>
      <c r="E828" s="4"/>
      <c r="F828" s="5"/>
      <c r="G828" s="4"/>
      <c r="H828" s="5"/>
      <c r="I828" s="4"/>
      <c r="J828" s="4"/>
      <c r="K828" s="4"/>
    </row>
    <row r="829" spans="1:11" x14ac:dyDescent="0.25">
      <c r="A829" s="2"/>
      <c r="B829" s="3"/>
      <c r="C829" s="2"/>
      <c r="D829" s="2"/>
      <c r="E829" s="4"/>
      <c r="F829" s="5"/>
      <c r="G829" s="4"/>
      <c r="H829" s="5"/>
      <c r="I829" s="4"/>
      <c r="J829" s="4"/>
      <c r="K829" s="4"/>
    </row>
    <row r="830" spans="1:11" x14ac:dyDescent="0.25">
      <c r="A830" s="2"/>
      <c r="B830" s="3"/>
      <c r="C830" s="2"/>
      <c r="D830" s="2"/>
      <c r="E830" s="4"/>
      <c r="F830" s="5"/>
      <c r="G830" s="4"/>
      <c r="H830" s="5"/>
      <c r="I830" s="4"/>
      <c r="J830" s="4"/>
      <c r="K830" s="4"/>
    </row>
    <row r="831" spans="1:11" x14ac:dyDescent="0.25">
      <c r="A831" s="2"/>
      <c r="B831" s="3"/>
      <c r="C831" s="2"/>
      <c r="D831" s="2"/>
      <c r="E831" s="4"/>
      <c r="F831" s="5"/>
      <c r="G831" s="4"/>
      <c r="H831" s="5"/>
      <c r="I831" s="4"/>
      <c r="J831" s="4"/>
      <c r="K831" s="4"/>
    </row>
    <row r="832" spans="1:11" x14ac:dyDescent="0.25">
      <c r="A832" s="2"/>
      <c r="B832" s="3"/>
      <c r="C832" s="2"/>
      <c r="D832" s="2"/>
      <c r="E832" s="4"/>
      <c r="F832" s="5"/>
      <c r="G832" s="4"/>
      <c r="H832" s="5"/>
      <c r="I832" s="4"/>
      <c r="J832" s="4"/>
      <c r="K832" s="4"/>
    </row>
    <row r="833" spans="1:11" x14ac:dyDescent="0.25">
      <c r="A833" s="2"/>
      <c r="B833" s="3"/>
      <c r="C833" s="2"/>
      <c r="D833" s="2"/>
      <c r="E833" s="4"/>
      <c r="F833" s="5"/>
      <c r="G833" s="4"/>
      <c r="H833" s="5"/>
      <c r="I833" s="4"/>
      <c r="J833" s="4"/>
      <c r="K833" s="4"/>
    </row>
    <row r="834" spans="1:11" x14ac:dyDescent="0.25">
      <c r="A834" s="2"/>
      <c r="B834" s="3"/>
      <c r="C834" s="2"/>
      <c r="D834" s="2"/>
      <c r="E834" s="4"/>
      <c r="F834" s="5"/>
      <c r="G834" s="4"/>
      <c r="H834" s="5"/>
      <c r="I834" s="4"/>
      <c r="J834" s="4"/>
      <c r="K834" s="4"/>
    </row>
    <row r="835" spans="1:11" x14ac:dyDescent="0.25">
      <c r="A835" s="2"/>
      <c r="B835" s="3"/>
      <c r="C835" s="2"/>
      <c r="D835" s="2"/>
      <c r="E835" s="4"/>
      <c r="F835" s="5"/>
      <c r="G835" s="4"/>
      <c r="H835" s="5"/>
      <c r="I835" s="4"/>
      <c r="J835" s="4"/>
      <c r="K835" s="4"/>
    </row>
    <row r="836" spans="1:11" x14ac:dyDescent="0.25">
      <c r="A836" s="2"/>
      <c r="B836" s="3"/>
      <c r="C836" s="2"/>
      <c r="D836" s="2"/>
      <c r="E836" s="4"/>
      <c r="F836" s="5"/>
      <c r="G836" s="4"/>
      <c r="H836" s="5"/>
      <c r="I836" s="4"/>
      <c r="J836" s="4"/>
      <c r="K836" s="4"/>
    </row>
    <row r="837" spans="1:11" x14ac:dyDescent="0.25">
      <c r="A837" s="2"/>
      <c r="B837" s="3"/>
      <c r="C837" s="2"/>
      <c r="D837" s="2"/>
      <c r="E837" s="4"/>
      <c r="F837" s="5"/>
      <c r="G837" s="4"/>
      <c r="H837" s="5"/>
      <c r="I837" s="4"/>
      <c r="J837" s="4"/>
      <c r="K837" s="4"/>
    </row>
    <row r="838" spans="1:11" x14ac:dyDescent="0.25">
      <c r="A838" s="2"/>
      <c r="B838" s="3"/>
      <c r="C838" s="2"/>
      <c r="D838" s="2"/>
      <c r="E838" s="4"/>
      <c r="F838" s="5"/>
      <c r="G838" s="4"/>
      <c r="H838" s="5"/>
      <c r="I838" s="4"/>
      <c r="J838" s="4"/>
      <c r="K838" s="4"/>
    </row>
    <row r="839" spans="1:11" x14ac:dyDescent="0.25">
      <c r="A839" s="2"/>
      <c r="B839" s="3"/>
      <c r="C839" s="2"/>
      <c r="D839" s="2"/>
      <c r="E839" s="4"/>
      <c r="F839" s="5"/>
      <c r="G839" s="4"/>
      <c r="H839" s="5"/>
      <c r="I839" s="4"/>
      <c r="J839" s="4"/>
      <c r="K839" s="4"/>
    </row>
    <row r="840" spans="1:11" x14ac:dyDescent="0.25">
      <c r="A840" s="2"/>
      <c r="B840" s="3"/>
      <c r="C840" s="2"/>
      <c r="D840" s="2"/>
      <c r="E840" s="4"/>
      <c r="F840" s="5"/>
      <c r="G840" s="4"/>
      <c r="H840" s="5"/>
      <c r="I840" s="4"/>
      <c r="J840" s="4"/>
      <c r="K840" s="4"/>
    </row>
    <row r="841" spans="1:11" x14ac:dyDescent="0.25">
      <c r="A841" s="2"/>
      <c r="B841" s="3"/>
      <c r="C841" s="2"/>
      <c r="D841" s="2"/>
      <c r="E841" s="4"/>
      <c r="F841" s="5"/>
      <c r="G841" s="4"/>
      <c r="H841" s="5"/>
      <c r="I841" s="4"/>
      <c r="J841" s="4"/>
      <c r="K841" s="4"/>
    </row>
    <row r="842" spans="1:11" x14ac:dyDescent="0.25">
      <c r="A842" s="2"/>
      <c r="B842" s="3"/>
      <c r="C842" s="2"/>
      <c r="D842" s="2"/>
      <c r="E842" s="4"/>
      <c r="F842" s="5"/>
      <c r="G842" s="4"/>
      <c r="H842" s="5"/>
      <c r="I842" s="4"/>
      <c r="J842" s="4"/>
      <c r="K842" s="4"/>
    </row>
    <row r="843" spans="1:11" x14ac:dyDescent="0.25">
      <c r="A843" s="2"/>
      <c r="B843" s="3"/>
      <c r="C843" s="2"/>
      <c r="D843" s="2"/>
      <c r="E843" s="4"/>
      <c r="F843" s="5"/>
      <c r="G843" s="4"/>
      <c r="H843" s="5"/>
      <c r="I843" s="4"/>
      <c r="J843" s="4"/>
      <c r="K843" s="4"/>
    </row>
    <row r="844" spans="1:11" x14ac:dyDescent="0.25">
      <c r="A844" s="2"/>
      <c r="B844" s="3"/>
      <c r="C844" s="2"/>
      <c r="D844" s="2"/>
      <c r="E844" s="4"/>
      <c r="F844" s="5"/>
      <c r="G844" s="4"/>
      <c r="H844" s="5"/>
      <c r="I844" s="4"/>
      <c r="J844" s="4"/>
      <c r="K844" s="4"/>
    </row>
    <row r="845" spans="1:11" x14ac:dyDescent="0.25">
      <c r="A845" s="2"/>
      <c r="B845" s="3"/>
      <c r="C845" s="2"/>
      <c r="D845" s="2"/>
      <c r="E845" s="4"/>
      <c r="F845" s="5"/>
      <c r="G845" s="4"/>
      <c r="H845" s="5"/>
      <c r="I845" s="4"/>
      <c r="J845" s="4"/>
      <c r="K845" s="4"/>
    </row>
    <row r="846" spans="1:11" x14ac:dyDescent="0.25">
      <c r="A846" s="2"/>
      <c r="B846" s="3"/>
      <c r="C846" s="2"/>
      <c r="D846" s="2"/>
      <c r="E846" s="4"/>
      <c r="F846" s="5"/>
      <c r="G846" s="4"/>
      <c r="H846" s="5"/>
      <c r="I846" s="4"/>
      <c r="J846" s="4"/>
      <c r="K846" s="4"/>
    </row>
    <row r="847" spans="1:11" x14ac:dyDescent="0.25">
      <c r="A847" s="2"/>
      <c r="B847" s="3"/>
      <c r="C847" s="2"/>
      <c r="D847" s="2"/>
      <c r="E847" s="4"/>
      <c r="F847" s="5"/>
      <c r="G847" s="4"/>
      <c r="H847" s="5"/>
      <c r="I847" s="4"/>
      <c r="J847" s="4"/>
      <c r="K847" s="4"/>
    </row>
    <row r="848" spans="1:11" x14ac:dyDescent="0.25">
      <c r="A848" s="2"/>
      <c r="B848" s="3"/>
      <c r="C848" s="2"/>
      <c r="D848" s="2"/>
      <c r="E848" s="4"/>
      <c r="F848" s="5"/>
      <c r="G848" s="4"/>
      <c r="H848" s="5"/>
      <c r="I848" s="4"/>
      <c r="J848" s="4"/>
      <c r="K848" s="4"/>
    </row>
    <row r="849" spans="1:11" x14ac:dyDescent="0.25">
      <c r="A849" s="2"/>
      <c r="B849" s="3"/>
      <c r="C849" s="2"/>
      <c r="D849" s="2"/>
      <c r="E849" s="4"/>
      <c r="F849" s="5"/>
      <c r="G849" s="4"/>
      <c r="H849" s="5"/>
      <c r="I849" s="4"/>
      <c r="J849" s="4"/>
      <c r="K849" s="4"/>
    </row>
    <row r="850" spans="1:11" x14ac:dyDescent="0.25">
      <c r="A850" s="2"/>
      <c r="B850" s="3"/>
      <c r="C850" s="2"/>
      <c r="D850" s="2"/>
      <c r="E850" s="4"/>
      <c r="F850" s="5"/>
      <c r="G850" s="4"/>
      <c r="H850" s="5"/>
      <c r="I850" s="4"/>
      <c r="J850" s="4"/>
      <c r="K850" s="4"/>
    </row>
    <row r="851" spans="1:11" x14ac:dyDescent="0.25">
      <c r="A851" s="2"/>
      <c r="B851" s="3"/>
      <c r="C851" s="2"/>
      <c r="D851" s="2"/>
      <c r="E851" s="4"/>
      <c r="F851" s="5"/>
      <c r="G851" s="4"/>
      <c r="H851" s="5"/>
      <c r="I851" s="4"/>
      <c r="J851" s="4"/>
      <c r="K851" s="4"/>
    </row>
    <row r="852" spans="1:11" x14ac:dyDescent="0.25">
      <c r="A852" s="2"/>
      <c r="B852" s="3"/>
      <c r="C852" s="2"/>
      <c r="D852" s="2"/>
      <c r="E852" s="4"/>
      <c r="F852" s="5"/>
      <c r="G852" s="4"/>
      <c r="H852" s="5"/>
      <c r="I852" s="4"/>
      <c r="J852" s="4"/>
      <c r="K852" s="4"/>
    </row>
    <row r="853" spans="1:11" x14ac:dyDescent="0.25">
      <c r="A853" s="2"/>
      <c r="B853" s="3"/>
      <c r="C853" s="2"/>
      <c r="D853" s="2"/>
      <c r="E853" s="4"/>
      <c r="F853" s="5"/>
      <c r="G853" s="4"/>
      <c r="H853" s="5"/>
      <c r="I853" s="4"/>
      <c r="J853" s="4"/>
      <c r="K853" s="4"/>
    </row>
    <row r="854" spans="1:11" x14ac:dyDescent="0.25">
      <c r="A854" s="2"/>
      <c r="B854" s="3"/>
      <c r="C854" s="2"/>
      <c r="D854" s="2"/>
      <c r="E854" s="4"/>
      <c r="F854" s="5"/>
      <c r="G854" s="4"/>
      <c r="H854" s="5"/>
      <c r="I854" s="4"/>
      <c r="J854" s="4"/>
      <c r="K854" s="4"/>
    </row>
    <row r="855" spans="1:11" x14ac:dyDescent="0.25">
      <c r="A855" s="2"/>
      <c r="B855" s="3"/>
      <c r="C855" s="2"/>
      <c r="D855" s="2"/>
      <c r="E855" s="4"/>
      <c r="F855" s="5"/>
      <c r="G855" s="4"/>
      <c r="H855" s="5"/>
      <c r="I855" s="4"/>
      <c r="J855" s="4"/>
      <c r="K855" s="4"/>
    </row>
    <row r="856" spans="1:11" x14ac:dyDescent="0.25">
      <c r="A856" s="2"/>
      <c r="B856" s="3"/>
      <c r="C856" s="2"/>
      <c r="D856" s="2"/>
      <c r="E856" s="4"/>
      <c r="F856" s="5"/>
      <c r="G856" s="4"/>
      <c r="H856" s="5"/>
      <c r="I856" s="4"/>
      <c r="J856" s="4"/>
      <c r="K856" s="4"/>
    </row>
    <row r="857" spans="1:11" x14ac:dyDescent="0.25">
      <c r="A857" s="2"/>
      <c r="B857" s="3"/>
      <c r="C857" s="2"/>
      <c r="D857" s="2"/>
      <c r="E857" s="4"/>
      <c r="F857" s="5"/>
      <c r="G857" s="4"/>
      <c r="H857" s="5"/>
      <c r="I857" s="4"/>
      <c r="J857" s="4"/>
      <c r="K857" s="4"/>
    </row>
    <row r="858" spans="1:11" x14ac:dyDescent="0.25">
      <c r="A858" s="2"/>
      <c r="B858" s="3"/>
      <c r="C858" s="2"/>
      <c r="D858" s="2"/>
      <c r="E858" s="4"/>
      <c r="F858" s="5"/>
      <c r="G858" s="4"/>
      <c r="H858" s="5"/>
      <c r="I858" s="4"/>
      <c r="J858" s="4"/>
      <c r="K858" s="4"/>
    </row>
    <row r="859" spans="1:11" x14ac:dyDescent="0.25">
      <c r="A859" s="2"/>
      <c r="B859" s="3"/>
      <c r="C859" s="2"/>
      <c r="D859" s="2"/>
      <c r="E859" s="4"/>
      <c r="F859" s="5"/>
      <c r="G859" s="4"/>
      <c r="H859" s="5"/>
      <c r="I859" s="4"/>
      <c r="J859" s="4"/>
      <c r="K859" s="4"/>
    </row>
    <row r="860" spans="1:11" x14ac:dyDescent="0.25">
      <c r="A860" s="2"/>
      <c r="B860" s="3"/>
      <c r="C860" s="2"/>
      <c r="D860" s="2"/>
      <c r="E860" s="4"/>
      <c r="F860" s="5"/>
      <c r="G860" s="4"/>
      <c r="H860" s="5"/>
      <c r="I860" s="4"/>
      <c r="J860" s="4"/>
      <c r="K860" s="4"/>
    </row>
    <row r="861" spans="1:11" x14ac:dyDescent="0.25">
      <c r="A861" s="2"/>
      <c r="B861" s="3"/>
      <c r="C861" s="2"/>
      <c r="D861" s="2"/>
      <c r="E861" s="4"/>
      <c r="F861" s="5"/>
      <c r="G861" s="4"/>
      <c r="H861" s="5"/>
      <c r="I861" s="4"/>
      <c r="J861" s="4"/>
      <c r="K861" s="4"/>
    </row>
    <row r="862" spans="1:11" x14ac:dyDescent="0.25">
      <c r="A862" s="2"/>
      <c r="B862" s="3"/>
      <c r="C862" s="2"/>
      <c r="D862" s="2"/>
      <c r="E862" s="4"/>
      <c r="F862" s="5"/>
      <c r="G862" s="4"/>
      <c r="H862" s="5"/>
      <c r="I862" s="4"/>
      <c r="J862" s="4"/>
      <c r="K862" s="4"/>
    </row>
    <row r="863" spans="1:11" x14ac:dyDescent="0.25">
      <c r="A863" s="2"/>
      <c r="B863" s="3"/>
      <c r="C863" s="2"/>
      <c r="D863" s="2"/>
      <c r="E863" s="4"/>
      <c r="F863" s="5"/>
      <c r="G863" s="4"/>
      <c r="H863" s="5"/>
      <c r="I863" s="4"/>
      <c r="J863" s="4"/>
      <c r="K863" s="4"/>
    </row>
    <row r="864" spans="1:11" x14ac:dyDescent="0.25">
      <c r="A864" s="2"/>
      <c r="B864" s="3"/>
      <c r="C864" s="2"/>
      <c r="D864" s="2"/>
      <c r="E864" s="4"/>
      <c r="F864" s="5"/>
      <c r="G864" s="4"/>
      <c r="H864" s="5"/>
      <c r="I864" s="4"/>
      <c r="J864" s="4"/>
      <c r="K864" s="4"/>
    </row>
    <row r="865" spans="1:11" x14ac:dyDescent="0.25">
      <c r="A865" s="2"/>
      <c r="B865" s="3"/>
      <c r="C865" s="2"/>
      <c r="D865" s="2"/>
      <c r="E865" s="4"/>
      <c r="F865" s="5"/>
      <c r="G865" s="4"/>
      <c r="H865" s="5"/>
      <c r="I865" s="4"/>
      <c r="J865" s="4"/>
      <c r="K865" s="4"/>
    </row>
    <row r="866" spans="1:11" x14ac:dyDescent="0.25">
      <c r="A866" s="2"/>
      <c r="B866" s="3"/>
      <c r="C866" s="2"/>
      <c r="D866" s="2"/>
      <c r="E866" s="4"/>
      <c r="F866" s="5"/>
      <c r="G866" s="4"/>
      <c r="H866" s="5"/>
      <c r="I866" s="4"/>
      <c r="J866" s="4"/>
      <c r="K866" s="4"/>
    </row>
    <row r="867" spans="1:11" x14ac:dyDescent="0.25">
      <c r="A867" s="2"/>
      <c r="B867" s="3"/>
      <c r="C867" s="2"/>
      <c r="D867" s="2"/>
      <c r="E867" s="4"/>
      <c r="F867" s="5"/>
      <c r="G867" s="4"/>
      <c r="H867" s="5"/>
      <c r="I867" s="4"/>
      <c r="J867" s="4"/>
      <c r="K867" s="4"/>
    </row>
    <row r="868" spans="1:11" x14ac:dyDescent="0.25">
      <c r="A868" s="2"/>
      <c r="B868" s="3"/>
      <c r="C868" s="2"/>
      <c r="D868" s="2"/>
      <c r="E868" s="4"/>
      <c r="F868" s="5"/>
      <c r="G868" s="4"/>
      <c r="H868" s="5"/>
      <c r="I868" s="4"/>
      <c r="J868" s="4"/>
      <c r="K868" s="4"/>
    </row>
    <row r="869" spans="1:11" x14ac:dyDescent="0.25">
      <c r="A869" s="2"/>
      <c r="B869" s="3"/>
      <c r="C869" s="2"/>
      <c r="D869" s="2"/>
      <c r="E869" s="4"/>
      <c r="F869" s="5"/>
      <c r="G869" s="4"/>
      <c r="H869" s="5"/>
      <c r="I869" s="4"/>
      <c r="J869" s="4"/>
      <c r="K869" s="4"/>
    </row>
    <row r="870" spans="1:11" x14ac:dyDescent="0.25">
      <c r="A870" s="2"/>
      <c r="B870" s="3"/>
      <c r="C870" s="2"/>
      <c r="D870" s="2"/>
      <c r="E870" s="4"/>
      <c r="F870" s="5"/>
      <c r="G870" s="4"/>
      <c r="H870" s="5"/>
      <c r="I870" s="4"/>
      <c r="J870" s="4"/>
      <c r="K870" s="4"/>
    </row>
    <row r="871" spans="1:11" x14ac:dyDescent="0.25">
      <c r="A871" s="2"/>
      <c r="B871" s="3"/>
      <c r="C871" s="2"/>
      <c r="D871" s="2"/>
      <c r="E871" s="4"/>
      <c r="F871" s="5"/>
      <c r="G871" s="4"/>
      <c r="H871" s="5"/>
      <c r="I871" s="4"/>
      <c r="J871" s="4"/>
      <c r="K871" s="4"/>
    </row>
    <row r="872" spans="1:11" x14ac:dyDescent="0.25">
      <c r="A872" s="2"/>
      <c r="B872" s="3"/>
      <c r="C872" s="2"/>
      <c r="D872" s="2"/>
      <c r="E872" s="4"/>
      <c r="F872" s="5"/>
      <c r="G872" s="4"/>
      <c r="H872" s="5"/>
      <c r="I872" s="4"/>
      <c r="J872" s="4"/>
      <c r="K872" s="4"/>
    </row>
    <row r="873" spans="1:11" x14ac:dyDescent="0.25">
      <c r="A873" s="2"/>
      <c r="B873" s="3"/>
      <c r="C873" s="2"/>
      <c r="D873" s="2"/>
      <c r="E873" s="4"/>
      <c r="F873" s="5"/>
      <c r="G873" s="4"/>
      <c r="H873" s="5"/>
      <c r="I873" s="4"/>
      <c r="J873" s="4"/>
      <c r="K873" s="4"/>
    </row>
    <row r="874" spans="1:11" x14ac:dyDescent="0.25">
      <c r="A874" s="2"/>
      <c r="B874" s="3"/>
      <c r="C874" s="2"/>
      <c r="D874" s="2"/>
      <c r="E874" s="4"/>
      <c r="F874" s="5"/>
      <c r="G874" s="4"/>
      <c r="H874" s="5"/>
      <c r="I874" s="4"/>
      <c r="J874" s="4"/>
      <c r="K874" s="4"/>
    </row>
    <row r="875" spans="1:11" x14ac:dyDescent="0.25">
      <c r="A875" s="2"/>
      <c r="B875" s="3"/>
      <c r="C875" s="2"/>
      <c r="D875" s="2"/>
      <c r="E875" s="4"/>
      <c r="F875" s="5"/>
      <c r="G875" s="4"/>
      <c r="H875" s="5"/>
      <c r="I875" s="4"/>
      <c r="J875" s="4"/>
      <c r="K875" s="4"/>
    </row>
    <row r="876" spans="1:11" x14ac:dyDescent="0.25">
      <c r="A876" s="2"/>
      <c r="B876" s="3"/>
      <c r="C876" s="2"/>
      <c r="D876" s="2"/>
      <c r="E876" s="4"/>
      <c r="F876" s="5"/>
      <c r="G876" s="4"/>
      <c r="H876" s="5"/>
      <c r="I876" s="4"/>
      <c r="J876" s="4"/>
      <c r="K876" s="4"/>
    </row>
    <row r="877" spans="1:11" x14ac:dyDescent="0.25">
      <c r="A877" s="2"/>
      <c r="B877" s="3"/>
      <c r="C877" s="2"/>
      <c r="D877" s="2"/>
      <c r="E877" s="4"/>
      <c r="F877" s="5"/>
      <c r="G877" s="4"/>
      <c r="H877" s="5"/>
      <c r="I877" s="4"/>
      <c r="J877" s="4"/>
      <c r="K877" s="4"/>
    </row>
    <row r="878" spans="1:11" x14ac:dyDescent="0.25">
      <c r="A878" s="2"/>
      <c r="B878" s="3"/>
      <c r="C878" s="2"/>
      <c r="D878" s="2"/>
      <c r="E878" s="4"/>
      <c r="F878" s="5"/>
      <c r="G878" s="4"/>
      <c r="H878" s="5"/>
      <c r="I878" s="4"/>
      <c r="J878" s="4"/>
      <c r="K878" s="4"/>
    </row>
    <row r="879" spans="1:11" x14ac:dyDescent="0.25">
      <c r="A879" s="2"/>
      <c r="B879" s="3"/>
      <c r="C879" s="2"/>
      <c r="D879" s="2"/>
      <c r="E879" s="4"/>
      <c r="F879" s="5"/>
      <c r="G879" s="4"/>
      <c r="H879" s="5"/>
      <c r="I879" s="4"/>
      <c r="J879" s="4"/>
      <c r="K879" s="4"/>
    </row>
    <row r="880" spans="1:11" x14ac:dyDescent="0.25">
      <c r="A880" s="2"/>
      <c r="B880" s="3"/>
      <c r="C880" s="2"/>
      <c r="D880" s="2"/>
      <c r="E880" s="4"/>
      <c r="F880" s="5"/>
      <c r="G880" s="4"/>
      <c r="H880" s="5"/>
      <c r="I880" s="4"/>
      <c r="J880" s="4"/>
      <c r="K880" s="4"/>
    </row>
    <row r="881" spans="1:11" x14ac:dyDescent="0.25">
      <c r="A881" s="2"/>
      <c r="B881" s="3"/>
      <c r="C881" s="2"/>
      <c r="D881" s="2"/>
      <c r="E881" s="4"/>
      <c r="F881" s="5"/>
      <c r="G881" s="4"/>
      <c r="H881" s="5"/>
      <c r="I881" s="4"/>
      <c r="J881" s="4"/>
      <c r="K881" s="4"/>
    </row>
    <row r="882" spans="1:11" x14ac:dyDescent="0.25">
      <c r="A882" s="2"/>
      <c r="B882" s="3"/>
      <c r="C882" s="2"/>
      <c r="D882" s="2"/>
      <c r="E882" s="4"/>
      <c r="F882" s="5"/>
      <c r="G882" s="4"/>
      <c r="H882" s="5"/>
      <c r="I882" s="4"/>
      <c r="J882" s="4"/>
      <c r="K882" s="4"/>
    </row>
    <row r="883" spans="1:11" x14ac:dyDescent="0.25">
      <c r="A883" s="2"/>
      <c r="B883" s="3"/>
      <c r="C883" s="2"/>
      <c r="D883" s="2"/>
      <c r="E883" s="4"/>
      <c r="F883" s="5"/>
      <c r="G883" s="4"/>
      <c r="H883" s="5"/>
      <c r="I883" s="4"/>
      <c r="J883" s="4"/>
      <c r="K883" s="4"/>
    </row>
    <row r="884" spans="1:11" x14ac:dyDescent="0.25">
      <c r="A884" s="2"/>
      <c r="B884" s="3"/>
      <c r="C884" s="2"/>
      <c r="D884" s="2"/>
      <c r="E884" s="4"/>
      <c r="F884" s="5"/>
      <c r="G884" s="4"/>
      <c r="H884" s="5"/>
      <c r="I884" s="4"/>
      <c r="J884" s="4"/>
      <c r="K884" s="4"/>
    </row>
    <row r="885" spans="1:11" x14ac:dyDescent="0.25">
      <c r="A885" s="2"/>
      <c r="B885" s="3"/>
      <c r="C885" s="2"/>
      <c r="D885" s="2"/>
      <c r="E885" s="4"/>
      <c r="F885" s="5"/>
      <c r="G885" s="4"/>
      <c r="H885" s="5"/>
      <c r="I885" s="4"/>
      <c r="J885" s="4"/>
      <c r="K885" s="4"/>
    </row>
    <row r="886" spans="1:11" x14ac:dyDescent="0.25">
      <c r="A886" s="2"/>
      <c r="B886" s="3"/>
      <c r="C886" s="2"/>
      <c r="D886" s="2"/>
      <c r="E886" s="4"/>
      <c r="F886" s="5"/>
      <c r="G886" s="4"/>
      <c r="H886" s="5"/>
      <c r="I886" s="4"/>
      <c r="J886" s="4"/>
      <c r="K886" s="4"/>
    </row>
    <row r="887" spans="1:11" x14ac:dyDescent="0.25">
      <c r="A887" s="2"/>
      <c r="B887" s="3"/>
      <c r="C887" s="2"/>
      <c r="D887" s="2"/>
      <c r="E887" s="4"/>
      <c r="F887" s="5"/>
      <c r="G887" s="4"/>
      <c r="H887" s="5"/>
      <c r="I887" s="4"/>
      <c r="J887" s="4"/>
      <c r="K887" s="4"/>
    </row>
    <row r="888" spans="1:11" x14ac:dyDescent="0.25">
      <c r="A888" s="2"/>
      <c r="B888" s="3"/>
      <c r="C888" s="2"/>
      <c r="D888" s="2"/>
      <c r="E888" s="4"/>
      <c r="F888" s="5"/>
      <c r="G888" s="4"/>
      <c r="H888" s="5"/>
      <c r="I888" s="4"/>
      <c r="J888" s="4"/>
      <c r="K888" s="4"/>
    </row>
    <row r="889" spans="1:11" x14ac:dyDescent="0.25">
      <c r="A889" s="2"/>
      <c r="B889" s="3"/>
      <c r="C889" s="2"/>
      <c r="D889" s="2"/>
      <c r="E889" s="4"/>
      <c r="F889" s="5"/>
      <c r="G889" s="4"/>
      <c r="H889" s="5"/>
      <c r="I889" s="4"/>
      <c r="J889" s="4"/>
      <c r="K889" s="4"/>
    </row>
    <row r="890" spans="1:11" x14ac:dyDescent="0.25">
      <c r="A890" s="2"/>
      <c r="B890" s="3"/>
      <c r="C890" s="2"/>
      <c r="D890" s="2"/>
      <c r="E890" s="4"/>
      <c r="F890" s="5"/>
      <c r="G890" s="4"/>
      <c r="H890" s="5"/>
      <c r="I890" s="4"/>
      <c r="J890" s="4"/>
      <c r="K890" s="4"/>
    </row>
    <row r="891" spans="1:11" x14ac:dyDescent="0.25">
      <c r="A891" s="2"/>
      <c r="B891" s="3"/>
      <c r="C891" s="2"/>
      <c r="D891" s="2"/>
      <c r="E891" s="4"/>
      <c r="F891" s="5"/>
      <c r="G891" s="4"/>
      <c r="H891" s="5"/>
      <c r="I891" s="4"/>
      <c r="J891" s="4"/>
      <c r="K891" s="4"/>
    </row>
    <row r="892" spans="1:11" x14ac:dyDescent="0.25">
      <c r="A892" s="2"/>
      <c r="B892" s="3"/>
      <c r="C892" s="2"/>
      <c r="D892" s="2"/>
      <c r="E892" s="4"/>
      <c r="F892" s="5"/>
      <c r="G892" s="4"/>
      <c r="H892" s="5"/>
      <c r="I892" s="4"/>
      <c r="J892" s="4"/>
      <c r="K892" s="4"/>
    </row>
    <row r="893" spans="1:11" x14ac:dyDescent="0.25">
      <c r="A893" s="2"/>
      <c r="B893" s="3"/>
      <c r="C893" s="2"/>
      <c r="D893" s="2"/>
      <c r="E893" s="4"/>
      <c r="F893" s="5"/>
      <c r="G893" s="4"/>
      <c r="H893" s="5"/>
      <c r="I893" s="4"/>
      <c r="J893" s="4"/>
      <c r="K893" s="4"/>
    </row>
    <row r="894" spans="1:11" x14ac:dyDescent="0.25">
      <c r="A894" s="2"/>
      <c r="B894" s="3"/>
      <c r="C894" s="2"/>
      <c r="D894" s="2"/>
      <c r="E894" s="4"/>
      <c r="F894" s="5"/>
      <c r="G894" s="4"/>
      <c r="H894" s="5"/>
      <c r="I894" s="4"/>
      <c r="J894" s="4"/>
      <c r="K894" s="4"/>
    </row>
    <row r="895" spans="1:11" x14ac:dyDescent="0.25">
      <c r="A895" s="2"/>
      <c r="B895" s="3"/>
      <c r="C895" s="2"/>
      <c r="D895" s="2"/>
      <c r="E895" s="4"/>
      <c r="F895" s="5"/>
      <c r="G895" s="4"/>
      <c r="H895" s="5"/>
      <c r="I895" s="4"/>
      <c r="J895" s="4"/>
      <c r="K895" s="4"/>
    </row>
    <row r="896" spans="1:11" x14ac:dyDescent="0.25">
      <c r="A896" s="2"/>
      <c r="B896" s="3"/>
      <c r="C896" s="2"/>
      <c r="D896" s="2"/>
      <c r="E896" s="4"/>
      <c r="F896" s="5"/>
      <c r="G896" s="4"/>
      <c r="H896" s="5"/>
      <c r="I896" s="4"/>
      <c r="J896" s="4"/>
      <c r="K896" s="4"/>
    </row>
    <row r="897" spans="1:11" x14ac:dyDescent="0.25">
      <c r="A897" s="2"/>
      <c r="B897" s="3"/>
      <c r="C897" s="2"/>
      <c r="D897" s="2"/>
      <c r="E897" s="4"/>
      <c r="F897" s="5"/>
      <c r="G897" s="4"/>
      <c r="H897" s="5"/>
      <c r="I897" s="4"/>
      <c r="J897" s="4"/>
      <c r="K897" s="4"/>
    </row>
    <row r="898" spans="1:11" x14ac:dyDescent="0.25">
      <c r="A898" s="2"/>
      <c r="B898" s="3"/>
      <c r="C898" s="2"/>
      <c r="D898" s="2"/>
      <c r="E898" s="4"/>
      <c r="F898" s="5"/>
      <c r="G898" s="4"/>
      <c r="H898" s="5"/>
      <c r="I898" s="4"/>
      <c r="J898" s="4"/>
      <c r="K898" s="4"/>
    </row>
    <row r="899" spans="1:11" x14ac:dyDescent="0.25">
      <c r="A899" s="2"/>
      <c r="B899" s="3"/>
      <c r="C899" s="2"/>
      <c r="D899" s="2"/>
      <c r="E899" s="4"/>
      <c r="F899" s="5"/>
      <c r="G899" s="4"/>
      <c r="H899" s="5"/>
      <c r="I899" s="4"/>
      <c r="J899" s="4"/>
      <c r="K899" s="4"/>
    </row>
    <row r="900" spans="1:11" x14ac:dyDescent="0.25">
      <c r="A900" s="2"/>
      <c r="B900" s="3"/>
      <c r="C900" s="2"/>
      <c r="D900" s="2"/>
      <c r="E900" s="4"/>
      <c r="F900" s="5"/>
      <c r="G900" s="4"/>
      <c r="H900" s="5"/>
      <c r="I900" s="4"/>
      <c r="J900" s="4"/>
      <c r="K900" s="4"/>
    </row>
    <row r="901" spans="1:11" x14ac:dyDescent="0.25">
      <c r="A901" s="2"/>
      <c r="B901" s="3"/>
      <c r="C901" s="2"/>
      <c r="D901" s="2"/>
      <c r="E901" s="4"/>
      <c r="F901" s="5"/>
      <c r="G901" s="4"/>
      <c r="H901" s="5"/>
      <c r="I901" s="4"/>
      <c r="J901" s="4"/>
      <c r="K901" s="4"/>
    </row>
    <row r="902" spans="1:11" x14ac:dyDescent="0.25">
      <c r="A902" s="2"/>
      <c r="B902" s="3"/>
      <c r="C902" s="2"/>
      <c r="D902" s="2"/>
      <c r="E902" s="4"/>
      <c r="F902" s="5"/>
      <c r="G902" s="4"/>
      <c r="H902" s="5"/>
      <c r="I902" s="4"/>
      <c r="J902" s="4"/>
      <c r="K902" s="4"/>
    </row>
    <row r="903" spans="1:11" x14ac:dyDescent="0.25">
      <c r="A903" s="2"/>
      <c r="B903" s="3"/>
      <c r="C903" s="2"/>
      <c r="D903" s="2"/>
      <c r="E903" s="4"/>
      <c r="F903" s="5"/>
      <c r="G903" s="4"/>
      <c r="H903" s="5"/>
      <c r="I903" s="4"/>
      <c r="J903" s="4"/>
      <c r="K903" s="4"/>
    </row>
    <row r="904" spans="1:11" x14ac:dyDescent="0.25">
      <c r="A904" s="2"/>
      <c r="B904" s="3"/>
      <c r="C904" s="2"/>
      <c r="D904" s="2"/>
      <c r="E904" s="4"/>
      <c r="F904" s="5"/>
      <c r="G904" s="4"/>
      <c r="H904" s="5"/>
      <c r="I904" s="4"/>
      <c r="J904" s="4"/>
      <c r="K904" s="4"/>
    </row>
    <row r="905" spans="1:11" x14ac:dyDescent="0.25">
      <c r="A905" s="2"/>
      <c r="B905" s="3"/>
      <c r="C905" s="2"/>
      <c r="D905" s="2"/>
      <c r="E905" s="4"/>
      <c r="F905" s="5"/>
      <c r="G905" s="4"/>
      <c r="H905" s="5"/>
      <c r="I905" s="4"/>
      <c r="J905" s="4"/>
      <c r="K905" s="4"/>
    </row>
    <row r="906" spans="1:11" x14ac:dyDescent="0.25">
      <c r="A906" s="2"/>
      <c r="B906" s="3"/>
      <c r="C906" s="2"/>
      <c r="D906" s="2"/>
      <c r="E906" s="4"/>
      <c r="F906" s="5"/>
      <c r="G906" s="4"/>
      <c r="H906" s="5"/>
      <c r="I906" s="4"/>
      <c r="J906" s="4"/>
      <c r="K906" s="4"/>
    </row>
    <row r="907" spans="1:11" x14ac:dyDescent="0.25">
      <c r="A907" s="2"/>
      <c r="B907" s="3"/>
      <c r="C907" s="2"/>
      <c r="D907" s="2"/>
      <c r="E907" s="4"/>
      <c r="F907" s="5"/>
      <c r="G907" s="4"/>
      <c r="H907" s="5"/>
      <c r="I907" s="4"/>
      <c r="J907" s="4"/>
      <c r="K907" s="4"/>
    </row>
    <row r="908" spans="1:11" x14ac:dyDescent="0.25">
      <c r="A908" s="2"/>
      <c r="B908" s="3"/>
      <c r="C908" s="2"/>
      <c r="D908" s="2"/>
      <c r="E908" s="4"/>
      <c r="F908" s="5"/>
      <c r="G908" s="4"/>
      <c r="H908" s="5"/>
      <c r="I908" s="4"/>
      <c r="J908" s="4"/>
      <c r="K908" s="4"/>
    </row>
    <row r="909" spans="1:11" x14ac:dyDescent="0.25">
      <c r="A909" s="2"/>
      <c r="B909" s="3"/>
      <c r="C909" s="2"/>
      <c r="D909" s="2"/>
      <c r="E909" s="4"/>
      <c r="F909" s="5"/>
      <c r="G909" s="4"/>
      <c r="H909" s="5"/>
      <c r="I909" s="4"/>
      <c r="J909" s="4"/>
      <c r="K909" s="4"/>
    </row>
    <row r="910" spans="1:11" x14ac:dyDescent="0.25">
      <c r="A910" s="2"/>
      <c r="B910" s="3"/>
      <c r="C910" s="2"/>
      <c r="D910" s="2"/>
      <c r="E910" s="4"/>
      <c r="F910" s="5"/>
      <c r="G910" s="4"/>
      <c r="H910" s="5"/>
      <c r="I910" s="4"/>
      <c r="J910" s="4"/>
      <c r="K910" s="4"/>
    </row>
    <row r="911" spans="1:11" x14ac:dyDescent="0.25">
      <c r="A911" s="2"/>
      <c r="B911" s="3"/>
      <c r="C911" s="2"/>
      <c r="D911" s="2"/>
      <c r="E911" s="4"/>
      <c r="F911" s="5"/>
      <c r="G911" s="4"/>
      <c r="H911" s="5"/>
      <c r="I911" s="4"/>
      <c r="J911" s="4"/>
      <c r="K911" s="4"/>
    </row>
    <row r="912" spans="1:11" x14ac:dyDescent="0.25">
      <c r="A912" s="2"/>
      <c r="B912" s="3"/>
      <c r="C912" s="2"/>
      <c r="D912" s="2"/>
      <c r="E912" s="4"/>
      <c r="F912" s="5"/>
      <c r="G912" s="4"/>
      <c r="H912" s="5"/>
      <c r="I912" s="4"/>
      <c r="J912" s="4"/>
      <c r="K912" s="4"/>
    </row>
    <row r="913" spans="1:11" x14ac:dyDescent="0.25">
      <c r="A913" s="2"/>
      <c r="B913" s="3"/>
      <c r="C913" s="2"/>
      <c r="D913" s="2"/>
      <c r="E913" s="4"/>
      <c r="F913" s="5"/>
      <c r="G913" s="4"/>
      <c r="H913" s="5"/>
      <c r="I913" s="4"/>
      <c r="J913" s="4"/>
      <c r="K913" s="4"/>
    </row>
    <row r="914" spans="1:11" x14ac:dyDescent="0.25">
      <c r="A914" s="2"/>
      <c r="B914" s="3"/>
      <c r="C914" s="2"/>
      <c r="D914" s="2"/>
      <c r="E914" s="4"/>
      <c r="F914" s="5"/>
      <c r="G914" s="4"/>
      <c r="H914" s="5"/>
      <c r="I914" s="4"/>
      <c r="J914" s="4"/>
      <c r="K914" s="4"/>
    </row>
    <row r="915" spans="1:11" x14ac:dyDescent="0.25">
      <c r="A915" s="2"/>
      <c r="B915" s="3"/>
      <c r="C915" s="2"/>
      <c r="D915" s="2"/>
      <c r="E915" s="4"/>
      <c r="F915" s="5"/>
      <c r="G915" s="4"/>
      <c r="H915" s="5"/>
      <c r="I915" s="4"/>
      <c r="J915" s="4"/>
      <c r="K915" s="4"/>
    </row>
    <row r="916" spans="1:11" x14ac:dyDescent="0.25">
      <c r="A916" s="2"/>
      <c r="B916" s="3"/>
      <c r="C916" s="2"/>
      <c r="D916" s="2"/>
      <c r="E916" s="4"/>
      <c r="F916" s="5"/>
      <c r="G916" s="4"/>
      <c r="H916" s="5"/>
      <c r="I916" s="4"/>
      <c r="J916" s="4"/>
      <c r="K916" s="4"/>
    </row>
    <row r="917" spans="1:11" x14ac:dyDescent="0.25">
      <c r="A917" s="2"/>
      <c r="B917" s="3"/>
      <c r="C917" s="2"/>
      <c r="D917" s="2"/>
      <c r="E917" s="4"/>
      <c r="F917" s="5"/>
      <c r="G917" s="4"/>
      <c r="H917" s="5"/>
      <c r="I917" s="4"/>
      <c r="J917" s="4"/>
      <c r="K917" s="4"/>
    </row>
    <row r="918" spans="1:11" x14ac:dyDescent="0.25">
      <c r="A918" s="2"/>
      <c r="B918" s="3"/>
      <c r="C918" s="2"/>
      <c r="D918" s="2"/>
      <c r="E918" s="4"/>
      <c r="F918" s="5"/>
      <c r="G918" s="4"/>
      <c r="H918" s="5"/>
      <c r="I918" s="4"/>
      <c r="J918" s="4"/>
      <c r="K918" s="4"/>
    </row>
    <row r="919" spans="1:11" x14ac:dyDescent="0.25">
      <c r="A919" s="2"/>
      <c r="B919" s="3"/>
      <c r="C919" s="2"/>
      <c r="D919" s="2"/>
      <c r="E919" s="4"/>
      <c r="F919" s="5"/>
      <c r="G919" s="4"/>
      <c r="H919" s="5"/>
      <c r="I919" s="4"/>
      <c r="J919" s="4"/>
      <c r="K919" s="4"/>
    </row>
    <row r="920" spans="1:11" x14ac:dyDescent="0.25">
      <c r="A920" s="2"/>
      <c r="B920" s="3"/>
      <c r="C920" s="2"/>
      <c r="D920" s="2"/>
      <c r="E920" s="4"/>
      <c r="F920" s="5"/>
      <c r="G920" s="4"/>
      <c r="H920" s="5"/>
      <c r="I920" s="4"/>
      <c r="J920" s="4"/>
      <c r="K920" s="4"/>
    </row>
    <row r="921" spans="1:11" x14ac:dyDescent="0.25">
      <c r="A921" s="2"/>
      <c r="B921" s="3"/>
      <c r="C921" s="2"/>
      <c r="D921" s="2"/>
      <c r="E921" s="4"/>
      <c r="F921" s="5"/>
      <c r="G921" s="4"/>
      <c r="H921" s="5"/>
      <c r="I921" s="4"/>
      <c r="J921" s="4"/>
      <c r="K921" s="4"/>
    </row>
    <row r="922" spans="1:11" x14ac:dyDescent="0.25">
      <c r="A922" s="2"/>
      <c r="B922" s="3"/>
      <c r="C922" s="2"/>
      <c r="D922" s="2"/>
      <c r="E922" s="4"/>
      <c r="F922" s="5"/>
      <c r="G922" s="4"/>
      <c r="H922" s="5"/>
      <c r="I922" s="4"/>
      <c r="J922" s="4"/>
      <c r="K922" s="4"/>
    </row>
    <row r="923" spans="1:11" x14ac:dyDescent="0.25">
      <c r="A923" s="2"/>
      <c r="B923" s="3"/>
      <c r="C923" s="2"/>
      <c r="D923" s="2"/>
      <c r="E923" s="4"/>
      <c r="F923" s="5"/>
      <c r="G923" s="4"/>
      <c r="H923" s="5"/>
      <c r="I923" s="4"/>
      <c r="J923" s="4"/>
      <c r="K923" s="4"/>
    </row>
    <row r="924" spans="1:11" x14ac:dyDescent="0.25">
      <c r="A924" s="2"/>
      <c r="B924" s="3"/>
      <c r="C924" s="2"/>
      <c r="D924" s="2"/>
      <c r="E924" s="4"/>
      <c r="F924" s="5"/>
      <c r="G924" s="4"/>
      <c r="H924" s="5"/>
      <c r="I924" s="4"/>
      <c r="J924" s="4"/>
      <c r="K924" s="4"/>
    </row>
    <row r="925" spans="1:11" x14ac:dyDescent="0.25">
      <c r="A925" s="2"/>
      <c r="B925" s="3"/>
      <c r="C925" s="2"/>
      <c r="D925" s="2"/>
      <c r="E925" s="4"/>
      <c r="F925" s="5"/>
      <c r="G925" s="4"/>
      <c r="H925" s="5"/>
      <c r="I925" s="4"/>
      <c r="J925" s="4"/>
      <c r="K925" s="4"/>
    </row>
    <row r="926" spans="1:11" x14ac:dyDescent="0.25">
      <c r="A926" s="2"/>
      <c r="B926" s="3"/>
      <c r="C926" s="2"/>
      <c r="D926" s="2"/>
      <c r="E926" s="4"/>
      <c r="F926" s="5"/>
      <c r="G926" s="4"/>
      <c r="H926" s="5"/>
      <c r="I926" s="4"/>
      <c r="J926" s="4"/>
      <c r="K926" s="4"/>
    </row>
    <row r="927" spans="1:11" x14ac:dyDescent="0.25">
      <c r="A927" s="2"/>
      <c r="B927" s="3"/>
      <c r="C927" s="2"/>
      <c r="D927" s="2"/>
      <c r="E927" s="4"/>
      <c r="F927" s="5"/>
      <c r="G927" s="4"/>
      <c r="H927" s="5"/>
      <c r="I927" s="4"/>
      <c r="J927" s="4"/>
      <c r="K927" s="4"/>
    </row>
    <row r="928" spans="1:11" x14ac:dyDescent="0.25">
      <c r="A928" s="2"/>
      <c r="B928" s="3"/>
      <c r="C928" s="2"/>
      <c r="D928" s="2"/>
      <c r="E928" s="4"/>
      <c r="F928" s="5"/>
      <c r="G928" s="4"/>
      <c r="H928" s="5"/>
      <c r="I928" s="4"/>
      <c r="J928" s="4"/>
      <c r="K928" s="4"/>
    </row>
    <row r="929" spans="1:11" x14ac:dyDescent="0.25">
      <c r="A929" s="2"/>
      <c r="B929" s="3"/>
      <c r="C929" s="2"/>
      <c r="D929" s="2"/>
      <c r="E929" s="4"/>
      <c r="F929" s="5"/>
      <c r="G929" s="4"/>
      <c r="H929" s="5"/>
      <c r="I929" s="4"/>
      <c r="J929" s="4"/>
      <c r="K929" s="4"/>
    </row>
    <row r="930" spans="1:11" x14ac:dyDescent="0.25">
      <c r="A930" s="2"/>
      <c r="B930" s="3"/>
      <c r="C930" s="2"/>
      <c r="D930" s="2"/>
      <c r="E930" s="4"/>
      <c r="F930" s="5"/>
      <c r="G930" s="4"/>
      <c r="H930" s="5"/>
      <c r="I930" s="4"/>
      <c r="J930" s="4"/>
      <c r="K930" s="4"/>
    </row>
    <row r="931" spans="1:11" x14ac:dyDescent="0.25">
      <c r="A931" s="2"/>
      <c r="B931" s="3"/>
      <c r="C931" s="2"/>
      <c r="D931" s="2"/>
      <c r="E931" s="4"/>
      <c r="F931" s="5"/>
      <c r="G931" s="4"/>
      <c r="H931" s="5"/>
      <c r="I931" s="4"/>
      <c r="J931" s="4"/>
      <c r="K931" s="4"/>
    </row>
    <row r="932" spans="1:11" x14ac:dyDescent="0.25">
      <c r="A932" s="2"/>
      <c r="B932" s="3"/>
      <c r="C932" s="2"/>
      <c r="D932" s="2"/>
      <c r="E932" s="4"/>
      <c r="F932" s="5"/>
      <c r="G932" s="4"/>
      <c r="H932" s="5"/>
      <c r="I932" s="4"/>
      <c r="J932" s="4"/>
      <c r="K932" s="4"/>
    </row>
    <row r="933" spans="1:11" x14ac:dyDescent="0.25">
      <c r="A933" s="2"/>
      <c r="B933" s="3"/>
      <c r="C933" s="2"/>
      <c r="D933" s="2"/>
      <c r="E933" s="4"/>
      <c r="F933" s="5"/>
      <c r="G933" s="4"/>
      <c r="H933" s="5"/>
      <c r="I933" s="4"/>
      <c r="J933" s="4"/>
      <c r="K933" s="4"/>
    </row>
    <row r="934" spans="1:11" x14ac:dyDescent="0.25">
      <c r="A934" s="2"/>
      <c r="B934" s="3"/>
      <c r="C934" s="2"/>
      <c r="D934" s="2"/>
      <c r="E934" s="4"/>
      <c r="F934" s="5"/>
      <c r="G934" s="4"/>
      <c r="H934" s="5"/>
      <c r="I934" s="4"/>
      <c r="J934" s="4"/>
      <c r="K934" s="4"/>
    </row>
    <row r="935" spans="1:11" x14ac:dyDescent="0.25">
      <c r="A935" s="2"/>
      <c r="B935" s="3"/>
      <c r="C935" s="2"/>
      <c r="D935" s="2"/>
      <c r="E935" s="4"/>
      <c r="F935" s="5"/>
      <c r="G935" s="4"/>
      <c r="H935" s="5"/>
      <c r="I935" s="4"/>
      <c r="J935" s="4"/>
      <c r="K935" s="4"/>
    </row>
    <row r="936" spans="1:11" x14ac:dyDescent="0.25">
      <c r="A936" s="2"/>
      <c r="B936" s="3"/>
      <c r="C936" s="2"/>
      <c r="D936" s="2"/>
      <c r="E936" s="4"/>
      <c r="F936" s="5"/>
      <c r="G936" s="4"/>
      <c r="H936" s="5"/>
      <c r="I936" s="4"/>
      <c r="J936" s="4"/>
      <c r="K936" s="4"/>
    </row>
    <row r="937" spans="1:11" x14ac:dyDescent="0.25">
      <c r="A937" s="2"/>
      <c r="B937" s="3"/>
      <c r="C937" s="2"/>
      <c r="D937" s="2"/>
      <c r="E937" s="4"/>
      <c r="F937" s="5"/>
      <c r="G937" s="4"/>
      <c r="H937" s="5"/>
      <c r="I937" s="4"/>
      <c r="J937" s="4"/>
      <c r="K937" s="4"/>
    </row>
    <row r="938" spans="1:11" x14ac:dyDescent="0.25">
      <c r="A938" s="2"/>
      <c r="B938" s="3"/>
      <c r="C938" s="2"/>
      <c r="D938" s="2"/>
      <c r="E938" s="4"/>
      <c r="F938" s="5"/>
      <c r="G938" s="4"/>
      <c r="H938" s="5"/>
      <c r="I938" s="4"/>
      <c r="J938" s="4"/>
      <c r="K938" s="4"/>
    </row>
    <row r="939" spans="1:11" x14ac:dyDescent="0.25">
      <c r="A939" s="2"/>
      <c r="B939" s="3"/>
      <c r="C939" s="2"/>
      <c r="D939" s="2"/>
      <c r="E939" s="4"/>
      <c r="F939" s="5"/>
      <c r="G939" s="4"/>
      <c r="H939" s="5"/>
      <c r="I939" s="4"/>
      <c r="J939" s="4"/>
      <c r="K939" s="4"/>
    </row>
    <row r="940" spans="1:11" x14ac:dyDescent="0.25">
      <c r="A940" s="2"/>
      <c r="B940" s="3"/>
      <c r="C940" s="2"/>
      <c r="D940" s="2"/>
      <c r="E940" s="4"/>
      <c r="F940" s="5"/>
      <c r="G940" s="4"/>
      <c r="H940" s="5"/>
      <c r="I940" s="4"/>
      <c r="J940" s="4"/>
      <c r="K940" s="4"/>
    </row>
    <row r="941" spans="1:11" x14ac:dyDescent="0.25">
      <c r="A941" s="2"/>
      <c r="B941" s="3"/>
      <c r="C941" s="2"/>
      <c r="D941" s="2"/>
      <c r="E941" s="4"/>
      <c r="F941" s="5"/>
      <c r="G941" s="4"/>
      <c r="H941" s="5"/>
      <c r="I941" s="4"/>
      <c r="J941" s="4"/>
      <c r="K941" s="4"/>
    </row>
    <row r="942" spans="1:11" x14ac:dyDescent="0.25">
      <c r="A942" s="2"/>
      <c r="B942" s="3"/>
      <c r="C942" s="2"/>
      <c r="D942" s="2"/>
      <c r="E942" s="4"/>
      <c r="F942" s="5"/>
      <c r="G942" s="4"/>
      <c r="H942" s="5"/>
      <c r="I942" s="4"/>
      <c r="J942" s="4"/>
      <c r="K942" s="4"/>
    </row>
    <row r="943" spans="1:11" x14ac:dyDescent="0.25">
      <c r="A943" s="2"/>
      <c r="B943" s="3"/>
      <c r="C943" s="2"/>
      <c r="D943" s="2"/>
      <c r="E943" s="4"/>
      <c r="F943" s="5"/>
      <c r="G943" s="4"/>
      <c r="H943" s="5"/>
      <c r="I943" s="4"/>
      <c r="J943" s="4"/>
      <c r="K943" s="4"/>
    </row>
    <row r="944" spans="1:11" x14ac:dyDescent="0.25">
      <c r="A944" s="2"/>
      <c r="B944" s="3"/>
      <c r="C944" s="2"/>
      <c r="D944" s="2"/>
      <c r="E944" s="4"/>
      <c r="F944" s="5"/>
      <c r="G944" s="4"/>
      <c r="H944" s="5"/>
      <c r="I944" s="4"/>
      <c r="J944" s="4"/>
      <c r="K944" s="4"/>
    </row>
    <row r="945" spans="1:11" x14ac:dyDescent="0.25">
      <c r="A945" s="2"/>
      <c r="B945" s="3"/>
      <c r="C945" s="2"/>
      <c r="D945" s="2"/>
      <c r="E945" s="4"/>
      <c r="F945" s="5"/>
      <c r="G945" s="4"/>
      <c r="H945" s="5"/>
      <c r="I945" s="4"/>
      <c r="J945" s="4"/>
      <c r="K945" s="4"/>
    </row>
    <row r="946" spans="1:11" x14ac:dyDescent="0.25">
      <c r="A946" s="2"/>
      <c r="B946" s="3"/>
      <c r="C946" s="2"/>
      <c r="D946" s="2"/>
      <c r="E946" s="4"/>
      <c r="F946" s="5"/>
      <c r="G946" s="4"/>
      <c r="H946" s="5"/>
      <c r="I946" s="4"/>
      <c r="J946" s="4"/>
      <c r="K946" s="4"/>
    </row>
    <row r="947" spans="1:11" x14ac:dyDescent="0.25">
      <c r="A947" s="2"/>
      <c r="B947" s="3"/>
      <c r="C947" s="2"/>
      <c r="D947" s="2"/>
      <c r="E947" s="4"/>
      <c r="F947" s="5"/>
      <c r="G947" s="4"/>
      <c r="H947" s="5"/>
      <c r="I947" s="4"/>
      <c r="J947" s="4"/>
      <c r="K947" s="4"/>
    </row>
    <row r="948" spans="1:11" x14ac:dyDescent="0.25">
      <c r="A948" s="2"/>
      <c r="B948" s="3"/>
      <c r="C948" s="2"/>
      <c r="D948" s="2"/>
      <c r="E948" s="4"/>
      <c r="F948" s="5"/>
      <c r="G948" s="4"/>
      <c r="H948" s="5"/>
      <c r="I948" s="4"/>
      <c r="J948" s="4"/>
      <c r="K948" s="4"/>
    </row>
    <row r="949" spans="1:11" x14ac:dyDescent="0.25">
      <c r="A949" s="2"/>
      <c r="B949" s="3"/>
      <c r="C949" s="2"/>
      <c r="D949" s="2"/>
      <c r="E949" s="4"/>
      <c r="F949" s="5"/>
      <c r="G949" s="4"/>
      <c r="H949" s="5"/>
      <c r="I949" s="4"/>
      <c r="J949" s="4"/>
      <c r="K949" s="4"/>
    </row>
    <row r="950" spans="1:11" x14ac:dyDescent="0.25">
      <c r="A950" s="2"/>
      <c r="B950" s="3"/>
      <c r="C950" s="2"/>
      <c r="D950" s="2"/>
      <c r="E950" s="4"/>
      <c r="F950" s="5"/>
      <c r="G950" s="4"/>
      <c r="H950" s="5"/>
      <c r="I950" s="4"/>
      <c r="J950" s="4"/>
      <c r="K950" s="4"/>
    </row>
    <row r="951" spans="1:11" x14ac:dyDescent="0.25">
      <c r="A951" s="2"/>
      <c r="B951" s="3"/>
      <c r="C951" s="2"/>
      <c r="D951" s="2"/>
      <c r="E951" s="4"/>
      <c r="F951" s="5"/>
      <c r="G951" s="4"/>
      <c r="H951" s="5"/>
      <c r="I951" s="4"/>
      <c r="J951" s="4"/>
      <c r="K951" s="4"/>
    </row>
    <row r="952" spans="1:11" x14ac:dyDescent="0.25">
      <c r="A952" s="2"/>
      <c r="B952" s="3"/>
      <c r="C952" s="2"/>
      <c r="D952" s="2"/>
      <c r="E952" s="4"/>
      <c r="F952" s="5"/>
      <c r="G952" s="4"/>
      <c r="H952" s="5"/>
      <c r="I952" s="4"/>
      <c r="J952" s="4"/>
      <c r="K952" s="4"/>
    </row>
    <row r="953" spans="1:11" x14ac:dyDescent="0.25">
      <c r="A953" s="2"/>
      <c r="B953" s="3"/>
      <c r="C953" s="2"/>
      <c r="D953" s="2"/>
      <c r="E953" s="4"/>
      <c r="F953" s="5"/>
      <c r="G953" s="4"/>
      <c r="H953" s="5"/>
      <c r="I953" s="4"/>
      <c r="J953" s="4"/>
      <c r="K953" s="4"/>
    </row>
    <row r="954" spans="1:11" x14ac:dyDescent="0.25">
      <c r="A954" s="2"/>
      <c r="B954" s="3"/>
      <c r="C954" s="2"/>
      <c r="D954" s="2"/>
      <c r="E954" s="4"/>
      <c r="F954" s="5"/>
      <c r="G954" s="4"/>
      <c r="H954" s="5"/>
      <c r="I954" s="4"/>
      <c r="J954" s="4"/>
      <c r="K954" s="4"/>
    </row>
    <row r="955" spans="1:11" x14ac:dyDescent="0.25">
      <c r="A955" s="2"/>
      <c r="B955" s="3"/>
      <c r="C955" s="2"/>
      <c r="D955" s="2"/>
      <c r="E955" s="4"/>
      <c r="F955" s="5"/>
      <c r="G955" s="4"/>
      <c r="H955" s="5"/>
      <c r="I955" s="4"/>
      <c r="J955" s="4"/>
      <c r="K955" s="4"/>
    </row>
    <row r="956" spans="1:11" x14ac:dyDescent="0.25">
      <c r="A956" s="2"/>
      <c r="B956" s="3"/>
      <c r="C956" s="2"/>
      <c r="D956" s="2"/>
      <c r="E956" s="4"/>
      <c r="F956" s="5"/>
      <c r="G956" s="4"/>
      <c r="H956" s="5"/>
      <c r="I956" s="4"/>
      <c r="J956" s="4"/>
      <c r="K956" s="4"/>
    </row>
    <row r="957" spans="1:11" x14ac:dyDescent="0.25">
      <c r="A957" s="2"/>
      <c r="B957" s="3"/>
      <c r="C957" s="2"/>
      <c r="D957" s="2"/>
      <c r="E957" s="4"/>
      <c r="F957" s="5"/>
      <c r="G957" s="4"/>
      <c r="H957" s="5"/>
      <c r="I957" s="4"/>
      <c r="J957" s="4"/>
      <c r="K957" s="4"/>
    </row>
    <row r="958" spans="1:11" x14ac:dyDescent="0.25">
      <c r="A958" s="2"/>
      <c r="B958" s="3"/>
      <c r="C958" s="2"/>
      <c r="D958" s="2"/>
      <c r="E958" s="4"/>
      <c r="F958" s="5"/>
      <c r="G958" s="4"/>
      <c r="H958" s="5"/>
      <c r="I958" s="4"/>
      <c r="J958" s="4"/>
      <c r="K958" s="4"/>
    </row>
    <row r="959" spans="1:11" x14ac:dyDescent="0.25">
      <c r="A959" s="2"/>
      <c r="B959" s="3"/>
      <c r="C959" s="2"/>
      <c r="D959" s="2"/>
      <c r="E959" s="4"/>
      <c r="F959" s="5"/>
      <c r="G959" s="4"/>
      <c r="H959" s="5"/>
      <c r="I959" s="4"/>
      <c r="J959" s="4"/>
      <c r="K959" s="4"/>
    </row>
    <row r="960" spans="1:11" x14ac:dyDescent="0.25">
      <c r="A960" s="2"/>
      <c r="B960" s="3"/>
      <c r="C960" s="2"/>
      <c r="D960" s="2"/>
      <c r="E960" s="4"/>
      <c r="F960" s="5"/>
      <c r="G960" s="4"/>
      <c r="H960" s="5"/>
      <c r="I960" s="4"/>
      <c r="J960" s="4"/>
      <c r="K960" s="4"/>
    </row>
    <row r="961" spans="1:11" x14ac:dyDescent="0.25">
      <c r="A961" s="2"/>
      <c r="B961" s="3"/>
      <c r="C961" s="2"/>
      <c r="D961" s="2"/>
      <c r="E961" s="4"/>
      <c r="F961" s="5"/>
      <c r="G961" s="4"/>
      <c r="H961" s="5"/>
      <c r="I961" s="4"/>
      <c r="J961" s="4"/>
      <c r="K961" s="4"/>
    </row>
    <row r="962" spans="1:11" x14ac:dyDescent="0.25">
      <c r="A962" s="2"/>
      <c r="B962" s="3"/>
      <c r="C962" s="2"/>
      <c r="D962" s="2"/>
      <c r="E962" s="4"/>
      <c r="F962" s="5"/>
      <c r="G962" s="4"/>
      <c r="H962" s="5"/>
      <c r="I962" s="4"/>
      <c r="J962" s="4"/>
      <c r="K962" s="4"/>
    </row>
    <row r="963" spans="1:11" x14ac:dyDescent="0.25">
      <c r="A963" s="2"/>
      <c r="B963" s="3"/>
      <c r="C963" s="2"/>
      <c r="D963" s="2"/>
      <c r="E963" s="4"/>
      <c r="F963" s="5"/>
      <c r="G963" s="4"/>
      <c r="H963" s="5"/>
      <c r="I963" s="4"/>
      <c r="J963" s="4"/>
      <c r="K963" s="4"/>
    </row>
    <row r="964" spans="1:11" x14ac:dyDescent="0.25">
      <c r="A964" s="2"/>
      <c r="B964" s="3"/>
      <c r="C964" s="2"/>
      <c r="D964" s="2"/>
      <c r="E964" s="4"/>
      <c r="F964" s="5"/>
      <c r="G964" s="4"/>
      <c r="H964" s="5"/>
      <c r="I964" s="4"/>
      <c r="J964" s="4"/>
      <c r="K964" s="4"/>
    </row>
    <row r="965" spans="1:11" x14ac:dyDescent="0.25">
      <c r="A965" s="2"/>
      <c r="B965" s="3"/>
      <c r="C965" s="2"/>
      <c r="D965" s="2"/>
      <c r="E965" s="4"/>
      <c r="F965" s="5"/>
      <c r="G965" s="4"/>
      <c r="H965" s="5"/>
      <c r="I965" s="4"/>
      <c r="J965" s="4"/>
      <c r="K965" s="4"/>
    </row>
    <row r="966" spans="1:11" x14ac:dyDescent="0.25">
      <c r="A966" s="2"/>
      <c r="B966" s="3"/>
      <c r="C966" s="2"/>
      <c r="D966" s="2"/>
      <c r="E966" s="4"/>
      <c r="F966" s="5"/>
      <c r="G966" s="4"/>
      <c r="H966" s="5"/>
      <c r="I966" s="4"/>
      <c r="J966" s="4"/>
      <c r="K966" s="4"/>
    </row>
    <row r="967" spans="1:11" x14ac:dyDescent="0.25">
      <c r="A967" s="2"/>
      <c r="B967" s="3"/>
      <c r="C967" s="2"/>
      <c r="D967" s="2"/>
      <c r="E967" s="4"/>
      <c r="F967" s="5"/>
      <c r="G967" s="4"/>
      <c r="H967" s="5"/>
      <c r="I967" s="4"/>
      <c r="J967" s="4"/>
      <c r="K967" s="4"/>
    </row>
    <row r="968" spans="1:11" x14ac:dyDescent="0.25">
      <c r="A968" s="2"/>
      <c r="B968" s="3"/>
      <c r="C968" s="2"/>
      <c r="D968" s="2"/>
      <c r="E968" s="4"/>
      <c r="F968" s="5"/>
      <c r="G968" s="4"/>
      <c r="H968" s="5"/>
      <c r="I968" s="4"/>
      <c r="J968" s="4"/>
      <c r="K968" s="4"/>
    </row>
    <row r="969" spans="1:11" x14ac:dyDescent="0.25">
      <c r="A969" s="2"/>
      <c r="B969" s="3"/>
      <c r="C969" s="2"/>
      <c r="D969" s="2"/>
      <c r="E969" s="4"/>
      <c r="F969" s="5"/>
      <c r="G969" s="4"/>
      <c r="H969" s="5"/>
      <c r="I969" s="4"/>
      <c r="J969" s="4"/>
      <c r="K969" s="4"/>
    </row>
    <row r="970" spans="1:11" x14ac:dyDescent="0.25">
      <c r="A970" s="2"/>
      <c r="B970" s="3"/>
      <c r="C970" s="2"/>
      <c r="D970" s="2"/>
      <c r="E970" s="4"/>
      <c r="F970" s="5"/>
      <c r="G970" s="4"/>
      <c r="H970" s="5"/>
      <c r="I970" s="4"/>
      <c r="J970" s="4"/>
      <c r="K970" s="4"/>
    </row>
    <row r="971" spans="1:11" x14ac:dyDescent="0.25">
      <c r="A971" s="2"/>
      <c r="B971" s="3"/>
      <c r="C971" s="2"/>
      <c r="D971" s="2"/>
      <c r="E971" s="4"/>
      <c r="F971" s="5"/>
      <c r="G971" s="4"/>
      <c r="H971" s="5"/>
      <c r="I971" s="4"/>
      <c r="J971" s="4"/>
      <c r="K971" s="4"/>
    </row>
    <row r="972" spans="1:11" x14ac:dyDescent="0.25">
      <c r="A972" s="2"/>
      <c r="B972" s="3"/>
      <c r="C972" s="2"/>
      <c r="D972" s="2"/>
      <c r="E972" s="4"/>
      <c r="F972" s="5"/>
      <c r="G972" s="4"/>
      <c r="H972" s="5"/>
      <c r="I972" s="4"/>
      <c r="J972" s="4"/>
      <c r="K972" s="4"/>
    </row>
    <row r="973" spans="1:11" x14ac:dyDescent="0.25">
      <c r="A973" s="2"/>
      <c r="B973" s="3"/>
      <c r="C973" s="2"/>
      <c r="D973" s="2"/>
      <c r="E973" s="4"/>
      <c r="F973" s="5"/>
      <c r="G973" s="4"/>
      <c r="H973" s="5"/>
      <c r="I973" s="4"/>
      <c r="J973" s="4"/>
      <c r="K973" s="4"/>
    </row>
    <row r="974" spans="1:11" x14ac:dyDescent="0.25">
      <c r="A974" s="2"/>
      <c r="B974" s="3"/>
      <c r="C974" s="2"/>
      <c r="D974" s="2"/>
      <c r="E974" s="4"/>
      <c r="F974" s="5"/>
      <c r="G974" s="4"/>
      <c r="H974" s="5"/>
      <c r="I974" s="4"/>
      <c r="J974" s="4"/>
      <c r="K974" s="4"/>
    </row>
    <row r="975" spans="1:11" x14ac:dyDescent="0.25">
      <c r="A975" s="2"/>
      <c r="B975" s="3"/>
      <c r="C975" s="2"/>
      <c r="D975" s="2"/>
      <c r="E975" s="4"/>
      <c r="F975" s="5"/>
      <c r="G975" s="4"/>
      <c r="H975" s="5"/>
      <c r="I975" s="4"/>
      <c r="J975" s="4"/>
      <c r="K975" s="4"/>
    </row>
    <row r="976" spans="1:11" x14ac:dyDescent="0.25">
      <c r="A976" s="2"/>
      <c r="B976" s="3"/>
      <c r="C976" s="2"/>
      <c r="D976" s="2"/>
      <c r="E976" s="4"/>
      <c r="F976" s="5"/>
      <c r="G976" s="4"/>
      <c r="H976" s="5"/>
      <c r="I976" s="4"/>
      <c r="J976" s="4"/>
      <c r="K976" s="4"/>
    </row>
    <row r="977" spans="1:11" x14ac:dyDescent="0.25">
      <c r="A977" s="2"/>
      <c r="B977" s="3"/>
      <c r="C977" s="2"/>
      <c r="D977" s="2"/>
      <c r="E977" s="4"/>
      <c r="F977" s="5"/>
      <c r="G977" s="4"/>
      <c r="H977" s="5"/>
      <c r="I977" s="4"/>
      <c r="J977" s="4"/>
      <c r="K977" s="4"/>
    </row>
    <row r="978" spans="1:11" x14ac:dyDescent="0.25">
      <c r="A978" s="2"/>
      <c r="B978" s="3"/>
      <c r="C978" s="2"/>
      <c r="D978" s="2"/>
      <c r="E978" s="4"/>
      <c r="F978" s="5"/>
      <c r="G978" s="4"/>
      <c r="H978" s="5"/>
      <c r="I978" s="4"/>
      <c r="J978" s="4"/>
      <c r="K978" s="4"/>
    </row>
    <row r="979" spans="1:11" x14ac:dyDescent="0.25">
      <c r="A979" s="2"/>
      <c r="B979" s="3"/>
      <c r="C979" s="2"/>
      <c r="D979" s="2"/>
      <c r="E979" s="4"/>
      <c r="F979" s="5"/>
      <c r="G979" s="4"/>
      <c r="H979" s="5"/>
      <c r="I979" s="4"/>
      <c r="J979" s="4"/>
      <c r="K979" s="4"/>
    </row>
    <row r="980" spans="1:11" x14ac:dyDescent="0.25">
      <c r="A980" s="2"/>
      <c r="B980" s="3"/>
      <c r="C980" s="2"/>
      <c r="D980" s="2"/>
      <c r="E980" s="4"/>
      <c r="F980" s="5"/>
      <c r="G980" s="4"/>
      <c r="H980" s="5"/>
      <c r="I980" s="4"/>
      <c r="J980" s="4"/>
      <c r="K980" s="4"/>
    </row>
    <row r="981" spans="1:11" x14ac:dyDescent="0.25">
      <c r="A981" s="2"/>
      <c r="B981" s="3"/>
      <c r="C981" s="2"/>
      <c r="D981" s="2"/>
      <c r="E981" s="4"/>
      <c r="F981" s="5"/>
      <c r="G981" s="4"/>
      <c r="H981" s="5"/>
      <c r="I981" s="4"/>
      <c r="J981" s="4"/>
      <c r="K981" s="4"/>
    </row>
    <row r="982" spans="1:11" x14ac:dyDescent="0.25">
      <c r="A982" s="2"/>
      <c r="B982" s="3"/>
      <c r="C982" s="2"/>
      <c r="D982" s="2"/>
      <c r="E982" s="4"/>
      <c r="F982" s="5"/>
      <c r="G982" s="4"/>
      <c r="H982" s="5"/>
      <c r="I982" s="4"/>
      <c r="J982" s="4"/>
      <c r="K982" s="4"/>
    </row>
    <row r="983" spans="1:11" x14ac:dyDescent="0.25">
      <c r="A983" s="2"/>
      <c r="B983" s="3"/>
      <c r="C983" s="2"/>
      <c r="D983" s="2"/>
      <c r="E983" s="4"/>
      <c r="F983" s="5"/>
      <c r="G983" s="4"/>
      <c r="H983" s="5"/>
      <c r="I983" s="4"/>
      <c r="J983" s="4"/>
      <c r="K983" s="4"/>
    </row>
    <row r="984" spans="1:11" x14ac:dyDescent="0.25">
      <c r="A984" s="2"/>
      <c r="B984" s="3"/>
      <c r="C984" s="2"/>
      <c r="D984" s="2"/>
      <c r="E984" s="4"/>
      <c r="F984" s="5"/>
      <c r="G984" s="4"/>
      <c r="H984" s="5"/>
      <c r="I984" s="4"/>
      <c r="J984" s="4"/>
      <c r="K984" s="4"/>
    </row>
    <row r="985" spans="1:11" x14ac:dyDescent="0.25">
      <c r="A985" s="2"/>
      <c r="B985" s="3"/>
      <c r="C985" s="2"/>
      <c r="D985" s="2"/>
      <c r="E985" s="4"/>
      <c r="F985" s="5"/>
      <c r="G985" s="4"/>
      <c r="H985" s="5"/>
      <c r="I985" s="4"/>
      <c r="J985" s="4"/>
      <c r="K985" s="4"/>
    </row>
    <row r="986" spans="1:11" x14ac:dyDescent="0.25">
      <c r="A986" s="2"/>
      <c r="B986" s="3"/>
      <c r="C986" s="2"/>
      <c r="D986" s="2"/>
      <c r="E986" s="4"/>
      <c r="F986" s="5"/>
      <c r="G986" s="4"/>
      <c r="H986" s="5"/>
      <c r="I986" s="4"/>
      <c r="J986" s="4"/>
      <c r="K986" s="4"/>
    </row>
    <row r="987" spans="1:11" x14ac:dyDescent="0.25">
      <c r="A987" s="2"/>
      <c r="B987" s="3"/>
      <c r="C987" s="2"/>
      <c r="D987" s="2"/>
      <c r="E987" s="4"/>
      <c r="F987" s="5"/>
      <c r="G987" s="4"/>
      <c r="H987" s="5"/>
      <c r="I987" s="4"/>
      <c r="J987" s="4"/>
      <c r="K987" s="4"/>
    </row>
    <row r="988" spans="1:11" x14ac:dyDescent="0.25">
      <c r="A988" s="2"/>
      <c r="B988" s="3"/>
      <c r="C988" s="2"/>
      <c r="D988" s="2"/>
      <c r="E988" s="4"/>
      <c r="F988" s="5"/>
      <c r="G988" s="4"/>
      <c r="H988" s="5"/>
      <c r="I988" s="4"/>
      <c r="J988" s="4"/>
      <c r="K988" s="4"/>
    </row>
    <row r="989" spans="1:11" x14ac:dyDescent="0.25">
      <c r="A989" s="2"/>
      <c r="B989" s="3"/>
      <c r="C989" s="2"/>
      <c r="D989" s="2"/>
      <c r="E989" s="4"/>
      <c r="F989" s="5"/>
      <c r="G989" s="4"/>
      <c r="H989" s="5"/>
      <c r="I989" s="4"/>
      <c r="J989" s="4"/>
      <c r="K989" s="4"/>
    </row>
    <row r="990" spans="1:11" x14ac:dyDescent="0.25">
      <c r="A990" s="2"/>
      <c r="B990" s="3"/>
      <c r="C990" s="2"/>
      <c r="D990" s="2"/>
      <c r="E990" s="4"/>
      <c r="F990" s="5"/>
      <c r="G990" s="4"/>
      <c r="H990" s="5"/>
      <c r="I990" s="4"/>
      <c r="J990" s="4"/>
      <c r="K990" s="4"/>
    </row>
    <row r="991" spans="1:11" x14ac:dyDescent="0.25">
      <c r="A991" s="2"/>
      <c r="B991" s="3"/>
      <c r="C991" s="2"/>
      <c r="D991" s="2"/>
      <c r="E991" s="4"/>
      <c r="F991" s="5"/>
      <c r="G991" s="4"/>
      <c r="H991" s="5"/>
      <c r="I991" s="4"/>
      <c r="J991" s="4"/>
      <c r="K991" s="4"/>
    </row>
    <row r="992" spans="1:11" x14ac:dyDescent="0.25">
      <c r="A992" s="2"/>
      <c r="B992" s="3"/>
      <c r="C992" s="2"/>
      <c r="D992" s="2"/>
      <c r="E992" s="4"/>
      <c r="F992" s="5"/>
      <c r="G992" s="4"/>
      <c r="H992" s="5"/>
      <c r="I992" s="4"/>
      <c r="J992" s="4"/>
      <c r="K992" s="4"/>
    </row>
    <row r="993" spans="1:11" x14ac:dyDescent="0.25">
      <c r="A993" s="2"/>
      <c r="B993" s="3"/>
      <c r="C993" s="2"/>
      <c r="D993" s="2"/>
      <c r="E993" s="4"/>
      <c r="F993" s="5"/>
      <c r="G993" s="4"/>
      <c r="H993" s="5"/>
      <c r="I993" s="4"/>
      <c r="J993" s="4"/>
      <c r="K993" s="4"/>
    </row>
    <row r="994" spans="1:11" x14ac:dyDescent="0.25">
      <c r="A994" s="2"/>
      <c r="B994" s="3"/>
      <c r="C994" s="2"/>
      <c r="D994" s="2"/>
      <c r="E994" s="4"/>
      <c r="F994" s="5"/>
      <c r="G994" s="4"/>
      <c r="H994" s="5"/>
      <c r="I994" s="4"/>
      <c r="J994" s="4"/>
      <c r="K994" s="4"/>
    </row>
    <row r="995" spans="1:11" x14ac:dyDescent="0.25">
      <c r="A995" s="2"/>
      <c r="B995" s="3"/>
      <c r="C995" s="2"/>
      <c r="D995" s="2"/>
      <c r="E995" s="4"/>
      <c r="F995" s="5"/>
      <c r="G995" s="4"/>
      <c r="H995" s="5"/>
      <c r="I995" s="4"/>
      <c r="J995" s="4"/>
      <c r="K995" s="4"/>
    </row>
    <row r="996" spans="1:11" x14ac:dyDescent="0.25">
      <c r="A996" s="2"/>
      <c r="B996" s="3"/>
      <c r="C996" s="2"/>
      <c r="D996" s="2"/>
      <c r="E996" s="4"/>
      <c r="F996" s="5"/>
      <c r="G996" s="4"/>
      <c r="H996" s="5"/>
      <c r="I996" s="4"/>
      <c r="J996" s="4"/>
      <c r="K996" s="4"/>
    </row>
    <row r="997" spans="1:11" x14ac:dyDescent="0.25">
      <c r="A997" s="2"/>
      <c r="B997" s="3"/>
      <c r="C997" s="2"/>
      <c r="D997" s="2"/>
      <c r="E997" s="4"/>
      <c r="F997" s="5"/>
      <c r="G997" s="4"/>
      <c r="H997" s="5"/>
      <c r="I997" s="4"/>
      <c r="J997" s="4"/>
      <c r="K997" s="4"/>
    </row>
    <row r="998" spans="1:11" x14ac:dyDescent="0.25">
      <c r="A998" s="2"/>
      <c r="B998" s="3"/>
      <c r="C998" s="2"/>
      <c r="D998" s="2"/>
      <c r="E998" s="4"/>
      <c r="F998" s="5"/>
      <c r="G998" s="4"/>
      <c r="H998" s="5"/>
      <c r="I998" s="4"/>
      <c r="J998" s="4"/>
      <c r="K998" s="4"/>
    </row>
    <row r="999" spans="1:11" x14ac:dyDescent="0.25">
      <c r="A999" s="2"/>
      <c r="B999" s="3"/>
      <c r="C999" s="2"/>
      <c r="D999" s="2"/>
      <c r="E999" s="4"/>
      <c r="F999" s="5"/>
      <c r="G999" s="4"/>
      <c r="H999" s="5"/>
      <c r="I999" s="4"/>
      <c r="J999" s="4"/>
      <c r="K999" s="4"/>
    </row>
    <row r="1000" spans="1:11" x14ac:dyDescent="0.25">
      <c r="A1000" s="2"/>
      <c r="B1000" s="3"/>
      <c r="C1000" s="2"/>
      <c r="D1000" s="2"/>
      <c r="E1000" s="4"/>
      <c r="F1000" s="5"/>
      <c r="G1000" s="4"/>
      <c r="H1000" s="5"/>
      <c r="I1000" s="4"/>
      <c r="J1000" s="4"/>
      <c r="K1000" s="4"/>
    </row>
    <row r="1001" spans="1:11" x14ac:dyDescent="0.25">
      <c r="A1001" s="2"/>
      <c r="B1001" s="3"/>
      <c r="C1001" s="2"/>
      <c r="D1001" s="2"/>
      <c r="E1001" s="4"/>
      <c r="F1001" s="5"/>
      <c r="G1001" s="4"/>
      <c r="H1001" s="5"/>
      <c r="I1001" s="4"/>
      <c r="J1001" s="4"/>
      <c r="K1001" s="4"/>
    </row>
  </sheetData>
  <autoFilter ref="A1:K1001" xr:uid="{00000000-0001-0000-0100-000000000000}"/>
  <dataValidations count="4">
    <dataValidation type="list" allowBlank="1" showErrorMessage="1" errorTitle="Bus" error="Escribe TDS, PIN o PKS." sqref="A2:A1001" xr:uid="{00000000-0002-0000-0100-000000000000}">
      <formula1>"TDS,PIN,PKS"</formula1>
      <formula2>0</formula2>
    </dataValidation>
    <dataValidation type="date" operator="greaterThan" allowBlank="1" showErrorMessage="1" errorTitle="Fecha" error="Escribe una fecha válida (ej. 24-10-26)." sqref="B2:B1001" xr:uid="{00000000-0002-0000-0100-000001000000}">
      <formula1>36526</formula1>
      <formula2>0</formula2>
    </dataValidation>
    <dataValidation type="decimal" operator="greaterThanOrEqual" allowBlank="1" showErrorMessage="1" errorTitle="Monto" error="Escribe un número mayor o igual a 0." sqref="H2:H1001" xr:uid="{00000000-0002-0000-0100-000002000000}">
      <formula1>0</formula1>
      <formula2>0</formula2>
    </dataValidation>
    <dataValidation type="decimal" operator="greaterThanOrEqual" allowBlank="1" showInputMessage="1" showErrorMessage="1" error="Escribe solo el monto del descuento (número mayor o igual a 0)." prompt="Monto que se resta solo al monto de ida." sqref="F2:F1001" xr:uid="{E556BCE1-9351-4D71-B57C-F20A2B6DC365}">
      <formula1>0</formula1>
    </dataValidation>
  </dataValidations>
  <hyperlinks>
    <hyperlink ref="M1" location="'Inicio'!A1" tooltip="Volver al menú" display="⌂ Inicio" xr:uid="{F103225D-0429-43A7-85FE-3BD4A8E09DEE}"/>
  </hyperlinks>
  <printOptions horizontalCentered="1"/>
  <pageMargins left="0.75" right="0.75" top="1" bottom="1" header="0.511811023622047" footer="0.511811023622047"/>
  <pageSetup paperSize="9" scale="53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U69"/>
  <sheetViews>
    <sheetView showGridLines="0" zoomScale="90" zoomScaleNormal="90" workbookViewId="0">
      <pane ySplit="7" topLeftCell="A8" activePane="bottomLeft" state="frozen"/>
      <selection pane="bottomLeft"/>
    </sheetView>
  </sheetViews>
  <sheetFormatPr baseColWidth="10" defaultColWidth="8.7109375" defaultRowHeight="15" x14ac:dyDescent="0.25"/>
  <cols>
    <col min="1" max="1" width="10" customWidth="1"/>
    <col min="2" max="2" width="11" customWidth="1"/>
    <col min="3" max="3" width="11.7109375" customWidth="1"/>
    <col min="4" max="4" width="16" customWidth="1"/>
    <col min="5" max="5" width="28.7109375" customWidth="1"/>
    <col min="6" max="9" width="13" customWidth="1"/>
    <col min="10" max="10" width="24" customWidth="1"/>
    <col min="11" max="12" width="13" customWidth="1"/>
    <col min="13" max="14" width="15" customWidth="1"/>
    <col min="15" max="15" width="32.7109375" customWidth="1"/>
    <col min="16" max="16" width="12" customWidth="1"/>
    <col min="17" max="17" width="13" customWidth="1"/>
    <col min="18" max="18" width="20.7109375" customWidth="1"/>
    <col min="19" max="19" width="12" customWidth="1"/>
    <col min="20" max="20" width="13" customWidth="1"/>
    <col min="21" max="21" width="26" customWidth="1"/>
  </cols>
  <sheetData>
    <row r="1" spans="1:21" ht="32.1" customHeight="1" x14ac:dyDescent="0.25">
      <c r="A1" s="35" t="str">
        <f>"CONSULTA — "&amp;$B$3&amp;" · "&amp;$F$3&amp;" "&amp;$D$3</f>
        <v>CONSULTA — TDS · Octubre 2026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ht="15.75" thickBot="1" x14ac:dyDescent="0.3">
      <c r="A2" s="37" t="s">
        <v>178</v>
      </c>
    </row>
    <row r="3" spans="1:21" ht="24" customHeight="1" x14ac:dyDescent="0.25">
      <c r="A3" s="6" t="s">
        <v>179</v>
      </c>
      <c r="B3" s="38" t="s">
        <v>24</v>
      </c>
      <c r="C3" s="6" t="s">
        <v>180</v>
      </c>
      <c r="D3" s="38">
        <v>2026</v>
      </c>
      <c r="E3" s="6" t="s">
        <v>181</v>
      </c>
      <c r="F3" s="38" t="s">
        <v>182</v>
      </c>
      <c r="G3" s="118" t="s">
        <v>284</v>
      </c>
      <c r="H3" s="119">
        <f>$D$3*100+MATCH($F$3,{"Enero","Febrero","Marzo","Abril","Mayo","Junio","Julio","Agosto","Septiembre","Octubre","Noviembre","Diciembre"},0)</f>
        <v>202610</v>
      </c>
      <c r="I3" s="39" t="s">
        <v>271</v>
      </c>
      <c r="J3" s="168" t="s">
        <v>272</v>
      </c>
      <c r="K3" s="169"/>
      <c r="L3" s="168" t="s">
        <v>273</v>
      </c>
      <c r="M3" s="169"/>
      <c r="N3" s="168" t="s">
        <v>274</v>
      </c>
      <c r="O3" s="169"/>
      <c r="P3" s="172" t="s">
        <v>275</v>
      </c>
      <c r="Q3" s="173"/>
      <c r="R3" s="176" t="s">
        <v>276</v>
      </c>
      <c r="S3" s="177"/>
      <c r="T3" s="180" t="s">
        <v>277</v>
      </c>
      <c r="U3" s="181"/>
    </row>
    <row r="4" spans="1:21" ht="30" customHeight="1" x14ac:dyDescent="0.25">
      <c r="J4" s="170">
        <f>G7</f>
        <v>53675</v>
      </c>
      <c r="K4" s="171"/>
      <c r="L4" s="170">
        <f>H7</f>
        <v>0</v>
      </c>
      <c r="M4" s="171"/>
      <c r="N4" s="170">
        <f>I7</f>
        <v>53675</v>
      </c>
      <c r="O4" s="171"/>
      <c r="P4" s="174">
        <f>N7</f>
        <v>72319</v>
      </c>
      <c r="Q4" s="175"/>
      <c r="R4" s="178">
        <f>P7+S7</f>
        <v>69567</v>
      </c>
      <c r="S4" s="179"/>
      <c r="T4" s="182">
        <f>T7</f>
        <v>2752</v>
      </c>
      <c r="U4" s="183"/>
    </row>
    <row r="5" spans="1:21" ht="15" customHeight="1" x14ac:dyDescent="0.25">
      <c r="A5" s="164" t="s">
        <v>183</v>
      </c>
      <c r="B5" s="164"/>
      <c r="C5" s="164"/>
      <c r="D5" s="164"/>
      <c r="E5" s="167" t="s">
        <v>184</v>
      </c>
      <c r="F5" s="167"/>
      <c r="G5" s="167"/>
      <c r="H5" s="167"/>
      <c r="I5" s="167"/>
      <c r="J5" s="165" t="s">
        <v>185</v>
      </c>
      <c r="K5" s="165"/>
      <c r="L5" s="165"/>
      <c r="M5" s="165"/>
      <c r="N5" s="165"/>
      <c r="O5" s="166" t="s">
        <v>186</v>
      </c>
      <c r="P5" s="166"/>
      <c r="Q5" s="166"/>
      <c r="R5" s="166" t="s">
        <v>187</v>
      </c>
      <c r="S5" s="166"/>
      <c r="T5" s="166"/>
      <c r="U5" s="59" t="s">
        <v>188</v>
      </c>
    </row>
    <row r="6" spans="1:21" ht="42" customHeight="1" x14ac:dyDescent="0.25">
      <c r="A6" s="40" t="s">
        <v>189</v>
      </c>
      <c r="B6" s="40" t="s">
        <v>15</v>
      </c>
      <c r="C6" s="40" t="s">
        <v>16</v>
      </c>
      <c r="D6" s="40" t="s">
        <v>17</v>
      </c>
      <c r="E6" s="41" t="s">
        <v>18</v>
      </c>
      <c r="F6" s="41" t="s">
        <v>190</v>
      </c>
      <c r="G6" s="41" t="s">
        <v>191</v>
      </c>
      <c r="H6" s="41" t="s">
        <v>247</v>
      </c>
      <c r="I6" s="41" t="s">
        <v>248</v>
      </c>
      <c r="J6" s="42" t="s">
        <v>19</v>
      </c>
      <c r="K6" s="42" t="s">
        <v>192</v>
      </c>
      <c r="L6" s="42" t="s">
        <v>193</v>
      </c>
      <c r="M6" s="42" t="s">
        <v>194</v>
      </c>
      <c r="N6" s="42" t="s">
        <v>20</v>
      </c>
      <c r="O6" s="43" t="s">
        <v>195</v>
      </c>
      <c r="P6" s="43" t="s">
        <v>196</v>
      </c>
      <c r="Q6" s="43" t="s">
        <v>197</v>
      </c>
      <c r="R6" s="43" t="s">
        <v>198</v>
      </c>
      <c r="S6" s="43" t="s">
        <v>199</v>
      </c>
      <c r="T6" s="43" t="s">
        <v>200</v>
      </c>
      <c r="U6" s="40" t="s">
        <v>23</v>
      </c>
    </row>
    <row r="7" spans="1:21" ht="20.100000000000001" customHeight="1" x14ac:dyDescent="0.25">
      <c r="A7" s="44"/>
      <c r="B7" s="44" t="s">
        <v>201</v>
      </c>
      <c r="C7" s="45">
        <f>COUNT(B8:B69)</f>
        <v>26</v>
      </c>
      <c r="D7" s="44"/>
      <c r="E7" s="44"/>
      <c r="F7" s="46">
        <f>SUM(F8:F69)</f>
        <v>1106</v>
      </c>
      <c r="G7" s="51">
        <f>SUM(G8:G69)</f>
        <v>53675</v>
      </c>
      <c r="H7" s="51">
        <f>SUM(H8:H69)</f>
        <v>0</v>
      </c>
      <c r="I7" s="56">
        <f>SUM(I8:I69)</f>
        <v>53675</v>
      </c>
      <c r="J7" s="44"/>
      <c r="K7" s="46">
        <f>SUM(K8:K69)</f>
        <v>23</v>
      </c>
      <c r="L7" s="51">
        <f>SUM(L8:L69)</f>
        <v>72319</v>
      </c>
      <c r="M7" s="44"/>
      <c r="N7" s="51">
        <f>SUM(N8:N69)</f>
        <v>72319</v>
      </c>
      <c r="O7" s="44"/>
      <c r="P7" s="51">
        <f>SUM(P8:P69)</f>
        <v>3577</v>
      </c>
      <c r="Q7" s="51">
        <f>SUM(Q8:Q69)</f>
        <v>68742</v>
      </c>
      <c r="R7" s="44"/>
      <c r="S7" s="51">
        <f>SUM(S8:S69)</f>
        <v>65990</v>
      </c>
      <c r="T7" s="51">
        <f>SUM(T8:T69)</f>
        <v>2752</v>
      </c>
      <c r="U7" s="44"/>
    </row>
    <row r="8" spans="1:21" ht="15" customHeight="1" x14ac:dyDescent="0.25">
      <c r="A8" s="47">
        <f>IFERROR(MOD(SMALL(Cálculo!$O$2:$O$1001,ROWS(A$8:A8)),10000),"")</f>
        <v>2</v>
      </c>
      <c r="B8" s="48">
        <f>IF($A8="","",IF(INDEX(Registro!$B$1:$B$1001,$A8)="","",INDEX(Registro!$B$1:$B$1001,$A8)))</f>
        <v>46296</v>
      </c>
      <c r="C8" s="49" t="str">
        <f>IF($A8="","",IF(INDEX(Registro!$C$1:$C$1001,$A8)="","",INDEX(Registro!$C$1:$C$1001,$A8)))</f>
        <v>Lp</v>
      </c>
      <c r="D8" s="49" t="str">
        <f>IF($A8="","",IF(INDEX(Registro!$D$1:$D$1001,$A8)="","",INDEX(Registro!$D$1:$D$1001,$A8)))</f>
        <v>08:30 - 15:30</v>
      </c>
      <c r="E8" s="120" t="str">
        <f>IF($A8="","",IF(INDEX(Registro!$E$1:$E$1001,$A8)="","",INDEX(Registro!$E$1:$E$1001,$A8)))</f>
        <v>25x40; 3x50</v>
      </c>
      <c r="F8" s="50">
        <f>IF($A8="","",IF(INDEX(Cálculo!$D$1:$D$1001,$A8)="","",INDEX(Cálculo!$D$1:$D$1001,$A8)))</f>
        <v>28</v>
      </c>
      <c r="G8" s="52">
        <f>IF($A8="","",IF(INDEX(Cálculo!$E$1:$E$1001,$A8)="","",INDEX(Cálculo!$E$1:$E$1001,$A8)))</f>
        <v>1150</v>
      </c>
      <c r="H8" s="52" t="str">
        <f>IF($A8="","",IF(INDEX(Cálculo!$F$1:$F$1001,$A8)="","",INDEX(Cálculo!$F$1:$F$1001,$A8)))</f>
        <v/>
      </c>
      <c r="I8" s="57">
        <f>IF($A8="","",IF(INDEX(Cálculo!$G$1:$G$1001,$A8)="","",INDEX(Cálculo!$G$1:$G$1001,$A8)))</f>
        <v>1150</v>
      </c>
      <c r="J8" s="120" t="str">
        <f>IF($A8="","",IF(INDEX(Registro!$G$1:$G$1001,$A8)="","",INDEX(Registro!$G$1:$G$1001,$A8)))</f>
        <v>1x3300</v>
      </c>
      <c r="K8" s="50">
        <f>IF($A8="","",IF(INDEX(Cálculo!$H$1:$H$1001,$A8)="","",INDEX(Cálculo!$H$1:$H$1001,$A8)))</f>
        <v>1</v>
      </c>
      <c r="L8" s="52">
        <f>IF($A8="","",IF(INDEX(Cálculo!$I$1:$I$1001,$A8)="","",INDEX(Cálculo!$I$1:$I$1001,$A8)))</f>
        <v>3300</v>
      </c>
      <c r="M8" s="49" t="str">
        <f>IF($A8="","",IF(INDEX(Cálculo!$J$1:$J$1001,$A8)="","",INDEX(Cálculo!$J$1:$J$1001,$A8)))</f>
        <v>CONFORME</v>
      </c>
      <c r="N8" s="52">
        <f>IF($A8="","",IF(INDEX(Registro!$H$1:$H$1001,$A8)="","",INDEX(Registro!$H$1:$H$1001,$A8)))</f>
        <v>3300</v>
      </c>
      <c r="O8" s="120" t="str">
        <f>IF($A8="","",IF(INDEX(Registro!$I$1:$I$1001,$A8)="","",INDEX(Registro!$I$1:$I$1001,$A8)))</f>
        <v>Peaje 50; Veatico 50</v>
      </c>
      <c r="P8" s="52">
        <f>IF($A8="","",IF(INDEX(Cálculo!$K$1:$K$1001,$A8)="","",INDEX(Cálculo!$K$1:$K$1001,$A8)))</f>
        <v>100</v>
      </c>
      <c r="Q8" s="52">
        <f>IF($A8="","",IF(INDEX(Cálculo!$M$1:$M$1001,$A8)="","",INDEX(Cálculo!$M$1:$M$1001,$A8)))</f>
        <v>3200</v>
      </c>
      <c r="R8" s="120" t="str">
        <f>IF($A8="","",IF(INDEX(Registro!$J$1:$J$1001,$A8)="","",INDEX(Registro!$J$1:$J$1001,$A8)))</f>
        <v/>
      </c>
      <c r="S8" s="52" t="str">
        <f>IF($A8="","",IF(INDEX(Cálculo!$L$1:$L$1001,$A8)="","",INDEX(Cálculo!$L$1:$L$1001,$A8)))</f>
        <v/>
      </c>
      <c r="T8" s="54">
        <f>IF($A8="","",IF(INDEX(Cálculo!$N$1:$N$1001,$A8)="","",INDEX(Cálculo!$N$1:$N$1001,$A8)))</f>
        <v>3200</v>
      </c>
      <c r="U8" s="120" t="str">
        <f>IF($A8="","",IF(INDEX(Registro!$K$1:$K$1001,$A8)="","",INDEX(Registro!$K$1:$K$1001,$A8)))</f>
        <v/>
      </c>
    </row>
    <row r="9" spans="1:21" ht="15" customHeight="1" x14ac:dyDescent="0.25">
      <c r="A9" s="7">
        <f>IFERROR(MOD(SMALL(Cálculo!$O$2:$O$1001,ROWS(A$8:A9)),10000),"")</f>
        <v>3</v>
      </c>
      <c r="B9" s="8">
        <f>IF($A9="","",IF(INDEX(Registro!$B$1:$B$1001,$A9)="","",INDEX(Registro!$B$1:$B$1001,$A9)))</f>
        <v>46297</v>
      </c>
      <c r="C9" s="9" t="str">
        <f>IF($A9="","",IF(INDEX(Registro!$C$1:$C$1001,$A9)="","",INDEX(Registro!$C$1:$C$1001,$A9)))</f>
        <v>Cbba</v>
      </c>
      <c r="D9" s="9" t="str">
        <f>IF($A9="","",IF(INDEX(Registro!$D$1:$D$1001,$A9)="","",INDEX(Registro!$D$1:$D$1001,$A9)))</f>
        <v>6:30 - 17:30</v>
      </c>
      <c r="E9" s="15" t="str">
        <f>IF($A9="","",IF(INDEX(Registro!$E$1:$E$1001,$A9)="","",INDEX(Registro!$E$1:$E$1001,$A9)))</f>
        <v>15x40; 15x50; 5x60</v>
      </c>
      <c r="F9" s="10">
        <f>IF($A9="","",IF(INDEX(Cálculo!$D$1:$D$1001,$A9)="","",INDEX(Cálculo!$D$1:$D$1001,$A9)))</f>
        <v>35</v>
      </c>
      <c r="G9" s="53">
        <f>IF($A9="","",IF(INDEX(Cálculo!$E$1:$E$1001,$A9)="","",INDEX(Cálculo!$E$1:$E$1001,$A9)))</f>
        <v>1650</v>
      </c>
      <c r="H9" s="53" t="str">
        <f>IF($A9="","",IF(INDEX(Cálculo!$F$1:$F$1001,$A9)="","",INDEX(Cálculo!$F$1:$F$1001,$A9)))</f>
        <v/>
      </c>
      <c r="I9" s="58">
        <f>IF($A9="","",IF(INDEX(Cálculo!$G$1:$G$1001,$A9)="","",INDEX(Cálculo!$G$1:$G$1001,$A9)))</f>
        <v>1650</v>
      </c>
      <c r="J9" s="15" t="str">
        <f>IF($A9="","",IF(INDEX(Registro!$G$1:$G$1001,$A9)="","",INDEX(Registro!$G$1:$G$1001,$A9)))</f>
        <v>1x4060</v>
      </c>
      <c r="K9" s="10">
        <f>IF($A9="","",IF(INDEX(Cálculo!$H$1:$H$1001,$A9)="","",INDEX(Cálculo!$H$1:$H$1001,$A9)))</f>
        <v>1</v>
      </c>
      <c r="L9" s="53">
        <f>IF($A9="","",IF(INDEX(Cálculo!$I$1:$I$1001,$A9)="","",INDEX(Cálculo!$I$1:$I$1001,$A9)))</f>
        <v>4060</v>
      </c>
      <c r="M9" s="9" t="str">
        <f>IF($A9="","",IF(INDEX(Cálculo!$J$1:$J$1001,$A9)="","",INDEX(Cálculo!$J$1:$J$1001,$A9)))</f>
        <v>CONFORME</v>
      </c>
      <c r="N9" s="53">
        <f>IF($A9="","",IF(INDEX(Registro!$H$1:$H$1001,$A9)="","",INDEX(Registro!$H$1:$H$1001,$A9)))</f>
        <v>4060</v>
      </c>
      <c r="O9" s="15" t="str">
        <f>IF($A9="","",IF(INDEX(Registro!$I$1:$I$1001,$A9)="","",INDEX(Registro!$I$1:$I$1001,$A9)))</f>
        <v>Peaje 50; Veatico 50; Gasto 100</v>
      </c>
      <c r="P9" s="53">
        <f>IF($A9="","",IF(INDEX(Cálculo!$K$1:$K$1001,$A9)="","",INDEX(Cálculo!$K$1:$K$1001,$A9)))</f>
        <v>200</v>
      </c>
      <c r="Q9" s="53">
        <f>IF($A9="","",IF(INDEX(Cálculo!$M$1:$M$1001,$A9)="","",INDEX(Cálculo!$M$1:$M$1001,$A9)))</f>
        <v>3860</v>
      </c>
      <c r="R9" s="15" t="str">
        <f>IF($A9="","",IF(INDEX(Registro!$J$1:$J$1001,$A9)="","",INDEX(Registro!$J$1:$J$1001,$A9)))</f>
        <v/>
      </c>
      <c r="S9" s="53" t="str">
        <f>IF($A9="","",IF(INDEX(Cálculo!$L$1:$L$1001,$A9)="","",INDEX(Cálculo!$L$1:$L$1001,$A9)))</f>
        <v/>
      </c>
      <c r="T9" s="55">
        <f>IF($A9="","",IF(INDEX(Cálculo!$N$1:$N$1001,$A9)="","",INDEX(Cálculo!$N$1:$N$1001,$A9)))</f>
        <v>3860</v>
      </c>
      <c r="U9" s="15" t="str">
        <f>IF($A9="","",IF(INDEX(Registro!$K$1:$K$1001,$A9)="","",INDEX(Registro!$K$1:$K$1001,$A9)))</f>
        <v/>
      </c>
    </row>
    <row r="10" spans="1:21" ht="15" customHeight="1" x14ac:dyDescent="0.25">
      <c r="A10" s="47">
        <f>IFERROR(MOD(SMALL(Cálculo!$O$2:$O$1001,ROWS(A$8:A10)),10000),"")</f>
        <v>4</v>
      </c>
      <c r="B10" s="48">
        <f>IF($A10="","",IF(INDEX(Registro!$B$1:$B$1001,$A10)="","",INDEX(Registro!$B$1:$B$1001,$A10)))</f>
        <v>46298</v>
      </c>
      <c r="C10" s="49" t="str">
        <f>IF($A10="","",IF(INDEX(Registro!$C$1:$C$1001,$A10)="","",INDEX(Registro!$C$1:$C$1001,$A10)))</f>
        <v>Cbba</v>
      </c>
      <c r="D10" s="49" t="str">
        <f>IF($A10="","",IF(INDEX(Registro!$D$1:$D$1001,$A10)="","",INDEX(Registro!$D$1:$D$1001,$A10)))</f>
        <v>5:30 - 15:30</v>
      </c>
      <c r="E10" s="120" t="str">
        <f>IF($A10="","",IF(INDEX(Registro!$E$1:$E$1001,$A10)="","",INDEX(Registro!$E$1:$E$1001,$A10)))</f>
        <v>43x50; 2x80; 10x70</v>
      </c>
      <c r="F10" s="50">
        <f>IF($A10="","",IF(INDEX(Cálculo!$D$1:$D$1001,$A10)="","",INDEX(Cálculo!$D$1:$D$1001,$A10)))</f>
        <v>55</v>
      </c>
      <c r="G10" s="52">
        <f>IF($A10="","",IF(INDEX(Cálculo!$E$1:$E$1001,$A10)="","",INDEX(Cálculo!$E$1:$E$1001,$A10)))</f>
        <v>3010</v>
      </c>
      <c r="H10" s="52" t="str">
        <f>IF($A10="","",IF(INDEX(Cálculo!$F$1:$F$1001,$A10)="","",INDEX(Cálculo!$F$1:$F$1001,$A10)))</f>
        <v/>
      </c>
      <c r="I10" s="57">
        <f>IF($A10="","",IF(INDEX(Cálculo!$G$1:$G$1001,$A10)="","",INDEX(Cálculo!$G$1:$G$1001,$A10)))</f>
        <v>3010</v>
      </c>
      <c r="J10" s="120" t="str">
        <f>IF($A10="","",IF(INDEX(Registro!$G$1:$G$1001,$A10)="","",INDEX(Registro!$G$1:$G$1001,$A10)))</f>
        <v>1x3599</v>
      </c>
      <c r="K10" s="50">
        <f>IF($A10="","",IF(INDEX(Cálculo!$H$1:$H$1001,$A10)="","",INDEX(Cálculo!$H$1:$H$1001,$A10)))</f>
        <v>1</v>
      </c>
      <c r="L10" s="52">
        <f>IF($A10="","",IF(INDEX(Cálculo!$I$1:$I$1001,$A10)="","",INDEX(Cálculo!$I$1:$I$1001,$A10)))</f>
        <v>3599</v>
      </c>
      <c r="M10" s="49" t="str">
        <f>IF($A10="","",IF(INDEX(Cálculo!$J$1:$J$1001,$A10)="","",INDEX(Cálculo!$J$1:$J$1001,$A10)))</f>
        <v>CONFORME</v>
      </c>
      <c r="N10" s="52">
        <f>IF($A10="","",IF(INDEX(Registro!$H$1:$H$1001,$A10)="","",INDEX(Registro!$H$1:$H$1001,$A10)))</f>
        <v>3599</v>
      </c>
      <c r="O10" s="120" t="str">
        <f>IF($A10="","",IF(INDEX(Registro!$I$1:$I$1001,$A10)="","",INDEX(Registro!$I$1:$I$1001,$A10)))</f>
        <v>Peaje 50; Veatico 50</v>
      </c>
      <c r="P10" s="52">
        <f>IF($A10="","",IF(INDEX(Cálculo!$K$1:$K$1001,$A10)="","",INDEX(Cálculo!$K$1:$K$1001,$A10)))</f>
        <v>100</v>
      </c>
      <c r="Q10" s="52">
        <f>IF($A10="","",IF(INDEX(Cálculo!$M$1:$M$1001,$A10)="","",INDEX(Cálculo!$M$1:$M$1001,$A10)))</f>
        <v>3499</v>
      </c>
      <c r="R10" s="120" t="str">
        <f>IF($A10="","",IF(INDEX(Registro!$J$1:$J$1001,$A10)="","",INDEX(Registro!$J$1:$J$1001,$A10)))</f>
        <v>Diesel 8400</v>
      </c>
      <c r="S10" s="52">
        <f>IF($A10="","",IF(INDEX(Cálculo!$L$1:$L$1001,$A10)="","",INDEX(Cálculo!$L$1:$L$1001,$A10)))</f>
        <v>8400</v>
      </c>
      <c r="T10" s="54">
        <f>IF($A10="","",IF(INDEX(Cálculo!$N$1:$N$1001,$A10)="","",INDEX(Cálculo!$N$1:$N$1001,$A10)))</f>
        <v>-4901</v>
      </c>
      <c r="U10" s="120" t="str">
        <f>IF($A10="","",IF(INDEX(Registro!$K$1:$K$1001,$A10)="","",INDEX(Registro!$K$1:$K$1001,$A10)))</f>
        <v/>
      </c>
    </row>
    <row r="11" spans="1:21" ht="15" customHeight="1" x14ac:dyDescent="0.25">
      <c r="A11" s="7">
        <f>IFERROR(MOD(SMALL(Cálculo!$O$2:$O$1001,ROWS(A$8:A11)),10000),"")</f>
        <v>5</v>
      </c>
      <c r="B11" s="8">
        <f>IF($A11="","",IF(INDEX(Registro!$B$1:$B$1001,$A11)="","",INDEX(Registro!$B$1:$B$1001,$A11)))</f>
        <v>46299</v>
      </c>
      <c r="C11" s="9" t="str">
        <f>IF($A11="","",IF(INDEX(Registro!$C$1:$C$1001,$A11)="","",INDEX(Registro!$C$1:$C$1001,$A11)))</f>
        <v>Lp</v>
      </c>
      <c r="D11" s="9" t="str">
        <f>IF($A11="","",IF(INDEX(Registro!$D$1:$D$1001,$A11)="","",INDEX(Registro!$D$1:$D$1001,$A11)))</f>
        <v>4:00</v>
      </c>
      <c r="E11" s="15" t="str">
        <f>IF($A11="","",IF(INDEX(Registro!$E$1:$E$1001,$A11)="","",INDEX(Registro!$E$1:$E$1001,$A11)))</f>
        <v>43x40; 4x50; 7x60</v>
      </c>
      <c r="F11" s="10">
        <f>IF($A11="","",IF(INDEX(Cálculo!$D$1:$D$1001,$A11)="","",INDEX(Cálculo!$D$1:$D$1001,$A11)))</f>
        <v>54</v>
      </c>
      <c r="G11" s="53">
        <f>IF($A11="","",IF(INDEX(Cálculo!$E$1:$E$1001,$A11)="","",INDEX(Cálculo!$E$1:$E$1001,$A11)))</f>
        <v>2340</v>
      </c>
      <c r="H11" s="53" t="str">
        <f>IF($A11="","",IF(INDEX(Cálculo!$F$1:$F$1001,$A11)="","",INDEX(Cálculo!$F$1:$F$1001,$A11)))</f>
        <v/>
      </c>
      <c r="I11" s="58">
        <f>IF($A11="","",IF(INDEX(Cálculo!$G$1:$G$1001,$A11)="","",INDEX(Cálculo!$G$1:$G$1001,$A11)))</f>
        <v>2340</v>
      </c>
      <c r="J11" s="15" t="str">
        <f>IF($A11="","",IF(INDEX(Registro!$G$1:$G$1001,$A11)="","",INDEX(Registro!$G$1:$G$1001,$A11)))</f>
        <v>1x2080</v>
      </c>
      <c r="K11" s="10">
        <f>IF($A11="","",IF(INDEX(Cálculo!$H$1:$H$1001,$A11)="","",INDEX(Cálculo!$H$1:$H$1001,$A11)))</f>
        <v>1</v>
      </c>
      <c r="L11" s="53">
        <f>IF($A11="","",IF(INDEX(Cálculo!$I$1:$I$1001,$A11)="","",INDEX(Cálculo!$I$1:$I$1001,$A11)))</f>
        <v>2080</v>
      </c>
      <c r="M11" s="9" t="str">
        <f>IF($A11="","",IF(INDEX(Cálculo!$J$1:$J$1001,$A11)="","",INDEX(Cálculo!$J$1:$J$1001,$A11)))</f>
        <v>CONFORME</v>
      </c>
      <c r="N11" s="53">
        <f>IF($A11="","",IF(INDEX(Registro!$H$1:$H$1001,$A11)="","",INDEX(Registro!$H$1:$H$1001,$A11)))</f>
        <v>2080</v>
      </c>
      <c r="O11" s="15" t="str">
        <f>IF($A11="","",IF(INDEX(Registro!$I$1:$I$1001,$A11)="","",INDEX(Registro!$I$1:$I$1001,$A11)))</f>
        <v>Peaje 50; Veatico 50; Engrase 40</v>
      </c>
      <c r="P11" s="53">
        <f>IF($A11="","",IF(INDEX(Cálculo!$K$1:$K$1001,$A11)="","",INDEX(Cálculo!$K$1:$K$1001,$A11)))</f>
        <v>140</v>
      </c>
      <c r="Q11" s="53">
        <f>IF($A11="","",IF(INDEX(Cálculo!$M$1:$M$1001,$A11)="","",INDEX(Cálculo!$M$1:$M$1001,$A11)))</f>
        <v>1940</v>
      </c>
      <c r="R11" s="15" t="str">
        <f>IF($A11="","",IF(INDEX(Registro!$J$1:$J$1001,$A11)="","",INDEX(Registro!$J$1:$J$1001,$A11)))</f>
        <v/>
      </c>
      <c r="S11" s="53" t="str">
        <f>IF($A11="","",IF(INDEX(Cálculo!$L$1:$L$1001,$A11)="","",INDEX(Cálculo!$L$1:$L$1001,$A11)))</f>
        <v/>
      </c>
      <c r="T11" s="55">
        <f>IF($A11="","",IF(INDEX(Cálculo!$N$1:$N$1001,$A11)="","",INDEX(Cálculo!$N$1:$N$1001,$A11)))</f>
        <v>1940</v>
      </c>
      <c r="U11" s="15" t="str">
        <f>IF($A11="","",IF(INDEX(Registro!$K$1:$K$1001,$A11)="","",INDEX(Registro!$K$1:$K$1001,$A11)))</f>
        <v/>
      </c>
    </row>
    <row r="12" spans="1:21" ht="15" customHeight="1" x14ac:dyDescent="0.25">
      <c r="A12" s="47">
        <f>IFERROR(MOD(SMALL(Cálculo!$O$2:$O$1001,ROWS(A$8:A12)),10000),"")</f>
        <v>6</v>
      </c>
      <c r="B12" s="48">
        <f>IF($A12="","",IF(INDEX(Registro!$B$1:$B$1001,$A12)="","",INDEX(Registro!$B$1:$B$1001,$A12)))</f>
        <v>46300</v>
      </c>
      <c r="C12" s="49" t="str">
        <f>IF($A12="","",IF(INDEX(Registro!$C$1:$C$1001,$A12)="","",INDEX(Registro!$C$1:$C$1001,$A12)))</f>
        <v>Cbba</v>
      </c>
      <c r="D12" s="49" t="str">
        <f>IF($A12="","",IF(INDEX(Registro!$D$1:$D$1001,$A12)="","",INDEX(Registro!$D$1:$D$1001,$A12)))</f>
        <v>9:30-17:00</v>
      </c>
      <c r="E12" s="120" t="str">
        <f>IF($A12="","",IF(INDEX(Registro!$E$1:$E$1001,$A12)="","",INDEX(Registro!$E$1:$E$1001,$A12)))</f>
        <v>37x40; 2x50; 2x70; 8x60</v>
      </c>
      <c r="F12" s="50">
        <f>IF($A12="","",IF(INDEX(Cálculo!$D$1:$D$1001,$A12)="","",INDEX(Cálculo!$D$1:$D$1001,$A12)))</f>
        <v>49</v>
      </c>
      <c r="G12" s="52">
        <f>IF($A12="","",IF(INDEX(Cálculo!$E$1:$E$1001,$A12)="","",INDEX(Cálculo!$E$1:$E$1001,$A12)))</f>
        <v>2200</v>
      </c>
      <c r="H12" s="52" t="str">
        <f>IF($A12="","",IF(INDEX(Cálculo!$F$1:$F$1001,$A12)="","",INDEX(Cálculo!$F$1:$F$1001,$A12)))</f>
        <v/>
      </c>
      <c r="I12" s="57">
        <f>IF($A12="","",IF(INDEX(Cálculo!$G$1:$G$1001,$A12)="","",INDEX(Cálculo!$G$1:$G$1001,$A12)))</f>
        <v>2200</v>
      </c>
      <c r="J12" s="120" t="str">
        <f>IF($A12="","",IF(INDEX(Registro!$G$1:$G$1001,$A12)="","",INDEX(Registro!$G$1:$G$1001,$A12)))</f>
        <v>1x3300</v>
      </c>
      <c r="K12" s="50">
        <f>IF($A12="","",IF(INDEX(Cálculo!$H$1:$H$1001,$A12)="","",INDEX(Cálculo!$H$1:$H$1001,$A12)))</f>
        <v>1</v>
      </c>
      <c r="L12" s="52">
        <f>IF($A12="","",IF(INDEX(Cálculo!$I$1:$I$1001,$A12)="","",INDEX(Cálculo!$I$1:$I$1001,$A12)))</f>
        <v>3300</v>
      </c>
      <c r="M12" s="49" t="str">
        <f>IF($A12="","",IF(INDEX(Cálculo!$J$1:$J$1001,$A12)="","",INDEX(Cálculo!$J$1:$J$1001,$A12)))</f>
        <v>CONFORME</v>
      </c>
      <c r="N12" s="52">
        <f>IF($A12="","",IF(INDEX(Registro!$H$1:$H$1001,$A12)="","",INDEX(Registro!$H$1:$H$1001,$A12)))</f>
        <v>3300</v>
      </c>
      <c r="O12" s="120" t="str">
        <f>IF($A12="","",IF(INDEX(Registro!$I$1:$I$1001,$A12)="","",INDEX(Registro!$I$1:$I$1001,$A12)))</f>
        <v>Peaje 50; Diesel 400; Veatico 50</v>
      </c>
      <c r="P12" s="52">
        <f>IF($A12="","",IF(INDEX(Cálculo!$K$1:$K$1001,$A12)="","",INDEX(Cálculo!$K$1:$K$1001,$A12)))</f>
        <v>500</v>
      </c>
      <c r="Q12" s="52">
        <f>IF($A12="","",IF(INDEX(Cálculo!$M$1:$M$1001,$A12)="","",INDEX(Cálculo!$M$1:$M$1001,$A12)))</f>
        <v>2800</v>
      </c>
      <c r="R12" s="120" t="str">
        <f>IF($A12="","",IF(INDEX(Registro!$J$1:$J$1001,$A12)="","",INDEX(Registro!$J$1:$J$1001,$A12)))</f>
        <v>Diesel 7500</v>
      </c>
      <c r="S12" s="52">
        <f>IF($A12="","",IF(INDEX(Cálculo!$L$1:$L$1001,$A12)="","",INDEX(Cálculo!$L$1:$L$1001,$A12)))</f>
        <v>7500</v>
      </c>
      <c r="T12" s="54">
        <f>IF($A12="","",IF(INDEX(Cálculo!$N$1:$N$1001,$A12)="","",INDEX(Cálculo!$N$1:$N$1001,$A12)))</f>
        <v>-4700</v>
      </c>
      <c r="U12" s="120" t="str">
        <f>IF($A12="","",IF(INDEX(Registro!$K$1:$K$1001,$A12)="","",INDEX(Registro!$K$1:$K$1001,$A12)))</f>
        <v/>
      </c>
    </row>
    <row r="13" spans="1:21" ht="15" customHeight="1" x14ac:dyDescent="0.25">
      <c r="A13" s="7">
        <f>IFERROR(MOD(SMALL(Cálculo!$O$2:$O$1001,ROWS(A$8:A13)),10000),"")</f>
        <v>7</v>
      </c>
      <c r="B13" s="8">
        <f>IF($A13="","",IF(INDEX(Registro!$B$1:$B$1001,$A13)="","",INDEX(Registro!$B$1:$B$1001,$A13)))</f>
        <v>46301</v>
      </c>
      <c r="C13" s="9" t="str">
        <f>IF($A13="","",IF(INDEX(Registro!$C$1:$C$1001,$A13)="","",INDEX(Registro!$C$1:$C$1001,$A13)))</f>
        <v>Lp</v>
      </c>
      <c r="D13" s="9" t="str">
        <f>IF($A13="","",IF(INDEX(Registro!$D$1:$D$1001,$A13)="","",INDEX(Registro!$D$1:$D$1001,$A13)))</f>
        <v>15:30-4:00</v>
      </c>
      <c r="E13" s="15" t="str">
        <f>IF($A13="","",IF(INDEX(Registro!$E$1:$E$1001,$A13)="","",INDEX(Registro!$E$1:$E$1001,$A13)))</f>
        <v>9x60; 2x70; 45x50</v>
      </c>
      <c r="F13" s="10">
        <f>IF($A13="","",IF(INDEX(Cálculo!$D$1:$D$1001,$A13)="","",INDEX(Cálculo!$D$1:$D$1001,$A13)))</f>
        <v>56</v>
      </c>
      <c r="G13" s="53">
        <f>IF($A13="","",IF(INDEX(Cálculo!$E$1:$E$1001,$A13)="","",INDEX(Cálculo!$E$1:$E$1001,$A13)))</f>
        <v>2930</v>
      </c>
      <c r="H13" s="53" t="str">
        <f>IF($A13="","",IF(INDEX(Cálculo!$F$1:$F$1001,$A13)="","",INDEX(Cálculo!$F$1:$F$1001,$A13)))</f>
        <v/>
      </c>
      <c r="I13" s="58">
        <f>IF($A13="","",IF(INDEX(Cálculo!$G$1:$G$1001,$A13)="","",INDEX(Cálculo!$G$1:$G$1001,$A13)))</f>
        <v>2930</v>
      </c>
      <c r="J13" s="15" t="str">
        <f>IF($A13="","",IF(INDEX(Registro!$G$1:$G$1001,$A13)="","",INDEX(Registro!$G$1:$G$1001,$A13)))</f>
        <v>1x2350</v>
      </c>
      <c r="K13" s="10">
        <f>IF($A13="","",IF(INDEX(Cálculo!$H$1:$H$1001,$A13)="","",INDEX(Cálculo!$H$1:$H$1001,$A13)))</f>
        <v>1</v>
      </c>
      <c r="L13" s="53">
        <f>IF($A13="","",IF(INDEX(Cálculo!$I$1:$I$1001,$A13)="","",INDEX(Cálculo!$I$1:$I$1001,$A13)))</f>
        <v>2350</v>
      </c>
      <c r="M13" s="9" t="str">
        <f>IF($A13="","",IF(INDEX(Cálculo!$J$1:$J$1001,$A13)="","",INDEX(Cálculo!$J$1:$J$1001,$A13)))</f>
        <v>CONFORME</v>
      </c>
      <c r="N13" s="53">
        <f>IF($A13="","",IF(INDEX(Registro!$H$1:$H$1001,$A13)="","",INDEX(Registro!$H$1:$H$1001,$A13)))</f>
        <v>2350</v>
      </c>
      <c r="O13" s="15" t="str">
        <f>IF($A13="","",IF(INDEX(Registro!$I$1:$I$1001,$A13)="","",INDEX(Registro!$I$1:$I$1001,$A13)))</f>
        <v>Peaje 50; Veatico 50</v>
      </c>
      <c r="P13" s="53">
        <f>IF($A13="","",IF(INDEX(Cálculo!$K$1:$K$1001,$A13)="","",INDEX(Cálculo!$K$1:$K$1001,$A13)))</f>
        <v>100</v>
      </c>
      <c r="Q13" s="53">
        <f>IF($A13="","",IF(INDEX(Cálculo!$M$1:$M$1001,$A13)="","",INDEX(Cálculo!$M$1:$M$1001,$A13)))</f>
        <v>2250</v>
      </c>
      <c r="R13" s="15" t="str">
        <f>IF($A13="","",IF(INDEX(Registro!$J$1:$J$1001,$A13)="","",INDEX(Registro!$J$1:$J$1001,$A13)))</f>
        <v/>
      </c>
      <c r="S13" s="53" t="str">
        <f>IF($A13="","",IF(INDEX(Cálculo!$L$1:$L$1001,$A13)="","",INDEX(Cálculo!$L$1:$L$1001,$A13)))</f>
        <v/>
      </c>
      <c r="T13" s="55">
        <f>IF($A13="","",IF(INDEX(Cálculo!$N$1:$N$1001,$A13)="","",INDEX(Cálculo!$N$1:$N$1001,$A13)))</f>
        <v>2250</v>
      </c>
      <c r="U13" s="15" t="str">
        <f>IF($A13="","",IF(INDEX(Registro!$K$1:$K$1001,$A13)="","",INDEX(Registro!$K$1:$K$1001,$A13)))</f>
        <v/>
      </c>
    </row>
    <row r="14" spans="1:21" ht="15" customHeight="1" x14ac:dyDescent="0.25">
      <c r="A14" s="47">
        <f>IFERROR(MOD(SMALL(Cálculo!$O$2:$O$1001,ROWS(A$8:A14)),10000),"")</f>
        <v>8</v>
      </c>
      <c r="B14" s="48">
        <f>IF($A14="","",IF(INDEX(Registro!$B$1:$B$1001,$A14)="","",INDEX(Registro!$B$1:$B$1001,$A14)))</f>
        <v>46302</v>
      </c>
      <c r="C14" s="49" t="str">
        <f>IF($A14="","",IF(INDEX(Registro!$C$1:$C$1001,$A14)="","",INDEX(Registro!$C$1:$C$1001,$A14)))</f>
        <v>Lp</v>
      </c>
      <c r="D14" s="49" t="str">
        <f>IF($A14="","",IF(INDEX(Registro!$D$1:$D$1001,$A14)="","",INDEX(Registro!$D$1:$D$1001,$A14)))</f>
        <v>6:30-14:30</v>
      </c>
      <c r="E14" s="120" t="str">
        <f>IF($A14="","",IF(INDEX(Registro!$E$1:$E$1001,$A14)="","",INDEX(Registro!$E$1:$E$1001,$A14)))</f>
        <v>24x40; 4x60; 5x50</v>
      </c>
      <c r="F14" s="50">
        <f>IF($A14="","",IF(INDEX(Cálculo!$D$1:$D$1001,$A14)="","",INDEX(Cálculo!$D$1:$D$1001,$A14)))</f>
        <v>33</v>
      </c>
      <c r="G14" s="52">
        <f>IF($A14="","",IF(INDEX(Cálculo!$E$1:$E$1001,$A14)="","",INDEX(Cálculo!$E$1:$E$1001,$A14)))</f>
        <v>1450</v>
      </c>
      <c r="H14" s="52" t="str">
        <f>IF($A14="","",IF(INDEX(Cálculo!$F$1:$F$1001,$A14)="","",INDEX(Cálculo!$F$1:$F$1001,$A14)))</f>
        <v/>
      </c>
      <c r="I14" s="57">
        <f>IF($A14="","",IF(INDEX(Cálculo!$G$1:$G$1001,$A14)="","",INDEX(Cálculo!$G$1:$G$1001,$A14)))</f>
        <v>1450</v>
      </c>
      <c r="J14" s="120" t="str">
        <f>IF($A14="","",IF(INDEX(Registro!$G$1:$G$1001,$A14)="","",INDEX(Registro!$G$1:$G$1001,$A14)))</f>
        <v>1x2455</v>
      </c>
      <c r="K14" s="50">
        <f>IF($A14="","",IF(INDEX(Cálculo!$H$1:$H$1001,$A14)="","",INDEX(Cálculo!$H$1:$H$1001,$A14)))</f>
        <v>1</v>
      </c>
      <c r="L14" s="52">
        <f>IF($A14="","",IF(INDEX(Cálculo!$I$1:$I$1001,$A14)="","",INDEX(Cálculo!$I$1:$I$1001,$A14)))</f>
        <v>2455</v>
      </c>
      <c r="M14" s="49" t="str">
        <f>IF($A14="","",IF(INDEX(Cálculo!$J$1:$J$1001,$A14)="","",INDEX(Cálculo!$J$1:$J$1001,$A14)))</f>
        <v>CONFORME</v>
      </c>
      <c r="N14" s="52">
        <f>IF($A14="","",IF(INDEX(Registro!$H$1:$H$1001,$A14)="","",INDEX(Registro!$H$1:$H$1001,$A14)))</f>
        <v>2455</v>
      </c>
      <c r="O14" s="120" t="str">
        <f>IF($A14="","",IF(INDEX(Registro!$I$1:$I$1001,$A14)="","",INDEX(Registro!$I$1:$I$1001,$A14)))</f>
        <v>Peaje 50; Veatico 50</v>
      </c>
      <c r="P14" s="52">
        <f>IF($A14="","",IF(INDEX(Cálculo!$K$1:$K$1001,$A14)="","",INDEX(Cálculo!$K$1:$K$1001,$A14)))</f>
        <v>100</v>
      </c>
      <c r="Q14" s="52">
        <f>IF($A14="","",IF(INDEX(Cálculo!$M$1:$M$1001,$A14)="","",INDEX(Cálculo!$M$1:$M$1001,$A14)))</f>
        <v>2355</v>
      </c>
      <c r="R14" s="120" t="str">
        <f>IF($A14="","",IF(INDEX(Registro!$J$1:$J$1001,$A14)="","",INDEX(Registro!$J$1:$J$1001,$A14)))</f>
        <v/>
      </c>
      <c r="S14" s="52" t="str">
        <f>IF($A14="","",IF(INDEX(Cálculo!$L$1:$L$1001,$A14)="","",INDEX(Cálculo!$L$1:$L$1001,$A14)))</f>
        <v/>
      </c>
      <c r="T14" s="54">
        <f>IF($A14="","",IF(INDEX(Cálculo!$N$1:$N$1001,$A14)="","",INDEX(Cálculo!$N$1:$N$1001,$A14)))</f>
        <v>2355</v>
      </c>
      <c r="U14" s="120" t="str">
        <f>IF($A14="","",IF(INDEX(Registro!$K$1:$K$1001,$A14)="","",INDEX(Registro!$K$1:$K$1001,$A14)))</f>
        <v/>
      </c>
    </row>
    <row r="15" spans="1:21" ht="15" customHeight="1" x14ac:dyDescent="0.25">
      <c r="A15" s="7">
        <f>IFERROR(MOD(SMALL(Cálculo!$O$2:$O$1001,ROWS(A$8:A15)),10000),"")</f>
        <v>9</v>
      </c>
      <c r="B15" s="8">
        <f>IF($A15="","",IF(INDEX(Registro!$B$1:$B$1001,$A15)="","",INDEX(Registro!$B$1:$B$1001,$A15)))</f>
        <v>46303</v>
      </c>
      <c r="C15" s="9" t="str">
        <f>IF($A15="","",IF(INDEX(Registro!$C$1:$C$1001,$A15)="","",INDEX(Registro!$C$1:$C$1001,$A15)))</f>
        <v>Lp</v>
      </c>
      <c r="D15" s="9" t="str">
        <f>IF($A15="","",IF(INDEX(Registro!$D$1:$D$1001,$A15)="","",INDEX(Registro!$D$1:$D$1001,$A15)))</f>
        <v>19:30-8:00</v>
      </c>
      <c r="E15" s="15" t="str">
        <f>IF($A15="","",IF(INDEX(Registro!$E$1:$E$1001,$A15)="","",INDEX(Registro!$E$1:$E$1001,$A15)))</f>
        <v>35x40; 11x60</v>
      </c>
      <c r="F15" s="10">
        <f>IF($A15="","",IF(INDEX(Cálculo!$D$1:$D$1001,$A15)="","",INDEX(Cálculo!$D$1:$D$1001,$A15)))</f>
        <v>46</v>
      </c>
      <c r="G15" s="53">
        <f>IF($A15="","",IF(INDEX(Cálculo!$E$1:$E$1001,$A15)="","",INDEX(Cálculo!$E$1:$E$1001,$A15)))</f>
        <v>2060</v>
      </c>
      <c r="H15" s="53" t="str">
        <f>IF($A15="","",IF(INDEX(Cálculo!$F$1:$F$1001,$A15)="","",INDEX(Cálculo!$F$1:$F$1001,$A15)))</f>
        <v/>
      </c>
      <c r="I15" s="58">
        <f>IF($A15="","",IF(INDEX(Cálculo!$G$1:$G$1001,$A15)="","",INDEX(Cálculo!$G$1:$G$1001,$A15)))</f>
        <v>2060</v>
      </c>
      <c r="J15" s="15" t="str">
        <f>IF($A15="","",IF(INDEX(Registro!$G$1:$G$1001,$A15)="","",INDEX(Registro!$G$1:$G$1001,$A15)))</f>
        <v>1x2365</v>
      </c>
      <c r="K15" s="10">
        <f>IF($A15="","",IF(INDEX(Cálculo!$H$1:$H$1001,$A15)="","",INDEX(Cálculo!$H$1:$H$1001,$A15)))</f>
        <v>1</v>
      </c>
      <c r="L15" s="53">
        <f>IF($A15="","",IF(INDEX(Cálculo!$I$1:$I$1001,$A15)="","",INDEX(Cálculo!$I$1:$I$1001,$A15)))</f>
        <v>2365</v>
      </c>
      <c r="M15" s="9" t="str">
        <f>IF($A15="","",IF(INDEX(Cálculo!$J$1:$J$1001,$A15)="","",INDEX(Cálculo!$J$1:$J$1001,$A15)))</f>
        <v>CONFORME</v>
      </c>
      <c r="N15" s="53">
        <f>IF($A15="","",IF(INDEX(Registro!$H$1:$H$1001,$A15)="","",INDEX(Registro!$H$1:$H$1001,$A15)))</f>
        <v>2365</v>
      </c>
      <c r="O15" s="15" t="str">
        <f>IF($A15="","",IF(INDEX(Registro!$I$1:$I$1001,$A15)="","",INDEX(Registro!$I$1:$I$1001,$A15)))</f>
        <v>Peaje 50</v>
      </c>
      <c r="P15" s="53">
        <f>IF($A15="","",IF(INDEX(Cálculo!$K$1:$K$1001,$A15)="","",INDEX(Cálculo!$K$1:$K$1001,$A15)))</f>
        <v>50</v>
      </c>
      <c r="Q15" s="53">
        <f>IF($A15="","",IF(INDEX(Cálculo!$M$1:$M$1001,$A15)="","",INDEX(Cálculo!$M$1:$M$1001,$A15)))</f>
        <v>2315</v>
      </c>
      <c r="R15" s="15" t="str">
        <f>IF($A15="","",IF(INDEX(Registro!$J$1:$J$1001,$A15)="","",INDEX(Registro!$J$1:$J$1001,$A15)))</f>
        <v/>
      </c>
      <c r="S15" s="53" t="str">
        <f>IF($A15="","",IF(INDEX(Cálculo!$L$1:$L$1001,$A15)="","",INDEX(Cálculo!$L$1:$L$1001,$A15)))</f>
        <v/>
      </c>
      <c r="T15" s="55">
        <f>IF($A15="","",IF(INDEX(Cálculo!$N$1:$N$1001,$A15)="","",INDEX(Cálculo!$N$1:$N$1001,$A15)))</f>
        <v>2315</v>
      </c>
      <c r="U15" s="15" t="str">
        <f>IF($A15="","",IF(INDEX(Registro!$K$1:$K$1001,$A15)="","",INDEX(Registro!$K$1:$K$1001,$A15)))</f>
        <v/>
      </c>
    </row>
    <row r="16" spans="1:21" ht="15" customHeight="1" x14ac:dyDescent="0.25">
      <c r="A16" s="47">
        <f>IFERROR(MOD(SMALL(Cálculo!$O$2:$O$1001,ROWS(A$8:A16)),10000),"")</f>
        <v>10</v>
      </c>
      <c r="B16" s="48">
        <f>IF($A16="","",IF(INDEX(Registro!$B$1:$B$1001,$A16)="","",INDEX(Registro!$B$1:$B$1001,$A16)))</f>
        <v>46304</v>
      </c>
      <c r="C16" s="49" t="str">
        <f>IF($A16="","",IF(INDEX(Registro!$C$1:$C$1001,$A16)="","",INDEX(Registro!$C$1:$C$1001,$A16)))</f>
        <v>Lp</v>
      </c>
      <c r="D16" s="49" t="str">
        <f>IF($A16="","",IF(INDEX(Registro!$D$1:$D$1001,$A16)="","",INDEX(Registro!$D$1:$D$1001,$A16)))</f>
        <v>4:00-11:00</v>
      </c>
      <c r="E16" s="120" t="str">
        <f>IF($A16="","",IF(INDEX(Registro!$E$1:$E$1001,$A16)="","",INDEX(Registro!$E$1:$E$1001,$A16)))</f>
        <v>14x40; 31x50; 1x60; 4x70; 7x60</v>
      </c>
      <c r="F16" s="50">
        <f>IF($A16="","",IF(INDEX(Cálculo!$D$1:$D$1001,$A16)="","",INDEX(Cálculo!$D$1:$D$1001,$A16)))</f>
        <v>57</v>
      </c>
      <c r="G16" s="52">
        <f>IF($A16="","",IF(INDEX(Cálculo!$E$1:$E$1001,$A16)="","",INDEX(Cálculo!$E$1:$E$1001,$A16)))</f>
        <v>2870</v>
      </c>
      <c r="H16" s="52" t="str">
        <f>IF($A16="","",IF(INDEX(Cálculo!$F$1:$F$1001,$A16)="","",INDEX(Cálculo!$F$1:$F$1001,$A16)))</f>
        <v/>
      </c>
      <c r="I16" s="57">
        <f>IF($A16="","",IF(INDEX(Cálculo!$G$1:$G$1001,$A16)="","",INDEX(Cálculo!$G$1:$G$1001,$A16)))</f>
        <v>2870</v>
      </c>
      <c r="J16" s="120" t="str">
        <f>IF($A16="","",IF(INDEX(Registro!$G$1:$G$1001,$A16)="","",INDEX(Registro!$G$1:$G$1001,$A16)))</f>
        <v>1x2395</v>
      </c>
      <c r="K16" s="50">
        <f>IF($A16="","",IF(INDEX(Cálculo!$H$1:$H$1001,$A16)="","",INDEX(Cálculo!$H$1:$H$1001,$A16)))</f>
        <v>1</v>
      </c>
      <c r="L16" s="52">
        <f>IF($A16="","",IF(INDEX(Cálculo!$I$1:$I$1001,$A16)="","",INDEX(Cálculo!$I$1:$I$1001,$A16)))</f>
        <v>2395</v>
      </c>
      <c r="M16" s="49" t="str">
        <f>IF($A16="","",IF(INDEX(Cálculo!$J$1:$J$1001,$A16)="","",INDEX(Cálculo!$J$1:$J$1001,$A16)))</f>
        <v>CONFORME</v>
      </c>
      <c r="N16" s="52">
        <f>IF($A16="","",IF(INDEX(Registro!$H$1:$H$1001,$A16)="","",INDEX(Registro!$H$1:$H$1001,$A16)))</f>
        <v>2395</v>
      </c>
      <c r="O16" s="120" t="str">
        <f>IF($A16="","",IF(INDEX(Registro!$I$1:$I$1001,$A16)="","",INDEX(Registro!$I$1:$I$1001,$A16)))</f>
        <v/>
      </c>
      <c r="P16" s="52" t="str">
        <f>IF($A16="","",IF(INDEX(Cálculo!$K$1:$K$1001,$A16)="","",INDEX(Cálculo!$K$1:$K$1001,$A16)))</f>
        <v/>
      </c>
      <c r="Q16" s="52">
        <f>IF($A16="","",IF(INDEX(Cálculo!$M$1:$M$1001,$A16)="","",INDEX(Cálculo!$M$1:$M$1001,$A16)))</f>
        <v>2395</v>
      </c>
      <c r="R16" s="120" t="str">
        <f>IF($A16="","",IF(INDEX(Registro!$J$1:$J$1001,$A16)="","",INDEX(Registro!$J$1:$J$1001,$A16)))</f>
        <v/>
      </c>
      <c r="S16" s="52" t="str">
        <f>IF($A16="","",IF(INDEX(Cálculo!$L$1:$L$1001,$A16)="","",INDEX(Cálculo!$L$1:$L$1001,$A16)))</f>
        <v/>
      </c>
      <c r="T16" s="54">
        <f>IF($A16="","",IF(INDEX(Cálculo!$N$1:$N$1001,$A16)="","",INDEX(Cálculo!$N$1:$N$1001,$A16)))</f>
        <v>2395</v>
      </c>
      <c r="U16" s="120" t="str">
        <f>IF($A16="","",IF(INDEX(Registro!$K$1:$K$1001,$A16)="","",INDEX(Registro!$K$1:$K$1001,$A16)))</f>
        <v/>
      </c>
    </row>
    <row r="17" spans="1:21" ht="15" customHeight="1" x14ac:dyDescent="0.25">
      <c r="A17" s="7">
        <f>IFERROR(MOD(SMALL(Cálculo!$O$2:$O$1001,ROWS(A$8:A17)),10000),"")</f>
        <v>11</v>
      </c>
      <c r="B17" s="8">
        <f>IF($A17="","",IF(INDEX(Registro!$B$1:$B$1001,$A17)="","",INDEX(Registro!$B$1:$B$1001,$A17)))</f>
        <v>46305</v>
      </c>
      <c r="C17" s="9" t="str">
        <f>IF($A17="","",IF(INDEX(Registro!$C$1:$C$1001,$A17)="","",INDEX(Registro!$C$1:$C$1001,$A17)))</f>
        <v>Cbba</v>
      </c>
      <c r="D17" s="9" t="str">
        <f>IF($A17="","",IF(INDEX(Registro!$D$1:$D$1001,$A17)="","",INDEX(Registro!$D$1:$D$1001,$A17)))</f>
        <v>7:00-14:30</v>
      </c>
      <c r="E17" s="15" t="str">
        <f>IF($A17="","",IF(INDEX(Registro!$E$1:$E$1001,$A17)="","",INDEX(Registro!$E$1:$E$1001,$A17)))</f>
        <v>30x40; 12x35; 1x70</v>
      </c>
      <c r="F17" s="10">
        <f>IF($A17="","",IF(INDEX(Cálculo!$D$1:$D$1001,$A17)="","",INDEX(Cálculo!$D$1:$D$1001,$A17)))</f>
        <v>43</v>
      </c>
      <c r="G17" s="53">
        <f>IF($A17="","",IF(INDEX(Cálculo!$E$1:$E$1001,$A17)="","",INDEX(Cálculo!$E$1:$E$1001,$A17)))</f>
        <v>1690</v>
      </c>
      <c r="H17" s="53" t="str">
        <f>IF($A17="","",IF(INDEX(Cálculo!$F$1:$F$1001,$A17)="","",INDEX(Cálculo!$F$1:$F$1001,$A17)))</f>
        <v/>
      </c>
      <c r="I17" s="58">
        <f>IF($A17="","",IF(INDEX(Cálculo!$G$1:$G$1001,$A17)="","",INDEX(Cálculo!$G$1:$G$1001,$A17)))</f>
        <v>1690</v>
      </c>
      <c r="J17" s="15" t="str">
        <f>IF($A17="","",IF(INDEX(Registro!$G$1:$G$1001,$A17)="","",INDEX(Registro!$G$1:$G$1001,$A17)))</f>
        <v>1x3670</v>
      </c>
      <c r="K17" s="10">
        <f>IF($A17="","",IF(INDEX(Cálculo!$H$1:$H$1001,$A17)="","",INDEX(Cálculo!$H$1:$H$1001,$A17)))</f>
        <v>1</v>
      </c>
      <c r="L17" s="53">
        <f>IF($A17="","",IF(INDEX(Cálculo!$I$1:$I$1001,$A17)="","",INDEX(Cálculo!$I$1:$I$1001,$A17)))</f>
        <v>3670</v>
      </c>
      <c r="M17" s="9" t="str">
        <f>IF($A17="","",IF(INDEX(Cálculo!$J$1:$J$1001,$A17)="","",INDEX(Cálculo!$J$1:$J$1001,$A17)))</f>
        <v>CONFORME</v>
      </c>
      <c r="N17" s="53">
        <f>IF($A17="","",IF(INDEX(Registro!$H$1:$H$1001,$A17)="","",INDEX(Registro!$H$1:$H$1001,$A17)))</f>
        <v>3670</v>
      </c>
      <c r="O17" s="15" t="str">
        <f>IF($A17="","",IF(INDEX(Registro!$I$1:$I$1001,$A17)="","",INDEX(Registro!$I$1:$I$1001,$A17)))</f>
        <v>Peaje 50; Veatico 50</v>
      </c>
      <c r="P17" s="53">
        <f>IF($A17="","",IF(INDEX(Cálculo!$K$1:$K$1001,$A17)="","",INDEX(Cálculo!$K$1:$K$1001,$A17)))</f>
        <v>100</v>
      </c>
      <c r="Q17" s="53">
        <f>IF($A17="","",IF(INDEX(Cálculo!$M$1:$M$1001,$A17)="","",INDEX(Cálculo!$M$1:$M$1001,$A17)))</f>
        <v>3570</v>
      </c>
      <c r="R17" s="15" t="str">
        <f>IF($A17="","",IF(INDEX(Registro!$J$1:$J$1001,$A17)="","",INDEX(Registro!$J$1:$J$1001,$A17)))</f>
        <v>Diesel 8380</v>
      </c>
      <c r="S17" s="53">
        <f>IF($A17="","",IF(INDEX(Cálculo!$L$1:$L$1001,$A17)="","",INDEX(Cálculo!$L$1:$L$1001,$A17)))</f>
        <v>8380</v>
      </c>
      <c r="T17" s="55">
        <f>IF($A17="","",IF(INDEX(Cálculo!$N$1:$N$1001,$A17)="","",INDEX(Cálculo!$N$1:$N$1001,$A17)))</f>
        <v>-4810</v>
      </c>
      <c r="U17" s="15" t="str">
        <f>IF($A17="","",IF(INDEX(Registro!$K$1:$K$1001,$A17)="","",INDEX(Registro!$K$1:$K$1001,$A17)))</f>
        <v/>
      </c>
    </row>
    <row r="18" spans="1:21" ht="15" customHeight="1" x14ac:dyDescent="0.25">
      <c r="A18" s="47">
        <f>IFERROR(MOD(SMALL(Cálculo!$O$2:$O$1001,ROWS(A$8:A18)),10000),"")</f>
        <v>12</v>
      </c>
      <c r="B18" s="48">
        <f>IF($A18="","",IF(INDEX(Registro!$B$1:$B$1001,$A18)="","",INDEX(Registro!$B$1:$B$1001,$A18)))</f>
        <v>46305</v>
      </c>
      <c r="C18" s="49" t="str">
        <f>IF($A18="","",IF(INDEX(Registro!$C$1:$C$1001,$A18)="","",INDEX(Registro!$C$1:$C$1001,$A18)))</f>
        <v>Lp</v>
      </c>
      <c r="D18" s="49" t="str">
        <f>IF($A18="","",IF(INDEX(Registro!$D$1:$D$1001,$A18)="","",INDEX(Registro!$D$1:$D$1001,$A18)))</f>
        <v>17:30-4:30</v>
      </c>
      <c r="E18" s="120" t="str">
        <f>IF($A18="","",IF(INDEX(Registro!$E$1:$E$1001,$A18)="","",INDEX(Registro!$E$1:$E$1001,$A18)))</f>
        <v>19x40; 10x60; 5x50; 11x35</v>
      </c>
      <c r="F18" s="50">
        <f>IF($A18="","",IF(INDEX(Cálculo!$D$1:$D$1001,$A18)="","",INDEX(Cálculo!$D$1:$D$1001,$A18)))</f>
        <v>45</v>
      </c>
      <c r="G18" s="52">
        <f>IF($A18="","",IF(INDEX(Cálculo!$E$1:$E$1001,$A18)="","",INDEX(Cálculo!$E$1:$E$1001,$A18)))</f>
        <v>1995</v>
      </c>
      <c r="H18" s="52" t="str">
        <f>IF($A18="","",IF(INDEX(Cálculo!$F$1:$F$1001,$A18)="","",INDEX(Cálculo!$F$1:$F$1001,$A18)))</f>
        <v/>
      </c>
      <c r="I18" s="57">
        <f>IF($A18="","",IF(INDEX(Cálculo!$G$1:$G$1001,$A18)="","",INDEX(Cálculo!$G$1:$G$1001,$A18)))</f>
        <v>1995</v>
      </c>
      <c r="J18" s="120" t="str">
        <f>IF($A18="","",IF(INDEX(Registro!$G$1:$G$1001,$A18)="","",INDEX(Registro!$G$1:$G$1001,$A18)))</f>
        <v>1x2100</v>
      </c>
      <c r="K18" s="50">
        <f>IF($A18="","",IF(INDEX(Cálculo!$H$1:$H$1001,$A18)="","",INDEX(Cálculo!$H$1:$H$1001,$A18)))</f>
        <v>1</v>
      </c>
      <c r="L18" s="52">
        <f>IF($A18="","",IF(INDEX(Cálculo!$I$1:$I$1001,$A18)="","",INDEX(Cálculo!$I$1:$I$1001,$A18)))</f>
        <v>2100</v>
      </c>
      <c r="M18" s="49" t="str">
        <f>IF($A18="","",IF(INDEX(Cálculo!$J$1:$J$1001,$A18)="","",INDEX(Cálculo!$J$1:$J$1001,$A18)))</f>
        <v>CONFORME</v>
      </c>
      <c r="N18" s="52">
        <f>IF($A18="","",IF(INDEX(Registro!$H$1:$H$1001,$A18)="","",INDEX(Registro!$H$1:$H$1001,$A18)))</f>
        <v>2100</v>
      </c>
      <c r="O18" s="120" t="str">
        <f>IF($A18="","",IF(INDEX(Registro!$I$1:$I$1001,$A18)="","",INDEX(Registro!$I$1:$I$1001,$A18)))</f>
        <v/>
      </c>
      <c r="P18" s="52" t="str">
        <f>IF($A18="","",IF(INDEX(Cálculo!$K$1:$K$1001,$A18)="","",INDEX(Cálculo!$K$1:$K$1001,$A18)))</f>
        <v/>
      </c>
      <c r="Q18" s="52">
        <f>IF($A18="","",IF(INDEX(Cálculo!$M$1:$M$1001,$A18)="","",INDEX(Cálculo!$M$1:$M$1001,$A18)))</f>
        <v>2100</v>
      </c>
      <c r="R18" s="120" t="str">
        <f>IF($A18="","",IF(INDEX(Registro!$J$1:$J$1001,$A18)="","",INDEX(Registro!$J$1:$J$1001,$A18)))</f>
        <v/>
      </c>
      <c r="S18" s="52" t="str">
        <f>IF($A18="","",IF(INDEX(Cálculo!$L$1:$L$1001,$A18)="","",INDEX(Cálculo!$L$1:$L$1001,$A18)))</f>
        <v/>
      </c>
      <c r="T18" s="54">
        <f>IF($A18="","",IF(INDEX(Cálculo!$N$1:$N$1001,$A18)="","",INDEX(Cálculo!$N$1:$N$1001,$A18)))</f>
        <v>2100</v>
      </c>
      <c r="U18" s="120" t="str">
        <f>IF($A18="","",IF(INDEX(Registro!$K$1:$K$1001,$A18)="","",INDEX(Registro!$K$1:$K$1001,$A18)))</f>
        <v/>
      </c>
    </row>
    <row r="19" spans="1:21" ht="15" customHeight="1" x14ac:dyDescent="0.25">
      <c r="A19" s="7">
        <f>IFERROR(MOD(SMALL(Cálculo!$O$2:$O$1001,ROWS(A$8:A19)),10000),"")</f>
        <v>13</v>
      </c>
      <c r="B19" s="8">
        <f>IF($A19="","",IF(INDEX(Registro!$B$1:$B$1001,$A19)="","",INDEX(Registro!$B$1:$B$1001,$A19)))</f>
        <v>46306</v>
      </c>
      <c r="C19" s="9" t="str">
        <f>IF($A19="","",IF(INDEX(Registro!$C$1:$C$1001,$A19)="","",INDEX(Registro!$C$1:$C$1001,$A19)))</f>
        <v>Cbba</v>
      </c>
      <c r="D19" s="9" t="str">
        <f>IF($A19="","",IF(INDEX(Registro!$D$1:$D$1001,$A19)="","",INDEX(Registro!$D$1:$D$1001,$A19)))</f>
        <v>12:00-19:00</v>
      </c>
      <c r="E19" s="15" t="str">
        <f>IF($A19="","",IF(INDEX(Registro!$E$1:$E$1001,$A19)="","",INDEX(Registro!$E$1:$E$1001,$A19)))</f>
        <v>46x50; 4x70</v>
      </c>
      <c r="F19" s="10">
        <f>IF($A19="","",IF(INDEX(Cálculo!$D$1:$D$1001,$A19)="","",INDEX(Cálculo!$D$1:$D$1001,$A19)))</f>
        <v>50</v>
      </c>
      <c r="G19" s="53">
        <f>IF($A19="","",IF(INDEX(Cálculo!$E$1:$E$1001,$A19)="","",INDEX(Cálculo!$E$1:$E$1001,$A19)))</f>
        <v>2580</v>
      </c>
      <c r="H19" s="53" t="str">
        <f>IF($A19="","",IF(INDEX(Cálculo!$F$1:$F$1001,$A19)="","",INDEX(Cálculo!$F$1:$F$1001,$A19)))</f>
        <v/>
      </c>
      <c r="I19" s="58">
        <f>IF($A19="","",IF(INDEX(Cálculo!$G$1:$G$1001,$A19)="","",INDEX(Cálculo!$G$1:$G$1001,$A19)))</f>
        <v>2580</v>
      </c>
      <c r="J19" s="15" t="str">
        <f>IF($A19="","",IF(INDEX(Registro!$G$1:$G$1001,$A19)="","",INDEX(Registro!$G$1:$G$1001,$A19)))</f>
        <v>1x5280</v>
      </c>
      <c r="K19" s="10">
        <f>IF($A19="","",IF(INDEX(Cálculo!$H$1:$H$1001,$A19)="","",INDEX(Cálculo!$H$1:$H$1001,$A19)))</f>
        <v>1</v>
      </c>
      <c r="L19" s="53">
        <f>IF($A19="","",IF(INDEX(Cálculo!$I$1:$I$1001,$A19)="","",INDEX(Cálculo!$I$1:$I$1001,$A19)))</f>
        <v>5280</v>
      </c>
      <c r="M19" s="9" t="str">
        <f>IF($A19="","",IF(INDEX(Cálculo!$J$1:$J$1001,$A19)="","",INDEX(Cálculo!$J$1:$J$1001,$A19)))</f>
        <v>CONFORME</v>
      </c>
      <c r="N19" s="53">
        <f>IF($A19="","",IF(INDEX(Registro!$H$1:$H$1001,$A19)="","",INDEX(Registro!$H$1:$H$1001,$A19)))</f>
        <v>5280</v>
      </c>
      <c r="O19" s="15" t="str">
        <f>IF($A19="","",IF(INDEX(Registro!$I$1:$I$1001,$A19)="","",INDEX(Registro!$I$1:$I$1001,$A19)))</f>
        <v>Peaje 50; Veatico 50; Engrase 30</v>
      </c>
      <c r="P19" s="53">
        <f>IF($A19="","",IF(INDEX(Cálculo!$K$1:$K$1001,$A19)="","",INDEX(Cálculo!$K$1:$K$1001,$A19)))</f>
        <v>130</v>
      </c>
      <c r="Q19" s="53">
        <f>IF($A19="","",IF(INDEX(Cálculo!$M$1:$M$1001,$A19)="","",INDEX(Cálculo!$M$1:$M$1001,$A19)))</f>
        <v>5150</v>
      </c>
      <c r="R19" s="15" t="str">
        <f>IF($A19="","",IF(INDEX(Registro!$J$1:$J$1001,$A19)="","",INDEX(Registro!$J$1:$J$1001,$A19)))</f>
        <v/>
      </c>
      <c r="S19" s="53" t="str">
        <f>IF($A19="","",IF(INDEX(Cálculo!$L$1:$L$1001,$A19)="","",INDEX(Cálculo!$L$1:$L$1001,$A19)))</f>
        <v/>
      </c>
      <c r="T19" s="55">
        <f>IF($A19="","",IF(INDEX(Cálculo!$N$1:$N$1001,$A19)="","",INDEX(Cálculo!$N$1:$N$1001,$A19)))</f>
        <v>5150</v>
      </c>
      <c r="U19" s="15" t="str">
        <f>IF($A19="","",IF(INDEX(Registro!$K$1:$K$1001,$A19)="","",INDEX(Registro!$K$1:$K$1001,$A19)))</f>
        <v/>
      </c>
    </row>
    <row r="20" spans="1:21" ht="15" customHeight="1" x14ac:dyDescent="0.25">
      <c r="A20" s="47">
        <f>IFERROR(MOD(SMALL(Cálculo!$O$2:$O$1001,ROWS(A$8:A20)),10000),"")</f>
        <v>14</v>
      </c>
      <c r="B20" s="48">
        <f>IF($A20="","",IF(INDEX(Registro!$B$1:$B$1001,$A20)="","",INDEX(Registro!$B$1:$B$1001,$A20)))</f>
        <v>46307</v>
      </c>
      <c r="C20" s="49" t="str">
        <f>IF($A20="","",IF(INDEX(Registro!$C$1:$C$1001,$A20)="","",INDEX(Registro!$C$1:$C$1001,$A20)))</f>
        <v>Lp</v>
      </c>
      <c r="D20" s="49" t="str">
        <f>IF($A20="","",IF(INDEX(Registro!$D$1:$D$1001,$A20)="","",INDEX(Registro!$D$1:$D$1001,$A20)))</f>
        <v>4:30-16:30</v>
      </c>
      <c r="E20" s="120" t="str">
        <f>IF($A20="","",IF(INDEX(Registro!$E$1:$E$1001,$A20)="","",INDEX(Registro!$E$1:$E$1001,$A20)))</f>
        <v>38x40; 5x60; 8x50</v>
      </c>
      <c r="F20" s="50">
        <f>IF($A20="","",IF(INDEX(Cálculo!$D$1:$D$1001,$A20)="","",INDEX(Cálculo!$D$1:$D$1001,$A20)))</f>
        <v>51</v>
      </c>
      <c r="G20" s="52">
        <f>IF($A20="","",IF(INDEX(Cálculo!$E$1:$E$1001,$A20)="","",INDEX(Cálculo!$E$1:$E$1001,$A20)))</f>
        <v>2220</v>
      </c>
      <c r="H20" s="52" t="str">
        <f>IF($A20="","",IF(INDEX(Cálculo!$F$1:$F$1001,$A20)="","",INDEX(Cálculo!$F$1:$F$1001,$A20)))</f>
        <v/>
      </c>
      <c r="I20" s="57">
        <f>IF($A20="","",IF(INDEX(Cálculo!$G$1:$G$1001,$A20)="","",INDEX(Cálculo!$G$1:$G$1001,$A20)))</f>
        <v>2220</v>
      </c>
      <c r="J20" s="120" t="str">
        <f>IF($A20="","",IF(INDEX(Registro!$G$1:$G$1001,$A20)="","",INDEX(Registro!$G$1:$G$1001,$A20)))</f>
        <v>1x2855</v>
      </c>
      <c r="K20" s="50">
        <f>IF($A20="","",IF(INDEX(Cálculo!$H$1:$H$1001,$A20)="","",INDEX(Cálculo!$H$1:$H$1001,$A20)))</f>
        <v>1</v>
      </c>
      <c r="L20" s="52">
        <f>IF($A20="","",IF(INDEX(Cálculo!$I$1:$I$1001,$A20)="","",INDEX(Cálculo!$I$1:$I$1001,$A20)))</f>
        <v>2855</v>
      </c>
      <c r="M20" s="49" t="str">
        <f>IF($A20="","",IF(INDEX(Cálculo!$J$1:$J$1001,$A20)="","",INDEX(Cálculo!$J$1:$J$1001,$A20)))</f>
        <v>CONFORME</v>
      </c>
      <c r="N20" s="52">
        <f>IF($A20="","",IF(INDEX(Registro!$H$1:$H$1001,$A20)="","",INDEX(Registro!$H$1:$H$1001,$A20)))</f>
        <v>2855</v>
      </c>
      <c r="O20" s="120" t="str">
        <f>IF($A20="","",IF(INDEX(Registro!$I$1:$I$1001,$A20)="","",INDEX(Registro!$I$1:$I$1001,$A20)))</f>
        <v>Peaje 50; Veatico 50; Ayudante 120</v>
      </c>
      <c r="P20" s="52">
        <f>IF($A20="","",IF(INDEX(Cálculo!$K$1:$K$1001,$A20)="","",INDEX(Cálculo!$K$1:$K$1001,$A20)))</f>
        <v>220</v>
      </c>
      <c r="Q20" s="52">
        <f>IF($A20="","",IF(INDEX(Cálculo!$M$1:$M$1001,$A20)="","",INDEX(Cálculo!$M$1:$M$1001,$A20)))</f>
        <v>2635</v>
      </c>
      <c r="R20" s="120" t="str">
        <f>IF($A20="","",IF(INDEX(Registro!$J$1:$J$1001,$A20)="","",INDEX(Registro!$J$1:$J$1001,$A20)))</f>
        <v>Diesel 8190</v>
      </c>
      <c r="S20" s="52">
        <f>IF($A20="","",IF(INDEX(Cálculo!$L$1:$L$1001,$A20)="","",INDEX(Cálculo!$L$1:$L$1001,$A20)))</f>
        <v>8190</v>
      </c>
      <c r="T20" s="54">
        <f>IF($A20="","",IF(INDEX(Cálculo!$N$1:$N$1001,$A20)="","",INDEX(Cálculo!$N$1:$N$1001,$A20)))</f>
        <v>-5555</v>
      </c>
      <c r="U20" s="120" t="str">
        <f>IF($A20="","",IF(INDEX(Registro!$K$1:$K$1001,$A20)="","",INDEX(Registro!$K$1:$K$1001,$A20)))</f>
        <v/>
      </c>
    </row>
    <row r="21" spans="1:21" ht="15" customHeight="1" x14ac:dyDescent="0.25">
      <c r="A21" s="7">
        <f>IFERROR(MOD(SMALL(Cálculo!$O$2:$O$1001,ROWS(A$8:A21)),10000),"")</f>
        <v>15</v>
      </c>
      <c r="B21" s="8">
        <f>IF($A21="","",IF(INDEX(Registro!$B$1:$B$1001,$A21)="","",INDEX(Registro!$B$1:$B$1001,$A21)))</f>
        <v>46308</v>
      </c>
      <c r="C21" s="9" t="str">
        <f>IF($A21="","",IF(INDEX(Registro!$C$1:$C$1001,$A21)="","",INDEX(Registro!$C$1:$C$1001,$A21)))</f>
        <v>Cbba</v>
      </c>
      <c r="D21" s="9" t="str">
        <f>IF($A21="","",IF(INDEX(Registro!$D$1:$D$1001,$A21)="","",INDEX(Registro!$D$1:$D$1001,$A21)))</f>
        <v>4:30-19:00</v>
      </c>
      <c r="E21" s="15" t="str">
        <f>IF($A21="","",IF(INDEX(Registro!$E$1:$E$1001,$A21)="","",INDEX(Registro!$E$1:$E$1001,$A21)))</f>
        <v>36x40; 3x60; 2x50</v>
      </c>
      <c r="F21" s="10">
        <f>IF($A21="","",IF(INDEX(Cálculo!$D$1:$D$1001,$A21)="","",INDEX(Cálculo!$D$1:$D$1001,$A21)))</f>
        <v>41</v>
      </c>
      <c r="G21" s="53">
        <f>IF($A21="","",IF(INDEX(Cálculo!$E$1:$E$1001,$A21)="","",INDEX(Cálculo!$E$1:$E$1001,$A21)))</f>
        <v>1720</v>
      </c>
      <c r="H21" s="53" t="str">
        <f>IF($A21="","",IF(INDEX(Cálculo!$F$1:$F$1001,$A21)="","",INDEX(Cálculo!$F$1:$F$1001,$A21)))</f>
        <v/>
      </c>
      <c r="I21" s="58">
        <f>IF($A21="","",IF(INDEX(Cálculo!$G$1:$G$1001,$A21)="","",INDEX(Cálculo!$G$1:$G$1001,$A21)))</f>
        <v>1720</v>
      </c>
      <c r="J21" s="15" t="str">
        <f>IF($A21="","",IF(INDEX(Registro!$G$1:$G$1001,$A21)="","",INDEX(Registro!$G$1:$G$1001,$A21)))</f>
        <v>1x2960</v>
      </c>
      <c r="K21" s="10">
        <f>IF($A21="","",IF(INDEX(Cálculo!$H$1:$H$1001,$A21)="","",INDEX(Cálculo!$H$1:$H$1001,$A21)))</f>
        <v>1</v>
      </c>
      <c r="L21" s="53">
        <f>IF($A21="","",IF(INDEX(Cálculo!$I$1:$I$1001,$A21)="","",INDEX(Cálculo!$I$1:$I$1001,$A21)))</f>
        <v>2960</v>
      </c>
      <c r="M21" s="9" t="str">
        <f>IF($A21="","",IF(INDEX(Cálculo!$J$1:$J$1001,$A21)="","",INDEX(Cálculo!$J$1:$J$1001,$A21)))</f>
        <v>CONFORME</v>
      </c>
      <c r="N21" s="53">
        <f>IF($A21="","",IF(INDEX(Registro!$H$1:$H$1001,$A21)="","",INDEX(Registro!$H$1:$H$1001,$A21)))</f>
        <v>2960</v>
      </c>
      <c r="O21" s="15" t="str">
        <f>IF($A21="","",IF(INDEX(Registro!$I$1:$I$1001,$A21)="","",INDEX(Registro!$I$1:$I$1001,$A21)))</f>
        <v>Peaje 50; Veatico 50; Engrase 20</v>
      </c>
      <c r="P21" s="53">
        <f>IF($A21="","",IF(INDEX(Cálculo!$K$1:$K$1001,$A21)="","",INDEX(Cálculo!$K$1:$K$1001,$A21)))</f>
        <v>120</v>
      </c>
      <c r="Q21" s="53">
        <f>IF($A21="","",IF(INDEX(Cálculo!$M$1:$M$1001,$A21)="","",INDEX(Cálculo!$M$1:$M$1001,$A21)))</f>
        <v>2840</v>
      </c>
      <c r="R21" s="15" t="str">
        <f>IF($A21="","",IF(INDEX(Registro!$J$1:$J$1001,$A21)="","",INDEX(Registro!$J$1:$J$1001,$A21)))</f>
        <v/>
      </c>
      <c r="S21" s="53" t="str">
        <f>IF($A21="","",IF(INDEX(Cálculo!$L$1:$L$1001,$A21)="","",INDEX(Cálculo!$L$1:$L$1001,$A21)))</f>
        <v/>
      </c>
      <c r="T21" s="55">
        <f>IF($A21="","",IF(INDEX(Cálculo!$N$1:$N$1001,$A21)="","",INDEX(Cálculo!$N$1:$N$1001,$A21)))</f>
        <v>2840</v>
      </c>
      <c r="U21" s="15" t="str">
        <f>IF($A21="","",IF(INDEX(Registro!$K$1:$K$1001,$A21)="","",INDEX(Registro!$K$1:$K$1001,$A21)))</f>
        <v/>
      </c>
    </row>
    <row r="22" spans="1:21" ht="15" customHeight="1" x14ac:dyDescent="0.25">
      <c r="A22" s="47">
        <f>IFERROR(MOD(SMALL(Cálculo!$O$2:$O$1001,ROWS(A$8:A22)),10000),"")</f>
        <v>16</v>
      </c>
      <c r="B22" s="48">
        <f>IF($A22="","",IF(INDEX(Registro!$B$1:$B$1001,$A22)="","",INDEX(Registro!$B$1:$B$1001,$A22)))</f>
        <v>46309</v>
      </c>
      <c r="C22" s="49" t="str">
        <f>IF($A22="","",IF(INDEX(Registro!$C$1:$C$1001,$A22)="","",INDEX(Registro!$C$1:$C$1001,$A22)))</f>
        <v>Lp</v>
      </c>
      <c r="D22" s="49" t="str">
        <f>IF($A22="","",IF(INDEX(Registro!$D$1:$D$1001,$A22)="","",INDEX(Registro!$D$1:$D$1001,$A22)))</f>
        <v>3:30-16:00</v>
      </c>
      <c r="E22" s="120" t="str">
        <f>IF($A22="","",IF(INDEX(Registro!$E$1:$E$1001,$A22)="","",INDEX(Registro!$E$1:$E$1001,$A22)))</f>
        <v>29x40; 3x50; 10x60</v>
      </c>
      <c r="F22" s="50">
        <f>IF($A22="","",IF(INDEX(Cálculo!$D$1:$D$1001,$A22)="","",INDEX(Cálculo!$D$1:$D$1001,$A22)))</f>
        <v>42</v>
      </c>
      <c r="G22" s="52">
        <f>IF($A22="","",IF(INDEX(Cálculo!$E$1:$E$1001,$A22)="","",INDEX(Cálculo!$E$1:$E$1001,$A22)))</f>
        <v>1910</v>
      </c>
      <c r="H22" s="52" t="str">
        <f>IF($A22="","",IF(INDEX(Cálculo!$F$1:$F$1001,$A22)="","",INDEX(Cálculo!$F$1:$F$1001,$A22)))</f>
        <v/>
      </c>
      <c r="I22" s="57">
        <f>IF($A22="","",IF(INDEX(Cálculo!$G$1:$G$1001,$A22)="","",INDEX(Cálculo!$G$1:$G$1001,$A22)))</f>
        <v>1910</v>
      </c>
      <c r="J22" s="120" t="str">
        <f>IF($A22="","",IF(INDEX(Registro!$G$1:$G$1001,$A22)="","",INDEX(Registro!$G$1:$G$1001,$A22)))</f>
        <v>1x2070</v>
      </c>
      <c r="K22" s="50">
        <f>IF($A22="","",IF(INDEX(Cálculo!$H$1:$H$1001,$A22)="","",INDEX(Cálculo!$H$1:$H$1001,$A22)))</f>
        <v>1</v>
      </c>
      <c r="L22" s="52">
        <f>IF($A22="","",IF(INDEX(Cálculo!$I$1:$I$1001,$A22)="","",INDEX(Cálculo!$I$1:$I$1001,$A22)))</f>
        <v>2070</v>
      </c>
      <c r="M22" s="49" t="str">
        <f>IF($A22="","",IF(INDEX(Cálculo!$J$1:$J$1001,$A22)="","",INDEX(Cálculo!$J$1:$J$1001,$A22)))</f>
        <v>CONFORME</v>
      </c>
      <c r="N22" s="52">
        <f>IF($A22="","",IF(INDEX(Registro!$H$1:$H$1001,$A22)="","",INDEX(Registro!$H$1:$H$1001,$A22)))</f>
        <v>2070</v>
      </c>
      <c r="O22" s="120" t="str">
        <f>IF($A22="","",IF(INDEX(Registro!$I$1:$I$1001,$A22)="","",INDEX(Registro!$I$1:$I$1001,$A22)))</f>
        <v>Peaje 50; Veatico 50; Diesel 500</v>
      </c>
      <c r="P22" s="52">
        <f>IF($A22="","",IF(INDEX(Cálculo!$K$1:$K$1001,$A22)="","",INDEX(Cálculo!$K$1:$K$1001,$A22)))</f>
        <v>600</v>
      </c>
      <c r="Q22" s="52">
        <f>IF($A22="","",IF(INDEX(Cálculo!$M$1:$M$1001,$A22)="","",INDEX(Cálculo!$M$1:$M$1001,$A22)))</f>
        <v>1470</v>
      </c>
      <c r="R22" s="120" t="str">
        <f>IF($A22="","",IF(INDEX(Registro!$J$1:$J$1001,$A22)="","",INDEX(Registro!$J$1:$J$1001,$A22)))</f>
        <v/>
      </c>
      <c r="S22" s="52" t="str">
        <f>IF($A22="","",IF(INDEX(Cálculo!$L$1:$L$1001,$A22)="","",INDEX(Cálculo!$L$1:$L$1001,$A22)))</f>
        <v/>
      </c>
      <c r="T22" s="54">
        <f>IF($A22="","",IF(INDEX(Cálculo!$N$1:$N$1001,$A22)="","",INDEX(Cálculo!$N$1:$N$1001,$A22)))</f>
        <v>1470</v>
      </c>
      <c r="U22" s="120" t="str">
        <f>IF($A22="","",IF(INDEX(Registro!$K$1:$K$1001,$A22)="","",INDEX(Registro!$K$1:$K$1001,$A22)))</f>
        <v/>
      </c>
    </row>
    <row r="23" spans="1:21" ht="15" customHeight="1" x14ac:dyDescent="0.25">
      <c r="A23" s="7">
        <f>IFERROR(MOD(SMALL(Cálculo!$O$2:$O$1001,ROWS(A$8:A23)),10000),"")</f>
        <v>17</v>
      </c>
      <c r="B23" s="8">
        <f>IF($A23="","",IF(INDEX(Registro!$B$1:$B$1001,$A23)="","",INDEX(Registro!$B$1:$B$1001,$A23)))</f>
        <v>46310</v>
      </c>
      <c r="C23" s="9" t="str">
        <f>IF($A23="","",IF(INDEX(Registro!$C$1:$C$1001,$A23)="","",INDEX(Registro!$C$1:$C$1001,$A23)))</f>
        <v>Lp</v>
      </c>
      <c r="D23" s="9" t="str">
        <f>IF($A23="","",IF(INDEX(Registro!$D$1:$D$1001,$A23)="","",INDEX(Registro!$D$1:$D$1001,$A23)))</f>
        <v>3:30-14:30</v>
      </c>
      <c r="E23" s="15" t="str">
        <f>IF($A23="","",IF(INDEX(Registro!$E$1:$E$1001,$A23)="","",INDEX(Registro!$E$1:$E$1001,$A23)))</f>
        <v>Sin boleto</v>
      </c>
      <c r="F23" s="10" t="str">
        <f>IF($A23="","",IF(INDEX(Cálculo!$D$1:$D$1001,$A23)="","",INDEX(Cálculo!$D$1:$D$1001,$A23)))</f>
        <v>-</v>
      </c>
      <c r="G23" s="53" t="str">
        <f>IF($A23="","",IF(INDEX(Cálculo!$E$1:$E$1001,$A23)="","",INDEX(Cálculo!$E$1:$E$1001,$A23)))</f>
        <v>-</v>
      </c>
      <c r="H23" s="53" t="str">
        <f>IF($A23="","",IF(INDEX(Cálculo!$F$1:$F$1001,$A23)="","",INDEX(Cálculo!$F$1:$F$1001,$A23)))</f>
        <v/>
      </c>
      <c r="I23" s="58" t="str">
        <f>IF($A23="","",IF(INDEX(Cálculo!$G$1:$G$1001,$A23)="","",INDEX(Cálculo!$G$1:$G$1001,$A23)))</f>
        <v>-</v>
      </c>
      <c r="J23" s="15" t="str">
        <f>IF($A23="","",IF(INDEX(Registro!$G$1:$G$1001,$A23)="","",INDEX(Registro!$G$1:$G$1001,$A23)))</f>
        <v>Sin boleto</v>
      </c>
      <c r="K23" s="10" t="str">
        <f>IF($A23="","",IF(INDEX(Cálculo!$H$1:$H$1001,$A23)="","",INDEX(Cálculo!$H$1:$H$1001,$A23)))</f>
        <v>-</v>
      </c>
      <c r="L23" s="53">
        <f>IF($A23="","",IF(INDEX(Cálculo!$I$1:$I$1001,$A23)="","",INDEX(Cálculo!$I$1:$I$1001,$A23)))</f>
        <v>2870</v>
      </c>
      <c r="M23" s="9" t="str">
        <f>IF($A23="","",IF(INDEX(Cálculo!$J$1:$J$1001,$A23)="","",INDEX(Cálculo!$J$1:$J$1001,$A23)))</f>
        <v>CONFORME</v>
      </c>
      <c r="N23" s="53">
        <f>IF($A23="","",IF(INDEX(Registro!$H$1:$H$1001,$A23)="","",INDEX(Registro!$H$1:$H$1001,$A23)))</f>
        <v>2870</v>
      </c>
      <c r="O23" s="15" t="str">
        <f>IF($A23="","",IF(INDEX(Registro!$I$1:$I$1001,$A23)="","",INDEX(Registro!$I$1:$I$1001,$A23)))</f>
        <v>Peaje 50; Veatico 50; Extra 20</v>
      </c>
      <c r="P23" s="53">
        <f>IF($A23="","",IF(INDEX(Cálculo!$K$1:$K$1001,$A23)="","",INDEX(Cálculo!$K$1:$K$1001,$A23)))</f>
        <v>120</v>
      </c>
      <c r="Q23" s="53">
        <f>IF($A23="","",IF(INDEX(Cálculo!$M$1:$M$1001,$A23)="","",INDEX(Cálculo!$M$1:$M$1001,$A23)))</f>
        <v>2750</v>
      </c>
      <c r="R23" s="15" t="str">
        <f>IF($A23="","",IF(INDEX(Registro!$J$1:$J$1001,$A23)="","",INDEX(Registro!$J$1:$J$1001,$A23)))</f>
        <v>Diesel 8370</v>
      </c>
      <c r="S23" s="53">
        <f>IF($A23="","",IF(INDEX(Cálculo!$L$1:$L$1001,$A23)="","",INDEX(Cálculo!$L$1:$L$1001,$A23)))</f>
        <v>8370</v>
      </c>
      <c r="T23" s="55">
        <f>IF($A23="","",IF(INDEX(Cálculo!$N$1:$N$1001,$A23)="","",INDEX(Cálculo!$N$1:$N$1001,$A23)))</f>
        <v>-5620</v>
      </c>
      <c r="U23" s="15" t="str">
        <f>IF($A23="","",IF(INDEX(Registro!$K$1:$K$1001,$A23)="","",INDEX(Registro!$K$1:$K$1001,$A23)))</f>
        <v/>
      </c>
    </row>
    <row r="24" spans="1:21" ht="15" customHeight="1" x14ac:dyDescent="0.25">
      <c r="A24" s="47">
        <f>IFERROR(MOD(SMALL(Cálculo!$O$2:$O$1001,ROWS(A$8:A24)),10000),"")</f>
        <v>18</v>
      </c>
      <c r="B24" s="48">
        <f>IF($A24="","",IF(INDEX(Registro!$B$1:$B$1001,$A24)="","",INDEX(Registro!$B$1:$B$1001,$A24)))</f>
        <v>46311</v>
      </c>
      <c r="C24" s="49" t="str">
        <f>IF($A24="","",IF(INDEX(Registro!$C$1:$C$1001,$A24)="","",INDEX(Registro!$C$1:$C$1001,$A24)))</f>
        <v>Lp</v>
      </c>
      <c r="D24" s="49" t="str">
        <f>IF($A24="","",IF(INDEX(Registro!$D$1:$D$1001,$A24)="","",INDEX(Registro!$D$1:$D$1001,$A24)))</f>
        <v>5:00-19:00</v>
      </c>
      <c r="E24" s="120" t="str">
        <f>IF($A24="","",IF(INDEX(Registro!$E$1:$E$1001,$A24)="","",INDEX(Registro!$E$1:$E$1001,$A24)))</f>
        <v>Sin boleto</v>
      </c>
      <c r="F24" s="50" t="str">
        <f>IF($A24="","",IF(INDEX(Cálculo!$D$1:$D$1001,$A24)="","",INDEX(Cálculo!$D$1:$D$1001,$A24)))</f>
        <v>-</v>
      </c>
      <c r="G24" s="52" t="str">
        <f>IF($A24="","",IF(INDEX(Cálculo!$E$1:$E$1001,$A24)="","",INDEX(Cálculo!$E$1:$E$1001,$A24)))</f>
        <v>-</v>
      </c>
      <c r="H24" s="52" t="str">
        <f>IF($A24="","",IF(INDEX(Cálculo!$F$1:$F$1001,$A24)="","",INDEX(Cálculo!$F$1:$F$1001,$A24)))</f>
        <v/>
      </c>
      <c r="I24" s="57" t="str">
        <f>IF($A24="","",IF(INDEX(Cálculo!$G$1:$G$1001,$A24)="","",INDEX(Cálculo!$G$1:$G$1001,$A24)))</f>
        <v>-</v>
      </c>
      <c r="J24" s="120" t="str">
        <f>IF($A24="","",IF(INDEX(Registro!$G$1:$G$1001,$A24)="","",INDEX(Registro!$G$1:$G$1001,$A24)))</f>
        <v>1x3250</v>
      </c>
      <c r="K24" s="50">
        <f>IF($A24="","",IF(INDEX(Cálculo!$H$1:$H$1001,$A24)="","",INDEX(Cálculo!$H$1:$H$1001,$A24)))</f>
        <v>1</v>
      </c>
      <c r="L24" s="52">
        <f>IF($A24="","",IF(INDEX(Cálculo!$I$1:$I$1001,$A24)="","",INDEX(Cálculo!$I$1:$I$1001,$A24)))</f>
        <v>3250</v>
      </c>
      <c r="M24" s="49" t="str">
        <f>IF($A24="","",IF(INDEX(Cálculo!$J$1:$J$1001,$A24)="","",INDEX(Cálculo!$J$1:$J$1001,$A24)))</f>
        <v>CONFORME</v>
      </c>
      <c r="N24" s="52">
        <f>IF($A24="","",IF(INDEX(Registro!$H$1:$H$1001,$A24)="","",INDEX(Registro!$H$1:$H$1001,$A24)))</f>
        <v>3250</v>
      </c>
      <c r="O24" s="120" t="str">
        <f>IF($A24="","",IF(INDEX(Registro!$I$1:$I$1001,$A24)="","",INDEX(Registro!$I$1:$I$1001,$A24)))</f>
        <v>Peaje 50; Veatico 50; Engrase 40</v>
      </c>
      <c r="P24" s="52">
        <f>IF($A24="","",IF(INDEX(Cálculo!$K$1:$K$1001,$A24)="","",INDEX(Cálculo!$K$1:$K$1001,$A24)))</f>
        <v>140</v>
      </c>
      <c r="Q24" s="52">
        <f>IF($A24="","",IF(INDEX(Cálculo!$M$1:$M$1001,$A24)="","",INDEX(Cálculo!$M$1:$M$1001,$A24)))</f>
        <v>3110</v>
      </c>
      <c r="R24" s="120" t="str">
        <f>IF($A24="","",IF(INDEX(Registro!$J$1:$J$1001,$A24)="","",INDEX(Registro!$J$1:$J$1001,$A24)))</f>
        <v/>
      </c>
      <c r="S24" s="52" t="str">
        <f>IF($A24="","",IF(INDEX(Cálculo!$L$1:$L$1001,$A24)="","",INDEX(Cálculo!$L$1:$L$1001,$A24)))</f>
        <v/>
      </c>
      <c r="T24" s="54">
        <f>IF($A24="","",IF(INDEX(Cálculo!$N$1:$N$1001,$A24)="","",INDEX(Cálculo!$N$1:$N$1001,$A24)))</f>
        <v>3110</v>
      </c>
      <c r="U24" s="120" t="str">
        <f>IF($A24="","",IF(INDEX(Registro!$K$1:$K$1001,$A24)="","",INDEX(Registro!$K$1:$K$1001,$A24)))</f>
        <v/>
      </c>
    </row>
    <row r="25" spans="1:21" ht="15" customHeight="1" x14ac:dyDescent="0.25">
      <c r="A25" s="7">
        <f>IFERROR(MOD(SMALL(Cálculo!$O$2:$O$1001,ROWS(A$8:A25)),10000),"")</f>
        <v>19</v>
      </c>
      <c r="B25" s="8">
        <f>IF($A25="","",IF(INDEX(Registro!$B$1:$B$1001,$A25)="","",INDEX(Registro!$B$1:$B$1001,$A25)))</f>
        <v>46312</v>
      </c>
      <c r="C25" s="9" t="str">
        <f>IF($A25="","",IF(INDEX(Registro!$C$1:$C$1001,$A25)="","",INDEX(Registro!$C$1:$C$1001,$A25)))</f>
        <v>Cbba</v>
      </c>
      <c r="D25" s="9" t="str">
        <f>IF($A25="","",IF(INDEX(Registro!$D$1:$D$1001,$A25)="","",INDEX(Registro!$D$1:$D$1001,$A25)))</f>
        <v>05:00-12:00</v>
      </c>
      <c r="E25" s="15" t="str">
        <f>IF($A25="","",IF(INDEX(Registro!$E$1:$E$1001,$A25)="","",INDEX(Registro!$E$1:$E$1001,$A25)))</f>
        <v>29x50; 18x60; 11x80</v>
      </c>
      <c r="F25" s="10">
        <f>IF($A25="","",IF(INDEX(Cálculo!$D$1:$D$1001,$A25)="","",INDEX(Cálculo!$D$1:$D$1001,$A25)))</f>
        <v>58</v>
      </c>
      <c r="G25" s="53">
        <f>IF($A25="","",IF(INDEX(Cálculo!$E$1:$E$1001,$A25)="","",INDEX(Cálculo!$E$1:$E$1001,$A25)))</f>
        <v>3410</v>
      </c>
      <c r="H25" s="53" t="str">
        <f>IF($A25="","",IF(INDEX(Cálculo!$F$1:$F$1001,$A25)="","",INDEX(Cálculo!$F$1:$F$1001,$A25)))</f>
        <v/>
      </c>
      <c r="I25" s="58">
        <f>IF($A25="","",IF(INDEX(Cálculo!$G$1:$G$1001,$A25)="","",INDEX(Cálculo!$G$1:$G$1001,$A25)))</f>
        <v>3410</v>
      </c>
      <c r="J25" s="15" t="str">
        <f>IF($A25="","",IF(INDEX(Registro!$G$1:$G$1001,$A25)="","",INDEX(Registro!$G$1:$G$1001,$A25)))</f>
        <v>1x3360</v>
      </c>
      <c r="K25" s="10">
        <f>IF($A25="","",IF(INDEX(Cálculo!$H$1:$H$1001,$A25)="","",INDEX(Cálculo!$H$1:$H$1001,$A25)))</f>
        <v>1</v>
      </c>
      <c r="L25" s="53">
        <f>IF($A25="","",IF(INDEX(Cálculo!$I$1:$I$1001,$A25)="","",INDEX(Cálculo!$I$1:$I$1001,$A25)))</f>
        <v>3360</v>
      </c>
      <c r="M25" s="9" t="str">
        <f>IF($A25="","",IF(INDEX(Cálculo!$J$1:$J$1001,$A25)="","",INDEX(Cálculo!$J$1:$J$1001,$A25)))</f>
        <v>CONFORME</v>
      </c>
      <c r="N25" s="53">
        <f>IF($A25="","",IF(INDEX(Registro!$H$1:$H$1001,$A25)="","",INDEX(Registro!$H$1:$H$1001,$A25)))</f>
        <v>3360</v>
      </c>
      <c r="O25" s="15" t="str">
        <f>IF($A25="","",IF(INDEX(Registro!$I$1:$I$1001,$A25)="","",INDEX(Registro!$I$1:$I$1001,$A25)))</f>
        <v>Peaje 60; Veatico 50; Taxi 20</v>
      </c>
      <c r="P25" s="53">
        <f>IF($A25="","",IF(INDEX(Cálculo!$K$1:$K$1001,$A25)="","",INDEX(Cálculo!$K$1:$K$1001,$A25)))</f>
        <v>130</v>
      </c>
      <c r="Q25" s="53">
        <f>IF($A25="","",IF(INDEX(Cálculo!$M$1:$M$1001,$A25)="","",INDEX(Cálculo!$M$1:$M$1001,$A25)))</f>
        <v>3230</v>
      </c>
      <c r="R25" s="15" t="str">
        <f>IF($A25="","",IF(INDEX(Registro!$J$1:$J$1001,$A25)="","",INDEX(Registro!$J$1:$J$1001,$A25)))</f>
        <v>Diesel 5550</v>
      </c>
      <c r="S25" s="53">
        <f>IF($A25="","",IF(INDEX(Cálculo!$L$1:$L$1001,$A25)="","",INDEX(Cálculo!$L$1:$L$1001,$A25)))</f>
        <v>5550</v>
      </c>
      <c r="T25" s="55">
        <f>IF($A25="","",IF(INDEX(Cálculo!$N$1:$N$1001,$A25)="","",INDEX(Cálculo!$N$1:$N$1001,$A25)))</f>
        <v>-2320</v>
      </c>
      <c r="U25" s="15" t="str">
        <f>IF($A25="","",IF(INDEX(Registro!$K$1:$K$1001,$A25)="","",INDEX(Registro!$K$1:$K$1001,$A25)))</f>
        <v/>
      </c>
    </row>
    <row r="26" spans="1:21" ht="15" customHeight="1" x14ac:dyDescent="0.25">
      <c r="A26" s="47">
        <f>IFERROR(MOD(SMALL(Cálculo!$O$2:$O$1001,ROWS(A$8:A26)),10000),"")</f>
        <v>20</v>
      </c>
      <c r="B26" s="48">
        <f>IF($A26="","",IF(INDEX(Registro!$B$1:$B$1001,$A26)="","",INDEX(Registro!$B$1:$B$1001,$A26)))</f>
        <v>46313</v>
      </c>
      <c r="C26" s="49" t="str">
        <f>IF($A26="","",IF(INDEX(Registro!$C$1:$C$1001,$A26)="","",INDEX(Registro!$C$1:$C$1001,$A26)))</f>
        <v>Lp</v>
      </c>
      <c r="D26" s="49" t="str">
        <f>IF($A26="","",IF(INDEX(Registro!$D$1:$D$1001,$A26)="","",INDEX(Registro!$D$1:$D$1001,$A26)))</f>
        <v>7:00-15:30</v>
      </c>
      <c r="E26" s="120" t="str">
        <f>IF($A26="","",IF(INDEX(Registro!$E$1:$E$1001,$A26)="","",INDEX(Registro!$E$1:$E$1001,$A26)))</f>
        <v>37x40; 5x60</v>
      </c>
      <c r="F26" s="50">
        <f>IF($A26="","",IF(INDEX(Cálculo!$D$1:$D$1001,$A26)="","",INDEX(Cálculo!$D$1:$D$1001,$A26)))</f>
        <v>42</v>
      </c>
      <c r="G26" s="52">
        <f>IF($A26="","",IF(INDEX(Cálculo!$E$1:$E$1001,$A26)="","",INDEX(Cálculo!$E$1:$E$1001,$A26)))</f>
        <v>1780</v>
      </c>
      <c r="H26" s="52" t="str">
        <f>IF($A26="","",IF(INDEX(Cálculo!$F$1:$F$1001,$A26)="","",INDEX(Cálculo!$F$1:$F$1001,$A26)))</f>
        <v/>
      </c>
      <c r="I26" s="57">
        <f>IF($A26="","",IF(INDEX(Cálculo!$G$1:$G$1001,$A26)="","",INDEX(Cálculo!$G$1:$G$1001,$A26)))</f>
        <v>1780</v>
      </c>
      <c r="J26" s="120" t="str">
        <f>IF($A26="","",IF(INDEX(Registro!$G$1:$G$1001,$A26)="","",INDEX(Registro!$G$1:$G$1001,$A26)))</f>
        <v>1x3275</v>
      </c>
      <c r="K26" s="50">
        <f>IF($A26="","",IF(INDEX(Cálculo!$H$1:$H$1001,$A26)="","",INDEX(Cálculo!$H$1:$H$1001,$A26)))</f>
        <v>1</v>
      </c>
      <c r="L26" s="52">
        <f>IF($A26="","",IF(INDEX(Cálculo!$I$1:$I$1001,$A26)="","",INDEX(Cálculo!$I$1:$I$1001,$A26)))</f>
        <v>3275</v>
      </c>
      <c r="M26" s="49" t="str">
        <f>IF($A26="","",IF(INDEX(Cálculo!$J$1:$J$1001,$A26)="","",INDEX(Cálculo!$J$1:$J$1001,$A26)))</f>
        <v>CONFORME</v>
      </c>
      <c r="N26" s="52">
        <f>IF($A26="","",IF(INDEX(Registro!$H$1:$H$1001,$A26)="","",INDEX(Registro!$H$1:$H$1001,$A26)))</f>
        <v>3275</v>
      </c>
      <c r="O26" s="120" t="str">
        <f>IF($A26="","",IF(INDEX(Registro!$I$1:$I$1001,$A26)="","",INDEX(Registro!$I$1:$I$1001,$A26)))</f>
        <v>Peaje 45; Veatico 50</v>
      </c>
      <c r="P26" s="52">
        <f>IF($A26="","",IF(INDEX(Cálculo!$K$1:$K$1001,$A26)="","",INDEX(Cálculo!$K$1:$K$1001,$A26)))</f>
        <v>95</v>
      </c>
      <c r="Q26" s="52">
        <f>IF($A26="","",IF(INDEX(Cálculo!$M$1:$M$1001,$A26)="","",INDEX(Cálculo!$M$1:$M$1001,$A26)))</f>
        <v>3180</v>
      </c>
      <c r="R26" s="120" t="str">
        <f>IF($A26="","",IF(INDEX(Registro!$J$1:$J$1001,$A26)="","",INDEX(Registro!$J$1:$J$1001,$A26)))</f>
        <v/>
      </c>
      <c r="S26" s="52" t="str">
        <f>IF($A26="","",IF(INDEX(Cálculo!$L$1:$L$1001,$A26)="","",INDEX(Cálculo!$L$1:$L$1001,$A26)))</f>
        <v/>
      </c>
      <c r="T26" s="54">
        <f>IF($A26="","",IF(INDEX(Cálculo!$N$1:$N$1001,$A26)="","",INDEX(Cálculo!$N$1:$N$1001,$A26)))</f>
        <v>3180</v>
      </c>
      <c r="U26" s="120" t="str">
        <f>IF($A26="","",IF(INDEX(Registro!$K$1:$K$1001,$A26)="","",INDEX(Registro!$K$1:$K$1001,$A26)))</f>
        <v/>
      </c>
    </row>
    <row r="27" spans="1:21" ht="15" customHeight="1" x14ac:dyDescent="0.25">
      <c r="A27" s="7">
        <f>IFERROR(MOD(SMALL(Cálculo!$O$2:$O$1001,ROWS(A$8:A27)),10000),"")</f>
        <v>21</v>
      </c>
      <c r="B27" s="8">
        <f>IF($A27="","",IF(INDEX(Registro!$B$1:$B$1001,$A27)="","",INDEX(Registro!$B$1:$B$1001,$A27)))</f>
        <v>46314</v>
      </c>
      <c r="C27" s="9" t="str">
        <f>IF($A27="","",IF(INDEX(Registro!$C$1:$C$1001,$A27)="","",INDEX(Registro!$C$1:$C$1001,$A27)))</f>
        <v>Cbba</v>
      </c>
      <c r="D27" s="9" t="str">
        <f>IF($A27="","",IF(INDEX(Registro!$D$1:$D$1001,$A27)="","",INDEX(Registro!$D$1:$D$1001,$A27)))</f>
        <v>3:30-12:00</v>
      </c>
      <c r="E27" s="15" t="str">
        <f>IF($A27="","",IF(INDEX(Registro!$E$1:$E$1001,$A27)="","",INDEX(Registro!$E$1:$E$1001,$A27)))</f>
        <v>41x50; 7x40; 4x80</v>
      </c>
      <c r="F27" s="10">
        <f>IF($A27="","",IF(INDEX(Cálculo!$D$1:$D$1001,$A27)="","",INDEX(Cálculo!$D$1:$D$1001,$A27)))</f>
        <v>52</v>
      </c>
      <c r="G27" s="53">
        <f>IF($A27="","",IF(INDEX(Cálculo!$E$1:$E$1001,$A27)="","",INDEX(Cálculo!$E$1:$E$1001,$A27)))</f>
        <v>2650</v>
      </c>
      <c r="H27" s="53" t="str">
        <f>IF($A27="","",IF(INDEX(Cálculo!$F$1:$F$1001,$A27)="","",INDEX(Cálculo!$F$1:$F$1001,$A27)))</f>
        <v/>
      </c>
      <c r="I27" s="58">
        <f>IF($A27="","",IF(INDEX(Cálculo!$G$1:$G$1001,$A27)="","",INDEX(Cálculo!$G$1:$G$1001,$A27)))</f>
        <v>2650</v>
      </c>
      <c r="J27" s="15" t="str">
        <f>IF($A27="","",IF(INDEX(Registro!$G$1:$G$1001,$A27)="","",INDEX(Registro!$G$1:$G$1001,$A27)))</f>
        <v>1x3275</v>
      </c>
      <c r="K27" s="10">
        <f>IF($A27="","",IF(INDEX(Cálculo!$H$1:$H$1001,$A27)="","",INDEX(Cálculo!$H$1:$H$1001,$A27)))</f>
        <v>1</v>
      </c>
      <c r="L27" s="53">
        <f>IF($A27="","",IF(INDEX(Cálculo!$I$1:$I$1001,$A27)="","",INDEX(Cálculo!$I$1:$I$1001,$A27)))</f>
        <v>3275</v>
      </c>
      <c r="M27" s="9" t="str">
        <f>IF($A27="","",IF(INDEX(Cálculo!$J$1:$J$1001,$A27)="","",INDEX(Cálculo!$J$1:$J$1001,$A27)))</f>
        <v>CONFORME</v>
      </c>
      <c r="N27" s="53">
        <f>IF($A27="","",IF(INDEX(Registro!$H$1:$H$1001,$A27)="","",INDEX(Registro!$H$1:$H$1001,$A27)))</f>
        <v>3275</v>
      </c>
      <c r="O27" s="15" t="str">
        <f>IF($A27="","",IF(INDEX(Registro!$I$1:$I$1001,$A27)="","",INDEX(Registro!$I$1:$I$1001,$A27)))</f>
        <v>Peaje 45; Veatico 50; Ayudante 120</v>
      </c>
      <c r="P27" s="53">
        <f>IF($A27="","",IF(INDEX(Cálculo!$K$1:$K$1001,$A27)="","",INDEX(Cálculo!$K$1:$K$1001,$A27)))</f>
        <v>215</v>
      </c>
      <c r="Q27" s="53">
        <f>IF($A27="","",IF(INDEX(Cálculo!$M$1:$M$1001,$A27)="","",INDEX(Cálculo!$M$1:$M$1001,$A27)))</f>
        <v>3060</v>
      </c>
      <c r="R27" s="15" t="str">
        <f>IF($A27="","",IF(INDEX(Registro!$J$1:$J$1001,$A27)="","",INDEX(Registro!$J$1:$J$1001,$A27)))</f>
        <v/>
      </c>
      <c r="S27" s="53" t="str">
        <f>IF($A27="","",IF(INDEX(Cálculo!$L$1:$L$1001,$A27)="","",INDEX(Cálculo!$L$1:$L$1001,$A27)))</f>
        <v/>
      </c>
      <c r="T27" s="55">
        <f>IF($A27="","",IF(INDEX(Cálculo!$N$1:$N$1001,$A27)="","",INDEX(Cálculo!$N$1:$N$1001,$A27)))</f>
        <v>3060</v>
      </c>
      <c r="U27" s="15" t="str">
        <f>IF($A27="","",IF(INDEX(Registro!$K$1:$K$1001,$A27)="","",INDEX(Registro!$K$1:$K$1001,$A27)))</f>
        <v/>
      </c>
    </row>
    <row r="28" spans="1:21" ht="15" customHeight="1" x14ac:dyDescent="0.25">
      <c r="A28" s="47">
        <f>IFERROR(MOD(SMALL(Cálculo!$O$2:$O$1001,ROWS(A$8:A28)),10000),"")</f>
        <v>22</v>
      </c>
      <c r="B28" s="48">
        <f>IF($A28="","",IF(INDEX(Registro!$B$1:$B$1001,$A28)="","",INDEX(Registro!$B$1:$B$1001,$A28)))</f>
        <v>46315</v>
      </c>
      <c r="C28" s="49" t="str">
        <f>IF($A28="","",IF(INDEX(Registro!$C$1:$C$1001,$A28)="","",INDEX(Registro!$C$1:$C$1001,$A28)))</f>
        <v>Lp</v>
      </c>
      <c r="D28" s="49" t="str">
        <f>IF($A28="","",IF(INDEX(Registro!$D$1:$D$1001,$A28)="","",INDEX(Registro!$D$1:$D$1001,$A28)))</f>
        <v>3:30-10:00</v>
      </c>
      <c r="E28" s="120" t="str">
        <f>IF($A28="","",IF(INDEX(Registro!$E$1:$E$1001,$A28)="","",INDEX(Registro!$E$1:$E$1001,$A28)))</f>
        <v>42x50; 5x70; 2x60</v>
      </c>
      <c r="F28" s="50">
        <f>IF($A28="","",IF(INDEX(Cálculo!$D$1:$D$1001,$A28)="","",INDEX(Cálculo!$D$1:$D$1001,$A28)))</f>
        <v>49</v>
      </c>
      <c r="G28" s="52">
        <f>IF($A28="","",IF(INDEX(Cálculo!$E$1:$E$1001,$A28)="","",INDEX(Cálculo!$E$1:$E$1001,$A28)))</f>
        <v>2570</v>
      </c>
      <c r="H28" s="52" t="str">
        <f>IF($A28="","",IF(INDEX(Cálculo!$F$1:$F$1001,$A28)="","",INDEX(Cálculo!$F$1:$F$1001,$A28)))</f>
        <v/>
      </c>
      <c r="I28" s="57">
        <f>IF($A28="","",IF(INDEX(Cálculo!$G$1:$G$1001,$A28)="","",INDEX(Cálculo!$G$1:$G$1001,$A28)))</f>
        <v>2570</v>
      </c>
      <c r="J28" s="120" t="str">
        <f>IF($A28="","",IF(INDEX(Registro!$G$1:$G$1001,$A28)="","",INDEX(Registro!$G$1:$G$1001,$A28)))</f>
        <v>1x2340</v>
      </c>
      <c r="K28" s="50">
        <f>IF($A28="","",IF(INDEX(Cálculo!$H$1:$H$1001,$A28)="","",INDEX(Cálculo!$H$1:$H$1001,$A28)))</f>
        <v>1</v>
      </c>
      <c r="L28" s="52">
        <f>IF($A28="","",IF(INDEX(Cálculo!$I$1:$I$1001,$A28)="","",INDEX(Cálculo!$I$1:$I$1001,$A28)))</f>
        <v>2340</v>
      </c>
      <c r="M28" s="49" t="str">
        <f>IF($A28="","",IF(INDEX(Cálculo!$J$1:$J$1001,$A28)="","",INDEX(Cálculo!$J$1:$J$1001,$A28)))</f>
        <v>CONFORME</v>
      </c>
      <c r="N28" s="52">
        <f>IF($A28="","",IF(INDEX(Registro!$H$1:$H$1001,$A28)="","",INDEX(Registro!$H$1:$H$1001,$A28)))</f>
        <v>2340</v>
      </c>
      <c r="O28" s="120" t="str">
        <f>IF($A28="","",IF(INDEX(Registro!$I$1:$I$1001,$A28)="","",INDEX(Registro!$I$1:$I$1001,$A28)))</f>
        <v>Peaje 50; Veatico 50</v>
      </c>
      <c r="P28" s="52">
        <f>IF($A28="","",IF(INDEX(Cálculo!$K$1:$K$1001,$A28)="","",INDEX(Cálculo!$K$1:$K$1001,$A28)))</f>
        <v>100</v>
      </c>
      <c r="Q28" s="52">
        <f>IF($A28="","",IF(INDEX(Cálculo!$M$1:$M$1001,$A28)="","",INDEX(Cálculo!$M$1:$M$1001,$A28)))</f>
        <v>2240</v>
      </c>
      <c r="R28" s="120" t="str">
        <f>IF($A28="","",IF(INDEX(Registro!$J$1:$J$1001,$A28)="","",INDEX(Registro!$J$1:$J$1001,$A28)))</f>
        <v>Diesel 8500</v>
      </c>
      <c r="S28" s="52">
        <f>IF($A28="","",IF(INDEX(Cálculo!$L$1:$L$1001,$A28)="","",INDEX(Cálculo!$L$1:$L$1001,$A28)))</f>
        <v>8500</v>
      </c>
      <c r="T28" s="54">
        <f>IF($A28="","",IF(INDEX(Cálculo!$N$1:$N$1001,$A28)="","",INDEX(Cálculo!$N$1:$N$1001,$A28)))</f>
        <v>-6260</v>
      </c>
      <c r="U28" s="120" t="str">
        <f>IF($A28="","",IF(INDEX(Registro!$K$1:$K$1001,$A28)="","",INDEX(Registro!$K$1:$K$1001,$A28)))</f>
        <v/>
      </c>
    </row>
    <row r="29" spans="1:21" ht="15" customHeight="1" x14ac:dyDescent="0.25">
      <c r="A29" s="7">
        <f>IFERROR(MOD(SMALL(Cálculo!$O$2:$O$1001,ROWS(A$8:A29)),10000),"")</f>
        <v>23</v>
      </c>
      <c r="B29" s="8">
        <f>IF($A29="","",IF(INDEX(Registro!$B$1:$B$1001,$A29)="","",INDEX(Registro!$B$1:$B$1001,$A29)))</f>
        <v>46316</v>
      </c>
      <c r="C29" s="9" t="str">
        <f>IF($A29="","",IF(INDEX(Registro!$C$1:$C$1001,$A29)="","",INDEX(Registro!$C$1:$C$1001,$A29)))</f>
        <v>Lp</v>
      </c>
      <c r="D29" s="9" t="str">
        <f>IF($A29="","",IF(INDEX(Registro!$D$1:$D$1001,$A29)="","",INDEX(Registro!$D$1:$D$1001,$A29)))</f>
        <v>4:30-17:00</v>
      </c>
      <c r="E29" s="15" t="str">
        <f>IF($A29="","",IF(INDEX(Registro!$E$1:$E$1001,$A29)="","",INDEX(Registro!$E$1:$E$1001,$A29)))</f>
        <v>7x70; 35x50</v>
      </c>
      <c r="F29" s="10">
        <f>IF($A29="","",IF(INDEX(Cálculo!$D$1:$D$1001,$A29)="","",INDEX(Cálculo!$D$1:$D$1001,$A29)))</f>
        <v>42</v>
      </c>
      <c r="G29" s="53">
        <f>IF($A29="","",IF(INDEX(Cálculo!$E$1:$E$1001,$A29)="","",INDEX(Cálculo!$E$1:$E$1001,$A29)))</f>
        <v>2240</v>
      </c>
      <c r="H29" s="53" t="str">
        <f>IF($A29="","",IF(INDEX(Cálculo!$F$1:$F$1001,$A29)="","",INDEX(Cálculo!$F$1:$F$1001,$A29)))</f>
        <v/>
      </c>
      <c r="I29" s="58">
        <f>IF($A29="","",IF(INDEX(Cálculo!$G$1:$G$1001,$A29)="","",INDEX(Cálculo!$G$1:$G$1001,$A29)))</f>
        <v>2240</v>
      </c>
      <c r="J29" s="15" t="str">
        <f>IF($A29="","",IF(INDEX(Registro!$G$1:$G$1001,$A29)="","",INDEX(Registro!$G$1:$G$1001,$A29)))</f>
        <v>Sin boleto</v>
      </c>
      <c r="K29" s="10" t="str">
        <f>IF($A29="","",IF(INDEX(Cálculo!$H$1:$H$1001,$A29)="","",INDEX(Cálculo!$H$1:$H$1001,$A29)))</f>
        <v>-</v>
      </c>
      <c r="L29" s="53">
        <f>IF($A29="","",IF(INDEX(Cálculo!$I$1:$I$1001,$A29)="","",INDEX(Cálculo!$I$1:$I$1001,$A29)))</f>
        <v>0</v>
      </c>
      <c r="M29" s="9" t="str">
        <f>IF($A29="","",IF(INDEX(Cálculo!$J$1:$J$1001,$A29)="","",INDEX(Cálculo!$J$1:$J$1001,$A29)))</f>
        <v>CONFORME</v>
      </c>
      <c r="N29" s="53">
        <f>IF($A29="","",IF(INDEX(Registro!$H$1:$H$1001,$A29)="","",INDEX(Registro!$H$1:$H$1001,$A29)))</f>
        <v>0</v>
      </c>
      <c r="O29" s="15" t="str">
        <f>IF($A29="","",IF(INDEX(Registro!$I$1:$I$1001,$A29)="","",INDEX(Registro!$I$1:$I$1001,$A29)))</f>
        <v/>
      </c>
      <c r="P29" s="53" t="str">
        <f>IF($A29="","",IF(INDEX(Cálculo!$K$1:$K$1001,$A29)="","",INDEX(Cálculo!$K$1:$K$1001,$A29)))</f>
        <v/>
      </c>
      <c r="Q29" s="53">
        <f>IF($A29="","",IF(INDEX(Cálculo!$M$1:$M$1001,$A29)="","",INDEX(Cálculo!$M$1:$M$1001,$A29)))</f>
        <v>0</v>
      </c>
      <c r="R29" s="15" t="str">
        <f>IF($A29="","",IF(INDEX(Registro!$J$1:$J$1001,$A29)="","",INDEX(Registro!$J$1:$J$1001,$A29)))</f>
        <v/>
      </c>
      <c r="S29" s="53" t="str">
        <f>IF($A29="","",IF(INDEX(Cálculo!$L$1:$L$1001,$A29)="","",INDEX(Cálculo!$L$1:$L$1001,$A29)))</f>
        <v/>
      </c>
      <c r="T29" s="55">
        <f>IF($A29="","",IF(INDEX(Cálculo!$N$1:$N$1001,$A29)="","",INDEX(Cálculo!$N$1:$N$1001,$A29)))</f>
        <v>0</v>
      </c>
      <c r="U29" s="15" t="str">
        <f>IF($A29="","",IF(INDEX(Registro!$K$1:$K$1001,$A29)="","",INDEX(Registro!$K$1:$K$1001,$A29)))</f>
        <v/>
      </c>
    </row>
    <row r="30" spans="1:21" ht="15" customHeight="1" x14ac:dyDescent="0.25">
      <c r="A30" s="47">
        <f>IFERROR(MOD(SMALL(Cálculo!$O$2:$O$1001,ROWS(A$8:A30)),10000),"")</f>
        <v>24</v>
      </c>
      <c r="B30" s="48">
        <f>IF($A30="","",IF(INDEX(Registro!$B$1:$B$1001,$A30)="","",INDEX(Registro!$B$1:$B$1001,$A30)))</f>
        <v>46317</v>
      </c>
      <c r="C30" s="49" t="str">
        <f>IF($A30="","",IF(INDEX(Registro!$C$1:$C$1001,$A30)="","",INDEX(Registro!$C$1:$C$1001,$A30)))</f>
        <v>Cbba</v>
      </c>
      <c r="D30" s="49" t="str">
        <f>IF($A30="","",IF(INDEX(Registro!$D$1:$D$1001,$A30)="","",INDEX(Registro!$D$1:$D$1001,$A30)))</f>
        <v>6:30-15:30</v>
      </c>
      <c r="E30" s="120" t="str">
        <f>IF($A30="","",IF(INDEX(Registro!$E$1:$E$1001,$A30)="","",INDEX(Registro!$E$1:$E$1001,$A30)))</f>
        <v>19x50; 6x40; 4x70; 4x60</v>
      </c>
      <c r="F30" s="50">
        <f>IF($A30="","",IF(INDEX(Cálculo!$D$1:$D$1001,$A30)="","",INDEX(Cálculo!$D$1:$D$1001,$A30)))</f>
        <v>33</v>
      </c>
      <c r="G30" s="52">
        <f>IF($A30="","",IF(INDEX(Cálculo!$E$1:$E$1001,$A30)="","",INDEX(Cálculo!$E$1:$E$1001,$A30)))</f>
        <v>1710</v>
      </c>
      <c r="H30" s="52" t="str">
        <f>IF($A30="","",IF(INDEX(Cálculo!$F$1:$F$1001,$A30)="","",INDEX(Cálculo!$F$1:$F$1001,$A30)))</f>
        <v/>
      </c>
      <c r="I30" s="57">
        <f>IF($A30="","",IF(INDEX(Cálculo!$G$1:$G$1001,$A30)="","",INDEX(Cálculo!$G$1:$G$1001,$A30)))</f>
        <v>1710</v>
      </c>
      <c r="J30" s="120" t="str">
        <f>IF($A30="","",IF(INDEX(Registro!$G$1:$G$1001,$A30)="","",INDEX(Registro!$G$1:$G$1001,$A30)))</f>
        <v>Sin boleto</v>
      </c>
      <c r="K30" s="50" t="str">
        <f>IF($A30="","",IF(INDEX(Cálculo!$H$1:$H$1001,$A30)="","",INDEX(Cálculo!$H$1:$H$1001,$A30)))</f>
        <v>-</v>
      </c>
      <c r="L30" s="52">
        <f>IF($A30="","",IF(INDEX(Cálculo!$I$1:$I$1001,$A30)="","",INDEX(Cálculo!$I$1:$I$1001,$A30)))</f>
        <v>3760</v>
      </c>
      <c r="M30" s="49" t="str">
        <f>IF($A30="","",IF(INDEX(Cálculo!$J$1:$J$1001,$A30)="","",INDEX(Cálculo!$J$1:$J$1001,$A30)))</f>
        <v>CONFORME</v>
      </c>
      <c r="N30" s="52">
        <f>IF($A30="","",IF(INDEX(Registro!$H$1:$H$1001,$A30)="","",INDEX(Registro!$H$1:$H$1001,$A30)))</f>
        <v>3760</v>
      </c>
      <c r="O30" s="120" t="str">
        <f>IF($A30="","",IF(INDEX(Registro!$I$1:$I$1001,$A30)="","",INDEX(Registro!$I$1:$I$1001,$A30)))</f>
        <v>Peaje 50; Veatico 50; Engrase 30</v>
      </c>
      <c r="P30" s="52">
        <f>IF($A30="","",IF(INDEX(Cálculo!$K$1:$K$1001,$A30)="","",INDEX(Cálculo!$K$1:$K$1001,$A30)))</f>
        <v>130</v>
      </c>
      <c r="Q30" s="52">
        <f>IF($A30="","",IF(INDEX(Cálculo!$M$1:$M$1001,$A30)="","",INDEX(Cálculo!$M$1:$M$1001,$A30)))</f>
        <v>3630</v>
      </c>
      <c r="R30" s="120" t="str">
        <f>IF($A30="","",IF(INDEX(Registro!$J$1:$J$1001,$A30)="","",INDEX(Registro!$J$1:$J$1001,$A30)))</f>
        <v/>
      </c>
      <c r="S30" s="52" t="str">
        <f>IF($A30="","",IF(INDEX(Cálculo!$L$1:$L$1001,$A30)="","",INDEX(Cálculo!$L$1:$L$1001,$A30)))</f>
        <v/>
      </c>
      <c r="T30" s="54">
        <f>IF($A30="","",IF(INDEX(Cálculo!$N$1:$N$1001,$A30)="","",INDEX(Cálculo!$N$1:$N$1001,$A30)))</f>
        <v>3630</v>
      </c>
      <c r="U30" s="120" t="str">
        <f>IF($A30="","",IF(INDEX(Registro!$K$1:$K$1001,$A30)="","",INDEX(Registro!$K$1:$K$1001,$A30)))</f>
        <v/>
      </c>
    </row>
    <row r="31" spans="1:21" ht="15" customHeight="1" x14ac:dyDescent="0.25">
      <c r="A31" s="7">
        <f>IFERROR(MOD(SMALL(Cálculo!$O$2:$O$1001,ROWS(A$8:A31)),10000),"")</f>
        <v>25</v>
      </c>
      <c r="B31" s="8">
        <f>IF($A31="","",IF(INDEX(Registro!$B$1:$B$1001,$A31)="","",INDEX(Registro!$B$1:$B$1001,$A31)))</f>
        <v>46318</v>
      </c>
      <c r="C31" s="9" t="str">
        <f>IF($A31="","",IF(INDEX(Registro!$C$1:$C$1001,$A31)="","",INDEX(Registro!$C$1:$C$1001,$A31)))</f>
        <v>Lp</v>
      </c>
      <c r="D31" s="9" t="str">
        <f>IF($A31="","",IF(INDEX(Registro!$D$1:$D$1001,$A31)="","",INDEX(Registro!$D$1:$D$1001,$A31)))</f>
        <v>4:30-11:00</v>
      </c>
      <c r="E31" s="15" t="str">
        <f>IF($A31="","",IF(INDEX(Registro!$E$1:$E$1001,$A31)="","",INDEX(Registro!$E$1:$E$1001,$A31)))</f>
        <v>47x50; 12x70</v>
      </c>
      <c r="F31" s="10">
        <f>IF($A31="","",IF(INDEX(Cálculo!$D$1:$D$1001,$A31)="","",INDEX(Cálculo!$D$1:$D$1001,$A31)))</f>
        <v>59</v>
      </c>
      <c r="G31" s="53">
        <f>IF($A31="","",IF(INDEX(Cálculo!$E$1:$E$1001,$A31)="","",INDEX(Cálculo!$E$1:$E$1001,$A31)))</f>
        <v>3190</v>
      </c>
      <c r="H31" s="53" t="str">
        <f>IF($A31="","",IF(INDEX(Cálculo!$F$1:$F$1001,$A31)="","",INDEX(Cálculo!$F$1:$F$1001,$A31)))</f>
        <v/>
      </c>
      <c r="I31" s="58">
        <f>IF($A31="","",IF(INDEX(Cálculo!$G$1:$G$1001,$A31)="","",INDEX(Cálculo!$G$1:$G$1001,$A31)))</f>
        <v>3190</v>
      </c>
      <c r="J31" s="15" t="str">
        <f>IF($A31="","",IF(INDEX(Registro!$G$1:$G$1001,$A31)="","",INDEX(Registro!$G$1:$G$1001,$A31)))</f>
        <v>1x2335</v>
      </c>
      <c r="K31" s="10">
        <f>IF($A31="","",IF(INDEX(Cálculo!$H$1:$H$1001,$A31)="","",INDEX(Cálculo!$H$1:$H$1001,$A31)))</f>
        <v>1</v>
      </c>
      <c r="L31" s="53">
        <f>IF($A31="","",IF(INDEX(Cálculo!$I$1:$I$1001,$A31)="","",INDEX(Cálculo!$I$1:$I$1001,$A31)))</f>
        <v>2335</v>
      </c>
      <c r="M31" s="9" t="str">
        <f>IF($A31="","",IF(INDEX(Cálculo!$J$1:$J$1001,$A31)="","",INDEX(Cálculo!$J$1:$J$1001,$A31)))</f>
        <v>CONFORME</v>
      </c>
      <c r="N31" s="53">
        <f>IF($A31="","",IF(INDEX(Registro!$H$1:$H$1001,$A31)="","",INDEX(Registro!$H$1:$H$1001,$A31)))</f>
        <v>2335</v>
      </c>
      <c r="O31" s="15" t="str">
        <f>IF($A31="","",IF(INDEX(Registro!$I$1:$I$1001,$A31)="","",INDEX(Registro!$I$1:$I$1001,$A31)))</f>
        <v>Peaje 45; Veatico 50</v>
      </c>
      <c r="P31" s="53">
        <f>IF($A31="","",IF(INDEX(Cálculo!$K$1:$K$1001,$A31)="","",INDEX(Cálculo!$K$1:$K$1001,$A31)))</f>
        <v>95</v>
      </c>
      <c r="Q31" s="53">
        <f>IF($A31="","",IF(INDEX(Cálculo!$M$1:$M$1001,$A31)="","",INDEX(Cálculo!$M$1:$M$1001,$A31)))</f>
        <v>2240</v>
      </c>
      <c r="R31" s="15" t="str">
        <f>IF($A31="","",IF(INDEX(Registro!$J$1:$J$1001,$A31)="","",INDEX(Registro!$J$1:$J$1001,$A31)))</f>
        <v>Diesel 8400</v>
      </c>
      <c r="S31" s="53">
        <f>IF($A31="","",IF(INDEX(Cálculo!$L$1:$L$1001,$A31)="","",INDEX(Cálculo!$L$1:$L$1001,$A31)))</f>
        <v>8400</v>
      </c>
      <c r="T31" s="55">
        <f>IF($A31="","",IF(INDEX(Cálculo!$N$1:$N$1001,$A31)="","",INDEX(Cálculo!$N$1:$N$1001,$A31)))</f>
        <v>-6160</v>
      </c>
      <c r="U31" s="15" t="str">
        <f>IF($A31="","",IF(INDEX(Registro!$K$1:$K$1001,$A31)="","",INDEX(Registro!$K$1:$K$1001,$A31)))</f>
        <v/>
      </c>
    </row>
    <row r="32" spans="1:21" ht="15" customHeight="1" x14ac:dyDescent="0.25">
      <c r="A32" s="47">
        <f>IFERROR(MOD(SMALL(Cálculo!$O$2:$O$1001,ROWS(A$8:A32)),10000),"")</f>
        <v>47</v>
      </c>
      <c r="B32" s="48">
        <f>IF($A32="","",IF(INDEX(Registro!$B$1:$B$1001,$A32)="","",INDEX(Registro!$B$1:$B$1001,$A32)))</f>
        <v>46319</v>
      </c>
      <c r="C32" s="49" t="str">
        <f>IF($A32="","",IF(INDEX(Registro!$C$1:$C$1001,$A32)="","",INDEX(Registro!$C$1:$C$1001,$A32)))</f>
        <v>Lp</v>
      </c>
      <c r="D32" s="49" t="str">
        <f>IF($A32="","",IF(INDEX(Registro!$D$1:$D$1001,$A32)="","",INDEX(Registro!$D$1:$D$1001,$A32)))</f>
        <v>4:00-13:30</v>
      </c>
      <c r="E32" s="120" t="str">
        <f>IF($A32="","",IF(INDEX(Registro!$E$1:$E$1001,$A32)="","",INDEX(Registro!$E$1:$E$1001,$A32)))</f>
        <v>43x50; 6x70; 2x80; 1x60</v>
      </c>
      <c r="F32" s="50">
        <f>IF($A32="","",IF(INDEX(Cálculo!$D$1:$D$1001,$A32)="","",INDEX(Cálculo!$D$1:$D$1001,$A32)))</f>
        <v>52</v>
      </c>
      <c r="G32" s="52">
        <f>IF($A32="","",IF(INDEX(Cálculo!$E$1:$E$1001,$A32)="","",INDEX(Cálculo!$E$1:$E$1001,$A32)))</f>
        <v>2790</v>
      </c>
      <c r="H32" s="52" t="str">
        <f>IF($A32="","",IF(INDEX(Cálculo!$F$1:$F$1001,$A32)="","",INDEX(Cálculo!$F$1:$F$1001,$A32)))</f>
        <v/>
      </c>
      <c r="I32" s="57">
        <f>IF($A32="","",IF(INDEX(Cálculo!$G$1:$G$1001,$A32)="","",INDEX(Cálculo!$G$1:$G$1001,$A32)))</f>
        <v>2790</v>
      </c>
      <c r="J32" s="120" t="str">
        <f>IF($A32="","",IF(INDEX(Registro!$G$1:$G$1001,$A32)="","",INDEX(Registro!$G$1:$G$1001,$A32)))</f>
        <v>1x2815</v>
      </c>
      <c r="K32" s="50">
        <f>IF($A32="","",IF(INDEX(Cálculo!$H$1:$H$1001,$A32)="","",INDEX(Cálculo!$H$1:$H$1001,$A32)))</f>
        <v>1</v>
      </c>
      <c r="L32" s="52">
        <f>IF($A32="","",IF(INDEX(Cálculo!$I$1:$I$1001,$A32)="","",INDEX(Cálculo!$I$1:$I$1001,$A32)))</f>
        <v>2815</v>
      </c>
      <c r="M32" s="49" t="str">
        <f>IF($A32="","",IF(INDEX(Cálculo!$J$1:$J$1001,$A32)="","",INDEX(Cálculo!$J$1:$J$1001,$A32)))</f>
        <v>CONFORME</v>
      </c>
      <c r="N32" s="52">
        <f>IF($A32="","",IF(INDEX(Registro!$H$1:$H$1001,$A32)="","",INDEX(Registro!$H$1:$H$1001,$A32)))</f>
        <v>2815</v>
      </c>
      <c r="O32" s="120" t="str">
        <f>IF($A32="","",IF(INDEX(Registro!$I$1:$I$1001,$A32)="","",INDEX(Registro!$I$1:$I$1001,$A32)))</f>
        <v>Veatico 92</v>
      </c>
      <c r="P32" s="52">
        <f>IF($A32="","",IF(INDEX(Cálculo!$K$1:$K$1001,$A32)="","",INDEX(Cálculo!$K$1:$K$1001,$A32)))</f>
        <v>92</v>
      </c>
      <c r="Q32" s="52">
        <f>IF($A32="","",IF(INDEX(Cálculo!$M$1:$M$1001,$A32)="","",INDEX(Cálculo!$M$1:$M$1001,$A32)))</f>
        <v>2723</v>
      </c>
      <c r="R32" s="120" t="str">
        <f>IF($A32="","",IF(INDEX(Registro!$J$1:$J$1001,$A32)="","",INDEX(Registro!$J$1:$J$1001,$A32)))</f>
        <v>Diesel 2700</v>
      </c>
      <c r="S32" s="52">
        <f>IF($A32="","",IF(INDEX(Cálculo!$L$1:$L$1001,$A32)="","",INDEX(Cálculo!$L$1:$L$1001,$A32)))</f>
        <v>2700</v>
      </c>
      <c r="T32" s="54">
        <f>IF($A32="","",IF(INDEX(Cálculo!$N$1:$N$1001,$A32)="","",INDEX(Cálculo!$N$1:$N$1001,$A32)))</f>
        <v>23</v>
      </c>
      <c r="U32" s="120" t="str">
        <f>IF($A32="","",IF(INDEX(Registro!$K$1:$K$1001,$A32)="","",INDEX(Registro!$K$1:$K$1001,$A32)))</f>
        <v/>
      </c>
    </row>
    <row r="33" spans="1:21" ht="15" customHeight="1" x14ac:dyDescent="0.25">
      <c r="A33" s="7">
        <f>IFERROR(MOD(SMALL(Cálculo!$O$2:$O$1001,ROWS(A$8:A33)),10000),"")</f>
        <v>48</v>
      </c>
      <c r="B33" s="8">
        <f>IF($A33="","",IF(INDEX(Registro!$B$1:$B$1001,$A33)="","",INDEX(Registro!$B$1:$B$1001,$A33)))</f>
        <v>46320</v>
      </c>
      <c r="C33" s="9" t="str">
        <f>IF($A33="","",IF(INDEX(Registro!$C$1:$C$1001,$A33)="","",INDEX(Registro!$C$1:$C$1001,$A33)))</f>
        <v>Lp</v>
      </c>
      <c r="D33" s="9" t="str">
        <f>IF($A33="","",IF(INDEX(Registro!$D$1:$D$1001,$A33)="","",INDEX(Registro!$D$1:$D$1001,$A33)))</f>
        <v>4:30-13:30</v>
      </c>
      <c r="E33" s="15" t="str">
        <f>IF($A33="","",IF(INDEX(Registro!$E$1:$E$1001,$A33)="","",INDEX(Registro!$E$1:$E$1001,$A33)))</f>
        <v>13x50; 18x40; 2x60; 1x70</v>
      </c>
      <c r="F33" s="10">
        <f>IF($A33="","",IF(INDEX(Cálculo!$D$1:$D$1001,$A33)="","",INDEX(Cálculo!$D$1:$D$1001,$A33)))</f>
        <v>34</v>
      </c>
      <c r="G33" s="53">
        <f>IF($A33="","",IF(INDEX(Cálculo!$E$1:$E$1001,$A33)="","",INDEX(Cálculo!$E$1:$E$1001,$A33)))</f>
        <v>1560</v>
      </c>
      <c r="H33" s="53" t="str">
        <f>IF($A33="","",IF(INDEX(Cálculo!$F$1:$F$1001,$A33)="","",INDEX(Cálculo!$F$1:$F$1001,$A33)))</f>
        <v/>
      </c>
      <c r="I33" s="58">
        <f>IF($A33="","",IF(INDEX(Cálculo!$G$1:$G$1001,$A33)="","",INDEX(Cálculo!$G$1:$G$1001,$A33)))</f>
        <v>1560</v>
      </c>
      <c r="J33" s="15" t="str">
        <f>IF($A33="","",IF(INDEX(Registro!$G$1:$G$1001,$A33)="","",INDEX(Registro!$G$1:$G$1001,$A33)))</f>
        <v>1x200</v>
      </c>
      <c r="K33" s="10">
        <f>IF($A33="","",IF(INDEX(Cálculo!$H$1:$H$1001,$A33)="","",INDEX(Cálculo!$H$1:$H$1001,$A33)))</f>
        <v>1</v>
      </c>
      <c r="L33" s="53">
        <f>IF($A33="","",IF(INDEX(Cálculo!$I$1:$I$1001,$A33)="","",INDEX(Cálculo!$I$1:$I$1001,$A33)))</f>
        <v>200</v>
      </c>
      <c r="M33" s="9" t="str">
        <f>IF($A33="","",IF(INDEX(Cálculo!$J$1:$J$1001,$A33)="","",INDEX(Cálculo!$J$1:$J$1001,$A33)))</f>
        <v>CONFORME</v>
      </c>
      <c r="N33" s="53">
        <f>IF($A33="","",IF(INDEX(Registro!$H$1:$H$1001,$A33)="","",INDEX(Registro!$H$1:$H$1001,$A33)))</f>
        <v>200</v>
      </c>
      <c r="O33" s="15" t="str">
        <f>IF($A33="","",IF(INDEX(Registro!$I$1:$I$1001,$A33)="","",INDEX(Registro!$I$1:$I$1001,$A33)))</f>
        <v/>
      </c>
      <c r="P33" s="53" t="str">
        <f>IF($A33="","",IF(INDEX(Cálculo!$K$1:$K$1001,$A33)="","",INDEX(Cálculo!$K$1:$K$1001,$A33)))</f>
        <v/>
      </c>
      <c r="Q33" s="53">
        <f>IF($A33="","",IF(INDEX(Cálculo!$M$1:$M$1001,$A33)="","",INDEX(Cálculo!$M$1:$M$1001,$A33)))</f>
        <v>200</v>
      </c>
      <c r="R33" s="15" t="str">
        <f>IF($A33="","",IF(INDEX(Registro!$J$1:$J$1001,$A33)="","",INDEX(Registro!$J$1:$J$1001,$A33)))</f>
        <v/>
      </c>
      <c r="S33" s="53" t="str">
        <f>IF($A33="","",IF(INDEX(Cálculo!$L$1:$L$1001,$A33)="","",INDEX(Cálculo!$L$1:$L$1001,$A33)))</f>
        <v/>
      </c>
      <c r="T33" s="55">
        <f>IF($A33="","",IF(INDEX(Cálculo!$N$1:$N$1001,$A33)="","",INDEX(Cálculo!$N$1:$N$1001,$A33)))</f>
        <v>200</v>
      </c>
      <c r="U33" s="15" t="str">
        <f>IF($A33="","",IF(INDEX(Registro!$K$1:$K$1001,$A33)="","",INDEX(Registro!$K$1:$K$1001,$A33)))</f>
        <v/>
      </c>
    </row>
    <row r="34" spans="1:21" ht="15" customHeight="1" x14ac:dyDescent="0.25">
      <c r="A34" s="47" t="str">
        <f>IFERROR(MOD(SMALL(Cálculo!$O$2:$O$1001,ROWS(A$8:A34)),10000),"")</f>
        <v/>
      </c>
      <c r="B34" s="48" t="str">
        <f>IF($A34="","",IF(INDEX(Registro!$B$1:$B$1001,$A34)="","",INDEX(Registro!$B$1:$B$1001,$A34)))</f>
        <v/>
      </c>
      <c r="C34" s="49" t="str">
        <f>IF($A34="","",IF(INDEX(Registro!$C$1:$C$1001,$A34)="","",INDEX(Registro!$C$1:$C$1001,$A34)))</f>
        <v/>
      </c>
      <c r="D34" s="49" t="str">
        <f>IF($A34="","",IF(INDEX(Registro!$D$1:$D$1001,$A34)="","",INDEX(Registro!$D$1:$D$1001,$A34)))</f>
        <v/>
      </c>
      <c r="E34" s="120" t="str">
        <f>IF($A34="","",IF(INDEX(Registro!$E$1:$E$1001,$A34)="","",INDEX(Registro!$E$1:$E$1001,$A34)))</f>
        <v/>
      </c>
      <c r="F34" s="50" t="str">
        <f>IF($A34="","",IF(INDEX(Cálculo!$D$1:$D$1001,$A34)="","",INDEX(Cálculo!$D$1:$D$1001,$A34)))</f>
        <v/>
      </c>
      <c r="G34" s="52" t="str">
        <f>IF($A34="","",IF(INDEX(Cálculo!$E$1:$E$1001,$A34)="","",INDEX(Cálculo!$E$1:$E$1001,$A34)))</f>
        <v/>
      </c>
      <c r="H34" s="52" t="str">
        <f>IF($A34="","",IF(INDEX(Cálculo!$F$1:$F$1001,$A34)="","",INDEX(Cálculo!$F$1:$F$1001,$A34)))</f>
        <v/>
      </c>
      <c r="I34" s="57" t="str">
        <f>IF($A34="","",IF(INDEX(Cálculo!$G$1:$G$1001,$A34)="","",INDEX(Cálculo!$G$1:$G$1001,$A34)))</f>
        <v/>
      </c>
      <c r="J34" s="120" t="str">
        <f>IF($A34="","",IF(INDEX(Registro!$G$1:$G$1001,$A34)="","",INDEX(Registro!$G$1:$G$1001,$A34)))</f>
        <v/>
      </c>
      <c r="K34" s="50" t="str">
        <f>IF($A34="","",IF(INDEX(Cálculo!$H$1:$H$1001,$A34)="","",INDEX(Cálculo!$H$1:$H$1001,$A34)))</f>
        <v/>
      </c>
      <c r="L34" s="52" t="str">
        <f>IF($A34="","",IF(INDEX(Cálculo!$I$1:$I$1001,$A34)="","",INDEX(Cálculo!$I$1:$I$1001,$A34)))</f>
        <v/>
      </c>
      <c r="M34" s="49" t="str">
        <f>IF($A34="","",IF(INDEX(Cálculo!$J$1:$J$1001,$A34)="","",INDEX(Cálculo!$J$1:$J$1001,$A34)))</f>
        <v/>
      </c>
      <c r="N34" s="52" t="str">
        <f>IF($A34="","",IF(INDEX(Registro!$H$1:$H$1001,$A34)="","",INDEX(Registro!$H$1:$H$1001,$A34)))</f>
        <v/>
      </c>
      <c r="O34" s="120" t="str">
        <f>IF($A34="","",IF(INDEX(Registro!$I$1:$I$1001,$A34)="","",INDEX(Registro!$I$1:$I$1001,$A34)))</f>
        <v/>
      </c>
      <c r="P34" s="52" t="str">
        <f>IF($A34="","",IF(INDEX(Cálculo!$K$1:$K$1001,$A34)="","",INDEX(Cálculo!$K$1:$K$1001,$A34)))</f>
        <v/>
      </c>
      <c r="Q34" s="52" t="str">
        <f>IF($A34="","",IF(INDEX(Cálculo!$M$1:$M$1001,$A34)="","",INDEX(Cálculo!$M$1:$M$1001,$A34)))</f>
        <v/>
      </c>
      <c r="R34" s="120" t="str">
        <f>IF($A34="","",IF(INDEX(Registro!$J$1:$J$1001,$A34)="","",INDEX(Registro!$J$1:$J$1001,$A34)))</f>
        <v/>
      </c>
      <c r="S34" s="52" t="str">
        <f>IF($A34="","",IF(INDEX(Cálculo!$L$1:$L$1001,$A34)="","",INDEX(Cálculo!$L$1:$L$1001,$A34)))</f>
        <v/>
      </c>
      <c r="T34" s="54" t="str">
        <f>IF($A34="","",IF(INDEX(Cálculo!$N$1:$N$1001,$A34)="","",INDEX(Cálculo!$N$1:$N$1001,$A34)))</f>
        <v/>
      </c>
      <c r="U34" s="120" t="str">
        <f>IF($A34="","",IF(INDEX(Registro!$K$1:$K$1001,$A34)="","",INDEX(Registro!$K$1:$K$1001,$A34)))</f>
        <v/>
      </c>
    </row>
    <row r="35" spans="1:21" ht="15" customHeight="1" x14ac:dyDescent="0.25">
      <c r="A35" s="7" t="str">
        <f>IFERROR(MOD(SMALL(Cálculo!$O$2:$O$1001,ROWS(A$8:A35)),10000),"")</f>
        <v/>
      </c>
      <c r="B35" s="8" t="str">
        <f>IF($A35="","",IF(INDEX(Registro!$B$1:$B$1001,$A35)="","",INDEX(Registro!$B$1:$B$1001,$A35)))</f>
        <v/>
      </c>
      <c r="C35" s="9" t="str">
        <f>IF($A35="","",IF(INDEX(Registro!$C$1:$C$1001,$A35)="","",INDEX(Registro!$C$1:$C$1001,$A35)))</f>
        <v/>
      </c>
      <c r="D35" s="9" t="str">
        <f>IF($A35="","",IF(INDEX(Registro!$D$1:$D$1001,$A35)="","",INDEX(Registro!$D$1:$D$1001,$A35)))</f>
        <v/>
      </c>
      <c r="E35" s="15" t="str">
        <f>IF($A35="","",IF(INDEX(Registro!$E$1:$E$1001,$A35)="","",INDEX(Registro!$E$1:$E$1001,$A35)))</f>
        <v/>
      </c>
      <c r="F35" s="10" t="str">
        <f>IF($A35="","",IF(INDEX(Cálculo!$D$1:$D$1001,$A35)="","",INDEX(Cálculo!$D$1:$D$1001,$A35)))</f>
        <v/>
      </c>
      <c r="G35" s="53" t="str">
        <f>IF($A35="","",IF(INDEX(Cálculo!$E$1:$E$1001,$A35)="","",INDEX(Cálculo!$E$1:$E$1001,$A35)))</f>
        <v/>
      </c>
      <c r="H35" s="53" t="str">
        <f>IF($A35="","",IF(INDEX(Cálculo!$F$1:$F$1001,$A35)="","",INDEX(Cálculo!$F$1:$F$1001,$A35)))</f>
        <v/>
      </c>
      <c r="I35" s="58" t="str">
        <f>IF($A35="","",IF(INDEX(Cálculo!$G$1:$G$1001,$A35)="","",INDEX(Cálculo!$G$1:$G$1001,$A35)))</f>
        <v/>
      </c>
      <c r="J35" s="15" t="str">
        <f>IF($A35="","",IF(INDEX(Registro!$G$1:$G$1001,$A35)="","",INDEX(Registro!$G$1:$G$1001,$A35)))</f>
        <v/>
      </c>
      <c r="K35" s="10" t="str">
        <f>IF($A35="","",IF(INDEX(Cálculo!$H$1:$H$1001,$A35)="","",INDEX(Cálculo!$H$1:$H$1001,$A35)))</f>
        <v/>
      </c>
      <c r="L35" s="53" t="str">
        <f>IF($A35="","",IF(INDEX(Cálculo!$I$1:$I$1001,$A35)="","",INDEX(Cálculo!$I$1:$I$1001,$A35)))</f>
        <v/>
      </c>
      <c r="M35" s="9" t="str">
        <f>IF($A35="","",IF(INDEX(Cálculo!$J$1:$J$1001,$A35)="","",INDEX(Cálculo!$J$1:$J$1001,$A35)))</f>
        <v/>
      </c>
      <c r="N35" s="53" t="str">
        <f>IF($A35="","",IF(INDEX(Registro!$H$1:$H$1001,$A35)="","",INDEX(Registro!$H$1:$H$1001,$A35)))</f>
        <v/>
      </c>
      <c r="O35" s="15" t="str">
        <f>IF($A35="","",IF(INDEX(Registro!$I$1:$I$1001,$A35)="","",INDEX(Registro!$I$1:$I$1001,$A35)))</f>
        <v/>
      </c>
      <c r="P35" s="53" t="str">
        <f>IF($A35="","",IF(INDEX(Cálculo!$K$1:$K$1001,$A35)="","",INDEX(Cálculo!$K$1:$K$1001,$A35)))</f>
        <v/>
      </c>
      <c r="Q35" s="53" t="str">
        <f>IF($A35="","",IF(INDEX(Cálculo!$M$1:$M$1001,$A35)="","",INDEX(Cálculo!$M$1:$M$1001,$A35)))</f>
        <v/>
      </c>
      <c r="R35" s="15" t="str">
        <f>IF($A35="","",IF(INDEX(Registro!$J$1:$J$1001,$A35)="","",INDEX(Registro!$J$1:$J$1001,$A35)))</f>
        <v/>
      </c>
      <c r="S35" s="53" t="str">
        <f>IF($A35="","",IF(INDEX(Cálculo!$L$1:$L$1001,$A35)="","",INDEX(Cálculo!$L$1:$L$1001,$A35)))</f>
        <v/>
      </c>
      <c r="T35" s="55" t="str">
        <f>IF($A35="","",IF(INDEX(Cálculo!$N$1:$N$1001,$A35)="","",INDEX(Cálculo!$N$1:$N$1001,$A35)))</f>
        <v/>
      </c>
      <c r="U35" s="15" t="str">
        <f>IF($A35="","",IF(INDEX(Registro!$K$1:$K$1001,$A35)="","",INDEX(Registro!$K$1:$K$1001,$A35)))</f>
        <v/>
      </c>
    </row>
    <row r="36" spans="1:21" ht="15" customHeight="1" x14ac:dyDescent="0.25">
      <c r="A36" s="47" t="str">
        <f>IFERROR(MOD(SMALL(Cálculo!$O$2:$O$1001,ROWS(A$8:A36)),10000),"")</f>
        <v/>
      </c>
      <c r="B36" s="48" t="str">
        <f>IF($A36="","",IF(INDEX(Registro!$B$1:$B$1001,$A36)="","",INDEX(Registro!$B$1:$B$1001,$A36)))</f>
        <v/>
      </c>
      <c r="C36" s="49" t="str">
        <f>IF($A36="","",IF(INDEX(Registro!$C$1:$C$1001,$A36)="","",INDEX(Registro!$C$1:$C$1001,$A36)))</f>
        <v/>
      </c>
      <c r="D36" s="49" t="str">
        <f>IF($A36="","",IF(INDEX(Registro!$D$1:$D$1001,$A36)="","",INDEX(Registro!$D$1:$D$1001,$A36)))</f>
        <v/>
      </c>
      <c r="E36" s="120" t="str">
        <f>IF($A36="","",IF(INDEX(Registro!$E$1:$E$1001,$A36)="","",INDEX(Registro!$E$1:$E$1001,$A36)))</f>
        <v/>
      </c>
      <c r="F36" s="50" t="str">
        <f>IF($A36="","",IF(INDEX(Cálculo!$D$1:$D$1001,$A36)="","",INDEX(Cálculo!$D$1:$D$1001,$A36)))</f>
        <v/>
      </c>
      <c r="G36" s="52" t="str">
        <f>IF($A36="","",IF(INDEX(Cálculo!$E$1:$E$1001,$A36)="","",INDEX(Cálculo!$E$1:$E$1001,$A36)))</f>
        <v/>
      </c>
      <c r="H36" s="52" t="str">
        <f>IF($A36="","",IF(INDEX(Cálculo!$F$1:$F$1001,$A36)="","",INDEX(Cálculo!$F$1:$F$1001,$A36)))</f>
        <v/>
      </c>
      <c r="I36" s="57" t="str">
        <f>IF($A36="","",IF(INDEX(Cálculo!$G$1:$G$1001,$A36)="","",INDEX(Cálculo!$G$1:$G$1001,$A36)))</f>
        <v/>
      </c>
      <c r="J36" s="120" t="str">
        <f>IF($A36="","",IF(INDEX(Registro!$G$1:$G$1001,$A36)="","",INDEX(Registro!$G$1:$G$1001,$A36)))</f>
        <v/>
      </c>
      <c r="K36" s="50" t="str">
        <f>IF($A36="","",IF(INDEX(Cálculo!$H$1:$H$1001,$A36)="","",INDEX(Cálculo!$H$1:$H$1001,$A36)))</f>
        <v/>
      </c>
      <c r="L36" s="52" t="str">
        <f>IF($A36="","",IF(INDEX(Cálculo!$I$1:$I$1001,$A36)="","",INDEX(Cálculo!$I$1:$I$1001,$A36)))</f>
        <v/>
      </c>
      <c r="M36" s="49" t="str">
        <f>IF($A36="","",IF(INDEX(Cálculo!$J$1:$J$1001,$A36)="","",INDEX(Cálculo!$J$1:$J$1001,$A36)))</f>
        <v/>
      </c>
      <c r="N36" s="52" t="str">
        <f>IF($A36="","",IF(INDEX(Registro!$H$1:$H$1001,$A36)="","",INDEX(Registro!$H$1:$H$1001,$A36)))</f>
        <v/>
      </c>
      <c r="O36" s="120" t="str">
        <f>IF($A36="","",IF(INDEX(Registro!$I$1:$I$1001,$A36)="","",INDEX(Registro!$I$1:$I$1001,$A36)))</f>
        <v/>
      </c>
      <c r="P36" s="52" t="str">
        <f>IF($A36="","",IF(INDEX(Cálculo!$K$1:$K$1001,$A36)="","",INDEX(Cálculo!$K$1:$K$1001,$A36)))</f>
        <v/>
      </c>
      <c r="Q36" s="52" t="str">
        <f>IF($A36="","",IF(INDEX(Cálculo!$M$1:$M$1001,$A36)="","",INDEX(Cálculo!$M$1:$M$1001,$A36)))</f>
        <v/>
      </c>
      <c r="R36" s="120" t="str">
        <f>IF($A36="","",IF(INDEX(Registro!$J$1:$J$1001,$A36)="","",INDEX(Registro!$J$1:$J$1001,$A36)))</f>
        <v/>
      </c>
      <c r="S36" s="52" t="str">
        <f>IF($A36="","",IF(INDEX(Cálculo!$L$1:$L$1001,$A36)="","",INDEX(Cálculo!$L$1:$L$1001,$A36)))</f>
        <v/>
      </c>
      <c r="T36" s="54" t="str">
        <f>IF($A36="","",IF(INDEX(Cálculo!$N$1:$N$1001,$A36)="","",INDEX(Cálculo!$N$1:$N$1001,$A36)))</f>
        <v/>
      </c>
      <c r="U36" s="120" t="str">
        <f>IF($A36="","",IF(INDEX(Registro!$K$1:$K$1001,$A36)="","",INDEX(Registro!$K$1:$K$1001,$A36)))</f>
        <v/>
      </c>
    </row>
    <row r="37" spans="1:21" ht="15" customHeight="1" x14ac:dyDescent="0.25">
      <c r="A37" s="7" t="str">
        <f>IFERROR(MOD(SMALL(Cálculo!$O$2:$O$1001,ROWS(A$8:A37)),10000),"")</f>
        <v/>
      </c>
      <c r="B37" s="8" t="str">
        <f>IF($A37="","",IF(INDEX(Registro!$B$1:$B$1001,$A37)="","",INDEX(Registro!$B$1:$B$1001,$A37)))</f>
        <v/>
      </c>
      <c r="C37" s="9" t="str">
        <f>IF($A37="","",IF(INDEX(Registro!$C$1:$C$1001,$A37)="","",INDEX(Registro!$C$1:$C$1001,$A37)))</f>
        <v/>
      </c>
      <c r="D37" s="9" t="str">
        <f>IF($A37="","",IF(INDEX(Registro!$D$1:$D$1001,$A37)="","",INDEX(Registro!$D$1:$D$1001,$A37)))</f>
        <v/>
      </c>
      <c r="E37" s="15" t="str">
        <f>IF($A37="","",IF(INDEX(Registro!$E$1:$E$1001,$A37)="","",INDEX(Registro!$E$1:$E$1001,$A37)))</f>
        <v/>
      </c>
      <c r="F37" s="10" t="str">
        <f>IF($A37="","",IF(INDEX(Cálculo!$D$1:$D$1001,$A37)="","",INDEX(Cálculo!$D$1:$D$1001,$A37)))</f>
        <v/>
      </c>
      <c r="G37" s="53" t="str">
        <f>IF($A37="","",IF(INDEX(Cálculo!$E$1:$E$1001,$A37)="","",INDEX(Cálculo!$E$1:$E$1001,$A37)))</f>
        <v/>
      </c>
      <c r="H37" s="53" t="str">
        <f>IF($A37="","",IF(INDEX(Cálculo!$F$1:$F$1001,$A37)="","",INDEX(Cálculo!$F$1:$F$1001,$A37)))</f>
        <v/>
      </c>
      <c r="I37" s="58" t="str">
        <f>IF($A37="","",IF(INDEX(Cálculo!$G$1:$G$1001,$A37)="","",INDEX(Cálculo!$G$1:$G$1001,$A37)))</f>
        <v/>
      </c>
      <c r="J37" s="15" t="str">
        <f>IF($A37="","",IF(INDEX(Registro!$G$1:$G$1001,$A37)="","",INDEX(Registro!$G$1:$G$1001,$A37)))</f>
        <v/>
      </c>
      <c r="K37" s="10" t="str">
        <f>IF($A37="","",IF(INDEX(Cálculo!$H$1:$H$1001,$A37)="","",INDEX(Cálculo!$H$1:$H$1001,$A37)))</f>
        <v/>
      </c>
      <c r="L37" s="53" t="str">
        <f>IF($A37="","",IF(INDEX(Cálculo!$I$1:$I$1001,$A37)="","",INDEX(Cálculo!$I$1:$I$1001,$A37)))</f>
        <v/>
      </c>
      <c r="M37" s="9" t="str">
        <f>IF($A37="","",IF(INDEX(Cálculo!$J$1:$J$1001,$A37)="","",INDEX(Cálculo!$J$1:$J$1001,$A37)))</f>
        <v/>
      </c>
      <c r="N37" s="53" t="str">
        <f>IF($A37="","",IF(INDEX(Registro!$H$1:$H$1001,$A37)="","",INDEX(Registro!$H$1:$H$1001,$A37)))</f>
        <v/>
      </c>
      <c r="O37" s="15" t="str">
        <f>IF($A37="","",IF(INDEX(Registro!$I$1:$I$1001,$A37)="","",INDEX(Registro!$I$1:$I$1001,$A37)))</f>
        <v/>
      </c>
      <c r="P37" s="53" t="str">
        <f>IF($A37="","",IF(INDEX(Cálculo!$K$1:$K$1001,$A37)="","",INDEX(Cálculo!$K$1:$K$1001,$A37)))</f>
        <v/>
      </c>
      <c r="Q37" s="53" t="str">
        <f>IF($A37="","",IF(INDEX(Cálculo!$M$1:$M$1001,$A37)="","",INDEX(Cálculo!$M$1:$M$1001,$A37)))</f>
        <v/>
      </c>
      <c r="R37" s="15" t="str">
        <f>IF($A37="","",IF(INDEX(Registro!$J$1:$J$1001,$A37)="","",INDEX(Registro!$J$1:$J$1001,$A37)))</f>
        <v/>
      </c>
      <c r="S37" s="53" t="str">
        <f>IF($A37="","",IF(INDEX(Cálculo!$L$1:$L$1001,$A37)="","",INDEX(Cálculo!$L$1:$L$1001,$A37)))</f>
        <v/>
      </c>
      <c r="T37" s="55" t="str">
        <f>IF($A37="","",IF(INDEX(Cálculo!$N$1:$N$1001,$A37)="","",INDEX(Cálculo!$N$1:$N$1001,$A37)))</f>
        <v/>
      </c>
      <c r="U37" s="15" t="str">
        <f>IF($A37="","",IF(INDEX(Registro!$K$1:$K$1001,$A37)="","",INDEX(Registro!$K$1:$K$1001,$A37)))</f>
        <v/>
      </c>
    </row>
    <row r="38" spans="1:21" ht="15" customHeight="1" x14ac:dyDescent="0.25">
      <c r="A38" s="47" t="str">
        <f>IFERROR(MOD(SMALL(Cálculo!$O$2:$O$1001,ROWS(A$8:A38)),10000),"")</f>
        <v/>
      </c>
      <c r="B38" s="48" t="str">
        <f>IF($A38="","",IF(INDEX(Registro!$B$1:$B$1001,$A38)="","",INDEX(Registro!$B$1:$B$1001,$A38)))</f>
        <v/>
      </c>
      <c r="C38" s="49" t="str">
        <f>IF($A38="","",IF(INDEX(Registro!$C$1:$C$1001,$A38)="","",INDEX(Registro!$C$1:$C$1001,$A38)))</f>
        <v/>
      </c>
      <c r="D38" s="49" t="str">
        <f>IF($A38="","",IF(INDEX(Registro!$D$1:$D$1001,$A38)="","",INDEX(Registro!$D$1:$D$1001,$A38)))</f>
        <v/>
      </c>
      <c r="E38" s="120" t="str">
        <f>IF($A38="","",IF(INDEX(Registro!$E$1:$E$1001,$A38)="","",INDEX(Registro!$E$1:$E$1001,$A38)))</f>
        <v/>
      </c>
      <c r="F38" s="50" t="str">
        <f>IF($A38="","",IF(INDEX(Cálculo!$D$1:$D$1001,$A38)="","",INDEX(Cálculo!$D$1:$D$1001,$A38)))</f>
        <v/>
      </c>
      <c r="G38" s="52" t="str">
        <f>IF($A38="","",IF(INDEX(Cálculo!$E$1:$E$1001,$A38)="","",INDEX(Cálculo!$E$1:$E$1001,$A38)))</f>
        <v/>
      </c>
      <c r="H38" s="52" t="str">
        <f>IF($A38="","",IF(INDEX(Cálculo!$F$1:$F$1001,$A38)="","",INDEX(Cálculo!$F$1:$F$1001,$A38)))</f>
        <v/>
      </c>
      <c r="I38" s="57" t="str">
        <f>IF($A38="","",IF(INDEX(Cálculo!$G$1:$G$1001,$A38)="","",INDEX(Cálculo!$G$1:$G$1001,$A38)))</f>
        <v/>
      </c>
      <c r="J38" s="120" t="str">
        <f>IF($A38="","",IF(INDEX(Registro!$G$1:$G$1001,$A38)="","",INDEX(Registro!$G$1:$G$1001,$A38)))</f>
        <v/>
      </c>
      <c r="K38" s="50" t="str">
        <f>IF($A38="","",IF(INDEX(Cálculo!$H$1:$H$1001,$A38)="","",INDEX(Cálculo!$H$1:$H$1001,$A38)))</f>
        <v/>
      </c>
      <c r="L38" s="52" t="str">
        <f>IF($A38="","",IF(INDEX(Cálculo!$I$1:$I$1001,$A38)="","",INDEX(Cálculo!$I$1:$I$1001,$A38)))</f>
        <v/>
      </c>
      <c r="M38" s="49" t="str">
        <f>IF($A38="","",IF(INDEX(Cálculo!$J$1:$J$1001,$A38)="","",INDEX(Cálculo!$J$1:$J$1001,$A38)))</f>
        <v/>
      </c>
      <c r="N38" s="52" t="str">
        <f>IF($A38="","",IF(INDEX(Registro!$H$1:$H$1001,$A38)="","",INDEX(Registro!$H$1:$H$1001,$A38)))</f>
        <v/>
      </c>
      <c r="O38" s="120" t="str">
        <f>IF($A38="","",IF(INDEX(Registro!$I$1:$I$1001,$A38)="","",INDEX(Registro!$I$1:$I$1001,$A38)))</f>
        <v/>
      </c>
      <c r="P38" s="52" t="str">
        <f>IF($A38="","",IF(INDEX(Cálculo!$K$1:$K$1001,$A38)="","",INDEX(Cálculo!$K$1:$K$1001,$A38)))</f>
        <v/>
      </c>
      <c r="Q38" s="52" t="str">
        <f>IF($A38="","",IF(INDEX(Cálculo!$M$1:$M$1001,$A38)="","",INDEX(Cálculo!$M$1:$M$1001,$A38)))</f>
        <v/>
      </c>
      <c r="R38" s="120" t="str">
        <f>IF($A38="","",IF(INDEX(Registro!$J$1:$J$1001,$A38)="","",INDEX(Registro!$J$1:$J$1001,$A38)))</f>
        <v/>
      </c>
      <c r="S38" s="52" t="str">
        <f>IF($A38="","",IF(INDEX(Cálculo!$L$1:$L$1001,$A38)="","",INDEX(Cálculo!$L$1:$L$1001,$A38)))</f>
        <v/>
      </c>
      <c r="T38" s="54" t="str">
        <f>IF($A38="","",IF(INDEX(Cálculo!$N$1:$N$1001,$A38)="","",INDEX(Cálculo!$N$1:$N$1001,$A38)))</f>
        <v/>
      </c>
      <c r="U38" s="120" t="str">
        <f>IF($A38="","",IF(INDEX(Registro!$K$1:$K$1001,$A38)="","",INDEX(Registro!$K$1:$K$1001,$A38)))</f>
        <v/>
      </c>
    </row>
    <row r="39" spans="1:21" ht="15" customHeight="1" x14ac:dyDescent="0.25">
      <c r="A39" s="7" t="str">
        <f>IFERROR(MOD(SMALL(Cálculo!$O$2:$O$1001,ROWS(A$8:A39)),10000),"")</f>
        <v/>
      </c>
      <c r="B39" s="8" t="str">
        <f>IF($A39="","",IF(INDEX(Registro!$B$1:$B$1001,$A39)="","",INDEX(Registro!$B$1:$B$1001,$A39)))</f>
        <v/>
      </c>
      <c r="C39" s="9" t="str">
        <f>IF($A39="","",IF(INDEX(Registro!$C$1:$C$1001,$A39)="","",INDEX(Registro!$C$1:$C$1001,$A39)))</f>
        <v/>
      </c>
      <c r="D39" s="9" t="str">
        <f>IF($A39="","",IF(INDEX(Registro!$D$1:$D$1001,$A39)="","",INDEX(Registro!$D$1:$D$1001,$A39)))</f>
        <v/>
      </c>
      <c r="E39" s="15" t="str">
        <f>IF($A39="","",IF(INDEX(Registro!$E$1:$E$1001,$A39)="","",INDEX(Registro!$E$1:$E$1001,$A39)))</f>
        <v/>
      </c>
      <c r="F39" s="10" t="str">
        <f>IF($A39="","",IF(INDEX(Cálculo!$D$1:$D$1001,$A39)="","",INDEX(Cálculo!$D$1:$D$1001,$A39)))</f>
        <v/>
      </c>
      <c r="G39" s="53" t="str">
        <f>IF($A39="","",IF(INDEX(Cálculo!$E$1:$E$1001,$A39)="","",INDEX(Cálculo!$E$1:$E$1001,$A39)))</f>
        <v/>
      </c>
      <c r="H39" s="53" t="str">
        <f>IF($A39="","",IF(INDEX(Cálculo!$F$1:$F$1001,$A39)="","",INDEX(Cálculo!$F$1:$F$1001,$A39)))</f>
        <v/>
      </c>
      <c r="I39" s="58" t="str">
        <f>IF($A39="","",IF(INDEX(Cálculo!$G$1:$G$1001,$A39)="","",INDEX(Cálculo!$G$1:$G$1001,$A39)))</f>
        <v/>
      </c>
      <c r="J39" s="15" t="str">
        <f>IF($A39="","",IF(INDEX(Registro!$G$1:$G$1001,$A39)="","",INDEX(Registro!$G$1:$G$1001,$A39)))</f>
        <v/>
      </c>
      <c r="K39" s="10" t="str">
        <f>IF($A39="","",IF(INDEX(Cálculo!$H$1:$H$1001,$A39)="","",INDEX(Cálculo!$H$1:$H$1001,$A39)))</f>
        <v/>
      </c>
      <c r="L39" s="53" t="str">
        <f>IF($A39="","",IF(INDEX(Cálculo!$I$1:$I$1001,$A39)="","",INDEX(Cálculo!$I$1:$I$1001,$A39)))</f>
        <v/>
      </c>
      <c r="M39" s="9" t="str">
        <f>IF($A39="","",IF(INDEX(Cálculo!$J$1:$J$1001,$A39)="","",INDEX(Cálculo!$J$1:$J$1001,$A39)))</f>
        <v/>
      </c>
      <c r="N39" s="53" t="str">
        <f>IF($A39="","",IF(INDEX(Registro!$H$1:$H$1001,$A39)="","",INDEX(Registro!$H$1:$H$1001,$A39)))</f>
        <v/>
      </c>
      <c r="O39" s="15" t="str">
        <f>IF($A39="","",IF(INDEX(Registro!$I$1:$I$1001,$A39)="","",INDEX(Registro!$I$1:$I$1001,$A39)))</f>
        <v/>
      </c>
      <c r="P39" s="53" t="str">
        <f>IF($A39="","",IF(INDEX(Cálculo!$K$1:$K$1001,$A39)="","",INDEX(Cálculo!$K$1:$K$1001,$A39)))</f>
        <v/>
      </c>
      <c r="Q39" s="53" t="str">
        <f>IF($A39="","",IF(INDEX(Cálculo!$M$1:$M$1001,$A39)="","",INDEX(Cálculo!$M$1:$M$1001,$A39)))</f>
        <v/>
      </c>
      <c r="R39" s="15" t="str">
        <f>IF($A39="","",IF(INDEX(Registro!$J$1:$J$1001,$A39)="","",INDEX(Registro!$J$1:$J$1001,$A39)))</f>
        <v/>
      </c>
      <c r="S39" s="53" t="str">
        <f>IF($A39="","",IF(INDEX(Cálculo!$L$1:$L$1001,$A39)="","",INDEX(Cálculo!$L$1:$L$1001,$A39)))</f>
        <v/>
      </c>
      <c r="T39" s="55" t="str">
        <f>IF($A39="","",IF(INDEX(Cálculo!$N$1:$N$1001,$A39)="","",INDEX(Cálculo!$N$1:$N$1001,$A39)))</f>
        <v/>
      </c>
      <c r="U39" s="15" t="str">
        <f>IF($A39="","",IF(INDEX(Registro!$K$1:$K$1001,$A39)="","",INDEX(Registro!$K$1:$K$1001,$A39)))</f>
        <v/>
      </c>
    </row>
    <row r="40" spans="1:21" ht="15" customHeight="1" x14ac:dyDescent="0.25">
      <c r="A40" s="47" t="str">
        <f>IFERROR(MOD(SMALL(Cálculo!$O$2:$O$1001,ROWS(A$8:A40)),10000),"")</f>
        <v/>
      </c>
      <c r="B40" s="48" t="str">
        <f>IF($A40="","",IF(INDEX(Registro!$B$1:$B$1001,$A40)="","",INDEX(Registro!$B$1:$B$1001,$A40)))</f>
        <v/>
      </c>
      <c r="C40" s="49" t="str">
        <f>IF($A40="","",IF(INDEX(Registro!$C$1:$C$1001,$A40)="","",INDEX(Registro!$C$1:$C$1001,$A40)))</f>
        <v/>
      </c>
      <c r="D40" s="49" t="str">
        <f>IF($A40="","",IF(INDEX(Registro!$D$1:$D$1001,$A40)="","",INDEX(Registro!$D$1:$D$1001,$A40)))</f>
        <v/>
      </c>
      <c r="E40" s="120" t="str">
        <f>IF($A40="","",IF(INDEX(Registro!$E$1:$E$1001,$A40)="","",INDEX(Registro!$E$1:$E$1001,$A40)))</f>
        <v/>
      </c>
      <c r="F40" s="50" t="str">
        <f>IF($A40="","",IF(INDEX(Cálculo!$D$1:$D$1001,$A40)="","",INDEX(Cálculo!$D$1:$D$1001,$A40)))</f>
        <v/>
      </c>
      <c r="G40" s="52" t="str">
        <f>IF($A40="","",IF(INDEX(Cálculo!$E$1:$E$1001,$A40)="","",INDEX(Cálculo!$E$1:$E$1001,$A40)))</f>
        <v/>
      </c>
      <c r="H40" s="52" t="str">
        <f>IF($A40="","",IF(INDEX(Cálculo!$F$1:$F$1001,$A40)="","",INDEX(Cálculo!$F$1:$F$1001,$A40)))</f>
        <v/>
      </c>
      <c r="I40" s="57" t="str">
        <f>IF($A40="","",IF(INDEX(Cálculo!$G$1:$G$1001,$A40)="","",INDEX(Cálculo!$G$1:$G$1001,$A40)))</f>
        <v/>
      </c>
      <c r="J40" s="120" t="str">
        <f>IF($A40="","",IF(INDEX(Registro!$G$1:$G$1001,$A40)="","",INDEX(Registro!$G$1:$G$1001,$A40)))</f>
        <v/>
      </c>
      <c r="K40" s="50" t="str">
        <f>IF($A40="","",IF(INDEX(Cálculo!$H$1:$H$1001,$A40)="","",INDEX(Cálculo!$H$1:$H$1001,$A40)))</f>
        <v/>
      </c>
      <c r="L40" s="52" t="str">
        <f>IF($A40="","",IF(INDEX(Cálculo!$I$1:$I$1001,$A40)="","",INDEX(Cálculo!$I$1:$I$1001,$A40)))</f>
        <v/>
      </c>
      <c r="M40" s="49" t="str">
        <f>IF($A40="","",IF(INDEX(Cálculo!$J$1:$J$1001,$A40)="","",INDEX(Cálculo!$J$1:$J$1001,$A40)))</f>
        <v/>
      </c>
      <c r="N40" s="52" t="str">
        <f>IF($A40="","",IF(INDEX(Registro!$H$1:$H$1001,$A40)="","",INDEX(Registro!$H$1:$H$1001,$A40)))</f>
        <v/>
      </c>
      <c r="O40" s="120" t="str">
        <f>IF($A40="","",IF(INDEX(Registro!$I$1:$I$1001,$A40)="","",INDEX(Registro!$I$1:$I$1001,$A40)))</f>
        <v/>
      </c>
      <c r="P40" s="52" t="str">
        <f>IF($A40="","",IF(INDEX(Cálculo!$K$1:$K$1001,$A40)="","",INDEX(Cálculo!$K$1:$K$1001,$A40)))</f>
        <v/>
      </c>
      <c r="Q40" s="52" t="str">
        <f>IF($A40="","",IF(INDEX(Cálculo!$M$1:$M$1001,$A40)="","",INDEX(Cálculo!$M$1:$M$1001,$A40)))</f>
        <v/>
      </c>
      <c r="R40" s="120" t="str">
        <f>IF($A40="","",IF(INDEX(Registro!$J$1:$J$1001,$A40)="","",INDEX(Registro!$J$1:$J$1001,$A40)))</f>
        <v/>
      </c>
      <c r="S40" s="52" t="str">
        <f>IF($A40="","",IF(INDEX(Cálculo!$L$1:$L$1001,$A40)="","",INDEX(Cálculo!$L$1:$L$1001,$A40)))</f>
        <v/>
      </c>
      <c r="T40" s="54" t="str">
        <f>IF($A40="","",IF(INDEX(Cálculo!$N$1:$N$1001,$A40)="","",INDEX(Cálculo!$N$1:$N$1001,$A40)))</f>
        <v/>
      </c>
      <c r="U40" s="120" t="str">
        <f>IF($A40="","",IF(INDEX(Registro!$K$1:$K$1001,$A40)="","",INDEX(Registro!$K$1:$K$1001,$A40)))</f>
        <v/>
      </c>
    </row>
    <row r="41" spans="1:21" ht="15" customHeight="1" x14ac:dyDescent="0.25">
      <c r="A41" s="7" t="str">
        <f>IFERROR(MOD(SMALL(Cálculo!$O$2:$O$1001,ROWS(A$8:A41)),10000),"")</f>
        <v/>
      </c>
      <c r="B41" s="8" t="str">
        <f>IF($A41="","",IF(INDEX(Registro!$B$1:$B$1001,$A41)="","",INDEX(Registro!$B$1:$B$1001,$A41)))</f>
        <v/>
      </c>
      <c r="C41" s="9" t="str">
        <f>IF($A41="","",IF(INDEX(Registro!$C$1:$C$1001,$A41)="","",INDEX(Registro!$C$1:$C$1001,$A41)))</f>
        <v/>
      </c>
      <c r="D41" s="9" t="str">
        <f>IF($A41="","",IF(INDEX(Registro!$D$1:$D$1001,$A41)="","",INDEX(Registro!$D$1:$D$1001,$A41)))</f>
        <v/>
      </c>
      <c r="E41" s="15" t="str">
        <f>IF($A41="","",IF(INDEX(Registro!$E$1:$E$1001,$A41)="","",INDEX(Registro!$E$1:$E$1001,$A41)))</f>
        <v/>
      </c>
      <c r="F41" s="10" t="str">
        <f>IF($A41="","",IF(INDEX(Cálculo!$D$1:$D$1001,$A41)="","",INDEX(Cálculo!$D$1:$D$1001,$A41)))</f>
        <v/>
      </c>
      <c r="G41" s="53" t="str">
        <f>IF($A41="","",IF(INDEX(Cálculo!$E$1:$E$1001,$A41)="","",INDEX(Cálculo!$E$1:$E$1001,$A41)))</f>
        <v/>
      </c>
      <c r="H41" s="53" t="str">
        <f>IF($A41="","",IF(INDEX(Cálculo!$F$1:$F$1001,$A41)="","",INDEX(Cálculo!$F$1:$F$1001,$A41)))</f>
        <v/>
      </c>
      <c r="I41" s="58" t="str">
        <f>IF($A41="","",IF(INDEX(Cálculo!$G$1:$G$1001,$A41)="","",INDEX(Cálculo!$G$1:$G$1001,$A41)))</f>
        <v/>
      </c>
      <c r="J41" s="15" t="str">
        <f>IF($A41="","",IF(INDEX(Registro!$G$1:$G$1001,$A41)="","",INDEX(Registro!$G$1:$G$1001,$A41)))</f>
        <v/>
      </c>
      <c r="K41" s="10" t="str">
        <f>IF($A41="","",IF(INDEX(Cálculo!$H$1:$H$1001,$A41)="","",INDEX(Cálculo!$H$1:$H$1001,$A41)))</f>
        <v/>
      </c>
      <c r="L41" s="53" t="str">
        <f>IF($A41="","",IF(INDEX(Cálculo!$I$1:$I$1001,$A41)="","",INDEX(Cálculo!$I$1:$I$1001,$A41)))</f>
        <v/>
      </c>
      <c r="M41" s="9" t="str">
        <f>IF($A41="","",IF(INDEX(Cálculo!$J$1:$J$1001,$A41)="","",INDEX(Cálculo!$J$1:$J$1001,$A41)))</f>
        <v/>
      </c>
      <c r="N41" s="53" t="str">
        <f>IF($A41="","",IF(INDEX(Registro!$H$1:$H$1001,$A41)="","",INDEX(Registro!$H$1:$H$1001,$A41)))</f>
        <v/>
      </c>
      <c r="O41" s="15" t="str">
        <f>IF($A41="","",IF(INDEX(Registro!$I$1:$I$1001,$A41)="","",INDEX(Registro!$I$1:$I$1001,$A41)))</f>
        <v/>
      </c>
      <c r="P41" s="53" t="str">
        <f>IF($A41="","",IF(INDEX(Cálculo!$K$1:$K$1001,$A41)="","",INDEX(Cálculo!$K$1:$K$1001,$A41)))</f>
        <v/>
      </c>
      <c r="Q41" s="53" t="str">
        <f>IF($A41="","",IF(INDEX(Cálculo!$M$1:$M$1001,$A41)="","",INDEX(Cálculo!$M$1:$M$1001,$A41)))</f>
        <v/>
      </c>
      <c r="R41" s="15" t="str">
        <f>IF($A41="","",IF(INDEX(Registro!$J$1:$J$1001,$A41)="","",INDEX(Registro!$J$1:$J$1001,$A41)))</f>
        <v/>
      </c>
      <c r="S41" s="53" t="str">
        <f>IF($A41="","",IF(INDEX(Cálculo!$L$1:$L$1001,$A41)="","",INDEX(Cálculo!$L$1:$L$1001,$A41)))</f>
        <v/>
      </c>
      <c r="T41" s="55" t="str">
        <f>IF($A41="","",IF(INDEX(Cálculo!$N$1:$N$1001,$A41)="","",INDEX(Cálculo!$N$1:$N$1001,$A41)))</f>
        <v/>
      </c>
      <c r="U41" s="15" t="str">
        <f>IF($A41="","",IF(INDEX(Registro!$K$1:$K$1001,$A41)="","",INDEX(Registro!$K$1:$K$1001,$A41)))</f>
        <v/>
      </c>
    </row>
    <row r="42" spans="1:21" ht="15" customHeight="1" x14ac:dyDescent="0.25">
      <c r="A42" s="47" t="str">
        <f>IFERROR(MOD(SMALL(Cálculo!$O$2:$O$1001,ROWS(A$8:A42)),10000),"")</f>
        <v/>
      </c>
      <c r="B42" s="48" t="str">
        <f>IF($A42="","",IF(INDEX(Registro!$B$1:$B$1001,$A42)="","",INDEX(Registro!$B$1:$B$1001,$A42)))</f>
        <v/>
      </c>
      <c r="C42" s="49" t="str">
        <f>IF($A42="","",IF(INDEX(Registro!$C$1:$C$1001,$A42)="","",INDEX(Registro!$C$1:$C$1001,$A42)))</f>
        <v/>
      </c>
      <c r="D42" s="49" t="str">
        <f>IF($A42="","",IF(INDEX(Registro!$D$1:$D$1001,$A42)="","",INDEX(Registro!$D$1:$D$1001,$A42)))</f>
        <v/>
      </c>
      <c r="E42" s="120" t="str">
        <f>IF($A42="","",IF(INDEX(Registro!$E$1:$E$1001,$A42)="","",INDEX(Registro!$E$1:$E$1001,$A42)))</f>
        <v/>
      </c>
      <c r="F42" s="50" t="str">
        <f>IF($A42="","",IF(INDEX(Cálculo!$D$1:$D$1001,$A42)="","",INDEX(Cálculo!$D$1:$D$1001,$A42)))</f>
        <v/>
      </c>
      <c r="G42" s="52" t="str">
        <f>IF($A42="","",IF(INDEX(Cálculo!$E$1:$E$1001,$A42)="","",INDEX(Cálculo!$E$1:$E$1001,$A42)))</f>
        <v/>
      </c>
      <c r="H42" s="52" t="str">
        <f>IF($A42="","",IF(INDEX(Cálculo!$F$1:$F$1001,$A42)="","",INDEX(Cálculo!$F$1:$F$1001,$A42)))</f>
        <v/>
      </c>
      <c r="I42" s="57" t="str">
        <f>IF($A42="","",IF(INDEX(Cálculo!$G$1:$G$1001,$A42)="","",INDEX(Cálculo!$G$1:$G$1001,$A42)))</f>
        <v/>
      </c>
      <c r="J42" s="120" t="str">
        <f>IF($A42="","",IF(INDEX(Registro!$G$1:$G$1001,$A42)="","",INDEX(Registro!$G$1:$G$1001,$A42)))</f>
        <v/>
      </c>
      <c r="K42" s="50" t="str">
        <f>IF($A42="","",IF(INDEX(Cálculo!$H$1:$H$1001,$A42)="","",INDEX(Cálculo!$H$1:$H$1001,$A42)))</f>
        <v/>
      </c>
      <c r="L42" s="52" t="str">
        <f>IF($A42="","",IF(INDEX(Cálculo!$I$1:$I$1001,$A42)="","",INDEX(Cálculo!$I$1:$I$1001,$A42)))</f>
        <v/>
      </c>
      <c r="M42" s="49" t="str">
        <f>IF($A42="","",IF(INDEX(Cálculo!$J$1:$J$1001,$A42)="","",INDEX(Cálculo!$J$1:$J$1001,$A42)))</f>
        <v/>
      </c>
      <c r="N42" s="52" t="str">
        <f>IF($A42="","",IF(INDEX(Registro!$H$1:$H$1001,$A42)="","",INDEX(Registro!$H$1:$H$1001,$A42)))</f>
        <v/>
      </c>
      <c r="O42" s="120" t="str">
        <f>IF($A42="","",IF(INDEX(Registro!$I$1:$I$1001,$A42)="","",INDEX(Registro!$I$1:$I$1001,$A42)))</f>
        <v/>
      </c>
      <c r="P42" s="52" t="str">
        <f>IF($A42="","",IF(INDEX(Cálculo!$K$1:$K$1001,$A42)="","",INDEX(Cálculo!$K$1:$K$1001,$A42)))</f>
        <v/>
      </c>
      <c r="Q42" s="52" t="str">
        <f>IF($A42="","",IF(INDEX(Cálculo!$M$1:$M$1001,$A42)="","",INDEX(Cálculo!$M$1:$M$1001,$A42)))</f>
        <v/>
      </c>
      <c r="R42" s="120" t="str">
        <f>IF($A42="","",IF(INDEX(Registro!$J$1:$J$1001,$A42)="","",INDEX(Registro!$J$1:$J$1001,$A42)))</f>
        <v/>
      </c>
      <c r="S42" s="52" t="str">
        <f>IF($A42="","",IF(INDEX(Cálculo!$L$1:$L$1001,$A42)="","",INDEX(Cálculo!$L$1:$L$1001,$A42)))</f>
        <v/>
      </c>
      <c r="T42" s="54" t="str">
        <f>IF($A42="","",IF(INDEX(Cálculo!$N$1:$N$1001,$A42)="","",INDEX(Cálculo!$N$1:$N$1001,$A42)))</f>
        <v/>
      </c>
      <c r="U42" s="120" t="str">
        <f>IF($A42="","",IF(INDEX(Registro!$K$1:$K$1001,$A42)="","",INDEX(Registro!$K$1:$K$1001,$A42)))</f>
        <v/>
      </c>
    </row>
    <row r="43" spans="1:21" ht="15" customHeight="1" x14ac:dyDescent="0.25">
      <c r="A43" s="7" t="str">
        <f>IFERROR(MOD(SMALL(Cálculo!$O$2:$O$1001,ROWS(A$8:A43)),10000),"")</f>
        <v/>
      </c>
      <c r="B43" s="8" t="str">
        <f>IF($A43="","",IF(INDEX(Registro!$B$1:$B$1001,$A43)="","",INDEX(Registro!$B$1:$B$1001,$A43)))</f>
        <v/>
      </c>
      <c r="C43" s="9" t="str">
        <f>IF($A43="","",IF(INDEX(Registro!$C$1:$C$1001,$A43)="","",INDEX(Registro!$C$1:$C$1001,$A43)))</f>
        <v/>
      </c>
      <c r="D43" s="9" t="str">
        <f>IF($A43="","",IF(INDEX(Registro!$D$1:$D$1001,$A43)="","",INDEX(Registro!$D$1:$D$1001,$A43)))</f>
        <v/>
      </c>
      <c r="E43" s="15" t="str">
        <f>IF($A43="","",IF(INDEX(Registro!$E$1:$E$1001,$A43)="","",INDEX(Registro!$E$1:$E$1001,$A43)))</f>
        <v/>
      </c>
      <c r="F43" s="10" t="str">
        <f>IF($A43="","",IF(INDEX(Cálculo!$D$1:$D$1001,$A43)="","",INDEX(Cálculo!$D$1:$D$1001,$A43)))</f>
        <v/>
      </c>
      <c r="G43" s="53" t="str">
        <f>IF($A43="","",IF(INDEX(Cálculo!$E$1:$E$1001,$A43)="","",INDEX(Cálculo!$E$1:$E$1001,$A43)))</f>
        <v/>
      </c>
      <c r="H43" s="53" t="str">
        <f>IF($A43="","",IF(INDEX(Cálculo!$F$1:$F$1001,$A43)="","",INDEX(Cálculo!$F$1:$F$1001,$A43)))</f>
        <v/>
      </c>
      <c r="I43" s="58" t="str">
        <f>IF($A43="","",IF(INDEX(Cálculo!$G$1:$G$1001,$A43)="","",INDEX(Cálculo!$G$1:$G$1001,$A43)))</f>
        <v/>
      </c>
      <c r="J43" s="15" t="str">
        <f>IF($A43="","",IF(INDEX(Registro!$G$1:$G$1001,$A43)="","",INDEX(Registro!$G$1:$G$1001,$A43)))</f>
        <v/>
      </c>
      <c r="K43" s="10" t="str">
        <f>IF($A43="","",IF(INDEX(Cálculo!$H$1:$H$1001,$A43)="","",INDEX(Cálculo!$H$1:$H$1001,$A43)))</f>
        <v/>
      </c>
      <c r="L43" s="53" t="str">
        <f>IF($A43="","",IF(INDEX(Cálculo!$I$1:$I$1001,$A43)="","",INDEX(Cálculo!$I$1:$I$1001,$A43)))</f>
        <v/>
      </c>
      <c r="M43" s="9" t="str">
        <f>IF($A43="","",IF(INDEX(Cálculo!$J$1:$J$1001,$A43)="","",INDEX(Cálculo!$J$1:$J$1001,$A43)))</f>
        <v/>
      </c>
      <c r="N43" s="53" t="str">
        <f>IF($A43="","",IF(INDEX(Registro!$H$1:$H$1001,$A43)="","",INDEX(Registro!$H$1:$H$1001,$A43)))</f>
        <v/>
      </c>
      <c r="O43" s="15" t="str">
        <f>IF($A43="","",IF(INDEX(Registro!$I$1:$I$1001,$A43)="","",INDEX(Registro!$I$1:$I$1001,$A43)))</f>
        <v/>
      </c>
      <c r="P43" s="53" t="str">
        <f>IF($A43="","",IF(INDEX(Cálculo!$K$1:$K$1001,$A43)="","",INDEX(Cálculo!$K$1:$K$1001,$A43)))</f>
        <v/>
      </c>
      <c r="Q43" s="53" t="str">
        <f>IF($A43="","",IF(INDEX(Cálculo!$M$1:$M$1001,$A43)="","",INDEX(Cálculo!$M$1:$M$1001,$A43)))</f>
        <v/>
      </c>
      <c r="R43" s="15" t="str">
        <f>IF($A43="","",IF(INDEX(Registro!$J$1:$J$1001,$A43)="","",INDEX(Registro!$J$1:$J$1001,$A43)))</f>
        <v/>
      </c>
      <c r="S43" s="53" t="str">
        <f>IF($A43="","",IF(INDEX(Cálculo!$L$1:$L$1001,$A43)="","",INDEX(Cálculo!$L$1:$L$1001,$A43)))</f>
        <v/>
      </c>
      <c r="T43" s="55" t="str">
        <f>IF($A43="","",IF(INDEX(Cálculo!$N$1:$N$1001,$A43)="","",INDEX(Cálculo!$N$1:$N$1001,$A43)))</f>
        <v/>
      </c>
      <c r="U43" s="15" t="str">
        <f>IF($A43="","",IF(INDEX(Registro!$K$1:$K$1001,$A43)="","",INDEX(Registro!$K$1:$K$1001,$A43)))</f>
        <v/>
      </c>
    </row>
    <row r="44" spans="1:21" ht="15" customHeight="1" x14ac:dyDescent="0.25">
      <c r="A44" s="47" t="str">
        <f>IFERROR(MOD(SMALL(Cálculo!$O$2:$O$1001,ROWS(A$8:A44)),10000),"")</f>
        <v/>
      </c>
      <c r="B44" s="48" t="str">
        <f>IF($A44="","",IF(INDEX(Registro!$B$1:$B$1001,$A44)="","",INDEX(Registro!$B$1:$B$1001,$A44)))</f>
        <v/>
      </c>
      <c r="C44" s="49" t="str">
        <f>IF($A44="","",IF(INDEX(Registro!$C$1:$C$1001,$A44)="","",INDEX(Registro!$C$1:$C$1001,$A44)))</f>
        <v/>
      </c>
      <c r="D44" s="49" t="str">
        <f>IF($A44="","",IF(INDEX(Registro!$D$1:$D$1001,$A44)="","",INDEX(Registro!$D$1:$D$1001,$A44)))</f>
        <v/>
      </c>
      <c r="E44" s="120" t="str">
        <f>IF($A44="","",IF(INDEX(Registro!$E$1:$E$1001,$A44)="","",INDEX(Registro!$E$1:$E$1001,$A44)))</f>
        <v/>
      </c>
      <c r="F44" s="50" t="str">
        <f>IF($A44="","",IF(INDEX(Cálculo!$D$1:$D$1001,$A44)="","",INDEX(Cálculo!$D$1:$D$1001,$A44)))</f>
        <v/>
      </c>
      <c r="G44" s="52" t="str">
        <f>IF($A44="","",IF(INDEX(Cálculo!$E$1:$E$1001,$A44)="","",INDEX(Cálculo!$E$1:$E$1001,$A44)))</f>
        <v/>
      </c>
      <c r="H44" s="52" t="str">
        <f>IF($A44="","",IF(INDEX(Cálculo!$F$1:$F$1001,$A44)="","",INDEX(Cálculo!$F$1:$F$1001,$A44)))</f>
        <v/>
      </c>
      <c r="I44" s="57" t="str">
        <f>IF($A44="","",IF(INDEX(Cálculo!$G$1:$G$1001,$A44)="","",INDEX(Cálculo!$G$1:$G$1001,$A44)))</f>
        <v/>
      </c>
      <c r="J44" s="120" t="str">
        <f>IF($A44="","",IF(INDEX(Registro!$G$1:$G$1001,$A44)="","",INDEX(Registro!$G$1:$G$1001,$A44)))</f>
        <v/>
      </c>
      <c r="K44" s="50" t="str">
        <f>IF($A44="","",IF(INDEX(Cálculo!$H$1:$H$1001,$A44)="","",INDEX(Cálculo!$H$1:$H$1001,$A44)))</f>
        <v/>
      </c>
      <c r="L44" s="52" t="str">
        <f>IF($A44="","",IF(INDEX(Cálculo!$I$1:$I$1001,$A44)="","",INDEX(Cálculo!$I$1:$I$1001,$A44)))</f>
        <v/>
      </c>
      <c r="M44" s="49" t="str">
        <f>IF($A44="","",IF(INDEX(Cálculo!$J$1:$J$1001,$A44)="","",INDEX(Cálculo!$J$1:$J$1001,$A44)))</f>
        <v/>
      </c>
      <c r="N44" s="52" t="str">
        <f>IF($A44="","",IF(INDEX(Registro!$H$1:$H$1001,$A44)="","",INDEX(Registro!$H$1:$H$1001,$A44)))</f>
        <v/>
      </c>
      <c r="O44" s="120" t="str">
        <f>IF($A44="","",IF(INDEX(Registro!$I$1:$I$1001,$A44)="","",INDEX(Registro!$I$1:$I$1001,$A44)))</f>
        <v/>
      </c>
      <c r="P44" s="52" t="str">
        <f>IF($A44="","",IF(INDEX(Cálculo!$K$1:$K$1001,$A44)="","",INDEX(Cálculo!$K$1:$K$1001,$A44)))</f>
        <v/>
      </c>
      <c r="Q44" s="52" t="str">
        <f>IF($A44="","",IF(INDEX(Cálculo!$M$1:$M$1001,$A44)="","",INDEX(Cálculo!$M$1:$M$1001,$A44)))</f>
        <v/>
      </c>
      <c r="R44" s="120" t="str">
        <f>IF($A44="","",IF(INDEX(Registro!$J$1:$J$1001,$A44)="","",INDEX(Registro!$J$1:$J$1001,$A44)))</f>
        <v/>
      </c>
      <c r="S44" s="52" t="str">
        <f>IF($A44="","",IF(INDEX(Cálculo!$L$1:$L$1001,$A44)="","",INDEX(Cálculo!$L$1:$L$1001,$A44)))</f>
        <v/>
      </c>
      <c r="T44" s="54" t="str">
        <f>IF($A44="","",IF(INDEX(Cálculo!$N$1:$N$1001,$A44)="","",INDEX(Cálculo!$N$1:$N$1001,$A44)))</f>
        <v/>
      </c>
      <c r="U44" s="120" t="str">
        <f>IF($A44="","",IF(INDEX(Registro!$K$1:$K$1001,$A44)="","",INDEX(Registro!$K$1:$K$1001,$A44)))</f>
        <v/>
      </c>
    </row>
    <row r="45" spans="1:21" ht="15" customHeight="1" x14ac:dyDescent="0.25">
      <c r="A45" s="7" t="str">
        <f>IFERROR(MOD(SMALL(Cálculo!$O$2:$O$1001,ROWS(A$8:A45)),10000),"")</f>
        <v/>
      </c>
      <c r="B45" s="8" t="str">
        <f>IF($A45="","",IF(INDEX(Registro!$B$1:$B$1001,$A45)="","",INDEX(Registro!$B$1:$B$1001,$A45)))</f>
        <v/>
      </c>
      <c r="C45" s="9" t="str">
        <f>IF($A45="","",IF(INDEX(Registro!$C$1:$C$1001,$A45)="","",INDEX(Registro!$C$1:$C$1001,$A45)))</f>
        <v/>
      </c>
      <c r="D45" s="9" t="str">
        <f>IF($A45="","",IF(INDEX(Registro!$D$1:$D$1001,$A45)="","",INDEX(Registro!$D$1:$D$1001,$A45)))</f>
        <v/>
      </c>
      <c r="E45" s="15" t="str">
        <f>IF($A45="","",IF(INDEX(Registro!$E$1:$E$1001,$A45)="","",INDEX(Registro!$E$1:$E$1001,$A45)))</f>
        <v/>
      </c>
      <c r="F45" s="10" t="str">
        <f>IF($A45="","",IF(INDEX(Cálculo!$D$1:$D$1001,$A45)="","",INDEX(Cálculo!$D$1:$D$1001,$A45)))</f>
        <v/>
      </c>
      <c r="G45" s="53" t="str">
        <f>IF($A45="","",IF(INDEX(Cálculo!$E$1:$E$1001,$A45)="","",INDEX(Cálculo!$E$1:$E$1001,$A45)))</f>
        <v/>
      </c>
      <c r="H45" s="53" t="str">
        <f>IF($A45="","",IF(INDEX(Cálculo!$F$1:$F$1001,$A45)="","",INDEX(Cálculo!$F$1:$F$1001,$A45)))</f>
        <v/>
      </c>
      <c r="I45" s="58" t="str">
        <f>IF($A45="","",IF(INDEX(Cálculo!$G$1:$G$1001,$A45)="","",INDEX(Cálculo!$G$1:$G$1001,$A45)))</f>
        <v/>
      </c>
      <c r="J45" s="15" t="str">
        <f>IF($A45="","",IF(INDEX(Registro!$G$1:$G$1001,$A45)="","",INDEX(Registro!$G$1:$G$1001,$A45)))</f>
        <v/>
      </c>
      <c r="K45" s="10" t="str">
        <f>IF($A45="","",IF(INDEX(Cálculo!$H$1:$H$1001,$A45)="","",INDEX(Cálculo!$H$1:$H$1001,$A45)))</f>
        <v/>
      </c>
      <c r="L45" s="53" t="str">
        <f>IF($A45="","",IF(INDEX(Cálculo!$I$1:$I$1001,$A45)="","",INDEX(Cálculo!$I$1:$I$1001,$A45)))</f>
        <v/>
      </c>
      <c r="M45" s="9" t="str">
        <f>IF($A45="","",IF(INDEX(Cálculo!$J$1:$J$1001,$A45)="","",INDEX(Cálculo!$J$1:$J$1001,$A45)))</f>
        <v/>
      </c>
      <c r="N45" s="53" t="str">
        <f>IF($A45="","",IF(INDEX(Registro!$H$1:$H$1001,$A45)="","",INDEX(Registro!$H$1:$H$1001,$A45)))</f>
        <v/>
      </c>
      <c r="O45" s="15" t="str">
        <f>IF($A45="","",IF(INDEX(Registro!$I$1:$I$1001,$A45)="","",INDEX(Registro!$I$1:$I$1001,$A45)))</f>
        <v/>
      </c>
      <c r="P45" s="53" t="str">
        <f>IF($A45="","",IF(INDEX(Cálculo!$K$1:$K$1001,$A45)="","",INDEX(Cálculo!$K$1:$K$1001,$A45)))</f>
        <v/>
      </c>
      <c r="Q45" s="53" t="str">
        <f>IF($A45="","",IF(INDEX(Cálculo!$M$1:$M$1001,$A45)="","",INDEX(Cálculo!$M$1:$M$1001,$A45)))</f>
        <v/>
      </c>
      <c r="R45" s="15" t="str">
        <f>IF($A45="","",IF(INDEX(Registro!$J$1:$J$1001,$A45)="","",INDEX(Registro!$J$1:$J$1001,$A45)))</f>
        <v/>
      </c>
      <c r="S45" s="53" t="str">
        <f>IF($A45="","",IF(INDEX(Cálculo!$L$1:$L$1001,$A45)="","",INDEX(Cálculo!$L$1:$L$1001,$A45)))</f>
        <v/>
      </c>
      <c r="T45" s="55" t="str">
        <f>IF($A45="","",IF(INDEX(Cálculo!$N$1:$N$1001,$A45)="","",INDEX(Cálculo!$N$1:$N$1001,$A45)))</f>
        <v/>
      </c>
      <c r="U45" s="15" t="str">
        <f>IF($A45="","",IF(INDEX(Registro!$K$1:$K$1001,$A45)="","",INDEX(Registro!$K$1:$K$1001,$A45)))</f>
        <v/>
      </c>
    </row>
    <row r="46" spans="1:21" ht="15" customHeight="1" x14ac:dyDescent="0.25">
      <c r="A46" s="47" t="str">
        <f>IFERROR(MOD(SMALL(Cálculo!$O$2:$O$1001,ROWS(A$8:A46)),10000),"")</f>
        <v/>
      </c>
      <c r="B46" s="48" t="str">
        <f>IF($A46="","",IF(INDEX(Registro!$B$1:$B$1001,$A46)="","",INDEX(Registro!$B$1:$B$1001,$A46)))</f>
        <v/>
      </c>
      <c r="C46" s="49" t="str">
        <f>IF($A46="","",IF(INDEX(Registro!$C$1:$C$1001,$A46)="","",INDEX(Registro!$C$1:$C$1001,$A46)))</f>
        <v/>
      </c>
      <c r="D46" s="49" t="str">
        <f>IF($A46="","",IF(INDEX(Registro!$D$1:$D$1001,$A46)="","",INDEX(Registro!$D$1:$D$1001,$A46)))</f>
        <v/>
      </c>
      <c r="E46" s="120" t="str">
        <f>IF($A46="","",IF(INDEX(Registro!$E$1:$E$1001,$A46)="","",INDEX(Registro!$E$1:$E$1001,$A46)))</f>
        <v/>
      </c>
      <c r="F46" s="50" t="str">
        <f>IF($A46="","",IF(INDEX(Cálculo!$D$1:$D$1001,$A46)="","",INDEX(Cálculo!$D$1:$D$1001,$A46)))</f>
        <v/>
      </c>
      <c r="G46" s="52" t="str">
        <f>IF($A46="","",IF(INDEX(Cálculo!$E$1:$E$1001,$A46)="","",INDEX(Cálculo!$E$1:$E$1001,$A46)))</f>
        <v/>
      </c>
      <c r="H46" s="52" t="str">
        <f>IF($A46="","",IF(INDEX(Cálculo!$F$1:$F$1001,$A46)="","",INDEX(Cálculo!$F$1:$F$1001,$A46)))</f>
        <v/>
      </c>
      <c r="I46" s="57" t="str">
        <f>IF($A46="","",IF(INDEX(Cálculo!$G$1:$G$1001,$A46)="","",INDEX(Cálculo!$G$1:$G$1001,$A46)))</f>
        <v/>
      </c>
      <c r="J46" s="120" t="str">
        <f>IF($A46="","",IF(INDEX(Registro!$G$1:$G$1001,$A46)="","",INDEX(Registro!$G$1:$G$1001,$A46)))</f>
        <v/>
      </c>
      <c r="K46" s="50" t="str">
        <f>IF($A46="","",IF(INDEX(Cálculo!$H$1:$H$1001,$A46)="","",INDEX(Cálculo!$H$1:$H$1001,$A46)))</f>
        <v/>
      </c>
      <c r="L46" s="52" t="str">
        <f>IF($A46="","",IF(INDEX(Cálculo!$I$1:$I$1001,$A46)="","",INDEX(Cálculo!$I$1:$I$1001,$A46)))</f>
        <v/>
      </c>
      <c r="M46" s="49" t="str">
        <f>IF($A46="","",IF(INDEX(Cálculo!$J$1:$J$1001,$A46)="","",INDEX(Cálculo!$J$1:$J$1001,$A46)))</f>
        <v/>
      </c>
      <c r="N46" s="52" t="str">
        <f>IF($A46="","",IF(INDEX(Registro!$H$1:$H$1001,$A46)="","",INDEX(Registro!$H$1:$H$1001,$A46)))</f>
        <v/>
      </c>
      <c r="O46" s="120" t="str">
        <f>IF($A46="","",IF(INDEX(Registro!$I$1:$I$1001,$A46)="","",INDEX(Registro!$I$1:$I$1001,$A46)))</f>
        <v/>
      </c>
      <c r="P46" s="52" t="str">
        <f>IF($A46="","",IF(INDEX(Cálculo!$K$1:$K$1001,$A46)="","",INDEX(Cálculo!$K$1:$K$1001,$A46)))</f>
        <v/>
      </c>
      <c r="Q46" s="52" t="str">
        <f>IF($A46="","",IF(INDEX(Cálculo!$M$1:$M$1001,$A46)="","",INDEX(Cálculo!$M$1:$M$1001,$A46)))</f>
        <v/>
      </c>
      <c r="R46" s="120" t="str">
        <f>IF($A46="","",IF(INDEX(Registro!$J$1:$J$1001,$A46)="","",INDEX(Registro!$J$1:$J$1001,$A46)))</f>
        <v/>
      </c>
      <c r="S46" s="52" t="str">
        <f>IF($A46="","",IF(INDEX(Cálculo!$L$1:$L$1001,$A46)="","",INDEX(Cálculo!$L$1:$L$1001,$A46)))</f>
        <v/>
      </c>
      <c r="T46" s="54" t="str">
        <f>IF($A46="","",IF(INDEX(Cálculo!$N$1:$N$1001,$A46)="","",INDEX(Cálculo!$N$1:$N$1001,$A46)))</f>
        <v/>
      </c>
      <c r="U46" s="120" t="str">
        <f>IF($A46="","",IF(INDEX(Registro!$K$1:$K$1001,$A46)="","",INDEX(Registro!$K$1:$K$1001,$A46)))</f>
        <v/>
      </c>
    </row>
    <row r="47" spans="1:21" ht="15" customHeight="1" x14ac:dyDescent="0.25">
      <c r="A47" s="7" t="str">
        <f>IFERROR(MOD(SMALL(Cálculo!$O$2:$O$1001,ROWS(A$8:A47)),10000),"")</f>
        <v/>
      </c>
      <c r="B47" s="8" t="str">
        <f>IF($A47="","",IF(INDEX(Registro!$B$1:$B$1001,$A47)="","",INDEX(Registro!$B$1:$B$1001,$A47)))</f>
        <v/>
      </c>
      <c r="C47" s="9" t="str">
        <f>IF($A47="","",IF(INDEX(Registro!$C$1:$C$1001,$A47)="","",INDEX(Registro!$C$1:$C$1001,$A47)))</f>
        <v/>
      </c>
      <c r="D47" s="9" t="str">
        <f>IF($A47="","",IF(INDEX(Registro!$D$1:$D$1001,$A47)="","",INDEX(Registro!$D$1:$D$1001,$A47)))</f>
        <v/>
      </c>
      <c r="E47" s="15" t="str">
        <f>IF($A47="","",IF(INDEX(Registro!$E$1:$E$1001,$A47)="","",INDEX(Registro!$E$1:$E$1001,$A47)))</f>
        <v/>
      </c>
      <c r="F47" s="10" t="str">
        <f>IF($A47="","",IF(INDEX(Cálculo!$D$1:$D$1001,$A47)="","",INDEX(Cálculo!$D$1:$D$1001,$A47)))</f>
        <v/>
      </c>
      <c r="G47" s="53" t="str">
        <f>IF($A47="","",IF(INDEX(Cálculo!$E$1:$E$1001,$A47)="","",INDEX(Cálculo!$E$1:$E$1001,$A47)))</f>
        <v/>
      </c>
      <c r="H47" s="53" t="str">
        <f>IF($A47="","",IF(INDEX(Cálculo!$F$1:$F$1001,$A47)="","",INDEX(Cálculo!$F$1:$F$1001,$A47)))</f>
        <v/>
      </c>
      <c r="I47" s="58" t="str">
        <f>IF($A47="","",IF(INDEX(Cálculo!$G$1:$G$1001,$A47)="","",INDEX(Cálculo!$G$1:$G$1001,$A47)))</f>
        <v/>
      </c>
      <c r="J47" s="15" t="str">
        <f>IF($A47="","",IF(INDEX(Registro!$G$1:$G$1001,$A47)="","",INDEX(Registro!$G$1:$G$1001,$A47)))</f>
        <v/>
      </c>
      <c r="K47" s="10" t="str">
        <f>IF($A47="","",IF(INDEX(Cálculo!$H$1:$H$1001,$A47)="","",INDEX(Cálculo!$H$1:$H$1001,$A47)))</f>
        <v/>
      </c>
      <c r="L47" s="53" t="str">
        <f>IF($A47="","",IF(INDEX(Cálculo!$I$1:$I$1001,$A47)="","",INDEX(Cálculo!$I$1:$I$1001,$A47)))</f>
        <v/>
      </c>
      <c r="M47" s="9" t="str">
        <f>IF($A47="","",IF(INDEX(Cálculo!$J$1:$J$1001,$A47)="","",INDEX(Cálculo!$J$1:$J$1001,$A47)))</f>
        <v/>
      </c>
      <c r="N47" s="53" t="str">
        <f>IF($A47="","",IF(INDEX(Registro!$H$1:$H$1001,$A47)="","",INDEX(Registro!$H$1:$H$1001,$A47)))</f>
        <v/>
      </c>
      <c r="O47" s="15" t="str">
        <f>IF($A47="","",IF(INDEX(Registro!$I$1:$I$1001,$A47)="","",INDEX(Registro!$I$1:$I$1001,$A47)))</f>
        <v/>
      </c>
      <c r="P47" s="53" t="str">
        <f>IF($A47="","",IF(INDEX(Cálculo!$K$1:$K$1001,$A47)="","",INDEX(Cálculo!$K$1:$K$1001,$A47)))</f>
        <v/>
      </c>
      <c r="Q47" s="53" t="str">
        <f>IF($A47="","",IF(INDEX(Cálculo!$M$1:$M$1001,$A47)="","",INDEX(Cálculo!$M$1:$M$1001,$A47)))</f>
        <v/>
      </c>
      <c r="R47" s="15" t="str">
        <f>IF($A47="","",IF(INDEX(Registro!$J$1:$J$1001,$A47)="","",INDEX(Registro!$J$1:$J$1001,$A47)))</f>
        <v/>
      </c>
      <c r="S47" s="53" t="str">
        <f>IF($A47="","",IF(INDEX(Cálculo!$L$1:$L$1001,$A47)="","",INDEX(Cálculo!$L$1:$L$1001,$A47)))</f>
        <v/>
      </c>
      <c r="T47" s="55" t="str">
        <f>IF($A47="","",IF(INDEX(Cálculo!$N$1:$N$1001,$A47)="","",INDEX(Cálculo!$N$1:$N$1001,$A47)))</f>
        <v/>
      </c>
      <c r="U47" s="15" t="str">
        <f>IF($A47="","",IF(INDEX(Registro!$K$1:$K$1001,$A47)="","",INDEX(Registro!$K$1:$K$1001,$A47)))</f>
        <v/>
      </c>
    </row>
    <row r="48" spans="1:21" ht="15" customHeight="1" x14ac:dyDescent="0.25">
      <c r="A48" s="47" t="str">
        <f>IFERROR(MOD(SMALL(Cálculo!$O$2:$O$1001,ROWS(A$8:A48)),10000),"")</f>
        <v/>
      </c>
      <c r="B48" s="48" t="str">
        <f>IF($A48="","",IF(INDEX(Registro!$B$1:$B$1001,$A48)="","",INDEX(Registro!$B$1:$B$1001,$A48)))</f>
        <v/>
      </c>
      <c r="C48" s="49" t="str">
        <f>IF($A48="","",IF(INDEX(Registro!$C$1:$C$1001,$A48)="","",INDEX(Registro!$C$1:$C$1001,$A48)))</f>
        <v/>
      </c>
      <c r="D48" s="49" t="str">
        <f>IF($A48="","",IF(INDEX(Registro!$D$1:$D$1001,$A48)="","",INDEX(Registro!$D$1:$D$1001,$A48)))</f>
        <v/>
      </c>
      <c r="E48" s="120" t="str">
        <f>IF($A48="","",IF(INDEX(Registro!$E$1:$E$1001,$A48)="","",INDEX(Registro!$E$1:$E$1001,$A48)))</f>
        <v/>
      </c>
      <c r="F48" s="50" t="str">
        <f>IF($A48="","",IF(INDEX(Cálculo!$D$1:$D$1001,$A48)="","",INDEX(Cálculo!$D$1:$D$1001,$A48)))</f>
        <v/>
      </c>
      <c r="G48" s="52" t="str">
        <f>IF($A48="","",IF(INDEX(Cálculo!$E$1:$E$1001,$A48)="","",INDEX(Cálculo!$E$1:$E$1001,$A48)))</f>
        <v/>
      </c>
      <c r="H48" s="52" t="str">
        <f>IF($A48="","",IF(INDEX(Cálculo!$F$1:$F$1001,$A48)="","",INDEX(Cálculo!$F$1:$F$1001,$A48)))</f>
        <v/>
      </c>
      <c r="I48" s="57" t="str">
        <f>IF($A48="","",IF(INDEX(Cálculo!$G$1:$G$1001,$A48)="","",INDEX(Cálculo!$G$1:$G$1001,$A48)))</f>
        <v/>
      </c>
      <c r="J48" s="120" t="str">
        <f>IF($A48="","",IF(INDEX(Registro!$G$1:$G$1001,$A48)="","",INDEX(Registro!$G$1:$G$1001,$A48)))</f>
        <v/>
      </c>
      <c r="K48" s="50" t="str">
        <f>IF($A48="","",IF(INDEX(Cálculo!$H$1:$H$1001,$A48)="","",INDEX(Cálculo!$H$1:$H$1001,$A48)))</f>
        <v/>
      </c>
      <c r="L48" s="52" t="str">
        <f>IF($A48="","",IF(INDEX(Cálculo!$I$1:$I$1001,$A48)="","",INDEX(Cálculo!$I$1:$I$1001,$A48)))</f>
        <v/>
      </c>
      <c r="M48" s="49" t="str">
        <f>IF($A48="","",IF(INDEX(Cálculo!$J$1:$J$1001,$A48)="","",INDEX(Cálculo!$J$1:$J$1001,$A48)))</f>
        <v/>
      </c>
      <c r="N48" s="52" t="str">
        <f>IF($A48="","",IF(INDEX(Registro!$H$1:$H$1001,$A48)="","",INDEX(Registro!$H$1:$H$1001,$A48)))</f>
        <v/>
      </c>
      <c r="O48" s="120" t="str">
        <f>IF($A48="","",IF(INDEX(Registro!$I$1:$I$1001,$A48)="","",INDEX(Registro!$I$1:$I$1001,$A48)))</f>
        <v/>
      </c>
      <c r="P48" s="52" t="str">
        <f>IF($A48="","",IF(INDEX(Cálculo!$K$1:$K$1001,$A48)="","",INDEX(Cálculo!$K$1:$K$1001,$A48)))</f>
        <v/>
      </c>
      <c r="Q48" s="52" t="str">
        <f>IF($A48="","",IF(INDEX(Cálculo!$M$1:$M$1001,$A48)="","",INDEX(Cálculo!$M$1:$M$1001,$A48)))</f>
        <v/>
      </c>
      <c r="R48" s="120" t="str">
        <f>IF($A48="","",IF(INDEX(Registro!$J$1:$J$1001,$A48)="","",INDEX(Registro!$J$1:$J$1001,$A48)))</f>
        <v/>
      </c>
      <c r="S48" s="52" t="str">
        <f>IF($A48="","",IF(INDEX(Cálculo!$L$1:$L$1001,$A48)="","",INDEX(Cálculo!$L$1:$L$1001,$A48)))</f>
        <v/>
      </c>
      <c r="T48" s="54" t="str">
        <f>IF($A48="","",IF(INDEX(Cálculo!$N$1:$N$1001,$A48)="","",INDEX(Cálculo!$N$1:$N$1001,$A48)))</f>
        <v/>
      </c>
      <c r="U48" s="120" t="str">
        <f>IF($A48="","",IF(INDEX(Registro!$K$1:$K$1001,$A48)="","",INDEX(Registro!$K$1:$K$1001,$A48)))</f>
        <v/>
      </c>
    </row>
    <row r="49" spans="1:21" ht="15" customHeight="1" x14ac:dyDescent="0.25">
      <c r="A49" s="7" t="str">
        <f>IFERROR(MOD(SMALL(Cálculo!$O$2:$O$1001,ROWS(A$8:A49)),10000),"")</f>
        <v/>
      </c>
      <c r="B49" s="8" t="str">
        <f>IF($A49="","",IF(INDEX(Registro!$B$1:$B$1001,$A49)="","",INDEX(Registro!$B$1:$B$1001,$A49)))</f>
        <v/>
      </c>
      <c r="C49" s="9" t="str">
        <f>IF($A49="","",IF(INDEX(Registro!$C$1:$C$1001,$A49)="","",INDEX(Registro!$C$1:$C$1001,$A49)))</f>
        <v/>
      </c>
      <c r="D49" s="9" t="str">
        <f>IF($A49="","",IF(INDEX(Registro!$D$1:$D$1001,$A49)="","",INDEX(Registro!$D$1:$D$1001,$A49)))</f>
        <v/>
      </c>
      <c r="E49" s="15" t="str">
        <f>IF($A49="","",IF(INDEX(Registro!$E$1:$E$1001,$A49)="","",INDEX(Registro!$E$1:$E$1001,$A49)))</f>
        <v/>
      </c>
      <c r="F49" s="10" t="str">
        <f>IF($A49="","",IF(INDEX(Cálculo!$D$1:$D$1001,$A49)="","",INDEX(Cálculo!$D$1:$D$1001,$A49)))</f>
        <v/>
      </c>
      <c r="G49" s="53" t="str">
        <f>IF($A49="","",IF(INDEX(Cálculo!$E$1:$E$1001,$A49)="","",INDEX(Cálculo!$E$1:$E$1001,$A49)))</f>
        <v/>
      </c>
      <c r="H49" s="53" t="str">
        <f>IF($A49="","",IF(INDEX(Cálculo!$F$1:$F$1001,$A49)="","",INDEX(Cálculo!$F$1:$F$1001,$A49)))</f>
        <v/>
      </c>
      <c r="I49" s="58" t="str">
        <f>IF($A49="","",IF(INDEX(Cálculo!$G$1:$G$1001,$A49)="","",INDEX(Cálculo!$G$1:$G$1001,$A49)))</f>
        <v/>
      </c>
      <c r="J49" s="15" t="str">
        <f>IF($A49="","",IF(INDEX(Registro!$G$1:$G$1001,$A49)="","",INDEX(Registro!$G$1:$G$1001,$A49)))</f>
        <v/>
      </c>
      <c r="K49" s="10" t="str">
        <f>IF($A49="","",IF(INDEX(Cálculo!$H$1:$H$1001,$A49)="","",INDEX(Cálculo!$H$1:$H$1001,$A49)))</f>
        <v/>
      </c>
      <c r="L49" s="53" t="str">
        <f>IF($A49="","",IF(INDEX(Cálculo!$I$1:$I$1001,$A49)="","",INDEX(Cálculo!$I$1:$I$1001,$A49)))</f>
        <v/>
      </c>
      <c r="M49" s="9" t="str">
        <f>IF($A49="","",IF(INDEX(Cálculo!$J$1:$J$1001,$A49)="","",INDEX(Cálculo!$J$1:$J$1001,$A49)))</f>
        <v/>
      </c>
      <c r="N49" s="53" t="str">
        <f>IF($A49="","",IF(INDEX(Registro!$H$1:$H$1001,$A49)="","",INDEX(Registro!$H$1:$H$1001,$A49)))</f>
        <v/>
      </c>
      <c r="O49" s="15" t="str">
        <f>IF($A49="","",IF(INDEX(Registro!$I$1:$I$1001,$A49)="","",INDEX(Registro!$I$1:$I$1001,$A49)))</f>
        <v/>
      </c>
      <c r="P49" s="53" t="str">
        <f>IF($A49="","",IF(INDEX(Cálculo!$K$1:$K$1001,$A49)="","",INDEX(Cálculo!$K$1:$K$1001,$A49)))</f>
        <v/>
      </c>
      <c r="Q49" s="53" t="str">
        <f>IF($A49="","",IF(INDEX(Cálculo!$M$1:$M$1001,$A49)="","",INDEX(Cálculo!$M$1:$M$1001,$A49)))</f>
        <v/>
      </c>
      <c r="R49" s="15" t="str">
        <f>IF($A49="","",IF(INDEX(Registro!$J$1:$J$1001,$A49)="","",INDEX(Registro!$J$1:$J$1001,$A49)))</f>
        <v/>
      </c>
      <c r="S49" s="53" t="str">
        <f>IF($A49="","",IF(INDEX(Cálculo!$L$1:$L$1001,$A49)="","",INDEX(Cálculo!$L$1:$L$1001,$A49)))</f>
        <v/>
      </c>
      <c r="T49" s="55" t="str">
        <f>IF($A49="","",IF(INDEX(Cálculo!$N$1:$N$1001,$A49)="","",INDEX(Cálculo!$N$1:$N$1001,$A49)))</f>
        <v/>
      </c>
      <c r="U49" s="15" t="str">
        <f>IF($A49="","",IF(INDEX(Registro!$K$1:$K$1001,$A49)="","",INDEX(Registro!$K$1:$K$1001,$A49)))</f>
        <v/>
      </c>
    </row>
    <row r="50" spans="1:21" ht="15" customHeight="1" x14ac:dyDescent="0.25">
      <c r="A50" s="47" t="str">
        <f>IFERROR(MOD(SMALL(Cálculo!$O$2:$O$1001,ROWS(A$8:A50)),10000),"")</f>
        <v/>
      </c>
      <c r="B50" s="48" t="str">
        <f>IF($A50="","",IF(INDEX(Registro!$B$1:$B$1001,$A50)="","",INDEX(Registro!$B$1:$B$1001,$A50)))</f>
        <v/>
      </c>
      <c r="C50" s="49" t="str">
        <f>IF($A50="","",IF(INDEX(Registro!$C$1:$C$1001,$A50)="","",INDEX(Registro!$C$1:$C$1001,$A50)))</f>
        <v/>
      </c>
      <c r="D50" s="49" t="str">
        <f>IF($A50="","",IF(INDEX(Registro!$D$1:$D$1001,$A50)="","",INDEX(Registro!$D$1:$D$1001,$A50)))</f>
        <v/>
      </c>
      <c r="E50" s="120" t="str">
        <f>IF($A50="","",IF(INDEX(Registro!$E$1:$E$1001,$A50)="","",INDEX(Registro!$E$1:$E$1001,$A50)))</f>
        <v/>
      </c>
      <c r="F50" s="50" t="str">
        <f>IF($A50="","",IF(INDEX(Cálculo!$D$1:$D$1001,$A50)="","",INDEX(Cálculo!$D$1:$D$1001,$A50)))</f>
        <v/>
      </c>
      <c r="G50" s="52" t="str">
        <f>IF($A50="","",IF(INDEX(Cálculo!$E$1:$E$1001,$A50)="","",INDEX(Cálculo!$E$1:$E$1001,$A50)))</f>
        <v/>
      </c>
      <c r="H50" s="52" t="str">
        <f>IF($A50="","",IF(INDEX(Cálculo!$F$1:$F$1001,$A50)="","",INDEX(Cálculo!$F$1:$F$1001,$A50)))</f>
        <v/>
      </c>
      <c r="I50" s="57" t="str">
        <f>IF($A50="","",IF(INDEX(Cálculo!$G$1:$G$1001,$A50)="","",INDEX(Cálculo!$G$1:$G$1001,$A50)))</f>
        <v/>
      </c>
      <c r="J50" s="120" t="str">
        <f>IF($A50="","",IF(INDEX(Registro!$G$1:$G$1001,$A50)="","",INDEX(Registro!$G$1:$G$1001,$A50)))</f>
        <v/>
      </c>
      <c r="K50" s="50" t="str">
        <f>IF($A50="","",IF(INDEX(Cálculo!$H$1:$H$1001,$A50)="","",INDEX(Cálculo!$H$1:$H$1001,$A50)))</f>
        <v/>
      </c>
      <c r="L50" s="52" t="str">
        <f>IF($A50="","",IF(INDEX(Cálculo!$I$1:$I$1001,$A50)="","",INDEX(Cálculo!$I$1:$I$1001,$A50)))</f>
        <v/>
      </c>
      <c r="M50" s="49" t="str">
        <f>IF($A50="","",IF(INDEX(Cálculo!$J$1:$J$1001,$A50)="","",INDEX(Cálculo!$J$1:$J$1001,$A50)))</f>
        <v/>
      </c>
      <c r="N50" s="52" t="str">
        <f>IF($A50="","",IF(INDEX(Registro!$H$1:$H$1001,$A50)="","",INDEX(Registro!$H$1:$H$1001,$A50)))</f>
        <v/>
      </c>
      <c r="O50" s="120" t="str">
        <f>IF($A50="","",IF(INDEX(Registro!$I$1:$I$1001,$A50)="","",INDEX(Registro!$I$1:$I$1001,$A50)))</f>
        <v/>
      </c>
      <c r="P50" s="52" t="str">
        <f>IF($A50="","",IF(INDEX(Cálculo!$K$1:$K$1001,$A50)="","",INDEX(Cálculo!$K$1:$K$1001,$A50)))</f>
        <v/>
      </c>
      <c r="Q50" s="52" t="str">
        <f>IF($A50="","",IF(INDEX(Cálculo!$M$1:$M$1001,$A50)="","",INDEX(Cálculo!$M$1:$M$1001,$A50)))</f>
        <v/>
      </c>
      <c r="R50" s="120" t="str">
        <f>IF($A50="","",IF(INDEX(Registro!$J$1:$J$1001,$A50)="","",INDEX(Registro!$J$1:$J$1001,$A50)))</f>
        <v/>
      </c>
      <c r="S50" s="52" t="str">
        <f>IF($A50="","",IF(INDEX(Cálculo!$L$1:$L$1001,$A50)="","",INDEX(Cálculo!$L$1:$L$1001,$A50)))</f>
        <v/>
      </c>
      <c r="T50" s="54" t="str">
        <f>IF($A50="","",IF(INDEX(Cálculo!$N$1:$N$1001,$A50)="","",INDEX(Cálculo!$N$1:$N$1001,$A50)))</f>
        <v/>
      </c>
      <c r="U50" s="120" t="str">
        <f>IF($A50="","",IF(INDEX(Registro!$K$1:$K$1001,$A50)="","",INDEX(Registro!$K$1:$K$1001,$A50)))</f>
        <v/>
      </c>
    </row>
    <row r="51" spans="1:21" ht="15" customHeight="1" x14ac:dyDescent="0.25">
      <c r="A51" s="7" t="str">
        <f>IFERROR(MOD(SMALL(Cálculo!$O$2:$O$1001,ROWS(A$8:A51)),10000),"")</f>
        <v/>
      </c>
      <c r="B51" s="8" t="str">
        <f>IF($A51="","",IF(INDEX(Registro!$B$1:$B$1001,$A51)="","",INDEX(Registro!$B$1:$B$1001,$A51)))</f>
        <v/>
      </c>
      <c r="C51" s="9" t="str">
        <f>IF($A51="","",IF(INDEX(Registro!$C$1:$C$1001,$A51)="","",INDEX(Registro!$C$1:$C$1001,$A51)))</f>
        <v/>
      </c>
      <c r="D51" s="9" t="str">
        <f>IF($A51="","",IF(INDEX(Registro!$D$1:$D$1001,$A51)="","",INDEX(Registro!$D$1:$D$1001,$A51)))</f>
        <v/>
      </c>
      <c r="E51" s="15" t="str">
        <f>IF($A51="","",IF(INDEX(Registro!$E$1:$E$1001,$A51)="","",INDEX(Registro!$E$1:$E$1001,$A51)))</f>
        <v/>
      </c>
      <c r="F51" s="10" t="str">
        <f>IF($A51="","",IF(INDEX(Cálculo!$D$1:$D$1001,$A51)="","",INDEX(Cálculo!$D$1:$D$1001,$A51)))</f>
        <v/>
      </c>
      <c r="G51" s="53" t="str">
        <f>IF($A51="","",IF(INDEX(Cálculo!$E$1:$E$1001,$A51)="","",INDEX(Cálculo!$E$1:$E$1001,$A51)))</f>
        <v/>
      </c>
      <c r="H51" s="53" t="str">
        <f>IF($A51="","",IF(INDEX(Cálculo!$F$1:$F$1001,$A51)="","",INDEX(Cálculo!$F$1:$F$1001,$A51)))</f>
        <v/>
      </c>
      <c r="I51" s="58" t="str">
        <f>IF($A51="","",IF(INDEX(Cálculo!$G$1:$G$1001,$A51)="","",INDEX(Cálculo!$G$1:$G$1001,$A51)))</f>
        <v/>
      </c>
      <c r="J51" s="15" t="str">
        <f>IF($A51="","",IF(INDEX(Registro!$G$1:$G$1001,$A51)="","",INDEX(Registro!$G$1:$G$1001,$A51)))</f>
        <v/>
      </c>
      <c r="K51" s="10" t="str">
        <f>IF($A51="","",IF(INDEX(Cálculo!$H$1:$H$1001,$A51)="","",INDEX(Cálculo!$H$1:$H$1001,$A51)))</f>
        <v/>
      </c>
      <c r="L51" s="53" t="str">
        <f>IF($A51="","",IF(INDEX(Cálculo!$I$1:$I$1001,$A51)="","",INDEX(Cálculo!$I$1:$I$1001,$A51)))</f>
        <v/>
      </c>
      <c r="M51" s="9" t="str">
        <f>IF($A51="","",IF(INDEX(Cálculo!$J$1:$J$1001,$A51)="","",INDEX(Cálculo!$J$1:$J$1001,$A51)))</f>
        <v/>
      </c>
      <c r="N51" s="53" t="str">
        <f>IF($A51="","",IF(INDEX(Registro!$H$1:$H$1001,$A51)="","",INDEX(Registro!$H$1:$H$1001,$A51)))</f>
        <v/>
      </c>
      <c r="O51" s="15" t="str">
        <f>IF($A51="","",IF(INDEX(Registro!$I$1:$I$1001,$A51)="","",INDEX(Registro!$I$1:$I$1001,$A51)))</f>
        <v/>
      </c>
      <c r="P51" s="53" t="str">
        <f>IF($A51="","",IF(INDEX(Cálculo!$K$1:$K$1001,$A51)="","",INDEX(Cálculo!$K$1:$K$1001,$A51)))</f>
        <v/>
      </c>
      <c r="Q51" s="53" t="str">
        <f>IF($A51="","",IF(INDEX(Cálculo!$M$1:$M$1001,$A51)="","",INDEX(Cálculo!$M$1:$M$1001,$A51)))</f>
        <v/>
      </c>
      <c r="R51" s="15" t="str">
        <f>IF($A51="","",IF(INDEX(Registro!$J$1:$J$1001,$A51)="","",INDEX(Registro!$J$1:$J$1001,$A51)))</f>
        <v/>
      </c>
      <c r="S51" s="53" t="str">
        <f>IF($A51="","",IF(INDEX(Cálculo!$L$1:$L$1001,$A51)="","",INDEX(Cálculo!$L$1:$L$1001,$A51)))</f>
        <v/>
      </c>
      <c r="T51" s="55" t="str">
        <f>IF($A51="","",IF(INDEX(Cálculo!$N$1:$N$1001,$A51)="","",INDEX(Cálculo!$N$1:$N$1001,$A51)))</f>
        <v/>
      </c>
      <c r="U51" s="15" t="str">
        <f>IF($A51="","",IF(INDEX(Registro!$K$1:$K$1001,$A51)="","",INDEX(Registro!$K$1:$K$1001,$A51)))</f>
        <v/>
      </c>
    </row>
    <row r="52" spans="1:21" ht="15" customHeight="1" x14ac:dyDescent="0.25">
      <c r="A52" s="47" t="str">
        <f>IFERROR(MOD(SMALL(Cálculo!$O$2:$O$1001,ROWS(A$8:A52)),10000),"")</f>
        <v/>
      </c>
      <c r="B52" s="48" t="str">
        <f>IF($A52="","",IF(INDEX(Registro!$B$1:$B$1001,$A52)="","",INDEX(Registro!$B$1:$B$1001,$A52)))</f>
        <v/>
      </c>
      <c r="C52" s="49" t="str">
        <f>IF($A52="","",IF(INDEX(Registro!$C$1:$C$1001,$A52)="","",INDEX(Registro!$C$1:$C$1001,$A52)))</f>
        <v/>
      </c>
      <c r="D52" s="49" t="str">
        <f>IF($A52="","",IF(INDEX(Registro!$D$1:$D$1001,$A52)="","",INDEX(Registro!$D$1:$D$1001,$A52)))</f>
        <v/>
      </c>
      <c r="E52" s="120" t="str">
        <f>IF($A52="","",IF(INDEX(Registro!$E$1:$E$1001,$A52)="","",INDEX(Registro!$E$1:$E$1001,$A52)))</f>
        <v/>
      </c>
      <c r="F52" s="50" t="str">
        <f>IF($A52="","",IF(INDEX(Cálculo!$D$1:$D$1001,$A52)="","",INDEX(Cálculo!$D$1:$D$1001,$A52)))</f>
        <v/>
      </c>
      <c r="G52" s="52" t="str">
        <f>IF($A52="","",IF(INDEX(Cálculo!$E$1:$E$1001,$A52)="","",INDEX(Cálculo!$E$1:$E$1001,$A52)))</f>
        <v/>
      </c>
      <c r="H52" s="52" t="str">
        <f>IF($A52="","",IF(INDEX(Cálculo!$F$1:$F$1001,$A52)="","",INDEX(Cálculo!$F$1:$F$1001,$A52)))</f>
        <v/>
      </c>
      <c r="I52" s="57" t="str">
        <f>IF($A52="","",IF(INDEX(Cálculo!$G$1:$G$1001,$A52)="","",INDEX(Cálculo!$G$1:$G$1001,$A52)))</f>
        <v/>
      </c>
      <c r="J52" s="120" t="str">
        <f>IF($A52="","",IF(INDEX(Registro!$G$1:$G$1001,$A52)="","",INDEX(Registro!$G$1:$G$1001,$A52)))</f>
        <v/>
      </c>
      <c r="K52" s="50" t="str">
        <f>IF($A52="","",IF(INDEX(Cálculo!$H$1:$H$1001,$A52)="","",INDEX(Cálculo!$H$1:$H$1001,$A52)))</f>
        <v/>
      </c>
      <c r="L52" s="52" t="str">
        <f>IF($A52="","",IF(INDEX(Cálculo!$I$1:$I$1001,$A52)="","",INDEX(Cálculo!$I$1:$I$1001,$A52)))</f>
        <v/>
      </c>
      <c r="M52" s="49" t="str">
        <f>IF($A52="","",IF(INDEX(Cálculo!$J$1:$J$1001,$A52)="","",INDEX(Cálculo!$J$1:$J$1001,$A52)))</f>
        <v/>
      </c>
      <c r="N52" s="52" t="str">
        <f>IF($A52="","",IF(INDEX(Registro!$H$1:$H$1001,$A52)="","",INDEX(Registro!$H$1:$H$1001,$A52)))</f>
        <v/>
      </c>
      <c r="O52" s="120" t="str">
        <f>IF($A52="","",IF(INDEX(Registro!$I$1:$I$1001,$A52)="","",INDEX(Registro!$I$1:$I$1001,$A52)))</f>
        <v/>
      </c>
      <c r="P52" s="52" t="str">
        <f>IF($A52="","",IF(INDEX(Cálculo!$K$1:$K$1001,$A52)="","",INDEX(Cálculo!$K$1:$K$1001,$A52)))</f>
        <v/>
      </c>
      <c r="Q52" s="52" t="str">
        <f>IF($A52="","",IF(INDEX(Cálculo!$M$1:$M$1001,$A52)="","",INDEX(Cálculo!$M$1:$M$1001,$A52)))</f>
        <v/>
      </c>
      <c r="R52" s="120" t="str">
        <f>IF($A52="","",IF(INDEX(Registro!$J$1:$J$1001,$A52)="","",INDEX(Registro!$J$1:$J$1001,$A52)))</f>
        <v/>
      </c>
      <c r="S52" s="52" t="str">
        <f>IF($A52="","",IF(INDEX(Cálculo!$L$1:$L$1001,$A52)="","",INDEX(Cálculo!$L$1:$L$1001,$A52)))</f>
        <v/>
      </c>
      <c r="T52" s="54" t="str">
        <f>IF($A52="","",IF(INDEX(Cálculo!$N$1:$N$1001,$A52)="","",INDEX(Cálculo!$N$1:$N$1001,$A52)))</f>
        <v/>
      </c>
      <c r="U52" s="120" t="str">
        <f>IF($A52="","",IF(INDEX(Registro!$K$1:$K$1001,$A52)="","",INDEX(Registro!$K$1:$K$1001,$A52)))</f>
        <v/>
      </c>
    </row>
    <row r="53" spans="1:21" ht="15" customHeight="1" x14ac:dyDescent="0.25">
      <c r="A53" s="7" t="str">
        <f>IFERROR(MOD(SMALL(Cálculo!$O$2:$O$1001,ROWS(A$8:A53)),10000),"")</f>
        <v/>
      </c>
      <c r="B53" s="8" t="str">
        <f>IF($A53="","",IF(INDEX(Registro!$B$1:$B$1001,$A53)="","",INDEX(Registro!$B$1:$B$1001,$A53)))</f>
        <v/>
      </c>
      <c r="C53" s="9" t="str">
        <f>IF($A53="","",IF(INDEX(Registro!$C$1:$C$1001,$A53)="","",INDEX(Registro!$C$1:$C$1001,$A53)))</f>
        <v/>
      </c>
      <c r="D53" s="9" t="str">
        <f>IF($A53="","",IF(INDEX(Registro!$D$1:$D$1001,$A53)="","",INDEX(Registro!$D$1:$D$1001,$A53)))</f>
        <v/>
      </c>
      <c r="E53" s="15" t="str">
        <f>IF($A53="","",IF(INDEX(Registro!$E$1:$E$1001,$A53)="","",INDEX(Registro!$E$1:$E$1001,$A53)))</f>
        <v/>
      </c>
      <c r="F53" s="10" t="str">
        <f>IF($A53="","",IF(INDEX(Cálculo!$D$1:$D$1001,$A53)="","",INDEX(Cálculo!$D$1:$D$1001,$A53)))</f>
        <v/>
      </c>
      <c r="G53" s="53" t="str">
        <f>IF($A53="","",IF(INDEX(Cálculo!$E$1:$E$1001,$A53)="","",INDEX(Cálculo!$E$1:$E$1001,$A53)))</f>
        <v/>
      </c>
      <c r="H53" s="53" t="str">
        <f>IF($A53="","",IF(INDEX(Cálculo!$F$1:$F$1001,$A53)="","",INDEX(Cálculo!$F$1:$F$1001,$A53)))</f>
        <v/>
      </c>
      <c r="I53" s="58" t="str">
        <f>IF($A53="","",IF(INDEX(Cálculo!$G$1:$G$1001,$A53)="","",INDEX(Cálculo!$G$1:$G$1001,$A53)))</f>
        <v/>
      </c>
      <c r="J53" s="15" t="str">
        <f>IF($A53="","",IF(INDEX(Registro!$G$1:$G$1001,$A53)="","",INDEX(Registro!$G$1:$G$1001,$A53)))</f>
        <v/>
      </c>
      <c r="K53" s="10" t="str">
        <f>IF($A53="","",IF(INDEX(Cálculo!$H$1:$H$1001,$A53)="","",INDEX(Cálculo!$H$1:$H$1001,$A53)))</f>
        <v/>
      </c>
      <c r="L53" s="53" t="str">
        <f>IF($A53="","",IF(INDEX(Cálculo!$I$1:$I$1001,$A53)="","",INDEX(Cálculo!$I$1:$I$1001,$A53)))</f>
        <v/>
      </c>
      <c r="M53" s="9" t="str">
        <f>IF($A53="","",IF(INDEX(Cálculo!$J$1:$J$1001,$A53)="","",INDEX(Cálculo!$J$1:$J$1001,$A53)))</f>
        <v/>
      </c>
      <c r="N53" s="53" t="str">
        <f>IF($A53="","",IF(INDEX(Registro!$H$1:$H$1001,$A53)="","",INDEX(Registro!$H$1:$H$1001,$A53)))</f>
        <v/>
      </c>
      <c r="O53" s="15" t="str">
        <f>IF($A53="","",IF(INDEX(Registro!$I$1:$I$1001,$A53)="","",INDEX(Registro!$I$1:$I$1001,$A53)))</f>
        <v/>
      </c>
      <c r="P53" s="53" t="str">
        <f>IF($A53="","",IF(INDEX(Cálculo!$K$1:$K$1001,$A53)="","",INDEX(Cálculo!$K$1:$K$1001,$A53)))</f>
        <v/>
      </c>
      <c r="Q53" s="53" t="str">
        <f>IF($A53="","",IF(INDEX(Cálculo!$M$1:$M$1001,$A53)="","",INDEX(Cálculo!$M$1:$M$1001,$A53)))</f>
        <v/>
      </c>
      <c r="R53" s="15" t="str">
        <f>IF($A53="","",IF(INDEX(Registro!$J$1:$J$1001,$A53)="","",INDEX(Registro!$J$1:$J$1001,$A53)))</f>
        <v/>
      </c>
      <c r="S53" s="53" t="str">
        <f>IF($A53="","",IF(INDEX(Cálculo!$L$1:$L$1001,$A53)="","",INDEX(Cálculo!$L$1:$L$1001,$A53)))</f>
        <v/>
      </c>
      <c r="T53" s="55" t="str">
        <f>IF($A53="","",IF(INDEX(Cálculo!$N$1:$N$1001,$A53)="","",INDEX(Cálculo!$N$1:$N$1001,$A53)))</f>
        <v/>
      </c>
      <c r="U53" s="15" t="str">
        <f>IF($A53="","",IF(INDEX(Registro!$K$1:$K$1001,$A53)="","",INDEX(Registro!$K$1:$K$1001,$A53)))</f>
        <v/>
      </c>
    </row>
    <row r="54" spans="1:21" ht="15" customHeight="1" x14ac:dyDescent="0.25">
      <c r="A54" s="47" t="str">
        <f>IFERROR(MOD(SMALL(Cálculo!$O$2:$O$1001,ROWS(A$8:A54)),10000),"")</f>
        <v/>
      </c>
      <c r="B54" s="48" t="str">
        <f>IF($A54="","",IF(INDEX(Registro!$B$1:$B$1001,$A54)="","",INDEX(Registro!$B$1:$B$1001,$A54)))</f>
        <v/>
      </c>
      <c r="C54" s="49" t="str">
        <f>IF($A54="","",IF(INDEX(Registro!$C$1:$C$1001,$A54)="","",INDEX(Registro!$C$1:$C$1001,$A54)))</f>
        <v/>
      </c>
      <c r="D54" s="49" t="str">
        <f>IF($A54="","",IF(INDEX(Registro!$D$1:$D$1001,$A54)="","",INDEX(Registro!$D$1:$D$1001,$A54)))</f>
        <v/>
      </c>
      <c r="E54" s="120" t="str">
        <f>IF($A54="","",IF(INDEX(Registro!$E$1:$E$1001,$A54)="","",INDEX(Registro!$E$1:$E$1001,$A54)))</f>
        <v/>
      </c>
      <c r="F54" s="50" t="str">
        <f>IF($A54="","",IF(INDEX(Cálculo!$D$1:$D$1001,$A54)="","",INDEX(Cálculo!$D$1:$D$1001,$A54)))</f>
        <v/>
      </c>
      <c r="G54" s="52" t="str">
        <f>IF($A54="","",IF(INDEX(Cálculo!$E$1:$E$1001,$A54)="","",INDEX(Cálculo!$E$1:$E$1001,$A54)))</f>
        <v/>
      </c>
      <c r="H54" s="52" t="str">
        <f>IF($A54="","",IF(INDEX(Cálculo!$F$1:$F$1001,$A54)="","",INDEX(Cálculo!$F$1:$F$1001,$A54)))</f>
        <v/>
      </c>
      <c r="I54" s="57" t="str">
        <f>IF($A54="","",IF(INDEX(Cálculo!$G$1:$G$1001,$A54)="","",INDEX(Cálculo!$G$1:$G$1001,$A54)))</f>
        <v/>
      </c>
      <c r="J54" s="120" t="str">
        <f>IF($A54="","",IF(INDEX(Registro!$G$1:$G$1001,$A54)="","",INDEX(Registro!$G$1:$G$1001,$A54)))</f>
        <v/>
      </c>
      <c r="K54" s="50" t="str">
        <f>IF($A54="","",IF(INDEX(Cálculo!$H$1:$H$1001,$A54)="","",INDEX(Cálculo!$H$1:$H$1001,$A54)))</f>
        <v/>
      </c>
      <c r="L54" s="52" t="str">
        <f>IF($A54="","",IF(INDEX(Cálculo!$I$1:$I$1001,$A54)="","",INDEX(Cálculo!$I$1:$I$1001,$A54)))</f>
        <v/>
      </c>
      <c r="M54" s="49" t="str">
        <f>IF($A54="","",IF(INDEX(Cálculo!$J$1:$J$1001,$A54)="","",INDEX(Cálculo!$J$1:$J$1001,$A54)))</f>
        <v/>
      </c>
      <c r="N54" s="52" t="str">
        <f>IF($A54="","",IF(INDEX(Registro!$H$1:$H$1001,$A54)="","",INDEX(Registro!$H$1:$H$1001,$A54)))</f>
        <v/>
      </c>
      <c r="O54" s="120" t="str">
        <f>IF($A54="","",IF(INDEX(Registro!$I$1:$I$1001,$A54)="","",INDEX(Registro!$I$1:$I$1001,$A54)))</f>
        <v/>
      </c>
      <c r="P54" s="52" t="str">
        <f>IF($A54="","",IF(INDEX(Cálculo!$K$1:$K$1001,$A54)="","",INDEX(Cálculo!$K$1:$K$1001,$A54)))</f>
        <v/>
      </c>
      <c r="Q54" s="52" t="str">
        <f>IF($A54="","",IF(INDEX(Cálculo!$M$1:$M$1001,$A54)="","",INDEX(Cálculo!$M$1:$M$1001,$A54)))</f>
        <v/>
      </c>
      <c r="R54" s="120" t="str">
        <f>IF($A54="","",IF(INDEX(Registro!$J$1:$J$1001,$A54)="","",INDEX(Registro!$J$1:$J$1001,$A54)))</f>
        <v/>
      </c>
      <c r="S54" s="52" t="str">
        <f>IF($A54="","",IF(INDEX(Cálculo!$L$1:$L$1001,$A54)="","",INDEX(Cálculo!$L$1:$L$1001,$A54)))</f>
        <v/>
      </c>
      <c r="T54" s="54" t="str">
        <f>IF($A54="","",IF(INDEX(Cálculo!$N$1:$N$1001,$A54)="","",INDEX(Cálculo!$N$1:$N$1001,$A54)))</f>
        <v/>
      </c>
      <c r="U54" s="120" t="str">
        <f>IF($A54="","",IF(INDEX(Registro!$K$1:$K$1001,$A54)="","",INDEX(Registro!$K$1:$K$1001,$A54)))</f>
        <v/>
      </c>
    </row>
    <row r="55" spans="1:21" ht="15" customHeight="1" x14ac:dyDescent="0.25">
      <c r="A55" s="7" t="str">
        <f>IFERROR(MOD(SMALL(Cálculo!$O$2:$O$1001,ROWS(A$8:A55)),10000),"")</f>
        <v/>
      </c>
      <c r="B55" s="8" t="str">
        <f>IF($A55="","",IF(INDEX(Registro!$B$1:$B$1001,$A55)="","",INDEX(Registro!$B$1:$B$1001,$A55)))</f>
        <v/>
      </c>
      <c r="C55" s="9" t="str">
        <f>IF($A55="","",IF(INDEX(Registro!$C$1:$C$1001,$A55)="","",INDEX(Registro!$C$1:$C$1001,$A55)))</f>
        <v/>
      </c>
      <c r="D55" s="9" t="str">
        <f>IF($A55="","",IF(INDEX(Registro!$D$1:$D$1001,$A55)="","",INDEX(Registro!$D$1:$D$1001,$A55)))</f>
        <v/>
      </c>
      <c r="E55" s="15" t="str">
        <f>IF($A55="","",IF(INDEX(Registro!$E$1:$E$1001,$A55)="","",INDEX(Registro!$E$1:$E$1001,$A55)))</f>
        <v/>
      </c>
      <c r="F55" s="10" t="str">
        <f>IF($A55="","",IF(INDEX(Cálculo!$D$1:$D$1001,$A55)="","",INDEX(Cálculo!$D$1:$D$1001,$A55)))</f>
        <v/>
      </c>
      <c r="G55" s="53" t="str">
        <f>IF($A55="","",IF(INDEX(Cálculo!$E$1:$E$1001,$A55)="","",INDEX(Cálculo!$E$1:$E$1001,$A55)))</f>
        <v/>
      </c>
      <c r="H55" s="53" t="str">
        <f>IF($A55="","",IF(INDEX(Cálculo!$F$1:$F$1001,$A55)="","",INDEX(Cálculo!$F$1:$F$1001,$A55)))</f>
        <v/>
      </c>
      <c r="I55" s="58" t="str">
        <f>IF($A55="","",IF(INDEX(Cálculo!$G$1:$G$1001,$A55)="","",INDEX(Cálculo!$G$1:$G$1001,$A55)))</f>
        <v/>
      </c>
      <c r="J55" s="15" t="str">
        <f>IF($A55="","",IF(INDEX(Registro!$G$1:$G$1001,$A55)="","",INDEX(Registro!$G$1:$G$1001,$A55)))</f>
        <v/>
      </c>
      <c r="K55" s="10" t="str">
        <f>IF($A55="","",IF(INDEX(Cálculo!$H$1:$H$1001,$A55)="","",INDEX(Cálculo!$H$1:$H$1001,$A55)))</f>
        <v/>
      </c>
      <c r="L55" s="53" t="str">
        <f>IF($A55="","",IF(INDEX(Cálculo!$I$1:$I$1001,$A55)="","",INDEX(Cálculo!$I$1:$I$1001,$A55)))</f>
        <v/>
      </c>
      <c r="M55" s="9" t="str">
        <f>IF($A55="","",IF(INDEX(Cálculo!$J$1:$J$1001,$A55)="","",INDEX(Cálculo!$J$1:$J$1001,$A55)))</f>
        <v/>
      </c>
      <c r="N55" s="53" t="str">
        <f>IF($A55="","",IF(INDEX(Registro!$H$1:$H$1001,$A55)="","",INDEX(Registro!$H$1:$H$1001,$A55)))</f>
        <v/>
      </c>
      <c r="O55" s="15" t="str">
        <f>IF($A55="","",IF(INDEX(Registro!$I$1:$I$1001,$A55)="","",INDEX(Registro!$I$1:$I$1001,$A55)))</f>
        <v/>
      </c>
      <c r="P55" s="53" t="str">
        <f>IF($A55="","",IF(INDEX(Cálculo!$K$1:$K$1001,$A55)="","",INDEX(Cálculo!$K$1:$K$1001,$A55)))</f>
        <v/>
      </c>
      <c r="Q55" s="53" t="str">
        <f>IF($A55="","",IF(INDEX(Cálculo!$M$1:$M$1001,$A55)="","",INDEX(Cálculo!$M$1:$M$1001,$A55)))</f>
        <v/>
      </c>
      <c r="R55" s="15" t="str">
        <f>IF($A55="","",IF(INDEX(Registro!$J$1:$J$1001,$A55)="","",INDEX(Registro!$J$1:$J$1001,$A55)))</f>
        <v/>
      </c>
      <c r="S55" s="53" t="str">
        <f>IF($A55="","",IF(INDEX(Cálculo!$L$1:$L$1001,$A55)="","",INDEX(Cálculo!$L$1:$L$1001,$A55)))</f>
        <v/>
      </c>
      <c r="T55" s="55" t="str">
        <f>IF($A55="","",IF(INDEX(Cálculo!$N$1:$N$1001,$A55)="","",INDEX(Cálculo!$N$1:$N$1001,$A55)))</f>
        <v/>
      </c>
      <c r="U55" s="15" t="str">
        <f>IF($A55="","",IF(INDEX(Registro!$K$1:$K$1001,$A55)="","",INDEX(Registro!$K$1:$K$1001,$A55)))</f>
        <v/>
      </c>
    </row>
    <row r="56" spans="1:21" ht="15" customHeight="1" x14ac:dyDescent="0.25">
      <c r="A56" s="47" t="str">
        <f>IFERROR(MOD(SMALL(Cálculo!$O$2:$O$1001,ROWS(A$8:A56)),10000),"")</f>
        <v/>
      </c>
      <c r="B56" s="48" t="str">
        <f>IF($A56="","",IF(INDEX(Registro!$B$1:$B$1001,$A56)="","",INDEX(Registro!$B$1:$B$1001,$A56)))</f>
        <v/>
      </c>
      <c r="C56" s="49" t="str">
        <f>IF($A56="","",IF(INDEX(Registro!$C$1:$C$1001,$A56)="","",INDEX(Registro!$C$1:$C$1001,$A56)))</f>
        <v/>
      </c>
      <c r="D56" s="49" t="str">
        <f>IF($A56="","",IF(INDEX(Registro!$D$1:$D$1001,$A56)="","",INDEX(Registro!$D$1:$D$1001,$A56)))</f>
        <v/>
      </c>
      <c r="E56" s="120" t="str">
        <f>IF($A56="","",IF(INDEX(Registro!$E$1:$E$1001,$A56)="","",INDEX(Registro!$E$1:$E$1001,$A56)))</f>
        <v/>
      </c>
      <c r="F56" s="50" t="str">
        <f>IF($A56="","",IF(INDEX(Cálculo!$D$1:$D$1001,$A56)="","",INDEX(Cálculo!$D$1:$D$1001,$A56)))</f>
        <v/>
      </c>
      <c r="G56" s="52" t="str">
        <f>IF($A56="","",IF(INDEX(Cálculo!$E$1:$E$1001,$A56)="","",INDEX(Cálculo!$E$1:$E$1001,$A56)))</f>
        <v/>
      </c>
      <c r="H56" s="52" t="str">
        <f>IF($A56="","",IF(INDEX(Cálculo!$F$1:$F$1001,$A56)="","",INDEX(Cálculo!$F$1:$F$1001,$A56)))</f>
        <v/>
      </c>
      <c r="I56" s="57" t="str">
        <f>IF($A56="","",IF(INDEX(Cálculo!$G$1:$G$1001,$A56)="","",INDEX(Cálculo!$G$1:$G$1001,$A56)))</f>
        <v/>
      </c>
      <c r="J56" s="120" t="str">
        <f>IF($A56="","",IF(INDEX(Registro!$G$1:$G$1001,$A56)="","",INDEX(Registro!$G$1:$G$1001,$A56)))</f>
        <v/>
      </c>
      <c r="K56" s="50" t="str">
        <f>IF($A56="","",IF(INDEX(Cálculo!$H$1:$H$1001,$A56)="","",INDEX(Cálculo!$H$1:$H$1001,$A56)))</f>
        <v/>
      </c>
      <c r="L56" s="52" t="str">
        <f>IF($A56="","",IF(INDEX(Cálculo!$I$1:$I$1001,$A56)="","",INDEX(Cálculo!$I$1:$I$1001,$A56)))</f>
        <v/>
      </c>
      <c r="M56" s="49" t="str">
        <f>IF($A56="","",IF(INDEX(Cálculo!$J$1:$J$1001,$A56)="","",INDEX(Cálculo!$J$1:$J$1001,$A56)))</f>
        <v/>
      </c>
      <c r="N56" s="52" t="str">
        <f>IF($A56="","",IF(INDEX(Registro!$H$1:$H$1001,$A56)="","",INDEX(Registro!$H$1:$H$1001,$A56)))</f>
        <v/>
      </c>
      <c r="O56" s="120" t="str">
        <f>IF($A56="","",IF(INDEX(Registro!$I$1:$I$1001,$A56)="","",INDEX(Registro!$I$1:$I$1001,$A56)))</f>
        <v/>
      </c>
      <c r="P56" s="52" t="str">
        <f>IF($A56="","",IF(INDEX(Cálculo!$K$1:$K$1001,$A56)="","",INDEX(Cálculo!$K$1:$K$1001,$A56)))</f>
        <v/>
      </c>
      <c r="Q56" s="52" t="str">
        <f>IF($A56="","",IF(INDEX(Cálculo!$M$1:$M$1001,$A56)="","",INDEX(Cálculo!$M$1:$M$1001,$A56)))</f>
        <v/>
      </c>
      <c r="R56" s="120" t="str">
        <f>IF($A56="","",IF(INDEX(Registro!$J$1:$J$1001,$A56)="","",INDEX(Registro!$J$1:$J$1001,$A56)))</f>
        <v/>
      </c>
      <c r="S56" s="52" t="str">
        <f>IF($A56="","",IF(INDEX(Cálculo!$L$1:$L$1001,$A56)="","",INDEX(Cálculo!$L$1:$L$1001,$A56)))</f>
        <v/>
      </c>
      <c r="T56" s="54" t="str">
        <f>IF($A56="","",IF(INDEX(Cálculo!$N$1:$N$1001,$A56)="","",INDEX(Cálculo!$N$1:$N$1001,$A56)))</f>
        <v/>
      </c>
      <c r="U56" s="120" t="str">
        <f>IF($A56="","",IF(INDEX(Registro!$K$1:$K$1001,$A56)="","",INDEX(Registro!$K$1:$K$1001,$A56)))</f>
        <v/>
      </c>
    </row>
    <row r="57" spans="1:21" ht="15" customHeight="1" x14ac:dyDescent="0.25">
      <c r="A57" s="7" t="str">
        <f>IFERROR(MOD(SMALL(Cálculo!$O$2:$O$1001,ROWS(A$8:A57)),10000),"")</f>
        <v/>
      </c>
      <c r="B57" s="8" t="str">
        <f>IF($A57="","",IF(INDEX(Registro!$B$1:$B$1001,$A57)="","",INDEX(Registro!$B$1:$B$1001,$A57)))</f>
        <v/>
      </c>
      <c r="C57" s="9" t="str">
        <f>IF($A57="","",IF(INDEX(Registro!$C$1:$C$1001,$A57)="","",INDEX(Registro!$C$1:$C$1001,$A57)))</f>
        <v/>
      </c>
      <c r="D57" s="9" t="str">
        <f>IF($A57="","",IF(INDEX(Registro!$D$1:$D$1001,$A57)="","",INDEX(Registro!$D$1:$D$1001,$A57)))</f>
        <v/>
      </c>
      <c r="E57" s="15" t="str">
        <f>IF($A57="","",IF(INDEX(Registro!$E$1:$E$1001,$A57)="","",INDEX(Registro!$E$1:$E$1001,$A57)))</f>
        <v/>
      </c>
      <c r="F57" s="10" t="str">
        <f>IF($A57="","",IF(INDEX(Cálculo!$D$1:$D$1001,$A57)="","",INDEX(Cálculo!$D$1:$D$1001,$A57)))</f>
        <v/>
      </c>
      <c r="G57" s="53" t="str">
        <f>IF($A57="","",IF(INDEX(Cálculo!$E$1:$E$1001,$A57)="","",INDEX(Cálculo!$E$1:$E$1001,$A57)))</f>
        <v/>
      </c>
      <c r="H57" s="53" t="str">
        <f>IF($A57="","",IF(INDEX(Cálculo!$F$1:$F$1001,$A57)="","",INDEX(Cálculo!$F$1:$F$1001,$A57)))</f>
        <v/>
      </c>
      <c r="I57" s="58" t="str">
        <f>IF($A57="","",IF(INDEX(Cálculo!$G$1:$G$1001,$A57)="","",INDEX(Cálculo!$G$1:$G$1001,$A57)))</f>
        <v/>
      </c>
      <c r="J57" s="15" t="str">
        <f>IF($A57="","",IF(INDEX(Registro!$G$1:$G$1001,$A57)="","",INDEX(Registro!$G$1:$G$1001,$A57)))</f>
        <v/>
      </c>
      <c r="K57" s="10" t="str">
        <f>IF($A57="","",IF(INDEX(Cálculo!$H$1:$H$1001,$A57)="","",INDEX(Cálculo!$H$1:$H$1001,$A57)))</f>
        <v/>
      </c>
      <c r="L57" s="53" t="str">
        <f>IF($A57="","",IF(INDEX(Cálculo!$I$1:$I$1001,$A57)="","",INDEX(Cálculo!$I$1:$I$1001,$A57)))</f>
        <v/>
      </c>
      <c r="M57" s="9" t="str">
        <f>IF($A57="","",IF(INDEX(Cálculo!$J$1:$J$1001,$A57)="","",INDEX(Cálculo!$J$1:$J$1001,$A57)))</f>
        <v/>
      </c>
      <c r="N57" s="53" t="str">
        <f>IF($A57="","",IF(INDEX(Registro!$H$1:$H$1001,$A57)="","",INDEX(Registro!$H$1:$H$1001,$A57)))</f>
        <v/>
      </c>
      <c r="O57" s="15" t="str">
        <f>IF($A57="","",IF(INDEX(Registro!$I$1:$I$1001,$A57)="","",INDEX(Registro!$I$1:$I$1001,$A57)))</f>
        <v/>
      </c>
      <c r="P57" s="53" t="str">
        <f>IF($A57="","",IF(INDEX(Cálculo!$K$1:$K$1001,$A57)="","",INDEX(Cálculo!$K$1:$K$1001,$A57)))</f>
        <v/>
      </c>
      <c r="Q57" s="53" t="str">
        <f>IF($A57="","",IF(INDEX(Cálculo!$M$1:$M$1001,$A57)="","",INDEX(Cálculo!$M$1:$M$1001,$A57)))</f>
        <v/>
      </c>
      <c r="R57" s="15" t="str">
        <f>IF($A57="","",IF(INDEX(Registro!$J$1:$J$1001,$A57)="","",INDEX(Registro!$J$1:$J$1001,$A57)))</f>
        <v/>
      </c>
      <c r="S57" s="53" t="str">
        <f>IF($A57="","",IF(INDEX(Cálculo!$L$1:$L$1001,$A57)="","",INDEX(Cálculo!$L$1:$L$1001,$A57)))</f>
        <v/>
      </c>
      <c r="T57" s="55" t="str">
        <f>IF($A57="","",IF(INDEX(Cálculo!$N$1:$N$1001,$A57)="","",INDEX(Cálculo!$N$1:$N$1001,$A57)))</f>
        <v/>
      </c>
      <c r="U57" s="15" t="str">
        <f>IF($A57="","",IF(INDEX(Registro!$K$1:$K$1001,$A57)="","",INDEX(Registro!$K$1:$K$1001,$A57)))</f>
        <v/>
      </c>
    </row>
    <row r="58" spans="1:21" ht="15" customHeight="1" x14ac:dyDescent="0.25">
      <c r="A58" s="47" t="str">
        <f>IFERROR(MOD(SMALL(Cálculo!$O$2:$O$1001,ROWS(A$8:A58)),10000),"")</f>
        <v/>
      </c>
      <c r="B58" s="48" t="str">
        <f>IF($A58="","",IF(INDEX(Registro!$B$1:$B$1001,$A58)="","",INDEX(Registro!$B$1:$B$1001,$A58)))</f>
        <v/>
      </c>
      <c r="C58" s="49" t="str">
        <f>IF($A58="","",IF(INDEX(Registro!$C$1:$C$1001,$A58)="","",INDEX(Registro!$C$1:$C$1001,$A58)))</f>
        <v/>
      </c>
      <c r="D58" s="49" t="str">
        <f>IF($A58="","",IF(INDEX(Registro!$D$1:$D$1001,$A58)="","",INDEX(Registro!$D$1:$D$1001,$A58)))</f>
        <v/>
      </c>
      <c r="E58" s="120" t="str">
        <f>IF($A58="","",IF(INDEX(Registro!$E$1:$E$1001,$A58)="","",INDEX(Registro!$E$1:$E$1001,$A58)))</f>
        <v/>
      </c>
      <c r="F58" s="50" t="str">
        <f>IF($A58="","",IF(INDEX(Cálculo!$D$1:$D$1001,$A58)="","",INDEX(Cálculo!$D$1:$D$1001,$A58)))</f>
        <v/>
      </c>
      <c r="G58" s="52" t="str">
        <f>IF($A58="","",IF(INDEX(Cálculo!$E$1:$E$1001,$A58)="","",INDEX(Cálculo!$E$1:$E$1001,$A58)))</f>
        <v/>
      </c>
      <c r="H58" s="52" t="str">
        <f>IF($A58="","",IF(INDEX(Cálculo!$F$1:$F$1001,$A58)="","",INDEX(Cálculo!$F$1:$F$1001,$A58)))</f>
        <v/>
      </c>
      <c r="I58" s="57" t="str">
        <f>IF($A58="","",IF(INDEX(Cálculo!$G$1:$G$1001,$A58)="","",INDEX(Cálculo!$G$1:$G$1001,$A58)))</f>
        <v/>
      </c>
      <c r="J58" s="120" t="str">
        <f>IF($A58="","",IF(INDEX(Registro!$G$1:$G$1001,$A58)="","",INDEX(Registro!$G$1:$G$1001,$A58)))</f>
        <v/>
      </c>
      <c r="K58" s="50" t="str">
        <f>IF($A58="","",IF(INDEX(Cálculo!$H$1:$H$1001,$A58)="","",INDEX(Cálculo!$H$1:$H$1001,$A58)))</f>
        <v/>
      </c>
      <c r="L58" s="52" t="str">
        <f>IF($A58="","",IF(INDEX(Cálculo!$I$1:$I$1001,$A58)="","",INDEX(Cálculo!$I$1:$I$1001,$A58)))</f>
        <v/>
      </c>
      <c r="M58" s="49" t="str">
        <f>IF($A58="","",IF(INDEX(Cálculo!$J$1:$J$1001,$A58)="","",INDEX(Cálculo!$J$1:$J$1001,$A58)))</f>
        <v/>
      </c>
      <c r="N58" s="52" t="str">
        <f>IF($A58="","",IF(INDEX(Registro!$H$1:$H$1001,$A58)="","",INDEX(Registro!$H$1:$H$1001,$A58)))</f>
        <v/>
      </c>
      <c r="O58" s="120" t="str">
        <f>IF($A58="","",IF(INDEX(Registro!$I$1:$I$1001,$A58)="","",INDEX(Registro!$I$1:$I$1001,$A58)))</f>
        <v/>
      </c>
      <c r="P58" s="52" t="str">
        <f>IF($A58="","",IF(INDEX(Cálculo!$K$1:$K$1001,$A58)="","",INDEX(Cálculo!$K$1:$K$1001,$A58)))</f>
        <v/>
      </c>
      <c r="Q58" s="52" t="str">
        <f>IF($A58="","",IF(INDEX(Cálculo!$M$1:$M$1001,$A58)="","",INDEX(Cálculo!$M$1:$M$1001,$A58)))</f>
        <v/>
      </c>
      <c r="R58" s="120" t="str">
        <f>IF($A58="","",IF(INDEX(Registro!$J$1:$J$1001,$A58)="","",INDEX(Registro!$J$1:$J$1001,$A58)))</f>
        <v/>
      </c>
      <c r="S58" s="52" t="str">
        <f>IF($A58="","",IF(INDEX(Cálculo!$L$1:$L$1001,$A58)="","",INDEX(Cálculo!$L$1:$L$1001,$A58)))</f>
        <v/>
      </c>
      <c r="T58" s="54" t="str">
        <f>IF($A58="","",IF(INDEX(Cálculo!$N$1:$N$1001,$A58)="","",INDEX(Cálculo!$N$1:$N$1001,$A58)))</f>
        <v/>
      </c>
      <c r="U58" s="120" t="str">
        <f>IF($A58="","",IF(INDEX(Registro!$K$1:$K$1001,$A58)="","",INDEX(Registro!$K$1:$K$1001,$A58)))</f>
        <v/>
      </c>
    </row>
    <row r="59" spans="1:21" ht="15" customHeight="1" x14ac:dyDescent="0.25">
      <c r="A59" s="7" t="str">
        <f>IFERROR(MOD(SMALL(Cálculo!$O$2:$O$1001,ROWS(A$8:A59)),10000),"")</f>
        <v/>
      </c>
      <c r="B59" s="8" t="str">
        <f>IF($A59="","",IF(INDEX(Registro!$B$1:$B$1001,$A59)="","",INDEX(Registro!$B$1:$B$1001,$A59)))</f>
        <v/>
      </c>
      <c r="C59" s="9" t="str">
        <f>IF($A59="","",IF(INDEX(Registro!$C$1:$C$1001,$A59)="","",INDEX(Registro!$C$1:$C$1001,$A59)))</f>
        <v/>
      </c>
      <c r="D59" s="9" t="str">
        <f>IF($A59="","",IF(INDEX(Registro!$D$1:$D$1001,$A59)="","",INDEX(Registro!$D$1:$D$1001,$A59)))</f>
        <v/>
      </c>
      <c r="E59" s="15" t="str">
        <f>IF($A59="","",IF(INDEX(Registro!$E$1:$E$1001,$A59)="","",INDEX(Registro!$E$1:$E$1001,$A59)))</f>
        <v/>
      </c>
      <c r="F59" s="10" t="str">
        <f>IF($A59="","",IF(INDEX(Cálculo!$D$1:$D$1001,$A59)="","",INDEX(Cálculo!$D$1:$D$1001,$A59)))</f>
        <v/>
      </c>
      <c r="G59" s="53" t="str">
        <f>IF($A59="","",IF(INDEX(Cálculo!$E$1:$E$1001,$A59)="","",INDEX(Cálculo!$E$1:$E$1001,$A59)))</f>
        <v/>
      </c>
      <c r="H59" s="53" t="str">
        <f>IF($A59="","",IF(INDEX(Cálculo!$F$1:$F$1001,$A59)="","",INDEX(Cálculo!$F$1:$F$1001,$A59)))</f>
        <v/>
      </c>
      <c r="I59" s="58" t="str">
        <f>IF($A59="","",IF(INDEX(Cálculo!$G$1:$G$1001,$A59)="","",INDEX(Cálculo!$G$1:$G$1001,$A59)))</f>
        <v/>
      </c>
      <c r="J59" s="15" t="str">
        <f>IF($A59="","",IF(INDEX(Registro!$G$1:$G$1001,$A59)="","",INDEX(Registro!$G$1:$G$1001,$A59)))</f>
        <v/>
      </c>
      <c r="K59" s="10" t="str">
        <f>IF($A59="","",IF(INDEX(Cálculo!$H$1:$H$1001,$A59)="","",INDEX(Cálculo!$H$1:$H$1001,$A59)))</f>
        <v/>
      </c>
      <c r="L59" s="53" t="str">
        <f>IF($A59="","",IF(INDEX(Cálculo!$I$1:$I$1001,$A59)="","",INDEX(Cálculo!$I$1:$I$1001,$A59)))</f>
        <v/>
      </c>
      <c r="M59" s="9" t="str">
        <f>IF($A59="","",IF(INDEX(Cálculo!$J$1:$J$1001,$A59)="","",INDEX(Cálculo!$J$1:$J$1001,$A59)))</f>
        <v/>
      </c>
      <c r="N59" s="53" t="str">
        <f>IF($A59="","",IF(INDEX(Registro!$H$1:$H$1001,$A59)="","",INDEX(Registro!$H$1:$H$1001,$A59)))</f>
        <v/>
      </c>
      <c r="O59" s="15" t="str">
        <f>IF($A59="","",IF(INDEX(Registro!$I$1:$I$1001,$A59)="","",INDEX(Registro!$I$1:$I$1001,$A59)))</f>
        <v/>
      </c>
      <c r="P59" s="53" t="str">
        <f>IF($A59="","",IF(INDEX(Cálculo!$K$1:$K$1001,$A59)="","",INDEX(Cálculo!$K$1:$K$1001,$A59)))</f>
        <v/>
      </c>
      <c r="Q59" s="53" t="str">
        <f>IF($A59="","",IF(INDEX(Cálculo!$M$1:$M$1001,$A59)="","",INDEX(Cálculo!$M$1:$M$1001,$A59)))</f>
        <v/>
      </c>
      <c r="R59" s="15" t="str">
        <f>IF($A59="","",IF(INDEX(Registro!$J$1:$J$1001,$A59)="","",INDEX(Registro!$J$1:$J$1001,$A59)))</f>
        <v/>
      </c>
      <c r="S59" s="53" t="str">
        <f>IF($A59="","",IF(INDEX(Cálculo!$L$1:$L$1001,$A59)="","",INDEX(Cálculo!$L$1:$L$1001,$A59)))</f>
        <v/>
      </c>
      <c r="T59" s="55" t="str">
        <f>IF($A59="","",IF(INDEX(Cálculo!$N$1:$N$1001,$A59)="","",INDEX(Cálculo!$N$1:$N$1001,$A59)))</f>
        <v/>
      </c>
      <c r="U59" s="15" t="str">
        <f>IF($A59="","",IF(INDEX(Registro!$K$1:$K$1001,$A59)="","",INDEX(Registro!$K$1:$K$1001,$A59)))</f>
        <v/>
      </c>
    </row>
    <row r="60" spans="1:21" ht="15" customHeight="1" x14ac:dyDescent="0.25">
      <c r="A60" s="47" t="str">
        <f>IFERROR(MOD(SMALL(Cálculo!$O$2:$O$1001,ROWS(A$8:A60)),10000),"")</f>
        <v/>
      </c>
      <c r="B60" s="48" t="str">
        <f>IF($A60="","",IF(INDEX(Registro!$B$1:$B$1001,$A60)="","",INDEX(Registro!$B$1:$B$1001,$A60)))</f>
        <v/>
      </c>
      <c r="C60" s="49" t="str">
        <f>IF($A60="","",IF(INDEX(Registro!$C$1:$C$1001,$A60)="","",INDEX(Registro!$C$1:$C$1001,$A60)))</f>
        <v/>
      </c>
      <c r="D60" s="49" t="str">
        <f>IF($A60="","",IF(INDEX(Registro!$D$1:$D$1001,$A60)="","",INDEX(Registro!$D$1:$D$1001,$A60)))</f>
        <v/>
      </c>
      <c r="E60" s="120" t="str">
        <f>IF($A60="","",IF(INDEX(Registro!$E$1:$E$1001,$A60)="","",INDEX(Registro!$E$1:$E$1001,$A60)))</f>
        <v/>
      </c>
      <c r="F60" s="50" t="str">
        <f>IF($A60="","",IF(INDEX(Cálculo!$D$1:$D$1001,$A60)="","",INDEX(Cálculo!$D$1:$D$1001,$A60)))</f>
        <v/>
      </c>
      <c r="G60" s="52" t="str">
        <f>IF($A60="","",IF(INDEX(Cálculo!$E$1:$E$1001,$A60)="","",INDEX(Cálculo!$E$1:$E$1001,$A60)))</f>
        <v/>
      </c>
      <c r="H60" s="52" t="str">
        <f>IF($A60="","",IF(INDEX(Cálculo!$F$1:$F$1001,$A60)="","",INDEX(Cálculo!$F$1:$F$1001,$A60)))</f>
        <v/>
      </c>
      <c r="I60" s="57" t="str">
        <f>IF($A60="","",IF(INDEX(Cálculo!$G$1:$G$1001,$A60)="","",INDEX(Cálculo!$G$1:$G$1001,$A60)))</f>
        <v/>
      </c>
      <c r="J60" s="120" t="str">
        <f>IF($A60="","",IF(INDEX(Registro!$G$1:$G$1001,$A60)="","",INDEX(Registro!$G$1:$G$1001,$A60)))</f>
        <v/>
      </c>
      <c r="K60" s="50" t="str">
        <f>IF($A60="","",IF(INDEX(Cálculo!$H$1:$H$1001,$A60)="","",INDEX(Cálculo!$H$1:$H$1001,$A60)))</f>
        <v/>
      </c>
      <c r="L60" s="52" t="str">
        <f>IF($A60="","",IF(INDEX(Cálculo!$I$1:$I$1001,$A60)="","",INDEX(Cálculo!$I$1:$I$1001,$A60)))</f>
        <v/>
      </c>
      <c r="M60" s="49" t="str">
        <f>IF($A60="","",IF(INDEX(Cálculo!$J$1:$J$1001,$A60)="","",INDEX(Cálculo!$J$1:$J$1001,$A60)))</f>
        <v/>
      </c>
      <c r="N60" s="52" t="str">
        <f>IF($A60="","",IF(INDEX(Registro!$H$1:$H$1001,$A60)="","",INDEX(Registro!$H$1:$H$1001,$A60)))</f>
        <v/>
      </c>
      <c r="O60" s="120" t="str">
        <f>IF($A60="","",IF(INDEX(Registro!$I$1:$I$1001,$A60)="","",INDEX(Registro!$I$1:$I$1001,$A60)))</f>
        <v/>
      </c>
      <c r="P60" s="52" t="str">
        <f>IF($A60="","",IF(INDEX(Cálculo!$K$1:$K$1001,$A60)="","",INDEX(Cálculo!$K$1:$K$1001,$A60)))</f>
        <v/>
      </c>
      <c r="Q60" s="52" t="str">
        <f>IF($A60="","",IF(INDEX(Cálculo!$M$1:$M$1001,$A60)="","",INDEX(Cálculo!$M$1:$M$1001,$A60)))</f>
        <v/>
      </c>
      <c r="R60" s="120" t="str">
        <f>IF($A60="","",IF(INDEX(Registro!$J$1:$J$1001,$A60)="","",INDEX(Registro!$J$1:$J$1001,$A60)))</f>
        <v/>
      </c>
      <c r="S60" s="52" t="str">
        <f>IF($A60="","",IF(INDEX(Cálculo!$L$1:$L$1001,$A60)="","",INDEX(Cálculo!$L$1:$L$1001,$A60)))</f>
        <v/>
      </c>
      <c r="T60" s="54" t="str">
        <f>IF($A60="","",IF(INDEX(Cálculo!$N$1:$N$1001,$A60)="","",INDEX(Cálculo!$N$1:$N$1001,$A60)))</f>
        <v/>
      </c>
      <c r="U60" s="120" t="str">
        <f>IF($A60="","",IF(INDEX(Registro!$K$1:$K$1001,$A60)="","",INDEX(Registro!$K$1:$K$1001,$A60)))</f>
        <v/>
      </c>
    </row>
    <row r="61" spans="1:21" ht="15" customHeight="1" x14ac:dyDescent="0.25">
      <c r="A61" s="7" t="str">
        <f>IFERROR(MOD(SMALL(Cálculo!$O$2:$O$1001,ROWS(A$8:A61)),10000),"")</f>
        <v/>
      </c>
      <c r="B61" s="8" t="str">
        <f>IF($A61="","",IF(INDEX(Registro!$B$1:$B$1001,$A61)="","",INDEX(Registro!$B$1:$B$1001,$A61)))</f>
        <v/>
      </c>
      <c r="C61" s="9" t="str">
        <f>IF($A61="","",IF(INDEX(Registro!$C$1:$C$1001,$A61)="","",INDEX(Registro!$C$1:$C$1001,$A61)))</f>
        <v/>
      </c>
      <c r="D61" s="9" t="str">
        <f>IF($A61="","",IF(INDEX(Registro!$D$1:$D$1001,$A61)="","",INDEX(Registro!$D$1:$D$1001,$A61)))</f>
        <v/>
      </c>
      <c r="E61" s="15" t="str">
        <f>IF($A61="","",IF(INDEX(Registro!$E$1:$E$1001,$A61)="","",INDEX(Registro!$E$1:$E$1001,$A61)))</f>
        <v/>
      </c>
      <c r="F61" s="10" t="str">
        <f>IF($A61="","",IF(INDEX(Cálculo!$D$1:$D$1001,$A61)="","",INDEX(Cálculo!$D$1:$D$1001,$A61)))</f>
        <v/>
      </c>
      <c r="G61" s="53" t="str">
        <f>IF($A61="","",IF(INDEX(Cálculo!$E$1:$E$1001,$A61)="","",INDEX(Cálculo!$E$1:$E$1001,$A61)))</f>
        <v/>
      </c>
      <c r="H61" s="53" t="str">
        <f>IF($A61="","",IF(INDEX(Cálculo!$F$1:$F$1001,$A61)="","",INDEX(Cálculo!$F$1:$F$1001,$A61)))</f>
        <v/>
      </c>
      <c r="I61" s="58" t="str">
        <f>IF($A61="","",IF(INDEX(Cálculo!$G$1:$G$1001,$A61)="","",INDEX(Cálculo!$G$1:$G$1001,$A61)))</f>
        <v/>
      </c>
      <c r="J61" s="15" t="str">
        <f>IF($A61="","",IF(INDEX(Registro!$G$1:$G$1001,$A61)="","",INDEX(Registro!$G$1:$G$1001,$A61)))</f>
        <v/>
      </c>
      <c r="K61" s="10" t="str">
        <f>IF($A61="","",IF(INDEX(Cálculo!$H$1:$H$1001,$A61)="","",INDEX(Cálculo!$H$1:$H$1001,$A61)))</f>
        <v/>
      </c>
      <c r="L61" s="53" t="str">
        <f>IF($A61="","",IF(INDEX(Cálculo!$I$1:$I$1001,$A61)="","",INDEX(Cálculo!$I$1:$I$1001,$A61)))</f>
        <v/>
      </c>
      <c r="M61" s="9" t="str">
        <f>IF($A61="","",IF(INDEX(Cálculo!$J$1:$J$1001,$A61)="","",INDEX(Cálculo!$J$1:$J$1001,$A61)))</f>
        <v/>
      </c>
      <c r="N61" s="53" t="str">
        <f>IF($A61="","",IF(INDEX(Registro!$H$1:$H$1001,$A61)="","",INDEX(Registro!$H$1:$H$1001,$A61)))</f>
        <v/>
      </c>
      <c r="O61" s="15" t="str">
        <f>IF($A61="","",IF(INDEX(Registro!$I$1:$I$1001,$A61)="","",INDEX(Registro!$I$1:$I$1001,$A61)))</f>
        <v/>
      </c>
      <c r="P61" s="53" t="str">
        <f>IF($A61="","",IF(INDEX(Cálculo!$K$1:$K$1001,$A61)="","",INDEX(Cálculo!$K$1:$K$1001,$A61)))</f>
        <v/>
      </c>
      <c r="Q61" s="53" t="str">
        <f>IF($A61="","",IF(INDEX(Cálculo!$M$1:$M$1001,$A61)="","",INDEX(Cálculo!$M$1:$M$1001,$A61)))</f>
        <v/>
      </c>
      <c r="R61" s="15" t="str">
        <f>IF($A61="","",IF(INDEX(Registro!$J$1:$J$1001,$A61)="","",INDEX(Registro!$J$1:$J$1001,$A61)))</f>
        <v/>
      </c>
      <c r="S61" s="53" t="str">
        <f>IF($A61="","",IF(INDEX(Cálculo!$L$1:$L$1001,$A61)="","",INDEX(Cálculo!$L$1:$L$1001,$A61)))</f>
        <v/>
      </c>
      <c r="T61" s="55" t="str">
        <f>IF($A61="","",IF(INDEX(Cálculo!$N$1:$N$1001,$A61)="","",INDEX(Cálculo!$N$1:$N$1001,$A61)))</f>
        <v/>
      </c>
      <c r="U61" s="15" t="str">
        <f>IF($A61="","",IF(INDEX(Registro!$K$1:$K$1001,$A61)="","",INDEX(Registro!$K$1:$K$1001,$A61)))</f>
        <v/>
      </c>
    </row>
    <row r="62" spans="1:21" ht="15" customHeight="1" x14ac:dyDescent="0.25">
      <c r="A62" s="47" t="str">
        <f>IFERROR(MOD(SMALL(Cálculo!$O$2:$O$1001,ROWS(A$8:A62)),10000),"")</f>
        <v/>
      </c>
      <c r="B62" s="48" t="str">
        <f>IF($A62="","",IF(INDEX(Registro!$B$1:$B$1001,$A62)="","",INDEX(Registro!$B$1:$B$1001,$A62)))</f>
        <v/>
      </c>
      <c r="C62" s="49" t="str">
        <f>IF($A62="","",IF(INDEX(Registro!$C$1:$C$1001,$A62)="","",INDEX(Registro!$C$1:$C$1001,$A62)))</f>
        <v/>
      </c>
      <c r="D62" s="49" t="str">
        <f>IF($A62="","",IF(INDEX(Registro!$D$1:$D$1001,$A62)="","",INDEX(Registro!$D$1:$D$1001,$A62)))</f>
        <v/>
      </c>
      <c r="E62" s="120" t="str">
        <f>IF($A62="","",IF(INDEX(Registro!$E$1:$E$1001,$A62)="","",INDEX(Registro!$E$1:$E$1001,$A62)))</f>
        <v/>
      </c>
      <c r="F62" s="50" t="str">
        <f>IF($A62="","",IF(INDEX(Cálculo!$D$1:$D$1001,$A62)="","",INDEX(Cálculo!$D$1:$D$1001,$A62)))</f>
        <v/>
      </c>
      <c r="G62" s="52" t="str">
        <f>IF($A62="","",IF(INDEX(Cálculo!$E$1:$E$1001,$A62)="","",INDEX(Cálculo!$E$1:$E$1001,$A62)))</f>
        <v/>
      </c>
      <c r="H62" s="52" t="str">
        <f>IF($A62="","",IF(INDEX(Cálculo!$F$1:$F$1001,$A62)="","",INDEX(Cálculo!$F$1:$F$1001,$A62)))</f>
        <v/>
      </c>
      <c r="I62" s="57" t="str">
        <f>IF($A62="","",IF(INDEX(Cálculo!$G$1:$G$1001,$A62)="","",INDEX(Cálculo!$G$1:$G$1001,$A62)))</f>
        <v/>
      </c>
      <c r="J62" s="120" t="str">
        <f>IF($A62="","",IF(INDEX(Registro!$G$1:$G$1001,$A62)="","",INDEX(Registro!$G$1:$G$1001,$A62)))</f>
        <v/>
      </c>
      <c r="K62" s="50" t="str">
        <f>IF($A62="","",IF(INDEX(Cálculo!$H$1:$H$1001,$A62)="","",INDEX(Cálculo!$H$1:$H$1001,$A62)))</f>
        <v/>
      </c>
      <c r="L62" s="52" t="str">
        <f>IF($A62="","",IF(INDEX(Cálculo!$I$1:$I$1001,$A62)="","",INDEX(Cálculo!$I$1:$I$1001,$A62)))</f>
        <v/>
      </c>
      <c r="M62" s="49" t="str">
        <f>IF($A62="","",IF(INDEX(Cálculo!$J$1:$J$1001,$A62)="","",INDEX(Cálculo!$J$1:$J$1001,$A62)))</f>
        <v/>
      </c>
      <c r="N62" s="52" t="str">
        <f>IF($A62="","",IF(INDEX(Registro!$H$1:$H$1001,$A62)="","",INDEX(Registro!$H$1:$H$1001,$A62)))</f>
        <v/>
      </c>
      <c r="O62" s="120" t="str">
        <f>IF($A62="","",IF(INDEX(Registro!$I$1:$I$1001,$A62)="","",INDEX(Registro!$I$1:$I$1001,$A62)))</f>
        <v/>
      </c>
      <c r="P62" s="52" t="str">
        <f>IF($A62="","",IF(INDEX(Cálculo!$K$1:$K$1001,$A62)="","",INDEX(Cálculo!$K$1:$K$1001,$A62)))</f>
        <v/>
      </c>
      <c r="Q62" s="52" t="str">
        <f>IF($A62="","",IF(INDEX(Cálculo!$M$1:$M$1001,$A62)="","",INDEX(Cálculo!$M$1:$M$1001,$A62)))</f>
        <v/>
      </c>
      <c r="R62" s="120" t="str">
        <f>IF($A62="","",IF(INDEX(Registro!$J$1:$J$1001,$A62)="","",INDEX(Registro!$J$1:$J$1001,$A62)))</f>
        <v/>
      </c>
      <c r="S62" s="52" t="str">
        <f>IF($A62="","",IF(INDEX(Cálculo!$L$1:$L$1001,$A62)="","",INDEX(Cálculo!$L$1:$L$1001,$A62)))</f>
        <v/>
      </c>
      <c r="T62" s="54" t="str">
        <f>IF($A62="","",IF(INDEX(Cálculo!$N$1:$N$1001,$A62)="","",INDEX(Cálculo!$N$1:$N$1001,$A62)))</f>
        <v/>
      </c>
      <c r="U62" s="120" t="str">
        <f>IF($A62="","",IF(INDEX(Registro!$K$1:$K$1001,$A62)="","",INDEX(Registro!$K$1:$K$1001,$A62)))</f>
        <v/>
      </c>
    </row>
    <row r="63" spans="1:21" ht="15" customHeight="1" x14ac:dyDescent="0.25">
      <c r="A63" s="7" t="str">
        <f>IFERROR(MOD(SMALL(Cálculo!$O$2:$O$1001,ROWS(A$8:A63)),10000),"")</f>
        <v/>
      </c>
      <c r="B63" s="8" t="str">
        <f>IF($A63="","",IF(INDEX(Registro!$B$1:$B$1001,$A63)="","",INDEX(Registro!$B$1:$B$1001,$A63)))</f>
        <v/>
      </c>
      <c r="C63" s="9" t="str">
        <f>IF($A63="","",IF(INDEX(Registro!$C$1:$C$1001,$A63)="","",INDEX(Registro!$C$1:$C$1001,$A63)))</f>
        <v/>
      </c>
      <c r="D63" s="9" t="str">
        <f>IF($A63="","",IF(INDEX(Registro!$D$1:$D$1001,$A63)="","",INDEX(Registro!$D$1:$D$1001,$A63)))</f>
        <v/>
      </c>
      <c r="E63" s="15" t="str">
        <f>IF($A63="","",IF(INDEX(Registro!$E$1:$E$1001,$A63)="","",INDEX(Registro!$E$1:$E$1001,$A63)))</f>
        <v/>
      </c>
      <c r="F63" s="10" t="str">
        <f>IF($A63="","",IF(INDEX(Cálculo!$D$1:$D$1001,$A63)="","",INDEX(Cálculo!$D$1:$D$1001,$A63)))</f>
        <v/>
      </c>
      <c r="G63" s="53" t="str">
        <f>IF($A63="","",IF(INDEX(Cálculo!$E$1:$E$1001,$A63)="","",INDEX(Cálculo!$E$1:$E$1001,$A63)))</f>
        <v/>
      </c>
      <c r="H63" s="53" t="str">
        <f>IF($A63="","",IF(INDEX(Cálculo!$F$1:$F$1001,$A63)="","",INDEX(Cálculo!$F$1:$F$1001,$A63)))</f>
        <v/>
      </c>
      <c r="I63" s="58" t="str">
        <f>IF($A63="","",IF(INDEX(Cálculo!$G$1:$G$1001,$A63)="","",INDEX(Cálculo!$G$1:$G$1001,$A63)))</f>
        <v/>
      </c>
      <c r="J63" s="15" t="str">
        <f>IF($A63="","",IF(INDEX(Registro!$G$1:$G$1001,$A63)="","",INDEX(Registro!$G$1:$G$1001,$A63)))</f>
        <v/>
      </c>
      <c r="K63" s="10" t="str">
        <f>IF($A63="","",IF(INDEX(Cálculo!$H$1:$H$1001,$A63)="","",INDEX(Cálculo!$H$1:$H$1001,$A63)))</f>
        <v/>
      </c>
      <c r="L63" s="53" t="str">
        <f>IF($A63="","",IF(INDEX(Cálculo!$I$1:$I$1001,$A63)="","",INDEX(Cálculo!$I$1:$I$1001,$A63)))</f>
        <v/>
      </c>
      <c r="M63" s="9" t="str">
        <f>IF($A63="","",IF(INDEX(Cálculo!$J$1:$J$1001,$A63)="","",INDEX(Cálculo!$J$1:$J$1001,$A63)))</f>
        <v/>
      </c>
      <c r="N63" s="53" t="str">
        <f>IF($A63="","",IF(INDEX(Registro!$H$1:$H$1001,$A63)="","",INDEX(Registro!$H$1:$H$1001,$A63)))</f>
        <v/>
      </c>
      <c r="O63" s="15" t="str">
        <f>IF($A63="","",IF(INDEX(Registro!$I$1:$I$1001,$A63)="","",INDEX(Registro!$I$1:$I$1001,$A63)))</f>
        <v/>
      </c>
      <c r="P63" s="53" t="str">
        <f>IF($A63="","",IF(INDEX(Cálculo!$K$1:$K$1001,$A63)="","",INDEX(Cálculo!$K$1:$K$1001,$A63)))</f>
        <v/>
      </c>
      <c r="Q63" s="53" t="str">
        <f>IF($A63="","",IF(INDEX(Cálculo!$M$1:$M$1001,$A63)="","",INDEX(Cálculo!$M$1:$M$1001,$A63)))</f>
        <v/>
      </c>
      <c r="R63" s="15" t="str">
        <f>IF($A63="","",IF(INDEX(Registro!$J$1:$J$1001,$A63)="","",INDEX(Registro!$J$1:$J$1001,$A63)))</f>
        <v/>
      </c>
      <c r="S63" s="53" t="str">
        <f>IF($A63="","",IF(INDEX(Cálculo!$L$1:$L$1001,$A63)="","",INDEX(Cálculo!$L$1:$L$1001,$A63)))</f>
        <v/>
      </c>
      <c r="T63" s="55" t="str">
        <f>IF($A63="","",IF(INDEX(Cálculo!$N$1:$N$1001,$A63)="","",INDEX(Cálculo!$N$1:$N$1001,$A63)))</f>
        <v/>
      </c>
      <c r="U63" s="15" t="str">
        <f>IF($A63="","",IF(INDEX(Registro!$K$1:$K$1001,$A63)="","",INDEX(Registro!$K$1:$K$1001,$A63)))</f>
        <v/>
      </c>
    </row>
    <row r="64" spans="1:21" ht="15" customHeight="1" x14ac:dyDescent="0.25">
      <c r="A64" s="47" t="str">
        <f>IFERROR(MOD(SMALL(Cálculo!$O$2:$O$1001,ROWS(A$8:A64)),10000),"")</f>
        <v/>
      </c>
      <c r="B64" s="48" t="str">
        <f>IF($A64="","",IF(INDEX(Registro!$B$1:$B$1001,$A64)="","",INDEX(Registro!$B$1:$B$1001,$A64)))</f>
        <v/>
      </c>
      <c r="C64" s="49" t="str">
        <f>IF($A64="","",IF(INDEX(Registro!$C$1:$C$1001,$A64)="","",INDEX(Registro!$C$1:$C$1001,$A64)))</f>
        <v/>
      </c>
      <c r="D64" s="49" t="str">
        <f>IF($A64="","",IF(INDEX(Registro!$D$1:$D$1001,$A64)="","",INDEX(Registro!$D$1:$D$1001,$A64)))</f>
        <v/>
      </c>
      <c r="E64" s="120" t="str">
        <f>IF($A64="","",IF(INDEX(Registro!$E$1:$E$1001,$A64)="","",INDEX(Registro!$E$1:$E$1001,$A64)))</f>
        <v/>
      </c>
      <c r="F64" s="50" t="str">
        <f>IF($A64="","",IF(INDEX(Cálculo!$D$1:$D$1001,$A64)="","",INDEX(Cálculo!$D$1:$D$1001,$A64)))</f>
        <v/>
      </c>
      <c r="G64" s="52" t="str">
        <f>IF($A64="","",IF(INDEX(Cálculo!$E$1:$E$1001,$A64)="","",INDEX(Cálculo!$E$1:$E$1001,$A64)))</f>
        <v/>
      </c>
      <c r="H64" s="52" t="str">
        <f>IF($A64="","",IF(INDEX(Cálculo!$F$1:$F$1001,$A64)="","",INDEX(Cálculo!$F$1:$F$1001,$A64)))</f>
        <v/>
      </c>
      <c r="I64" s="57" t="str">
        <f>IF($A64="","",IF(INDEX(Cálculo!$G$1:$G$1001,$A64)="","",INDEX(Cálculo!$G$1:$G$1001,$A64)))</f>
        <v/>
      </c>
      <c r="J64" s="120" t="str">
        <f>IF($A64="","",IF(INDEX(Registro!$G$1:$G$1001,$A64)="","",INDEX(Registro!$G$1:$G$1001,$A64)))</f>
        <v/>
      </c>
      <c r="K64" s="50" t="str">
        <f>IF($A64="","",IF(INDEX(Cálculo!$H$1:$H$1001,$A64)="","",INDEX(Cálculo!$H$1:$H$1001,$A64)))</f>
        <v/>
      </c>
      <c r="L64" s="52" t="str">
        <f>IF($A64="","",IF(INDEX(Cálculo!$I$1:$I$1001,$A64)="","",INDEX(Cálculo!$I$1:$I$1001,$A64)))</f>
        <v/>
      </c>
      <c r="M64" s="49" t="str">
        <f>IF($A64="","",IF(INDEX(Cálculo!$J$1:$J$1001,$A64)="","",INDEX(Cálculo!$J$1:$J$1001,$A64)))</f>
        <v/>
      </c>
      <c r="N64" s="52" t="str">
        <f>IF($A64="","",IF(INDEX(Registro!$H$1:$H$1001,$A64)="","",INDEX(Registro!$H$1:$H$1001,$A64)))</f>
        <v/>
      </c>
      <c r="O64" s="120" t="str">
        <f>IF($A64="","",IF(INDEX(Registro!$I$1:$I$1001,$A64)="","",INDEX(Registro!$I$1:$I$1001,$A64)))</f>
        <v/>
      </c>
      <c r="P64" s="52" t="str">
        <f>IF($A64="","",IF(INDEX(Cálculo!$K$1:$K$1001,$A64)="","",INDEX(Cálculo!$K$1:$K$1001,$A64)))</f>
        <v/>
      </c>
      <c r="Q64" s="52" t="str">
        <f>IF($A64="","",IF(INDEX(Cálculo!$M$1:$M$1001,$A64)="","",INDEX(Cálculo!$M$1:$M$1001,$A64)))</f>
        <v/>
      </c>
      <c r="R64" s="120" t="str">
        <f>IF($A64="","",IF(INDEX(Registro!$J$1:$J$1001,$A64)="","",INDEX(Registro!$J$1:$J$1001,$A64)))</f>
        <v/>
      </c>
      <c r="S64" s="52" t="str">
        <f>IF($A64="","",IF(INDEX(Cálculo!$L$1:$L$1001,$A64)="","",INDEX(Cálculo!$L$1:$L$1001,$A64)))</f>
        <v/>
      </c>
      <c r="T64" s="54" t="str">
        <f>IF($A64="","",IF(INDEX(Cálculo!$N$1:$N$1001,$A64)="","",INDEX(Cálculo!$N$1:$N$1001,$A64)))</f>
        <v/>
      </c>
      <c r="U64" s="120" t="str">
        <f>IF($A64="","",IF(INDEX(Registro!$K$1:$K$1001,$A64)="","",INDEX(Registro!$K$1:$K$1001,$A64)))</f>
        <v/>
      </c>
    </row>
    <row r="65" spans="1:21" ht="15" customHeight="1" x14ac:dyDescent="0.25">
      <c r="A65" s="7" t="str">
        <f>IFERROR(MOD(SMALL(Cálculo!$O$2:$O$1001,ROWS(A$8:A65)),10000),"")</f>
        <v/>
      </c>
      <c r="B65" s="8" t="str">
        <f>IF($A65="","",IF(INDEX(Registro!$B$1:$B$1001,$A65)="","",INDEX(Registro!$B$1:$B$1001,$A65)))</f>
        <v/>
      </c>
      <c r="C65" s="9" t="str">
        <f>IF($A65="","",IF(INDEX(Registro!$C$1:$C$1001,$A65)="","",INDEX(Registro!$C$1:$C$1001,$A65)))</f>
        <v/>
      </c>
      <c r="D65" s="9" t="str">
        <f>IF($A65="","",IF(INDEX(Registro!$D$1:$D$1001,$A65)="","",INDEX(Registro!$D$1:$D$1001,$A65)))</f>
        <v/>
      </c>
      <c r="E65" s="15" t="str">
        <f>IF($A65="","",IF(INDEX(Registro!$E$1:$E$1001,$A65)="","",INDEX(Registro!$E$1:$E$1001,$A65)))</f>
        <v/>
      </c>
      <c r="F65" s="10" t="str">
        <f>IF($A65="","",IF(INDEX(Cálculo!$D$1:$D$1001,$A65)="","",INDEX(Cálculo!$D$1:$D$1001,$A65)))</f>
        <v/>
      </c>
      <c r="G65" s="53" t="str">
        <f>IF($A65="","",IF(INDEX(Cálculo!$E$1:$E$1001,$A65)="","",INDEX(Cálculo!$E$1:$E$1001,$A65)))</f>
        <v/>
      </c>
      <c r="H65" s="53" t="str">
        <f>IF($A65="","",IF(INDEX(Cálculo!$F$1:$F$1001,$A65)="","",INDEX(Cálculo!$F$1:$F$1001,$A65)))</f>
        <v/>
      </c>
      <c r="I65" s="58" t="str">
        <f>IF($A65="","",IF(INDEX(Cálculo!$G$1:$G$1001,$A65)="","",INDEX(Cálculo!$G$1:$G$1001,$A65)))</f>
        <v/>
      </c>
      <c r="J65" s="15" t="str">
        <f>IF($A65="","",IF(INDEX(Registro!$G$1:$G$1001,$A65)="","",INDEX(Registro!$G$1:$G$1001,$A65)))</f>
        <v/>
      </c>
      <c r="K65" s="10" t="str">
        <f>IF($A65="","",IF(INDEX(Cálculo!$H$1:$H$1001,$A65)="","",INDEX(Cálculo!$H$1:$H$1001,$A65)))</f>
        <v/>
      </c>
      <c r="L65" s="53" t="str">
        <f>IF($A65="","",IF(INDEX(Cálculo!$I$1:$I$1001,$A65)="","",INDEX(Cálculo!$I$1:$I$1001,$A65)))</f>
        <v/>
      </c>
      <c r="M65" s="9" t="str">
        <f>IF($A65="","",IF(INDEX(Cálculo!$J$1:$J$1001,$A65)="","",INDEX(Cálculo!$J$1:$J$1001,$A65)))</f>
        <v/>
      </c>
      <c r="N65" s="53" t="str">
        <f>IF($A65="","",IF(INDEX(Registro!$H$1:$H$1001,$A65)="","",INDEX(Registro!$H$1:$H$1001,$A65)))</f>
        <v/>
      </c>
      <c r="O65" s="15" t="str">
        <f>IF($A65="","",IF(INDEX(Registro!$I$1:$I$1001,$A65)="","",INDEX(Registro!$I$1:$I$1001,$A65)))</f>
        <v/>
      </c>
      <c r="P65" s="53" t="str">
        <f>IF($A65="","",IF(INDEX(Cálculo!$K$1:$K$1001,$A65)="","",INDEX(Cálculo!$K$1:$K$1001,$A65)))</f>
        <v/>
      </c>
      <c r="Q65" s="53" t="str">
        <f>IF($A65="","",IF(INDEX(Cálculo!$M$1:$M$1001,$A65)="","",INDEX(Cálculo!$M$1:$M$1001,$A65)))</f>
        <v/>
      </c>
      <c r="R65" s="15" t="str">
        <f>IF($A65="","",IF(INDEX(Registro!$J$1:$J$1001,$A65)="","",INDEX(Registro!$J$1:$J$1001,$A65)))</f>
        <v/>
      </c>
      <c r="S65" s="53" t="str">
        <f>IF($A65="","",IF(INDEX(Cálculo!$L$1:$L$1001,$A65)="","",INDEX(Cálculo!$L$1:$L$1001,$A65)))</f>
        <v/>
      </c>
      <c r="T65" s="55" t="str">
        <f>IF($A65="","",IF(INDEX(Cálculo!$N$1:$N$1001,$A65)="","",INDEX(Cálculo!$N$1:$N$1001,$A65)))</f>
        <v/>
      </c>
      <c r="U65" s="15" t="str">
        <f>IF($A65="","",IF(INDEX(Registro!$K$1:$K$1001,$A65)="","",INDEX(Registro!$K$1:$K$1001,$A65)))</f>
        <v/>
      </c>
    </row>
    <row r="66" spans="1:21" ht="15" customHeight="1" x14ac:dyDescent="0.25">
      <c r="A66" s="47" t="str">
        <f>IFERROR(MOD(SMALL(Cálculo!$O$2:$O$1001,ROWS(A$8:A66)),10000),"")</f>
        <v/>
      </c>
      <c r="B66" s="48" t="str">
        <f>IF($A66="","",IF(INDEX(Registro!$B$1:$B$1001,$A66)="","",INDEX(Registro!$B$1:$B$1001,$A66)))</f>
        <v/>
      </c>
      <c r="C66" s="49" t="str">
        <f>IF($A66="","",IF(INDEX(Registro!$C$1:$C$1001,$A66)="","",INDEX(Registro!$C$1:$C$1001,$A66)))</f>
        <v/>
      </c>
      <c r="D66" s="49" t="str">
        <f>IF($A66="","",IF(INDEX(Registro!$D$1:$D$1001,$A66)="","",INDEX(Registro!$D$1:$D$1001,$A66)))</f>
        <v/>
      </c>
      <c r="E66" s="120" t="str">
        <f>IF($A66="","",IF(INDEX(Registro!$E$1:$E$1001,$A66)="","",INDEX(Registro!$E$1:$E$1001,$A66)))</f>
        <v/>
      </c>
      <c r="F66" s="50" t="str">
        <f>IF($A66="","",IF(INDEX(Cálculo!$D$1:$D$1001,$A66)="","",INDEX(Cálculo!$D$1:$D$1001,$A66)))</f>
        <v/>
      </c>
      <c r="G66" s="52" t="str">
        <f>IF($A66="","",IF(INDEX(Cálculo!$E$1:$E$1001,$A66)="","",INDEX(Cálculo!$E$1:$E$1001,$A66)))</f>
        <v/>
      </c>
      <c r="H66" s="52" t="str">
        <f>IF($A66="","",IF(INDEX(Cálculo!$F$1:$F$1001,$A66)="","",INDEX(Cálculo!$F$1:$F$1001,$A66)))</f>
        <v/>
      </c>
      <c r="I66" s="57" t="str">
        <f>IF($A66="","",IF(INDEX(Cálculo!$G$1:$G$1001,$A66)="","",INDEX(Cálculo!$G$1:$G$1001,$A66)))</f>
        <v/>
      </c>
      <c r="J66" s="120" t="str">
        <f>IF($A66="","",IF(INDEX(Registro!$G$1:$G$1001,$A66)="","",INDEX(Registro!$G$1:$G$1001,$A66)))</f>
        <v/>
      </c>
      <c r="K66" s="50" t="str">
        <f>IF($A66="","",IF(INDEX(Cálculo!$H$1:$H$1001,$A66)="","",INDEX(Cálculo!$H$1:$H$1001,$A66)))</f>
        <v/>
      </c>
      <c r="L66" s="52" t="str">
        <f>IF($A66="","",IF(INDEX(Cálculo!$I$1:$I$1001,$A66)="","",INDEX(Cálculo!$I$1:$I$1001,$A66)))</f>
        <v/>
      </c>
      <c r="M66" s="49" t="str">
        <f>IF($A66="","",IF(INDEX(Cálculo!$J$1:$J$1001,$A66)="","",INDEX(Cálculo!$J$1:$J$1001,$A66)))</f>
        <v/>
      </c>
      <c r="N66" s="52" t="str">
        <f>IF($A66="","",IF(INDEX(Registro!$H$1:$H$1001,$A66)="","",INDEX(Registro!$H$1:$H$1001,$A66)))</f>
        <v/>
      </c>
      <c r="O66" s="120" t="str">
        <f>IF($A66="","",IF(INDEX(Registro!$I$1:$I$1001,$A66)="","",INDEX(Registro!$I$1:$I$1001,$A66)))</f>
        <v/>
      </c>
      <c r="P66" s="52" t="str">
        <f>IF($A66="","",IF(INDEX(Cálculo!$K$1:$K$1001,$A66)="","",INDEX(Cálculo!$K$1:$K$1001,$A66)))</f>
        <v/>
      </c>
      <c r="Q66" s="52" t="str">
        <f>IF($A66="","",IF(INDEX(Cálculo!$M$1:$M$1001,$A66)="","",INDEX(Cálculo!$M$1:$M$1001,$A66)))</f>
        <v/>
      </c>
      <c r="R66" s="120" t="str">
        <f>IF($A66="","",IF(INDEX(Registro!$J$1:$J$1001,$A66)="","",INDEX(Registro!$J$1:$J$1001,$A66)))</f>
        <v/>
      </c>
      <c r="S66" s="52" t="str">
        <f>IF($A66="","",IF(INDEX(Cálculo!$L$1:$L$1001,$A66)="","",INDEX(Cálculo!$L$1:$L$1001,$A66)))</f>
        <v/>
      </c>
      <c r="T66" s="54" t="str">
        <f>IF($A66="","",IF(INDEX(Cálculo!$N$1:$N$1001,$A66)="","",INDEX(Cálculo!$N$1:$N$1001,$A66)))</f>
        <v/>
      </c>
      <c r="U66" s="120" t="str">
        <f>IF($A66="","",IF(INDEX(Registro!$K$1:$K$1001,$A66)="","",INDEX(Registro!$K$1:$K$1001,$A66)))</f>
        <v/>
      </c>
    </row>
    <row r="67" spans="1:21" ht="15" customHeight="1" x14ac:dyDescent="0.25">
      <c r="A67" s="7" t="str">
        <f>IFERROR(MOD(SMALL(Cálculo!$O$2:$O$1001,ROWS(A$8:A67)),10000),"")</f>
        <v/>
      </c>
      <c r="B67" s="8" t="str">
        <f>IF($A67="","",IF(INDEX(Registro!$B$1:$B$1001,$A67)="","",INDEX(Registro!$B$1:$B$1001,$A67)))</f>
        <v/>
      </c>
      <c r="C67" s="9" t="str">
        <f>IF($A67="","",IF(INDEX(Registro!$C$1:$C$1001,$A67)="","",INDEX(Registro!$C$1:$C$1001,$A67)))</f>
        <v/>
      </c>
      <c r="D67" s="9" t="str">
        <f>IF($A67="","",IF(INDEX(Registro!$D$1:$D$1001,$A67)="","",INDEX(Registro!$D$1:$D$1001,$A67)))</f>
        <v/>
      </c>
      <c r="E67" s="15" t="str">
        <f>IF($A67="","",IF(INDEX(Registro!$E$1:$E$1001,$A67)="","",INDEX(Registro!$E$1:$E$1001,$A67)))</f>
        <v/>
      </c>
      <c r="F67" s="10" t="str">
        <f>IF($A67="","",IF(INDEX(Cálculo!$D$1:$D$1001,$A67)="","",INDEX(Cálculo!$D$1:$D$1001,$A67)))</f>
        <v/>
      </c>
      <c r="G67" s="53" t="str">
        <f>IF($A67="","",IF(INDEX(Cálculo!$E$1:$E$1001,$A67)="","",INDEX(Cálculo!$E$1:$E$1001,$A67)))</f>
        <v/>
      </c>
      <c r="H67" s="53" t="str">
        <f>IF($A67="","",IF(INDEX(Cálculo!$F$1:$F$1001,$A67)="","",INDEX(Cálculo!$F$1:$F$1001,$A67)))</f>
        <v/>
      </c>
      <c r="I67" s="58" t="str">
        <f>IF($A67="","",IF(INDEX(Cálculo!$G$1:$G$1001,$A67)="","",INDEX(Cálculo!$G$1:$G$1001,$A67)))</f>
        <v/>
      </c>
      <c r="J67" s="15" t="str">
        <f>IF($A67="","",IF(INDEX(Registro!$G$1:$G$1001,$A67)="","",INDEX(Registro!$G$1:$G$1001,$A67)))</f>
        <v/>
      </c>
      <c r="K67" s="10" t="str">
        <f>IF($A67="","",IF(INDEX(Cálculo!$H$1:$H$1001,$A67)="","",INDEX(Cálculo!$H$1:$H$1001,$A67)))</f>
        <v/>
      </c>
      <c r="L67" s="53" t="str">
        <f>IF($A67="","",IF(INDEX(Cálculo!$I$1:$I$1001,$A67)="","",INDEX(Cálculo!$I$1:$I$1001,$A67)))</f>
        <v/>
      </c>
      <c r="M67" s="9" t="str">
        <f>IF($A67="","",IF(INDEX(Cálculo!$J$1:$J$1001,$A67)="","",INDEX(Cálculo!$J$1:$J$1001,$A67)))</f>
        <v/>
      </c>
      <c r="N67" s="53" t="str">
        <f>IF($A67="","",IF(INDEX(Registro!$H$1:$H$1001,$A67)="","",INDEX(Registro!$H$1:$H$1001,$A67)))</f>
        <v/>
      </c>
      <c r="O67" s="15" t="str">
        <f>IF($A67="","",IF(INDEX(Registro!$I$1:$I$1001,$A67)="","",INDEX(Registro!$I$1:$I$1001,$A67)))</f>
        <v/>
      </c>
      <c r="P67" s="53" t="str">
        <f>IF($A67="","",IF(INDEX(Cálculo!$K$1:$K$1001,$A67)="","",INDEX(Cálculo!$K$1:$K$1001,$A67)))</f>
        <v/>
      </c>
      <c r="Q67" s="53" t="str">
        <f>IF($A67="","",IF(INDEX(Cálculo!$M$1:$M$1001,$A67)="","",INDEX(Cálculo!$M$1:$M$1001,$A67)))</f>
        <v/>
      </c>
      <c r="R67" s="15" t="str">
        <f>IF($A67="","",IF(INDEX(Registro!$J$1:$J$1001,$A67)="","",INDEX(Registro!$J$1:$J$1001,$A67)))</f>
        <v/>
      </c>
      <c r="S67" s="53" t="str">
        <f>IF($A67="","",IF(INDEX(Cálculo!$L$1:$L$1001,$A67)="","",INDEX(Cálculo!$L$1:$L$1001,$A67)))</f>
        <v/>
      </c>
      <c r="T67" s="55" t="str">
        <f>IF($A67="","",IF(INDEX(Cálculo!$N$1:$N$1001,$A67)="","",INDEX(Cálculo!$N$1:$N$1001,$A67)))</f>
        <v/>
      </c>
      <c r="U67" s="15" t="str">
        <f>IF($A67="","",IF(INDEX(Registro!$K$1:$K$1001,$A67)="","",INDEX(Registro!$K$1:$K$1001,$A67)))</f>
        <v/>
      </c>
    </row>
    <row r="68" spans="1:21" ht="15" customHeight="1" x14ac:dyDescent="0.25">
      <c r="A68" s="47" t="str">
        <f>IFERROR(MOD(SMALL(Cálculo!$O$2:$O$1001,ROWS(A$8:A68)),10000),"")</f>
        <v/>
      </c>
      <c r="B68" s="48" t="str">
        <f>IF($A68="","",IF(INDEX(Registro!$B$1:$B$1001,$A68)="","",INDEX(Registro!$B$1:$B$1001,$A68)))</f>
        <v/>
      </c>
      <c r="C68" s="49" t="str">
        <f>IF($A68="","",IF(INDEX(Registro!$C$1:$C$1001,$A68)="","",INDEX(Registro!$C$1:$C$1001,$A68)))</f>
        <v/>
      </c>
      <c r="D68" s="49" t="str">
        <f>IF($A68="","",IF(INDEX(Registro!$D$1:$D$1001,$A68)="","",INDEX(Registro!$D$1:$D$1001,$A68)))</f>
        <v/>
      </c>
      <c r="E68" s="120" t="str">
        <f>IF($A68="","",IF(INDEX(Registro!$E$1:$E$1001,$A68)="","",INDEX(Registro!$E$1:$E$1001,$A68)))</f>
        <v/>
      </c>
      <c r="F68" s="50" t="str">
        <f>IF($A68="","",IF(INDEX(Cálculo!$D$1:$D$1001,$A68)="","",INDEX(Cálculo!$D$1:$D$1001,$A68)))</f>
        <v/>
      </c>
      <c r="G68" s="52" t="str">
        <f>IF($A68="","",IF(INDEX(Cálculo!$E$1:$E$1001,$A68)="","",INDEX(Cálculo!$E$1:$E$1001,$A68)))</f>
        <v/>
      </c>
      <c r="H68" s="52" t="str">
        <f>IF($A68="","",IF(INDEX(Cálculo!$F$1:$F$1001,$A68)="","",INDEX(Cálculo!$F$1:$F$1001,$A68)))</f>
        <v/>
      </c>
      <c r="I68" s="57" t="str">
        <f>IF($A68="","",IF(INDEX(Cálculo!$G$1:$G$1001,$A68)="","",INDEX(Cálculo!$G$1:$G$1001,$A68)))</f>
        <v/>
      </c>
      <c r="J68" s="120" t="str">
        <f>IF($A68="","",IF(INDEX(Registro!$G$1:$G$1001,$A68)="","",INDEX(Registro!$G$1:$G$1001,$A68)))</f>
        <v/>
      </c>
      <c r="K68" s="50" t="str">
        <f>IF($A68="","",IF(INDEX(Cálculo!$H$1:$H$1001,$A68)="","",INDEX(Cálculo!$H$1:$H$1001,$A68)))</f>
        <v/>
      </c>
      <c r="L68" s="52" t="str">
        <f>IF($A68="","",IF(INDEX(Cálculo!$I$1:$I$1001,$A68)="","",INDEX(Cálculo!$I$1:$I$1001,$A68)))</f>
        <v/>
      </c>
      <c r="M68" s="49" t="str">
        <f>IF($A68="","",IF(INDEX(Cálculo!$J$1:$J$1001,$A68)="","",INDEX(Cálculo!$J$1:$J$1001,$A68)))</f>
        <v/>
      </c>
      <c r="N68" s="52" t="str">
        <f>IF($A68="","",IF(INDEX(Registro!$H$1:$H$1001,$A68)="","",INDEX(Registro!$H$1:$H$1001,$A68)))</f>
        <v/>
      </c>
      <c r="O68" s="120" t="str">
        <f>IF($A68="","",IF(INDEX(Registro!$I$1:$I$1001,$A68)="","",INDEX(Registro!$I$1:$I$1001,$A68)))</f>
        <v/>
      </c>
      <c r="P68" s="52" t="str">
        <f>IF($A68="","",IF(INDEX(Cálculo!$K$1:$K$1001,$A68)="","",INDEX(Cálculo!$K$1:$K$1001,$A68)))</f>
        <v/>
      </c>
      <c r="Q68" s="52" t="str">
        <f>IF($A68="","",IF(INDEX(Cálculo!$M$1:$M$1001,$A68)="","",INDEX(Cálculo!$M$1:$M$1001,$A68)))</f>
        <v/>
      </c>
      <c r="R68" s="120" t="str">
        <f>IF($A68="","",IF(INDEX(Registro!$J$1:$J$1001,$A68)="","",INDEX(Registro!$J$1:$J$1001,$A68)))</f>
        <v/>
      </c>
      <c r="S68" s="52" t="str">
        <f>IF($A68="","",IF(INDEX(Cálculo!$L$1:$L$1001,$A68)="","",INDEX(Cálculo!$L$1:$L$1001,$A68)))</f>
        <v/>
      </c>
      <c r="T68" s="54" t="str">
        <f>IF($A68="","",IF(INDEX(Cálculo!$N$1:$N$1001,$A68)="","",INDEX(Cálculo!$N$1:$N$1001,$A68)))</f>
        <v/>
      </c>
      <c r="U68" s="120" t="str">
        <f>IF($A68="","",IF(INDEX(Registro!$K$1:$K$1001,$A68)="","",INDEX(Registro!$K$1:$K$1001,$A68)))</f>
        <v/>
      </c>
    </row>
    <row r="69" spans="1:21" ht="15" customHeight="1" x14ac:dyDescent="0.25">
      <c r="A69" s="7" t="str">
        <f>IFERROR(MOD(SMALL(Cálculo!$O$2:$O$1001,ROWS(A$8:A69)),10000),"")</f>
        <v/>
      </c>
      <c r="B69" s="8" t="str">
        <f>IF($A69="","",IF(INDEX(Registro!$B$1:$B$1001,$A69)="","",INDEX(Registro!$B$1:$B$1001,$A69)))</f>
        <v/>
      </c>
      <c r="C69" s="9" t="str">
        <f>IF($A69="","",IF(INDEX(Registro!$C$1:$C$1001,$A69)="","",INDEX(Registro!$C$1:$C$1001,$A69)))</f>
        <v/>
      </c>
      <c r="D69" s="9" t="str">
        <f>IF($A69="","",IF(INDEX(Registro!$D$1:$D$1001,$A69)="","",INDEX(Registro!$D$1:$D$1001,$A69)))</f>
        <v/>
      </c>
      <c r="E69" s="15" t="str">
        <f>IF($A69="","",IF(INDEX(Registro!$E$1:$E$1001,$A69)="","",INDEX(Registro!$E$1:$E$1001,$A69)))</f>
        <v/>
      </c>
      <c r="F69" s="10" t="str">
        <f>IF($A69="","",IF(INDEX(Cálculo!$D$1:$D$1001,$A69)="","",INDEX(Cálculo!$D$1:$D$1001,$A69)))</f>
        <v/>
      </c>
      <c r="G69" s="53" t="str">
        <f>IF($A69="","",IF(INDEX(Cálculo!$E$1:$E$1001,$A69)="","",INDEX(Cálculo!$E$1:$E$1001,$A69)))</f>
        <v/>
      </c>
      <c r="H69" s="53" t="str">
        <f>IF($A69="","",IF(INDEX(Cálculo!$F$1:$F$1001,$A69)="","",INDEX(Cálculo!$F$1:$F$1001,$A69)))</f>
        <v/>
      </c>
      <c r="I69" s="58" t="str">
        <f>IF($A69="","",IF(INDEX(Cálculo!$G$1:$G$1001,$A69)="","",INDEX(Cálculo!$G$1:$G$1001,$A69)))</f>
        <v/>
      </c>
      <c r="J69" s="15" t="str">
        <f>IF($A69="","",IF(INDEX(Registro!$G$1:$G$1001,$A69)="","",INDEX(Registro!$G$1:$G$1001,$A69)))</f>
        <v/>
      </c>
      <c r="K69" s="10" t="str">
        <f>IF($A69="","",IF(INDEX(Cálculo!$H$1:$H$1001,$A69)="","",INDEX(Cálculo!$H$1:$H$1001,$A69)))</f>
        <v/>
      </c>
      <c r="L69" s="53" t="str">
        <f>IF($A69="","",IF(INDEX(Cálculo!$I$1:$I$1001,$A69)="","",INDEX(Cálculo!$I$1:$I$1001,$A69)))</f>
        <v/>
      </c>
      <c r="M69" s="9" t="str">
        <f>IF($A69="","",IF(INDEX(Cálculo!$J$1:$J$1001,$A69)="","",INDEX(Cálculo!$J$1:$J$1001,$A69)))</f>
        <v/>
      </c>
      <c r="N69" s="53" t="str">
        <f>IF($A69="","",IF(INDEX(Registro!$H$1:$H$1001,$A69)="","",INDEX(Registro!$H$1:$H$1001,$A69)))</f>
        <v/>
      </c>
      <c r="O69" s="15" t="str">
        <f>IF($A69="","",IF(INDEX(Registro!$I$1:$I$1001,$A69)="","",INDEX(Registro!$I$1:$I$1001,$A69)))</f>
        <v/>
      </c>
      <c r="P69" s="53" t="str">
        <f>IF($A69="","",IF(INDEX(Cálculo!$K$1:$K$1001,$A69)="","",INDEX(Cálculo!$K$1:$K$1001,$A69)))</f>
        <v/>
      </c>
      <c r="Q69" s="53" t="str">
        <f>IF($A69="","",IF(INDEX(Cálculo!$M$1:$M$1001,$A69)="","",INDEX(Cálculo!$M$1:$M$1001,$A69)))</f>
        <v/>
      </c>
      <c r="R69" s="15" t="str">
        <f>IF($A69="","",IF(INDEX(Registro!$J$1:$J$1001,$A69)="","",INDEX(Registro!$J$1:$J$1001,$A69)))</f>
        <v/>
      </c>
      <c r="S69" s="53" t="str">
        <f>IF($A69="","",IF(INDEX(Cálculo!$L$1:$L$1001,$A69)="","",INDEX(Cálculo!$L$1:$L$1001,$A69)))</f>
        <v/>
      </c>
      <c r="T69" s="55" t="str">
        <f>IF($A69="","",IF(INDEX(Cálculo!$N$1:$N$1001,$A69)="","",INDEX(Cálculo!$N$1:$N$1001,$A69)))</f>
        <v/>
      </c>
      <c r="U69" s="15" t="str">
        <f>IF($A69="","",IF(INDEX(Registro!$K$1:$K$1001,$A69)="","",INDEX(Registro!$K$1:$K$1001,$A69)))</f>
        <v/>
      </c>
    </row>
  </sheetData>
  <mergeCells count="17">
    <mergeCell ref="P3:Q3"/>
    <mergeCell ref="P4:Q4"/>
    <mergeCell ref="R3:S3"/>
    <mergeCell ref="R4:S4"/>
    <mergeCell ref="T3:U3"/>
    <mergeCell ref="T4:U4"/>
    <mergeCell ref="J3:K3"/>
    <mergeCell ref="J4:K4"/>
    <mergeCell ref="L3:M3"/>
    <mergeCell ref="L4:M4"/>
    <mergeCell ref="N3:O3"/>
    <mergeCell ref="N4:O4"/>
    <mergeCell ref="A5:D5"/>
    <mergeCell ref="J5:N5"/>
    <mergeCell ref="O5:Q5"/>
    <mergeCell ref="R5:T5"/>
    <mergeCell ref="E5:I5"/>
  </mergeCells>
  <conditionalFormatting sqref="M8:M69">
    <cfRule type="cellIs" dxfId="2" priority="2" operator="equal">
      <formula>"CONFORME"</formula>
    </cfRule>
    <cfRule type="cellIs" dxfId="1" priority="3" operator="equal">
      <formula>"DIFERENCIA"</formula>
    </cfRule>
    <cfRule type="cellIs" dxfId="0" priority="4" operator="equal">
      <formula>"FALTA BOLETOS"</formula>
    </cfRule>
  </conditionalFormatting>
  <dataValidations count="3">
    <dataValidation type="whole" showErrorMessage="1" error="Escribe un año (ej. 2026)." sqref="D3" xr:uid="{00000000-0002-0000-0200-000000000000}">
      <formula1>2000</formula1>
      <formula2>2100</formula2>
    </dataValidation>
    <dataValidation type="list" showErrorMessage="1" error="Elige TDS, PIN o PKS." sqref="B3" xr:uid="{00000000-0002-0000-0200-000001000000}">
      <formula1>"TDS,PIN,PKS"</formula1>
      <formula2>0</formula2>
    </dataValidation>
    <dataValidation type="list" showErrorMessage="1" error="Elige un mes de la lista." sqref="F3" xr:uid="{00000000-0002-0000-0200-000002000000}">
      <formula1>"Enero,Febrero,Marzo,Abril,Mayo,Junio,Julio,Agosto,Septiembre,Octubre,Noviembre,Diciembre"</formula1>
      <formula2>0</formula2>
    </dataValidation>
  </dataValidations>
  <hyperlinks>
    <hyperlink ref="I3" location="'Inicio'!A1" tooltip="Volver al menú" display="⌂ Inicio" xr:uid="{D711B342-39F8-4232-AB07-591E16A097F2}"/>
  </hyperlinks>
  <printOptions horizontalCentered="1"/>
  <pageMargins left="0.75" right="0.75" top="1" bottom="1" header="0.511811023622047" footer="0.511811023622047"/>
  <pageSetup scale="35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AF21"/>
  <sheetViews>
    <sheetView showGridLines="0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7109375" defaultRowHeight="15" x14ac:dyDescent="0.25"/>
  <cols>
    <col min="1" max="1" width="5" customWidth="1"/>
    <col min="2" max="2" width="14" customWidth="1"/>
    <col min="3" max="3" width="8" customWidth="1"/>
    <col min="4" max="4" width="10" customWidth="1"/>
    <col min="5" max="7" width="13" customWidth="1"/>
    <col min="8" max="8" width="14" customWidth="1"/>
    <col min="9" max="9" width="12" customWidth="1"/>
    <col min="10" max="10" width="14" customWidth="1"/>
    <col min="11" max="11" width="8" customWidth="1"/>
    <col min="12" max="12" width="10" customWidth="1"/>
    <col min="13" max="15" width="13" customWidth="1"/>
    <col min="16" max="16" width="14" customWidth="1"/>
    <col min="17" max="17" width="12" customWidth="1"/>
    <col min="18" max="18" width="14" customWidth="1"/>
    <col min="19" max="19" width="8" customWidth="1"/>
    <col min="20" max="20" width="10" customWidth="1"/>
    <col min="21" max="23" width="13" customWidth="1"/>
    <col min="24" max="24" width="14" customWidth="1"/>
    <col min="25" max="25" width="12" customWidth="1"/>
    <col min="26" max="26" width="14" customWidth="1"/>
    <col min="27" max="27" width="9" customWidth="1"/>
    <col min="28" max="30" width="13" customWidth="1"/>
    <col min="31" max="32" width="14" customWidth="1"/>
  </cols>
  <sheetData>
    <row r="1" spans="1:32" ht="32.1" customHeight="1" x14ac:dyDescent="0.25">
      <c r="A1" s="33" t="str">
        <f>"RESUMEN DEL AÑO "&amp;$B$3&amp;" — POR MES Y BUS"</f>
        <v>RESUMEN DEL AÑO 2026 — POR MES Y BUS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x14ac:dyDescent="0.25">
      <c r="A2" s="60" t="s">
        <v>251</v>
      </c>
    </row>
    <row r="3" spans="1:32" ht="21.95" customHeight="1" x14ac:dyDescent="0.25">
      <c r="A3" s="12" t="s">
        <v>180</v>
      </c>
      <c r="B3" s="61">
        <v>2026</v>
      </c>
      <c r="D3" s="32" t="s">
        <v>271</v>
      </c>
    </row>
    <row r="5" spans="1:32" ht="20.100000000000001" customHeight="1" x14ac:dyDescent="0.25">
      <c r="A5" s="69"/>
      <c r="B5" s="70"/>
      <c r="C5" s="184" t="s">
        <v>24</v>
      </c>
      <c r="D5" s="185"/>
      <c r="E5" s="185"/>
      <c r="F5" s="185"/>
      <c r="G5" s="185"/>
      <c r="H5" s="185"/>
      <c r="I5" s="185"/>
      <c r="J5" s="186"/>
      <c r="K5" s="187" t="s">
        <v>113</v>
      </c>
      <c r="L5" s="188"/>
      <c r="M5" s="188"/>
      <c r="N5" s="188"/>
      <c r="O5" s="188"/>
      <c r="P5" s="188"/>
      <c r="Q5" s="188"/>
      <c r="R5" s="189"/>
      <c r="S5" s="190" t="s">
        <v>202</v>
      </c>
      <c r="T5" s="191"/>
      <c r="U5" s="191"/>
      <c r="V5" s="191"/>
      <c r="W5" s="191"/>
      <c r="X5" s="191"/>
      <c r="Y5" s="191"/>
      <c r="Z5" s="192"/>
      <c r="AA5" s="193" t="s">
        <v>203</v>
      </c>
      <c r="AB5" s="194"/>
      <c r="AC5" s="194"/>
      <c r="AD5" s="194"/>
      <c r="AE5" s="194"/>
      <c r="AF5" s="194"/>
    </row>
    <row r="6" spans="1:32" ht="27.95" customHeight="1" x14ac:dyDescent="0.25">
      <c r="A6" s="40" t="s">
        <v>204</v>
      </c>
      <c r="B6" s="71" t="s">
        <v>205</v>
      </c>
      <c r="C6" s="62" t="s">
        <v>206</v>
      </c>
      <c r="D6" s="41" t="s">
        <v>207</v>
      </c>
      <c r="E6" s="41" t="s">
        <v>208</v>
      </c>
      <c r="F6" s="41" t="s">
        <v>249</v>
      </c>
      <c r="G6" s="41" t="s">
        <v>250</v>
      </c>
      <c r="H6" s="41" t="s">
        <v>209</v>
      </c>
      <c r="I6" s="41" t="s">
        <v>210</v>
      </c>
      <c r="J6" s="63" t="s">
        <v>200</v>
      </c>
      <c r="K6" s="64" t="s">
        <v>206</v>
      </c>
      <c r="L6" s="42" t="s">
        <v>207</v>
      </c>
      <c r="M6" s="42" t="s">
        <v>208</v>
      </c>
      <c r="N6" s="42" t="s">
        <v>249</v>
      </c>
      <c r="O6" s="42" t="s">
        <v>250</v>
      </c>
      <c r="P6" s="42" t="s">
        <v>209</v>
      </c>
      <c r="Q6" s="42" t="s">
        <v>210</v>
      </c>
      <c r="R6" s="65" t="s">
        <v>200</v>
      </c>
      <c r="S6" s="66" t="s">
        <v>206</v>
      </c>
      <c r="T6" s="43" t="s">
        <v>207</v>
      </c>
      <c r="U6" s="43" t="s">
        <v>208</v>
      </c>
      <c r="V6" s="43" t="s">
        <v>249</v>
      </c>
      <c r="W6" s="43" t="s">
        <v>250</v>
      </c>
      <c r="X6" s="43" t="s">
        <v>209</v>
      </c>
      <c r="Y6" s="43" t="s">
        <v>210</v>
      </c>
      <c r="Z6" s="67" t="s">
        <v>200</v>
      </c>
      <c r="AA6" s="68" t="s">
        <v>206</v>
      </c>
      <c r="AB6" s="40" t="s">
        <v>208</v>
      </c>
      <c r="AC6" s="40" t="s">
        <v>249</v>
      </c>
      <c r="AD6" s="40" t="s">
        <v>250</v>
      </c>
      <c r="AE6" s="40" t="s">
        <v>209</v>
      </c>
      <c r="AF6" s="40" t="s">
        <v>200</v>
      </c>
    </row>
    <row r="7" spans="1:32" x14ac:dyDescent="0.25">
      <c r="A7" s="13">
        <v>1</v>
      </c>
      <c r="B7" s="81" t="s">
        <v>211</v>
      </c>
      <c r="C7" s="133">
        <f>COUNTIFS(Cálculo!$A$2:$A$1001,C$5,Cálculo!$C$2:$C$1001,$B$3*100+$A7)</f>
        <v>0</v>
      </c>
      <c r="D7" s="136">
        <f>SUMIFS(Cálculo!$D$2:$D$1001,Cálculo!$A$2:$A$1001,C$5,Cálculo!$C$2:$C$1001,$B$3*100+$A7)+SUMIFS(Cálculo!$H$2:$H$1001,Cálculo!$A$2:$A$1001,C$5,Cálculo!$C$2:$C$1001,$B$3*100+$A7)</f>
        <v>0</v>
      </c>
      <c r="E7" s="121">
        <f>SUMIFS(Cálculo!$E$2:$E$1001,Cálculo!$A$2:$A$1001,C$5,Cálculo!$C$2:$C$1001,$B$3*100+$A7)</f>
        <v>0</v>
      </c>
      <c r="F7" s="121">
        <f>SUMIFS(Cálculo!$F$2:$F$1001,Cálculo!$A$2:$A$1001,C$5,Cálculo!$C$2:$C$1001,$B$3*100+$A7)</f>
        <v>0</v>
      </c>
      <c r="G7" s="124">
        <f t="shared" ref="G7:G18" si="0">E7-F7</f>
        <v>0</v>
      </c>
      <c r="H7" s="121">
        <f>SUMIFS(Registro!$H$2:$H$1001,Cálculo!$A$2:$A$1001,C$5,Cálculo!$C$2:$C$1001,$B$3*100+$A7)</f>
        <v>0</v>
      </c>
      <c r="I7" s="121">
        <f>SUMIFS(Cálculo!$K$2:$K$1001,Cálculo!$A$2:$A$1001,C$5,Cálculo!$C$2:$C$1001,$B$3*100+$A7)+SUMIFS(Cálculo!$L$2:$L$1001,Cálculo!$A$2:$A$1001,C$5,Cálculo!$C$2:$C$1001,$B$3*100+$A7)</f>
        <v>0</v>
      </c>
      <c r="J7" s="127">
        <f>SUMIFS(Cálculo!$N$2:$N$1001,Cálculo!$A$2:$A$1001,C$5,Cálculo!$C$2:$C$1001,$B$3*100+$A7)</f>
        <v>0</v>
      </c>
      <c r="K7" s="133">
        <f>COUNTIFS(Cálculo!$A$2:$A$1001,K$5,Cálculo!$C$2:$C$1001,$B$3*100+$A7)</f>
        <v>0</v>
      </c>
      <c r="L7" s="136">
        <f>SUMIFS(Cálculo!$D$2:$D$1001,Cálculo!$A$2:$A$1001,K$5,Cálculo!$C$2:$C$1001,$B$3*100+$A7)+SUMIFS(Cálculo!$H$2:$H$1001,Cálculo!$A$2:$A$1001,K$5,Cálculo!$C$2:$C$1001,$B$3*100+$A7)</f>
        <v>0</v>
      </c>
      <c r="M7" s="121">
        <f>SUMIFS(Cálculo!$E$2:$E$1001,Cálculo!$A$2:$A$1001,K$5,Cálculo!$C$2:$C$1001,$B$3*100+$A7)</f>
        <v>0</v>
      </c>
      <c r="N7" s="121">
        <f>SUMIFS(Cálculo!$F$2:$F$1001,Cálculo!$A$2:$A$1001,K$5,Cálculo!$C$2:$C$1001,$B$3*100+$A7)</f>
        <v>0</v>
      </c>
      <c r="O7" s="124">
        <f t="shared" ref="O7:O18" si="1">M7-N7</f>
        <v>0</v>
      </c>
      <c r="P7" s="121">
        <f>SUMIFS(Registro!$H$2:$H$1001,Cálculo!$A$2:$A$1001,K$5,Cálculo!$C$2:$C$1001,$B$3*100+$A7)</f>
        <v>0</v>
      </c>
      <c r="Q7" s="121">
        <f>SUMIFS(Cálculo!$K$2:$K$1001,Cálculo!$A$2:$A$1001,K$5,Cálculo!$C$2:$C$1001,$B$3*100+$A7)+SUMIFS(Cálculo!$L$2:$L$1001,Cálculo!$A$2:$A$1001,K$5,Cálculo!$C$2:$C$1001,$B$3*100+$A7)</f>
        <v>0</v>
      </c>
      <c r="R7" s="127">
        <f>SUMIFS(Cálculo!$N$2:$N$1001,Cálculo!$A$2:$A$1001,K$5,Cálculo!$C$2:$C$1001,$B$3*100+$A7)</f>
        <v>0</v>
      </c>
      <c r="S7" s="133">
        <f>COUNTIFS(Cálculo!$A$2:$A$1001,S$5,Cálculo!$C$2:$C$1001,$B$3*100+$A7)</f>
        <v>0</v>
      </c>
      <c r="T7" s="136">
        <f>SUMIFS(Cálculo!$D$2:$D$1001,Cálculo!$A$2:$A$1001,S$5,Cálculo!$C$2:$C$1001,$B$3*100+$A7)+SUMIFS(Cálculo!$H$2:$H$1001,Cálculo!$A$2:$A$1001,S$5,Cálculo!$C$2:$C$1001,$B$3*100+$A7)</f>
        <v>0</v>
      </c>
      <c r="U7" s="121">
        <f>SUMIFS(Cálculo!$E$2:$E$1001,Cálculo!$A$2:$A$1001,S$5,Cálculo!$C$2:$C$1001,$B$3*100+$A7)</f>
        <v>0</v>
      </c>
      <c r="V7" s="121">
        <f>SUMIFS(Cálculo!$F$2:$F$1001,Cálculo!$A$2:$A$1001,S$5,Cálculo!$C$2:$C$1001,$B$3*100+$A7)</f>
        <v>0</v>
      </c>
      <c r="W7" s="124">
        <f t="shared" ref="W7:W18" si="2">U7-V7</f>
        <v>0</v>
      </c>
      <c r="X7" s="121">
        <f>SUMIFS(Registro!$H$2:$H$1001,Cálculo!$A$2:$A$1001,S$5,Cálculo!$C$2:$C$1001,$B$3*100+$A7)</f>
        <v>0</v>
      </c>
      <c r="Y7" s="121">
        <f>SUMIFS(Cálculo!$K$2:$K$1001,Cálculo!$A$2:$A$1001,S$5,Cálculo!$C$2:$C$1001,$B$3*100+$A7)+SUMIFS(Cálculo!$L$2:$L$1001,Cálculo!$A$2:$A$1001,S$5,Cálculo!$C$2:$C$1001,$B$3*100+$A7)</f>
        <v>0</v>
      </c>
      <c r="Z7" s="127">
        <f>SUMIFS(Cálculo!$N$2:$N$1001,Cálculo!$A$2:$A$1001,S$5,Cálculo!$C$2:$C$1001,$B$3*100+$A7)</f>
        <v>0</v>
      </c>
      <c r="AA7" s="133">
        <f t="shared" ref="AA7:AA18" si="3">C7+K7+S7</f>
        <v>0</v>
      </c>
      <c r="AB7" s="121">
        <f t="shared" ref="AB7:AB18" si="4">E7+M7+U7</f>
        <v>0</v>
      </c>
      <c r="AC7" s="121">
        <f t="shared" ref="AC7:AC18" si="5">F7+N7+V7</f>
        <v>0</v>
      </c>
      <c r="AD7" s="124">
        <f t="shared" ref="AD7:AD18" si="6">G7+O7+W7</f>
        <v>0</v>
      </c>
      <c r="AE7" s="121">
        <f t="shared" ref="AE7:AE18" si="7">H7+P7+X7</f>
        <v>0</v>
      </c>
      <c r="AF7" s="130">
        <f t="shared" ref="AF7:AF18" si="8">J7+R7+Z7</f>
        <v>0</v>
      </c>
    </row>
    <row r="8" spans="1:32" x14ac:dyDescent="0.25">
      <c r="A8" s="72">
        <v>2</v>
      </c>
      <c r="B8" s="82" t="s">
        <v>212</v>
      </c>
      <c r="C8" s="134">
        <f>COUNTIFS(Cálculo!$A$2:$A$1001,C$5,Cálculo!$C$2:$C$1001,$B$3*100+$A8)</f>
        <v>0</v>
      </c>
      <c r="D8" s="137">
        <f>SUMIFS(Cálculo!$D$2:$D$1001,Cálculo!$A$2:$A$1001,C$5,Cálculo!$C$2:$C$1001,$B$3*100+$A8)+SUMIFS(Cálculo!$H$2:$H$1001,Cálculo!$A$2:$A$1001,C$5,Cálculo!$C$2:$C$1001,$B$3*100+$A8)</f>
        <v>0</v>
      </c>
      <c r="E8" s="122">
        <f>SUMIFS(Cálculo!$E$2:$E$1001,Cálculo!$A$2:$A$1001,C$5,Cálculo!$C$2:$C$1001,$B$3*100+$A8)</f>
        <v>0</v>
      </c>
      <c r="F8" s="122">
        <f>SUMIFS(Cálculo!$F$2:$F$1001,Cálculo!$A$2:$A$1001,C$5,Cálculo!$C$2:$C$1001,$B$3*100+$A8)</f>
        <v>0</v>
      </c>
      <c r="G8" s="125">
        <f t="shared" si="0"/>
        <v>0</v>
      </c>
      <c r="H8" s="122">
        <f>SUMIFS(Registro!$H$2:$H$1001,Cálculo!$A$2:$A$1001,C$5,Cálculo!$C$2:$C$1001,$B$3*100+$A8)</f>
        <v>0</v>
      </c>
      <c r="I8" s="122">
        <f>SUMIFS(Cálculo!$K$2:$K$1001,Cálculo!$A$2:$A$1001,C$5,Cálculo!$C$2:$C$1001,$B$3*100+$A8)+SUMIFS(Cálculo!$L$2:$L$1001,Cálculo!$A$2:$A$1001,C$5,Cálculo!$C$2:$C$1001,$B$3*100+$A8)</f>
        <v>0</v>
      </c>
      <c r="J8" s="128">
        <f>SUMIFS(Cálculo!$N$2:$N$1001,Cálculo!$A$2:$A$1001,C$5,Cálculo!$C$2:$C$1001,$B$3*100+$A8)</f>
        <v>0</v>
      </c>
      <c r="K8" s="134">
        <f>COUNTIFS(Cálculo!$A$2:$A$1001,K$5,Cálculo!$C$2:$C$1001,$B$3*100+$A8)</f>
        <v>0</v>
      </c>
      <c r="L8" s="137">
        <f>SUMIFS(Cálculo!$D$2:$D$1001,Cálculo!$A$2:$A$1001,K$5,Cálculo!$C$2:$C$1001,$B$3*100+$A8)+SUMIFS(Cálculo!$H$2:$H$1001,Cálculo!$A$2:$A$1001,K$5,Cálculo!$C$2:$C$1001,$B$3*100+$A8)</f>
        <v>0</v>
      </c>
      <c r="M8" s="122">
        <f>SUMIFS(Cálculo!$E$2:$E$1001,Cálculo!$A$2:$A$1001,K$5,Cálculo!$C$2:$C$1001,$B$3*100+$A8)</f>
        <v>0</v>
      </c>
      <c r="N8" s="122">
        <f>SUMIFS(Cálculo!$F$2:$F$1001,Cálculo!$A$2:$A$1001,K$5,Cálculo!$C$2:$C$1001,$B$3*100+$A8)</f>
        <v>0</v>
      </c>
      <c r="O8" s="125">
        <f t="shared" si="1"/>
        <v>0</v>
      </c>
      <c r="P8" s="122">
        <f>SUMIFS(Registro!$H$2:$H$1001,Cálculo!$A$2:$A$1001,K$5,Cálculo!$C$2:$C$1001,$B$3*100+$A8)</f>
        <v>0</v>
      </c>
      <c r="Q8" s="122">
        <f>SUMIFS(Cálculo!$K$2:$K$1001,Cálculo!$A$2:$A$1001,K$5,Cálculo!$C$2:$C$1001,$B$3*100+$A8)+SUMIFS(Cálculo!$L$2:$L$1001,Cálculo!$A$2:$A$1001,K$5,Cálculo!$C$2:$C$1001,$B$3*100+$A8)</f>
        <v>0</v>
      </c>
      <c r="R8" s="128">
        <f>SUMIFS(Cálculo!$N$2:$N$1001,Cálculo!$A$2:$A$1001,K$5,Cálculo!$C$2:$C$1001,$B$3*100+$A8)</f>
        <v>0</v>
      </c>
      <c r="S8" s="134">
        <f>COUNTIFS(Cálculo!$A$2:$A$1001,S$5,Cálculo!$C$2:$C$1001,$B$3*100+$A8)</f>
        <v>0</v>
      </c>
      <c r="T8" s="137">
        <f>SUMIFS(Cálculo!$D$2:$D$1001,Cálculo!$A$2:$A$1001,S$5,Cálculo!$C$2:$C$1001,$B$3*100+$A8)+SUMIFS(Cálculo!$H$2:$H$1001,Cálculo!$A$2:$A$1001,S$5,Cálculo!$C$2:$C$1001,$B$3*100+$A8)</f>
        <v>0</v>
      </c>
      <c r="U8" s="122">
        <f>SUMIFS(Cálculo!$E$2:$E$1001,Cálculo!$A$2:$A$1001,S$5,Cálculo!$C$2:$C$1001,$B$3*100+$A8)</f>
        <v>0</v>
      </c>
      <c r="V8" s="122">
        <f>SUMIFS(Cálculo!$F$2:$F$1001,Cálculo!$A$2:$A$1001,S$5,Cálculo!$C$2:$C$1001,$B$3*100+$A8)</f>
        <v>0</v>
      </c>
      <c r="W8" s="125">
        <f t="shared" si="2"/>
        <v>0</v>
      </c>
      <c r="X8" s="122">
        <f>SUMIFS(Registro!$H$2:$H$1001,Cálculo!$A$2:$A$1001,S$5,Cálculo!$C$2:$C$1001,$B$3*100+$A8)</f>
        <v>0</v>
      </c>
      <c r="Y8" s="122">
        <f>SUMIFS(Cálculo!$K$2:$K$1001,Cálculo!$A$2:$A$1001,S$5,Cálculo!$C$2:$C$1001,$B$3*100+$A8)+SUMIFS(Cálculo!$L$2:$L$1001,Cálculo!$A$2:$A$1001,S$5,Cálculo!$C$2:$C$1001,$B$3*100+$A8)</f>
        <v>0</v>
      </c>
      <c r="Z8" s="128">
        <f>SUMIFS(Cálculo!$N$2:$N$1001,Cálculo!$A$2:$A$1001,S$5,Cálculo!$C$2:$C$1001,$B$3*100+$A8)</f>
        <v>0</v>
      </c>
      <c r="AA8" s="134">
        <f t="shared" si="3"/>
        <v>0</v>
      </c>
      <c r="AB8" s="122">
        <f t="shared" si="4"/>
        <v>0</v>
      </c>
      <c r="AC8" s="122">
        <f t="shared" si="5"/>
        <v>0</v>
      </c>
      <c r="AD8" s="125">
        <f t="shared" si="6"/>
        <v>0</v>
      </c>
      <c r="AE8" s="122">
        <f t="shared" si="7"/>
        <v>0</v>
      </c>
      <c r="AF8" s="131">
        <f t="shared" si="8"/>
        <v>0</v>
      </c>
    </row>
    <row r="9" spans="1:32" x14ac:dyDescent="0.25">
      <c r="A9" s="13">
        <v>3</v>
      </c>
      <c r="B9" s="81" t="s">
        <v>213</v>
      </c>
      <c r="C9" s="133">
        <f>COUNTIFS(Cálculo!$A$2:$A$1001,C$5,Cálculo!$C$2:$C$1001,$B$3*100+$A9)</f>
        <v>0</v>
      </c>
      <c r="D9" s="136">
        <f>SUMIFS(Cálculo!$D$2:$D$1001,Cálculo!$A$2:$A$1001,C$5,Cálculo!$C$2:$C$1001,$B$3*100+$A9)+SUMIFS(Cálculo!$H$2:$H$1001,Cálculo!$A$2:$A$1001,C$5,Cálculo!$C$2:$C$1001,$B$3*100+$A9)</f>
        <v>0</v>
      </c>
      <c r="E9" s="121">
        <f>SUMIFS(Cálculo!$E$2:$E$1001,Cálculo!$A$2:$A$1001,C$5,Cálculo!$C$2:$C$1001,$B$3*100+$A9)</f>
        <v>0</v>
      </c>
      <c r="F9" s="121">
        <f>SUMIFS(Cálculo!$F$2:$F$1001,Cálculo!$A$2:$A$1001,C$5,Cálculo!$C$2:$C$1001,$B$3*100+$A9)</f>
        <v>0</v>
      </c>
      <c r="G9" s="124">
        <f t="shared" si="0"/>
        <v>0</v>
      </c>
      <c r="H9" s="121">
        <f>SUMIFS(Registro!$H$2:$H$1001,Cálculo!$A$2:$A$1001,C$5,Cálculo!$C$2:$C$1001,$B$3*100+$A9)</f>
        <v>0</v>
      </c>
      <c r="I9" s="121">
        <f>SUMIFS(Cálculo!$K$2:$K$1001,Cálculo!$A$2:$A$1001,C$5,Cálculo!$C$2:$C$1001,$B$3*100+$A9)+SUMIFS(Cálculo!$L$2:$L$1001,Cálculo!$A$2:$A$1001,C$5,Cálculo!$C$2:$C$1001,$B$3*100+$A9)</f>
        <v>0</v>
      </c>
      <c r="J9" s="127">
        <f>SUMIFS(Cálculo!$N$2:$N$1001,Cálculo!$A$2:$A$1001,C$5,Cálculo!$C$2:$C$1001,$B$3*100+$A9)</f>
        <v>0</v>
      </c>
      <c r="K9" s="133">
        <f>COUNTIFS(Cálculo!$A$2:$A$1001,K$5,Cálculo!$C$2:$C$1001,$B$3*100+$A9)</f>
        <v>0</v>
      </c>
      <c r="L9" s="136">
        <f>SUMIFS(Cálculo!$D$2:$D$1001,Cálculo!$A$2:$A$1001,K$5,Cálculo!$C$2:$C$1001,$B$3*100+$A9)+SUMIFS(Cálculo!$H$2:$H$1001,Cálculo!$A$2:$A$1001,K$5,Cálculo!$C$2:$C$1001,$B$3*100+$A9)</f>
        <v>0</v>
      </c>
      <c r="M9" s="121">
        <f>SUMIFS(Cálculo!$E$2:$E$1001,Cálculo!$A$2:$A$1001,K$5,Cálculo!$C$2:$C$1001,$B$3*100+$A9)</f>
        <v>0</v>
      </c>
      <c r="N9" s="121">
        <f>SUMIFS(Cálculo!$F$2:$F$1001,Cálculo!$A$2:$A$1001,K$5,Cálculo!$C$2:$C$1001,$B$3*100+$A9)</f>
        <v>0</v>
      </c>
      <c r="O9" s="124">
        <f t="shared" si="1"/>
        <v>0</v>
      </c>
      <c r="P9" s="121">
        <f>SUMIFS(Registro!$H$2:$H$1001,Cálculo!$A$2:$A$1001,K$5,Cálculo!$C$2:$C$1001,$B$3*100+$A9)</f>
        <v>0</v>
      </c>
      <c r="Q9" s="121">
        <f>SUMIFS(Cálculo!$K$2:$K$1001,Cálculo!$A$2:$A$1001,K$5,Cálculo!$C$2:$C$1001,$B$3*100+$A9)+SUMIFS(Cálculo!$L$2:$L$1001,Cálculo!$A$2:$A$1001,K$5,Cálculo!$C$2:$C$1001,$B$3*100+$A9)</f>
        <v>0</v>
      </c>
      <c r="R9" s="127">
        <f>SUMIFS(Cálculo!$N$2:$N$1001,Cálculo!$A$2:$A$1001,K$5,Cálculo!$C$2:$C$1001,$B$3*100+$A9)</f>
        <v>0</v>
      </c>
      <c r="S9" s="133">
        <f>COUNTIFS(Cálculo!$A$2:$A$1001,S$5,Cálculo!$C$2:$C$1001,$B$3*100+$A9)</f>
        <v>0</v>
      </c>
      <c r="T9" s="136">
        <f>SUMIFS(Cálculo!$D$2:$D$1001,Cálculo!$A$2:$A$1001,S$5,Cálculo!$C$2:$C$1001,$B$3*100+$A9)+SUMIFS(Cálculo!$H$2:$H$1001,Cálculo!$A$2:$A$1001,S$5,Cálculo!$C$2:$C$1001,$B$3*100+$A9)</f>
        <v>0</v>
      </c>
      <c r="U9" s="121">
        <f>SUMIFS(Cálculo!$E$2:$E$1001,Cálculo!$A$2:$A$1001,S$5,Cálculo!$C$2:$C$1001,$B$3*100+$A9)</f>
        <v>0</v>
      </c>
      <c r="V9" s="121">
        <f>SUMIFS(Cálculo!$F$2:$F$1001,Cálculo!$A$2:$A$1001,S$5,Cálculo!$C$2:$C$1001,$B$3*100+$A9)</f>
        <v>0</v>
      </c>
      <c r="W9" s="124">
        <f t="shared" si="2"/>
        <v>0</v>
      </c>
      <c r="X9" s="121">
        <f>SUMIFS(Registro!$H$2:$H$1001,Cálculo!$A$2:$A$1001,S$5,Cálculo!$C$2:$C$1001,$B$3*100+$A9)</f>
        <v>0</v>
      </c>
      <c r="Y9" s="121">
        <f>SUMIFS(Cálculo!$K$2:$K$1001,Cálculo!$A$2:$A$1001,S$5,Cálculo!$C$2:$C$1001,$B$3*100+$A9)+SUMIFS(Cálculo!$L$2:$L$1001,Cálculo!$A$2:$A$1001,S$5,Cálculo!$C$2:$C$1001,$B$3*100+$A9)</f>
        <v>0</v>
      </c>
      <c r="Z9" s="127">
        <f>SUMIFS(Cálculo!$N$2:$N$1001,Cálculo!$A$2:$A$1001,S$5,Cálculo!$C$2:$C$1001,$B$3*100+$A9)</f>
        <v>0</v>
      </c>
      <c r="AA9" s="133">
        <f t="shared" si="3"/>
        <v>0</v>
      </c>
      <c r="AB9" s="121">
        <f t="shared" si="4"/>
        <v>0</v>
      </c>
      <c r="AC9" s="121">
        <f t="shared" si="5"/>
        <v>0</v>
      </c>
      <c r="AD9" s="124">
        <f t="shared" si="6"/>
        <v>0</v>
      </c>
      <c r="AE9" s="121">
        <f t="shared" si="7"/>
        <v>0</v>
      </c>
      <c r="AF9" s="130">
        <f t="shared" si="8"/>
        <v>0</v>
      </c>
    </row>
    <row r="10" spans="1:32" x14ac:dyDescent="0.25">
      <c r="A10" s="72">
        <v>4</v>
      </c>
      <c r="B10" s="82" t="s">
        <v>214</v>
      </c>
      <c r="C10" s="134">
        <f>COUNTIFS(Cálculo!$A$2:$A$1001,C$5,Cálculo!$C$2:$C$1001,$B$3*100+$A10)</f>
        <v>0</v>
      </c>
      <c r="D10" s="137">
        <f>SUMIFS(Cálculo!$D$2:$D$1001,Cálculo!$A$2:$A$1001,C$5,Cálculo!$C$2:$C$1001,$B$3*100+$A10)+SUMIFS(Cálculo!$H$2:$H$1001,Cálculo!$A$2:$A$1001,C$5,Cálculo!$C$2:$C$1001,$B$3*100+$A10)</f>
        <v>0</v>
      </c>
      <c r="E10" s="122">
        <f>SUMIFS(Cálculo!$E$2:$E$1001,Cálculo!$A$2:$A$1001,C$5,Cálculo!$C$2:$C$1001,$B$3*100+$A10)</f>
        <v>0</v>
      </c>
      <c r="F10" s="122">
        <f>SUMIFS(Cálculo!$F$2:$F$1001,Cálculo!$A$2:$A$1001,C$5,Cálculo!$C$2:$C$1001,$B$3*100+$A10)</f>
        <v>0</v>
      </c>
      <c r="G10" s="125">
        <f t="shared" si="0"/>
        <v>0</v>
      </c>
      <c r="H10" s="122">
        <f>SUMIFS(Registro!$H$2:$H$1001,Cálculo!$A$2:$A$1001,C$5,Cálculo!$C$2:$C$1001,$B$3*100+$A10)</f>
        <v>0</v>
      </c>
      <c r="I10" s="122">
        <f>SUMIFS(Cálculo!$K$2:$K$1001,Cálculo!$A$2:$A$1001,C$5,Cálculo!$C$2:$C$1001,$B$3*100+$A10)+SUMIFS(Cálculo!$L$2:$L$1001,Cálculo!$A$2:$A$1001,C$5,Cálculo!$C$2:$C$1001,$B$3*100+$A10)</f>
        <v>0</v>
      </c>
      <c r="J10" s="128">
        <f>SUMIFS(Cálculo!$N$2:$N$1001,Cálculo!$A$2:$A$1001,C$5,Cálculo!$C$2:$C$1001,$B$3*100+$A10)</f>
        <v>0</v>
      </c>
      <c r="K10" s="134">
        <f>COUNTIFS(Cálculo!$A$2:$A$1001,K$5,Cálculo!$C$2:$C$1001,$B$3*100+$A10)</f>
        <v>0</v>
      </c>
      <c r="L10" s="137">
        <f>SUMIFS(Cálculo!$D$2:$D$1001,Cálculo!$A$2:$A$1001,K$5,Cálculo!$C$2:$C$1001,$B$3*100+$A10)+SUMIFS(Cálculo!$H$2:$H$1001,Cálculo!$A$2:$A$1001,K$5,Cálculo!$C$2:$C$1001,$B$3*100+$A10)</f>
        <v>0</v>
      </c>
      <c r="M10" s="122">
        <f>SUMIFS(Cálculo!$E$2:$E$1001,Cálculo!$A$2:$A$1001,K$5,Cálculo!$C$2:$C$1001,$B$3*100+$A10)</f>
        <v>0</v>
      </c>
      <c r="N10" s="122">
        <f>SUMIFS(Cálculo!$F$2:$F$1001,Cálculo!$A$2:$A$1001,K$5,Cálculo!$C$2:$C$1001,$B$3*100+$A10)</f>
        <v>0</v>
      </c>
      <c r="O10" s="125">
        <f t="shared" si="1"/>
        <v>0</v>
      </c>
      <c r="P10" s="122">
        <f>SUMIFS(Registro!$H$2:$H$1001,Cálculo!$A$2:$A$1001,K$5,Cálculo!$C$2:$C$1001,$B$3*100+$A10)</f>
        <v>0</v>
      </c>
      <c r="Q10" s="122">
        <f>SUMIFS(Cálculo!$K$2:$K$1001,Cálculo!$A$2:$A$1001,K$5,Cálculo!$C$2:$C$1001,$B$3*100+$A10)+SUMIFS(Cálculo!$L$2:$L$1001,Cálculo!$A$2:$A$1001,K$5,Cálculo!$C$2:$C$1001,$B$3*100+$A10)</f>
        <v>0</v>
      </c>
      <c r="R10" s="128">
        <f>SUMIFS(Cálculo!$N$2:$N$1001,Cálculo!$A$2:$A$1001,K$5,Cálculo!$C$2:$C$1001,$B$3*100+$A10)</f>
        <v>0</v>
      </c>
      <c r="S10" s="134">
        <f>COUNTIFS(Cálculo!$A$2:$A$1001,S$5,Cálculo!$C$2:$C$1001,$B$3*100+$A10)</f>
        <v>0</v>
      </c>
      <c r="T10" s="137">
        <f>SUMIFS(Cálculo!$D$2:$D$1001,Cálculo!$A$2:$A$1001,S$5,Cálculo!$C$2:$C$1001,$B$3*100+$A10)+SUMIFS(Cálculo!$H$2:$H$1001,Cálculo!$A$2:$A$1001,S$5,Cálculo!$C$2:$C$1001,$B$3*100+$A10)</f>
        <v>0</v>
      </c>
      <c r="U10" s="122">
        <f>SUMIFS(Cálculo!$E$2:$E$1001,Cálculo!$A$2:$A$1001,S$5,Cálculo!$C$2:$C$1001,$B$3*100+$A10)</f>
        <v>0</v>
      </c>
      <c r="V10" s="122">
        <f>SUMIFS(Cálculo!$F$2:$F$1001,Cálculo!$A$2:$A$1001,S$5,Cálculo!$C$2:$C$1001,$B$3*100+$A10)</f>
        <v>0</v>
      </c>
      <c r="W10" s="125">
        <f t="shared" si="2"/>
        <v>0</v>
      </c>
      <c r="X10" s="122">
        <f>SUMIFS(Registro!$H$2:$H$1001,Cálculo!$A$2:$A$1001,S$5,Cálculo!$C$2:$C$1001,$B$3*100+$A10)</f>
        <v>0</v>
      </c>
      <c r="Y10" s="122">
        <f>SUMIFS(Cálculo!$K$2:$K$1001,Cálculo!$A$2:$A$1001,S$5,Cálculo!$C$2:$C$1001,$B$3*100+$A10)+SUMIFS(Cálculo!$L$2:$L$1001,Cálculo!$A$2:$A$1001,S$5,Cálculo!$C$2:$C$1001,$B$3*100+$A10)</f>
        <v>0</v>
      </c>
      <c r="Z10" s="128">
        <f>SUMIFS(Cálculo!$N$2:$N$1001,Cálculo!$A$2:$A$1001,S$5,Cálculo!$C$2:$C$1001,$B$3*100+$A10)</f>
        <v>0</v>
      </c>
      <c r="AA10" s="134">
        <f t="shared" si="3"/>
        <v>0</v>
      </c>
      <c r="AB10" s="122">
        <f t="shared" si="4"/>
        <v>0</v>
      </c>
      <c r="AC10" s="122">
        <f t="shared" si="5"/>
        <v>0</v>
      </c>
      <c r="AD10" s="125">
        <f t="shared" si="6"/>
        <v>0</v>
      </c>
      <c r="AE10" s="122">
        <f t="shared" si="7"/>
        <v>0</v>
      </c>
      <c r="AF10" s="131">
        <f t="shared" si="8"/>
        <v>0</v>
      </c>
    </row>
    <row r="11" spans="1:32" x14ac:dyDescent="0.25">
      <c r="A11" s="13">
        <v>5</v>
      </c>
      <c r="B11" s="81" t="s">
        <v>215</v>
      </c>
      <c r="C11" s="133">
        <f>COUNTIFS(Cálculo!$A$2:$A$1001,C$5,Cálculo!$C$2:$C$1001,$B$3*100+$A11)</f>
        <v>0</v>
      </c>
      <c r="D11" s="136">
        <f>SUMIFS(Cálculo!$D$2:$D$1001,Cálculo!$A$2:$A$1001,C$5,Cálculo!$C$2:$C$1001,$B$3*100+$A11)+SUMIFS(Cálculo!$H$2:$H$1001,Cálculo!$A$2:$A$1001,C$5,Cálculo!$C$2:$C$1001,$B$3*100+$A11)</f>
        <v>0</v>
      </c>
      <c r="E11" s="121">
        <f>SUMIFS(Cálculo!$E$2:$E$1001,Cálculo!$A$2:$A$1001,C$5,Cálculo!$C$2:$C$1001,$B$3*100+$A11)</f>
        <v>0</v>
      </c>
      <c r="F11" s="121">
        <f>SUMIFS(Cálculo!$F$2:$F$1001,Cálculo!$A$2:$A$1001,C$5,Cálculo!$C$2:$C$1001,$B$3*100+$A11)</f>
        <v>0</v>
      </c>
      <c r="G11" s="124">
        <f t="shared" si="0"/>
        <v>0</v>
      </c>
      <c r="H11" s="121">
        <f>SUMIFS(Registro!$H$2:$H$1001,Cálculo!$A$2:$A$1001,C$5,Cálculo!$C$2:$C$1001,$B$3*100+$A11)</f>
        <v>0</v>
      </c>
      <c r="I11" s="121">
        <f>SUMIFS(Cálculo!$K$2:$K$1001,Cálculo!$A$2:$A$1001,C$5,Cálculo!$C$2:$C$1001,$B$3*100+$A11)+SUMIFS(Cálculo!$L$2:$L$1001,Cálculo!$A$2:$A$1001,C$5,Cálculo!$C$2:$C$1001,$B$3*100+$A11)</f>
        <v>0</v>
      </c>
      <c r="J11" s="127">
        <f>SUMIFS(Cálculo!$N$2:$N$1001,Cálculo!$A$2:$A$1001,C$5,Cálculo!$C$2:$C$1001,$B$3*100+$A11)</f>
        <v>0</v>
      </c>
      <c r="K11" s="133">
        <f>COUNTIFS(Cálculo!$A$2:$A$1001,K$5,Cálculo!$C$2:$C$1001,$B$3*100+$A11)</f>
        <v>0</v>
      </c>
      <c r="L11" s="136">
        <f>SUMIFS(Cálculo!$D$2:$D$1001,Cálculo!$A$2:$A$1001,K$5,Cálculo!$C$2:$C$1001,$B$3*100+$A11)+SUMIFS(Cálculo!$H$2:$H$1001,Cálculo!$A$2:$A$1001,K$5,Cálculo!$C$2:$C$1001,$B$3*100+$A11)</f>
        <v>0</v>
      </c>
      <c r="M11" s="121">
        <f>SUMIFS(Cálculo!$E$2:$E$1001,Cálculo!$A$2:$A$1001,K$5,Cálculo!$C$2:$C$1001,$B$3*100+$A11)</f>
        <v>0</v>
      </c>
      <c r="N11" s="121">
        <f>SUMIFS(Cálculo!$F$2:$F$1001,Cálculo!$A$2:$A$1001,K$5,Cálculo!$C$2:$C$1001,$B$3*100+$A11)</f>
        <v>0</v>
      </c>
      <c r="O11" s="124">
        <f t="shared" si="1"/>
        <v>0</v>
      </c>
      <c r="P11" s="121">
        <f>SUMIFS(Registro!$H$2:$H$1001,Cálculo!$A$2:$A$1001,K$5,Cálculo!$C$2:$C$1001,$B$3*100+$A11)</f>
        <v>0</v>
      </c>
      <c r="Q11" s="121">
        <f>SUMIFS(Cálculo!$K$2:$K$1001,Cálculo!$A$2:$A$1001,K$5,Cálculo!$C$2:$C$1001,$B$3*100+$A11)+SUMIFS(Cálculo!$L$2:$L$1001,Cálculo!$A$2:$A$1001,K$5,Cálculo!$C$2:$C$1001,$B$3*100+$A11)</f>
        <v>0</v>
      </c>
      <c r="R11" s="127">
        <f>SUMIFS(Cálculo!$N$2:$N$1001,Cálculo!$A$2:$A$1001,K$5,Cálculo!$C$2:$C$1001,$B$3*100+$A11)</f>
        <v>0</v>
      </c>
      <c r="S11" s="133">
        <f>COUNTIFS(Cálculo!$A$2:$A$1001,S$5,Cálculo!$C$2:$C$1001,$B$3*100+$A11)</f>
        <v>0</v>
      </c>
      <c r="T11" s="136">
        <f>SUMIFS(Cálculo!$D$2:$D$1001,Cálculo!$A$2:$A$1001,S$5,Cálculo!$C$2:$C$1001,$B$3*100+$A11)+SUMIFS(Cálculo!$H$2:$H$1001,Cálculo!$A$2:$A$1001,S$5,Cálculo!$C$2:$C$1001,$B$3*100+$A11)</f>
        <v>0</v>
      </c>
      <c r="U11" s="121">
        <f>SUMIFS(Cálculo!$E$2:$E$1001,Cálculo!$A$2:$A$1001,S$5,Cálculo!$C$2:$C$1001,$B$3*100+$A11)</f>
        <v>0</v>
      </c>
      <c r="V11" s="121">
        <f>SUMIFS(Cálculo!$F$2:$F$1001,Cálculo!$A$2:$A$1001,S$5,Cálculo!$C$2:$C$1001,$B$3*100+$A11)</f>
        <v>0</v>
      </c>
      <c r="W11" s="124">
        <f t="shared" si="2"/>
        <v>0</v>
      </c>
      <c r="X11" s="121">
        <f>SUMIFS(Registro!$H$2:$H$1001,Cálculo!$A$2:$A$1001,S$5,Cálculo!$C$2:$C$1001,$B$3*100+$A11)</f>
        <v>0</v>
      </c>
      <c r="Y11" s="121">
        <f>SUMIFS(Cálculo!$K$2:$K$1001,Cálculo!$A$2:$A$1001,S$5,Cálculo!$C$2:$C$1001,$B$3*100+$A11)+SUMIFS(Cálculo!$L$2:$L$1001,Cálculo!$A$2:$A$1001,S$5,Cálculo!$C$2:$C$1001,$B$3*100+$A11)</f>
        <v>0</v>
      </c>
      <c r="Z11" s="127">
        <f>SUMIFS(Cálculo!$N$2:$N$1001,Cálculo!$A$2:$A$1001,S$5,Cálculo!$C$2:$C$1001,$B$3*100+$A11)</f>
        <v>0</v>
      </c>
      <c r="AA11" s="133">
        <f t="shared" si="3"/>
        <v>0</v>
      </c>
      <c r="AB11" s="121">
        <f t="shared" si="4"/>
        <v>0</v>
      </c>
      <c r="AC11" s="121">
        <f t="shared" si="5"/>
        <v>0</v>
      </c>
      <c r="AD11" s="124">
        <f t="shared" si="6"/>
        <v>0</v>
      </c>
      <c r="AE11" s="121">
        <f t="shared" si="7"/>
        <v>0</v>
      </c>
      <c r="AF11" s="130">
        <f t="shared" si="8"/>
        <v>0</v>
      </c>
    </row>
    <row r="12" spans="1:32" x14ac:dyDescent="0.25">
      <c r="A12" s="72">
        <v>6</v>
      </c>
      <c r="B12" s="82" t="s">
        <v>216</v>
      </c>
      <c r="C12" s="134">
        <f>COUNTIFS(Cálculo!$A$2:$A$1001,C$5,Cálculo!$C$2:$C$1001,$B$3*100+$A12)</f>
        <v>0</v>
      </c>
      <c r="D12" s="137">
        <f>SUMIFS(Cálculo!$D$2:$D$1001,Cálculo!$A$2:$A$1001,C$5,Cálculo!$C$2:$C$1001,$B$3*100+$A12)+SUMIFS(Cálculo!$H$2:$H$1001,Cálculo!$A$2:$A$1001,C$5,Cálculo!$C$2:$C$1001,$B$3*100+$A12)</f>
        <v>0</v>
      </c>
      <c r="E12" s="122">
        <f>SUMIFS(Cálculo!$E$2:$E$1001,Cálculo!$A$2:$A$1001,C$5,Cálculo!$C$2:$C$1001,$B$3*100+$A12)</f>
        <v>0</v>
      </c>
      <c r="F12" s="122">
        <f>SUMIFS(Cálculo!$F$2:$F$1001,Cálculo!$A$2:$A$1001,C$5,Cálculo!$C$2:$C$1001,$B$3*100+$A12)</f>
        <v>0</v>
      </c>
      <c r="G12" s="125">
        <f t="shared" si="0"/>
        <v>0</v>
      </c>
      <c r="H12" s="122">
        <f>SUMIFS(Registro!$H$2:$H$1001,Cálculo!$A$2:$A$1001,C$5,Cálculo!$C$2:$C$1001,$B$3*100+$A12)</f>
        <v>0</v>
      </c>
      <c r="I12" s="122">
        <f>SUMIFS(Cálculo!$K$2:$K$1001,Cálculo!$A$2:$A$1001,C$5,Cálculo!$C$2:$C$1001,$B$3*100+$A12)+SUMIFS(Cálculo!$L$2:$L$1001,Cálculo!$A$2:$A$1001,C$5,Cálculo!$C$2:$C$1001,$B$3*100+$A12)</f>
        <v>0</v>
      </c>
      <c r="J12" s="128">
        <f>SUMIFS(Cálculo!$N$2:$N$1001,Cálculo!$A$2:$A$1001,C$5,Cálculo!$C$2:$C$1001,$B$3*100+$A12)</f>
        <v>0</v>
      </c>
      <c r="K12" s="134">
        <f>COUNTIFS(Cálculo!$A$2:$A$1001,K$5,Cálculo!$C$2:$C$1001,$B$3*100+$A12)</f>
        <v>0</v>
      </c>
      <c r="L12" s="137">
        <f>SUMIFS(Cálculo!$D$2:$D$1001,Cálculo!$A$2:$A$1001,K$5,Cálculo!$C$2:$C$1001,$B$3*100+$A12)+SUMIFS(Cálculo!$H$2:$H$1001,Cálculo!$A$2:$A$1001,K$5,Cálculo!$C$2:$C$1001,$B$3*100+$A12)</f>
        <v>0</v>
      </c>
      <c r="M12" s="122">
        <f>SUMIFS(Cálculo!$E$2:$E$1001,Cálculo!$A$2:$A$1001,K$5,Cálculo!$C$2:$C$1001,$B$3*100+$A12)</f>
        <v>0</v>
      </c>
      <c r="N12" s="122">
        <f>SUMIFS(Cálculo!$F$2:$F$1001,Cálculo!$A$2:$A$1001,K$5,Cálculo!$C$2:$C$1001,$B$3*100+$A12)</f>
        <v>0</v>
      </c>
      <c r="O12" s="125">
        <f t="shared" si="1"/>
        <v>0</v>
      </c>
      <c r="P12" s="122">
        <f>SUMIFS(Registro!$H$2:$H$1001,Cálculo!$A$2:$A$1001,K$5,Cálculo!$C$2:$C$1001,$B$3*100+$A12)</f>
        <v>0</v>
      </c>
      <c r="Q12" s="122">
        <f>SUMIFS(Cálculo!$K$2:$K$1001,Cálculo!$A$2:$A$1001,K$5,Cálculo!$C$2:$C$1001,$B$3*100+$A12)+SUMIFS(Cálculo!$L$2:$L$1001,Cálculo!$A$2:$A$1001,K$5,Cálculo!$C$2:$C$1001,$B$3*100+$A12)</f>
        <v>0</v>
      </c>
      <c r="R12" s="128">
        <f>SUMIFS(Cálculo!$N$2:$N$1001,Cálculo!$A$2:$A$1001,K$5,Cálculo!$C$2:$C$1001,$B$3*100+$A12)</f>
        <v>0</v>
      </c>
      <c r="S12" s="134">
        <f>COUNTIFS(Cálculo!$A$2:$A$1001,S$5,Cálculo!$C$2:$C$1001,$B$3*100+$A12)</f>
        <v>0</v>
      </c>
      <c r="T12" s="137">
        <f>SUMIFS(Cálculo!$D$2:$D$1001,Cálculo!$A$2:$A$1001,S$5,Cálculo!$C$2:$C$1001,$B$3*100+$A12)+SUMIFS(Cálculo!$H$2:$H$1001,Cálculo!$A$2:$A$1001,S$5,Cálculo!$C$2:$C$1001,$B$3*100+$A12)</f>
        <v>0</v>
      </c>
      <c r="U12" s="122">
        <f>SUMIFS(Cálculo!$E$2:$E$1001,Cálculo!$A$2:$A$1001,S$5,Cálculo!$C$2:$C$1001,$B$3*100+$A12)</f>
        <v>0</v>
      </c>
      <c r="V12" s="122">
        <f>SUMIFS(Cálculo!$F$2:$F$1001,Cálculo!$A$2:$A$1001,S$5,Cálculo!$C$2:$C$1001,$B$3*100+$A12)</f>
        <v>0</v>
      </c>
      <c r="W12" s="125">
        <f t="shared" si="2"/>
        <v>0</v>
      </c>
      <c r="X12" s="122">
        <f>SUMIFS(Registro!$H$2:$H$1001,Cálculo!$A$2:$A$1001,S$5,Cálculo!$C$2:$C$1001,$B$3*100+$A12)</f>
        <v>0</v>
      </c>
      <c r="Y12" s="122">
        <f>SUMIFS(Cálculo!$K$2:$K$1001,Cálculo!$A$2:$A$1001,S$5,Cálculo!$C$2:$C$1001,$B$3*100+$A12)+SUMIFS(Cálculo!$L$2:$L$1001,Cálculo!$A$2:$A$1001,S$5,Cálculo!$C$2:$C$1001,$B$3*100+$A12)</f>
        <v>0</v>
      </c>
      <c r="Z12" s="128">
        <f>SUMIFS(Cálculo!$N$2:$N$1001,Cálculo!$A$2:$A$1001,S$5,Cálculo!$C$2:$C$1001,$B$3*100+$A12)</f>
        <v>0</v>
      </c>
      <c r="AA12" s="134">
        <f t="shared" si="3"/>
        <v>0</v>
      </c>
      <c r="AB12" s="122">
        <f t="shared" si="4"/>
        <v>0</v>
      </c>
      <c r="AC12" s="122">
        <f t="shared" si="5"/>
        <v>0</v>
      </c>
      <c r="AD12" s="125">
        <f t="shared" si="6"/>
        <v>0</v>
      </c>
      <c r="AE12" s="122">
        <f t="shared" si="7"/>
        <v>0</v>
      </c>
      <c r="AF12" s="131">
        <f t="shared" si="8"/>
        <v>0</v>
      </c>
    </row>
    <row r="13" spans="1:32" x14ac:dyDescent="0.25">
      <c r="A13" s="13">
        <v>7</v>
      </c>
      <c r="B13" s="81" t="s">
        <v>217</v>
      </c>
      <c r="C13" s="133">
        <f>COUNTIFS(Cálculo!$A$2:$A$1001,C$5,Cálculo!$C$2:$C$1001,$B$3*100+$A13)</f>
        <v>0</v>
      </c>
      <c r="D13" s="136">
        <f>SUMIFS(Cálculo!$D$2:$D$1001,Cálculo!$A$2:$A$1001,C$5,Cálculo!$C$2:$C$1001,$B$3*100+$A13)+SUMIFS(Cálculo!$H$2:$H$1001,Cálculo!$A$2:$A$1001,C$5,Cálculo!$C$2:$C$1001,$B$3*100+$A13)</f>
        <v>0</v>
      </c>
      <c r="E13" s="121">
        <f>SUMIFS(Cálculo!$E$2:$E$1001,Cálculo!$A$2:$A$1001,C$5,Cálculo!$C$2:$C$1001,$B$3*100+$A13)</f>
        <v>0</v>
      </c>
      <c r="F13" s="121">
        <f>SUMIFS(Cálculo!$F$2:$F$1001,Cálculo!$A$2:$A$1001,C$5,Cálculo!$C$2:$C$1001,$B$3*100+$A13)</f>
        <v>0</v>
      </c>
      <c r="G13" s="124">
        <f t="shared" si="0"/>
        <v>0</v>
      </c>
      <c r="H13" s="121">
        <f>SUMIFS(Registro!$H$2:$H$1001,Cálculo!$A$2:$A$1001,C$5,Cálculo!$C$2:$C$1001,$B$3*100+$A13)</f>
        <v>0</v>
      </c>
      <c r="I13" s="121">
        <f>SUMIFS(Cálculo!$K$2:$K$1001,Cálculo!$A$2:$A$1001,C$5,Cálculo!$C$2:$C$1001,$B$3*100+$A13)+SUMIFS(Cálculo!$L$2:$L$1001,Cálculo!$A$2:$A$1001,C$5,Cálculo!$C$2:$C$1001,$B$3*100+$A13)</f>
        <v>0</v>
      </c>
      <c r="J13" s="127">
        <f>SUMIFS(Cálculo!$N$2:$N$1001,Cálculo!$A$2:$A$1001,C$5,Cálculo!$C$2:$C$1001,$B$3*100+$A13)</f>
        <v>0</v>
      </c>
      <c r="K13" s="133">
        <f>COUNTIFS(Cálculo!$A$2:$A$1001,K$5,Cálculo!$C$2:$C$1001,$B$3*100+$A13)</f>
        <v>0</v>
      </c>
      <c r="L13" s="136">
        <f>SUMIFS(Cálculo!$D$2:$D$1001,Cálculo!$A$2:$A$1001,K$5,Cálculo!$C$2:$C$1001,$B$3*100+$A13)+SUMIFS(Cálculo!$H$2:$H$1001,Cálculo!$A$2:$A$1001,K$5,Cálculo!$C$2:$C$1001,$B$3*100+$A13)</f>
        <v>0</v>
      </c>
      <c r="M13" s="121">
        <f>SUMIFS(Cálculo!$E$2:$E$1001,Cálculo!$A$2:$A$1001,K$5,Cálculo!$C$2:$C$1001,$B$3*100+$A13)</f>
        <v>0</v>
      </c>
      <c r="N13" s="121">
        <f>SUMIFS(Cálculo!$F$2:$F$1001,Cálculo!$A$2:$A$1001,K$5,Cálculo!$C$2:$C$1001,$B$3*100+$A13)</f>
        <v>0</v>
      </c>
      <c r="O13" s="124">
        <f t="shared" si="1"/>
        <v>0</v>
      </c>
      <c r="P13" s="121">
        <f>SUMIFS(Registro!$H$2:$H$1001,Cálculo!$A$2:$A$1001,K$5,Cálculo!$C$2:$C$1001,$B$3*100+$A13)</f>
        <v>0</v>
      </c>
      <c r="Q13" s="121">
        <f>SUMIFS(Cálculo!$K$2:$K$1001,Cálculo!$A$2:$A$1001,K$5,Cálculo!$C$2:$C$1001,$B$3*100+$A13)+SUMIFS(Cálculo!$L$2:$L$1001,Cálculo!$A$2:$A$1001,K$5,Cálculo!$C$2:$C$1001,$B$3*100+$A13)</f>
        <v>0</v>
      </c>
      <c r="R13" s="127">
        <f>SUMIFS(Cálculo!$N$2:$N$1001,Cálculo!$A$2:$A$1001,K$5,Cálculo!$C$2:$C$1001,$B$3*100+$A13)</f>
        <v>0</v>
      </c>
      <c r="S13" s="133">
        <f>COUNTIFS(Cálculo!$A$2:$A$1001,S$5,Cálculo!$C$2:$C$1001,$B$3*100+$A13)</f>
        <v>0</v>
      </c>
      <c r="T13" s="136">
        <f>SUMIFS(Cálculo!$D$2:$D$1001,Cálculo!$A$2:$A$1001,S$5,Cálculo!$C$2:$C$1001,$B$3*100+$A13)+SUMIFS(Cálculo!$H$2:$H$1001,Cálculo!$A$2:$A$1001,S$5,Cálculo!$C$2:$C$1001,$B$3*100+$A13)</f>
        <v>0</v>
      </c>
      <c r="U13" s="121">
        <f>SUMIFS(Cálculo!$E$2:$E$1001,Cálculo!$A$2:$A$1001,S$5,Cálculo!$C$2:$C$1001,$B$3*100+$A13)</f>
        <v>0</v>
      </c>
      <c r="V13" s="121">
        <f>SUMIFS(Cálculo!$F$2:$F$1001,Cálculo!$A$2:$A$1001,S$5,Cálculo!$C$2:$C$1001,$B$3*100+$A13)</f>
        <v>0</v>
      </c>
      <c r="W13" s="124">
        <f t="shared" si="2"/>
        <v>0</v>
      </c>
      <c r="X13" s="121">
        <f>SUMIFS(Registro!$H$2:$H$1001,Cálculo!$A$2:$A$1001,S$5,Cálculo!$C$2:$C$1001,$B$3*100+$A13)</f>
        <v>0</v>
      </c>
      <c r="Y13" s="121">
        <f>SUMIFS(Cálculo!$K$2:$K$1001,Cálculo!$A$2:$A$1001,S$5,Cálculo!$C$2:$C$1001,$B$3*100+$A13)+SUMIFS(Cálculo!$L$2:$L$1001,Cálculo!$A$2:$A$1001,S$5,Cálculo!$C$2:$C$1001,$B$3*100+$A13)</f>
        <v>0</v>
      </c>
      <c r="Z13" s="127">
        <f>SUMIFS(Cálculo!$N$2:$N$1001,Cálculo!$A$2:$A$1001,S$5,Cálculo!$C$2:$C$1001,$B$3*100+$A13)</f>
        <v>0</v>
      </c>
      <c r="AA13" s="133">
        <f t="shared" si="3"/>
        <v>0</v>
      </c>
      <c r="AB13" s="121">
        <f t="shared" si="4"/>
        <v>0</v>
      </c>
      <c r="AC13" s="121">
        <f t="shared" si="5"/>
        <v>0</v>
      </c>
      <c r="AD13" s="124">
        <f t="shared" si="6"/>
        <v>0</v>
      </c>
      <c r="AE13" s="121">
        <f t="shared" si="7"/>
        <v>0</v>
      </c>
      <c r="AF13" s="130">
        <f t="shared" si="8"/>
        <v>0</v>
      </c>
    </row>
    <row r="14" spans="1:32" x14ac:dyDescent="0.25">
      <c r="A14" s="72">
        <v>8</v>
      </c>
      <c r="B14" s="82" t="s">
        <v>218</v>
      </c>
      <c r="C14" s="134">
        <f>COUNTIFS(Cálculo!$A$2:$A$1001,C$5,Cálculo!$C$2:$C$1001,$B$3*100+$A14)</f>
        <v>0</v>
      </c>
      <c r="D14" s="137">
        <f>SUMIFS(Cálculo!$D$2:$D$1001,Cálculo!$A$2:$A$1001,C$5,Cálculo!$C$2:$C$1001,$B$3*100+$A14)+SUMIFS(Cálculo!$H$2:$H$1001,Cálculo!$A$2:$A$1001,C$5,Cálculo!$C$2:$C$1001,$B$3*100+$A14)</f>
        <v>0</v>
      </c>
      <c r="E14" s="122">
        <f>SUMIFS(Cálculo!$E$2:$E$1001,Cálculo!$A$2:$A$1001,C$5,Cálculo!$C$2:$C$1001,$B$3*100+$A14)</f>
        <v>0</v>
      </c>
      <c r="F14" s="122">
        <f>SUMIFS(Cálculo!$F$2:$F$1001,Cálculo!$A$2:$A$1001,C$5,Cálculo!$C$2:$C$1001,$B$3*100+$A14)</f>
        <v>0</v>
      </c>
      <c r="G14" s="125">
        <f t="shared" si="0"/>
        <v>0</v>
      </c>
      <c r="H14" s="122">
        <f>SUMIFS(Registro!$H$2:$H$1001,Cálculo!$A$2:$A$1001,C$5,Cálculo!$C$2:$C$1001,$B$3*100+$A14)</f>
        <v>0</v>
      </c>
      <c r="I14" s="122">
        <f>SUMIFS(Cálculo!$K$2:$K$1001,Cálculo!$A$2:$A$1001,C$5,Cálculo!$C$2:$C$1001,$B$3*100+$A14)+SUMIFS(Cálculo!$L$2:$L$1001,Cálculo!$A$2:$A$1001,C$5,Cálculo!$C$2:$C$1001,$B$3*100+$A14)</f>
        <v>0</v>
      </c>
      <c r="J14" s="128">
        <f>SUMIFS(Cálculo!$N$2:$N$1001,Cálculo!$A$2:$A$1001,C$5,Cálculo!$C$2:$C$1001,$B$3*100+$A14)</f>
        <v>0</v>
      </c>
      <c r="K14" s="134">
        <f>COUNTIFS(Cálculo!$A$2:$A$1001,K$5,Cálculo!$C$2:$C$1001,$B$3*100+$A14)</f>
        <v>0</v>
      </c>
      <c r="L14" s="137">
        <f>SUMIFS(Cálculo!$D$2:$D$1001,Cálculo!$A$2:$A$1001,K$5,Cálculo!$C$2:$C$1001,$B$3*100+$A14)+SUMIFS(Cálculo!$H$2:$H$1001,Cálculo!$A$2:$A$1001,K$5,Cálculo!$C$2:$C$1001,$B$3*100+$A14)</f>
        <v>0</v>
      </c>
      <c r="M14" s="122">
        <f>SUMIFS(Cálculo!$E$2:$E$1001,Cálculo!$A$2:$A$1001,K$5,Cálculo!$C$2:$C$1001,$B$3*100+$A14)</f>
        <v>0</v>
      </c>
      <c r="N14" s="122">
        <f>SUMIFS(Cálculo!$F$2:$F$1001,Cálculo!$A$2:$A$1001,K$5,Cálculo!$C$2:$C$1001,$B$3*100+$A14)</f>
        <v>0</v>
      </c>
      <c r="O14" s="125">
        <f t="shared" si="1"/>
        <v>0</v>
      </c>
      <c r="P14" s="122">
        <f>SUMIFS(Registro!$H$2:$H$1001,Cálculo!$A$2:$A$1001,K$5,Cálculo!$C$2:$C$1001,$B$3*100+$A14)</f>
        <v>0</v>
      </c>
      <c r="Q14" s="122">
        <f>SUMIFS(Cálculo!$K$2:$K$1001,Cálculo!$A$2:$A$1001,K$5,Cálculo!$C$2:$C$1001,$B$3*100+$A14)+SUMIFS(Cálculo!$L$2:$L$1001,Cálculo!$A$2:$A$1001,K$5,Cálculo!$C$2:$C$1001,$B$3*100+$A14)</f>
        <v>0</v>
      </c>
      <c r="R14" s="128">
        <f>SUMIFS(Cálculo!$N$2:$N$1001,Cálculo!$A$2:$A$1001,K$5,Cálculo!$C$2:$C$1001,$B$3*100+$A14)</f>
        <v>0</v>
      </c>
      <c r="S14" s="134">
        <f>COUNTIFS(Cálculo!$A$2:$A$1001,S$5,Cálculo!$C$2:$C$1001,$B$3*100+$A14)</f>
        <v>0</v>
      </c>
      <c r="T14" s="137">
        <f>SUMIFS(Cálculo!$D$2:$D$1001,Cálculo!$A$2:$A$1001,S$5,Cálculo!$C$2:$C$1001,$B$3*100+$A14)+SUMIFS(Cálculo!$H$2:$H$1001,Cálculo!$A$2:$A$1001,S$5,Cálculo!$C$2:$C$1001,$B$3*100+$A14)</f>
        <v>0</v>
      </c>
      <c r="U14" s="122">
        <f>SUMIFS(Cálculo!$E$2:$E$1001,Cálculo!$A$2:$A$1001,S$5,Cálculo!$C$2:$C$1001,$B$3*100+$A14)</f>
        <v>0</v>
      </c>
      <c r="V14" s="122">
        <f>SUMIFS(Cálculo!$F$2:$F$1001,Cálculo!$A$2:$A$1001,S$5,Cálculo!$C$2:$C$1001,$B$3*100+$A14)</f>
        <v>0</v>
      </c>
      <c r="W14" s="125">
        <f t="shared" si="2"/>
        <v>0</v>
      </c>
      <c r="X14" s="122">
        <f>SUMIFS(Registro!$H$2:$H$1001,Cálculo!$A$2:$A$1001,S$5,Cálculo!$C$2:$C$1001,$B$3*100+$A14)</f>
        <v>0</v>
      </c>
      <c r="Y14" s="122">
        <f>SUMIFS(Cálculo!$K$2:$K$1001,Cálculo!$A$2:$A$1001,S$5,Cálculo!$C$2:$C$1001,$B$3*100+$A14)+SUMIFS(Cálculo!$L$2:$L$1001,Cálculo!$A$2:$A$1001,S$5,Cálculo!$C$2:$C$1001,$B$3*100+$A14)</f>
        <v>0</v>
      </c>
      <c r="Z14" s="128">
        <f>SUMIFS(Cálculo!$N$2:$N$1001,Cálculo!$A$2:$A$1001,S$5,Cálculo!$C$2:$C$1001,$B$3*100+$A14)</f>
        <v>0</v>
      </c>
      <c r="AA14" s="134">
        <f t="shared" si="3"/>
        <v>0</v>
      </c>
      <c r="AB14" s="122">
        <f t="shared" si="4"/>
        <v>0</v>
      </c>
      <c r="AC14" s="122">
        <f t="shared" si="5"/>
        <v>0</v>
      </c>
      <c r="AD14" s="125">
        <f t="shared" si="6"/>
        <v>0</v>
      </c>
      <c r="AE14" s="122">
        <f t="shared" si="7"/>
        <v>0</v>
      </c>
      <c r="AF14" s="131">
        <f t="shared" si="8"/>
        <v>0</v>
      </c>
    </row>
    <row r="15" spans="1:32" x14ac:dyDescent="0.25">
      <c r="A15" s="13">
        <v>9</v>
      </c>
      <c r="B15" s="81" t="s">
        <v>219</v>
      </c>
      <c r="C15" s="133">
        <f>COUNTIFS(Cálculo!$A$2:$A$1001,C$5,Cálculo!$C$2:$C$1001,$B$3*100+$A15)</f>
        <v>0</v>
      </c>
      <c r="D15" s="136">
        <f>SUMIFS(Cálculo!$D$2:$D$1001,Cálculo!$A$2:$A$1001,C$5,Cálculo!$C$2:$C$1001,$B$3*100+$A15)+SUMIFS(Cálculo!$H$2:$H$1001,Cálculo!$A$2:$A$1001,C$5,Cálculo!$C$2:$C$1001,$B$3*100+$A15)</f>
        <v>0</v>
      </c>
      <c r="E15" s="121">
        <f>SUMIFS(Cálculo!$E$2:$E$1001,Cálculo!$A$2:$A$1001,C$5,Cálculo!$C$2:$C$1001,$B$3*100+$A15)</f>
        <v>0</v>
      </c>
      <c r="F15" s="121">
        <f>SUMIFS(Cálculo!$F$2:$F$1001,Cálculo!$A$2:$A$1001,C$5,Cálculo!$C$2:$C$1001,$B$3*100+$A15)</f>
        <v>0</v>
      </c>
      <c r="G15" s="124">
        <f t="shared" si="0"/>
        <v>0</v>
      </c>
      <c r="H15" s="121">
        <f>SUMIFS(Registro!$H$2:$H$1001,Cálculo!$A$2:$A$1001,C$5,Cálculo!$C$2:$C$1001,$B$3*100+$A15)</f>
        <v>0</v>
      </c>
      <c r="I15" s="121">
        <f>SUMIFS(Cálculo!$K$2:$K$1001,Cálculo!$A$2:$A$1001,C$5,Cálculo!$C$2:$C$1001,$B$3*100+$A15)+SUMIFS(Cálculo!$L$2:$L$1001,Cálculo!$A$2:$A$1001,C$5,Cálculo!$C$2:$C$1001,$B$3*100+$A15)</f>
        <v>0</v>
      </c>
      <c r="J15" s="127">
        <f>SUMIFS(Cálculo!$N$2:$N$1001,Cálculo!$A$2:$A$1001,C$5,Cálculo!$C$2:$C$1001,$B$3*100+$A15)</f>
        <v>0</v>
      </c>
      <c r="K15" s="133">
        <f>COUNTIFS(Cálculo!$A$2:$A$1001,K$5,Cálculo!$C$2:$C$1001,$B$3*100+$A15)</f>
        <v>0</v>
      </c>
      <c r="L15" s="136">
        <f>SUMIFS(Cálculo!$D$2:$D$1001,Cálculo!$A$2:$A$1001,K$5,Cálculo!$C$2:$C$1001,$B$3*100+$A15)+SUMIFS(Cálculo!$H$2:$H$1001,Cálculo!$A$2:$A$1001,K$5,Cálculo!$C$2:$C$1001,$B$3*100+$A15)</f>
        <v>0</v>
      </c>
      <c r="M15" s="121">
        <f>SUMIFS(Cálculo!$E$2:$E$1001,Cálculo!$A$2:$A$1001,K$5,Cálculo!$C$2:$C$1001,$B$3*100+$A15)</f>
        <v>0</v>
      </c>
      <c r="N15" s="121">
        <f>SUMIFS(Cálculo!$F$2:$F$1001,Cálculo!$A$2:$A$1001,K$5,Cálculo!$C$2:$C$1001,$B$3*100+$A15)</f>
        <v>0</v>
      </c>
      <c r="O15" s="124">
        <f t="shared" si="1"/>
        <v>0</v>
      </c>
      <c r="P15" s="121">
        <f>SUMIFS(Registro!$H$2:$H$1001,Cálculo!$A$2:$A$1001,K$5,Cálculo!$C$2:$C$1001,$B$3*100+$A15)</f>
        <v>0</v>
      </c>
      <c r="Q15" s="121">
        <f>SUMIFS(Cálculo!$K$2:$K$1001,Cálculo!$A$2:$A$1001,K$5,Cálculo!$C$2:$C$1001,$B$3*100+$A15)+SUMIFS(Cálculo!$L$2:$L$1001,Cálculo!$A$2:$A$1001,K$5,Cálculo!$C$2:$C$1001,$B$3*100+$A15)</f>
        <v>0</v>
      </c>
      <c r="R15" s="127">
        <f>SUMIFS(Cálculo!$N$2:$N$1001,Cálculo!$A$2:$A$1001,K$5,Cálculo!$C$2:$C$1001,$B$3*100+$A15)</f>
        <v>0</v>
      </c>
      <c r="S15" s="133">
        <f>COUNTIFS(Cálculo!$A$2:$A$1001,S$5,Cálculo!$C$2:$C$1001,$B$3*100+$A15)</f>
        <v>0</v>
      </c>
      <c r="T15" s="136">
        <f>SUMIFS(Cálculo!$D$2:$D$1001,Cálculo!$A$2:$A$1001,S$5,Cálculo!$C$2:$C$1001,$B$3*100+$A15)+SUMIFS(Cálculo!$H$2:$H$1001,Cálculo!$A$2:$A$1001,S$5,Cálculo!$C$2:$C$1001,$B$3*100+$A15)</f>
        <v>0</v>
      </c>
      <c r="U15" s="121">
        <f>SUMIFS(Cálculo!$E$2:$E$1001,Cálculo!$A$2:$A$1001,S$5,Cálculo!$C$2:$C$1001,$B$3*100+$A15)</f>
        <v>0</v>
      </c>
      <c r="V15" s="121">
        <f>SUMIFS(Cálculo!$F$2:$F$1001,Cálculo!$A$2:$A$1001,S$5,Cálculo!$C$2:$C$1001,$B$3*100+$A15)</f>
        <v>0</v>
      </c>
      <c r="W15" s="124">
        <f t="shared" si="2"/>
        <v>0</v>
      </c>
      <c r="X15" s="121">
        <f>SUMIFS(Registro!$H$2:$H$1001,Cálculo!$A$2:$A$1001,S$5,Cálculo!$C$2:$C$1001,$B$3*100+$A15)</f>
        <v>0</v>
      </c>
      <c r="Y15" s="121">
        <f>SUMIFS(Cálculo!$K$2:$K$1001,Cálculo!$A$2:$A$1001,S$5,Cálculo!$C$2:$C$1001,$B$3*100+$A15)+SUMIFS(Cálculo!$L$2:$L$1001,Cálculo!$A$2:$A$1001,S$5,Cálculo!$C$2:$C$1001,$B$3*100+$A15)</f>
        <v>0</v>
      </c>
      <c r="Z15" s="127">
        <f>SUMIFS(Cálculo!$N$2:$N$1001,Cálculo!$A$2:$A$1001,S$5,Cálculo!$C$2:$C$1001,$B$3*100+$A15)</f>
        <v>0</v>
      </c>
      <c r="AA15" s="133">
        <f t="shared" si="3"/>
        <v>0</v>
      </c>
      <c r="AB15" s="121">
        <f t="shared" si="4"/>
        <v>0</v>
      </c>
      <c r="AC15" s="121">
        <f t="shared" si="5"/>
        <v>0</v>
      </c>
      <c r="AD15" s="124">
        <f t="shared" si="6"/>
        <v>0</v>
      </c>
      <c r="AE15" s="121">
        <f t="shared" si="7"/>
        <v>0</v>
      </c>
      <c r="AF15" s="130">
        <f t="shared" si="8"/>
        <v>0</v>
      </c>
    </row>
    <row r="16" spans="1:32" x14ac:dyDescent="0.25">
      <c r="A16" s="72">
        <v>10</v>
      </c>
      <c r="B16" s="82" t="s">
        <v>182</v>
      </c>
      <c r="C16" s="134">
        <f>COUNTIFS(Cálculo!$A$2:$A$1001,C$5,Cálculo!$C$2:$C$1001,$B$3*100+$A16)</f>
        <v>26</v>
      </c>
      <c r="D16" s="137">
        <f>SUMIFS(Cálculo!$D$2:$D$1001,Cálculo!$A$2:$A$1001,C$5,Cálculo!$C$2:$C$1001,$B$3*100+$A16)+SUMIFS(Cálculo!$H$2:$H$1001,Cálculo!$A$2:$A$1001,C$5,Cálculo!$C$2:$C$1001,$B$3*100+$A16)</f>
        <v>1129</v>
      </c>
      <c r="E16" s="122">
        <f>SUMIFS(Cálculo!$E$2:$E$1001,Cálculo!$A$2:$A$1001,C$5,Cálculo!$C$2:$C$1001,$B$3*100+$A16)</f>
        <v>53675</v>
      </c>
      <c r="F16" s="122">
        <f>SUMIFS(Cálculo!$F$2:$F$1001,Cálculo!$A$2:$A$1001,C$5,Cálculo!$C$2:$C$1001,$B$3*100+$A16)</f>
        <v>0</v>
      </c>
      <c r="G16" s="125">
        <f t="shared" si="0"/>
        <v>53675</v>
      </c>
      <c r="H16" s="122">
        <f>SUMIFS(Registro!$H$2:$H$1001,Cálculo!$A$2:$A$1001,C$5,Cálculo!$C$2:$C$1001,$B$3*100+$A16)</f>
        <v>72319</v>
      </c>
      <c r="I16" s="122">
        <f>SUMIFS(Cálculo!$K$2:$K$1001,Cálculo!$A$2:$A$1001,C$5,Cálculo!$C$2:$C$1001,$B$3*100+$A16)+SUMIFS(Cálculo!$L$2:$L$1001,Cálculo!$A$2:$A$1001,C$5,Cálculo!$C$2:$C$1001,$B$3*100+$A16)</f>
        <v>69567</v>
      </c>
      <c r="J16" s="128">
        <f>SUMIFS(Cálculo!$N$2:$N$1001,Cálculo!$A$2:$A$1001,C$5,Cálculo!$C$2:$C$1001,$B$3*100+$A16)</f>
        <v>2752</v>
      </c>
      <c r="K16" s="134">
        <f>COUNTIFS(Cálculo!$A$2:$A$1001,K$5,Cálculo!$C$2:$C$1001,$B$3*100+$A16)</f>
        <v>23</v>
      </c>
      <c r="L16" s="137">
        <f>SUMIFS(Cálculo!$D$2:$D$1001,Cálculo!$A$2:$A$1001,K$5,Cálculo!$C$2:$C$1001,$B$3*100+$A16)+SUMIFS(Cálculo!$H$2:$H$1001,Cálculo!$A$2:$A$1001,K$5,Cálculo!$C$2:$C$1001,$B$3*100+$A16)</f>
        <v>1253</v>
      </c>
      <c r="M16" s="122">
        <f>SUMIFS(Cálculo!$E$2:$E$1001,Cálculo!$A$2:$A$1001,K$5,Cálculo!$C$2:$C$1001,$B$3*100+$A16)</f>
        <v>52980</v>
      </c>
      <c r="N16" s="122">
        <f>SUMIFS(Cálculo!$F$2:$F$1001,Cálculo!$A$2:$A$1001,K$5,Cálculo!$C$2:$C$1001,$B$3*100+$A16)</f>
        <v>0</v>
      </c>
      <c r="O16" s="125">
        <f t="shared" si="1"/>
        <v>52980</v>
      </c>
      <c r="P16" s="122">
        <f>SUMIFS(Registro!$H$2:$H$1001,Cálculo!$A$2:$A$1001,K$5,Cálculo!$C$2:$C$1001,$B$3*100+$A16)</f>
        <v>58695</v>
      </c>
      <c r="Q16" s="122">
        <f>SUMIFS(Cálculo!$K$2:$K$1001,Cálculo!$A$2:$A$1001,K$5,Cálculo!$C$2:$C$1001,$B$3*100+$A16)+SUMIFS(Cálculo!$L$2:$L$1001,Cálculo!$A$2:$A$1001,K$5,Cálculo!$C$2:$C$1001,$B$3*100+$A16)</f>
        <v>8647</v>
      </c>
      <c r="R16" s="128">
        <f>SUMIFS(Cálculo!$N$2:$N$1001,Cálculo!$A$2:$A$1001,K$5,Cálculo!$C$2:$C$1001,$B$3*100+$A16)</f>
        <v>50048</v>
      </c>
      <c r="S16" s="134">
        <f>COUNTIFS(Cálculo!$A$2:$A$1001,S$5,Cálculo!$C$2:$C$1001,$B$3*100+$A16)</f>
        <v>0</v>
      </c>
      <c r="T16" s="137">
        <f>SUMIFS(Cálculo!$D$2:$D$1001,Cálculo!$A$2:$A$1001,S$5,Cálculo!$C$2:$C$1001,$B$3*100+$A16)+SUMIFS(Cálculo!$H$2:$H$1001,Cálculo!$A$2:$A$1001,S$5,Cálculo!$C$2:$C$1001,$B$3*100+$A16)</f>
        <v>0</v>
      </c>
      <c r="U16" s="122">
        <f>SUMIFS(Cálculo!$E$2:$E$1001,Cálculo!$A$2:$A$1001,S$5,Cálculo!$C$2:$C$1001,$B$3*100+$A16)</f>
        <v>0</v>
      </c>
      <c r="V16" s="122">
        <f>SUMIFS(Cálculo!$F$2:$F$1001,Cálculo!$A$2:$A$1001,S$5,Cálculo!$C$2:$C$1001,$B$3*100+$A16)</f>
        <v>0</v>
      </c>
      <c r="W16" s="125">
        <f t="shared" si="2"/>
        <v>0</v>
      </c>
      <c r="X16" s="122">
        <f>SUMIFS(Registro!$H$2:$H$1001,Cálculo!$A$2:$A$1001,S$5,Cálculo!$C$2:$C$1001,$B$3*100+$A16)</f>
        <v>0</v>
      </c>
      <c r="Y16" s="122">
        <f>SUMIFS(Cálculo!$K$2:$K$1001,Cálculo!$A$2:$A$1001,S$5,Cálculo!$C$2:$C$1001,$B$3*100+$A16)+SUMIFS(Cálculo!$L$2:$L$1001,Cálculo!$A$2:$A$1001,S$5,Cálculo!$C$2:$C$1001,$B$3*100+$A16)</f>
        <v>0</v>
      </c>
      <c r="Z16" s="128">
        <f>SUMIFS(Cálculo!$N$2:$N$1001,Cálculo!$A$2:$A$1001,S$5,Cálculo!$C$2:$C$1001,$B$3*100+$A16)</f>
        <v>0</v>
      </c>
      <c r="AA16" s="134">
        <f t="shared" si="3"/>
        <v>49</v>
      </c>
      <c r="AB16" s="122">
        <f t="shared" si="4"/>
        <v>106655</v>
      </c>
      <c r="AC16" s="122">
        <f t="shared" si="5"/>
        <v>0</v>
      </c>
      <c r="AD16" s="125">
        <f t="shared" si="6"/>
        <v>106655</v>
      </c>
      <c r="AE16" s="122">
        <f t="shared" si="7"/>
        <v>131014</v>
      </c>
      <c r="AF16" s="131">
        <f t="shared" si="8"/>
        <v>52800</v>
      </c>
    </row>
    <row r="17" spans="1:32" x14ac:dyDescent="0.25">
      <c r="A17" s="13">
        <v>11</v>
      </c>
      <c r="B17" s="81" t="s">
        <v>220</v>
      </c>
      <c r="C17" s="133">
        <f>COUNTIFS(Cálculo!$A$2:$A$1001,C$5,Cálculo!$C$2:$C$1001,$B$3*100+$A17)</f>
        <v>0</v>
      </c>
      <c r="D17" s="136">
        <f>SUMIFS(Cálculo!$D$2:$D$1001,Cálculo!$A$2:$A$1001,C$5,Cálculo!$C$2:$C$1001,$B$3*100+$A17)+SUMIFS(Cálculo!$H$2:$H$1001,Cálculo!$A$2:$A$1001,C$5,Cálculo!$C$2:$C$1001,$B$3*100+$A17)</f>
        <v>0</v>
      </c>
      <c r="E17" s="121">
        <f>SUMIFS(Cálculo!$E$2:$E$1001,Cálculo!$A$2:$A$1001,C$5,Cálculo!$C$2:$C$1001,$B$3*100+$A17)</f>
        <v>0</v>
      </c>
      <c r="F17" s="121">
        <f>SUMIFS(Cálculo!$F$2:$F$1001,Cálculo!$A$2:$A$1001,C$5,Cálculo!$C$2:$C$1001,$B$3*100+$A17)</f>
        <v>0</v>
      </c>
      <c r="G17" s="124">
        <f t="shared" si="0"/>
        <v>0</v>
      </c>
      <c r="H17" s="121">
        <f>SUMIFS(Registro!$H$2:$H$1001,Cálculo!$A$2:$A$1001,C$5,Cálculo!$C$2:$C$1001,$B$3*100+$A17)</f>
        <v>0</v>
      </c>
      <c r="I17" s="121">
        <f>SUMIFS(Cálculo!$K$2:$K$1001,Cálculo!$A$2:$A$1001,C$5,Cálculo!$C$2:$C$1001,$B$3*100+$A17)+SUMIFS(Cálculo!$L$2:$L$1001,Cálculo!$A$2:$A$1001,C$5,Cálculo!$C$2:$C$1001,$B$3*100+$A17)</f>
        <v>0</v>
      </c>
      <c r="J17" s="127">
        <f>SUMIFS(Cálculo!$N$2:$N$1001,Cálculo!$A$2:$A$1001,C$5,Cálculo!$C$2:$C$1001,$B$3*100+$A17)</f>
        <v>0</v>
      </c>
      <c r="K17" s="133">
        <f>COUNTIFS(Cálculo!$A$2:$A$1001,K$5,Cálculo!$C$2:$C$1001,$B$3*100+$A17)</f>
        <v>0</v>
      </c>
      <c r="L17" s="136">
        <f>SUMIFS(Cálculo!$D$2:$D$1001,Cálculo!$A$2:$A$1001,K$5,Cálculo!$C$2:$C$1001,$B$3*100+$A17)+SUMIFS(Cálculo!$H$2:$H$1001,Cálculo!$A$2:$A$1001,K$5,Cálculo!$C$2:$C$1001,$B$3*100+$A17)</f>
        <v>0</v>
      </c>
      <c r="M17" s="121">
        <f>SUMIFS(Cálculo!$E$2:$E$1001,Cálculo!$A$2:$A$1001,K$5,Cálculo!$C$2:$C$1001,$B$3*100+$A17)</f>
        <v>0</v>
      </c>
      <c r="N17" s="121">
        <f>SUMIFS(Cálculo!$F$2:$F$1001,Cálculo!$A$2:$A$1001,K$5,Cálculo!$C$2:$C$1001,$B$3*100+$A17)</f>
        <v>0</v>
      </c>
      <c r="O17" s="124">
        <f t="shared" si="1"/>
        <v>0</v>
      </c>
      <c r="P17" s="121">
        <f>SUMIFS(Registro!$H$2:$H$1001,Cálculo!$A$2:$A$1001,K$5,Cálculo!$C$2:$C$1001,$B$3*100+$A17)</f>
        <v>0</v>
      </c>
      <c r="Q17" s="121">
        <f>SUMIFS(Cálculo!$K$2:$K$1001,Cálculo!$A$2:$A$1001,K$5,Cálculo!$C$2:$C$1001,$B$3*100+$A17)+SUMIFS(Cálculo!$L$2:$L$1001,Cálculo!$A$2:$A$1001,K$5,Cálculo!$C$2:$C$1001,$B$3*100+$A17)</f>
        <v>0</v>
      </c>
      <c r="R17" s="127">
        <f>SUMIFS(Cálculo!$N$2:$N$1001,Cálculo!$A$2:$A$1001,K$5,Cálculo!$C$2:$C$1001,$B$3*100+$A17)</f>
        <v>0</v>
      </c>
      <c r="S17" s="133">
        <f>COUNTIFS(Cálculo!$A$2:$A$1001,S$5,Cálculo!$C$2:$C$1001,$B$3*100+$A17)</f>
        <v>0</v>
      </c>
      <c r="T17" s="136">
        <f>SUMIFS(Cálculo!$D$2:$D$1001,Cálculo!$A$2:$A$1001,S$5,Cálculo!$C$2:$C$1001,$B$3*100+$A17)+SUMIFS(Cálculo!$H$2:$H$1001,Cálculo!$A$2:$A$1001,S$5,Cálculo!$C$2:$C$1001,$B$3*100+$A17)</f>
        <v>0</v>
      </c>
      <c r="U17" s="121">
        <f>SUMIFS(Cálculo!$E$2:$E$1001,Cálculo!$A$2:$A$1001,S$5,Cálculo!$C$2:$C$1001,$B$3*100+$A17)</f>
        <v>0</v>
      </c>
      <c r="V17" s="121">
        <f>SUMIFS(Cálculo!$F$2:$F$1001,Cálculo!$A$2:$A$1001,S$5,Cálculo!$C$2:$C$1001,$B$3*100+$A17)</f>
        <v>0</v>
      </c>
      <c r="W17" s="124">
        <f t="shared" si="2"/>
        <v>0</v>
      </c>
      <c r="X17" s="121">
        <f>SUMIFS(Registro!$H$2:$H$1001,Cálculo!$A$2:$A$1001,S$5,Cálculo!$C$2:$C$1001,$B$3*100+$A17)</f>
        <v>0</v>
      </c>
      <c r="Y17" s="121">
        <f>SUMIFS(Cálculo!$K$2:$K$1001,Cálculo!$A$2:$A$1001,S$5,Cálculo!$C$2:$C$1001,$B$3*100+$A17)+SUMIFS(Cálculo!$L$2:$L$1001,Cálculo!$A$2:$A$1001,S$5,Cálculo!$C$2:$C$1001,$B$3*100+$A17)</f>
        <v>0</v>
      </c>
      <c r="Z17" s="127">
        <f>SUMIFS(Cálculo!$N$2:$N$1001,Cálculo!$A$2:$A$1001,S$5,Cálculo!$C$2:$C$1001,$B$3*100+$A17)</f>
        <v>0</v>
      </c>
      <c r="AA17" s="133">
        <f t="shared" si="3"/>
        <v>0</v>
      </c>
      <c r="AB17" s="121">
        <f t="shared" si="4"/>
        <v>0</v>
      </c>
      <c r="AC17" s="121">
        <f t="shared" si="5"/>
        <v>0</v>
      </c>
      <c r="AD17" s="124">
        <f t="shared" si="6"/>
        <v>0</v>
      </c>
      <c r="AE17" s="121">
        <f t="shared" si="7"/>
        <v>0</v>
      </c>
      <c r="AF17" s="130">
        <f t="shared" si="8"/>
        <v>0</v>
      </c>
    </row>
    <row r="18" spans="1:32" ht="15.75" thickBot="1" x14ac:dyDescent="0.3">
      <c r="A18" s="73">
        <v>12</v>
      </c>
      <c r="B18" s="83" t="s">
        <v>221</v>
      </c>
      <c r="C18" s="135">
        <f>COUNTIFS(Cálculo!$A$2:$A$1001,C$5,Cálculo!$C$2:$C$1001,$B$3*100+$A18)</f>
        <v>0</v>
      </c>
      <c r="D18" s="138">
        <f>SUMIFS(Cálculo!$D$2:$D$1001,Cálculo!$A$2:$A$1001,C$5,Cálculo!$C$2:$C$1001,$B$3*100+$A18)+SUMIFS(Cálculo!$H$2:$H$1001,Cálculo!$A$2:$A$1001,C$5,Cálculo!$C$2:$C$1001,$B$3*100+$A18)</f>
        <v>0</v>
      </c>
      <c r="E18" s="123">
        <f>SUMIFS(Cálculo!$E$2:$E$1001,Cálculo!$A$2:$A$1001,C$5,Cálculo!$C$2:$C$1001,$B$3*100+$A18)</f>
        <v>0</v>
      </c>
      <c r="F18" s="123">
        <f>SUMIFS(Cálculo!$F$2:$F$1001,Cálculo!$A$2:$A$1001,C$5,Cálculo!$C$2:$C$1001,$B$3*100+$A18)</f>
        <v>0</v>
      </c>
      <c r="G18" s="126">
        <f t="shared" si="0"/>
        <v>0</v>
      </c>
      <c r="H18" s="123">
        <f>SUMIFS(Registro!$H$2:$H$1001,Cálculo!$A$2:$A$1001,C$5,Cálculo!$C$2:$C$1001,$B$3*100+$A18)</f>
        <v>0</v>
      </c>
      <c r="I18" s="123">
        <f>SUMIFS(Cálculo!$K$2:$K$1001,Cálculo!$A$2:$A$1001,C$5,Cálculo!$C$2:$C$1001,$B$3*100+$A18)+SUMIFS(Cálculo!$L$2:$L$1001,Cálculo!$A$2:$A$1001,C$5,Cálculo!$C$2:$C$1001,$B$3*100+$A18)</f>
        <v>0</v>
      </c>
      <c r="J18" s="129">
        <f>SUMIFS(Cálculo!$N$2:$N$1001,Cálculo!$A$2:$A$1001,C$5,Cálculo!$C$2:$C$1001,$B$3*100+$A18)</f>
        <v>0</v>
      </c>
      <c r="K18" s="135">
        <f>COUNTIFS(Cálculo!$A$2:$A$1001,K$5,Cálculo!$C$2:$C$1001,$B$3*100+$A18)</f>
        <v>0</v>
      </c>
      <c r="L18" s="138">
        <f>SUMIFS(Cálculo!$D$2:$D$1001,Cálculo!$A$2:$A$1001,K$5,Cálculo!$C$2:$C$1001,$B$3*100+$A18)+SUMIFS(Cálculo!$H$2:$H$1001,Cálculo!$A$2:$A$1001,K$5,Cálculo!$C$2:$C$1001,$B$3*100+$A18)</f>
        <v>0</v>
      </c>
      <c r="M18" s="123">
        <f>SUMIFS(Cálculo!$E$2:$E$1001,Cálculo!$A$2:$A$1001,K$5,Cálculo!$C$2:$C$1001,$B$3*100+$A18)</f>
        <v>0</v>
      </c>
      <c r="N18" s="123">
        <f>SUMIFS(Cálculo!$F$2:$F$1001,Cálculo!$A$2:$A$1001,K$5,Cálculo!$C$2:$C$1001,$B$3*100+$A18)</f>
        <v>0</v>
      </c>
      <c r="O18" s="126">
        <f t="shared" si="1"/>
        <v>0</v>
      </c>
      <c r="P18" s="123">
        <f>SUMIFS(Registro!$H$2:$H$1001,Cálculo!$A$2:$A$1001,K$5,Cálculo!$C$2:$C$1001,$B$3*100+$A18)</f>
        <v>0</v>
      </c>
      <c r="Q18" s="123">
        <f>SUMIFS(Cálculo!$K$2:$K$1001,Cálculo!$A$2:$A$1001,K$5,Cálculo!$C$2:$C$1001,$B$3*100+$A18)+SUMIFS(Cálculo!$L$2:$L$1001,Cálculo!$A$2:$A$1001,K$5,Cálculo!$C$2:$C$1001,$B$3*100+$A18)</f>
        <v>0</v>
      </c>
      <c r="R18" s="129">
        <f>SUMIFS(Cálculo!$N$2:$N$1001,Cálculo!$A$2:$A$1001,K$5,Cálculo!$C$2:$C$1001,$B$3*100+$A18)</f>
        <v>0</v>
      </c>
      <c r="S18" s="135">
        <f>COUNTIFS(Cálculo!$A$2:$A$1001,S$5,Cálculo!$C$2:$C$1001,$B$3*100+$A18)</f>
        <v>0</v>
      </c>
      <c r="T18" s="138">
        <f>SUMIFS(Cálculo!$D$2:$D$1001,Cálculo!$A$2:$A$1001,S$5,Cálculo!$C$2:$C$1001,$B$3*100+$A18)+SUMIFS(Cálculo!$H$2:$H$1001,Cálculo!$A$2:$A$1001,S$5,Cálculo!$C$2:$C$1001,$B$3*100+$A18)</f>
        <v>0</v>
      </c>
      <c r="U18" s="123">
        <f>SUMIFS(Cálculo!$E$2:$E$1001,Cálculo!$A$2:$A$1001,S$5,Cálculo!$C$2:$C$1001,$B$3*100+$A18)</f>
        <v>0</v>
      </c>
      <c r="V18" s="123">
        <f>SUMIFS(Cálculo!$F$2:$F$1001,Cálculo!$A$2:$A$1001,S$5,Cálculo!$C$2:$C$1001,$B$3*100+$A18)</f>
        <v>0</v>
      </c>
      <c r="W18" s="126">
        <f t="shared" si="2"/>
        <v>0</v>
      </c>
      <c r="X18" s="123">
        <f>SUMIFS(Registro!$H$2:$H$1001,Cálculo!$A$2:$A$1001,S$5,Cálculo!$C$2:$C$1001,$B$3*100+$A18)</f>
        <v>0</v>
      </c>
      <c r="Y18" s="123">
        <f>SUMIFS(Cálculo!$K$2:$K$1001,Cálculo!$A$2:$A$1001,S$5,Cálculo!$C$2:$C$1001,$B$3*100+$A18)+SUMIFS(Cálculo!$L$2:$L$1001,Cálculo!$A$2:$A$1001,S$5,Cálculo!$C$2:$C$1001,$B$3*100+$A18)</f>
        <v>0</v>
      </c>
      <c r="Z18" s="129">
        <f>SUMIFS(Cálculo!$N$2:$N$1001,Cálculo!$A$2:$A$1001,S$5,Cálculo!$C$2:$C$1001,$B$3*100+$A18)</f>
        <v>0</v>
      </c>
      <c r="AA18" s="135">
        <f t="shared" si="3"/>
        <v>0</v>
      </c>
      <c r="AB18" s="123">
        <f t="shared" si="4"/>
        <v>0</v>
      </c>
      <c r="AC18" s="123">
        <f t="shared" si="5"/>
        <v>0</v>
      </c>
      <c r="AD18" s="126">
        <f t="shared" si="6"/>
        <v>0</v>
      </c>
      <c r="AE18" s="123">
        <f t="shared" si="7"/>
        <v>0</v>
      </c>
      <c r="AF18" s="132">
        <f t="shared" si="8"/>
        <v>0</v>
      </c>
    </row>
    <row r="19" spans="1:32" ht="21.95" customHeight="1" x14ac:dyDescent="0.25">
      <c r="A19" s="74"/>
      <c r="B19" s="75" t="s">
        <v>222</v>
      </c>
      <c r="C19" s="76">
        <f t="shared" ref="C19:AF19" si="9">SUM(C7:C18)</f>
        <v>26</v>
      </c>
      <c r="D19" s="77">
        <f t="shared" si="9"/>
        <v>1129</v>
      </c>
      <c r="E19" s="78">
        <f t="shared" si="9"/>
        <v>53675</v>
      </c>
      <c r="F19" s="78">
        <f>SUM(F7:F18)</f>
        <v>0</v>
      </c>
      <c r="G19" s="79">
        <f>SUM(G7:G18)</f>
        <v>53675</v>
      </c>
      <c r="H19" s="78">
        <f t="shared" si="9"/>
        <v>72319</v>
      </c>
      <c r="I19" s="78">
        <f t="shared" si="9"/>
        <v>69567</v>
      </c>
      <c r="J19" s="80">
        <f t="shared" si="9"/>
        <v>2752</v>
      </c>
      <c r="K19" s="76">
        <f t="shared" si="9"/>
        <v>23</v>
      </c>
      <c r="L19" s="77">
        <f t="shared" si="9"/>
        <v>1253</v>
      </c>
      <c r="M19" s="78">
        <f t="shared" si="9"/>
        <v>52980</v>
      </c>
      <c r="N19" s="78">
        <f>SUM(N7:N18)</f>
        <v>0</v>
      </c>
      <c r="O19" s="79">
        <f>SUM(O7:O18)</f>
        <v>52980</v>
      </c>
      <c r="P19" s="78">
        <f t="shared" si="9"/>
        <v>58695</v>
      </c>
      <c r="Q19" s="78">
        <f t="shared" si="9"/>
        <v>8647</v>
      </c>
      <c r="R19" s="80">
        <f t="shared" si="9"/>
        <v>50048</v>
      </c>
      <c r="S19" s="76">
        <f t="shared" si="9"/>
        <v>0</v>
      </c>
      <c r="T19" s="77">
        <f t="shared" si="9"/>
        <v>0</v>
      </c>
      <c r="U19" s="78">
        <f t="shared" si="9"/>
        <v>0</v>
      </c>
      <c r="V19" s="78">
        <f>SUM(V7:V18)</f>
        <v>0</v>
      </c>
      <c r="W19" s="79">
        <f>SUM(W7:W18)</f>
        <v>0</v>
      </c>
      <c r="X19" s="78">
        <f t="shared" si="9"/>
        <v>0</v>
      </c>
      <c r="Y19" s="78">
        <f t="shared" si="9"/>
        <v>0</v>
      </c>
      <c r="Z19" s="80">
        <f t="shared" si="9"/>
        <v>0</v>
      </c>
      <c r="AA19" s="76">
        <f t="shared" si="9"/>
        <v>49</v>
      </c>
      <c r="AB19" s="78">
        <f t="shared" si="9"/>
        <v>106655</v>
      </c>
      <c r="AC19" s="78">
        <f>SUM(AC7:AC18)</f>
        <v>0</v>
      </c>
      <c r="AD19" s="79">
        <f>SUM(AD7:AD18)</f>
        <v>106655</v>
      </c>
      <c r="AE19" s="78">
        <f t="shared" si="9"/>
        <v>131014</v>
      </c>
      <c r="AF19" s="78">
        <f t="shared" si="9"/>
        <v>52800</v>
      </c>
    </row>
    <row r="21" spans="1:32" ht="15.75" x14ac:dyDescent="0.25">
      <c r="B21" s="84" t="s">
        <v>278</v>
      </c>
    </row>
  </sheetData>
  <mergeCells count="4">
    <mergeCell ref="C5:J5"/>
    <mergeCell ref="K5:R5"/>
    <mergeCell ref="S5:Z5"/>
    <mergeCell ref="AA5:AF5"/>
  </mergeCells>
  <dataValidations disablePrompts="1" count="1">
    <dataValidation type="whole" showErrorMessage="1" error="Escribe un año (ej. 2026)." sqref="B3" xr:uid="{00000000-0002-0000-0300-000000000000}">
      <formula1>2000</formula1>
      <formula2>2100</formula2>
    </dataValidation>
  </dataValidations>
  <hyperlinks>
    <hyperlink ref="D3" location="'Inicio'!A1" tooltip="Volver al menú" display="⌂ Inicio" xr:uid="{1AFDE2B5-BECE-4C15-8D6E-134734C8F5D1}"/>
  </hyperlinks>
  <printOptions horizontalCentered="1"/>
  <pageMargins left="0.75" right="0.75" top="1" bottom="1" header="0.511811023622047" footer="0.511811023622047"/>
  <pageSetup paperSize="9" scale="33" fitToHeight="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8C29-11B5-4B92-B7D1-84BEBF2A824D}">
  <sheetPr>
    <tabColor rgb="FF1F3864"/>
    <pageSetUpPr fitToPage="1"/>
  </sheetPr>
  <dimension ref="A1:J41"/>
  <sheetViews>
    <sheetView showGridLines="0" zoomScaleNormal="100" workbookViewId="0">
      <pane ySplit="10" topLeftCell="A11" activePane="bottomLeft" state="frozen"/>
      <selection pane="bottomLeft"/>
    </sheetView>
  </sheetViews>
  <sheetFormatPr baseColWidth="10" defaultRowHeight="12.75" x14ac:dyDescent="0.2"/>
  <cols>
    <col min="1" max="2" width="11.7109375" style="16" customWidth="1"/>
    <col min="3" max="3" width="8.7109375" style="16" customWidth="1"/>
    <col min="4" max="10" width="14.7109375" style="16" customWidth="1"/>
    <col min="11" max="11" width="2.7109375" style="16" customWidth="1"/>
    <col min="12" max="16384" width="11.42578125" style="16"/>
  </cols>
  <sheetData>
    <row r="1" spans="1:10" ht="32.1" customHeight="1" x14ac:dyDescent="0.2">
      <c r="A1" s="33" t="str">
        <f>"RESUMEN DIARIO — "&amp;$B$3&amp;" · "&amp;$F$3&amp;" "&amp;$D$3</f>
        <v>RESUMEN DIARIO — TDS · Octubre 2026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x14ac:dyDescent="0.2">
      <c r="A2" s="86" t="s">
        <v>252</v>
      </c>
    </row>
    <row r="3" spans="1:10" ht="24" customHeight="1" x14ac:dyDescent="0.25">
      <c r="A3" s="17" t="s">
        <v>179</v>
      </c>
      <c r="B3" s="87" t="s">
        <v>24</v>
      </c>
      <c r="C3" s="17" t="s">
        <v>180</v>
      </c>
      <c r="D3" s="87">
        <v>2026</v>
      </c>
      <c r="E3" s="17" t="s">
        <v>181</v>
      </c>
      <c r="F3" s="87" t="s">
        <v>182</v>
      </c>
      <c r="G3" s="88" t="s">
        <v>253</v>
      </c>
      <c r="H3" s="89">
        <f>MATCH($F$3,{"Enero","Febrero","Marzo","Abril","Mayo","Junio","Julio","Agosto","Septiembre","Octubre","Noviembre","Diciembre"},0)</f>
        <v>10</v>
      </c>
      <c r="J3" s="32" t="s">
        <v>271</v>
      </c>
    </row>
    <row r="4" spans="1:10" ht="6" customHeight="1" thickBo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0" ht="26.1" customHeight="1" x14ac:dyDescent="0.2">
      <c r="A5" s="198" t="s">
        <v>279</v>
      </c>
      <c r="B5" s="199"/>
      <c r="C5" s="199"/>
      <c r="D5" s="90" t="s">
        <v>280</v>
      </c>
      <c r="E5" s="90" t="s">
        <v>273</v>
      </c>
      <c r="F5" s="90" t="s">
        <v>274</v>
      </c>
      <c r="G5" s="91" t="s">
        <v>281</v>
      </c>
      <c r="H5" s="93" t="s">
        <v>282</v>
      </c>
      <c r="I5" s="93" t="s">
        <v>187</v>
      </c>
      <c r="J5" s="92" t="s">
        <v>283</v>
      </c>
    </row>
    <row r="6" spans="1:10" ht="30" customHeight="1" thickBot="1" x14ac:dyDescent="0.25">
      <c r="A6" s="200">
        <f>C10</f>
        <v>26</v>
      </c>
      <c r="B6" s="201"/>
      <c r="C6" s="201"/>
      <c r="D6" s="94">
        <f t="shared" ref="D6:J6" si="0">D10</f>
        <v>53675</v>
      </c>
      <c r="E6" s="94">
        <f t="shared" si="0"/>
        <v>0</v>
      </c>
      <c r="F6" s="94">
        <f t="shared" si="0"/>
        <v>53675</v>
      </c>
      <c r="G6" s="95">
        <f t="shared" si="0"/>
        <v>72319</v>
      </c>
      <c r="H6" s="96">
        <f t="shared" si="0"/>
        <v>3577</v>
      </c>
      <c r="I6" s="96">
        <f t="shared" si="0"/>
        <v>65990</v>
      </c>
      <c r="J6" s="97">
        <f t="shared" si="0"/>
        <v>2752</v>
      </c>
    </row>
    <row r="7" spans="1:10" ht="8.1" customHeight="1" x14ac:dyDescent="0.2"/>
    <row r="8" spans="1:10" x14ac:dyDescent="0.2">
      <c r="A8" s="195" t="s">
        <v>254</v>
      </c>
      <c r="B8" s="195"/>
      <c r="C8" s="195"/>
      <c r="D8" s="196" t="s">
        <v>184</v>
      </c>
      <c r="E8" s="196"/>
      <c r="F8" s="196"/>
      <c r="G8" s="197" t="s">
        <v>185</v>
      </c>
      <c r="H8" s="197"/>
      <c r="I8" s="197"/>
      <c r="J8" s="197"/>
    </row>
    <row r="9" spans="1:10" ht="27" customHeight="1" x14ac:dyDescent="0.2">
      <c r="A9" s="98" t="s">
        <v>15</v>
      </c>
      <c r="B9" s="98" t="s">
        <v>255</v>
      </c>
      <c r="C9" s="98" t="s">
        <v>206</v>
      </c>
      <c r="D9" s="99" t="s">
        <v>256</v>
      </c>
      <c r="E9" s="99" t="s">
        <v>249</v>
      </c>
      <c r="F9" s="99" t="s">
        <v>248</v>
      </c>
      <c r="G9" s="100" t="s">
        <v>257</v>
      </c>
      <c r="H9" s="101" t="s">
        <v>210</v>
      </c>
      <c r="I9" s="101" t="s">
        <v>258</v>
      </c>
      <c r="J9" s="100" t="s">
        <v>259</v>
      </c>
    </row>
    <row r="10" spans="1:10" ht="20.100000000000001" customHeight="1" x14ac:dyDescent="0.25">
      <c r="A10" s="102" t="s">
        <v>260</v>
      </c>
      <c r="B10" s="102"/>
      <c r="C10" s="103">
        <f t="shared" ref="C10:J10" si="1">SUM(C11:C41)</f>
        <v>26</v>
      </c>
      <c r="D10" s="116">
        <f t="shared" si="1"/>
        <v>53675</v>
      </c>
      <c r="E10" s="116">
        <f t="shared" si="1"/>
        <v>0</v>
      </c>
      <c r="F10" s="117">
        <f t="shared" si="1"/>
        <v>53675</v>
      </c>
      <c r="G10" s="116">
        <f t="shared" si="1"/>
        <v>72319</v>
      </c>
      <c r="H10" s="116">
        <f t="shared" si="1"/>
        <v>3577</v>
      </c>
      <c r="I10" s="116">
        <f t="shared" si="1"/>
        <v>65990</v>
      </c>
      <c r="J10" s="116">
        <f t="shared" si="1"/>
        <v>2752</v>
      </c>
    </row>
    <row r="11" spans="1:10" x14ac:dyDescent="0.2">
      <c r="A11" s="104">
        <f>IF(ROWS($A$11:$A11)&lt;=DAY(EOMONTH(DATE($D$3,$H$3,1),0)),DATE($D$3,$H$3,ROWS($A$11:$A11)),"")</f>
        <v>46296</v>
      </c>
      <c r="B11" s="105" t="str">
        <f t="shared" ref="B11:B41" si="2">IF($A11="","",CHOOSE(WEEKDAY($A11,2),"Lunes","Martes","Miércoles","Jueves","Viernes","Sábado","Domingo"))</f>
        <v>Jueves</v>
      </c>
      <c r="C11" s="106">
        <f>IF($A11="","",COUNTIFS(Cálculo!$A$2:$A$1001,$B$3,Cálculo!$B$2:$B$1001,$A11))</f>
        <v>1</v>
      </c>
      <c r="D11" s="112">
        <f>IF($A11="","",SUMIFS(Cálculo!$E$2:$E$1001,Cálculo!$A$2:$A$1001,$B$3,Cálculo!$B$2:$B$1001,$A11))</f>
        <v>1150</v>
      </c>
      <c r="E11" s="112">
        <f>IF($A11="","",SUMIFS(Cálculo!$F$2:$F$1001,Cálculo!$A$2:$A$1001,$B$3,Cálculo!$B$2:$B$1001,$A11))</f>
        <v>0</v>
      </c>
      <c r="F11" s="115">
        <f t="shared" ref="F11:F41" si="3">IF($A11="","",D11-E11)</f>
        <v>1150</v>
      </c>
      <c r="G11" s="112">
        <f>IF($A11="","",SUMIFS(Registro!$H$2:$H$1001,Cálculo!$A$2:$A$1001,$B$3,Cálculo!$B$2:$B$1001,$A11))</f>
        <v>3300</v>
      </c>
      <c r="H11" s="112">
        <f>IF($A11="","",SUMIFS(Cálculo!$K$2:$K$1001,Cálculo!$A$2:$A$1001,$B$3,Cálculo!$B$2:$B$1001,$A11))</f>
        <v>100</v>
      </c>
      <c r="I11" s="112">
        <f>IF($A11="","",SUMIFS(Cálculo!$L$2:$L$1001,Cálculo!$A$2:$A$1001,$B$3,Cálculo!$B$2:$B$1001,$A11))</f>
        <v>0</v>
      </c>
      <c r="J11" s="113">
        <f>IF($A11="","",SUMIFS(Cálculo!$N$2:$N$1001,Cálculo!$A$2:$A$1001,$B$3,Cálculo!$B$2:$B$1001,$A11))</f>
        <v>3200</v>
      </c>
    </row>
    <row r="12" spans="1:10" x14ac:dyDescent="0.2">
      <c r="A12" s="107">
        <f>IF(ROWS($A$11:$A12)&lt;=DAY(EOMONTH(DATE($D$3,$H$3,1),0)),DATE($D$3,$H$3,ROWS($A$11:$A12)),"")</f>
        <v>46297</v>
      </c>
      <c r="B12" s="108" t="str">
        <f t="shared" si="2"/>
        <v>Viernes</v>
      </c>
      <c r="C12" s="109">
        <f>IF($A12="","",COUNTIFS(Cálculo!$A$2:$A$1001,$B$3,Cálculo!$B$2:$B$1001,$A12))</f>
        <v>1</v>
      </c>
      <c r="D12" s="110">
        <f>IF($A12="","",SUMIFS(Cálculo!$E$2:$E$1001,Cálculo!$A$2:$A$1001,$B$3,Cálculo!$B$2:$B$1001,$A12))</f>
        <v>1650</v>
      </c>
      <c r="E12" s="110">
        <f>IF($A12="","",SUMIFS(Cálculo!$F$2:$F$1001,Cálculo!$A$2:$A$1001,$B$3,Cálculo!$B$2:$B$1001,$A12))</f>
        <v>0</v>
      </c>
      <c r="F12" s="114">
        <f t="shared" si="3"/>
        <v>1650</v>
      </c>
      <c r="G12" s="110">
        <f>IF($A12="","",SUMIFS(Registro!$H$2:$H$1001,Cálculo!$A$2:$A$1001,$B$3,Cálculo!$B$2:$B$1001,$A12))</f>
        <v>4060</v>
      </c>
      <c r="H12" s="110">
        <f>IF($A12="","",SUMIFS(Cálculo!$K$2:$K$1001,Cálculo!$A$2:$A$1001,$B$3,Cálculo!$B$2:$B$1001,$A12))</f>
        <v>200</v>
      </c>
      <c r="I12" s="110">
        <f>IF($A12="","",SUMIFS(Cálculo!$L$2:$L$1001,Cálculo!$A$2:$A$1001,$B$3,Cálculo!$B$2:$B$1001,$A12))</f>
        <v>0</v>
      </c>
      <c r="J12" s="111">
        <f>IF($A12="","",SUMIFS(Cálculo!$N$2:$N$1001,Cálculo!$A$2:$A$1001,$B$3,Cálculo!$B$2:$B$1001,$A12))</f>
        <v>3860</v>
      </c>
    </row>
    <row r="13" spans="1:10" x14ac:dyDescent="0.2">
      <c r="A13" s="104">
        <f>IF(ROWS($A$11:$A13)&lt;=DAY(EOMONTH(DATE($D$3,$H$3,1),0)),DATE($D$3,$H$3,ROWS($A$11:$A13)),"")</f>
        <v>46298</v>
      </c>
      <c r="B13" s="105" t="str">
        <f t="shared" si="2"/>
        <v>Sábado</v>
      </c>
      <c r="C13" s="106">
        <f>IF($A13="","",COUNTIFS(Cálculo!$A$2:$A$1001,$B$3,Cálculo!$B$2:$B$1001,$A13))</f>
        <v>1</v>
      </c>
      <c r="D13" s="112">
        <f>IF($A13="","",SUMIFS(Cálculo!$E$2:$E$1001,Cálculo!$A$2:$A$1001,$B$3,Cálculo!$B$2:$B$1001,$A13))</f>
        <v>3010</v>
      </c>
      <c r="E13" s="112">
        <f>IF($A13="","",SUMIFS(Cálculo!$F$2:$F$1001,Cálculo!$A$2:$A$1001,$B$3,Cálculo!$B$2:$B$1001,$A13))</f>
        <v>0</v>
      </c>
      <c r="F13" s="115">
        <f t="shared" si="3"/>
        <v>3010</v>
      </c>
      <c r="G13" s="112">
        <f>IF($A13="","",SUMIFS(Registro!$H$2:$H$1001,Cálculo!$A$2:$A$1001,$B$3,Cálculo!$B$2:$B$1001,$A13))</f>
        <v>3599</v>
      </c>
      <c r="H13" s="112">
        <f>IF($A13="","",SUMIFS(Cálculo!$K$2:$K$1001,Cálculo!$A$2:$A$1001,$B$3,Cálculo!$B$2:$B$1001,$A13))</f>
        <v>100</v>
      </c>
      <c r="I13" s="112">
        <f>IF($A13="","",SUMIFS(Cálculo!$L$2:$L$1001,Cálculo!$A$2:$A$1001,$B$3,Cálculo!$B$2:$B$1001,$A13))</f>
        <v>8400</v>
      </c>
      <c r="J13" s="113">
        <f>IF($A13="","",SUMIFS(Cálculo!$N$2:$N$1001,Cálculo!$A$2:$A$1001,$B$3,Cálculo!$B$2:$B$1001,$A13))</f>
        <v>-4901</v>
      </c>
    </row>
    <row r="14" spans="1:10" x14ac:dyDescent="0.2">
      <c r="A14" s="107">
        <f>IF(ROWS($A$11:$A14)&lt;=DAY(EOMONTH(DATE($D$3,$H$3,1),0)),DATE($D$3,$H$3,ROWS($A$11:$A14)),"")</f>
        <v>46299</v>
      </c>
      <c r="B14" s="108" t="str">
        <f t="shared" si="2"/>
        <v>Domingo</v>
      </c>
      <c r="C14" s="109">
        <f>IF($A14="","",COUNTIFS(Cálculo!$A$2:$A$1001,$B$3,Cálculo!$B$2:$B$1001,$A14))</f>
        <v>1</v>
      </c>
      <c r="D14" s="110">
        <f>IF($A14="","",SUMIFS(Cálculo!$E$2:$E$1001,Cálculo!$A$2:$A$1001,$B$3,Cálculo!$B$2:$B$1001,$A14))</f>
        <v>2340</v>
      </c>
      <c r="E14" s="110">
        <f>IF($A14="","",SUMIFS(Cálculo!$F$2:$F$1001,Cálculo!$A$2:$A$1001,$B$3,Cálculo!$B$2:$B$1001,$A14))</f>
        <v>0</v>
      </c>
      <c r="F14" s="114">
        <f t="shared" si="3"/>
        <v>2340</v>
      </c>
      <c r="G14" s="110">
        <f>IF($A14="","",SUMIFS(Registro!$H$2:$H$1001,Cálculo!$A$2:$A$1001,$B$3,Cálculo!$B$2:$B$1001,$A14))</f>
        <v>2080</v>
      </c>
      <c r="H14" s="110">
        <f>IF($A14="","",SUMIFS(Cálculo!$K$2:$K$1001,Cálculo!$A$2:$A$1001,$B$3,Cálculo!$B$2:$B$1001,$A14))</f>
        <v>140</v>
      </c>
      <c r="I14" s="110">
        <f>IF($A14="","",SUMIFS(Cálculo!$L$2:$L$1001,Cálculo!$A$2:$A$1001,$B$3,Cálculo!$B$2:$B$1001,$A14))</f>
        <v>0</v>
      </c>
      <c r="J14" s="111">
        <f>IF($A14="","",SUMIFS(Cálculo!$N$2:$N$1001,Cálculo!$A$2:$A$1001,$B$3,Cálculo!$B$2:$B$1001,$A14))</f>
        <v>1940</v>
      </c>
    </row>
    <row r="15" spans="1:10" x14ac:dyDescent="0.2">
      <c r="A15" s="104">
        <f>IF(ROWS($A$11:$A15)&lt;=DAY(EOMONTH(DATE($D$3,$H$3,1),0)),DATE($D$3,$H$3,ROWS($A$11:$A15)),"")</f>
        <v>46300</v>
      </c>
      <c r="B15" s="105" t="str">
        <f t="shared" si="2"/>
        <v>Lunes</v>
      </c>
      <c r="C15" s="106">
        <f>IF($A15="","",COUNTIFS(Cálculo!$A$2:$A$1001,$B$3,Cálculo!$B$2:$B$1001,$A15))</f>
        <v>1</v>
      </c>
      <c r="D15" s="112">
        <f>IF($A15="","",SUMIFS(Cálculo!$E$2:$E$1001,Cálculo!$A$2:$A$1001,$B$3,Cálculo!$B$2:$B$1001,$A15))</f>
        <v>2200</v>
      </c>
      <c r="E15" s="112">
        <f>IF($A15="","",SUMIFS(Cálculo!$F$2:$F$1001,Cálculo!$A$2:$A$1001,$B$3,Cálculo!$B$2:$B$1001,$A15))</f>
        <v>0</v>
      </c>
      <c r="F15" s="115">
        <f t="shared" si="3"/>
        <v>2200</v>
      </c>
      <c r="G15" s="112">
        <f>IF($A15="","",SUMIFS(Registro!$H$2:$H$1001,Cálculo!$A$2:$A$1001,$B$3,Cálculo!$B$2:$B$1001,$A15))</f>
        <v>3300</v>
      </c>
      <c r="H15" s="112">
        <f>IF($A15="","",SUMIFS(Cálculo!$K$2:$K$1001,Cálculo!$A$2:$A$1001,$B$3,Cálculo!$B$2:$B$1001,$A15))</f>
        <v>500</v>
      </c>
      <c r="I15" s="112">
        <f>IF($A15="","",SUMIFS(Cálculo!$L$2:$L$1001,Cálculo!$A$2:$A$1001,$B$3,Cálculo!$B$2:$B$1001,$A15))</f>
        <v>7500</v>
      </c>
      <c r="J15" s="113">
        <f>IF($A15="","",SUMIFS(Cálculo!$N$2:$N$1001,Cálculo!$A$2:$A$1001,$B$3,Cálculo!$B$2:$B$1001,$A15))</f>
        <v>-4700</v>
      </c>
    </row>
    <row r="16" spans="1:10" x14ac:dyDescent="0.2">
      <c r="A16" s="107">
        <f>IF(ROWS($A$11:$A16)&lt;=DAY(EOMONTH(DATE($D$3,$H$3,1),0)),DATE($D$3,$H$3,ROWS($A$11:$A16)),"")</f>
        <v>46301</v>
      </c>
      <c r="B16" s="108" t="str">
        <f t="shared" si="2"/>
        <v>Martes</v>
      </c>
      <c r="C16" s="109">
        <f>IF($A16="","",COUNTIFS(Cálculo!$A$2:$A$1001,$B$3,Cálculo!$B$2:$B$1001,$A16))</f>
        <v>1</v>
      </c>
      <c r="D16" s="110">
        <f>IF($A16="","",SUMIFS(Cálculo!$E$2:$E$1001,Cálculo!$A$2:$A$1001,$B$3,Cálculo!$B$2:$B$1001,$A16))</f>
        <v>2930</v>
      </c>
      <c r="E16" s="110">
        <f>IF($A16="","",SUMIFS(Cálculo!$F$2:$F$1001,Cálculo!$A$2:$A$1001,$B$3,Cálculo!$B$2:$B$1001,$A16))</f>
        <v>0</v>
      </c>
      <c r="F16" s="114">
        <f t="shared" si="3"/>
        <v>2930</v>
      </c>
      <c r="G16" s="110">
        <f>IF($A16="","",SUMIFS(Registro!$H$2:$H$1001,Cálculo!$A$2:$A$1001,$B$3,Cálculo!$B$2:$B$1001,$A16))</f>
        <v>2350</v>
      </c>
      <c r="H16" s="110">
        <f>IF($A16="","",SUMIFS(Cálculo!$K$2:$K$1001,Cálculo!$A$2:$A$1001,$B$3,Cálculo!$B$2:$B$1001,$A16))</f>
        <v>100</v>
      </c>
      <c r="I16" s="110">
        <f>IF($A16="","",SUMIFS(Cálculo!$L$2:$L$1001,Cálculo!$A$2:$A$1001,$B$3,Cálculo!$B$2:$B$1001,$A16))</f>
        <v>0</v>
      </c>
      <c r="J16" s="111">
        <f>IF($A16="","",SUMIFS(Cálculo!$N$2:$N$1001,Cálculo!$A$2:$A$1001,$B$3,Cálculo!$B$2:$B$1001,$A16))</f>
        <v>2250</v>
      </c>
    </row>
    <row r="17" spans="1:10" x14ac:dyDescent="0.2">
      <c r="A17" s="104">
        <f>IF(ROWS($A$11:$A17)&lt;=DAY(EOMONTH(DATE($D$3,$H$3,1),0)),DATE($D$3,$H$3,ROWS($A$11:$A17)),"")</f>
        <v>46302</v>
      </c>
      <c r="B17" s="105" t="str">
        <f t="shared" si="2"/>
        <v>Miércoles</v>
      </c>
      <c r="C17" s="106">
        <f>IF($A17="","",COUNTIFS(Cálculo!$A$2:$A$1001,$B$3,Cálculo!$B$2:$B$1001,$A17))</f>
        <v>1</v>
      </c>
      <c r="D17" s="112">
        <f>IF($A17="","",SUMIFS(Cálculo!$E$2:$E$1001,Cálculo!$A$2:$A$1001,$B$3,Cálculo!$B$2:$B$1001,$A17))</f>
        <v>1450</v>
      </c>
      <c r="E17" s="112">
        <f>IF($A17="","",SUMIFS(Cálculo!$F$2:$F$1001,Cálculo!$A$2:$A$1001,$B$3,Cálculo!$B$2:$B$1001,$A17))</f>
        <v>0</v>
      </c>
      <c r="F17" s="115">
        <f t="shared" si="3"/>
        <v>1450</v>
      </c>
      <c r="G17" s="112">
        <f>IF($A17="","",SUMIFS(Registro!$H$2:$H$1001,Cálculo!$A$2:$A$1001,$B$3,Cálculo!$B$2:$B$1001,$A17))</f>
        <v>2455</v>
      </c>
      <c r="H17" s="112">
        <f>IF($A17="","",SUMIFS(Cálculo!$K$2:$K$1001,Cálculo!$A$2:$A$1001,$B$3,Cálculo!$B$2:$B$1001,$A17))</f>
        <v>100</v>
      </c>
      <c r="I17" s="112">
        <f>IF($A17="","",SUMIFS(Cálculo!$L$2:$L$1001,Cálculo!$A$2:$A$1001,$B$3,Cálculo!$B$2:$B$1001,$A17))</f>
        <v>0</v>
      </c>
      <c r="J17" s="113">
        <f>IF($A17="","",SUMIFS(Cálculo!$N$2:$N$1001,Cálculo!$A$2:$A$1001,$B$3,Cálculo!$B$2:$B$1001,$A17))</f>
        <v>2355</v>
      </c>
    </row>
    <row r="18" spans="1:10" x14ac:dyDescent="0.2">
      <c r="A18" s="107">
        <f>IF(ROWS($A$11:$A18)&lt;=DAY(EOMONTH(DATE($D$3,$H$3,1),0)),DATE($D$3,$H$3,ROWS($A$11:$A18)),"")</f>
        <v>46303</v>
      </c>
      <c r="B18" s="108" t="str">
        <f t="shared" si="2"/>
        <v>Jueves</v>
      </c>
      <c r="C18" s="109">
        <f>IF($A18="","",COUNTIFS(Cálculo!$A$2:$A$1001,$B$3,Cálculo!$B$2:$B$1001,$A18))</f>
        <v>1</v>
      </c>
      <c r="D18" s="110">
        <f>IF($A18="","",SUMIFS(Cálculo!$E$2:$E$1001,Cálculo!$A$2:$A$1001,$B$3,Cálculo!$B$2:$B$1001,$A18))</f>
        <v>2060</v>
      </c>
      <c r="E18" s="110">
        <f>IF($A18="","",SUMIFS(Cálculo!$F$2:$F$1001,Cálculo!$A$2:$A$1001,$B$3,Cálculo!$B$2:$B$1001,$A18))</f>
        <v>0</v>
      </c>
      <c r="F18" s="114">
        <f t="shared" si="3"/>
        <v>2060</v>
      </c>
      <c r="G18" s="110">
        <f>IF($A18="","",SUMIFS(Registro!$H$2:$H$1001,Cálculo!$A$2:$A$1001,$B$3,Cálculo!$B$2:$B$1001,$A18))</f>
        <v>2365</v>
      </c>
      <c r="H18" s="110">
        <f>IF($A18="","",SUMIFS(Cálculo!$K$2:$K$1001,Cálculo!$A$2:$A$1001,$B$3,Cálculo!$B$2:$B$1001,$A18))</f>
        <v>50</v>
      </c>
      <c r="I18" s="110">
        <f>IF($A18="","",SUMIFS(Cálculo!$L$2:$L$1001,Cálculo!$A$2:$A$1001,$B$3,Cálculo!$B$2:$B$1001,$A18))</f>
        <v>0</v>
      </c>
      <c r="J18" s="111">
        <f>IF($A18="","",SUMIFS(Cálculo!$N$2:$N$1001,Cálculo!$A$2:$A$1001,$B$3,Cálculo!$B$2:$B$1001,$A18))</f>
        <v>2315</v>
      </c>
    </row>
    <row r="19" spans="1:10" x14ac:dyDescent="0.2">
      <c r="A19" s="104">
        <f>IF(ROWS($A$11:$A19)&lt;=DAY(EOMONTH(DATE($D$3,$H$3,1),0)),DATE($D$3,$H$3,ROWS($A$11:$A19)),"")</f>
        <v>46304</v>
      </c>
      <c r="B19" s="105" t="str">
        <f t="shared" si="2"/>
        <v>Viernes</v>
      </c>
      <c r="C19" s="106">
        <f>IF($A19="","",COUNTIFS(Cálculo!$A$2:$A$1001,$B$3,Cálculo!$B$2:$B$1001,$A19))</f>
        <v>1</v>
      </c>
      <c r="D19" s="112">
        <f>IF($A19="","",SUMIFS(Cálculo!$E$2:$E$1001,Cálculo!$A$2:$A$1001,$B$3,Cálculo!$B$2:$B$1001,$A19))</f>
        <v>2870</v>
      </c>
      <c r="E19" s="112">
        <f>IF($A19="","",SUMIFS(Cálculo!$F$2:$F$1001,Cálculo!$A$2:$A$1001,$B$3,Cálculo!$B$2:$B$1001,$A19))</f>
        <v>0</v>
      </c>
      <c r="F19" s="115">
        <f t="shared" si="3"/>
        <v>2870</v>
      </c>
      <c r="G19" s="112">
        <f>IF($A19="","",SUMIFS(Registro!$H$2:$H$1001,Cálculo!$A$2:$A$1001,$B$3,Cálculo!$B$2:$B$1001,$A19))</f>
        <v>2395</v>
      </c>
      <c r="H19" s="112">
        <f>IF($A19="","",SUMIFS(Cálculo!$K$2:$K$1001,Cálculo!$A$2:$A$1001,$B$3,Cálculo!$B$2:$B$1001,$A19))</f>
        <v>0</v>
      </c>
      <c r="I19" s="112">
        <f>IF($A19="","",SUMIFS(Cálculo!$L$2:$L$1001,Cálculo!$A$2:$A$1001,$B$3,Cálculo!$B$2:$B$1001,$A19))</f>
        <v>0</v>
      </c>
      <c r="J19" s="113">
        <f>IF($A19="","",SUMIFS(Cálculo!$N$2:$N$1001,Cálculo!$A$2:$A$1001,$B$3,Cálculo!$B$2:$B$1001,$A19))</f>
        <v>2395</v>
      </c>
    </row>
    <row r="20" spans="1:10" x14ac:dyDescent="0.2">
      <c r="A20" s="107">
        <f>IF(ROWS($A$11:$A20)&lt;=DAY(EOMONTH(DATE($D$3,$H$3,1),0)),DATE($D$3,$H$3,ROWS($A$11:$A20)),"")</f>
        <v>46305</v>
      </c>
      <c r="B20" s="108" t="str">
        <f t="shared" si="2"/>
        <v>Sábado</v>
      </c>
      <c r="C20" s="109">
        <f>IF($A20="","",COUNTIFS(Cálculo!$A$2:$A$1001,$B$3,Cálculo!$B$2:$B$1001,$A20))</f>
        <v>2</v>
      </c>
      <c r="D20" s="110">
        <f>IF($A20="","",SUMIFS(Cálculo!$E$2:$E$1001,Cálculo!$A$2:$A$1001,$B$3,Cálculo!$B$2:$B$1001,$A20))</f>
        <v>3685</v>
      </c>
      <c r="E20" s="110">
        <f>IF($A20="","",SUMIFS(Cálculo!$F$2:$F$1001,Cálculo!$A$2:$A$1001,$B$3,Cálculo!$B$2:$B$1001,$A20))</f>
        <v>0</v>
      </c>
      <c r="F20" s="114">
        <f t="shared" si="3"/>
        <v>3685</v>
      </c>
      <c r="G20" s="110">
        <f>IF($A20="","",SUMIFS(Registro!$H$2:$H$1001,Cálculo!$A$2:$A$1001,$B$3,Cálculo!$B$2:$B$1001,$A20))</f>
        <v>5770</v>
      </c>
      <c r="H20" s="110">
        <f>IF($A20="","",SUMIFS(Cálculo!$K$2:$K$1001,Cálculo!$A$2:$A$1001,$B$3,Cálculo!$B$2:$B$1001,$A20))</f>
        <v>100</v>
      </c>
      <c r="I20" s="110">
        <f>IF($A20="","",SUMIFS(Cálculo!$L$2:$L$1001,Cálculo!$A$2:$A$1001,$B$3,Cálculo!$B$2:$B$1001,$A20))</f>
        <v>8380</v>
      </c>
      <c r="J20" s="111">
        <f>IF($A20="","",SUMIFS(Cálculo!$N$2:$N$1001,Cálculo!$A$2:$A$1001,$B$3,Cálculo!$B$2:$B$1001,$A20))</f>
        <v>-2710</v>
      </c>
    </row>
    <row r="21" spans="1:10" x14ac:dyDescent="0.2">
      <c r="A21" s="104">
        <f>IF(ROWS($A$11:$A21)&lt;=DAY(EOMONTH(DATE($D$3,$H$3,1),0)),DATE($D$3,$H$3,ROWS($A$11:$A21)),"")</f>
        <v>46306</v>
      </c>
      <c r="B21" s="105" t="str">
        <f t="shared" si="2"/>
        <v>Domingo</v>
      </c>
      <c r="C21" s="106">
        <f>IF($A21="","",COUNTIFS(Cálculo!$A$2:$A$1001,$B$3,Cálculo!$B$2:$B$1001,$A21))</f>
        <v>1</v>
      </c>
      <c r="D21" s="112">
        <f>IF($A21="","",SUMIFS(Cálculo!$E$2:$E$1001,Cálculo!$A$2:$A$1001,$B$3,Cálculo!$B$2:$B$1001,$A21))</f>
        <v>2580</v>
      </c>
      <c r="E21" s="112">
        <f>IF($A21="","",SUMIFS(Cálculo!$F$2:$F$1001,Cálculo!$A$2:$A$1001,$B$3,Cálculo!$B$2:$B$1001,$A21))</f>
        <v>0</v>
      </c>
      <c r="F21" s="115">
        <f t="shared" si="3"/>
        <v>2580</v>
      </c>
      <c r="G21" s="112">
        <f>IF($A21="","",SUMIFS(Registro!$H$2:$H$1001,Cálculo!$A$2:$A$1001,$B$3,Cálculo!$B$2:$B$1001,$A21))</f>
        <v>5280</v>
      </c>
      <c r="H21" s="112">
        <f>IF($A21="","",SUMIFS(Cálculo!$K$2:$K$1001,Cálculo!$A$2:$A$1001,$B$3,Cálculo!$B$2:$B$1001,$A21))</f>
        <v>130</v>
      </c>
      <c r="I21" s="112">
        <f>IF($A21="","",SUMIFS(Cálculo!$L$2:$L$1001,Cálculo!$A$2:$A$1001,$B$3,Cálculo!$B$2:$B$1001,$A21))</f>
        <v>0</v>
      </c>
      <c r="J21" s="113">
        <f>IF($A21="","",SUMIFS(Cálculo!$N$2:$N$1001,Cálculo!$A$2:$A$1001,$B$3,Cálculo!$B$2:$B$1001,$A21))</f>
        <v>5150</v>
      </c>
    </row>
    <row r="22" spans="1:10" x14ac:dyDescent="0.2">
      <c r="A22" s="107">
        <f>IF(ROWS($A$11:$A22)&lt;=DAY(EOMONTH(DATE($D$3,$H$3,1),0)),DATE($D$3,$H$3,ROWS($A$11:$A22)),"")</f>
        <v>46307</v>
      </c>
      <c r="B22" s="108" t="str">
        <f t="shared" si="2"/>
        <v>Lunes</v>
      </c>
      <c r="C22" s="109">
        <f>IF($A22="","",COUNTIFS(Cálculo!$A$2:$A$1001,$B$3,Cálculo!$B$2:$B$1001,$A22))</f>
        <v>1</v>
      </c>
      <c r="D22" s="110">
        <f>IF($A22="","",SUMIFS(Cálculo!$E$2:$E$1001,Cálculo!$A$2:$A$1001,$B$3,Cálculo!$B$2:$B$1001,$A22))</f>
        <v>2220</v>
      </c>
      <c r="E22" s="110">
        <f>IF($A22="","",SUMIFS(Cálculo!$F$2:$F$1001,Cálculo!$A$2:$A$1001,$B$3,Cálculo!$B$2:$B$1001,$A22))</f>
        <v>0</v>
      </c>
      <c r="F22" s="114">
        <f t="shared" si="3"/>
        <v>2220</v>
      </c>
      <c r="G22" s="110">
        <f>IF($A22="","",SUMIFS(Registro!$H$2:$H$1001,Cálculo!$A$2:$A$1001,$B$3,Cálculo!$B$2:$B$1001,$A22))</f>
        <v>2855</v>
      </c>
      <c r="H22" s="110">
        <f>IF($A22="","",SUMIFS(Cálculo!$K$2:$K$1001,Cálculo!$A$2:$A$1001,$B$3,Cálculo!$B$2:$B$1001,$A22))</f>
        <v>220</v>
      </c>
      <c r="I22" s="110">
        <f>IF($A22="","",SUMIFS(Cálculo!$L$2:$L$1001,Cálculo!$A$2:$A$1001,$B$3,Cálculo!$B$2:$B$1001,$A22))</f>
        <v>8190</v>
      </c>
      <c r="J22" s="111">
        <f>IF($A22="","",SUMIFS(Cálculo!$N$2:$N$1001,Cálculo!$A$2:$A$1001,$B$3,Cálculo!$B$2:$B$1001,$A22))</f>
        <v>-5555</v>
      </c>
    </row>
    <row r="23" spans="1:10" x14ac:dyDescent="0.2">
      <c r="A23" s="104">
        <f>IF(ROWS($A$11:$A23)&lt;=DAY(EOMONTH(DATE($D$3,$H$3,1),0)),DATE($D$3,$H$3,ROWS($A$11:$A23)),"")</f>
        <v>46308</v>
      </c>
      <c r="B23" s="105" t="str">
        <f t="shared" si="2"/>
        <v>Martes</v>
      </c>
      <c r="C23" s="106">
        <f>IF($A23="","",COUNTIFS(Cálculo!$A$2:$A$1001,$B$3,Cálculo!$B$2:$B$1001,$A23))</f>
        <v>1</v>
      </c>
      <c r="D23" s="112">
        <f>IF($A23="","",SUMIFS(Cálculo!$E$2:$E$1001,Cálculo!$A$2:$A$1001,$B$3,Cálculo!$B$2:$B$1001,$A23))</f>
        <v>1720</v>
      </c>
      <c r="E23" s="112">
        <f>IF($A23="","",SUMIFS(Cálculo!$F$2:$F$1001,Cálculo!$A$2:$A$1001,$B$3,Cálculo!$B$2:$B$1001,$A23))</f>
        <v>0</v>
      </c>
      <c r="F23" s="115">
        <f t="shared" si="3"/>
        <v>1720</v>
      </c>
      <c r="G23" s="112">
        <f>IF($A23="","",SUMIFS(Registro!$H$2:$H$1001,Cálculo!$A$2:$A$1001,$B$3,Cálculo!$B$2:$B$1001,$A23))</f>
        <v>2960</v>
      </c>
      <c r="H23" s="112">
        <f>IF($A23="","",SUMIFS(Cálculo!$K$2:$K$1001,Cálculo!$A$2:$A$1001,$B$3,Cálculo!$B$2:$B$1001,$A23))</f>
        <v>120</v>
      </c>
      <c r="I23" s="112">
        <f>IF($A23="","",SUMIFS(Cálculo!$L$2:$L$1001,Cálculo!$A$2:$A$1001,$B$3,Cálculo!$B$2:$B$1001,$A23))</f>
        <v>0</v>
      </c>
      <c r="J23" s="113">
        <f>IF($A23="","",SUMIFS(Cálculo!$N$2:$N$1001,Cálculo!$A$2:$A$1001,$B$3,Cálculo!$B$2:$B$1001,$A23))</f>
        <v>2840</v>
      </c>
    </row>
    <row r="24" spans="1:10" x14ac:dyDescent="0.2">
      <c r="A24" s="107">
        <f>IF(ROWS($A$11:$A24)&lt;=DAY(EOMONTH(DATE($D$3,$H$3,1),0)),DATE($D$3,$H$3,ROWS($A$11:$A24)),"")</f>
        <v>46309</v>
      </c>
      <c r="B24" s="108" t="str">
        <f t="shared" si="2"/>
        <v>Miércoles</v>
      </c>
      <c r="C24" s="109">
        <f>IF($A24="","",COUNTIFS(Cálculo!$A$2:$A$1001,$B$3,Cálculo!$B$2:$B$1001,$A24))</f>
        <v>1</v>
      </c>
      <c r="D24" s="110">
        <f>IF($A24="","",SUMIFS(Cálculo!$E$2:$E$1001,Cálculo!$A$2:$A$1001,$B$3,Cálculo!$B$2:$B$1001,$A24))</f>
        <v>1910</v>
      </c>
      <c r="E24" s="110">
        <f>IF($A24="","",SUMIFS(Cálculo!$F$2:$F$1001,Cálculo!$A$2:$A$1001,$B$3,Cálculo!$B$2:$B$1001,$A24))</f>
        <v>0</v>
      </c>
      <c r="F24" s="114">
        <f t="shared" si="3"/>
        <v>1910</v>
      </c>
      <c r="G24" s="110">
        <f>IF($A24="","",SUMIFS(Registro!$H$2:$H$1001,Cálculo!$A$2:$A$1001,$B$3,Cálculo!$B$2:$B$1001,$A24))</f>
        <v>2070</v>
      </c>
      <c r="H24" s="110">
        <f>IF($A24="","",SUMIFS(Cálculo!$K$2:$K$1001,Cálculo!$A$2:$A$1001,$B$3,Cálculo!$B$2:$B$1001,$A24))</f>
        <v>600</v>
      </c>
      <c r="I24" s="110">
        <f>IF($A24="","",SUMIFS(Cálculo!$L$2:$L$1001,Cálculo!$A$2:$A$1001,$B$3,Cálculo!$B$2:$B$1001,$A24))</f>
        <v>0</v>
      </c>
      <c r="J24" s="111">
        <f>IF($A24="","",SUMIFS(Cálculo!$N$2:$N$1001,Cálculo!$A$2:$A$1001,$B$3,Cálculo!$B$2:$B$1001,$A24))</f>
        <v>1470</v>
      </c>
    </row>
    <row r="25" spans="1:10" x14ac:dyDescent="0.2">
      <c r="A25" s="104">
        <f>IF(ROWS($A$11:$A25)&lt;=DAY(EOMONTH(DATE($D$3,$H$3,1),0)),DATE($D$3,$H$3,ROWS($A$11:$A25)),"")</f>
        <v>46310</v>
      </c>
      <c r="B25" s="105" t="str">
        <f t="shared" si="2"/>
        <v>Jueves</v>
      </c>
      <c r="C25" s="106">
        <f>IF($A25="","",COUNTIFS(Cálculo!$A$2:$A$1001,$B$3,Cálculo!$B$2:$B$1001,$A25))</f>
        <v>1</v>
      </c>
      <c r="D25" s="112">
        <f>IF($A25="","",SUMIFS(Cálculo!$E$2:$E$1001,Cálculo!$A$2:$A$1001,$B$3,Cálculo!$B$2:$B$1001,$A25))</f>
        <v>0</v>
      </c>
      <c r="E25" s="112">
        <f>IF($A25="","",SUMIFS(Cálculo!$F$2:$F$1001,Cálculo!$A$2:$A$1001,$B$3,Cálculo!$B$2:$B$1001,$A25))</f>
        <v>0</v>
      </c>
      <c r="F25" s="115">
        <f t="shared" si="3"/>
        <v>0</v>
      </c>
      <c r="G25" s="112">
        <f>IF($A25="","",SUMIFS(Registro!$H$2:$H$1001,Cálculo!$A$2:$A$1001,$B$3,Cálculo!$B$2:$B$1001,$A25))</f>
        <v>2870</v>
      </c>
      <c r="H25" s="112">
        <f>IF($A25="","",SUMIFS(Cálculo!$K$2:$K$1001,Cálculo!$A$2:$A$1001,$B$3,Cálculo!$B$2:$B$1001,$A25))</f>
        <v>120</v>
      </c>
      <c r="I25" s="112">
        <f>IF($A25="","",SUMIFS(Cálculo!$L$2:$L$1001,Cálculo!$A$2:$A$1001,$B$3,Cálculo!$B$2:$B$1001,$A25))</f>
        <v>8370</v>
      </c>
      <c r="J25" s="113">
        <f>IF($A25="","",SUMIFS(Cálculo!$N$2:$N$1001,Cálculo!$A$2:$A$1001,$B$3,Cálculo!$B$2:$B$1001,$A25))</f>
        <v>-5620</v>
      </c>
    </row>
    <row r="26" spans="1:10" x14ac:dyDescent="0.2">
      <c r="A26" s="107">
        <f>IF(ROWS($A$11:$A26)&lt;=DAY(EOMONTH(DATE($D$3,$H$3,1),0)),DATE($D$3,$H$3,ROWS($A$11:$A26)),"")</f>
        <v>46311</v>
      </c>
      <c r="B26" s="108" t="str">
        <f t="shared" si="2"/>
        <v>Viernes</v>
      </c>
      <c r="C26" s="109">
        <f>IF($A26="","",COUNTIFS(Cálculo!$A$2:$A$1001,$B$3,Cálculo!$B$2:$B$1001,$A26))</f>
        <v>1</v>
      </c>
      <c r="D26" s="110">
        <f>IF($A26="","",SUMIFS(Cálculo!$E$2:$E$1001,Cálculo!$A$2:$A$1001,$B$3,Cálculo!$B$2:$B$1001,$A26))</f>
        <v>0</v>
      </c>
      <c r="E26" s="110">
        <f>IF($A26="","",SUMIFS(Cálculo!$F$2:$F$1001,Cálculo!$A$2:$A$1001,$B$3,Cálculo!$B$2:$B$1001,$A26))</f>
        <v>0</v>
      </c>
      <c r="F26" s="114">
        <f t="shared" si="3"/>
        <v>0</v>
      </c>
      <c r="G26" s="110">
        <f>IF($A26="","",SUMIFS(Registro!$H$2:$H$1001,Cálculo!$A$2:$A$1001,$B$3,Cálculo!$B$2:$B$1001,$A26))</f>
        <v>3250</v>
      </c>
      <c r="H26" s="110">
        <f>IF($A26="","",SUMIFS(Cálculo!$K$2:$K$1001,Cálculo!$A$2:$A$1001,$B$3,Cálculo!$B$2:$B$1001,$A26))</f>
        <v>140</v>
      </c>
      <c r="I26" s="110">
        <f>IF($A26="","",SUMIFS(Cálculo!$L$2:$L$1001,Cálculo!$A$2:$A$1001,$B$3,Cálculo!$B$2:$B$1001,$A26))</f>
        <v>0</v>
      </c>
      <c r="J26" s="111">
        <f>IF($A26="","",SUMIFS(Cálculo!$N$2:$N$1001,Cálculo!$A$2:$A$1001,$B$3,Cálculo!$B$2:$B$1001,$A26))</f>
        <v>3110</v>
      </c>
    </row>
    <row r="27" spans="1:10" x14ac:dyDescent="0.2">
      <c r="A27" s="104">
        <f>IF(ROWS($A$11:$A27)&lt;=DAY(EOMONTH(DATE($D$3,$H$3,1),0)),DATE($D$3,$H$3,ROWS($A$11:$A27)),"")</f>
        <v>46312</v>
      </c>
      <c r="B27" s="105" t="str">
        <f t="shared" si="2"/>
        <v>Sábado</v>
      </c>
      <c r="C27" s="106">
        <f>IF($A27="","",COUNTIFS(Cálculo!$A$2:$A$1001,$B$3,Cálculo!$B$2:$B$1001,$A27))</f>
        <v>1</v>
      </c>
      <c r="D27" s="112">
        <f>IF($A27="","",SUMIFS(Cálculo!$E$2:$E$1001,Cálculo!$A$2:$A$1001,$B$3,Cálculo!$B$2:$B$1001,$A27))</f>
        <v>3410</v>
      </c>
      <c r="E27" s="112">
        <f>IF($A27="","",SUMIFS(Cálculo!$F$2:$F$1001,Cálculo!$A$2:$A$1001,$B$3,Cálculo!$B$2:$B$1001,$A27))</f>
        <v>0</v>
      </c>
      <c r="F27" s="115">
        <f t="shared" si="3"/>
        <v>3410</v>
      </c>
      <c r="G27" s="112">
        <f>IF($A27="","",SUMIFS(Registro!$H$2:$H$1001,Cálculo!$A$2:$A$1001,$B$3,Cálculo!$B$2:$B$1001,$A27))</f>
        <v>3360</v>
      </c>
      <c r="H27" s="112">
        <f>IF($A27="","",SUMIFS(Cálculo!$K$2:$K$1001,Cálculo!$A$2:$A$1001,$B$3,Cálculo!$B$2:$B$1001,$A27))</f>
        <v>130</v>
      </c>
      <c r="I27" s="112">
        <f>IF($A27="","",SUMIFS(Cálculo!$L$2:$L$1001,Cálculo!$A$2:$A$1001,$B$3,Cálculo!$B$2:$B$1001,$A27))</f>
        <v>5550</v>
      </c>
      <c r="J27" s="113">
        <f>IF($A27="","",SUMIFS(Cálculo!$N$2:$N$1001,Cálculo!$A$2:$A$1001,$B$3,Cálculo!$B$2:$B$1001,$A27))</f>
        <v>-2320</v>
      </c>
    </row>
    <row r="28" spans="1:10" x14ac:dyDescent="0.2">
      <c r="A28" s="107">
        <f>IF(ROWS($A$11:$A28)&lt;=DAY(EOMONTH(DATE($D$3,$H$3,1),0)),DATE($D$3,$H$3,ROWS($A$11:$A28)),"")</f>
        <v>46313</v>
      </c>
      <c r="B28" s="108" t="str">
        <f t="shared" si="2"/>
        <v>Domingo</v>
      </c>
      <c r="C28" s="109">
        <f>IF($A28="","",COUNTIFS(Cálculo!$A$2:$A$1001,$B$3,Cálculo!$B$2:$B$1001,$A28))</f>
        <v>1</v>
      </c>
      <c r="D28" s="110">
        <f>IF($A28="","",SUMIFS(Cálculo!$E$2:$E$1001,Cálculo!$A$2:$A$1001,$B$3,Cálculo!$B$2:$B$1001,$A28))</f>
        <v>1780</v>
      </c>
      <c r="E28" s="110">
        <f>IF($A28="","",SUMIFS(Cálculo!$F$2:$F$1001,Cálculo!$A$2:$A$1001,$B$3,Cálculo!$B$2:$B$1001,$A28))</f>
        <v>0</v>
      </c>
      <c r="F28" s="114">
        <f t="shared" si="3"/>
        <v>1780</v>
      </c>
      <c r="G28" s="110">
        <f>IF($A28="","",SUMIFS(Registro!$H$2:$H$1001,Cálculo!$A$2:$A$1001,$B$3,Cálculo!$B$2:$B$1001,$A28))</f>
        <v>3275</v>
      </c>
      <c r="H28" s="110">
        <f>IF($A28="","",SUMIFS(Cálculo!$K$2:$K$1001,Cálculo!$A$2:$A$1001,$B$3,Cálculo!$B$2:$B$1001,$A28))</f>
        <v>95</v>
      </c>
      <c r="I28" s="110">
        <f>IF($A28="","",SUMIFS(Cálculo!$L$2:$L$1001,Cálculo!$A$2:$A$1001,$B$3,Cálculo!$B$2:$B$1001,$A28))</f>
        <v>0</v>
      </c>
      <c r="J28" s="111">
        <f>IF($A28="","",SUMIFS(Cálculo!$N$2:$N$1001,Cálculo!$A$2:$A$1001,$B$3,Cálculo!$B$2:$B$1001,$A28))</f>
        <v>3180</v>
      </c>
    </row>
    <row r="29" spans="1:10" x14ac:dyDescent="0.2">
      <c r="A29" s="104">
        <f>IF(ROWS($A$11:$A29)&lt;=DAY(EOMONTH(DATE($D$3,$H$3,1),0)),DATE($D$3,$H$3,ROWS($A$11:$A29)),"")</f>
        <v>46314</v>
      </c>
      <c r="B29" s="105" t="str">
        <f t="shared" si="2"/>
        <v>Lunes</v>
      </c>
      <c r="C29" s="106">
        <f>IF($A29="","",COUNTIFS(Cálculo!$A$2:$A$1001,$B$3,Cálculo!$B$2:$B$1001,$A29))</f>
        <v>1</v>
      </c>
      <c r="D29" s="112">
        <f>IF($A29="","",SUMIFS(Cálculo!$E$2:$E$1001,Cálculo!$A$2:$A$1001,$B$3,Cálculo!$B$2:$B$1001,$A29))</f>
        <v>2650</v>
      </c>
      <c r="E29" s="112">
        <f>IF($A29="","",SUMIFS(Cálculo!$F$2:$F$1001,Cálculo!$A$2:$A$1001,$B$3,Cálculo!$B$2:$B$1001,$A29))</f>
        <v>0</v>
      </c>
      <c r="F29" s="115">
        <f t="shared" si="3"/>
        <v>2650</v>
      </c>
      <c r="G29" s="112">
        <f>IF($A29="","",SUMIFS(Registro!$H$2:$H$1001,Cálculo!$A$2:$A$1001,$B$3,Cálculo!$B$2:$B$1001,$A29))</f>
        <v>3275</v>
      </c>
      <c r="H29" s="112">
        <f>IF($A29="","",SUMIFS(Cálculo!$K$2:$K$1001,Cálculo!$A$2:$A$1001,$B$3,Cálculo!$B$2:$B$1001,$A29))</f>
        <v>215</v>
      </c>
      <c r="I29" s="112">
        <f>IF($A29="","",SUMIFS(Cálculo!$L$2:$L$1001,Cálculo!$A$2:$A$1001,$B$3,Cálculo!$B$2:$B$1001,$A29))</f>
        <v>0</v>
      </c>
      <c r="J29" s="113">
        <f>IF($A29="","",SUMIFS(Cálculo!$N$2:$N$1001,Cálculo!$A$2:$A$1001,$B$3,Cálculo!$B$2:$B$1001,$A29))</f>
        <v>3060</v>
      </c>
    </row>
    <row r="30" spans="1:10" x14ac:dyDescent="0.2">
      <c r="A30" s="107">
        <f>IF(ROWS($A$11:$A30)&lt;=DAY(EOMONTH(DATE($D$3,$H$3,1),0)),DATE($D$3,$H$3,ROWS($A$11:$A30)),"")</f>
        <v>46315</v>
      </c>
      <c r="B30" s="108" t="str">
        <f t="shared" si="2"/>
        <v>Martes</v>
      </c>
      <c r="C30" s="109">
        <f>IF($A30="","",COUNTIFS(Cálculo!$A$2:$A$1001,$B$3,Cálculo!$B$2:$B$1001,$A30))</f>
        <v>1</v>
      </c>
      <c r="D30" s="110">
        <f>IF($A30="","",SUMIFS(Cálculo!$E$2:$E$1001,Cálculo!$A$2:$A$1001,$B$3,Cálculo!$B$2:$B$1001,$A30))</f>
        <v>2570</v>
      </c>
      <c r="E30" s="110">
        <f>IF($A30="","",SUMIFS(Cálculo!$F$2:$F$1001,Cálculo!$A$2:$A$1001,$B$3,Cálculo!$B$2:$B$1001,$A30))</f>
        <v>0</v>
      </c>
      <c r="F30" s="114">
        <f t="shared" si="3"/>
        <v>2570</v>
      </c>
      <c r="G30" s="110">
        <f>IF($A30="","",SUMIFS(Registro!$H$2:$H$1001,Cálculo!$A$2:$A$1001,$B$3,Cálculo!$B$2:$B$1001,$A30))</f>
        <v>2340</v>
      </c>
      <c r="H30" s="110">
        <f>IF($A30="","",SUMIFS(Cálculo!$K$2:$K$1001,Cálculo!$A$2:$A$1001,$B$3,Cálculo!$B$2:$B$1001,$A30))</f>
        <v>100</v>
      </c>
      <c r="I30" s="110">
        <f>IF($A30="","",SUMIFS(Cálculo!$L$2:$L$1001,Cálculo!$A$2:$A$1001,$B$3,Cálculo!$B$2:$B$1001,$A30))</f>
        <v>8500</v>
      </c>
      <c r="J30" s="111">
        <f>IF($A30="","",SUMIFS(Cálculo!$N$2:$N$1001,Cálculo!$A$2:$A$1001,$B$3,Cálculo!$B$2:$B$1001,$A30))</f>
        <v>-6260</v>
      </c>
    </row>
    <row r="31" spans="1:10" x14ac:dyDescent="0.2">
      <c r="A31" s="104">
        <f>IF(ROWS($A$11:$A31)&lt;=DAY(EOMONTH(DATE($D$3,$H$3,1),0)),DATE($D$3,$H$3,ROWS($A$11:$A31)),"")</f>
        <v>46316</v>
      </c>
      <c r="B31" s="105" t="str">
        <f t="shared" si="2"/>
        <v>Miércoles</v>
      </c>
      <c r="C31" s="106">
        <f>IF($A31="","",COUNTIFS(Cálculo!$A$2:$A$1001,$B$3,Cálculo!$B$2:$B$1001,$A31))</f>
        <v>1</v>
      </c>
      <c r="D31" s="112">
        <f>IF($A31="","",SUMIFS(Cálculo!$E$2:$E$1001,Cálculo!$A$2:$A$1001,$B$3,Cálculo!$B$2:$B$1001,$A31))</f>
        <v>2240</v>
      </c>
      <c r="E31" s="112">
        <f>IF($A31="","",SUMIFS(Cálculo!$F$2:$F$1001,Cálculo!$A$2:$A$1001,$B$3,Cálculo!$B$2:$B$1001,$A31))</f>
        <v>0</v>
      </c>
      <c r="F31" s="115">
        <f t="shared" si="3"/>
        <v>2240</v>
      </c>
      <c r="G31" s="112">
        <f>IF($A31="","",SUMIFS(Registro!$H$2:$H$1001,Cálculo!$A$2:$A$1001,$B$3,Cálculo!$B$2:$B$1001,$A31))</f>
        <v>0</v>
      </c>
      <c r="H31" s="112">
        <f>IF($A31="","",SUMIFS(Cálculo!$K$2:$K$1001,Cálculo!$A$2:$A$1001,$B$3,Cálculo!$B$2:$B$1001,$A31))</f>
        <v>0</v>
      </c>
      <c r="I31" s="112">
        <f>IF($A31="","",SUMIFS(Cálculo!$L$2:$L$1001,Cálculo!$A$2:$A$1001,$B$3,Cálculo!$B$2:$B$1001,$A31))</f>
        <v>0</v>
      </c>
      <c r="J31" s="113">
        <f>IF($A31="","",SUMIFS(Cálculo!$N$2:$N$1001,Cálculo!$A$2:$A$1001,$B$3,Cálculo!$B$2:$B$1001,$A31))</f>
        <v>0</v>
      </c>
    </row>
    <row r="32" spans="1:10" x14ac:dyDescent="0.2">
      <c r="A32" s="107">
        <f>IF(ROWS($A$11:$A32)&lt;=DAY(EOMONTH(DATE($D$3,$H$3,1),0)),DATE($D$3,$H$3,ROWS($A$11:$A32)),"")</f>
        <v>46317</v>
      </c>
      <c r="B32" s="108" t="str">
        <f t="shared" si="2"/>
        <v>Jueves</v>
      </c>
      <c r="C32" s="109">
        <f>IF($A32="","",COUNTIFS(Cálculo!$A$2:$A$1001,$B$3,Cálculo!$B$2:$B$1001,$A32))</f>
        <v>1</v>
      </c>
      <c r="D32" s="110">
        <f>IF($A32="","",SUMIFS(Cálculo!$E$2:$E$1001,Cálculo!$A$2:$A$1001,$B$3,Cálculo!$B$2:$B$1001,$A32))</f>
        <v>1710</v>
      </c>
      <c r="E32" s="110">
        <f>IF($A32="","",SUMIFS(Cálculo!$F$2:$F$1001,Cálculo!$A$2:$A$1001,$B$3,Cálculo!$B$2:$B$1001,$A32))</f>
        <v>0</v>
      </c>
      <c r="F32" s="114">
        <f t="shared" si="3"/>
        <v>1710</v>
      </c>
      <c r="G32" s="110">
        <f>IF($A32="","",SUMIFS(Registro!$H$2:$H$1001,Cálculo!$A$2:$A$1001,$B$3,Cálculo!$B$2:$B$1001,$A32))</f>
        <v>3760</v>
      </c>
      <c r="H32" s="110">
        <f>IF($A32="","",SUMIFS(Cálculo!$K$2:$K$1001,Cálculo!$A$2:$A$1001,$B$3,Cálculo!$B$2:$B$1001,$A32))</f>
        <v>130</v>
      </c>
      <c r="I32" s="110">
        <f>IF($A32="","",SUMIFS(Cálculo!$L$2:$L$1001,Cálculo!$A$2:$A$1001,$B$3,Cálculo!$B$2:$B$1001,$A32))</f>
        <v>0</v>
      </c>
      <c r="J32" s="111">
        <f>IF($A32="","",SUMIFS(Cálculo!$N$2:$N$1001,Cálculo!$A$2:$A$1001,$B$3,Cálculo!$B$2:$B$1001,$A32))</f>
        <v>3630</v>
      </c>
    </row>
    <row r="33" spans="1:10" x14ac:dyDescent="0.2">
      <c r="A33" s="104">
        <f>IF(ROWS($A$11:$A33)&lt;=DAY(EOMONTH(DATE($D$3,$H$3,1),0)),DATE($D$3,$H$3,ROWS($A$11:$A33)),"")</f>
        <v>46318</v>
      </c>
      <c r="B33" s="105" t="str">
        <f t="shared" si="2"/>
        <v>Viernes</v>
      </c>
      <c r="C33" s="106">
        <f>IF($A33="","",COUNTIFS(Cálculo!$A$2:$A$1001,$B$3,Cálculo!$B$2:$B$1001,$A33))</f>
        <v>1</v>
      </c>
      <c r="D33" s="112">
        <f>IF($A33="","",SUMIFS(Cálculo!$E$2:$E$1001,Cálculo!$A$2:$A$1001,$B$3,Cálculo!$B$2:$B$1001,$A33))</f>
        <v>3190</v>
      </c>
      <c r="E33" s="112">
        <f>IF($A33="","",SUMIFS(Cálculo!$F$2:$F$1001,Cálculo!$A$2:$A$1001,$B$3,Cálculo!$B$2:$B$1001,$A33))</f>
        <v>0</v>
      </c>
      <c r="F33" s="115">
        <f t="shared" si="3"/>
        <v>3190</v>
      </c>
      <c r="G33" s="112">
        <f>IF($A33="","",SUMIFS(Registro!$H$2:$H$1001,Cálculo!$A$2:$A$1001,$B$3,Cálculo!$B$2:$B$1001,$A33))</f>
        <v>2335</v>
      </c>
      <c r="H33" s="112">
        <f>IF($A33="","",SUMIFS(Cálculo!$K$2:$K$1001,Cálculo!$A$2:$A$1001,$B$3,Cálculo!$B$2:$B$1001,$A33))</f>
        <v>95</v>
      </c>
      <c r="I33" s="112">
        <f>IF($A33="","",SUMIFS(Cálculo!$L$2:$L$1001,Cálculo!$A$2:$A$1001,$B$3,Cálculo!$B$2:$B$1001,$A33))</f>
        <v>8400</v>
      </c>
      <c r="J33" s="113">
        <f>IF($A33="","",SUMIFS(Cálculo!$N$2:$N$1001,Cálculo!$A$2:$A$1001,$B$3,Cálculo!$B$2:$B$1001,$A33))</f>
        <v>-6160</v>
      </c>
    </row>
    <row r="34" spans="1:10" x14ac:dyDescent="0.2">
      <c r="A34" s="107">
        <f>IF(ROWS($A$11:$A34)&lt;=DAY(EOMONTH(DATE($D$3,$H$3,1),0)),DATE($D$3,$H$3,ROWS($A$11:$A34)),"")</f>
        <v>46319</v>
      </c>
      <c r="B34" s="108" t="str">
        <f t="shared" si="2"/>
        <v>Sábado</v>
      </c>
      <c r="C34" s="109">
        <f>IF($A34="","",COUNTIFS(Cálculo!$A$2:$A$1001,$B$3,Cálculo!$B$2:$B$1001,$A34))</f>
        <v>1</v>
      </c>
      <c r="D34" s="110">
        <f>IF($A34="","",SUMIFS(Cálculo!$E$2:$E$1001,Cálculo!$A$2:$A$1001,$B$3,Cálculo!$B$2:$B$1001,$A34))</f>
        <v>2790</v>
      </c>
      <c r="E34" s="110">
        <f>IF($A34="","",SUMIFS(Cálculo!$F$2:$F$1001,Cálculo!$A$2:$A$1001,$B$3,Cálculo!$B$2:$B$1001,$A34))</f>
        <v>0</v>
      </c>
      <c r="F34" s="114">
        <f t="shared" si="3"/>
        <v>2790</v>
      </c>
      <c r="G34" s="110">
        <f>IF($A34="","",SUMIFS(Registro!$H$2:$H$1001,Cálculo!$A$2:$A$1001,$B$3,Cálculo!$B$2:$B$1001,$A34))</f>
        <v>2815</v>
      </c>
      <c r="H34" s="110">
        <f>IF($A34="","",SUMIFS(Cálculo!$K$2:$K$1001,Cálculo!$A$2:$A$1001,$B$3,Cálculo!$B$2:$B$1001,$A34))</f>
        <v>92</v>
      </c>
      <c r="I34" s="110">
        <f>IF($A34="","",SUMIFS(Cálculo!$L$2:$L$1001,Cálculo!$A$2:$A$1001,$B$3,Cálculo!$B$2:$B$1001,$A34))</f>
        <v>2700</v>
      </c>
      <c r="J34" s="111">
        <f>IF($A34="","",SUMIFS(Cálculo!$N$2:$N$1001,Cálculo!$A$2:$A$1001,$B$3,Cálculo!$B$2:$B$1001,$A34))</f>
        <v>23</v>
      </c>
    </row>
    <row r="35" spans="1:10" x14ac:dyDescent="0.2">
      <c r="A35" s="104">
        <f>IF(ROWS($A$11:$A35)&lt;=DAY(EOMONTH(DATE($D$3,$H$3,1),0)),DATE($D$3,$H$3,ROWS($A$11:$A35)),"")</f>
        <v>46320</v>
      </c>
      <c r="B35" s="105" t="str">
        <f t="shared" si="2"/>
        <v>Domingo</v>
      </c>
      <c r="C35" s="106">
        <f>IF($A35="","",COUNTIFS(Cálculo!$A$2:$A$1001,$B$3,Cálculo!$B$2:$B$1001,$A35))</f>
        <v>1</v>
      </c>
      <c r="D35" s="112">
        <f>IF($A35="","",SUMIFS(Cálculo!$E$2:$E$1001,Cálculo!$A$2:$A$1001,$B$3,Cálculo!$B$2:$B$1001,$A35))</f>
        <v>1560</v>
      </c>
      <c r="E35" s="112">
        <f>IF($A35="","",SUMIFS(Cálculo!$F$2:$F$1001,Cálculo!$A$2:$A$1001,$B$3,Cálculo!$B$2:$B$1001,$A35))</f>
        <v>0</v>
      </c>
      <c r="F35" s="115">
        <f t="shared" si="3"/>
        <v>1560</v>
      </c>
      <c r="G35" s="112">
        <f>IF($A35="","",SUMIFS(Registro!$H$2:$H$1001,Cálculo!$A$2:$A$1001,$B$3,Cálculo!$B$2:$B$1001,$A35))</f>
        <v>200</v>
      </c>
      <c r="H35" s="112">
        <f>IF($A35="","",SUMIFS(Cálculo!$K$2:$K$1001,Cálculo!$A$2:$A$1001,$B$3,Cálculo!$B$2:$B$1001,$A35))</f>
        <v>0</v>
      </c>
      <c r="I35" s="112">
        <f>IF($A35="","",SUMIFS(Cálculo!$L$2:$L$1001,Cálculo!$A$2:$A$1001,$B$3,Cálculo!$B$2:$B$1001,$A35))</f>
        <v>0</v>
      </c>
      <c r="J35" s="113">
        <f>IF($A35="","",SUMIFS(Cálculo!$N$2:$N$1001,Cálculo!$A$2:$A$1001,$B$3,Cálculo!$B$2:$B$1001,$A35))</f>
        <v>200</v>
      </c>
    </row>
    <row r="36" spans="1:10" x14ac:dyDescent="0.2">
      <c r="A36" s="107">
        <f>IF(ROWS($A$11:$A36)&lt;=DAY(EOMONTH(DATE($D$3,$H$3,1),0)),DATE($D$3,$H$3,ROWS($A$11:$A36)),"")</f>
        <v>46321</v>
      </c>
      <c r="B36" s="108" t="str">
        <f t="shared" si="2"/>
        <v>Lunes</v>
      </c>
      <c r="C36" s="109">
        <f>IF($A36="","",COUNTIFS(Cálculo!$A$2:$A$1001,$B$3,Cálculo!$B$2:$B$1001,$A36))</f>
        <v>0</v>
      </c>
      <c r="D36" s="110">
        <f>IF($A36="","",SUMIFS(Cálculo!$E$2:$E$1001,Cálculo!$A$2:$A$1001,$B$3,Cálculo!$B$2:$B$1001,$A36))</f>
        <v>0</v>
      </c>
      <c r="E36" s="110">
        <f>IF($A36="","",SUMIFS(Cálculo!$F$2:$F$1001,Cálculo!$A$2:$A$1001,$B$3,Cálculo!$B$2:$B$1001,$A36))</f>
        <v>0</v>
      </c>
      <c r="F36" s="114">
        <f t="shared" si="3"/>
        <v>0</v>
      </c>
      <c r="G36" s="110">
        <f>IF($A36="","",SUMIFS(Registro!$H$2:$H$1001,Cálculo!$A$2:$A$1001,$B$3,Cálculo!$B$2:$B$1001,$A36))</f>
        <v>0</v>
      </c>
      <c r="H36" s="110">
        <f>IF($A36="","",SUMIFS(Cálculo!$K$2:$K$1001,Cálculo!$A$2:$A$1001,$B$3,Cálculo!$B$2:$B$1001,$A36))</f>
        <v>0</v>
      </c>
      <c r="I36" s="110">
        <f>IF($A36="","",SUMIFS(Cálculo!$L$2:$L$1001,Cálculo!$A$2:$A$1001,$B$3,Cálculo!$B$2:$B$1001,$A36))</f>
        <v>0</v>
      </c>
      <c r="J36" s="111">
        <f>IF($A36="","",SUMIFS(Cálculo!$N$2:$N$1001,Cálculo!$A$2:$A$1001,$B$3,Cálculo!$B$2:$B$1001,$A36))</f>
        <v>0</v>
      </c>
    </row>
    <row r="37" spans="1:10" x14ac:dyDescent="0.2">
      <c r="A37" s="104">
        <f>IF(ROWS($A$11:$A37)&lt;=DAY(EOMONTH(DATE($D$3,$H$3,1),0)),DATE($D$3,$H$3,ROWS($A$11:$A37)),"")</f>
        <v>46322</v>
      </c>
      <c r="B37" s="105" t="str">
        <f t="shared" si="2"/>
        <v>Martes</v>
      </c>
      <c r="C37" s="106">
        <f>IF($A37="","",COUNTIFS(Cálculo!$A$2:$A$1001,$B$3,Cálculo!$B$2:$B$1001,$A37))</f>
        <v>0</v>
      </c>
      <c r="D37" s="112">
        <f>IF($A37="","",SUMIFS(Cálculo!$E$2:$E$1001,Cálculo!$A$2:$A$1001,$B$3,Cálculo!$B$2:$B$1001,$A37))</f>
        <v>0</v>
      </c>
      <c r="E37" s="112">
        <f>IF($A37="","",SUMIFS(Cálculo!$F$2:$F$1001,Cálculo!$A$2:$A$1001,$B$3,Cálculo!$B$2:$B$1001,$A37))</f>
        <v>0</v>
      </c>
      <c r="F37" s="115">
        <f t="shared" si="3"/>
        <v>0</v>
      </c>
      <c r="G37" s="112">
        <f>IF($A37="","",SUMIFS(Registro!$H$2:$H$1001,Cálculo!$A$2:$A$1001,$B$3,Cálculo!$B$2:$B$1001,$A37))</f>
        <v>0</v>
      </c>
      <c r="H37" s="112">
        <f>IF($A37="","",SUMIFS(Cálculo!$K$2:$K$1001,Cálculo!$A$2:$A$1001,$B$3,Cálculo!$B$2:$B$1001,$A37))</f>
        <v>0</v>
      </c>
      <c r="I37" s="112">
        <f>IF($A37="","",SUMIFS(Cálculo!$L$2:$L$1001,Cálculo!$A$2:$A$1001,$B$3,Cálculo!$B$2:$B$1001,$A37))</f>
        <v>0</v>
      </c>
      <c r="J37" s="113">
        <f>IF($A37="","",SUMIFS(Cálculo!$N$2:$N$1001,Cálculo!$A$2:$A$1001,$B$3,Cálculo!$B$2:$B$1001,$A37))</f>
        <v>0</v>
      </c>
    </row>
    <row r="38" spans="1:10" x14ac:dyDescent="0.2">
      <c r="A38" s="107">
        <f>IF(ROWS($A$11:$A38)&lt;=DAY(EOMONTH(DATE($D$3,$H$3,1),0)),DATE($D$3,$H$3,ROWS($A$11:$A38)),"")</f>
        <v>46323</v>
      </c>
      <c r="B38" s="108" t="str">
        <f t="shared" si="2"/>
        <v>Miércoles</v>
      </c>
      <c r="C38" s="109">
        <f>IF($A38="","",COUNTIFS(Cálculo!$A$2:$A$1001,$B$3,Cálculo!$B$2:$B$1001,$A38))</f>
        <v>0</v>
      </c>
      <c r="D38" s="110">
        <f>IF($A38="","",SUMIFS(Cálculo!$E$2:$E$1001,Cálculo!$A$2:$A$1001,$B$3,Cálculo!$B$2:$B$1001,$A38))</f>
        <v>0</v>
      </c>
      <c r="E38" s="110">
        <f>IF($A38="","",SUMIFS(Cálculo!$F$2:$F$1001,Cálculo!$A$2:$A$1001,$B$3,Cálculo!$B$2:$B$1001,$A38))</f>
        <v>0</v>
      </c>
      <c r="F38" s="114">
        <f t="shared" si="3"/>
        <v>0</v>
      </c>
      <c r="G38" s="110">
        <f>IF($A38="","",SUMIFS(Registro!$H$2:$H$1001,Cálculo!$A$2:$A$1001,$B$3,Cálculo!$B$2:$B$1001,$A38))</f>
        <v>0</v>
      </c>
      <c r="H38" s="110">
        <f>IF($A38="","",SUMIFS(Cálculo!$K$2:$K$1001,Cálculo!$A$2:$A$1001,$B$3,Cálculo!$B$2:$B$1001,$A38))</f>
        <v>0</v>
      </c>
      <c r="I38" s="110">
        <f>IF($A38="","",SUMIFS(Cálculo!$L$2:$L$1001,Cálculo!$A$2:$A$1001,$B$3,Cálculo!$B$2:$B$1001,$A38))</f>
        <v>0</v>
      </c>
      <c r="J38" s="111">
        <f>IF($A38="","",SUMIFS(Cálculo!$N$2:$N$1001,Cálculo!$A$2:$A$1001,$B$3,Cálculo!$B$2:$B$1001,$A38))</f>
        <v>0</v>
      </c>
    </row>
    <row r="39" spans="1:10" x14ac:dyDescent="0.2">
      <c r="A39" s="104">
        <f>IF(ROWS($A$11:$A39)&lt;=DAY(EOMONTH(DATE($D$3,$H$3,1),0)),DATE($D$3,$H$3,ROWS($A$11:$A39)),"")</f>
        <v>46324</v>
      </c>
      <c r="B39" s="105" t="str">
        <f t="shared" si="2"/>
        <v>Jueves</v>
      </c>
      <c r="C39" s="106">
        <f>IF($A39="","",COUNTIFS(Cálculo!$A$2:$A$1001,$B$3,Cálculo!$B$2:$B$1001,$A39))</f>
        <v>0</v>
      </c>
      <c r="D39" s="112">
        <f>IF($A39="","",SUMIFS(Cálculo!$E$2:$E$1001,Cálculo!$A$2:$A$1001,$B$3,Cálculo!$B$2:$B$1001,$A39))</f>
        <v>0</v>
      </c>
      <c r="E39" s="112">
        <f>IF($A39="","",SUMIFS(Cálculo!$F$2:$F$1001,Cálculo!$A$2:$A$1001,$B$3,Cálculo!$B$2:$B$1001,$A39))</f>
        <v>0</v>
      </c>
      <c r="F39" s="115">
        <f t="shared" si="3"/>
        <v>0</v>
      </c>
      <c r="G39" s="112">
        <f>IF($A39="","",SUMIFS(Registro!$H$2:$H$1001,Cálculo!$A$2:$A$1001,$B$3,Cálculo!$B$2:$B$1001,$A39))</f>
        <v>0</v>
      </c>
      <c r="H39" s="112">
        <f>IF($A39="","",SUMIFS(Cálculo!$K$2:$K$1001,Cálculo!$A$2:$A$1001,$B$3,Cálculo!$B$2:$B$1001,$A39))</f>
        <v>0</v>
      </c>
      <c r="I39" s="112">
        <f>IF($A39="","",SUMIFS(Cálculo!$L$2:$L$1001,Cálculo!$A$2:$A$1001,$B$3,Cálculo!$B$2:$B$1001,$A39))</f>
        <v>0</v>
      </c>
      <c r="J39" s="113">
        <f>IF($A39="","",SUMIFS(Cálculo!$N$2:$N$1001,Cálculo!$A$2:$A$1001,$B$3,Cálculo!$B$2:$B$1001,$A39))</f>
        <v>0</v>
      </c>
    </row>
    <row r="40" spans="1:10" x14ac:dyDescent="0.2">
      <c r="A40" s="107">
        <f>IF(ROWS($A$11:$A40)&lt;=DAY(EOMONTH(DATE($D$3,$H$3,1),0)),DATE($D$3,$H$3,ROWS($A$11:$A40)),"")</f>
        <v>46325</v>
      </c>
      <c r="B40" s="108" t="str">
        <f t="shared" si="2"/>
        <v>Viernes</v>
      </c>
      <c r="C40" s="109">
        <f>IF($A40="","",COUNTIFS(Cálculo!$A$2:$A$1001,$B$3,Cálculo!$B$2:$B$1001,$A40))</f>
        <v>0</v>
      </c>
      <c r="D40" s="110">
        <f>IF($A40="","",SUMIFS(Cálculo!$E$2:$E$1001,Cálculo!$A$2:$A$1001,$B$3,Cálculo!$B$2:$B$1001,$A40))</f>
        <v>0</v>
      </c>
      <c r="E40" s="110">
        <f>IF($A40="","",SUMIFS(Cálculo!$F$2:$F$1001,Cálculo!$A$2:$A$1001,$B$3,Cálculo!$B$2:$B$1001,$A40))</f>
        <v>0</v>
      </c>
      <c r="F40" s="114">
        <f t="shared" si="3"/>
        <v>0</v>
      </c>
      <c r="G40" s="110">
        <f>IF($A40="","",SUMIFS(Registro!$H$2:$H$1001,Cálculo!$A$2:$A$1001,$B$3,Cálculo!$B$2:$B$1001,$A40))</f>
        <v>0</v>
      </c>
      <c r="H40" s="110">
        <f>IF($A40="","",SUMIFS(Cálculo!$K$2:$K$1001,Cálculo!$A$2:$A$1001,$B$3,Cálculo!$B$2:$B$1001,$A40))</f>
        <v>0</v>
      </c>
      <c r="I40" s="110">
        <f>IF($A40="","",SUMIFS(Cálculo!$L$2:$L$1001,Cálculo!$A$2:$A$1001,$B$3,Cálculo!$B$2:$B$1001,$A40))</f>
        <v>0</v>
      </c>
      <c r="J40" s="111">
        <f>IF($A40="","",SUMIFS(Cálculo!$N$2:$N$1001,Cálculo!$A$2:$A$1001,$B$3,Cálculo!$B$2:$B$1001,$A40))</f>
        <v>0</v>
      </c>
    </row>
    <row r="41" spans="1:10" x14ac:dyDescent="0.2">
      <c r="A41" s="104">
        <f>IF(ROWS($A$11:$A41)&lt;=DAY(EOMONTH(DATE($D$3,$H$3,1),0)),DATE($D$3,$H$3,ROWS($A$11:$A41)),"")</f>
        <v>46326</v>
      </c>
      <c r="B41" s="105" t="str">
        <f t="shared" si="2"/>
        <v>Sábado</v>
      </c>
      <c r="C41" s="106">
        <f>IF($A41="","",COUNTIFS(Cálculo!$A$2:$A$1001,$B$3,Cálculo!$B$2:$B$1001,$A41))</f>
        <v>0</v>
      </c>
      <c r="D41" s="112">
        <f>IF($A41="","",SUMIFS(Cálculo!$E$2:$E$1001,Cálculo!$A$2:$A$1001,$B$3,Cálculo!$B$2:$B$1001,$A41))</f>
        <v>0</v>
      </c>
      <c r="E41" s="112">
        <f>IF($A41="","",SUMIFS(Cálculo!$F$2:$F$1001,Cálculo!$A$2:$A$1001,$B$3,Cálculo!$B$2:$B$1001,$A41))</f>
        <v>0</v>
      </c>
      <c r="F41" s="115">
        <f t="shared" si="3"/>
        <v>0</v>
      </c>
      <c r="G41" s="112">
        <f>IF($A41="","",SUMIFS(Registro!$H$2:$H$1001,Cálculo!$A$2:$A$1001,$B$3,Cálculo!$B$2:$B$1001,$A41))</f>
        <v>0</v>
      </c>
      <c r="H41" s="112">
        <f>IF($A41="","",SUMIFS(Cálculo!$K$2:$K$1001,Cálculo!$A$2:$A$1001,$B$3,Cálculo!$B$2:$B$1001,$A41))</f>
        <v>0</v>
      </c>
      <c r="I41" s="112">
        <f>IF($A41="","",SUMIFS(Cálculo!$L$2:$L$1001,Cálculo!$A$2:$A$1001,$B$3,Cálculo!$B$2:$B$1001,$A41))</f>
        <v>0</v>
      </c>
      <c r="J41" s="113">
        <f>IF($A41="","",SUMIFS(Cálculo!$N$2:$N$1001,Cálculo!$A$2:$A$1001,$B$3,Cálculo!$B$2:$B$1001,$A41))</f>
        <v>0</v>
      </c>
    </row>
  </sheetData>
  <mergeCells count="5">
    <mergeCell ref="A8:C8"/>
    <mergeCell ref="D8:F8"/>
    <mergeCell ref="G8:J8"/>
    <mergeCell ref="A5:C5"/>
    <mergeCell ref="A6:C6"/>
  </mergeCells>
  <dataValidations count="3">
    <dataValidation type="list" allowBlank="1" showInputMessage="1" showErrorMessage="1" sqref="B3:B4" xr:uid="{E79D7FA9-B657-483B-8DFD-D41763FE5A76}">
      <formula1>"TDS,PIN,PKS"</formula1>
    </dataValidation>
    <dataValidation type="whole" allowBlank="1" showInputMessage="1" showErrorMessage="1" sqref="D3:D6" xr:uid="{7B6E0AF8-23F7-44B9-9AE2-C00467CD35AE}">
      <formula1>2000</formula1>
      <formula2>2100</formula2>
    </dataValidation>
    <dataValidation type="list" allowBlank="1" showInputMessage="1" showErrorMessage="1" sqref="F3:F6" xr:uid="{5932A8B7-0F05-4E03-9959-BCFDA5316032}">
      <formula1>"Enero,Febrero,Marzo,Abril,Mayo,Junio,Julio,Agosto,Septiembre,Octubre,Noviembre,Diciembre"</formula1>
    </dataValidation>
  </dataValidations>
  <hyperlinks>
    <hyperlink ref="J3" location="'Inicio'!A1" tooltip="Volver al menú" display="⌂ Inicio" xr:uid="{41AA7203-4ADA-45DB-B4B9-BF77F6FE5788}"/>
  </hyperlinks>
  <printOptions horizontalCentered="1"/>
  <pageMargins left="0.7" right="0.7" top="0.75" bottom="0.75" header="0.3" footer="0.3"/>
  <pageSetup paperSize="9" scale="5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A3BE-EE7E-47E6-AD5D-1CEE97C0A9AE}">
  <sheetPr>
    <tabColor rgb="FF7030A0"/>
    <pageSetUpPr fitToPage="1"/>
  </sheetPr>
  <dimension ref="A1:H515"/>
  <sheetViews>
    <sheetView showGridLines="0" zoomScaleNormal="100" workbookViewId="0">
      <selection activeCell="A16" sqref="A16"/>
    </sheetView>
  </sheetViews>
  <sheetFormatPr baseColWidth="10" defaultRowHeight="12.75" x14ac:dyDescent="0.2"/>
  <cols>
    <col min="1" max="1" width="11.7109375" style="16" customWidth="1"/>
    <col min="2" max="2" width="13.7109375" style="16" customWidth="1"/>
    <col min="3" max="4" width="30.7109375" style="16" customWidth="1"/>
    <col min="5" max="6" width="16.7109375" style="16" customWidth="1"/>
    <col min="7" max="7" width="12.7109375" style="16" customWidth="1"/>
    <col min="8" max="8" width="22.7109375" style="16" customWidth="1"/>
    <col min="9" max="16384" width="11.42578125" style="16"/>
  </cols>
  <sheetData>
    <row r="1" spans="1:8" ht="32.1" customHeight="1" x14ac:dyDescent="0.2">
      <c r="A1" s="33" t="str">
        <f>"FACTURAS E IVA — "&amp;$D$3&amp;" "&amp;$B$3&amp;" (todos los buses)"</f>
        <v>FACTURAS E IVA — Octubre 2026 (todos los buses)</v>
      </c>
      <c r="B1" s="85"/>
      <c r="C1" s="85"/>
      <c r="D1" s="85"/>
      <c r="E1" s="85"/>
      <c r="F1" s="85"/>
      <c r="G1" s="85"/>
      <c r="H1" s="85"/>
    </row>
    <row r="2" spans="1:8" ht="27.95" customHeight="1" x14ac:dyDescent="0.2">
      <c r="A2" s="225" t="s">
        <v>285</v>
      </c>
      <c r="B2" s="225"/>
      <c r="C2" s="225"/>
      <c r="D2" s="225"/>
      <c r="E2" s="225"/>
      <c r="F2" s="225"/>
      <c r="G2" s="225"/>
      <c r="H2" s="225"/>
    </row>
    <row r="3" spans="1:8" ht="24" customHeight="1" x14ac:dyDescent="0.25">
      <c r="A3" s="17" t="s">
        <v>180</v>
      </c>
      <c r="B3" s="87">
        <v>2026</v>
      </c>
      <c r="C3" s="17" t="s">
        <v>181</v>
      </c>
      <c r="D3" s="87" t="s">
        <v>182</v>
      </c>
      <c r="E3" s="17" t="s">
        <v>286</v>
      </c>
      <c r="F3" s="140">
        <v>0.13</v>
      </c>
      <c r="G3" s="139">
        <f>$B$3*100+MATCH($D$3,{"Enero","Febrero","Marzo","Abril","Mayo","Junio","Julio","Agosto","Septiembre","Octubre","Noviembre","Diciembre"},0)</f>
        <v>202610</v>
      </c>
      <c r="H3" s="141" t="s">
        <v>271</v>
      </c>
    </row>
    <row r="4" spans="1:8" ht="13.5" thickBot="1" x14ac:dyDescent="0.25"/>
    <row r="5" spans="1:8" x14ac:dyDescent="0.2">
      <c r="A5" s="195" t="s">
        <v>287</v>
      </c>
      <c r="B5" s="195"/>
      <c r="C5" s="195"/>
      <c r="D5" s="195"/>
      <c r="E5" s="195"/>
      <c r="F5" s="215"/>
      <c r="G5" s="204" t="s">
        <v>294</v>
      </c>
      <c r="H5" s="205"/>
    </row>
    <row r="6" spans="1:8" x14ac:dyDescent="0.2">
      <c r="A6" s="216" t="s">
        <v>288</v>
      </c>
      <c r="B6" s="216"/>
      <c r="C6" s="216"/>
      <c r="D6" s="216"/>
      <c r="E6" s="142" t="s">
        <v>289</v>
      </c>
      <c r="F6" s="148" t="str">
        <f>"IVA ("&amp;TEXT($F$3*100,"0")&amp;"%)"</f>
        <v>IVA (13%)</v>
      </c>
      <c r="G6" s="206">
        <f>MAX(F9-F10,0)</f>
        <v>30896.97</v>
      </c>
      <c r="H6" s="207"/>
    </row>
    <row r="7" spans="1:8" ht="21.95" customHeight="1" x14ac:dyDescent="0.2">
      <c r="A7" s="217" t="s">
        <v>290</v>
      </c>
      <c r="B7" s="218"/>
      <c r="C7" s="218"/>
      <c r="D7" s="218"/>
      <c r="E7" s="143">
        <f>SUMIFS(Cálculo!$G$2:$G$1001,Cálculo!$C$2:$C$1001,$G$3)</f>
        <v>106655</v>
      </c>
      <c r="F7" s="149">
        <f>E7*$F$3</f>
        <v>13865.15</v>
      </c>
      <c r="G7" s="206"/>
      <c r="H7" s="207"/>
    </row>
    <row r="8" spans="1:8" ht="21.95" customHeight="1" thickBot="1" x14ac:dyDescent="0.25">
      <c r="A8" s="219" t="s">
        <v>291</v>
      </c>
      <c r="B8" s="220"/>
      <c r="C8" s="220"/>
      <c r="D8" s="220"/>
      <c r="E8" s="145">
        <f>SUMIFS(Registro!$H$2:$H$1001,Cálculo!$C$2:$C$1001,$G$3)</f>
        <v>131014</v>
      </c>
      <c r="F8" s="150">
        <f>E8*$F$3</f>
        <v>17031.82</v>
      </c>
      <c r="G8" s="206"/>
      <c r="H8" s="207"/>
    </row>
    <row r="9" spans="1:8" ht="21.95" customHeight="1" x14ac:dyDescent="0.2">
      <c r="A9" s="221" t="s">
        <v>292</v>
      </c>
      <c r="B9" s="222"/>
      <c r="C9" s="222"/>
      <c r="D9" s="222"/>
      <c r="E9" s="147">
        <f>E7+E8</f>
        <v>237669</v>
      </c>
      <c r="F9" s="151">
        <f>F7+F8</f>
        <v>30896.97</v>
      </c>
      <c r="G9" s="208" t="s">
        <v>295</v>
      </c>
      <c r="H9" s="209"/>
    </row>
    <row r="10" spans="1:8" ht="21.95" customHeight="1" x14ac:dyDescent="0.2">
      <c r="A10" s="223" t="str">
        <f>"Facturas del mes ("&amp;COUNTIFS($A$16:$A$515,"&gt;="&amp;DATE($B$3,MOD($G$3,100),1),$A$16:$A$515,"&lt;="&amp;EOMONTH(DATE($B$3,MOD($G$3,100),1),0))&amp;")  →  IVA crédito"</f>
        <v>Facturas del mes (0)  →  IVA crédito</v>
      </c>
      <c r="B10" s="224"/>
      <c r="C10" s="224"/>
      <c r="D10" s="224"/>
      <c r="E10" s="146">
        <f>SUMIFS($E$16:$E$515,$A$16:$A$515,"&gt;="&amp;DATE($B$3,MOD($G$3,100),1),$A$16:$A$515,"&lt;="&amp;EOMONTH(DATE($B$3,MOD($G$3,100),1),0))</f>
        <v>0</v>
      </c>
      <c r="F10" s="152">
        <f>E10*$F$3</f>
        <v>0</v>
      </c>
      <c r="G10" s="210">
        <f>MAX(F10-F9,0)</f>
        <v>0</v>
      </c>
      <c r="H10" s="211"/>
    </row>
    <row r="11" spans="1:8" ht="21.95" customHeight="1" thickBot="1" x14ac:dyDescent="0.25">
      <c r="A11" s="202" t="s">
        <v>293</v>
      </c>
      <c r="B11" s="203"/>
      <c r="C11" s="203"/>
      <c r="D11" s="203"/>
      <c r="E11" s="144">
        <f>E9-E10</f>
        <v>237669</v>
      </c>
      <c r="F11" s="153">
        <f>F9-F10</f>
        <v>30896.97</v>
      </c>
      <c r="G11" s="212"/>
      <c r="H11" s="213"/>
    </row>
    <row r="13" spans="1:8" ht="8.1" customHeight="1" x14ac:dyDescent="0.2"/>
    <row r="14" spans="1:8" ht="20.100000000000001" customHeight="1" x14ac:dyDescent="0.2">
      <c r="A14" s="214" t="s">
        <v>296</v>
      </c>
      <c r="B14" s="214"/>
      <c r="C14" s="214"/>
      <c r="D14" s="214"/>
      <c r="E14" s="214"/>
      <c r="F14" s="214"/>
      <c r="G14" s="214"/>
      <c r="H14" s="214"/>
    </row>
    <row r="15" spans="1:8" ht="21.95" customHeight="1" x14ac:dyDescent="0.2">
      <c r="A15" s="154" t="s">
        <v>15</v>
      </c>
      <c r="B15" s="154" t="s">
        <v>297</v>
      </c>
      <c r="C15" s="154" t="s">
        <v>298</v>
      </c>
      <c r="D15" s="154" t="s">
        <v>288</v>
      </c>
      <c r="E15" s="154" t="s">
        <v>299</v>
      </c>
      <c r="F15" s="154" t="s">
        <v>300</v>
      </c>
      <c r="G15" s="154" t="s">
        <v>301</v>
      </c>
      <c r="H15" s="154" t="s">
        <v>23</v>
      </c>
    </row>
    <row r="16" spans="1:8" ht="15.75" x14ac:dyDescent="0.25">
      <c r="A16" s="155"/>
      <c r="B16" s="156"/>
      <c r="C16" s="157"/>
      <c r="D16" s="157"/>
      <c r="E16" s="158"/>
      <c r="F16" s="159" t="str">
        <f t="shared" ref="F16:F79" si="0">IF(E16="","",E16*$F$3)</f>
        <v/>
      </c>
      <c r="G16" s="160" t="str">
        <f t="shared" ref="G16:G79" si="1">IF(AND(ISNUMBER(A16),E16&lt;&gt;""),IF(YEAR(A16)*100+MONTH(A16)=$G$3,"✓",""),"")</f>
        <v/>
      </c>
      <c r="H16" s="157"/>
    </row>
    <row r="17" spans="1:8" ht="15.75" x14ac:dyDescent="0.25">
      <c r="A17" s="155"/>
      <c r="B17" s="156"/>
      <c r="C17" s="157"/>
      <c r="D17" s="157"/>
      <c r="E17" s="158"/>
      <c r="F17" s="159" t="str">
        <f t="shared" si="0"/>
        <v/>
      </c>
      <c r="G17" s="160" t="str">
        <f t="shared" si="1"/>
        <v/>
      </c>
      <c r="H17" s="157"/>
    </row>
    <row r="18" spans="1:8" ht="15.75" x14ac:dyDescent="0.25">
      <c r="A18" s="155"/>
      <c r="B18" s="156"/>
      <c r="C18" s="157"/>
      <c r="D18" s="157"/>
      <c r="E18" s="158"/>
      <c r="F18" s="159" t="str">
        <f t="shared" si="0"/>
        <v/>
      </c>
      <c r="G18" s="160" t="str">
        <f t="shared" si="1"/>
        <v/>
      </c>
      <c r="H18" s="157"/>
    </row>
    <row r="19" spans="1:8" ht="15.75" x14ac:dyDescent="0.25">
      <c r="A19" s="155"/>
      <c r="B19" s="156"/>
      <c r="C19" s="157"/>
      <c r="D19" s="157"/>
      <c r="E19" s="158"/>
      <c r="F19" s="159" t="str">
        <f t="shared" si="0"/>
        <v/>
      </c>
      <c r="G19" s="160" t="str">
        <f t="shared" si="1"/>
        <v/>
      </c>
      <c r="H19" s="157"/>
    </row>
    <row r="20" spans="1:8" ht="15.75" x14ac:dyDescent="0.25">
      <c r="A20" s="155"/>
      <c r="B20" s="156"/>
      <c r="C20" s="157"/>
      <c r="D20" s="157"/>
      <c r="E20" s="158"/>
      <c r="F20" s="159" t="str">
        <f t="shared" si="0"/>
        <v/>
      </c>
      <c r="G20" s="160" t="str">
        <f t="shared" si="1"/>
        <v/>
      </c>
      <c r="H20" s="157"/>
    </row>
    <row r="21" spans="1:8" ht="15.75" x14ac:dyDescent="0.25">
      <c r="A21" s="155"/>
      <c r="B21" s="156"/>
      <c r="C21" s="157"/>
      <c r="D21" s="157"/>
      <c r="E21" s="158"/>
      <c r="F21" s="159" t="str">
        <f t="shared" si="0"/>
        <v/>
      </c>
      <c r="G21" s="160" t="str">
        <f t="shared" si="1"/>
        <v/>
      </c>
      <c r="H21" s="157"/>
    </row>
    <row r="22" spans="1:8" ht="15.75" x14ac:dyDescent="0.25">
      <c r="A22" s="155"/>
      <c r="B22" s="156"/>
      <c r="C22" s="157"/>
      <c r="D22" s="157"/>
      <c r="E22" s="158"/>
      <c r="F22" s="159" t="str">
        <f t="shared" si="0"/>
        <v/>
      </c>
      <c r="G22" s="160" t="str">
        <f t="shared" si="1"/>
        <v/>
      </c>
      <c r="H22" s="157"/>
    </row>
    <row r="23" spans="1:8" ht="15.75" x14ac:dyDescent="0.25">
      <c r="A23" s="155"/>
      <c r="B23" s="156"/>
      <c r="C23" s="157"/>
      <c r="D23" s="157"/>
      <c r="E23" s="158"/>
      <c r="F23" s="159" t="str">
        <f t="shared" si="0"/>
        <v/>
      </c>
      <c r="G23" s="160" t="str">
        <f t="shared" si="1"/>
        <v/>
      </c>
      <c r="H23" s="157"/>
    </row>
    <row r="24" spans="1:8" ht="15.75" x14ac:dyDescent="0.25">
      <c r="A24" s="155"/>
      <c r="B24" s="156"/>
      <c r="C24" s="157"/>
      <c r="D24" s="157"/>
      <c r="E24" s="158"/>
      <c r="F24" s="159" t="str">
        <f t="shared" si="0"/>
        <v/>
      </c>
      <c r="G24" s="160" t="str">
        <f t="shared" si="1"/>
        <v/>
      </c>
      <c r="H24" s="157"/>
    </row>
    <row r="25" spans="1:8" ht="15.75" x14ac:dyDescent="0.25">
      <c r="A25" s="155"/>
      <c r="B25" s="156"/>
      <c r="C25" s="157"/>
      <c r="D25" s="157"/>
      <c r="E25" s="158"/>
      <c r="F25" s="159" t="str">
        <f t="shared" si="0"/>
        <v/>
      </c>
      <c r="G25" s="160" t="str">
        <f t="shared" si="1"/>
        <v/>
      </c>
      <c r="H25" s="157"/>
    </row>
    <row r="26" spans="1:8" ht="15.75" x14ac:dyDescent="0.25">
      <c r="A26" s="155"/>
      <c r="B26" s="156"/>
      <c r="C26" s="157"/>
      <c r="D26" s="157"/>
      <c r="E26" s="158"/>
      <c r="F26" s="159" t="str">
        <f t="shared" si="0"/>
        <v/>
      </c>
      <c r="G26" s="160" t="str">
        <f t="shared" si="1"/>
        <v/>
      </c>
      <c r="H26" s="157"/>
    </row>
    <row r="27" spans="1:8" ht="15.75" x14ac:dyDescent="0.25">
      <c r="A27" s="155"/>
      <c r="B27" s="156"/>
      <c r="C27" s="157"/>
      <c r="D27" s="157"/>
      <c r="E27" s="158"/>
      <c r="F27" s="159" t="str">
        <f t="shared" si="0"/>
        <v/>
      </c>
      <c r="G27" s="160" t="str">
        <f t="shared" si="1"/>
        <v/>
      </c>
      <c r="H27" s="157"/>
    </row>
    <row r="28" spans="1:8" ht="15.75" x14ac:dyDescent="0.25">
      <c r="A28" s="155"/>
      <c r="B28" s="156"/>
      <c r="C28" s="157"/>
      <c r="D28" s="157"/>
      <c r="E28" s="158"/>
      <c r="F28" s="159" t="str">
        <f t="shared" si="0"/>
        <v/>
      </c>
      <c r="G28" s="160" t="str">
        <f t="shared" si="1"/>
        <v/>
      </c>
      <c r="H28" s="157"/>
    </row>
    <row r="29" spans="1:8" ht="15.75" x14ac:dyDescent="0.25">
      <c r="A29" s="155"/>
      <c r="B29" s="156"/>
      <c r="C29" s="157"/>
      <c r="D29" s="157"/>
      <c r="E29" s="158"/>
      <c r="F29" s="159" t="str">
        <f t="shared" si="0"/>
        <v/>
      </c>
      <c r="G29" s="160" t="str">
        <f t="shared" si="1"/>
        <v/>
      </c>
      <c r="H29" s="157"/>
    </row>
    <row r="30" spans="1:8" ht="15.75" x14ac:dyDescent="0.25">
      <c r="A30" s="155"/>
      <c r="B30" s="156"/>
      <c r="C30" s="157"/>
      <c r="D30" s="157"/>
      <c r="E30" s="158"/>
      <c r="F30" s="159" t="str">
        <f t="shared" si="0"/>
        <v/>
      </c>
      <c r="G30" s="160" t="str">
        <f t="shared" si="1"/>
        <v/>
      </c>
      <c r="H30" s="157"/>
    </row>
    <row r="31" spans="1:8" ht="15.75" x14ac:dyDescent="0.25">
      <c r="A31" s="155"/>
      <c r="B31" s="156"/>
      <c r="C31" s="157"/>
      <c r="D31" s="157"/>
      <c r="E31" s="158"/>
      <c r="F31" s="159" t="str">
        <f t="shared" si="0"/>
        <v/>
      </c>
      <c r="G31" s="160" t="str">
        <f t="shared" si="1"/>
        <v/>
      </c>
      <c r="H31" s="157"/>
    </row>
    <row r="32" spans="1:8" ht="15.75" x14ac:dyDescent="0.25">
      <c r="A32" s="155"/>
      <c r="B32" s="156"/>
      <c r="C32" s="157"/>
      <c r="D32" s="157"/>
      <c r="E32" s="158"/>
      <c r="F32" s="159" t="str">
        <f t="shared" si="0"/>
        <v/>
      </c>
      <c r="G32" s="160" t="str">
        <f t="shared" si="1"/>
        <v/>
      </c>
      <c r="H32" s="157"/>
    </row>
    <row r="33" spans="1:8" ht="15.75" x14ac:dyDescent="0.25">
      <c r="A33" s="155"/>
      <c r="B33" s="156"/>
      <c r="C33" s="157"/>
      <c r="D33" s="157"/>
      <c r="E33" s="158"/>
      <c r="F33" s="159" t="str">
        <f t="shared" si="0"/>
        <v/>
      </c>
      <c r="G33" s="160" t="str">
        <f t="shared" si="1"/>
        <v/>
      </c>
      <c r="H33" s="157"/>
    </row>
    <row r="34" spans="1:8" ht="15.75" x14ac:dyDescent="0.25">
      <c r="A34" s="155"/>
      <c r="B34" s="156"/>
      <c r="C34" s="157"/>
      <c r="D34" s="157"/>
      <c r="E34" s="158"/>
      <c r="F34" s="159" t="str">
        <f t="shared" si="0"/>
        <v/>
      </c>
      <c r="G34" s="160" t="str">
        <f t="shared" si="1"/>
        <v/>
      </c>
      <c r="H34" s="157"/>
    </row>
    <row r="35" spans="1:8" ht="15.75" x14ac:dyDescent="0.25">
      <c r="A35" s="155"/>
      <c r="B35" s="156"/>
      <c r="C35" s="157"/>
      <c r="D35" s="157"/>
      <c r="E35" s="158"/>
      <c r="F35" s="159" t="str">
        <f t="shared" si="0"/>
        <v/>
      </c>
      <c r="G35" s="160" t="str">
        <f t="shared" si="1"/>
        <v/>
      </c>
      <c r="H35" s="157"/>
    </row>
    <row r="36" spans="1:8" ht="15.75" x14ac:dyDescent="0.25">
      <c r="A36" s="155"/>
      <c r="B36" s="156"/>
      <c r="C36" s="157"/>
      <c r="D36" s="157"/>
      <c r="E36" s="158"/>
      <c r="F36" s="159" t="str">
        <f t="shared" si="0"/>
        <v/>
      </c>
      <c r="G36" s="160" t="str">
        <f t="shared" si="1"/>
        <v/>
      </c>
      <c r="H36" s="157"/>
    </row>
    <row r="37" spans="1:8" ht="15.75" x14ac:dyDescent="0.25">
      <c r="A37" s="155"/>
      <c r="B37" s="156"/>
      <c r="C37" s="157"/>
      <c r="D37" s="157"/>
      <c r="E37" s="158"/>
      <c r="F37" s="159" t="str">
        <f t="shared" si="0"/>
        <v/>
      </c>
      <c r="G37" s="160" t="str">
        <f t="shared" si="1"/>
        <v/>
      </c>
      <c r="H37" s="157"/>
    </row>
    <row r="38" spans="1:8" ht="15.75" x14ac:dyDescent="0.25">
      <c r="A38" s="155"/>
      <c r="B38" s="156"/>
      <c r="C38" s="157"/>
      <c r="D38" s="157"/>
      <c r="E38" s="158"/>
      <c r="F38" s="159" t="str">
        <f t="shared" si="0"/>
        <v/>
      </c>
      <c r="G38" s="160" t="str">
        <f t="shared" si="1"/>
        <v/>
      </c>
      <c r="H38" s="157"/>
    </row>
    <row r="39" spans="1:8" ht="15.75" x14ac:dyDescent="0.25">
      <c r="A39" s="155"/>
      <c r="B39" s="156"/>
      <c r="C39" s="157"/>
      <c r="D39" s="157"/>
      <c r="E39" s="158"/>
      <c r="F39" s="159" t="str">
        <f t="shared" si="0"/>
        <v/>
      </c>
      <c r="G39" s="160" t="str">
        <f t="shared" si="1"/>
        <v/>
      </c>
      <c r="H39" s="157"/>
    </row>
    <row r="40" spans="1:8" ht="15.75" x14ac:dyDescent="0.25">
      <c r="A40" s="155"/>
      <c r="B40" s="156"/>
      <c r="C40" s="157"/>
      <c r="D40" s="157"/>
      <c r="E40" s="158"/>
      <c r="F40" s="159" t="str">
        <f t="shared" si="0"/>
        <v/>
      </c>
      <c r="G40" s="160" t="str">
        <f t="shared" si="1"/>
        <v/>
      </c>
      <c r="H40" s="157"/>
    </row>
    <row r="41" spans="1:8" ht="15.75" x14ac:dyDescent="0.25">
      <c r="A41" s="155"/>
      <c r="B41" s="156"/>
      <c r="C41" s="157"/>
      <c r="D41" s="157"/>
      <c r="E41" s="158"/>
      <c r="F41" s="159" t="str">
        <f t="shared" si="0"/>
        <v/>
      </c>
      <c r="G41" s="160" t="str">
        <f t="shared" si="1"/>
        <v/>
      </c>
      <c r="H41" s="157"/>
    </row>
    <row r="42" spans="1:8" ht="15.75" x14ac:dyDescent="0.25">
      <c r="A42" s="155"/>
      <c r="B42" s="156"/>
      <c r="C42" s="157"/>
      <c r="D42" s="157"/>
      <c r="E42" s="158"/>
      <c r="F42" s="159" t="str">
        <f t="shared" si="0"/>
        <v/>
      </c>
      <c r="G42" s="160" t="str">
        <f t="shared" si="1"/>
        <v/>
      </c>
      <c r="H42" s="157"/>
    </row>
    <row r="43" spans="1:8" ht="15.75" x14ac:dyDescent="0.25">
      <c r="A43" s="155"/>
      <c r="B43" s="156"/>
      <c r="C43" s="157"/>
      <c r="D43" s="157"/>
      <c r="E43" s="158"/>
      <c r="F43" s="159" t="str">
        <f t="shared" si="0"/>
        <v/>
      </c>
      <c r="G43" s="160" t="str">
        <f t="shared" si="1"/>
        <v/>
      </c>
      <c r="H43" s="157"/>
    </row>
    <row r="44" spans="1:8" ht="15.75" x14ac:dyDescent="0.25">
      <c r="A44" s="155"/>
      <c r="B44" s="156"/>
      <c r="C44" s="157"/>
      <c r="D44" s="157"/>
      <c r="E44" s="158"/>
      <c r="F44" s="159" t="str">
        <f t="shared" si="0"/>
        <v/>
      </c>
      <c r="G44" s="160" t="str">
        <f t="shared" si="1"/>
        <v/>
      </c>
      <c r="H44" s="157"/>
    </row>
    <row r="45" spans="1:8" ht="15.75" x14ac:dyDescent="0.25">
      <c r="A45" s="155"/>
      <c r="B45" s="156"/>
      <c r="C45" s="157"/>
      <c r="D45" s="157"/>
      <c r="E45" s="158"/>
      <c r="F45" s="159" t="str">
        <f t="shared" si="0"/>
        <v/>
      </c>
      <c r="G45" s="160" t="str">
        <f t="shared" si="1"/>
        <v/>
      </c>
      <c r="H45" s="157"/>
    </row>
    <row r="46" spans="1:8" ht="15.75" x14ac:dyDescent="0.25">
      <c r="A46" s="155"/>
      <c r="B46" s="156"/>
      <c r="C46" s="157"/>
      <c r="D46" s="157"/>
      <c r="E46" s="158"/>
      <c r="F46" s="159" t="str">
        <f t="shared" si="0"/>
        <v/>
      </c>
      <c r="G46" s="160" t="str">
        <f t="shared" si="1"/>
        <v/>
      </c>
      <c r="H46" s="157"/>
    </row>
    <row r="47" spans="1:8" ht="15.75" x14ac:dyDescent="0.25">
      <c r="A47" s="155"/>
      <c r="B47" s="156"/>
      <c r="C47" s="157"/>
      <c r="D47" s="157"/>
      <c r="E47" s="158"/>
      <c r="F47" s="159" t="str">
        <f t="shared" si="0"/>
        <v/>
      </c>
      <c r="G47" s="160" t="str">
        <f t="shared" si="1"/>
        <v/>
      </c>
      <c r="H47" s="157"/>
    </row>
    <row r="48" spans="1:8" ht="15.75" x14ac:dyDescent="0.25">
      <c r="A48" s="155"/>
      <c r="B48" s="156"/>
      <c r="C48" s="157"/>
      <c r="D48" s="157"/>
      <c r="E48" s="158"/>
      <c r="F48" s="159" t="str">
        <f t="shared" si="0"/>
        <v/>
      </c>
      <c r="G48" s="160" t="str">
        <f t="shared" si="1"/>
        <v/>
      </c>
      <c r="H48" s="157"/>
    </row>
    <row r="49" spans="1:8" ht="15.75" x14ac:dyDescent="0.25">
      <c r="A49" s="155"/>
      <c r="B49" s="156"/>
      <c r="C49" s="157"/>
      <c r="D49" s="157"/>
      <c r="E49" s="158"/>
      <c r="F49" s="159" t="str">
        <f t="shared" si="0"/>
        <v/>
      </c>
      <c r="G49" s="160" t="str">
        <f t="shared" si="1"/>
        <v/>
      </c>
      <c r="H49" s="157"/>
    </row>
    <row r="50" spans="1:8" ht="15.75" x14ac:dyDescent="0.25">
      <c r="A50" s="155"/>
      <c r="B50" s="156"/>
      <c r="C50" s="157"/>
      <c r="D50" s="157"/>
      <c r="E50" s="158"/>
      <c r="F50" s="159" t="str">
        <f t="shared" si="0"/>
        <v/>
      </c>
      <c r="G50" s="160" t="str">
        <f t="shared" si="1"/>
        <v/>
      </c>
      <c r="H50" s="157"/>
    </row>
    <row r="51" spans="1:8" ht="15.75" x14ac:dyDescent="0.25">
      <c r="A51" s="155"/>
      <c r="B51" s="156"/>
      <c r="C51" s="157"/>
      <c r="D51" s="157"/>
      <c r="E51" s="158"/>
      <c r="F51" s="159" t="str">
        <f t="shared" si="0"/>
        <v/>
      </c>
      <c r="G51" s="160" t="str">
        <f t="shared" si="1"/>
        <v/>
      </c>
      <c r="H51" s="157"/>
    </row>
    <row r="52" spans="1:8" ht="15.75" x14ac:dyDescent="0.25">
      <c r="A52" s="155"/>
      <c r="B52" s="156"/>
      <c r="C52" s="157"/>
      <c r="D52" s="157"/>
      <c r="E52" s="158"/>
      <c r="F52" s="159" t="str">
        <f t="shared" si="0"/>
        <v/>
      </c>
      <c r="G52" s="160" t="str">
        <f t="shared" si="1"/>
        <v/>
      </c>
      <c r="H52" s="157"/>
    </row>
    <row r="53" spans="1:8" ht="15.75" x14ac:dyDescent="0.25">
      <c r="A53" s="155"/>
      <c r="B53" s="156"/>
      <c r="C53" s="157"/>
      <c r="D53" s="157"/>
      <c r="E53" s="158"/>
      <c r="F53" s="159" t="str">
        <f t="shared" si="0"/>
        <v/>
      </c>
      <c r="G53" s="160" t="str">
        <f t="shared" si="1"/>
        <v/>
      </c>
      <c r="H53" s="157"/>
    </row>
    <row r="54" spans="1:8" ht="15.75" x14ac:dyDescent="0.25">
      <c r="A54" s="155"/>
      <c r="B54" s="156"/>
      <c r="C54" s="157"/>
      <c r="D54" s="157"/>
      <c r="E54" s="158"/>
      <c r="F54" s="159" t="str">
        <f t="shared" si="0"/>
        <v/>
      </c>
      <c r="G54" s="160" t="str">
        <f t="shared" si="1"/>
        <v/>
      </c>
      <c r="H54" s="157"/>
    </row>
    <row r="55" spans="1:8" ht="15.75" x14ac:dyDescent="0.25">
      <c r="A55" s="155"/>
      <c r="B55" s="156"/>
      <c r="C55" s="157"/>
      <c r="D55" s="157"/>
      <c r="E55" s="158"/>
      <c r="F55" s="159" t="str">
        <f t="shared" si="0"/>
        <v/>
      </c>
      <c r="G55" s="160" t="str">
        <f t="shared" si="1"/>
        <v/>
      </c>
      <c r="H55" s="157"/>
    </row>
    <row r="56" spans="1:8" ht="15.75" x14ac:dyDescent="0.25">
      <c r="A56" s="155"/>
      <c r="B56" s="156"/>
      <c r="C56" s="157"/>
      <c r="D56" s="157"/>
      <c r="E56" s="158"/>
      <c r="F56" s="159" t="str">
        <f t="shared" si="0"/>
        <v/>
      </c>
      <c r="G56" s="160" t="str">
        <f t="shared" si="1"/>
        <v/>
      </c>
      <c r="H56" s="157"/>
    </row>
    <row r="57" spans="1:8" ht="15.75" x14ac:dyDescent="0.25">
      <c r="A57" s="155"/>
      <c r="B57" s="156"/>
      <c r="C57" s="157"/>
      <c r="D57" s="157"/>
      <c r="E57" s="158"/>
      <c r="F57" s="159" t="str">
        <f t="shared" si="0"/>
        <v/>
      </c>
      <c r="G57" s="160" t="str">
        <f t="shared" si="1"/>
        <v/>
      </c>
      <c r="H57" s="157"/>
    </row>
    <row r="58" spans="1:8" ht="15.75" x14ac:dyDescent="0.25">
      <c r="A58" s="155"/>
      <c r="B58" s="156"/>
      <c r="C58" s="157"/>
      <c r="D58" s="157"/>
      <c r="E58" s="158"/>
      <c r="F58" s="159" t="str">
        <f t="shared" si="0"/>
        <v/>
      </c>
      <c r="G58" s="160" t="str">
        <f t="shared" si="1"/>
        <v/>
      </c>
      <c r="H58" s="157"/>
    </row>
    <row r="59" spans="1:8" ht="15.75" x14ac:dyDescent="0.25">
      <c r="A59" s="155"/>
      <c r="B59" s="156"/>
      <c r="C59" s="157"/>
      <c r="D59" s="157"/>
      <c r="E59" s="158"/>
      <c r="F59" s="159" t="str">
        <f t="shared" si="0"/>
        <v/>
      </c>
      <c r="G59" s="160" t="str">
        <f t="shared" si="1"/>
        <v/>
      </c>
      <c r="H59" s="157"/>
    </row>
    <row r="60" spans="1:8" ht="15.75" x14ac:dyDescent="0.25">
      <c r="A60" s="155"/>
      <c r="B60" s="156"/>
      <c r="C60" s="157"/>
      <c r="D60" s="157"/>
      <c r="E60" s="158"/>
      <c r="F60" s="159" t="str">
        <f t="shared" si="0"/>
        <v/>
      </c>
      <c r="G60" s="160" t="str">
        <f t="shared" si="1"/>
        <v/>
      </c>
      <c r="H60" s="157"/>
    </row>
    <row r="61" spans="1:8" ht="15.75" x14ac:dyDescent="0.25">
      <c r="A61" s="155"/>
      <c r="B61" s="156"/>
      <c r="C61" s="157"/>
      <c r="D61" s="157"/>
      <c r="E61" s="158"/>
      <c r="F61" s="159" t="str">
        <f t="shared" si="0"/>
        <v/>
      </c>
      <c r="G61" s="160" t="str">
        <f t="shared" si="1"/>
        <v/>
      </c>
      <c r="H61" s="157"/>
    </row>
    <row r="62" spans="1:8" ht="15.75" x14ac:dyDescent="0.25">
      <c r="A62" s="155"/>
      <c r="B62" s="156"/>
      <c r="C62" s="157"/>
      <c r="D62" s="157"/>
      <c r="E62" s="158"/>
      <c r="F62" s="159" t="str">
        <f t="shared" si="0"/>
        <v/>
      </c>
      <c r="G62" s="160" t="str">
        <f t="shared" si="1"/>
        <v/>
      </c>
      <c r="H62" s="157"/>
    </row>
    <row r="63" spans="1:8" ht="15.75" x14ac:dyDescent="0.25">
      <c r="A63" s="155"/>
      <c r="B63" s="156"/>
      <c r="C63" s="157"/>
      <c r="D63" s="157"/>
      <c r="E63" s="158"/>
      <c r="F63" s="159" t="str">
        <f t="shared" si="0"/>
        <v/>
      </c>
      <c r="G63" s="160" t="str">
        <f t="shared" si="1"/>
        <v/>
      </c>
      <c r="H63" s="157"/>
    </row>
    <row r="64" spans="1:8" ht="15.75" x14ac:dyDescent="0.25">
      <c r="A64" s="155"/>
      <c r="B64" s="156"/>
      <c r="C64" s="157"/>
      <c r="D64" s="157"/>
      <c r="E64" s="158"/>
      <c r="F64" s="159" t="str">
        <f t="shared" si="0"/>
        <v/>
      </c>
      <c r="G64" s="160" t="str">
        <f t="shared" si="1"/>
        <v/>
      </c>
      <c r="H64" s="157"/>
    </row>
    <row r="65" spans="1:8" ht="15.75" x14ac:dyDescent="0.25">
      <c r="A65" s="155"/>
      <c r="B65" s="156"/>
      <c r="C65" s="157"/>
      <c r="D65" s="157"/>
      <c r="E65" s="158"/>
      <c r="F65" s="159" t="str">
        <f t="shared" si="0"/>
        <v/>
      </c>
      <c r="G65" s="160" t="str">
        <f t="shared" si="1"/>
        <v/>
      </c>
      <c r="H65" s="157"/>
    </row>
    <row r="66" spans="1:8" ht="15.75" x14ac:dyDescent="0.25">
      <c r="A66" s="155"/>
      <c r="B66" s="156"/>
      <c r="C66" s="157"/>
      <c r="D66" s="157"/>
      <c r="E66" s="158"/>
      <c r="F66" s="159" t="str">
        <f t="shared" si="0"/>
        <v/>
      </c>
      <c r="G66" s="160" t="str">
        <f t="shared" si="1"/>
        <v/>
      </c>
      <c r="H66" s="157"/>
    </row>
    <row r="67" spans="1:8" ht="15.75" x14ac:dyDescent="0.25">
      <c r="A67" s="155"/>
      <c r="B67" s="156"/>
      <c r="C67" s="157"/>
      <c r="D67" s="157"/>
      <c r="E67" s="158"/>
      <c r="F67" s="159" t="str">
        <f t="shared" si="0"/>
        <v/>
      </c>
      <c r="G67" s="160" t="str">
        <f t="shared" si="1"/>
        <v/>
      </c>
      <c r="H67" s="157"/>
    </row>
    <row r="68" spans="1:8" ht="15.75" x14ac:dyDescent="0.25">
      <c r="A68" s="155"/>
      <c r="B68" s="156"/>
      <c r="C68" s="157"/>
      <c r="D68" s="157"/>
      <c r="E68" s="158"/>
      <c r="F68" s="159" t="str">
        <f t="shared" si="0"/>
        <v/>
      </c>
      <c r="G68" s="160" t="str">
        <f t="shared" si="1"/>
        <v/>
      </c>
      <c r="H68" s="157"/>
    </row>
    <row r="69" spans="1:8" ht="15.75" x14ac:dyDescent="0.25">
      <c r="A69" s="155"/>
      <c r="B69" s="156"/>
      <c r="C69" s="157"/>
      <c r="D69" s="157"/>
      <c r="E69" s="158"/>
      <c r="F69" s="159" t="str">
        <f t="shared" si="0"/>
        <v/>
      </c>
      <c r="G69" s="160" t="str">
        <f t="shared" si="1"/>
        <v/>
      </c>
      <c r="H69" s="157"/>
    </row>
    <row r="70" spans="1:8" ht="15.75" x14ac:dyDescent="0.25">
      <c r="A70" s="155"/>
      <c r="B70" s="156"/>
      <c r="C70" s="157"/>
      <c r="D70" s="157"/>
      <c r="E70" s="158"/>
      <c r="F70" s="159" t="str">
        <f t="shared" si="0"/>
        <v/>
      </c>
      <c r="G70" s="160" t="str">
        <f t="shared" si="1"/>
        <v/>
      </c>
      <c r="H70" s="157"/>
    </row>
    <row r="71" spans="1:8" ht="15.75" x14ac:dyDescent="0.25">
      <c r="A71" s="155"/>
      <c r="B71" s="156"/>
      <c r="C71" s="157"/>
      <c r="D71" s="157"/>
      <c r="E71" s="158"/>
      <c r="F71" s="159" t="str">
        <f t="shared" si="0"/>
        <v/>
      </c>
      <c r="G71" s="160" t="str">
        <f t="shared" si="1"/>
        <v/>
      </c>
      <c r="H71" s="157"/>
    </row>
    <row r="72" spans="1:8" ht="15.75" x14ac:dyDescent="0.25">
      <c r="A72" s="155"/>
      <c r="B72" s="156"/>
      <c r="C72" s="157"/>
      <c r="D72" s="157"/>
      <c r="E72" s="158"/>
      <c r="F72" s="159" t="str">
        <f t="shared" si="0"/>
        <v/>
      </c>
      <c r="G72" s="160" t="str">
        <f t="shared" si="1"/>
        <v/>
      </c>
      <c r="H72" s="157"/>
    </row>
    <row r="73" spans="1:8" ht="15.75" x14ac:dyDescent="0.25">
      <c r="A73" s="155"/>
      <c r="B73" s="156"/>
      <c r="C73" s="157"/>
      <c r="D73" s="157"/>
      <c r="E73" s="158"/>
      <c r="F73" s="159" t="str">
        <f t="shared" si="0"/>
        <v/>
      </c>
      <c r="G73" s="160" t="str">
        <f t="shared" si="1"/>
        <v/>
      </c>
      <c r="H73" s="157"/>
    </row>
    <row r="74" spans="1:8" ht="15.75" x14ac:dyDescent="0.25">
      <c r="A74" s="155"/>
      <c r="B74" s="156"/>
      <c r="C74" s="157"/>
      <c r="D74" s="157"/>
      <c r="E74" s="158"/>
      <c r="F74" s="159" t="str">
        <f t="shared" si="0"/>
        <v/>
      </c>
      <c r="G74" s="160" t="str">
        <f t="shared" si="1"/>
        <v/>
      </c>
      <c r="H74" s="157"/>
    </row>
    <row r="75" spans="1:8" ht="15.75" x14ac:dyDescent="0.25">
      <c r="A75" s="155"/>
      <c r="B75" s="156"/>
      <c r="C75" s="157"/>
      <c r="D75" s="157"/>
      <c r="E75" s="158"/>
      <c r="F75" s="159" t="str">
        <f t="shared" si="0"/>
        <v/>
      </c>
      <c r="G75" s="160" t="str">
        <f t="shared" si="1"/>
        <v/>
      </c>
      <c r="H75" s="157"/>
    </row>
    <row r="76" spans="1:8" ht="15.75" x14ac:dyDescent="0.25">
      <c r="A76" s="155"/>
      <c r="B76" s="156"/>
      <c r="C76" s="157"/>
      <c r="D76" s="157"/>
      <c r="E76" s="158"/>
      <c r="F76" s="159" t="str">
        <f t="shared" si="0"/>
        <v/>
      </c>
      <c r="G76" s="160" t="str">
        <f t="shared" si="1"/>
        <v/>
      </c>
      <c r="H76" s="157"/>
    </row>
    <row r="77" spans="1:8" ht="15.75" x14ac:dyDescent="0.25">
      <c r="A77" s="155"/>
      <c r="B77" s="156"/>
      <c r="C77" s="157"/>
      <c r="D77" s="157"/>
      <c r="E77" s="158"/>
      <c r="F77" s="159" t="str">
        <f t="shared" si="0"/>
        <v/>
      </c>
      <c r="G77" s="160" t="str">
        <f t="shared" si="1"/>
        <v/>
      </c>
      <c r="H77" s="157"/>
    </row>
    <row r="78" spans="1:8" ht="15.75" x14ac:dyDescent="0.25">
      <c r="A78" s="155"/>
      <c r="B78" s="156"/>
      <c r="C78" s="157"/>
      <c r="D78" s="157"/>
      <c r="E78" s="158"/>
      <c r="F78" s="159" t="str">
        <f t="shared" si="0"/>
        <v/>
      </c>
      <c r="G78" s="160" t="str">
        <f t="shared" si="1"/>
        <v/>
      </c>
      <c r="H78" s="157"/>
    </row>
    <row r="79" spans="1:8" ht="15.75" x14ac:dyDescent="0.25">
      <c r="A79" s="155"/>
      <c r="B79" s="156"/>
      <c r="C79" s="157"/>
      <c r="D79" s="157"/>
      <c r="E79" s="158"/>
      <c r="F79" s="159" t="str">
        <f t="shared" si="0"/>
        <v/>
      </c>
      <c r="G79" s="160" t="str">
        <f t="shared" si="1"/>
        <v/>
      </c>
      <c r="H79" s="157"/>
    </row>
    <row r="80" spans="1:8" ht="15.75" x14ac:dyDescent="0.25">
      <c r="A80" s="155"/>
      <c r="B80" s="156"/>
      <c r="C80" s="157"/>
      <c r="D80" s="157"/>
      <c r="E80" s="158"/>
      <c r="F80" s="159" t="str">
        <f t="shared" ref="F80:F143" si="2">IF(E80="","",E80*$F$3)</f>
        <v/>
      </c>
      <c r="G80" s="160" t="str">
        <f t="shared" ref="G80:G143" si="3">IF(AND(ISNUMBER(A80),E80&lt;&gt;""),IF(YEAR(A80)*100+MONTH(A80)=$G$3,"✓",""),"")</f>
        <v/>
      </c>
      <c r="H80" s="157"/>
    </row>
    <row r="81" spans="1:8" ht="15.75" x14ac:dyDescent="0.25">
      <c r="A81" s="155"/>
      <c r="B81" s="156"/>
      <c r="C81" s="157"/>
      <c r="D81" s="157"/>
      <c r="E81" s="158"/>
      <c r="F81" s="159" t="str">
        <f t="shared" si="2"/>
        <v/>
      </c>
      <c r="G81" s="160" t="str">
        <f t="shared" si="3"/>
        <v/>
      </c>
      <c r="H81" s="157"/>
    </row>
    <row r="82" spans="1:8" ht="15.75" x14ac:dyDescent="0.25">
      <c r="A82" s="155"/>
      <c r="B82" s="156"/>
      <c r="C82" s="157"/>
      <c r="D82" s="157"/>
      <c r="E82" s="158"/>
      <c r="F82" s="159" t="str">
        <f t="shared" si="2"/>
        <v/>
      </c>
      <c r="G82" s="160" t="str">
        <f t="shared" si="3"/>
        <v/>
      </c>
      <c r="H82" s="157"/>
    </row>
    <row r="83" spans="1:8" ht="15.75" x14ac:dyDescent="0.25">
      <c r="A83" s="155"/>
      <c r="B83" s="156"/>
      <c r="C83" s="157"/>
      <c r="D83" s="157"/>
      <c r="E83" s="158"/>
      <c r="F83" s="159" t="str">
        <f t="shared" si="2"/>
        <v/>
      </c>
      <c r="G83" s="160" t="str">
        <f t="shared" si="3"/>
        <v/>
      </c>
      <c r="H83" s="157"/>
    </row>
    <row r="84" spans="1:8" ht="15.75" x14ac:dyDescent="0.25">
      <c r="A84" s="155"/>
      <c r="B84" s="156"/>
      <c r="C84" s="157"/>
      <c r="D84" s="157"/>
      <c r="E84" s="158"/>
      <c r="F84" s="159" t="str">
        <f t="shared" si="2"/>
        <v/>
      </c>
      <c r="G84" s="160" t="str">
        <f t="shared" si="3"/>
        <v/>
      </c>
      <c r="H84" s="157"/>
    </row>
    <row r="85" spans="1:8" ht="15.75" x14ac:dyDescent="0.25">
      <c r="A85" s="155"/>
      <c r="B85" s="156"/>
      <c r="C85" s="157"/>
      <c r="D85" s="157"/>
      <c r="E85" s="158"/>
      <c r="F85" s="159" t="str">
        <f t="shared" si="2"/>
        <v/>
      </c>
      <c r="G85" s="160" t="str">
        <f t="shared" si="3"/>
        <v/>
      </c>
      <c r="H85" s="157"/>
    </row>
    <row r="86" spans="1:8" ht="15.75" x14ac:dyDescent="0.25">
      <c r="A86" s="155"/>
      <c r="B86" s="156"/>
      <c r="C86" s="157"/>
      <c r="D86" s="157"/>
      <c r="E86" s="158"/>
      <c r="F86" s="159" t="str">
        <f t="shared" si="2"/>
        <v/>
      </c>
      <c r="G86" s="160" t="str">
        <f t="shared" si="3"/>
        <v/>
      </c>
      <c r="H86" s="157"/>
    </row>
    <row r="87" spans="1:8" ht="15.75" x14ac:dyDescent="0.25">
      <c r="A87" s="155"/>
      <c r="B87" s="156"/>
      <c r="C87" s="157"/>
      <c r="D87" s="157"/>
      <c r="E87" s="158"/>
      <c r="F87" s="159" t="str">
        <f t="shared" si="2"/>
        <v/>
      </c>
      <c r="G87" s="160" t="str">
        <f t="shared" si="3"/>
        <v/>
      </c>
      <c r="H87" s="157"/>
    </row>
    <row r="88" spans="1:8" ht="15.75" x14ac:dyDescent="0.25">
      <c r="A88" s="155"/>
      <c r="B88" s="156"/>
      <c r="C88" s="157"/>
      <c r="D88" s="157"/>
      <c r="E88" s="158"/>
      <c r="F88" s="159" t="str">
        <f t="shared" si="2"/>
        <v/>
      </c>
      <c r="G88" s="160" t="str">
        <f t="shared" si="3"/>
        <v/>
      </c>
      <c r="H88" s="157"/>
    </row>
    <row r="89" spans="1:8" ht="15.75" x14ac:dyDescent="0.25">
      <c r="A89" s="155"/>
      <c r="B89" s="156"/>
      <c r="C89" s="157"/>
      <c r="D89" s="157"/>
      <c r="E89" s="158"/>
      <c r="F89" s="159" t="str">
        <f t="shared" si="2"/>
        <v/>
      </c>
      <c r="G89" s="160" t="str">
        <f t="shared" si="3"/>
        <v/>
      </c>
      <c r="H89" s="157"/>
    </row>
    <row r="90" spans="1:8" ht="15.75" x14ac:dyDescent="0.25">
      <c r="A90" s="155"/>
      <c r="B90" s="156"/>
      <c r="C90" s="157"/>
      <c r="D90" s="157"/>
      <c r="E90" s="158"/>
      <c r="F90" s="159" t="str">
        <f t="shared" si="2"/>
        <v/>
      </c>
      <c r="G90" s="160" t="str">
        <f t="shared" si="3"/>
        <v/>
      </c>
      <c r="H90" s="157"/>
    </row>
    <row r="91" spans="1:8" ht="15.75" x14ac:dyDescent="0.25">
      <c r="A91" s="155"/>
      <c r="B91" s="156"/>
      <c r="C91" s="157"/>
      <c r="D91" s="157"/>
      <c r="E91" s="158"/>
      <c r="F91" s="159" t="str">
        <f t="shared" si="2"/>
        <v/>
      </c>
      <c r="G91" s="160" t="str">
        <f t="shared" si="3"/>
        <v/>
      </c>
      <c r="H91" s="157"/>
    </row>
    <row r="92" spans="1:8" ht="15.75" x14ac:dyDescent="0.25">
      <c r="A92" s="155"/>
      <c r="B92" s="156"/>
      <c r="C92" s="157"/>
      <c r="D92" s="157"/>
      <c r="E92" s="158"/>
      <c r="F92" s="159" t="str">
        <f t="shared" si="2"/>
        <v/>
      </c>
      <c r="G92" s="160" t="str">
        <f t="shared" si="3"/>
        <v/>
      </c>
      <c r="H92" s="157"/>
    </row>
    <row r="93" spans="1:8" ht="15.75" x14ac:dyDescent="0.25">
      <c r="A93" s="155"/>
      <c r="B93" s="156"/>
      <c r="C93" s="157"/>
      <c r="D93" s="157"/>
      <c r="E93" s="158"/>
      <c r="F93" s="159" t="str">
        <f t="shared" si="2"/>
        <v/>
      </c>
      <c r="G93" s="160" t="str">
        <f t="shared" si="3"/>
        <v/>
      </c>
      <c r="H93" s="157"/>
    </row>
    <row r="94" spans="1:8" ht="15.75" x14ac:dyDescent="0.25">
      <c r="A94" s="155"/>
      <c r="B94" s="156"/>
      <c r="C94" s="157"/>
      <c r="D94" s="157"/>
      <c r="E94" s="158"/>
      <c r="F94" s="159" t="str">
        <f t="shared" si="2"/>
        <v/>
      </c>
      <c r="G94" s="160" t="str">
        <f t="shared" si="3"/>
        <v/>
      </c>
      <c r="H94" s="157"/>
    </row>
    <row r="95" spans="1:8" ht="15.75" x14ac:dyDescent="0.25">
      <c r="A95" s="155"/>
      <c r="B95" s="156"/>
      <c r="C95" s="157"/>
      <c r="D95" s="157"/>
      <c r="E95" s="158"/>
      <c r="F95" s="159" t="str">
        <f t="shared" si="2"/>
        <v/>
      </c>
      <c r="G95" s="160" t="str">
        <f t="shared" si="3"/>
        <v/>
      </c>
      <c r="H95" s="157"/>
    </row>
    <row r="96" spans="1:8" ht="15.75" x14ac:dyDescent="0.25">
      <c r="A96" s="155"/>
      <c r="B96" s="156"/>
      <c r="C96" s="157"/>
      <c r="D96" s="157"/>
      <c r="E96" s="158"/>
      <c r="F96" s="159" t="str">
        <f t="shared" si="2"/>
        <v/>
      </c>
      <c r="G96" s="160" t="str">
        <f t="shared" si="3"/>
        <v/>
      </c>
      <c r="H96" s="157"/>
    </row>
    <row r="97" spans="1:8" ht="15.75" x14ac:dyDescent="0.25">
      <c r="A97" s="155"/>
      <c r="B97" s="156"/>
      <c r="C97" s="157"/>
      <c r="D97" s="157"/>
      <c r="E97" s="158"/>
      <c r="F97" s="159" t="str">
        <f t="shared" si="2"/>
        <v/>
      </c>
      <c r="G97" s="160" t="str">
        <f t="shared" si="3"/>
        <v/>
      </c>
      <c r="H97" s="157"/>
    </row>
    <row r="98" spans="1:8" ht="15.75" x14ac:dyDescent="0.25">
      <c r="A98" s="155"/>
      <c r="B98" s="156"/>
      <c r="C98" s="157"/>
      <c r="D98" s="157"/>
      <c r="E98" s="158"/>
      <c r="F98" s="159" t="str">
        <f t="shared" si="2"/>
        <v/>
      </c>
      <c r="G98" s="160" t="str">
        <f t="shared" si="3"/>
        <v/>
      </c>
      <c r="H98" s="157"/>
    </row>
    <row r="99" spans="1:8" ht="15.75" x14ac:dyDescent="0.25">
      <c r="A99" s="155"/>
      <c r="B99" s="156"/>
      <c r="C99" s="157"/>
      <c r="D99" s="157"/>
      <c r="E99" s="158"/>
      <c r="F99" s="159" t="str">
        <f t="shared" si="2"/>
        <v/>
      </c>
      <c r="G99" s="160" t="str">
        <f t="shared" si="3"/>
        <v/>
      </c>
      <c r="H99" s="157"/>
    </row>
    <row r="100" spans="1:8" ht="15.75" x14ac:dyDescent="0.25">
      <c r="A100" s="155"/>
      <c r="B100" s="156"/>
      <c r="C100" s="157"/>
      <c r="D100" s="157"/>
      <c r="E100" s="158"/>
      <c r="F100" s="159" t="str">
        <f t="shared" si="2"/>
        <v/>
      </c>
      <c r="G100" s="160" t="str">
        <f t="shared" si="3"/>
        <v/>
      </c>
      <c r="H100" s="157"/>
    </row>
    <row r="101" spans="1:8" ht="15.75" x14ac:dyDescent="0.25">
      <c r="A101" s="155"/>
      <c r="B101" s="156"/>
      <c r="C101" s="157"/>
      <c r="D101" s="157"/>
      <c r="E101" s="158"/>
      <c r="F101" s="159" t="str">
        <f t="shared" si="2"/>
        <v/>
      </c>
      <c r="G101" s="160" t="str">
        <f t="shared" si="3"/>
        <v/>
      </c>
      <c r="H101" s="157"/>
    </row>
    <row r="102" spans="1:8" ht="15.75" x14ac:dyDescent="0.25">
      <c r="A102" s="155"/>
      <c r="B102" s="156"/>
      <c r="C102" s="157"/>
      <c r="D102" s="157"/>
      <c r="E102" s="158"/>
      <c r="F102" s="159" t="str">
        <f t="shared" si="2"/>
        <v/>
      </c>
      <c r="G102" s="160" t="str">
        <f t="shared" si="3"/>
        <v/>
      </c>
      <c r="H102" s="157"/>
    </row>
    <row r="103" spans="1:8" ht="15.75" x14ac:dyDescent="0.25">
      <c r="A103" s="155"/>
      <c r="B103" s="156"/>
      <c r="C103" s="157"/>
      <c r="D103" s="157"/>
      <c r="E103" s="158"/>
      <c r="F103" s="159" t="str">
        <f t="shared" si="2"/>
        <v/>
      </c>
      <c r="G103" s="160" t="str">
        <f t="shared" si="3"/>
        <v/>
      </c>
      <c r="H103" s="157"/>
    </row>
    <row r="104" spans="1:8" ht="15.75" x14ac:dyDescent="0.25">
      <c r="A104" s="155"/>
      <c r="B104" s="156"/>
      <c r="C104" s="157"/>
      <c r="D104" s="157"/>
      <c r="E104" s="158"/>
      <c r="F104" s="159" t="str">
        <f t="shared" si="2"/>
        <v/>
      </c>
      <c r="G104" s="160" t="str">
        <f t="shared" si="3"/>
        <v/>
      </c>
      <c r="H104" s="157"/>
    </row>
    <row r="105" spans="1:8" ht="15.75" x14ac:dyDescent="0.25">
      <c r="A105" s="155"/>
      <c r="B105" s="156"/>
      <c r="C105" s="157"/>
      <c r="D105" s="157"/>
      <c r="E105" s="158"/>
      <c r="F105" s="159" t="str">
        <f t="shared" si="2"/>
        <v/>
      </c>
      <c r="G105" s="160" t="str">
        <f t="shared" si="3"/>
        <v/>
      </c>
      <c r="H105" s="157"/>
    </row>
    <row r="106" spans="1:8" ht="15.75" x14ac:dyDescent="0.25">
      <c r="A106" s="155"/>
      <c r="B106" s="156"/>
      <c r="C106" s="157"/>
      <c r="D106" s="157"/>
      <c r="E106" s="158"/>
      <c r="F106" s="159" t="str">
        <f t="shared" si="2"/>
        <v/>
      </c>
      <c r="G106" s="160" t="str">
        <f t="shared" si="3"/>
        <v/>
      </c>
      <c r="H106" s="157"/>
    </row>
    <row r="107" spans="1:8" ht="15.75" x14ac:dyDescent="0.25">
      <c r="A107" s="155"/>
      <c r="B107" s="156"/>
      <c r="C107" s="157"/>
      <c r="D107" s="157"/>
      <c r="E107" s="158"/>
      <c r="F107" s="159" t="str">
        <f t="shared" si="2"/>
        <v/>
      </c>
      <c r="G107" s="160" t="str">
        <f t="shared" si="3"/>
        <v/>
      </c>
      <c r="H107" s="157"/>
    </row>
    <row r="108" spans="1:8" ht="15.75" x14ac:dyDescent="0.25">
      <c r="A108" s="155"/>
      <c r="B108" s="156"/>
      <c r="C108" s="157"/>
      <c r="D108" s="157"/>
      <c r="E108" s="158"/>
      <c r="F108" s="159" t="str">
        <f t="shared" si="2"/>
        <v/>
      </c>
      <c r="G108" s="160" t="str">
        <f t="shared" si="3"/>
        <v/>
      </c>
      <c r="H108" s="157"/>
    </row>
    <row r="109" spans="1:8" ht="15.75" x14ac:dyDescent="0.25">
      <c r="A109" s="155"/>
      <c r="B109" s="156"/>
      <c r="C109" s="157"/>
      <c r="D109" s="157"/>
      <c r="E109" s="158"/>
      <c r="F109" s="159" t="str">
        <f t="shared" si="2"/>
        <v/>
      </c>
      <c r="G109" s="160" t="str">
        <f t="shared" si="3"/>
        <v/>
      </c>
      <c r="H109" s="157"/>
    </row>
    <row r="110" spans="1:8" ht="15.75" x14ac:dyDescent="0.25">
      <c r="A110" s="155"/>
      <c r="B110" s="156"/>
      <c r="C110" s="157"/>
      <c r="D110" s="157"/>
      <c r="E110" s="158"/>
      <c r="F110" s="159" t="str">
        <f t="shared" si="2"/>
        <v/>
      </c>
      <c r="G110" s="160" t="str">
        <f t="shared" si="3"/>
        <v/>
      </c>
      <c r="H110" s="157"/>
    </row>
    <row r="111" spans="1:8" ht="15.75" x14ac:dyDescent="0.25">
      <c r="A111" s="155"/>
      <c r="B111" s="156"/>
      <c r="C111" s="157"/>
      <c r="D111" s="157"/>
      <c r="E111" s="158"/>
      <c r="F111" s="159" t="str">
        <f t="shared" si="2"/>
        <v/>
      </c>
      <c r="G111" s="160" t="str">
        <f t="shared" si="3"/>
        <v/>
      </c>
      <c r="H111" s="157"/>
    </row>
    <row r="112" spans="1:8" ht="15.75" x14ac:dyDescent="0.25">
      <c r="A112" s="155"/>
      <c r="B112" s="156"/>
      <c r="C112" s="157"/>
      <c r="D112" s="157"/>
      <c r="E112" s="158"/>
      <c r="F112" s="159" t="str">
        <f t="shared" si="2"/>
        <v/>
      </c>
      <c r="G112" s="160" t="str">
        <f t="shared" si="3"/>
        <v/>
      </c>
      <c r="H112" s="157"/>
    </row>
    <row r="113" spans="1:8" ht="15.75" x14ac:dyDescent="0.25">
      <c r="A113" s="155"/>
      <c r="B113" s="156"/>
      <c r="C113" s="157"/>
      <c r="D113" s="157"/>
      <c r="E113" s="158"/>
      <c r="F113" s="159" t="str">
        <f t="shared" si="2"/>
        <v/>
      </c>
      <c r="G113" s="160" t="str">
        <f t="shared" si="3"/>
        <v/>
      </c>
      <c r="H113" s="157"/>
    </row>
    <row r="114" spans="1:8" ht="15.75" x14ac:dyDescent="0.25">
      <c r="A114" s="155"/>
      <c r="B114" s="156"/>
      <c r="C114" s="157"/>
      <c r="D114" s="157"/>
      <c r="E114" s="158"/>
      <c r="F114" s="159" t="str">
        <f t="shared" si="2"/>
        <v/>
      </c>
      <c r="G114" s="160" t="str">
        <f t="shared" si="3"/>
        <v/>
      </c>
      <c r="H114" s="157"/>
    </row>
    <row r="115" spans="1:8" ht="15.75" x14ac:dyDescent="0.25">
      <c r="A115" s="155"/>
      <c r="B115" s="156"/>
      <c r="C115" s="157"/>
      <c r="D115" s="157"/>
      <c r="E115" s="158"/>
      <c r="F115" s="159" t="str">
        <f t="shared" si="2"/>
        <v/>
      </c>
      <c r="G115" s="160" t="str">
        <f t="shared" si="3"/>
        <v/>
      </c>
      <c r="H115" s="157"/>
    </row>
    <row r="116" spans="1:8" ht="15.75" x14ac:dyDescent="0.25">
      <c r="A116" s="155"/>
      <c r="B116" s="156"/>
      <c r="C116" s="157"/>
      <c r="D116" s="157"/>
      <c r="E116" s="158"/>
      <c r="F116" s="159" t="str">
        <f t="shared" si="2"/>
        <v/>
      </c>
      <c r="G116" s="160" t="str">
        <f t="shared" si="3"/>
        <v/>
      </c>
      <c r="H116" s="157"/>
    </row>
    <row r="117" spans="1:8" ht="15.75" x14ac:dyDescent="0.25">
      <c r="A117" s="155"/>
      <c r="B117" s="156"/>
      <c r="C117" s="157"/>
      <c r="D117" s="157"/>
      <c r="E117" s="158"/>
      <c r="F117" s="159" t="str">
        <f t="shared" si="2"/>
        <v/>
      </c>
      <c r="G117" s="160" t="str">
        <f t="shared" si="3"/>
        <v/>
      </c>
      <c r="H117" s="157"/>
    </row>
    <row r="118" spans="1:8" ht="15.75" x14ac:dyDescent="0.25">
      <c r="A118" s="155"/>
      <c r="B118" s="156"/>
      <c r="C118" s="157"/>
      <c r="D118" s="157"/>
      <c r="E118" s="158"/>
      <c r="F118" s="159" t="str">
        <f t="shared" si="2"/>
        <v/>
      </c>
      <c r="G118" s="160" t="str">
        <f t="shared" si="3"/>
        <v/>
      </c>
      <c r="H118" s="157"/>
    </row>
    <row r="119" spans="1:8" ht="15.75" x14ac:dyDescent="0.25">
      <c r="A119" s="155"/>
      <c r="B119" s="156"/>
      <c r="C119" s="157"/>
      <c r="D119" s="157"/>
      <c r="E119" s="158"/>
      <c r="F119" s="159" t="str">
        <f t="shared" si="2"/>
        <v/>
      </c>
      <c r="G119" s="160" t="str">
        <f t="shared" si="3"/>
        <v/>
      </c>
      <c r="H119" s="157"/>
    </row>
    <row r="120" spans="1:8" ht="15.75" x14ac:dyDescent="0.25">
      <c r="A120" s="155"/>
      <c r="B120" s="156"/>
      <c r="C120" s="157"/>
      <c r="D120" s="157"/>
      <c r="E120" s="158"/>
      <c r="F120" s="159" t="str">
        <f t="shared" si="2"/>
        <v/>
      </c>
      <c r="G120" s="160" t="str">
        <f t="shared" si="3"/>
        <v/>
      </c>
      <c r="H120" s="157"/>
    </row>
    <row r="121" spans="1:8" ht="15.75" x14ac:dyDescent="0.25">
      <c r="A121" s="155"/>
      <c r="B121" s="156"/>
      <c r="C121" s="157"/>
      <c r="D121" s="157"/>
      <c r="E121" s="158"/>
      <c r="F121" s="159" t="str">
        <f t="shared" si="2"/>
        <v/>
      </c>
      <c r="G121" s="160" t="str">
        <f t="shared" si="3"/>
        <v/>
      </c>
      <c r="H121" s="157"/>
    </row>
    <row r="122" spans="1:8" ht="15.75" x14ac:dyDescent="0.25">
      <c r="A122" s="155"/>
      <c r="B122" s="156"/>
      <c r="C122" s="157"/>
      <c r="D122" s="157"/>
      <c r="E122" s="158"/>
      <c r="F122" s="159" t="str">
        <f t="shared" si="2"/>
        <v/>
      </c>
      <c r="G122" s="160" t="str">
        <f t="shared" si="3"/>
        <v/>
      </c>
      <c r="H122" s="157"/>
    </row>
    <row r="123" spans="1:8" ht="15.75" x14ac:dyDescent="0.25">
      <c r="A123" s="155"/>
      <c r="B123" s="156"/>
      <c r="C123" s="157"/>
      <c r="D123" s="157"/>
      <c r="E123" s="158"/>
      <c r="F123" s="159" t="str">
        <f t="shared" si="2"/>
        <v/>
      </c>
      <c r="G123" s="160" t="str">
        <f t="shared" si="3"/>
        <v/>
      </c>
      <c r="H123" s="157"/>
    </row>
    <row r="124" spans="1:8" ht="15.75" x14ac:dyDescent="0.25">
      <c r="A124" s="155"/>
      <c r="B124" s="156"/>
      <c r="C124" s="157"/>
      <c r="D124" s="157"/>
      <c r="E124" s="158"/>
      <c r="F124" s="159" t="str">
        <f t="shared" si="2"/>
        <v/>
      </c>
      <c r="G124" s="160" t="str">
        <f t="shared" si="3"/>
        <v/>
      </c>
      <c r="H124" s="157"/>
    </row>
    <row r="125" spans="1:8" ht="15.75" x14ac:dyDescent="0.25">
      <c r="A125" s="155"/>
      <c r="B125" s="156"/>
      <c r="C125" s="157"/>
      <c r="D125" s="157"/>
      <c r="E125" s="158"/>
      <c r="F125" s="159" t="str">
        <f t="shared" si="2"/>
        <v/>
      </c>
      <c r="G125" s="160" t="str">
        <f t="shared" si="3"/>
        <v/>
      </c>
      <c r="H125" s="157"/>
    </row>
    <row r="126" spans="1:8" ht="15.75" x14ac:dyDescent="0.25">
      <c r="A126" s="155"/>
      <c r="B126" s="156"/>
      <c r="C126" s="157"/>
      <c r="D126" s="157"/>
      <c r="E126" s="158"/>
      <c r="F126" s="159" t="str">
        <f t="shared" si="2"/>
        <v/>
      </c>
      <c r="G126" s="160" t="str">
        <f t="shared" si="3"/>
        <v/>
      </c>
      <c r="H126" s="157"/>
    </row>
    <row r="127" spans="1:8" ht="15.75" x14ac:dyDescent="0.25">
      <c r="A127" s="155"/>
      <c r="B127" s="156"/>
      <c r="C127" s="157"/>
      <c r="D127" s="157"/>
      <c r="E127" s="158"/>
      <c r="F127" s="159" t="str">
        <f t="shared" si="2"/>
        <v/>
      </c>
      <c r="G127" s="160" t="str">
        <f t="shared" si="3"/>
        <v/>
      </c>
      <c r="H127" s="157"/>
    </row>
    <row r="128" spans="1:8" ht="15.75" x14ac:dyDescent="0.25">
      <c r="A128" s="155"/>
      <c r="B128" s="156"/>
      <c r="C128" s="157"/>
      <c r="D128" s="157"/>
      <c r="E128" s="158"/>
      <c r="F128" s="159" t="str">
        <f t="shared" si="2"/>
        <v/>
      </c>
      <c r="G128" s="160" t="str">
        <f t="shared" si="3"/>
        <v/>
      </c>
      <c r="H128" s="157"/>
    </row>
    <row r="129" spans="1:8" ht="15.75" x14ac:dyDescent="0.25">
      <c r="A129" s="155"/>
      <c r="B129" s="156"/>
      <c r="C129" s="157"/>
      <c r="D129" s="157"/>
      <c r="E129" s="158"/>
      <c r="F129" s="159" t="str">
        <f t="shared" si="2"/>
        <v/>
      </c>
      <c r="G129" s="160" t="str">
        <f t="shared" si="3"/>
        <v/>
      </c>
      <c r="H129" s="157"/>
    </row>
    <row r="130" spans="1:8" ht="15.75" x14ac:dyDescent="0.25">
      <c r="A130" s="155"/>
      <c r="B130" s="156"/>
      <c r="C130" s="157"/>
      <c r="D130" s="157"/>
      <c r="E130" s="158"/>
      <c r="F130" s="159" t="str">
        <f t="shared" si="2"/>
        <v/>
      </c>
      <c r="G130" s="160" t="str">
        <f t="shared" si="3"/>
        <v/>
      </c>
      <c r="H130" s="157"/>
    </row>
    <row r="131" spans="1:8" ht="15.75" x14ac:dyDescent="0.25">
      <c r="A131" s="155"/>
      <c r="B131" s="156"/>
      <c r="C131" s="157"/>
      <c r="D131" s="157"/>
      <c r="E131" s="158"/>
      <c r="F131" s="159" t="str">
        <f t="shared" si="2"/>
        <v/>
      </c>
      <c r="G131" s="160" t="str">
        <f t="shared" si="3"/>
        <v/>
      </c>
      <c r="H131" s="157"/>
    </row>
    <row r="132" spans="1:8" ht="15.75" x14ac:dyDescent="0.25">
      <c r="A132" s="155"/>
      <c r="B132" s="156"/>
      <c r="C132" s="157"/>
      <c r="D132" s="157"/>
      <c r="E132" s="158"/>
      <c r="F132" s="159" t="str">
        <f t="shared" si="2"/>
        <v/>
      </c>
      <c r="G132" s="160" t="str">
        <f t="shared" si="3"/>
        <v/>
      </c>
      <c r="H132" s="157"/>
    </row>
    <row r="133" spans="1:8" ht="15.75" x14ac:dyDescent="0.25">
      <c r="A133" s="155"/>
      <c r="B133" s="156"/>
      <c r="C133" s="157"/>
      <c r="D133" s="157"/>
      <c r="E133" s="158"/>
      <c r="F133" s="159" t="str">
        <f t="shared" si="2"/>
        <v/>
      </c>
      <c r="G133" s="160" t="str">
        <f t="shared" si="3"/>
        <v/>
      </c>
      <c r="H133" s="157"/>
    </row>
    <row r="134" spans="1:8" ht="15.75" x14ac:dyDescent="0.25">
      <c r="A134" s="155"/>
      <c r="B134" s="156"/>
      <c r="C134" s="157"/>
      <c r="D134" s="157"/>
      <c r="E134" s="158"/>
      <c r="F134" s="159" t="str">
        <f t="shared" si="2"/>
        <v/>
      </c>
      <c r="G134" s="160" t="str">
        <f t="shared" si="3"/>
        <v/>
      </c>
      <c r="H134" s="157"/>
    </row>
    <row r="135" spans="1:8" ht="15.75" x14ac:dyDescent="0.25">
      <c r="A135" s="155"/>
      <c r="B135" s="156"/>
      <c r="C135" s="157"/>
      <c r="D135" s="157"/>
      <c r="E135" s="158"/>
      <c r="F135" s="159" t="str">
        <f t="shared" si="2"/>
        <v/>
      </c>
      <c r="G135" s="160" t="str">
        <f t="shared" si="3"/>
        <v/>
      </c>
      <c r="H135" s="157"/>
    </row>
    <row r="136" spans="1:8" ht="15.75" x14ac:dyDescent="0.25">
      <c r="A136" s="155"/>
      <c r="B136" s="156"/>
      <c r="C136" s="157"/>
      <c r="D136" s="157"/>
      <c r="E136" s="158"/>
      <c r="F136" s="159" t="str">
        <f t="shared" si="2"/>
        <v/>
      </c>
      <c r="G136" s="160" t="str">
        <f t="shared" si="3"/>
        <v/>
      </c>
      <c r="H136" s="157"/>
    </row>
    <row r="137" spans="1:8" ht="15.75" x14ac:dyDescent="0.25">
      <c r="A137" s="155"/>
      <c r="B137" s="156"/>
      <c r="C137" s="157"/>
      <c r="D137" s="157"/>
      <c r="E137" s="158"/>
      <c r="F137" s="159" t="str">
        <f t="shared" si="2"/>
        <v/>
      </c>
      <c r="G137" s="160" t="str">
        <f t="shared" si="3"/>
        <v/>
      </c>
      <c r="H137" s="157"/>
    </row>
    <row r="138" spans="1:8" ht="15.75" x14ac:dyDescent="0.25">
      <c r="A138" s="155"/>
      <c r="B138" s="156"/>
      <c r="C138" s="157"/>
      <c r="D138" s="157"/>
      <c r="E138" s="158"/>
      <c r="F138" s="159" t="str">
        <f t="shared" si="2"/>
        <v/>
      </c>
      <c r="G138" s="160" t="str">
        <f t="shared" si="3"/>
        <v/>
      </c>
      <c r="H138" s="157"/>
    </row>
    <row r="139" spans="1:8" ht="15.75" x14ac:dyDescent="0.25">
      <c r="A139" s="155"/>
      <c r="B139" s="156"/>
      <c r="C139" s="157"/>
      <c r="D139" s="157"/>
      <c r="E139" s="158"/>
      <c r="F139" s="159" t="str">
        <f t="shared" si="2"/>
        <v/>
      </c>
      <c r="G139" s="160" t="str">
        <f t="shared" si="3"/>
        <v/>
      </c>
      <c r="H139" s="157"/>
    </row>
    <row r="140" spans="1:8" ht="15.75" x14ac:dyDescent="0.25">
      <c r="A140" s="155"/>
      <c r="B140" s="156"/>
      <c r="C140" s="157"/>
      <c r="D140" s="157"/>
      <c r="E140" s="158"/>
      <c r="F140" s="159" t="str">
        <f t="shared" si="2"/>
        <v/>
      </c>
      <c r="G140" s="160" t="str">
        <f t="shared" si="3"/>
        <v/>
      </c>
      <c r="H140" s="157"/>
    </row>
    <row r="141" spans="1:8" ht="15.75" x14ac:dyDescent="0.25">
      <c r="A141" s="155"/>
      <c r="B141" s="156"/>
      <c r="C141" s="157"/>
      <c r="D141" s="157"/>
      <c r="E141" s="158"/>
      <c r="F141" s="159" t="str">
        <f t="shared" si="2"/>
        <v/>
      </c>
      <c r="G141" s="160" t="str">
        <f t="shared" si="3"/>
        <v/>
      </c>
      <c r="H141" s="157"/>
    </row>
    <row r="142" spans="1:8" ht="15.75" x14ac:dyDescent="0.25">
      <c r="A142" s="155"/>
      <c r="B142" s="156"/>
      <c r="C142" s="157"/>
      <c r="D142" s="157"/>
      <c r="E142" s="158"/>
      <c r="F142" s="159" t="str">
        <f t="shared" si="2"/>
        <v/>
      </c>
      <c r="G142" s="160" t="str">
        <f t="shared" si="3"/>
        <v/>
      </c>
      <c r="H142" s="157"/>
    </row>
    <row r="143" spans="1:8" ht="15.75" x14ac:dyDescent="0.25">
      <c r="A143" s="155"/>
      <c r="B143" s="156"/>
      <c r="C143" s="157"/>
      <c r="D143" s="157"/>
      <c r="E143" s="158"/>
      <c r="F143" s="159" t="str">
        <f t="shared" si="2"/>
        <v/>
      </c>
      <c r="G143" s="160" t="str">
        <f t="shared" si="3"/>
        <v/>
      </c>
      <c r="H143" s="157"/>
    </row>
    <row r="144" spans="1:8" ht="15.75" x14ac:dyDescent="0.25">
      <c r="A144" s="155"/>
      <c r="B144" s="156"/>
      <c r="C144" s="157"/>
      <c r="D144" s="157"/>
      <c r="E144" s="158"/>
      <c r="F144" s="159" t="str">
        <f t="shared" ref="F144:F207" si="4">IF(E144="","",E144*$F$3)</f>
        <v/>
      </c>
      <c r="G144" s="160" t="str">
        <f t="shared" ref="G144:G207" si="5">IF(AND(ISNUMBER(A144),E144&lt;&gt;""),IF(YEAR(A144)*100+MONTH(A144)=$G$3,"✓",""),"")</f>
        <v/>
      </c>
      <c r="H144" s="157"/>
    </row>
    <row r="145" spans="1:8" ht="15.75" x14ac:dyDescent="0.25">
      <c r="A145" s="155"/>
      <c r="B145" s="156"/>
      <c r="C145" s="157"/>
      <c r="D145" s="157"/>
      <c r="E145" s="158"/>
      <c r="F145" s="159" t="str">
        <f t="shared" si="4"/>
        <v/>
      </c>
      <c r="G145" s="160" t="str">
        <f t="shared" si="5"/>
        <v/>
      </c>
      <c r="H145" s="157"/>
    </row>
    <row r="146" spans="1:8" ht="15.75" x14ac:dyDescent="0.25">
      <c r="A146" s="155"/>
      <c r="B146" s="156"/>
      <c r="C146" s="157"/>
      <c r="D146" s="157"/>
      <c r="E146" s="158"/>
      <c r="F146" s="159" t="str">
        <f t="shared" si="4"/>
        <v/>
      </c>
      <c r="G146" s="160" t="str">
        <f t="shared" si="5"/>
        <v/>
      </c>
      <c r="H146" s="157"/>
    </row>
    <row r="147" spans="1:8" ht="15.75" x14ac:dyDescent="0.25">
      <c r="A147" s="155"/>
      <c r="B147" s="156"/>
      <c r="C147" s="157"/>
      <c r="D147" s="157"/>
      <c r="E147" s="158"/>
      <c r="F147" s="159" t="str">
        <f t="shared" si="4"/>
        <v/>
      </c>
      <c r="G147" s="160" t="str">
        <f t="shared" si="5"/>
        <v/>
      </c>
      <c r="H147" s="157"/>
    </row>
    <row r="148" spans="1:8" ht="15.75" x14ac:dyDescent="0.25">
      <c r="A148" s="155"/>
      <c r="B148" s="156"/>
      <c r="C148" s="157"/>
      <c r="D148" s="157"/>
      <c r="E148" s="158"/>
      <c r="F148" s="159" t="str">
        <f t="shared" si="4"/>
        <v/>
      </c>
      <c r="G148" s="160" t="str">
        <f t="shared" si="5"/>
        <v/>
      </c>
      <c r="H148" s="157"/>
    </row>
    <row r="149" spans="1:8" ht="15.75" x14ac:dyDescent="0.25">
      <c r="A149" s="155"/>
      <c r="B149" s="156"/>
      <c r="C149" s="157"/>
      <c r="D149" s="157"/>
      <c r="E149" s="158"/>
      <c r="F149" s="159" t="str">
        <f t="shared" si="4"/>
        <v/>
      </c>
      <c r="G149" s="160" t="str">
        <f t="shared" si="5"/>
        <v/>
      </c>
      <c r="H149" s="157"/>
    </row>
    <row r="150" spans="1:8" ht="15.75" x14ac:dyDescent="0.25">
      <c r="A150" s="155"/>
      <c r="B150" s="156"/>
      <c r="C150" s="157"/>
      <c r="D150" s="157"/>
      <c r="E150" s="158"/>
      <c r="F150" s="159" t="str">
        <f t="shared" si="4"/>
        <v/>
      </c>
      <c r="G150" s="160" t="str">
        <f t="shared" si="5"/>
        <v/>
      </c>
      <c r="H150" s="157"/>
    </row>
    <row r="151" spans="1:8" ht="15.75" x14ac:dyDescent="0.25">
      <c r="A151" s="155"/>
      <c r="B151" s="156"/>
      <c r="C151" s="157"/>
      <c r="D151" s="157"/>
      <c r="E151" s="158"/>
      <c r="F151" s="159" t="str">
        <f t="shared" si="4"/>
        <v/>
      </c>
      <c r="G151" s="160" t="str">
        <f t="shared" si="5"/>
        <v/>
      </c>
      <c r="H151" s="157"/>
    </row>
    <row r="152" spans="1:8" ht="15.75" x14ac:dyDescent="0.25">
      <c r="A152" s="155"/>
      <c r="B152" s="156"/>
      <c r="C152" s="157"/>
      <c r="D152" s="157"/>
      <c r="E152" s="158"/>
      <c r="F152" s="159" t="str">
        <f t="shared" si="4"/>
        <v/>
      </c>
      <c r="G152" s="160" t="str">
        <f t="shared" si="5"/>
        <v/>
      </c>
      <c r="H152" s="157"/>
    </row>
    <row r="153" spans="1:8" ht="15.75" x14ac:dyDescent="0.25">
      <c r="A153" s="155"/>
      <c r="B153" s="156"/>
      <c r="C153" s="157"/>
      <c r="D153" s="157"/>
      <c r="E153" s="158"/>
      <c r="F153" s="159" t="str">
        <f t="shared" si="4"/>
        <v/>
      </c>
      <c r="G153" s="160" t="str">
        <f t="shared" si="5"/>
        <v/>
      </c>
      <c r="H153" s="157"/>
    </row>
    <row r="154" spans="1:8" ht="15.75" x14ac:dyDescent="0.25">
      <c r="A154" s="155"/>
      <c r="B154" s="156"/>
      <c r="C154" s="157"/>
      <c r="D154" s="157"/>
      <c r="E154" s="158"/>
      <c r="F154" s="159" t="str">
        <f t="shared" si="4"/>
        <v/>
      </c>
      <c r="G154" s="160" t="str">
        <f t="shared" si="5"/>
        <v/>
      </c>
      <c r="H154" s="157"/>
    </row>
    <row r="155" spans="1:8" ht="15.75" x14ac:dyDescent="0.25">
      <c r="A155" s="155"/>
      <c r="B155" s="156"/>
      <c r="C155" s="157"/>
      <c r="D155" s="157"/>
      <c r="E155" s="158"/>
      <c r="F155" s="159" t="str">
        <f t="shared" si="4"/>
        <v/>
      </c>
      <c r="G155" s="160" t="str">
        <f t="shared" si="5"/>
        <v/>
      </c>
      <c r="H155" s="157"/>
    </row>
    <row r="156" spans="1:8" ht="15.75" x14ac:dyDescent="0.25">
      <c r="A156" s="155"/>
      <c r="B156" s="156"/>
      <c r="C156" s="157"/>
      <c r="D156" s="157"/>
      <c r="E156" s="158"/>
      <c r="F156" s="159" t="str">
        <f t="shared" si="4"/>
        <v/>
      </c>
      <c r="G156" s="160" t="str">
        <f t="shared" si="5"/>
        <v/>
      </c>
      <c r="H156" s="157"/>
    </row>
    <row r="157" spans="1:8" ht="15.75" x14ac:dyDescent="0.25">
      <c r="A157" s="155"/>
      <c r="B157" s="156"/>
      <c r="C157" s="157"/>
      <c r="D157" s="157"/>
      <c r="E157" s="158"/>
      <c r="F157" s="159" t="str">
        <f t="shared" si="4"/>
        <v/>
      </c>
      <c r="G157" s="160" t="str">
        <f t="shared" si="5"/>
        <v/>
      </c>
      <c r="H157" s="157"/>
    </row>
    <row r="158" spans="1:8" ht="15.75" x14ac:dyDescent="0.25">
      <c r="A158" s="155"/>
      <c r="B158" s="156"/>
      <c r="C158" s="157"/>
      <c r="D158" s="157"/>
      <c r="E158" s="158"/>
      <c r="F158" s="159" t="str">
        <f t="shared" si="4"/>
        <v/>
      </c>
      <c r="G158" s="160" t="str">
        <f t="shared" si="5"/>
        <v/>
      </c>
      <c r="H158" s="157"/>
    </row>
    <row r="159" spans="1:8" ht="15.75" x14ac:dyDescent="0.25">
      <c r="A159" s="155"/>
      <c r="B159" s="156"/>
      <c r="C159" s="157"/>
      <c r="D159" s="157"/>
      <c r="E159" s="158"/>
      <c r="F159" s="159" t="str">
        <f t="shared" si="4"/>
        <v/>
      </c>
      <c r="G159" s="160" t="str">
        <f t="shared" si="5"/>
        <v/>
      </c>
      <c r="H159" s="157"/>
    </row>
    <row r="160" spans="1:8" ht="15.75" x14ac:dyDescent="0.25">
      <c r="A160" s="155"/>
      <c r="B160" s="156"/>
      <c r="C160" s="157"/>
      <c r="D160" s="157"/>
      <c r="E160" s="158"/>
      <c r="F160" s="159" t="str">
        <f t="shared" si="4"/>
        <v/>
      </c>
      <c r="G160" s="160" t="str">
        <f t="shared" si="5"/>
        <v/>
      </c>
      <c r="H160" s="157"/>
    </row>
    <row r="161" spans="1:8" ht="15.75" x14ac:dyDescent="0.25">
      <c r="A161" s="155"/>
      <c r="B161" s="156"/>
      <c r="C161" s="157"/>
      <c r="D161" s="157"/>
      <c r="E161" s="158"/>
      <c r="F161" s="159" t="str">
        <f t="shared" si="4"/>
        <v/>
      </c>
      <c r="G161" s="160" t="str">
        <f t="shared" si="5"/>
        <v/>
      </c>
      <c r="H161" s="157"/>
    </row>
    <row r="162" spans="1:8" ht="15.75" x14ac:dyDescent="0.25">
      <c r="A162" s="155"/>
      <c r="B162" s="156"/>
      <c r="C162" s="157"/>
      <c r="D162" s="157"/>
      <c r="E162" s="158"/>
      <c r="F162" s="159" t="str">
        <f t="shared" si="4"/>
        <v/>
      </c>
      <c r="G162" s="160" t="str">
        <f t="shared" si="5"/>
        <v/>
      </c>
      <c r="H162" s="157"/>
    </row>
    <row r="163" spans="1:8" ht="15.75" x14ac:dyDescent="0.25">
      <c r="A163" s="155"/>
      <c r="B163" s="156"/>
      <c r="C163" s="157"/>
      <c r="D163" s="157"/>
      <c r="E163" s="158"/>
      <c r="F163" s="159" t="str">
        <f t="shared" si="4"/>
        <v/>
      </c>
      <c r="G163" s="160" t="str">
        <f t="shared" si="5"/>
        <v/>
      </c>
      <c r="H163" s="157"/>
    </row>
    <row r="164" spans="1:8" ht="15.75" x14ac:dyDescent="0.25">
      <c r="A164" s="155"/>
      <c r="B164" s="156"/>
      <c r="C164" s="157"/>
      <c r="D164" s="157"/>
      <c r="E164" s="158"/>
      <c r="F164" s="159" t="str">
        <f t="shared" si="4"/>
        <v/>
      </c>
      <c r="G164" s="160" t="str">
        <f t="shared" si="5"/>
        <v/>
      </c>
      <c r="H164" s="157"/>
    </row>
    <row r="165" spans="1:8" ht="15.75" x14ac:dyDescent="0.25">
      <c r="A165" s="155"/>
      <c r="B165" s="156"/>
      <c r="C165" s="157"/>
      <c r="D165" s="157"/>
      <c r="E165" s="158"/>
      <c r="F165" s="159" t="str">
        <f t="shared" si="4"/>
        <v/>
      </c>
      <c r="G165" s="160" t="str">
        <f t="shared" si="5"/>
        <v/>
      </c>
      <c r="H165" s="157"/>
    </row>
    <row r="166" spans="1:8" ht="15.75" x14ac:dyDescent="0.25">
      <c r="A166" s="155"/>
      <c r="B166" s="156"/>
      <c r="C166" s="157"/>
      <c r="D166" s="157"/>
      <c r="E166" s="158"/>
      <c r="F166" s="159" t="str">
        <f t="shared" si="4"/>
        <v/>
      </c>
      <c r="G166" s="160" t="str">
        <f t="shared" si="5"/>
        <v/>
      </c>
      <c r="H166" s="157"/>
    </row>
    <row r="167" spans="1:8" ht="15.75" x14ac:dyDescent="0.25">
      <c r="A167" s="155"/>
      <c r="B167" s="156"/>
      <c r="C167" s="157"/>
      <c r="D167" s="157"/>
      <c r="E167" s="158"/>
      <c r="F167" s="159" t="str">
        <f t="shared" si="4"/>
        <v/>
      </c>
      <c r="G167" s="160" t="str">
        <f t="shared" si="5"/>
        <v/>
      </c>
      <c r="H167" s="157"/>
    </row>
    <row r="168" spans="1:8" ht="15.75" x14ac:dyDescent="0.25">
      <c r="A168" s="155"/>
      <c r="B168" s="156"/>
      <c r="C168" s="157"/>
      <c r="D168" s="157"/>
      <c r="E168" s="158"/>
      <c r="F168" s="159" t="str">
        <f t="shared" si="4"/>
        <v/>
      </c>
      <c r="G168" s="160" t="str">
        <f t="shared" si="5"/>
        <v/>
      </c>
      <c r="H168" s="157"/>
    </row>
    <row r="169" spans="1:8" ht="15.75" x14ac:dyDescent="0.25">
      <c r="A169" s="155"/>
      <c r="B169" s="156"/>
      <c r="C169" s="157"/>
      <c r="D169" s="157"/>
      <c r="E169" s="158"/>
      <c r="F169" s="159" t="str">
        <f t="shared" si="4"/>
        <v/>
      </c>
      <c r="G169" s="160" t="str">
        <f t="shared" si="5"/>
        <v/>
      </c>
      <c r="H169" s="157"/>
    </row>
    <row r="170" spans="1:8" ht="15.75" x14ac:dyDescent="0.25">
      <c r="A170" s="155"/>
      <c r="B170" s="156"/>
      <c r="C170" s="157"/>
      <c r="D170" s="157"/>
      <c r="E170" s="158"/>
      <c r="F170" s="159" t="str">
        <f t="shared" si="4"/>
        <v/>
      </c>
      <c r="G170" s="160" t="str">
        <f t="shared" si="5"/>
        <v/>
      </c>
      <c r="H170" s="157"/>
    </row>
    <row r="171" spans="1:8" ht="15.75" x14ac:dyDescent="0.25">
      <c r="A171" s="155"/>
      <c r="B171" s="156"/>
      <c r="C171" s="157"/>
      <c r="D171" s="157"/>
      <c r="E171" s="158"/>
      <c r="F171" s="159" t="str">
        <f t="shared" si="4"/>
        <v/>
      </c>
      <c r="G171" s="160" t="str">
        <f t="shared" si="5"/>
        <v/>
      </c>
      <c r="H171" s="157"/>
    </row>
    <row r="172" spans="1:8" ht="15.75" x14ac:dyDescent="0.25">
      <c r="A172" s="155"/>
      <c r="B172" s="156"/>
      <c r="C172" s="157"/>
      <c r="D172" s="157"/>
      <c r="E172" s="158"/>
      <c r="F172" s="159" t="str">
        <f t="shared" si="4"/>
        <v/>
      </c>
      <c r="G172" s="160" t="str">
        <f t="shared" si="5"/>
        <v/>
      </c>
      <c r="H172" s="157"/>
    </row>
    <row r="173" spans="1:8" ht="15.75" x14ac:dyDescent="0.25">
      <c r="A173" s="155"/>
      <c r="B173" s="156"/>
      <c r="C173" s="157"/>
      <c r="D173" s="157"/>
      <c r="E173" s="158"/>
      <c r="F173" s="159" t="str">
        <f t="shared" si="4"/>
        <v/>
      </c>
      <c r="G173" s="160" t="str">
        <f t="shared" si="5"/>
        <v/>
      </c>
      <c r="H173" s="157"/>
    </row>
    <row r="174" spans="1:8" ht="15.75" x14ac:dyDescent="0.25">
      <c r="A174" s="155"/>
      <c r="B174" s="156"/>
      <c r="C174" s="157"/>
      <c r="D174" s="157"/>
      <c r="E174" s="158"/>
      <c r="F174" s="159" t="str">
        <f t="shared" si="4"/>
        <v/>
      </c>
      <c r="G174" s="160" t="str">
        <f t="shared" si="5"/>
        <v/>
      </c>
      <c r="H174" s="157"/>
    </row>
    <row r="175" spans="1:8" ht="15.75" x14ac:dyDescent="0.25">
      <c r="A175" s="155"/>
      <c r="B175" s="156"/>
      <c r="C175" s="157"/>
      <c r="D175" s="157"/>
      <c r="E175" s="158"/>
      <c r="F175" s="159" t="str">
        <f t="shared" si="4"/>
        <v/>
      </c>
      <c r="G175" s="160" t="str">
        <f t="shared" si="5"/>
        <v/>
      </c>
      <c r="H175" s="157"/>
    </row>
    <row r="176" spans="1:8" ht="15.75" x14ac:dyDescent="0.25">
      <c r="A176" s="155"/>
      <c r="B176" s="156"/>
      <c r="C176" s="157"/>
      <c r="D176" s="157"/>
      <c r="E176" s="158"/>
      <c r="F176" s="159" t="str">
        <f t="shared" si="4"/>
        <v/>
      </c>
      <c r="G176" s="160" t="str">
        <f t="shared" si="5"/>
        <v/>
      </c>
      <c r="H176" s="157"/>
    </row>
    <row r="177" spans="1:8" ht="15.75" x14ac:dyDescent="0.25">
      <c r="A177" s="155"/>
      <c r="B177" s="156"/>
      <c r="C177" s="157"/>
      <c r="D177" s="157"/>
      <c r="E177" s="158"/>
      <c r="F177" s="159" t="str">
        <f t="shared" si="4"/>
        <v/>
      </c>
      <c r="G177" s="160" t="str">
        <f t="shared" si="5"/>
        <v/>
      </c>
      <c r="H177" s="157"/>
    </row>
    <row r="178" spans="1:8" ht="15.75" x14ac:dyDescent="0.25">
      <c r="A178" s="155"/>
      <c r="B178" s="156"/>
      <c r="C178" s="157"/>
      <c r="D178" s="157"/>
      <c r="E178" s="158"/>
      <c r="F178" s="159" t="str">
        <f t="shared" si="4"/>
        <v/>
      </c>
      <c r="G178" s="160" t="str">
        <f t="shared" si="5"/>
        <v/>
      </c>
      <c r="H178" s="157"/>
    </row>
    <row r="179" spans="1:8" ht="15.75" x14ac:dyDescent="0.25">
      <c r="A179" s="155"/>
      <c r="B179" s="156"/>
      <c r="C179" s="157"/>
      <c r="D179" s="157"/>
      <c r="E179" s="158"/>
      <c r="F179" s="159" t="str">
        <f t="shared" si="4"/>
        <v/>
      </c>
      <c r="G179" s="160" t="str">
        <f t="shared" si="5"/>
        <v/>
      </c>
      <c r="H179" s="157"/>
    </row>
    <row r="180" spans="1:8" ht="15.75" x14ac:dyDescent="0.25">
      <c r="A180" s="155"/>
      <c r="B180" s="156"/>
      <c r="C180" s="157"/>
      <c r="D180" s="157"/>
      <c r="E180" s="158"/>
      <c r="F180" s="159" t="str">
        <f t="shared" si="4"/>
        <v/>
      </c>
      <c r="G180" s="160" t="str">
        <f t="shared" si="5"/>
        <v/>
      </c>
      <c r="H180" s="157"/>
    </row>
    <row r="181" spans="1:8" ht="15.75" x14ac:dyDescent="0.25">
      <c r="A181" s="155"/>
      <c r="B181" s="156"/>
      <c r="C181" s="157"/>
      <c r="D181" s="157"/>
      <c r="E181" s="158"/>
      <c r="F181" s="159" t="str">
        <f t="shared" si="4"/>
        <v/>
      </c>
      <c r="G181" s="160" t="str">
        <f t="shared" si="5"/>
        <v/>
      </c>
      <c r="H181" s="157"/>
    </row>
    <row r="182" spans="1:8" ht="15.75" x14ac:dyDescent="0.25">
      <c r="A182" s="155"/>
      <c r="B182" s="156"/>
      <c r="C182" s="157"/>
      <c r="D182" s="157"/>
      <c r="E182" s="158"/>
      <c r="F182" s="159" t="str">
        <f t="shared" si="4"/>
        <v/>
      </c>
      <c r="G182" s="160" t="str">
        <f t="shared" si="5"/>
        <v/>
      </c>
      <c r="H182" s="157"/>
    </row>
    <row r="183" spans="1:8" ht="15.75" x14ac:dyDescent="0.25">
      <c r="A183" s="155"/>
      <c r="B183" s="156"/>
      <c r="C183" s="157"/>
      <c r="D183" s="157"/>
      <c r="E183" s="158"/>
      <c r="F183" s="159" t="str">
        <f t="shared" si="4"/>
        <v/>
      </c>
      <c r="G183" s="160" t="str">
        <f t="shared" si="5"/>
        <v/>
      </c>
      <c r="H183" s="157"/>
    </row>
    <row r="184" spans="1:8" ht="15.75" x14ac:dyDescent="0.25">
      <c r="A184" s="155"/>
      <c r="B184" s="156"/>
      <c r="C184" s="157"/>
      <c r="D184" s="157"/>
      <c r="E184" s="158"/>
      <c r="F184" s="159" t="str">
        <f t="shared" si="4"/>
        <v/>
      </c>
      <c r="G184" s="160" t="str">
        <f t="shared" si="5"/>
        <v/>
      </c>
      <c r="H184" s="157"/>
    </row>
    <row r="185" spans="1:8" ht="15.75" x14ac:dyDescent="0.25">
      <c r="A185" s="155"/>
      <c r="B185" s="156"/>
      <c r="C185" s="157"/>
      <c r="D185" s="157"/>
      <c r="E185" s="158"/>
      <c r="F185" s="159" t="str">
        <f t="shared" si="4"/>
        <v/>
      </c>
      <c r="G185" s="160" t="str">
        <f t="shared" si="5"/>
        <v/>
      </c>
      <c r="H185" s="157"/>
    </row>
    <row r="186" spans="1:8" ht="15.75" x14ac:dyDescent="0.25">
      <c r="A186" s="155"/>
      <c r="B186" s="156"/>
      <c r="C186" s="157"/>
      <c r="D186" s="157"/>
      <c r="E186" s="158"/>
      <c r="F186" s="159" t="str">
        <f t="shared" si="4"/>
        <v/>
      </c>
      <c r="G186" s="160" t="str">
        <f t="shared" si="5"/>
        <v/>
      </c>
      <c r="H186" s="157"/>
    </row>
    <row r="187" spans="1:8" ht="15.75" x14ac:dyDescent="0.25">
      <c r="A187" s="155"/>
      <c r="B187" s="156"/>
      <c r="C187" s="157"/>
      <c r="D187" s="157"/>
      <c r="E187" s="158"/>
      <c r="F187" s="159" t="str">
        <f t="shared" si="4"/>
        <v/>
      </c>
      <c r="G187" s="160" t="str">
        <f t="shared" si="5"/>
        <v/>
      </c>
      <c r="H187" s="157"/>
    </row>
    <row r="188" spans="1:8" ht="15.75" x14ac:dyDescent="0.25">
      <c r="A188" s="155"/>
      <c r="B188" s="156"/>
      <c r="C188" s="157"/>
      <c r="D188" s="157"/>
      <c r="E188" s="158"/>
      <c r="F188" s="159" t="str">
        <f t="shared" si="4"/>
        <v/>
      </c>
      <c r="G188" s="160" t="str">
        <f t="shared" si="5"/>
        <v/>
      </c>
      <c r="H188" s="157"/>
    </row>
    <row r="189" spans="1:8" ht="15.75" x14ac:dyDescent="0.25">
      <c r="A189" s="155"/>
      <c r="B189" s="156"/>
      <c r="C189" s="157"/>
      <c r="D189" s="157"/>
      <c r="E189" s="158"/>
      <c r="F189" s="159" t="str">
        <f t="shared" si="4"/>
        <v/>
      </c>
      <c r="G189" s="160" t="str">
        <f t="shared" si="5"/>
        <v/>
      </c>
      <c r="H189" s="157"/>
    </row>
    <row r="190" spans="1:8" ht="15.75" x14ac:dyDescent="0.25">
      <c r="A190" s="155"/>
      <c r="B190" s="156"/>
      <c r="C190" s="157"/>
      <c r="D190" s="157"/>
      <c r="E190" s="158"/>
      <c r="F190" s="159" t="str">
        <f t="shared" si="4"/>
        <v/>
      </c>
      <c r="G190" s="160" t="str">
        <f t="shared" si="5"/>
        <v/>
      </c>
      <c r="H190" s="157"/>
    </row>
    <row r="191" spans="1:8" ht="15.75" x14ac:dyDescent="0.25">
      <c r="A191" s="155"/>
      <c r="B191" s="156"/>
      <c r="C191" s="157"/>
      <c r="D191" s="157"/>
      <c r="E191" s="158"/>
      <c r="F191" s="159" t="str">
        <f t="shared" si="4"/>
        <v/>
      </c>
      <c r="G191" s="160" t="str">
        <f t="shared" si="5"/>
        <v/>
      </c>
      <c r="H191" s="157"/>
    </row>
    <row r="192" spans="1:8" ht="15.75" x14ac:dyDescent="0.25">
      <c r="A192" s="155"/>
      <c r="B192" s="156"/>
      <c r="C192" s="157"/>
      <c r="D192" s="157"/>
      <c r="E192" s="158"/>
      <c r="F192" s="159" t="str">
        <f t="shared" si="4"/>
        <v/>
      </c>
      <c r="G192" s="160" t="str">
        <f t="shared" si="5"/>
        <v/>
      </c>
      <c r="H192" s="157"/>
    </row>
    <row r="193" spans="1:8" ht="15.75" x14ac:dyDescent="0.25">
      <c r="A193" s="155"/>
      <c r="B193" s="156"/>
      <c r="C193" s="157"/>
      <c r="D193" s="157"/>
      <c r="E193" s="158"/>
      <c r="F193" s="159" t="str">
        <f t="shared" si="4"/>
        <v/>
      </c>
      <c r="G193" s="160" t="str">
        <f t="shared" si="5"/>
        <v/>
      </c>
      <c r="H193" s="157"/>
    </row>
    <row r="194" spans="1:8" ht="15.75" x14ac:dyDescent="0.25">
      <c r="A194" s="155"/>
      <c r="B194" s="156"/>
      <c r="C194" s="157"/>
      <c r="D194" s="157"/>
      <c r="E194" s="158"/>
      <c r="F194" s="159" t="str">
        <f t="shared" si="4"/>
        <v/>
      </c>
      <c r="G194" s="160" t="str">
        <f t="shared" si="5"/>
        <v/>
      </c>
      <c r="H194" s="157"/>
    </row>
    <row r="195" spans="1:8" ht="15.75" x14ac:dyDescent="0.25">
      <c r="A195" s="155"/>
      <c r="B195" s="156"/>
      <c r="C195" s="157"/>
      <c r="D195" s="157"/>
      <c r="E195" s="158"/>
      <c r="F195" s="159" t="str">
        <f t="shared" si="4"/>
        <v/>
      </c>
      <c r="G195" s="160" t="str">
        <f t="shared" si="5"/>
        <v/>
      </c>
      <c r="H195" s="157"/>
    </row>
    <row r="196" spans="1:8" ht="15.75" x14ac:dyDescent="0.25">
      <c r="A196" s="155"/>
      <c r="B196" s="156"/>
      <c r="C196" s="157"/>
      <c r="D196" s="157"/>
      <c r="E196" s="158"/>
      <c r="F196" s="159" t="str">
        <f t="shared" si="4"/>
        <v/>
      </c>
      <c r="G196" s="160" t="str">
        <f t="shared" si="5"/>
        <v/>
      </c>
      <c r="H196" s="157"/>
    </row>
    <row r="197" spans="1:8" ht="15.75" x14ac:dyDescent="0.25">
      <c r="A197" s="155"/>
      <c r="B197" s="156"/>
      <c r="C197" s="157"/>
      <c r="D197" s="157"/>
      <c r="E197" s="158"/>
      <c r="F197" s="159" t="str">
        <f t="shared" si="4"/>
        <v/>
      </c>
      <c r="G197" s="160" t="str">
        <f t="shared" si="5"/>
        <v/>
      </c>
      <c r="H197" s="157"/>
    </row>
    <row r="198" spans="1:8" ht="15.75" x14ac:dyDescent="0.25">
      <c r="A198" s="155"/>
      <c r="B198" s="156"/>
      <c r="C198" s="157"/>
      <c r="D198" s="157"/>
      <c r="E198" s="158"/>
      <c r="F198" s="159" t="str">
        <f t="shared" si="4"/>
        <v/>
      </c>
      <c r="G198" s="160" t="str">
        <f t="shared" si="5"/>
        <v/>
      </c>
      <c r="H198" s="157"/>
    </row>
    <row r="199" spans="1:8" ht="15.75" x14ac:dyDescent="0.25">
      <c r="A199" s="155"/>
      <c r="B199" s="156"/>
      <c r="C199" s="157"/>
      <c r="D199" s="157"/>
      <c r="E199" s="158"/>
      <c r="F199" s="159" t="str">
        <f t="shared" si="4"/>
        <v/>
      </c>
      <c r="G199" s="160" t="str">
        <f t="shared" si="5"/>
        <v/>
      </c>
      <c r="H199" s="157"/>
    </row>
    <row r="200" spans="1:8" ht="15.75" x14ac:dyDescent="0.25">
      <c r="A200" s="155"/>
      <c r="B200" s="156"/>
      <c r="C200" s="157"/>
      <c r="D200" s="157"/>
      <c r="E200" s="158"/>
      <c r="F200" s="159" t="str">
        <f t="shared" si="4"/>
        <v/>
      </c>
      <c r="G200" s="160" t="str">
        <f t="shared" si="5"/>
        <v/>
      </c>
      <c r="H200" s="157"/>
    </row>
    <row r="201" spans="1:8" ht="15.75" x14ac:dyDescent="0.25">
      <c r="A201" s="155"/>
      <c r="B201" s="156"/>
      <c r="C201" s="157"/>
      <c r="D201" s="157"/>
      <c r="E201" s="158"/>
      <c r="F201" s="159" t="str">
        <f t="shared" si="4"/>
        <v/>
      </c>
      <c r="G201" s="160" t="str">
        <f t="shared" si="5"/>
        <v/>
      </c>
      <c r="H201" s="157"/>
    </row>
    <row r="202" spans="1:8" ht="15.75" x14ac:dyDescent="0.25">
      <c r="A202" s="155"/>
      <c r="B202" s="156"/>
      <c r="C202" s="157"/>
      <c r="D202" s="157"/>
      <c r="E202" s="158"/>
      <c r="F202" s="159" t="str">
        <f t="shared" si="4"/>
        <v/>
      </c>
      <c r="G202" s="160" t="str">
        <f t="shared" si="5"/>
        <v/>
      </c>
      <c r="H202" s="157"/>
    </row>
    <row r="203" spans="1:8" ht="15.75" x14ac:dyDescent="0.25">
      <c r="A203" s="155"/>
      <c r="B203" s="156"/>
      <c r="C203" s="157"/>
      <c r="D203" s="157"/>
      <c r="E203" s="158"/>
      <c r="F203" s="159" t="str">
        <f t="shared" si="4"/>
        <v/>
      </c>
      <c r="G203" s="160" t="str">
        <f t="shared" si="5"/>
        <v/>
      </c>
      <c r="H203" s="157"/>
    </row>
    <row r="204" spans="1:8" ht="15.75" x14ac:dyDescent="0.25">
      <c r="A204" s="155"/>
      <c r="B204" s="156"/>
      <c r="C204" s="157"/>
      <c r="D204" s="157"/>
      <c r="E204" s="158"/>
      <c r="F204" s="159" t="str">
        <f t="shared" si="4"/>
        <v/>
      </c>
      <c r="G204" s="160" t="str">
        <f t="shared" si="5"/>
        <v/>
      </c>
      <c r="H204" s="157"/>
    </row>
    <row r="205" spans="1:8" ht="15.75" x14ac:dyDescent="0.25">
      <c r="A205" s="155"/>
      <c r="B205" s="156"/>
      <c r="C205" s="157"/>
      <c r="D205" s="157"/>
      <c r="E205" s="158"/>
      <c r="F205" s="159" t="str">
        <f t="shared" si="4"/>
        <v/>
      </c>
      <c r="G205" s="160" t="str">
        <f t="shared" si="5"/>
        <v/>
      </c>
      <c r="H205" s="157"/>
    </row>
    <row r="206" spans="1:8" ht="15.75" x14ac:dyDescent="0.25">
      <c r="A206" s="155"/>
      <c r="B206" s="156"/>
      <c r="C206" s="157"/>
      <c r="D206" s="157"/>
      <c r="E206" s="158"/>
      <c r="F206" s="159" t="str">
        <f t="shared" si="4"/>
        <v/>
      </c>
      <c r="G206" s="160" t="str">
        <f t="shared" si="5"/>
        <v/>
      </c>
      <c r="H206" s="157"/>
    </row>
    <row r="207" spans="1:8" ht="15.75" x14ac:dyDescent="0.25">
      <c r="A207" s="155"/>
      <c r="B207" s="156"/>
      <c r="C207" s="157"/>
      <c r="D207" s="157"/>
      <c r="E207" s="158"/>
      <c r="F207" s="159" t="str">
        <f t="shared" si="4"/>
        <v/>
      </c>
      <c r="G207" s="160" t="str">
        <f t="shared" si="5"/>
        <v/>
      </c>
      <c r="H207" s="157"/>
    </row>
    <row r="208" spans="1:8" ht="15.75" x14ac:dyDescent="0.25">
      <c r="A208" s="155"/>
      <c r="B208" s="156"/>
      <c r="C208" s="157"/>
      <c r="D208" s="157"/>
      <c r="E208" s="158"/>
      <c r="F208" s="159" t="str">
        <f t="shared" ref="F208:F271" si="6">IF(E208="","",E208*$F$3)</f>
        <v/>
      </c>
      <c r="G208" s="160" t="str">
        <f t="shared" ref="G208:G271" si="7">IF(AND(ISNUMBER(A208),E208&lt;&gt;""),IF(YEAR(A208)*100+MONTH(A208)=$G$3,"✓",""),"")</f>
        <v/>
      </c>
      <c r="H208" s="157"/>
    </row>
    <row r="209" spans="1:8" ht="15.75" x14ac:dyDescent="0.25">
      <c r="A209" s="155"/>
      <c r="B209" s="156"/>
      <c r="C209" s="157"/>
      <c r="D209" s="157"/>
      <c r="E209" s="158"/>
      <c r="F209" s="159" t="str">
        <f t="shared" si="6"/>
        <v/>
      </c>
      <c r="G209" s="160" t="str">
        <f t="shared" si="7"/>
        <v/>
      </c>
      <c r="H209" s="157"/>
    </row>
    <row r="210" spans="1:8" ht="15.75" x14ac:dyDescent="0.25">
      <c r="A210" s="155"/>
      <c r="B210" s="156"/>
      <c r="C210" s="157"/>
      <c r="D210" s="157"/>
      <c r="E210" s="158"/>
      <c r="F210" s="159" t="str">
        <f t="shared" si="6"/>
        <v/>
      </c>
      <c r="G210" s="160" t="str">
        <f t="shared" si="7"/>
        <v/>
      </c>
      <c r="H210" s="157"/>
    </row>
    <row r="211" spans="1:8" ht="15.75" x14ac:dyDescent="0.25">
      <c r="A211" s="155"/>
      <c r="B211" s="156"/>
      <c r="C211" s="157"/>
      <c r="D211" s="157"/>
      <c r="E211" s="158"/>
      <c r="F211" s="159" t="str">
        <f t="shared" si="6"/>
        <v/>
      </c>
      <c r="G211" s="160" t="str">
        <f t="shared" si="7"/>
        <v/>
      </c>
      <c r="H211" s="157"/>
    </row>
    <row r="212" spans="1:8" ht="15.75" x14ac:dyDescent="0.25">
      <c r="A212" s="155"/>
      <c r="B212" s="156"/>
      <c r="C212" s="157"/>
      <c r="D212" s="157"/>
      <c r="E212" s="158"/>
      <c r="F212" s="159" t="str">
        <f t="shared" si="6"/>
        <v/>
      </c>
      <c r="G212" s="160" t="str">
        <f t="shared" si="7"/>
        <v/>
      </c>
      <c r="H212" s="157"/>
    </row>
    <row r="213" spans="1:8" ht="15.75" x14ac:dyDescent="0.25">
      <c r="A213" s="155"/>
      <c r="B213" s="156"/>
      <c r="C213" s="157"/>
      <c r="D213" s="157"/>
      <c r="E213" s="158"/>
      <c r="F213" s="159" t="str">
        <f t="shared" si="6"/>
        <v/>
      </c>
      <c r="G213" s="160" t="str">
        <f t="shared" si="7"/>
        <v/>
      </c>
      <c r="H213" s="157"/>
    </row>
    <row r="214" spans="1:8" ht="15.75" x14ac:dyDescent="0.25">
      <c r="A214" s="155"/>
      <c r="B214" s="156"/>
      <c r="C214" s="157"/>
      <c r="D214" s="157"/>
      <c r="E214" s="158"/>
      <c r="F214" s="159" t="str">
        <f t="shared" si="6"/>
        <v/>
      </c>
      <c r="G214" s="160" t="str">
        <f t="shared" si="7"/>
        <v/>
      </c>
      <c r="H214" s="157"/>
    </row>
    <row r="215" spans="1:8" ht="15.75" x14ac:dyDescent="0.25">
      <c r="A215" s="155"/>
      <c r="B215" s="156"/>
      <c r="C215" s="157"/>
      <c r="D215" s="157"/>
      <c r="E215" s="158"/>
      <c r="F215" s="159" t="str">
        <f t="shared" si="6"/>
        <v/>
      </c>
      <c r="G215" s="160" t="str">
        <f t="shared" si="7"/>
        <v/>
      </c>
      <c r="H215" s="157"/>
    </row>
    <row r="216" spans="1:8" ht="15.75" x14ac:dyDescent="0.25">
      <c r="A216" s="155"/>
      <c r="B216" s="156"/>
      <c r="C216" s="157"/>
      <c r="D216" s="157"/>
      <c r="E216" s="158"/>
      <c r="F216" s="159" t="str">
        <f t="shared" si="6"/>
        <v/>
      </c>
      <c r="G216" s="160" t="str">
        <f t="shared" si="7"/>
        <v/>
      </c>
      <c r="H216" s="157"/>
    </row>
    <row r="217" spans="1:8" ht="15.75" x14ac:dyDescent="0.25">
      <c r="A217" s="155"/>
      <c r="B217" s="156"/>
      <c r="C217" s="157"/>
      <c r="D217" s="157"/>
      <c r="E217" s="158"/>
      <c r="F217" s="159" t="str">
        <f t="shared" si="6"/>
        <v/>
      </c>
      <c r="G217" s="160" t="str">
        <f t="shared" si="7"/>
        <v/>
      </c>
      <c r="H217" s="157"/>
    </row>
    <row r="218" spans="1:8" ht="15.75" x14ac:dyDescent="0.25">
      <c r="A218" s="155"/>
      <c r="B218" s="156"/>
      <c r="C218" s="157"/>
      <c r="D218" s="157"/>
      <c r="E218" s="158"/>
      <c r="F218" s="159" t="str">
        <f t="shared" si="6"/>
        <v/>
      </c>
      <c r="G218" s="160" t="str">
        <f t="shared" si="7"/>
        <v/>
      </c>
      <c r="H218" s="157"/>
    </row>
    <row r="219" spans="1:8" ht="15.75" x14ac:dyDescent="0.25">
      <c r="A219" s="155"/>
      <c r="B219" s="156"/>
      <c r="C219" s="157"/>
      <c r="D219" s="157"/>
      <c r="E219" s="158"/>
      <c r="F219" s="159" t="str">
        <f t="shared" si="6"/>
        <v/>
      </c>
      <c r="G219" s="160" t="str">
        <f t="shared" si="7"/>
        <v/>
      </c>
      <c r="H219" s="157"/>
    </row>
    <row r="220" spans="1:8" ht="15.75" x14ac:dyDescent="0.25">
      <c r="A220" s="155"/>
      <c r="B220" s="156"/>
      <c r="C220" s="157"/>
      <c r="D220" s="157"/>
      <c r="E220" s="158"/>
      <c r="F220" s="159" t="str">
        <f t="shared" si="6"/>
        <v/>
      </c>
      <c r="G220" s="160" t="str">
        <f t="shared" si="7"/>
        <v/>
      </c>
      <c r="H220" s="157"/>
    </row>
    <row r="221" spans="1:8" ht="15.75" x14ac:dyDescent="0.25">
      <c r="A221" s="155"/>
      <c r="B221" s="156"/>
      <c r="C221" s="157"/>
      <c r="D221" s="157"/>
      <c r="E221" s="158"/>
      <c r="F221" s="159" t="str">
        <f t="shared" si="6"/>
        <v/>
      </c>
      <c r="G221" s="160" t="str">
        <f t="shared" si="7"/>
        <v/>
      </c>
      <c r="H221" s="157"/>
    </row>
    <row r="222" spans="1:8" ht="15.75" x14ac:dyDescent="0.25">
      <c r="A222" s="155"/>
      <c r="B222" s="156"/>
      <c r="C222" s="157"/>
      <c r="D222" s="157"/>
      <c r="E222" s="158"/>
      <c r="F222" s="159" t="str">
        <f t="shared" si="6"/>
        <v/>
      </c>
      <c r="G222" s="160" t="str">
        <f t="shared" si="7"/>
        <v/>
      </c>
      <c r="H222" s="157"/>
    </row>
    <row r="223" spans="1:8" ht="15.75" x14ac:dyDescent="0.25">
      <c r="A223" s="155"/>
      <c r="B223" s="156"/>
      <c r="C223" s="157"/>
      <c r="D223" s="157"/>
      <c r="E223" s="158"/>
      <c r="F223" s="159" t="str">
        <f t="shared" si="6"/>
        <v/>
      </c>
      <c r="G223" s="160" t="str">
        <f t="shared" si="7"/>
        <v/>
      </c>
      <c r="H223" s="157"/>
    </row>
    <row r="224" spans="1:8" ht="15.75" x14ac:dyDescent="0.25">
      <c r="A224" s="155"/>
      <c r="B224" s="156"/>
      <c r="C224" s="157"/>
      <c r="D224" s="157"/>
      <c r="E224" s="158"/>
      <c r="F224" s="159" t="str">
        <f t="shared" si="6"/>
        <v/>
      </c>
      <c r="G224" s="160" t="str">
        <f t="shared" si="7"/>
        <v/>
      </c>
      <c r="H224" s="157"/>
    </row>
    <row r="225" spans="1:8" ht="15.75" x14ac:dyDescent="0.25">
      <c r="A225" s="155"/>
      <c r="B225" s="156"/>
      <c r="C225" s="157"/>
      <c r="D225" s="157"/>
      <c r="E225" s="158"/>
      <c r="F225" s="159" t="str">
        <f t="shared" si="6"/>
        <v/>
      </c>
      <c r="G225" s="160" t="str">
        <f t="shared" si="7"/>
        <v/>
      </c>
      <c r="H225" s="157"/>
    </row>
    <row r="226" spans="1:8" ht="15.75" x14ac:dyDescent="0.25">
      <c r="A226" s="155"/>
      <c r="B226" s="156"/>
      <c r="C226" s="157"/>
      <c r="D226" s="157"/>
      <c r="E226" s="158"/>
      <c r="F226" s="159" t="str">
        <f t="shared" si="6"/>
        <v/>
      </c>
      <c r="G226" s="160" t="str">
        <f t="shared" si="7"/>
        <v/>
      </c>
      <c r="H226" s="157"/>
    </row>
    <row r="227" spans="1:8" ht="15.75" x14ac:dyDescent="0.25">
      <c r="A227" s="155"/>
      <c r="B227" s="156"/>
      <c r="C227" s="157"/>
      <c r="D227" s="157"/>
      <c r="E227" s="158"/>
      <c r="F227" s="159" t="str">
        <f t="shared" si="6"/>
        <v/>
      </c>
      <c r="G227" s="160" t="str">
        <f t="shared" si="7"/>
        <v/>
      </c>
      <c r="H227" s="157"/>
    </row>
    <row r="228" spans="1:8" ht="15.75" x14ac:dyDescent="0.25">
      <c r="A228" s="155"/>
      <c r="B228" s="156"/>
      <c r="C228" s="157"/>
      <c r="D228" s="157"/>
      <c r="E228" s="158"/>
      <c r="F228" s="159" t="str">
        <f t="shared" si="6"/>
        <v/>
      </c>
      <c r="G228" s="160" t="str">
        <f t="shared" si="7"/>
        <v/>
      </c>
      <c r="H228" s="157"/>
    </row>
    <row r="229" spans="1:8" ht="15.75" x14ac:dyDescent="0.25">
      <c r="A229" s="155"/>
      <c r="B229" s="156"/>
      <c r="C229" s="157"/>
      <c r="D229" s="157"/>
      <c r="E229" s="158"/>
      <c r="F229" s="159" t="str">
        <f t="shared" si="6"/>
        <v/>
      </c>
      <c r="G229" s="160" t="str">
        <f t="shared" si="7"/>
        <v/>
      </c>
      <c r="H229" s="157"/>
    </row>
    <row r="230" spans="1:8" ht="15.75" x14ac:dyDescent="0.25">
      <c r="A230" s="155"/>
      <c r="B230" s="156"/>
      <c r="C230" s="157"/>
      <c r="D230" s="157"/>
      <c r="E230" s="158"/>
      <c r="F230" s="159" t="str">
        <f t="shared" si="6"/>
        <v/>
      </c>
      <c r="G230" s="160" t="str">
        <f t="shared" si="7"/>
        <v/>
      </c>
      <c r="H230" s="157"/>
    </row>
    <row r="231" spans="1:8" ht="15.75" x14ac:dyDescent="0.25">
      <c r="A231" s="155"/>
      <c r="B231" s="156"/>
      <c r="C231" s="157"/>
      <c r="D231" s="157"/>
      <c r="E231" s="158"/>
      <c r="F231" s="159" t="str">
        <f t="shared" si="6"/>
        <v/>
      </c>
      <c r="G231" s="160" t="str">
        <f t="shared" si="7"/>
        <v/>
      </c>
      <c r="H231" s="157"/>
    </row>
    <row r="232" spans="1:8" ht="15.75" x14ac:dyDescent="0.25">
      <c r="A232" s="155"/>
      <c r="B232" s="156"/>
      <c r="C232" s="157"/>
      <c r="D232" s="157"/>
      <c r="E232" s="158"/>
      <c r="F232" s="159" t="str">
        <f t="shared" si="6"/>
        <v/>
      </c>
      <c r="G232" s="160" t="str">
        <f t="shared" si="7"/>
        <v/>
      </c>
      <c r="H232" s="157"/>
    </row>
    <row r="233" spans="1:8" ht="15.75" x14ac:dyDescent="0.25">
      <c r="A233" s="155"/>
      <c r="B233" s="156"/>
      <c r="C233" s="157"/>
      <c r="D233" s="157"/>
      <c r="E233" s="158"/>
      <c r="F233" s="159" t="str">
        <f t="shared" si="6"/>
        <v/>
      </c>
      <c r="G233" s="160" t="str">
        <f t="shared" si="7"/>
        <v/>
      </c>
      <c r="H233" s="157"/>
    </row>
    <row r="234" spans="1:8" ht="15.75" x14ac:dyDescent="0.25">
      <c r="A234" s="155"/>
      <c r="B234" s="156"/>
      <c r="C234" s="157"/>
      <c r="D234" s="157"/>
      <c r="E234" s="158"/>
      <c r="F234" s="159" t="str">
        <f t="shared" si="6"/>
        <v/>
      </c>
      <c r="G234" s="160" t="str">
        <f t="shared" si="7"/>
        <v/>
      </c>
      <c r="H234" s="157"/>
    </row>
    <row r="235" spans="1:8" ht="15.75" x14ac:dyDescent="0.25">
      <c r="A235" s="155"/>
      <c r="B235" s="156"/>
      <c r="C235" s="157"/>
      <c r="D235" s="157"/>
      <c r="E235" s="158"/>
      <c r="F235" s="159" t="str">
        <f t="shared" si="6"/>
        <v/>
      </c>
      <c r="G235" s="160" t="str">
        <f t="shared" si="7"/>
        <v/>
      </c>
      <c r="H235" s="157"/>
    </row>
    <row r="236" spans="1:8" ht="15.75" x14ac:dyDescent="0.25">
      <c r="A236" s="155"/>
      <c r="B236" s="156"/>
      <c r="C236" s="157"/>
      <c r="D236" s="157"/>
      <c r="E236" s="158"/>
      <c r="F236" s="159" t="str">
        <f t="shared" si="6"/>
        <v/>
      </c>
      <c r="G236" s="160" t="str">
        <f t="shared" si="7"/>
        <v/>
      </c>
      <c r="H236" s="157"/>
    </row>
    <row r="237" spans="1:8" ht="15.75" x14ac:dyDescent="0.25">
      <c r="A237" s="155"/>
      <c r="B237" s="156"/>
      <c r="C237" s="157"/>
      <c r="D237" s="157"/>
      <c r="E237" s="158"/>
      <c r="F237" s="159" t="str">
        <f t="shared" si="6"/>
        <v/>
      </c>
      <c r="G237" s="160" t="str">
        <f t="shared" si="7"/>
        <v/>
      </c>
      <c r="H237" s="157"/>
    </row>
    <row r="238" spans="1:8" ht="15.75" x14ac:dyDescent="0.25">
      <c r="A238" s="155"/>
      <c r="B238" s="156"/>
      <c r="C238" s="157"/>
      <c r="D238" s="157"/>
      <c r="E238" s="158"/>
      <c r="F238" s="159" t="str">
        <f t="shared" si="6"/>
        <v/>
      </c>
      <c r="G238" s="160" t="str">
        <f t="shared" si="7"/>
        <v/>
      </c>
      <c r="H238" s="157"/>
    </row>
    <row r="239" spans="1:8" ht="15.75" x14ac:dyDescent="0.25">
      <c r="A239" s="155"/>
      <c r="B239" s="156"/>
      <c r="C239" s="157"/>
      <c r="D239" s="157"/>
      <c r="E239" s="158"/>
      <c r="F239" s="159" t="str">
        <f t="shared" si="6"/>
        <v/>
      </c>
      <c r="G239" s="160" t="str">
        <f t="shared" si="7"/>
        <v/>
      </c>
      <c r="H239" s="157"/>
    </row>
    <row r="240" spans="1:8" ht="15.75" x14ac:dyDescent="0.25">
      <c r="A240" s="155"/>
      <c r="B240" s="156"/>
      <c r="C240" s="157"/>
      <c r="D240" s="157"/>
      <c r="E240" s="158"/>
      <c r="F240" s="159" t="str">
        <f t="shared" si="6"/>
        <v/>
      </c>
      <c r="G240" s="160" t="str">
        <f t="shared" si="7"/>
        <v/>
      </c>
      <c r="H240" s="157"/>
    </row>
    <row r="241" spans="1:8" ht="15.75" x14ac:dyDescent="0.25">
      <c r="A241" s="155"/>
      <c r="B241" s="156"/>
      <c r="C241" s="157"/>
      <c r="D241" s="157"/>
      <c r="E241" s="158"/>
      <c r="F241" s="159" t="str">
        <f t="shared" si="6"/>
        <v/>
      </c>
      <c r="G241" s="160" t="str">
        <f t="shared" si="7"/>
        <v/>
      </c>
      <c r="H241" s="157"/>
    </row>
    <row r="242" spans="1:8" ht="15.75" x14ac:dyDescent="0.25">
      <c r="A242" s="155"/>
      <c r="B242" s="156"/>
      <c r="C242" s="157"/>
      <c r="D242" s="157"/>
      <c r="E242" s="158"/>
      <c r="F242" s="159" t="str">
        <f t="shared" si="6"/>
        <v/>
      </c>
      <c r="G242" s="160" t="str">
        <f t="shared" si="7"/>
        <v/>
      </c>
      <c r="H242" s="157"/>
    </row>
    <row r="243" spans="1:8" ht="15.75" x14ac:dyDescent="0.25">
      <c r="A243" s="155"/>
      <c r="B243" s="156"/>
      <c r="C243" s="157"/>
      <c r="D243" s="157"/>
      <c r="E243" s="158"/>
      <c r="F243" s="159" t="str">
        <f t="shared" si="6"/>
        <v/>
      </c>
      <c r="G243" s="160" t="str">
        <f t="shared" si="7"/>
        <v/>
      </c>
      <c r="H243" s="157"/>
    </row>
    <row r="244" spans="1:8" ht="15.75" x14ac:dyDescent="0.25">
      <c r="A244" s="155"/>
      <c r="B244" s="156"/>
      <c r="C244" s="157"/>
      <c r="D244" s="157"/>
      <c r="E244" s="158"/>
      <c r="F244" s="159" t="str">
        <f t="shared" si="6"/>
        <v/>
      </c>
      <c r="G244" s="160" t="str">
        <f t="shared" si="7"/>
        <v/>
      </c>
      <c r="H244" s="157"/>
    </row>
    <row r="245" spans="1:8" ht="15.75" x14ac:dyDescent="0.25">
      <c r="A245" s="155"/>
      <c r="B245" s="156"/>
      <c r="C245" s="157"/>
      <c r="D245" s="157"/>
      <c r="E245" s="158"/>
      <c r="F245" s="159" t="str">
        <f t="shared" si="6"/>
        <v/>
      </c>
      <c r="G245" s="160" t="str">
        <f t="shared" si="7"/>
        <v/>
      </c>
      <c r="H245" s="157"/>
    </row>
    <row r="246" spans="1:8" ht="15.75" x14ac:dyDescent="0.25">
      <c r="A246" s="155"/>
      <c r="B246" s="156"/>
      <c r="C246" s="157"/>
      <c r="D246" s="157"/>
      <c r="E246" s="158"/>
      <c r="F246" s="159" t="str">
        <f t="shared" si="6"/>
        <v/>
      </c>
      <c r="G246" s="160" t="str">
        <f t="shared" si="7"/>
        <v/>
      </c>
      <c r="H246" s="157"/>
    </row>
    <row r="247" spans="1:8" ht="15.75" x14ac:dyDescent="0.25">
      <c r="A247" s="155"/>
      <c r="B247" s="156"/>
      <c r="C247" s="157"/>
      <c r="D247" s="157"/>
      <c r="E247" s="158"/>
      <c r="F247" s="159" t="str">
        <f t="shared" si="6"/>
        <v/>
      </c>
      <c r="G247" s="160" t="str">
        <f t="shared" si="7"/>
        <v/>
      </c>
      <c r="H247" s="157"/>
    </row>
    <row r="248" spans="1:8" ht="15.75" x14ac:dyDescent="0.25">
      <c r="A248" s="155"/>
      <c r="B248" s="156"/>
      <c r="C248" s="157"/>
      <c r="D248" s="157"/>
      <c r="E248" s="158"/>
      <c r="F248" s="159" t="str">
        <f t="shared" si="6"/>
        <v/>
      </c>
      <c r="G248" s="160" t="str">
        <f t="shared" si="7"/>
        <v/>
      </c>
      <c r="H248" s="157"/>
    </row>
    <row r="249" spans="1:8" ht="15.75" x14ac:dyDescent="0.25">
      <c r="A249" s="155"/>
      <c r="B249" s="156"/>
      <c r="C249" s="157"/>
      <c r="D249" s="157"/>
      <c r="E249" s="158"/>
      <c r="F249" s="159" t="str">
        <f t="shared" si="6"/>
        <v/>
      </c>
      <c r="G249" s="160" t="str">
        <f t="shared" si="7"/>
        <v/>
      </c>
      <c r="H249" s="157"/>
    </row>
    <row r="250" spans="1:8" ht="15.75" x14ac:dyDescent="0.25">
      <c r="A250" s="155"/>
      <c r="B250" s="156"/>
      <c r="C250" s="157"/>
      <c r="D250" s="157"/>
      <c r="E250" s="158"/>
      <c r="F250" s="159" t="str">
        <f t="shared" si="6"/>
        <v/>
      </c>
      <c r="G250" s="160" t="str">
        <f t="shared" si="7"/>
        <v/>
      </c>
      <c r="H250" s="157"/>
    </row>
    <row r="251" spans="1:8" ht="15.75" x14ac:dyDescent="0.25">
      <c r="A251" s="155"/>
      <c r="B251" s="156"/>
      <c r="C251" s="157"/>
      <c r="D251" s="157"/>
      <c r="E251" s="158"/>
      <c r="F251" s="159" t="str">
        <f t="shared" si="6"/>
        <v/>
      </c>
      <c r="G251" s="160" t="str">
        <f t="shared" si="7"/>
        <v/>
      </c>
      <c r="H251" s="157"/>
    </row>
    <row r="252" spans="1:8" ht="15.75" x14ac:dyDescent="0.25">
      <c r="A252" s="155"/>
      <c r="B252" s="156"/>
      <c r="C252" s="157"/>
      <c r="D252" s="157"/>
      <c r="E252" s="158"/>
      <c r="F252" s="159" t="str">
        <f t="shared" si="6"/>
        <v/>
      </c>
      <c r="G252" s="160" t="str">
        <f t="shared" si="7"/>
        <v/>
      </c>
      <c r="H252" s="157"/>
    </row>
    <row r="253" spans="1:8" ht="15.75" x14ac:dyDescent="0.25">
      <c r="A253" s="155"/>
      <c r="B253" s="156"/>
      <c r="C253" s="157"/>
      <c r="D253" s="157"/>
      <c r="E253" s="158"/>
      <c r="F253" s="159" t="str">
        <f t="shared" si="6"/>
        <v/>
      </c>
      <c r="G253" s="160" t="str">
        <f t="shared" si="7"/>
        <v/>
      </c>
      <c r="H253" s="157"/>
    </row>
    <row r="254" spans="1:8" ht="15.75" x14ac:dyDescent="0.25">
      <c r="A254" s="155"/>
      <c r="B254" s="156"/>
      <c r="C254" s="157"/>
      <c r="D254" s="157"/>
      <c r="E254" s="158"/>
      <c r="F254" s="159" t="str">
        <f t="shared" si="6"/>
        <v/>
      </c>
      <c r="G254" s="160" t="str">
        <f t="shared" si="7"/>
        <v/>
      </c>
      <c r="H254" s="157"/>
    </row>
    <row r="255" spans="1:8" ht="15.75" x14ac:dyDescent="0.25">
      <c r="A255" s="155"/>
      <c r="B255" s="156"/>
      <c r="C255" s="157"/>
      <c r="D255" s="157"/>
      <c r="E255" s="158"/>
      <c r="F255" s="159" t="str">
        <f t="shared" si="6"/>
        <v/>
      </c>
      <c r="G255" s="160" t="str">
        <f t="shared" si="7"/>
        <v/>
      </c>
      <c r="H255" s="157"/>
    </row>
    <row r="256" spans="1:8" ht="15.75" x14ac:dyDescent="0.25">
      <c r="A256" s="155"/>
      <c r="B256" s="156"/>
      <c r="C256" s="157"/>
      <c r="D256" s="157"/>
      <c r="E256" s="158"/>
      <c r="F256" s="159" t="str">
        <f t="shared" si="6"/>
        <v/>
      </c>
      <c r="G256" s="160" t="str">
        <f t="shared" si="7"/>
        <v/>
      </c>
      <c r="H256" s="157"/>
    </row>
    <row r="257" spans="1:8" ht="15.75" x14ac:dyDescent="0.25">
      <c r="A257" s="155"/>
      <c r="B257" s="156"/>
      <c r="C257" s="157"/>
      <c r="D257" s="157"/>
      <c r="E257" s="158"/>
      <c r="F257" s="159" t="str">
        <f t="shared" si="6"/>
        <v/>
      </c>
      <c r="G257" s="160" t="str">
        <f t="shared" si="7"/>
        <v/>
      </c>
      <c r="H257" s="157"/>
    </row>
    <row r="258" spans="1:8" ht="15.75" x14ac:dyDescent="0.25">
      <c r="A258" s="155"/>
      <c r="B258" s="156"/>
      <c r="C258" s="157"/>
      <c r="D258" s="157"/>
      <c r="E258" s="158"/>
      <c r="F258" s="159" t="str">
        <f t="shared" si="6"/>
        <v/>
      </c>
      <c r="G258" s="160" t="str">
        <f t="shared" si="7"/>
        <v/>
      </c>
      <c r="H258" s="157"/>
    </row>
    <row r="259" spans="1:8" ht="15.75" x14ac:dyDescent="0.25">
      <c r="A259" s="155"/>
      <c r="B259" s="156"/>
      <c r="C259" s="157"/>
      <c r="D259" s="157"/>
      <c r="E259" s="158"/>
      <c r="F259" s="159" t="str">
        <f t="shared" si="6"/>
        <v/>
      </c>
      <c r="G259" s="160" t="str">
        <f t="shared" si="7"/>
        <v/>
      </c>
      <c r="H259" s="157"/>
    </row>
    <row r="260" spans="1:8" ht="15.75" x14ac:dyDescent="0.25">
      <c r="A260" s="155"/>
      <c r="B260" s="156"/>
      <c r="C260" s="157"/>
      <c r="D260" s="157"/>
      <c r="E260" s="158"/>
      <c r="F260" s="159" t="str">
        <f t="shared" si="6"/>
        <v/>
      </c>
      <c r="G260" s="160" t="str">
        <f t="shared" si="7"/>
        <v/>
      </c>
      <c r="H260" s="157"/>
    </row>
    <row r="261" spans="1:8" ht="15.75" x14ac:dyDescent="0.25">
      <c r="A261" s="155"/>
      <c r="B261" s="156"/>
      <c r="C261" s="157"/>
      <c r="D261" s="157"/>
      <c r="E261" s="158"/>
      <c r="F261" s="159" t="str">
        <f t="shared" si="6"/>
        <v/>
      </c>
      <c r="G261" s="160" t="str">
        <f t="shared" si="7"/>
        <v/>
      </c>
      <c r="H261" s="157"/>
    </row>
    <row r="262" spans="1:8" ht="15.75" x14ac:dyDescent="0.25">
      <c r="A262" s="155"/>
      <c r="B262" s="156"/>
      <c r="C262" s="157"/>
      <c r="D262" s="157"/>
      <c r="E262" s="158"/>
      <c r="F262" s="159" t="str">
        <f t="shared" si="6"/>
        <v/>
      </c>
      <c r="G262" s="160" t="str">
        <f t="shared" si="7"/>
        <v/>
      </c>
      <c r="H262" s="157"/>
    </row>
    <row r="263" spans="1:8" ht="15.75" x14ac:dyDescent="0.25">
      <c r="A263" s="155"/>
      <c r="B263" s="156"/>
      <c r="C263" s="157"/>
      <c r="D263" s="157"/>
      <c r="E263" s="158"/>
      <c r="F263" s="159" t="str">
        <f t="shared" si="6"/>
        <v/>
      </c>
      <c r="G263" s="160" t="str">
        <f t="shared" si="7"/>
        <v/>
      </c>
      <c r="H263" s="157"/>
    </row>
    <row r="264" spans="1:8" ht="15.75" x14ac:dyDescent="0.25">
      <c r="A264" s="155"/>
      <c r="B264" s="156"/>
      <c r="C264" s="157"/>
      <c r="D264" s="157"/>
      <c r="E264" s="158"/>
      <c r="F264" s="159" t="str">
        <f t="shared" si="6"/>
        <v/>
      </c>
      <c r="G264" s="160" t="str">
        <f t="shared" si="7"/>
        <v/>
      </c>
      <c r="H264" s="157"/>
    </row>
    <row r="265" spans="1:8" ht="15.75" x14ac:dyDescent="0.25">
      <c r="A265" s="155"/>
      <c r="B265" s="156"/>
      <c r="C265" s="157"/>
      <c r="D265" s="157"/>
      <c r="E265" s="158"/>
      <c r="F265" s="159" t="str">
        <f t="shared" si="6"/>
        <v/>
      </c>
      <c r="G265" s="160" t="str">
        <f t="shared" si="7"/>
        <v/>
      </c>
      <c r="H265" s="157"/>
    </row>
    <row r="266" spans="1:8" ht="15.75" x14ac:dyDescent="0.25">
      <c r="A266" s="155"/>
      <c r="B266" s="156"/>
      <c r="C266" s="157"/>
      <c r="D266" s="157"/>
      <c r="E266" s="158"/>
      <c r="F266" s="159" t="str">
        <f t="shared" si="6"/>
        <v/>
      </c>
      <c r="G266" s="160" t="str">
        <f t="shared" si="7"/>
        <v/>
      </c>
      <c r="H266" s="157"/>
    </row>
    <row r="267" spans="1:8" ht="15.75" x14ac:dyDescent="0.25">
      <c r="A267" s="155"/>
      <c r="B267" s="156"/>
      <c r="C267" s="157"/>
      <c r="D267" s="157"/>
      <c r="E267" s="158"/>
      <c r="F267" s="159" t="str">
        <f t="shared" si="6"/>
        <v/>
      </c>
      <c r="G267" s="160" t="str">
        <f t="shared" si="7"/>
        <v/>
      </c>
      <c r="H267" s="157"/>
    </row>
    <row r="268" spans="1:8" ht="15.75" x14ac:dyDescent="0.25">
      <c r="A268" s="155"/>
      <c r="B268" s="156"/>
      <c r="C268" s="157"/>
      <c r="D268" s="157"/>
      <c r="E268" s="158"/>
      <c r="F268" s="159" t="str">
        <f t="shared" si="6"/>
        <v/>
      </c>
      <c r="G268" s="160" t="str">
        <f t="shared" si="7"/>
        <v/>
      </c>
      <c r="H268" s="157"/>
    </row>
    <row r="269" spans="1:8" ht="15.75" x14ac:dyDescent="0.25">
      <c r="A269" s="155"/>
      <c r="B269" s="156"/>
      <c r="C269" s="157"/>
      <c r="D269" s="157"/>
      <c r="E269" s="158"/>
      <c r="F269" s="159" t="str">
        <f t="shared" si="6"/>
        <v/>
      </c>
      <c r="G269" s="160" t="str">
        <f t="shared" si="7"/>
        <v/>
      </c>
      <c r="H269" s="157"/>
    </row>
    <row r="270" spans="1:8" ht="15.75" x14ac:dyDescent="0.25">
      <c r="A270" s="155"/>
      <c r="B270" s="156"/>
      <c r="C270" s="157"/>
      <c r="D270" s="157"/>
      <c r="E270" s="158"/>
      <c r="F270" s="159" t="str">
        <f t="shared" si="6"/>
        <v/>
      </c>
      <c r="G270" s="160" t="str">
        <f t="shared" si="7"/>
        <v/>
      </c>
      <c r="H270" s="157"/>
    </row>
    <row r="271" spans="1:8" ht="15.75" x14ac:dyDescent="0.25">
      <c r="A271" s="155"/>
      <c r="B271" s="156"/>
      <c r="C271" s="157"/>
      <c r="D271" s="157"/>
      <c r="E271" s="158"/>
      <c r="F271" s="159" t="str">
        <f t="shared" si="6"/>
        <v/>
      </c>
      <c r="G271" s="160" t="str">
        <f t="shared" si="7"/>
        <v/>
      </c>
      <c r="H271" s="157"/>
    </row>
    <row r="272" spans="1:8" ht="15.75" x14ac:dyDescent="0.25">
      <c r="A272" s="155"/>
      <c r="B272" s="156"/>
      <c r="C272" s="157"/>
      <c r="D272" s="157"/>
      <c r="E272" s="158"/>
      <c r="F272" s="159" t="str">
        <f t="shared" ref="F272:F335" si="8">IF(E272="","",E272*$F$3)</f>
        <v/>
      </c>
      <c r="G272" s="160" t="str">
        <f t="shared" ref="G272:G335" si="9">IF(AND(ISNUMBER(A272),E272&lt;&gt;""),IF(YEAR(A272)*100+MONTH(A272)=$G$3,"✓",""),"")</f>
        <v/>
      </c>
      <c r="H272" s="157"/>
    </row>
    <row r="273" spans="1:8" ht="15.75" x14ac:dyDescent="0.25">
      <c r="A273" s="155"/>
      <c r="B273" s="156"/>
      <c r="C273" s="157"/>
      <c r="D273" s="157"/>
      <c r="E273" s="158"/>
      <c r="F273" s="159" t="str">
        <f t="shared" si="8"/>
        <v/>
      </c>
      <c r="G273" s="160" t="str">
        <f t="shared" si="9"/>
        <v/>
      </c>
      <c r="H273" s="157"/>
    </row>
    <row r="274" spans="1:8" ht="15.75" x14ac:dyDescent="0.25">
      <c r="A274" s="155"/>
      <c r="B274" s="156"/>
      <c r="C274" s="157"/>
      <c r="D274" s="157"/>
      <c r="E274" s="158"/>
      <c r="F274" s="159" t="str">
        <f t="shared" si="8"/>
        <v/>
      </c>
      <c r="G274" s="160" t="str">
        <f t="shared" si="9"/>
        <v/>
      </c>
      <c r="H274" s="157"/>
    </row>
    <row r="275" spans="1:8" ht="15.75" x14ac:dyDescent="0.25">
      <c r="A275" s="155"/>
      <c r="B275" s="156"/>
      <c r="C275" s="157"/>
      <c r="D275" s="157"/>
      <c r="E275" s="158"/>
      <c r="F275" s="159" t="str">
        <f t="shared" si="8"/>
        <v/>
      </c>
      <c r="G275" s="160" t="str">
        <f t="shared" si="9"/>
        <v/>
      </c>
      <c r="H275" s="157"/>
    </row>
    <row r="276" spans="1:8" ht="15.75" x14ac:dyDescent="0.25">
      <c r="A276" s="155"/>
      <c r="B276" s="156"/>
      <c r="C276" s="157"/>
      <c r="D276" s="157"/>
      <c r="E276" s="158"/>
      <c r="F276" s="159" t="str">
        <f t="shared" si="8"/>
        <v/>
      </c>
      <c r="G276" s="160" t="str">
        <f t="shared" si="9"/>
        <v/>
      </c>
      <c r="H276" s="157"/>
    </row>
    <row r="277" spans="1:8" ht="15.75" x14ac:dyDescent="0.25">
      <c r="A277" s="155"/>
      <c r="B277" s="156"/>
      <c r="C277" s="157"/>
      <c r="D277" s="157"/>
      <c r="E277" s="158"/>
      <c r="F277" s="159" t="str">
        <f t="shared" si="8"/>
        <v/>
      </c>
      <c r="G277" s="160" t="str">
        <f t="shared" si="9"/>
        <v/>
      </c>
      <c r="H277" s="157"/>
    </row>
    <row r="278" spans="1:8" ht="15.75" x14ac:dyDescent="0.25">
      <c r="A278" s="155"/>
      <c r="B278" s="156"/>
      <c r="C278" s="157"/>
      <c r="D278" s="157"/>
      <c r="E278" s="158"/>
      <c r="F278" s="159" t="str">
        <f t="shared" si="8"/>
        <v/>
      </c>
      <c r="G278" s="160" t="str">
        <f t="shared" si="9"/>
        <v/>
      </c>
      <c r="H278" s="157"/>
    </row>
    <row r="279" spans="1:8" ht="15.75" x14ac:dyDescent="0.25">
      <c r="A279" s="155"/>
      <c r="B279" s="156"/>
      <c r="C279" s="157"/>
      <c r="D279" s="157"/>
      <c r="E279" s="158"/>
      <c r="F279" s="159" t="str">
        <f t="shared" si="8"/>
        <v/>
      </c>
      <c r="G279" s="160" t="str">
        <f t="shared" si="9"/>
        <v/>
      </c>
      <c r="H279" s="157"/>
    </row>
    <row r="280" spans="1:8" ht="15.75" x14ac:dyDescent="0.25">
      <c r="A280" s="155"/>
      <c r="B280" s="156"/>
      <c r="C280" s="157"/>
      <c r="D280" s="157"/>
      <c r="E280" s="158"/>
      <c r="F280" s="159" t="str">
        <f t="shared" si="8"/>
        <v/>
      </c>
      <c r="G280" s="160" t="str">
        <f t="shared" si="9"/>
        <v/>
      </c>
      <c r="H280" s="157"/>
    </row>
    <row r="281" spans="1:8" ht="15.75" x14ac:dyDescent="0.25">
      <c r="A281" s="155"/>
      <c r="B281" s="156"/>
      <c r="C281" s="157"/>
      <c r="D281" s="157"/>
      <c r="E281" s="158"/>
      <c r="F281" s="159" t="str">
        <f t="shared" si="8"/>
        <v/>
      </c>
      <c r="G281" s="160" t="str">
        <f t="shared" si="9"/>
        <v/>
      </c>
      <c r="H281" s="157"/>
    </row>
    <row r="282" spans="1:8" ht="15.75" x14ac:dyDescent="0.25">
      <c r="A282" s="155"/>
      <c r="B282" s="156"/>
      <c r="C282" s="157"/>
      <c r="D282" s="157"/>
      <c r="E282" s="158"/>
      <c r="F282" s="159" t="str">
        <f t="shared" si="8"/>
        <v/>
      </c>
      <c r="G282" s="160" t="str">
        <f t="shared" si="9"/>
        <v/>
      </c>
      <c r="H282" s="157"/>
    </row>
    <row r="283" spans="1:8" ht="15.75" x14ac:dyDescent="0.25">
      <c r="A283" s="155"/>
      <c r="B283" s="156"/>
      <c r="C283" s="157"/>
      <c r="D283" s="157"/>
      <c r="E283" s="158"/>
      <c r="F283" s="159" t="str">
        <f t="shared" si="8"/>
        <v/>
      </c>
      <c r="G283" s="160" t="str">
        <f t="shared" si="9"/>
        <v/>
      </c>
      <c r="H283" s="157"/>
    </row>
    <row r="284" spans="1:8" ht="15.75" x14ac:dyDescent="0.25">
      <c r="A284" s="155"/>
      <c r="B284" s="156"/>
      <c r="C284" s="157"/>
      <c r="D284" s="157"/>
      <c r="E284" s="158"/>
      <c r="F284" s="159" t="str">
        <f t="shared" si="8"/>
        <v/>
      </c>
      <c r="G284" s="160" t="str">
        <f t="shared" si="9"/>
        <v/>
      </c>
      <c r="H284" s="157"/>
    </row>
    <row r="285" spans="1:8" ht="15.75" x14ac:dyDescent="0.25">
      <c r="A285" s="155"/>
      <c r="B285" s="156"/>
      <c r="C285" s="157"/>
      <c r="D285" s="157"/>
      <c r="E285" s="158"/>
      <c r="F285" s="159" t="str">
        <f t="shared" si="8"/>
        <v/>
      </c>
      <c r="G285" s="160" t="str">
        <f t="shared" si="9"/>
        <v/>
      </c>
      <c r="H285" s="157"/>
    </row>
    <row r="286" spans="1:8" ht="15.75" x14ac:dyDescent="0.25">
      <c r="A286" s="155"/>
      <c r="B286" s="156"/>
      <c r="C286" s="157"/>
      <c r="D286" s="157"/>
      <c r="E286" s="158"/>
      <c r="F286" s="159" t="str">
        <f t="shared" si="8"/>
        <v/>
      </c>
      <c r="G286" s="160" t="str">
        <f t="shared" si="9"/>
        <v/>
      </c>
      <c r="H286" s="157"/>
    </row>
    <row r="287" spans="1:8" ht="15.75" x14ac:dyDescent="0.25">
      <c r="A287" s="155"/>
      <c r="B287" s="156"/>
      <c r="C287" s="157"/>
      <c r="D287" s="157"/>
      <c r="E287" s="158"/>
      <c r="F287" s="159" t="str">
        <f t="shared" si="8"/>
        <v/>
      </c>
      <c r="G287" s="160" t="str">
        <f t="shared" si="9"/>
        <v/>
      </c>
      <c r="H287" s="157"/>
    </row>
    <row r="288" spans="1:8" ht="15.75" x14ac:dyDescent="0.25">
      <c r="A288" s="155"/>
      <c r="B288" s="156"/>
      <c r="C288" s="157"/>
      <c r="D288" s="157"/>
      <c r="E288" s="158"/>
      <c r="F288" s="159" t="str">
        <f t="shared" si="8"/>
        <v/>
      </c>
      <c r="G288" s="160" t="str">
        <f t="shared" si="9"/>
        <v/>
      </c>
      <c r="H288" s="157"/>
    </row>
    <row r="289" spans="1:8" ht="15.75" x14ac:dyDescent="0.25">
      <c r="A289" s="155"/>
      <c r="B289" s="156"/>
      <c r="C289" s="157"/>
      <c r="D289" s="157"/>
      <c r="E289" s="158"/>
      <c r="F289" s="159" t="str">
        <f t="shared" si="8"/>
        <v/>
      </c>
      <c r="G289" s="160" t="str">
        <f t="shared" si="9"/>
        <v/>
      </c>
      <c r="H289" s="157"/>
    </row>
    <row r="290" spans="1:8" ht="15.75" x14ac:dyDescent="0.25">
      <c r="A290" s="155"/>
      <c r="B290" s="156"/>
      <c r="C290" s="157"/>
      <c r="D290" s="157"/>
      <c r="E290" s="158"/>
      <c r="F290" s="159" t="str">
        <f t="shared" si="8"/>
        <v/>
      </c>
      <c r="G290" s="160" t="str">
        <f t="shared" si="9"/>
        <v/>
      </c>
      <c r="H290" s="157"/>
    </row>
    <row r="291" spans="1:8" ht="15.75" x14ac:dyDescent="0.25">
      <c r="A291" s="155"/>
      <c r="B291" s="156"/>
      <c r="C291" s="157"/>
      <c r="D291" s="157"/>
      <c r="E291" s="158"/>
      <c r="F291" s="159" t="str">
        <f t="shared" si="8"/>
        <v/>
      </c>
      <c r="G291" s="160" t="str">
        <f t="shared" si="9"/>
        <v/>
      </c>
      <c r="H291" s="157"/>
    </row>
    <row r="292" spans="1:8" ht="15.75" x14ac:dyDescent="0.25">
      <c r="A292" s="155"/>
      <c r="B292" s="156"/>
      <c r="C292" s="157"/>
      <c r="D292" s="157"/>
      <c r="E292" s="158"/>
      <c r="F292" s="159" t="str">
        <f t="shared" si="8"/>
        <v/>
      </c>
      <c r="G292" s="160" t="str">
        <f t="shared" si="9"/>
        <v/>
      </c>
      <c r="H292" s="157"/>
    </row>
    <row r="293" spans="1:8" ht="15.75" x14ac:dyDescent="0.25">
      <c r="A293" s="155"/>
      <c r="B293" s="156"/>
      <c r="C293" s="157"/>
      <c r="D293" s="157"/>
      <c r="E293" s="158"/>
      <c r="F293" s="159" t="str">
        <f t="shared" si="8"/>
        <v/>
      </c>
      <c r="G293" s="160" t="str">
        <f t="shared" si="9"/>
        <v/>
      </c>
      <c r="H293" s="157"/>
    </row>
    <row r="294" spans="1:8" ht="15.75" x14ac:dyDescent="0.25">
      <c r="A294" s="155"/>
      <c r="B294" s="156"/>
      <c r="C294" s="157"/>
      <c r="D294" s="157"/>
      <c r="E294" s="158"/>
      <c r="F294" s="159" t="str">
        <f t="shared" si="8"/>
        <v/>
      </c>
      <c r="G294" s="160" t="str">
        <f t="shared" si="9"/>
        <v/>
      </c>
      <c r="H294" s="157"/>
    </row>
    <row r="295" spans="1:8" ht="15.75" x14ac:dyDescent="0.25">
      <c r="A295" s="155"/>
      <c r="B295" s="156"/>
      <c r="C295" s="157"/>
      <c r="D295" s="157"/>
      <c r="E295" s="158"/>
      <c r="F295" s="159" t="str">
        <f t="shared" si="8"/>
        <v/>
      </c>
      <c r="G295" s="160" t="str">
        <f t="shared" si="9"/>
        <v/>
      </c>
      <c r="H295" s="157"/>
    </row>
    <row r="296" spans="1:8" ht="15.75" x14ac:dyDescent="0.25">
      <c r="A296" s="155"/>
      <c r="B296" s="156"/>
      <c r="C296" s="157"/>
      <c r="D296" s="157"/>
      <c r="E296" s="158"/>
      <c r="F296" s="159" t="str">
        <f t="shared" si="8"/>
        <v/>
      </c>
      <c r="G296" s="160" t="str">
        <f t="shared" si="9"/>
        <v/>
      </c>
      <c r="H296" s="157"/>
    </row>
    <row r="297" spans="1:8" ht="15.75" x14ac:dyDescent="0.25">
      <c r="A297" s="155"/>
      <c r="B297" s="156"/>
      <c r="C297" s="157"/>
      <c r="D297" s="157"/>
      <c r="E297" s="158"/>
      <c r="F297" s="159" t="str">
        <f t="shared" si="8"/>
        <v/>
      </c>
      <c r="G297" s="160" t="str">
        <f t="shared" si="9"/>
        <v/>
      </c>
      <c r="H297" s="157"/>
    </row>
    <row r="298" spans="1:8" ht="15.75" x14ac:dyDescent="0.25">
      <c r="A298" s="155"/>
      <c r="B298" s="156"/>
      <c r="C298" s="157"/>
      <c r="D298" s="157"/>
      <c r="E298" s="158"/>
      <c r="F298" s="159" t="str">
        <f t="shared" si="8"/>
        <v/>
      </c>
      <c r="G298" s="160" t="str">
        <f t="shared" si="9"/>
        <v/>
      </c>
      <c r="H298" s="157"/>
    </row>
    <row r="299" spans="1:8" ht="15.75" x14ac:dyDescent="0.25">
      <c r="A299" s="155"/>
      <c r="B299" s="156"/>
      <c r="C299" s="157"/>
      <c r="D299" s="157"/>
      <c r="E299" s="158"/>
      <c r="F299" s="159" t="str">
        <f t="shared" si="8"/>
        <v/>
      </c>
      <c r="G299" s="160" t="str">
        <f t="shared" si="9"/>
        <v/>
      </c>
      <c r="H299" s="157"/>
    </row>
    <row r="300" spans="1:8" ht="15.75" x14ac:dyDescent="0.25">
      <c r="A300" s="155"/>
      <c r="B300" s="156"/>
      <c r="C300" s="157"/>
      <c r="D300" s="157"/>
      <c r="E300" s="158"/>
      <c r="F300" s="159" t="str">
        <f t="shared" si="8"/>
        <v/>
      </c>
      <c r="G300" s="160" t="str">
        <f t="shared" si="9"/>
        <v/>
      </c>
      <c r="H300" s="157"/>
    </row>
    <row r="301" spans="1:8" ht="15.75" x14ac:dyDescent="0.25">
      <c r="A301" s="155"/>
      <c r="B301" s="156"/>
      <c r="C301" s="157"/>
      <c r="D301" s="157"/>
      <c r="E301" s="158"/>
      <c r="F301" s="159" t="str">
        <f t="shared" si="8"/>
        <v/>
      </c>
      <c r="G301" s="160" t="str">
        <f t="shared" si="9"/>
        <v/>
      </c>
      <c r="H301" s="157"/>
    </row>
    <row r="302" spans="1:8" ht="15.75" x14ac:dyDescent="0.25">
      <c r="A302" s="155"/>
      <c r="B302" s="156"/>
      <c r="C302" s="157"/>
      <c r="D302" s="157"/>
      <c r="E302" s="158"/>
      <c r="F302" s="159" t="str">
        <f t="shared" si="8"/>
        <v/>
      </c>
      <c r="G302" s="160" t="str">
        <f t="shared" si="9"/>
        <v/>
      </c>
      <c r="H302" s="157"/>
    </row>
    <row r="303" spans="1:8" ht="15.75" x14ac:dyDescent="0.25">
      <c r="A303" s="155"/>
      <c r="B303" s="156"/>
      <c r="C303" s="157"/>
      <c r="D303" s="157"/>
      <c r="E303" s="158"/>
      <c r="F303" s="159" t="str">
        <f t="shared" si="8"/>
        <v/>
      </c>
      <c r="G303" s="160" t="str">
        <f t="shared" si="9"/>
        <v/>
      </c>
      <c r="H303" s="157"/>
    </row>
    <row r="304" spans="1:8" ht="15.75" x14ac:dyDescent="0.25">
      <c r="A304" s="155"/>
      <c r="B304" s="156"/>
      <c r="C304" s="157"/>
      <c r="D304" s="157"/>
      <c r="E304" s="158"/>
      <c r="F304" s="159" t="str">
        <f t="shared" si="8"/>
        <v/>
      </c>
      <c r="G304" s="160" t="str">
        <f t="shared" si="9"/>
        <v/>
      </c>
      <c r="H304" s="157"/>
    </row>
    <row r="305" spans="1:8" ht="15.75" x14ac:dyDescent="0.25">
      <c r="A305" s="155"/>
      <c r="B305" s="156"/>
      <c r="C305" s="157"/>
      <c r="D305" s="157"/>
      <c r="E305" s="158"/>
      <c r="F305" s="159" t="str">
        <f t="shared" si="8"/>
        <v/>
      </c>
      <c r="G305" s="160" t="str">
        <f t="shared" si="9"/>
        <v/>
      </c>
      <c r="H305" s="157"/>
    </row>
    <row r="306" spans="1:8" ht="15.75" x14ac:dyDescent="0.25">
      <c r="A306" s="155"/>
      <c r="B306" s="156"/>
      <c r="C306" s="157"/>
      <c r="D306" s="157"/>
      <c r="E306" s="158"/>
      <c r="F306" s="159" t="str">
        <f t="shared" si="8"/>
        <v/>
      </c>
      <c r="G306" s="160" t="str">
        <f t="shared" si="9"/>
        <v/>
      </c>
      <c r="H306" s="157"/>
    </row>
    <row r="307" spans="1:8" ht="15.75" x14ac:dyDescent="0.25">
      <c r="A307" s="155"/>
      <c r="B307" s="156"/>
      <c r="C307" s="157"/>
      <c r="D307" s="157"/>
      <c r="E307" s="158"/>
      <c r="F307" s="159" t="str">
        <f t="shared" si="8"/>
        <v/>
      </c>
      <c r="G307" s="160" t="str">
        <f t="shared" si="9"/>
        <v/>
      </c>
      <c r="H307" s="157"/>
    </row>
    <row r="308" spans="1:8" ht="15.75" x14ac:dyDescent="0.25">
      <c r="A308" s="155"/>
      <c r="B308" s="156"/>
      <c r="C308" s="157"/>
      <c r="D308" s="157"/>
      <c r="E308" s="158"/>
      <c r="F308" s="159" t="str">
        <f t="shared" si="8"/>
        <v/>
      </c>
      <c r="G308" s="160" t="str">
        <f t="shared" si="9"/>
        <v/>
      </c>
      <c r="H308" s="157"/>
    </row>
    <row r="309" spans="1:8" ht="15.75" x14ac:dyDescent="0.25">
      <c r="A309" s="155"/>
      <c r="B309" s="156"/>
      <c r="C309" s="157"/>
      <c r="D309" s="157"/>
      <c r="E309" s="158"/>
      <c r="F309" s="159" t="str">
        <f t="shared" si="8"/>
        <v/>
      </c>
      <c r="G309" s="160" t="str">
        <f t="shared" si="9"/>
        <v/>
      </c>
      <c r="H309" s="157"/>
    </row>
    <row r="310" spans="1:8" ht="15.75" x14ac:dyDescent="0.25">
      <c r="A310" s="155"/>
      <c r="B310" s="156"/>
      <c r="C310" s="157"/>
      <c r="D310" s="157"/>
      <c r="E310" s="158"/>
      <c r="F310" s="159" t="str">
        <f t="shared" si="8"/>
        <v/>
      </c>
      <c r="G310" s="160" t="str">
        <f t="shared" si="9"/>
        <v/>
      </c>
      <c r="H310" s="157"/>
    </row>
    <row r="311" spans="1:8" ht="15.75" x14ac:dyDescent="0.25">
      <c r="A311" s="155"/>
      <c r="B311" s="156"/>
      <c r="C311" s="157"/>
      <c r="D311" s="157"/>
      <c r="E311" s="158"/>
      <c r="F311" s="159" t="str">
        <f t="shared" si="8"/>
        <v/>
      </c>
      <c r="G311" s="160" t="str">
        <f t="shared" si="9"/>
        <v/>
      </c>
      <c r="H311" s="157"/>
    </row>
    <row r="312" spans="1:8" ht="15.75" x14ac:dyDescent="0.25">
      <c r="A312" s="155"/>
      <c r="B312" s="156"/>
      <c r="C312" s="157"/>
      <c r="D312" s="157"/>
      <c r="E312" s="158"/>
      <c r="F312" s="159" t="str">
        <f t="shared" si="8"/>
        <v/>
      </c>
      <c r="G312" s="160" t="str">
        <f t="shared" si="9"/>
        <v/>
      </c>
      <c r="H312" s="157"/>
    </row>
    <row r="313" spans="1:8" ht="15.75" x14ac:dyDescent="0.25">
      <c r="A313" s="155"/>
      <c r="B313" s="156"/>
      <c r="C313" s="157"/>
      <c r="D313" s="157"/>
      <c r="E313" s="158"/>
      <c r="F313" s="159" t="str">
        <f t="shared" si="8"/>
        <v/>
      </c>
      <c r="G313" s="160" t="str">
        <f t="shared" si="9"/>
        <v/>
      </c>
      <c r="H313" s="157"/>
    </row>
    <row r="314" spans="1:8" ht="15.75" x14ac:dyDescent="0.25">
      <c r="A314" s="155"/>
      <c r="B314" s="156"/>
      <c r="C314" s="157"/>
      <c r="D314" s="157"/>
      <c r="E314" s="158"/>
      <c r="F314" s="159" t="str">
        <f t="shared" si="8"/>
        <v/>
      </c>
      <c r="G314" s="160" t="str">
        <f t="shared" si="9"/>
        <v/>
      </c>
      <c r="H314" s="157"/>
    </row>
    <row r="315" spans="1:8" ht="15.75" x14ac:dyDescent="0.25">
      <c r="A315" s="155"/>
      <c r="B315" s="156"/>
      <c r="C315" s="157"/>
      <c r="D315" s="157"/>
      <c r="E315" s="158"/>
      <c r="F315" s="159" t="str">
        <f t="shared" si="8"/>
        <v/>
      </c>
      <c r="G315" s="160" t="str">
        <f t="shared" si="9"/>
        <v/>
      </c>
      <c r="H315" s="157"/>
    </row>
    <row r="316" spans="1:8" ht="15.75" x14ac:dyDescent="0.25">
      <c r="A316" s="155"/>
      <c r="B316" s="156"/>
      <c r="C316" s="157"/>
      <c r="D316" s="157"/>
      <c r="E316" s="158"/>
      <c r="F316" s="159" t="str">
        <f t="shared" si="8"/>
        <v/>
      </c>
      <c r="G316" s="160" t="str">
        <f t="shared" si="9"/>
        <v/>
      </c>
      <c r="H316" s="157"/>
    </row>
    <row r="317" spans="1:8" ht="15.75" x14ac:dyDescent="0.25">
      <c r="A317" s="155"/>
      <c r="B317" s="156"/>
      <c r="C317" s="157"/>
      <c r="D317" s="157"/>
      <c r="E317" s="158"/>
      <c r="F317" s="159" t="str">
        <f t="shared" si="8"/>
        <v/>
      </c>
      <c r="G317" s="160" t="str">
        <f t="shared" si="9"/>
        <v/>
      </c>
      <c r="H317" s="157"/>
    </row>
    <row r="318" spans="1:8" ht="15.75" x14ac:dyDescent="0.25">
      <c r="A318" s="155"/>
      <c r="B318" s="156"/>
      <c r="C318" s="157"/>
      <c r="D318" s="157"/>
      <c r="E318" s="158"/>
      <c r="F318" s="159" t="str">
        <f t="shared" si="8"/>
        <v/>
      </c>
      <c r="G318" s="160" t="str">
        <f t="shared" si="9"/>
        <v/>
      </c>
      <c r="H318" s="157"/>
    </row>
    <row r="319" spans="1:8" ht="15.75" x14ac:dyDescent="0.25">
      <c r="A319" s="155"/>
      <c r="B319" s="156"/>
      <c r="C319" s="157"/>
      <c r="D319" s="157"/>
      <c r="E319" s="158"/>
      <c r="F319" s="159" t="str">
        <f t="shared" si="8"/>
        <v/>
      </c>
      <c r="G319" s="160" t="str">
        <f t="shared" si="9"/>
        <v/>
      </c>
      <c r="H319" s="157"/>
    </row>
    <row r="320" spans="1:8" ht="15.75" x14ac:dyDescent="0.25">
      <c r="A320" s="155"/>
      <c r="B320" s="156"/>
      <c r="C320" s="157"/>
      <c r="D320" s="157"/>
      <c r="E320" s="158"/>
      <c r="F320" s="159" t="str">
        <f t="shared" si="8"/>
        <v/>
      </c>
      <c r="G320" s="160" t="str">
        <f t="shared" si="9"/>
        <v/>
      </c>
      <c r="H320" s="157"/>
    </row>
    <row r="321" spans="1:8" ht="15.75" x14ac:dyDescent="0.25">
      <c r="A321" s="155"/>
      <c r="B321" s="156"/>
      <c r="C321" s="157"/>
      <c r="D321" s="157"/>
      <c r="E321" s="158"/>
      <c r="F321" s="159" t="str">
        <f t="shared" si="8"/>
        <v/>
      </c>
      <c r="G321" s="160" t="str">
        <f t="shared" si="9"/>
        <v/>
      </c>
      <c r="H321" s="157"/>
    </row>
    <row r="322" spans="1:8" ht="15.75" x14ac:dyDescent="0.25">
      <c r="A322" s="155"/>
      <c r="B322" s="156"/>
      <c r="C322" s="157"/>
      <c r="D322" s="157"/>
      <c r="E322" s="158"/>
      <c r="F322" s="159" t="str">
        <f t="shared" si="8"/>
        <v/>
      </c>
      <c r="G322" s="160" t="str">
        <f t="shared" si="9"/>
        <v/>
      </c>
      <c r="H322" s="157"/>
    </row>
    <row r="323" spans="1:8" ht="15.75" x14ac:dyDescent="0.25">
      <c r="A323" s="155"/>
      <c r="B323" s="156"/>
      <c r="C323" s="157"/>
      <c r="D323" s="157"/>
      <c r="E323" s="158"/>
      <c r="F323" s="159" t="str">
        <f t="shared" si="8"/>
        <v/>
      </c>
      <c r="G323" s="160" t="str">
        <f t="shared" si="9"/>
        <v/>
      </c>
      <c r="H323" s="157"/>
    </row>
    <row r="324" spans="1:8" ht="15.75" x14ac:dyDescent="0.25">
      <c r="A324" s="155"/>
      <c r="B324" s="156"/>
      <c r="C324" s="157"/>
      <c r="D324" s="157"/>
      <c r="E324" s="158"/>
      <c r="F324" s="159" t="str">
        <f t="shared" si="8"/>
        <v/>
      </c>
      <c r="G324" s="160" t="str">
        <f t="shared" si="9"/>
        <v/>
      </c>
      <c r="H324" s="157"/>
    </row>
    <row r="325" spans="1:8" ht="15.75" x14ac:dyDescent="0.25">
      <c r="A325" s="155"/>
      <c r="B325" s="156"/>
      <c r="C325" s="157"/>
      <c r="D325" s="157"/>
      <c r="E325" s="158"/>
      <c r="F325" s="159" t="str">
        <f t="shared" si="8"/>
        <v/>
      </c>
      <c r="G325" s="160" t="str">
        <f t="shared" si="9"/>
        <v/>
      </c>
      <c r="H325" s="157"/>
    </row>
    <row r="326" spans="1:8" ht="15.75" x14ac:dyDescent="0.25">
      <c r="A326" s="155"/>
      <c r="B326" s="156"/>
      <c r="C326" s="157"/>
      <c r="D326" s="157"/>
      <c r="E326" s="158"/>
      <c r="F326" s="159" t="str">
        <f t="shared" si="8"/>
        <v/>
      </c>
      <c r="G326" s="160" t="str">
        <f t="shared" si="9"/>
        <v/>
      </c>
      <c r="H326" s="157"/>
    </row>
    <row r="327" spans="1:8" ht="15.75" x14ac:dyDescent="0.25">
      <c r="A327" s="155"/>
      <c r="B327" s="156"/>
      <c r="C327" s="157"/>
      <c r="D327" s="157"/>
      <c r="E327" s="158"/>
      <c r="F327" s="159" t="str">
        <f t="shared" si="8"/>
        <v/>
      </c>
      <c r="G327" s="160" t="str">
        <f t="shared" si="9"/>
        <v/>
      </c>
      <c r="H327" s="157"/>
    </row>
    <row r="328" spans="1:8" ht="15.75" x14ac:dyDescent="0.25">
      <c r="A328" s="155"/>
      <c r="B328" s="156"/>
      <c r="C328" s="157"/>
      <c r="D328" s="157"/>
      <c r="E328" s="158"/>
      <c r="F328" s="159" t="str">
        <f t="shared" si="8"/>
        <v/>
      </c>
      <c r="G328" s="160" t="str">
        <f t="shared" si="9"/>
        <v/>
      </c>
      <c r="H328" s="157"/>
    </row>
    <row r="329" spans="1:8" ht="15.75" x14ac:dyDescent="0.25">
      <c r="A329" s="155"/>
      <c r="B329" s="156"/>
      <c r="C329" s="157"/>
      <c r="D329" s="157"/>
      <c r="E329" s="158"/>
      <c r="F329" s="159" t="str">
        <f t="shared" si="8"/>
        <v/>
      </c>
      <c r="G329" s="160" t="str">
        <f t="shared" si="9"/>
        <v/>
      </c>
      <c r="H329" s="157"/>
    </row>
    <row r="330" spans="1:8" ht="15.75" x14ac:dyDescent="0.25">
      <c r="A330" s="155"/>
      <c r="B330" s="156"/>
      <c r="C330" s="157"/>
      <c r="D330" s="157"/>
      <c r="E330" s="158"/>
      <c r="F330" s="159" t="str">
        <f t="shared" si="8"/>
        <v/>
      </c>
      <c r="G330" s="160" t="str">
        <f t="shared" si="9"/>
        <v/>
      </c>
      <c r="H330" s="157"/>
    </row>
    <row r="331" spans="1:8" ht="15.75" x14ac:dyDescent="0.25">
      <c r="A331" s="155"/>
      <c r="B331" s="156"/>
      <c r="C331" s="157"/>
      <c r="D331" s="157"/>
      <c r="E331" s="158"/>
      <c r="F331" s="159" t="str">
        <f t="shared" si="8"/>
        <v/>
      </c>
      <c r="G331" s="160" t="str">
        <f t="shared" si="9"/>
        <v/>
      </c>
      <c r="H331" s="157"/>
    </row>
    <row r="332" spans="1:8" ht="15.75" x14ac:dyDescent="0.25">
      <c r="A332" s="155"/>
      <c r="B332" s="156"/>
      <c r="C332" s="157"/>
      <c r="D332" s="157"/>
      <c r="E332" s="158"/>
      <c r="F332" s="159" t="str">
        <f t="shared" si="8"/>
        <v/>
      </c>
      <c r="G332" s="160" t="str">
        <f t="shared" si="9"/>
        <v/>
      </c>
      <c r="H332" s="157"/>
    </row>
    <row r="333" spans="1:8" ht="15.75" x14ac:dyDescent="0.25">
      <c r="A333" s="155"/>
      <c r="B333" s="156"/>
      <c r="C333" s="157"/>
      <c r="D333" s="157"/>
      <c r="E333" s="158"/>
      <c r="F333" s="159" t="str">
        <f t="shared" si="8"/>
        <v/>
      </c>
      <c r="G333" s="160" t="str">
        <f t="shared" si="9"/>
        <v/>
      </c>
      <c r="H333" s="157"/>
    </row>
    <row r="334" spans="1:8" ht="15.75" x14ac:dyDescent="0.25">
      <c r="A334" s="155"/>
      <c r="B334" s="156"/>
      <c r="C334" s="157"/>
      <c r="D334" s="157"/>
      <c r="E334" s="158"/>
      <c r="F334" s="159" t="str">
        <f t="shared" si="8"/>
        <v/>
      </c>
      <c r="G334" s="160" t="str">
        <f t="shared" si="9"/>
        <v/>
      </c>
      <c r="H334" s="157"/>
    </row>
    <row r="335" spans="1:8" ht="15.75" x14ac:dyDescent="0.25">
      <c r="A335" s="155"/>
      <c r="B335" s="156"/>
      <c r="C335" s="157"/>
      <c r="D335" s="157"/>
      <c r="E335" s="158"/>
      <c r="F335" s="159" t="str">
        <f t="shared" si="8"/>
        <v/>
      </c>
      <c r="G335" s="160" t="str">
        <f t="shared" si="9"/>
        <v/>
      </c>
      <c r="H335" s="157"/>
    </row>
    <row r="336" spans="1:8" ht="15.75" x14ac:dyDescent="0.25">
      <c r="A336" s="155"/>
      <c r="B336" s="156"/>
      <c r="C336" s="157"/>
      <c r="D336" s="157"/>
      <c r="E336" s="158"/>
      <c r="F336" s="159" t="str">
        <f t="shared" ref="F336:F399" si="10">IF(E336="","",E336*$F$3)</f>
        <v/>
      </c>
      <c r="G336" s="160" t="str">
        <f t="shared" ref="G336:G399" si="11">IF(AND(ISNUMBER(A336),E336&lt;&gt;""),IF(YEAR(A336)*100+MONTH(A336)=$G$3,"✓",""),"")</f>
        <v/>
      </c>
      <c r="H336" s="157"/>
    </row>
    <row r="337" spans="1:8" ht="15.75" x14ac:dyDescent="0.25">
      <c r="A337" s="155"/>
      <c r="B337" s="156"/>
      <c r="C337" s="157"/>
      <c r="D337" s="157"/>
      <c r="E337" s="158"/>
      <c r="F337" s="159" t="str">
        <f t="shared" si="10"/>
        <v/>
      </c>
      <c r="G337" s="160" t="str">
        <f t="shared" si="11"/>
        <v/>
      </c>
      <c r="H337" s="157"/>
    </row>
    <row r="338" spans="1:8" ht="15.75" x14ac:dyDescent="0.25">
      <c r="A338" s="155"/>
      <c r="B338" s="156"/>
      <c r="C338" s="157"/>
      <c r="D338" s="157"/>
      <c r="E338" s="158"/>
      <c r="F338" s="159" t="str">
        <f t="shared" si="10"/>
        <v/>
      </c>
      <c r="G338" s="160" t="str">
        <f t="shared" si="11"/>
        <v/>
      </c>
      <c r="H338" s="157"/>
    </row>
    <row r="339" spans="1:8" ht="15.75" x14ac:dyDescent="0.25">
      <c r="A339" s="155"/>
      <c r="B339" s="156"/>
      <c r="C339" s="157"/>
      <c r="D339" s="157"/>
      <c r="E339" s="158"/>
      <c r="F339" s="159" t="str">
        <f t="shared" si="10"/>
        <v/>
      </c>
      <c r="G339" s="160" t="str">
        <f t="shared" si="11"/>
        <v/>
      </c>
      <c r="H339" s="157"/>
    </row>
    <row r="340" spans="1:8" ht="15.75" x14ac:dyDescent="0.25">
      <c r="A340" s="155"/>
      <c r="B340" s="156"/>
      <c r="C340" s="157"/>
      <c r="D340" s="157"/>
      <c r="E340" s="158"/>
      <c r="F340" s="159" t="str">
        <f t="shared" si="10"/>
        <v/>
      </c>
      <c r="G340" s="160" t="str">
        <f t="shared" si="11"/>
        <v/>
      </c>
      <c r="H340" s="157"/>
    </row>
    <row r="341" spans="1:8" ht="15.75" x14ac:dyDescent="0.25">
      <c r="A341" s="155"/>
      <c r="B341" s="156"/>
      <c r="C341" s="157"/>
      <c r="D341" s="157"/>
      <c r="E341" s="158"/>
      <c r="F341" s="159" t="str">
        <f t="shared" si="10"/>
        <v/>
      </c>
      <c r="G341" s="160" t="str">
        <f t="shared" si="11"/>
        <v/>
      </c>
      <c r="H341" s="157"/>
    </row>
    <row r="342" spans="1:8" ht="15.75" x14ac:dyDescent="0.25">
      <c r="A342" s="155"/>
      <c r="B342" s="156"/>
      <c r="C342" s="157"/>
      <c r="D342" s="157"/>
      <c r="E342" s="158"/>
      <c r="F342" s="159" t="str">
        <f t="shared" si="10"/>
        <v/>
      </c>
      <c r="G342" s="160" t="str">
        <f t="shared" si="11"/>
        <v/>
      </c>
      <c r="H342" s="157"/>
    </row>
    <row r="343" spans="1:8" ht="15.75" x14ac:dyDescent="0.25">
      <c r="A343" s="155"/>
      <c r="B343" s="156"/>
      <c r="C343" s="157"/>
      <c r="D343" s="157"/>
      <c r="E343" s="158"/>
      <c r="F343" s="159" t="str">
        <f t="shared" si="10"/>
        <v/>
      </c>
      <c r="G343" s="160" t="str">
        <f t="shared" si="11"/>
        <v/>
      </c>
      <c r="H343" s="157"/>
    </row>
    <row r="344" spans="1:8" ht="15.75" x14ac:dyDescent="0.25">
      <c r="A344" s="155"/>
      <c r="B344" s="156"/>
      <c r="C344" s="157"/>
      <c r="D344" s="157"/>
      <c r="E344" s="158"/>
      <c r="F344" s="159" t="str">
        <f t="shared" si="10"/>
        <v/>
      </c>
      <c r="G344" s="160" t="str">
        <f t="shared" si="11"/>
        <v/>
      </c>
      <c r="H344" s="157"/>
    </row>
    <row r="345" spans="1:8" ht="15.75" x14ac:dyDescent="0.25">
      <c r="A345" s="155"/>
      <c r="B345" s="156"/>
      <c r="C345" s="157"/>
      <c r="D345" s="157"/>
      <c r="E345" s="158"/>
      <c r="F345" s="159" t="str">
        <f t="shared" si="10"/>
        <v/>
      </c>
      <c r="G345" s="160" t="str">
        <f t="shared" si="11"/>
        <v/>
      </c>
      <c r="H345" s="157"/>
    </row>
    <row r="346" spans="1:8" ht="15.75" x14ac:dyDescent="0.25">
      <c r="A346" s="155"/>
      <c r="B346" s="156"/>
      <c r="C346" s="157"/>
      <c r="D346" s="157"/>
      <c r="E346" s="158"/>
      <c r="F346" s="159" t="str">
        <f t="shared" si="10"/>
        <v/>
      </c>
      <c r="G346" s="160" t="str">
        <f t="shared" si="11"/>
        <v/>
      </c>
      <c r="H346" s="157"/>
    </row>
    <row r="347" spans="1:8" ht="15.75" x14ac:dyDescent="0.25">
      <c r="A347" s="155"/>
      <c r="B347" s="156"/>
      <c r="C347" s="157"/>
      <c r="D347" s="157"/>
      <c r="E347" s="158"/>
      <c r="F347" s="159" t="str">
        <f t="shared" si="10"/>
        <v/>
      </c>
      <c r="G347" s="160" t="str">
        <f t="shared" si="11"/>
        <v/>
      </c>
      <c r="H347" s="157"/>
    </row>
    <row r="348" spans="1:8" ht="15.75" x14ac:dyDescent="0.25">
      <c r="A348" s="155"/>
      <c r="B348" s="156"/>
      <c r="C348" s="157"/>
      <c r="D348" s="157"/>
      <c r="E348" s="158"/>
      <c r="F348" s="159" t="str">
        <f t="shared" si="10"/>
        <v/>
      </c>
      <c r="G348" s="160" t="str">
        <f t="shared" si="11"/>
        <v/>
      </c>
      <c r="H348" s="157"/>
    </row>
    <row r="349" spans="1:8" ht="15.75" x14ac:dyDescent="0.25">
      <c r="A349" s="155"/>
      <c r="B349" s="156"/>
      <c r="C349" s="157"/>
      <c r="D349" s="157"/>
      <c r="E349" s="158"/>
      <c r="F349" s="159" t="str">
        <f t="shared" si="10"/>
        <v/>
      </c>
      <c r="G349" s="160" t="str">
        <f t="shared" si="11"/>
        <v/>
      </c>
      <c r="H349" s="157"/>
    </row>
    <row r="350" spans="1:8" ht="15.75" x14ac:dyDescent="0.25">
      <c r="A350" s="155"/>
      <c r="B350" s="156"/>
      <c r="C350" s="157"/>
      <c r="D350" s="157"/>
      <c r="E350" s="158"/>
      <c r="F350" s="159" t="str">
        <f t="shared" si="10"/>
        <v/>
      </c>
      <c r="G350" s="160" t="str">
        <f t="shared" si="11"/>
        <v/>
      </c>
      <c r="H350" s="157"/>
    </row>
    <row r="351" spans="1:8" ht="15.75" x14ac:dyDescent="0.25">
      <c r="A351" s="155"/>
      <c r="B351" s="156"/>
      <c r="C351" s="157"/>
      <c r="D351" s="157"/>
      <c r="E351" s="158"/>
      <c r="F351" s="159" t="str">
        <f t="shared" si="10"/>
        <v/>
      </c>
      <c r="G351" s="160" t="str">
        <f t="shared" si="11"/>
        <v/>
      </c>
      <c r="H351" s="157"/>
    </row>
    <row r="352" spans="1:8" ht="15.75" x14ac:dyDescent="0.25">
      <c r="A352" s="155"/>
      <c r="B352" s="156"/>
      <c r="C352" s="157"/>
      <c r="D352" s="157"/>
      <c r="E352" s="158"/>
      <c r="F352" s="159" t="str">
        <f t="shared" si="10"/>
        <v/>
      </c>
      <c r="G352" s="160" t="str">
        <f t="shared" si="11"/>
        <v/>
      </c>
      <c r="H352" s="157"/>
    </row>
    <row r="353" spans="1:8" ht="15.75" x14ac:dyDescent="0.25">
      <c r="A353" s="155"/>
      <c r="B353" s="156"/>
      <c r="C353" s="157"/>
      <c r="D353" s="157"/>
      <c r="E353" s="158"/>
      <c r="F353" s="159" t="str">
        <f t="shared" si="10"/>
        <v/>
      </c>
      <c r="G353" s="160" t="str">
        <f t="shared" si="11"/>
        <v/>
      </c>
      <c r="H353" s="157"/>
    </row>
    <row r="354" spans="1:8" ht="15.75" x14ac:dyDescent="0.25">
      <c r="A354" s="155"/>
      <c r="B354" s="156"/>
      <c r="C354" s="157"/>
      <c r="D354" s="157"/>
      <c r="E354" s="158"/>
      <c r="F354" s="159" t="str">
        <f t="shared" si="10"/>
        <v/>
      </c>
      <c r="G354" s="160" t="str">
        <f t="shared" si="11"/>
        <v/>
      </c>
      <c r="H354" s="157"/>
    </row>
    <row r="355" spans="1:8" ht="15.75" x14ac:dyDescent="0.25">
      <c r="A355" s="155"/>
      <c r="B355" s="156"/>
      <c r="C355" s="157"/>
      <c r="D355" s="157"/>
      <c r="E355" s="158"/>
      <c r="F355" s="159" t="str">
        <f t="shared" si="10"/>
        <v/>
      </c>
      <c r="G355" s="160" t="str">
        <f t="shared" si="11"/>
        <v/>
      </c>
      <c r="H355" s="157"/>
    </row>
    <row r="356" spans="1:8" ht="15.75" x14ac:dyDescent="0.25">
      <c r="A356" s="155"/>
      <c r="B356" s="156"/>
      <c r="C356" s="157"/>
      <c r="D356" s="157"/>
      <c r="E356" s="158"/>
      <c r="F356" s="159" t="str">
        <f t="shared" si="10"/>
        <v/>
      </c>
      <c r="G356" s="160" t="str">
        <f t="shared" si="11"/>
        <v/>
      </c>
      <c r="H356" s="157"/>
    </row>
    <row r="357" spans="1:8" ht="15.75" x14ac:dyDescent="0.25">
      <c r="A357" s="155"/>
      <c r="B357" s="156"/>
      <c r="C357" s="157"/>
      <c r="D357" s="157"/>
      <c r="E357" s="158"/>
      <c r="F357" s="159" t="str">
        <f t="shared" si="10"/>
        <v/>
      </c>
      <c r="G357" s="160" t="str">
        <f t="shared" si="11"/>
        <v/>
      </c>
      <c r="H357" s="157"/>
    </row>
    <row r="358" spans="1:8" ht="15.75" x14ac:dyDescent="0.25">
      <c r="A358" s="155"/>
      <c r="B358" s="156"/>
      <c r="C358" s="157"/>
      <c r="D358" s="157"/>
      <c r="E358" s="158"/>
      <c r="F358" s="159" t="str">
        <f t="shared" si="10"/>
        <v/>
      </c>
      <c r="G358" s="160" t="str">
        <f t="shared" si="11"/>
        <v/>
      </c>
      <c r="H358" s="157"/>
    </row>
    <row r="359" spans="1:8" ht="15.75" x14ac:dyDescent="0.25">
      <c r="A359" s="155"/>
      <c r="B359" s="156"/>
      <c r="C359" s="157"/>
      <c r="D359" s="157"/>
      <c r="E359" s="158"/>
      <c r="F359" s="159" t="str">
        <f t="shared" si="10"/>
        <v/>
      </c>
      <c r="G359" s="160" t="str">
        <f t="shared" si="11"/>
        <v/>
      </c>
      <c r="H359" s="157"/>
    </row>
    <row r="360" spans="1:8" ht="15.75" x14ac:dyDescent="0.25">
      <c r="A360" s="155"/>
      <c r="B360" s="156"/>
      <c r="C360" s="157"/>
      <c r="D360" s="157"/>
      <c r="E360" s="158"/>
      <c r="F360" s="159" t="str">
        <f t="shared" si="10"/>
        <v/>
      </c>
      <c r="G360" s="160" t="str">
        <f t="shared" si="11"/>
        <v/>
      </c>
      <c r="H360" s="157"/>
    </row>
    <row r="361" spans="1:8" ht="15.75" x14ac:dyDescent="0.25">
      <c r="A361" s="155"/>
      <c r="B361" s="156"/>
      <c r="C361" s="157"/>
      <c r="D361" s="157"/>
      <c r="E361" s="158"/>
      <c r="F361" s="159" t="str">
        <f t="shared" si="10"/>
        <v/>
      </c>
      <c r="G361" s="160" t="str">
        <f t="shared" si="11"/>
        <v/>
      </c>
      <c r="H361" s="157"/>
    </row>
    <row r="362" spans="1:8" ht="15.75" x14ac:dyDescent="0.25">
      <c r="A362" s="155"/>
      <c r="B362" s="156"/>
      <c r="C362" s="157"/>
      <c r="D362" s="157"/>
      <c r="E362" s="158"/>
      <c r="F362" s="159" t="str">
        <f t="shared" si="10"/>
        <v/>
      </c>
      <c r="G362" s="160" t="str">
        <f t="shared" si="11"/>
        <v/>
      </c>
      <c r="H362" s="157"/>
    </row>
    <row r="363" spans="1:8" ht="15.75" x14ac:dyDescent="0.25">
      <c r="A363" s="155"/>
      <c r="B363" s="156"/>
      <c r="C363" s="157"/>
      <c r="D363" s="157"/>
      <c r="E363" s="158"/>
      <c r="F363" s="159" t="str">
        <f t="shared" si="10"/>
        <v/>
      </c>
      <c r="G363" s="160" t="str">
        <f t="shared" si="11"/>
        <v/>
      </c>
      <c r="H363" s="157"/>
    </row>
    <row r="364" spans="1:8" ht="15.75" x14ac:dyDescent="0.25">
      <c r="A364" s="155"/>
      <c r="B364" s="156"/>
      <c r="C364" s="157"/>
      <c r="D364" s="157"/>
      <c r="E364" s="158"/>
      <c r="F364" s="159" t="str">
        <f t="shared" si="10"/>
        <v/>
      </c>
      <c r="G364" s="160" t="str">
        <f t="shared" si="11"/>
        <v/>
      </c>
      <c r="H364" s="157"/>
    </row>
    <row r="365" spans="1:8" ht="15.75" x14ac:dyDescent="0.25">
      <c r="A365" s="155"/>
      <c r="B365" s="156"/>
      <c r="C365" s="157"/>
      <c r="D365" s="157"/>
      <c r="E365" s="158"/>
      <c r="F365" s="159" t="str">
        <f t="shared" si="10"/>
        <v/>
      </c>
      <c r="G365" s="160" t="str">
        <f t="shared" si="11"/>
        <v/>
      </c>
      <c r="H365" s="157"/>
    </row>
    <row r="366" spans="1:8" ht="15.75" x14ac:dyDescent="0.25">
      <c r="A366" s="155"/>
      <c r="B366" s="156"/>
      <c r="C366" s="157"/>
      <c r="D366" s="157"/>
      <c r="E366" s="158"/>
      <c r="F366" s="159" t="str">
        <f t="shared" si="10"/>
        <v/>
      </c>
      <c r="G366" s="160" t="str">
        <f t="shared" si="11"/>
        <v/>
      </c>
      <c r="H366" s="157"/>
    </row>
    <row r="367" spans="1:8" ht="15.75" x14ac:dyDescent="0.25">
      <c r="A367" s="155"/>
      <c r="B367" s="156"/>
      <c r="C367" s="157"/>
      <c r="D367" s="157"/>
      <c r="E367" s="158"/>
      <c r="F367" s="159" t="str">
        <f t="shared" si="10"/>
        <v/>
      </c>
      <c r="G367" s="160" t="str">
        <f t="shared" si="11"/>
        <v/>
      </c>
      <c r="H367" s="157"/>
    </row>
    <row r="368" spans="1:8" ht="15.75" x14ac:dyDescent="0.25">
      <c r="A368" s="155"/>
      <c r="B368" s="156"/>
      <c r="C368" s="157"/>
      <c r="D368" s="157"/>
      <c r="E368" s="158"/>
      <c r="F368" s="159" t="str">
        <f t="shared" si="10"/>
        <v/>
      </c>
      <c r="G368" s="160" t="str">
        <f t="shared" si="11"/>
        <v/>
      </c>
      <c r="H368" s="157"/>
    </row>
    <row r="369" spans="1:8" ht="15.75" x14ac:dyDescent="0.25">
      <c r="A369" s="155"/>
      <c r="B369" s="156"/>
      <c r="C369" s="157"/>
      <c r="D369" s="157"/>
      <c r="E369" s="158"/>
      <c r="F369" s="159" t="str">
        <f t="shared" si="10"/>
        <v/>
      </c>
      <c r="G369" s="160" t="str">
        <f t="shared" si="11"/>
        <v/>
      </c>
      <c r="H369" s="157"/>
    </row>
    <row r="370" spans="1:8" ht="15.75" x14ac:dyDescent="0.25">
      <c r="A370" s="155"/>
      <c r="B370" s="156"/>
      <c r="C370" s="157"/>
      <c r="D370" s="157"/>
      <c r="E370" s="158"/>
      <c r="F370" s="159" t="str">
        <f t="shared" si="10"/>
        <v/>
      </c>
      <c r="G370" s="160" t="str">
        <f t="shared" si="11"/>
        <v/>
      </c>
      <c r="H370" s="157"/>
    </row>
    <row r="371" spans="1:8" ht="15.75" x14ac:dyDescent="0.25">
      <c r="A371" s="155"/>
      <c r="B371" s="156"/>
      <c r="C371" s="157"/>
      <c r="D371" s="157"/>
      <c r="E371" s="158"/>
      <c r="F371" s="159" t="str">
        <f t="shared" si="10"/>
        <v/>
      </c>
      <c r="G371" s="160" t="str">
        <f t="shared" si="11"/>
        <v/>
      </c>
      <c r="H371" s="157"/>
    </row>
    <row r="372" spans="1:8" ht="15.75" x14ac:dyDescent="0.25">
      <c r="A372" s="155"/>
      <c r="B372" s="156"/>
      <c r="C372" s="157"/>
      <c r="D372" s="157"/>
      <c r="E372" s="158"/>
      <c r="F372" s="159" t="str">
        <f t="shared" si="10"/>
        <v/>
      </c>
      <c r="G372" s="160" t="str">
        <f t="shared" si="11"/>
        <v/>
      </c>
      <c r="H372" s="157"/>
    </row>
    <row r="373" spans="1:8" ht="15.75" x14ac:dyDescent="0.25">
      <c r="A373" s="155"/>
      <c r="B373" s="156"/>
      <c r="C373" s="157"/>
      <c r="D373" s="157"/>
      <c r="E373" s="158"/>
      <c r="F373" s="159" t="str">
        <f t="shared" si="10"/>
        <v/>
      </c>
      <c r="G373" s="160" t="str">
        <f t="shared" si="11"/>
        <v/>
      </c>
      <c r="H373" s="157"/>
    </row>
    <row r="374" spans="1:8" ht="15.75" x14ac:dyDescent="0.25">
      <c r="A374" s="155"/>
      <c r="B374" s="156"/>
      <c r="C374" s="157"/>
      <c r="D374" s="157"/>
      <c r="E374" s="158"/>
      <c r="F374" s="159" t="str">
        <f t="shared" si="10"/>
        <v/>
      </c>
      <c r="G374" s="160" t="str">
        <f t="shared" si="11"/>
        <v/>
      </c>
      <c r="H374" s="157"/>
    </row>
    <row r="375" spans="1:8" ht="15.75" x14ac:dyDescent="0.25">
      <c r="A375" s="155"/>
      <c r="B375" s="156"/>
      <c r="C375" s="157"/>
      <c r="D375" s="157"/>
      <c r="E375" s="158"/>
      <c r="F375" s="159" t="str">
        <f t="shared" si="10"/>
        <v/>
      </c>
      <c r="G375" s="160" t="str">
        <f t="shared" si="11"/>
        <v/>
      </c>
      <c r="H375" s="157"/>
    </row>
    <row r="376" spans="1:8" ht="15.75" x14ac:dyDescent="0.25">
      <c r="A376" s="155"/>
      <c r="B376" s="156"/>
      <c r="C376" s="157"/>
      <c r="D376" s="157"/>
      <c r="E376" s="158"/>
      <c r="F376" s="159" t="str">
        <f t="shared" si="10"/>
        <v/>
      </c>
      <c r="G376" s="160" t="str">
        <f t="shared" si="11"/>
        <v/>
      </c>
      <c r="H376" s="157"/>
    </row>
    <row r="377" spans="1:8" ht="15.75" x14ac:dyDescent="0.25">
      <c r="A377" s="155"/>
      <c r="B377" s="156"/>
      <c r="C377" s="157"/>
      <c r="D377" s="157"/>
      <c r="E377" s="158"/>
      <c r="F377" s="159" t="str">
        <f t="shared" si="10"/>
        <v/>
      </c>
      <c r="G377" s="160" t="str">
        <f t="shared" si="11"/>
        <v/>
      </c>
      <c r="H377" s="157"/>
    </row>
    <row r="378" spans="1:8" ht="15.75" x14ac:dyDescent="0.25">
      <c r="A378" s="155"/>
      <c r="B378" s="156"/>
      <c r="C378" s="157"/>
      <c r="D378" s="157"/>
      <c r="E378" s="158"/>
      <c r="F378" s="159" t="str">
        <f t="shared" si="10"/>
        <v/>
      </c>
      <c r="G378" s="160" t="str">
        <f t="shared" si="11"/>
        <v/>
      </c>
      <c r="H378" s="157"/>
    </row>
    <row r="379" spans="1:8" ht="15.75" x14ac:dyDescent="0.25">
      <c r="A379" s="155"/>
      <c r="B379" s="156"/>
      <c r="C379" s="157"/>
      <c r="D379" s="157"/>
      <c r="E379" s="158"/>
      <c r="F379" s="159" t="str">
        <f t="shared" si="10"/>
        <v/>
      </c>
      <c r="G379" s="160" t="str">
        <f t="shared" si="11"/>
        <v/>
      </c>
      <c r="H379" s="157"/>
    </row>
    <row r="380" spans="1:8" ht="15.75" x14ac:dyDescent="0.25">
      <c r="A380" s="155"/>
      <c r="B380" s="156"/>
      <c r="C380" s="157"/>
      <c r="D380" s="157"/>
      <c r="E380" s="158"/>
      <c r="F380" s="159" t="str">
        <f t="shared" si="10"/>
        <v/>
      </c>
      <c r="G380" s="160" t="str">
        <f t="shared" si="11"/>
        <v/>
      </c>
      <c r="H380" s="157"/>
    </row>
    <row r="381" spans="1:8" ht="15.75" x14ac:dyDescent="0.25">
      <c r="A381" s="155"/>
      <c r="B381" s="156"/>
      <c r="C381" s="157"/>
      <c r="D381" s="157"/>
      <c r="E381" s="158"/>
      <c r="F381" s="159" t="str">
        <f t="shared" si="10"/>
        <v/>
      </c>
      <c r="G381" s="160" t="str">
        <f t="shared" si="11"/>
        <v/>
      </c>
      <c r="H381" s="157"/>
    </row>
    <row r="382" spans="1:8" ht="15.75" x14ac:dyDescent="0.25">
      <c r="A382" s="155"/>
      <c r="B382" s="156"/>
      <c r="C382" s="157"/>
      <c r="D382" s="157"/>
      <c r="E382" s="158"/>
      <c r="F382" s="159" t="str">
        <f t="shared" si="10"/>
        <v/>
      </c>
      <c r="G382" s="160" t="str">
        <f t="shared" si="11"/>
        <v/>
      </c>
      <c r="H382" s="157"/>
    </row>
    <row r="383" spans="1:8" ht="15.75" x14ac:dyDescent="0.25">
      <c r="A383" s="155"/>
      <c r="B383" s="156"/>
      <c r="C383" s="157"/>
      <c r="D383" s="157"/>
      <c r="E383" s="158"/>
      <c r="F383" s="159" t="str">
        <f t="shared" si="10"/>
        <v/>
      </c>
      <c r="G383" s="160" t="str">
        <f t="shared" si="11"/>
        <v/>
      </c>
      <c r="H383" s="157"/>
    </row>
    <row r="384" spans="1:8" ht="15.75" x14ac:dyDescent="0.25">
      <c r="A384" s="155"/>
      <c r="B384" s="156"/>
      <c r="C384" s="157"/>
      <c r="D384" s="157"/>
      <c r="E384" s="158"/>
      <c r="F384" s="159" t="str">
        <f t="shared" si="10"/>
        <v/>
      </c>
      <c r="G384" s="160" t="str">
        <f t="shared" si="11"/>
        <v/>
      </c>
      <c r="H384" s="157"/>
    </row>
    <row r="385" spans="1:8" ht="15.75" x14ac:dyDescent="0.25">
      <c r="A385" s="155"/>
      <c r="B385" s="156"/>
      <c r="C385" s="157"/>
      <c r="D385" s="157"/>
      <c r="E385" s="158"/>
      <c r="F385" s="159" t="str">
        <f t="shared" si="10"/>
        <v/>
      </c>
      <c r="G385" s="160" t="str">
        <f t="shared" si="11"/>
        <v/>
      </c>
      <c r="H385" s="157"/>
    </row>
    <row r="386" spans="1:8" ht="15.75" x14ac:dyDescent="0.25">
      <c r="A386" s="155"/>
      <c r="B386" s="156"/>
      <c r="C386" s="157"/>
      <c r="D386" s="157"/>
      <c r="E386" s="158"/>
      <c r="F386" s="159" t="str">
        <f t="shared" si="10"/>
        <v/>
      </c>
      <c r="G386" s="160" t="str">
        <f t="shared" si="11"/>
        <v/>
      </c>
      <c r="H386" s="157"/>
    </row>
    <row r="387" spans="1:8" ht="15.75" x14ac:dyDescent="0.25">
      <c r="A387" s="155"/>
      <c r="B387" s="156"/>
      <c r="C387" s="157"/>
      <c r="D387" s="157"/>
      <c r="E387" s="158"/>
      <c r="F387" s="159" t="str">
        <f t="shared" si="10"/>
        <v/>
      </c>
      <c r="G387" s="160" t="str">
        <f t="shared" si="11"/>
        <v/>
      </c>
      <c r="H387" s="157"/>
    </row>
    <row r="388" spans="1:8" ht="15.75" x14ac:dyDescent="0.25">
      <c r="A388" s="155"/>
      <c r="B388" s="156"/>
      <c r="C388" s="157"/>
      <c r="D388" s="157"/>
      <c r="E388" s="158"/>
      <c r="F388" s="159" t="str">
        <f t="shared" si="10"/>
        <v/>
      </c>
      <c r="G388" s="160" t="str">
        <f t="shared" si="11"/>
        <v/>
      </c>
      <c r="H388" s="157"/>
    </row>
    <row r="389" spans="1:8" ht="15.75" x14ac:dyDescent="0.25">
      <c r="A389" s="155"/>
      <c r="B389" s="156"/>
      <c r="C389" s="157"/>
      <c r="D389" s="157"/>
      <c r="E389" s="158"/>
      <c r="F389" s="159" t="str">
        <f t="shared" si="10"/>
        <v/>
      </c>
      <c r="G389" s="160" t="str">
        <f t="shared" si="11"/>
        <v/>
      </c>
      <c r="H389" s="157"/>
    </row>
    <row r="390" spans="1:8" ht="15.75" x14ac:dyDescent="0.25">
      <c r="A390" s="155"/>
      <c r="B390" s="156"/>
      <c r="C390" s="157"/>
      <c r="D390" s="157"/>
      <c r="E390" s="158"/>
      <c r="F390" s="159" t="str">
        <f t="shared" si="10"/>
        <v/>
      </c>
      <c r="G390" s="160" t="str">
        <f t="shared" si="11"/>
        <v/>
      </c>
      <c r="H390" s="157"/>
    </row>
    <row r="391" spans="1:8" ht="15.75" x14ac:dyDescent="0.25">
      <c r="A391" s="155"/>
      <c r="B391" s="156"/>
      <c r="C391" s="157"/>
      <c r="D391" s="157"/>
      <c r="E391" s="158"/>
      <c r="F391" s="159" t="str">
        <f t="shared" si="10"/>
        <v/>
      </c>
      <c r="G391" s="160" t="str">
        <f t="shared" si="11"/>
        <v/>
      </c>
      <c r="H391" s="157"/>
    </row>
    <row r="392" spans="1:8" ht="15.75" x14ac:dyDescent="0.25">
      <c r="A392" s="155"/>
      <c r="B392" s="156"/>
      <c r="C392" s="157"/>
      <c r="D392" s="157"/>
      <c r="E392" s="158"/>
      <c r="F392" s="159" t="str">
        <f t="shared" si="10"/>
        <v/>
      </c>
      <c r="G392" s="160" t="str">
        <f t="shared" si="11"/>
        <v/>
      </c>
      <c r="H392" s="157"/>
    </row>
    <row r="393" spans="1:8" ht="15.75" x14ac:dyDescent="0.25">
      <c r="A393" s="155"/>
      <c r="B393" s="156"/>
      <c r="C393" s="157"/>
      <c r="D393" s="157"/>
      <c r="E393" s="158"/>
      <c r="F393" s="159" t="str">
        <f t="shared" si="10"/>
        <v/>
      </c>
      <c r="G393" s="160" t="str">
        <f t="shared" si="11"/>
        <v/>
      </c>
      <c r="H393" s="157"/>
    </row>
    <row r="394" spans="1:8" ht="15.75" x14ac:dyDescent="0.25">
      <c r="A394" s="155"/>
      <c r="B394" s="156"/>
      <c r="C394" s="157"/>
      <c r="D394" s="157"/>
      <c r="E394" s="158"/>
      <c r="F394" s="159" t="str">
        <f t="shared" si="10"/>
        <v/>
      </c>
      <c r="G394" s="160" t="str">
        <f t="shared" si="11"/>
        <v/>
      </c>
      <c r="H394" s="157"/>
    </row>
    <row r="395" spans="1:8" ht="15.75" x14ac:dyDescent="0.25">
      <c r="A395" s="155"/>
      <c r="B395" s="156"/>
      <c r="C395" s="157"/>
      <c r="D395" s="157"/>
      <c r="E395" s="158"/>
      <c r="F395" s="159" t="str">
        <f t="shared" si="10"/>
        <v/>
      </c>
      <c r="G395" s="160" t="str">
        <f t="shared" si="11"/>
        <v/>
      </c>
      <c r="H395" s="157"/>
    </row>
    <row r="396" spans="1:8" ht="15.75" x14ac:dyDescent="0.25">
      <c r="A396" s="155"/>
      <c r="B396" s="156"/>
      <c r="C396" s="157"/>
      <c r="D396" s="157"/>
      <c r="E396" s="158"/>
      <c r="F396" s="159" t="str">
        <f t="shared" si="10"/>
        <v/>
      </c>
      <c r="G396" s="160" t="str">
        <f t="shared" si="11"/>
        <v/>
      </c>
      <c r="H396" s="157"/>
    </row>
    <row r="397" spans="1:8" ht="15.75" x14ac:dyDescent="0.25">
      <c r="A397" s="155"/>
      <c r="B397" s="156"/>
      <c r="C397" s="157"/>
      <c r="D397" s="157"/>
      <c r="E397" s="158"/>
      <c r="F397" s="159" t="str">
        <f t="shared" si="10"/>
        <v/>
      </c>
      <c r="G397" s="160" t="str">
        <f t="shared" si="11"/>
        <v/>
      </c>
      <c r="H397" s="157"/>
    </row>
    <row r="398" spans="1:8" ht="15.75" x14ac:dyDescent="0.25">
      <c r="A398" s="155"/>
      <c r="B398" s="156"/>
      <c r="C398" s="157"/>
      <c r="D398" s="157"/>
      <c r="E398" s="158"/>
      <c r="F398" s="159" t="str">
        <f t="shared" si="10"/>
        <v/>
      </c>
      <c r="G398" s="160" t="str">
        <f t="shared" si="11"/>
        <v/>
      </c>
      <c r="H398" s="157"/>
    </row>
    <row r="399" spans="1:8" ht="15.75" x14ac:dyDescent="0.25">
      <c r="A399" s="155"/>
      <c r="B399" s="156"/>
      <c r="C399" s="157"/>
      <c r="D399" s="157"/>
      <c r="E399" s="158"/>
      <c r="F399" s="159" t="str">
        <f t="shared" si="10"/>
        <v/>
      </c>
      <c r="G399" s="160" t="str">
        <f t="shared" si="11"/>
        <v/>
      </c>
      <c r="H399" s="157"/>
    </row>
    <row r="400" spans="1:8" ht="15.75" x14ac:dyDescent="0.25">
      <c r="A400" s="155"/>
      <c r="B400" s="156"/>
      <c r="C400" s="157"/>
      <c r="D400" s="157"/>
      <c r="E400" s="158"/>
      <c r="F400" s="159" t="str">
        <f t="shared" ref="F400:F463" si="12">IF(E400="","",E400*$F$3)</f>
        <v/>
      </c>
      <c r="G400" s="160" t="str">
        <f t="shared" ref="G400:G463" si="13">IF(AND(ISNUMBER(A400),E400&lt;&gt;""),IF(YEAR(A400)*100+MONTH(A400)=$G$3,"✓",""),"")</f>
        <v/>
      </c>
      <c r="H400" s="157"/>
    </row>
    <row r="401" spans="1:8" ht="15.75" x14ac:dyDescent="0.25">
      <c r="A401" s="155"/>
      <c r="B401" s="156"/>
      <c r="C401" s="157"/>
      <c r="D401" s="157"/>
      <c r="E401" s="158"/>
      <c r="F401" s="159" t="str">
        <f t="shared" si="12"/>
        <v/>
      </c>
      <c r="G401" s="160" t="str">
        <f t="shared" si="13"/>
        <v/>
      </c>
      <c r="H401" s="157"/>
    </row>
    <row r="402" spans="1:8" ht="15.75" x14ac:dyDescent="0.25">
      <c r="A402" s="155"/>
      <c r="B402" s="156"/>
      <c r="C402" s="157"/>
      <c r="D402" s="157"/>
      <c r="E402" s="158"/>
      <c r="F402" s="159" t="str">
        <f t="shared" si="12"/>
        <v/>
      </c>
      <c r="G402" s="160" t="str">
        <f t="shared" si="13"/>
        <v/>
      </c>
      <c r="H402" s="157"/>
    </row>
    <row r="403" spans="1:8" ht="15.75" x14ac:dyDescent="0.25">
      <c r="A403" s="155"/>
      <c r="B403" s="156"/>
      <c r="C403" s="157"/>
      <c r="D403" s="157"/>
      <c r="E403" s="158"/>
      <c r="F403" s="159" t="str">
        <f t="shared" si="12"/>
        <v/>
      </c>
      <c r="G403" s="160" t="str">
        <f t="shared" si="13"/>
        <v/>
      </c>
      <c r="H403" s="157"/>
    </row>
    <row r="404" spans="1:8" ht="15.75" x14ac:dyDescent="0.25">
      <c r="A404" s="155"/>
      <c r="B404" s="156"/>
      <c r="C404" s="157"/>
      <c r="D404" s="157"/>
      <c r="E404" s="158"/>
      <c r="F404" s="159" t="str">
        <f t="shared" si="12"/>
        <v/>
      </c>
      <c r="G404" s="160" t="str">
        <f t="shared" si="13"/>
        <v/>
      </c>
      <c r="H404" s="157"/>
    </row>
    <row r="405" spans="1:8" ht="15.75" x14ac:dyDescent="0.25">
      <c r="A405" s="155"/>
      <c r="B405" s="156"/>
      <c r="C405" s="157"/>
      <c r="D405" s="157"/>
      <c r="E405" s="158"/>
      <c r="F405" s="159" t="str">
        <f t="shared" si="12"/>
        <v/>
      </c>
      <c r="G405" s="160" t="str">
        <f t="shared" si="13"/>
        <v/>
      </c>
      <c r="H405" s="157"/>
    </row>
    <row r="406" spans="1:8" ht="15.75" x14ac:dyDescent="0.25">
      <c r="A406" s="155"/>
      <c r="B406" s="156"/>
      <c r="C406" s="157"/>
      <c r="D406" s="157"/>
      <c r="E406" s="158"/>
      <c r="F406" s="159" t="str">
        <f t="shared" si="12"/>
        <v/>
      </c>
      <c r="G406" s="160" t="str">
        <f t="shared" si="13"/>
        <v/>
      </c>
      <c r="H406" s="157"/>
    </row>
    <row r="407" spans="1:8" ht="15.75" x14ac:dyDescent="0.25">
      <c r="A407" s="155"/>
      <c r="B407" s="156"/>
      <c r="C407" s="157"/>
      <c r="D407" s="157"/>
      <c r="E407" s="158"/>
      <c r="F407" s="159" t="str">
        <f t="shared" si="12"/>
        <v/>
      </c>
      <c r="G407" s="160" t="str">
        <f t="shared" si="13"/>
        <v/>
      </c>
      <c r="H407" s="157"/>
    </row>
    <row r="408" spans="1:8" ht="15.75" x14ac:dyDescent="0.25">
      <c r="A408" s="155"/>
      <c r="B408" s="156"/>
      <c r="C408" s="157"/>
      <c r="D408" s="157"/>
      <c r="E408" s="158"/>
      <c r="F408" s="159" t="str">
        <f t="shared" si="12"/>
        <v/>
      </c>
      <c r="G408" s="160" t="str">
        <f t="shared" si="13"/>
        <v/>
      </c>
      <c r="H408" s="157"/>
    </row>
    <row r="409" spans="1:8" ht="15.75" x14ac:dyDescent="0.25">
      <c r="A409" s="155"/>
      <c r="B409" s="156"/>
      <c r="C409" s="157"/>
      <c r="D409" s="157"/>
      <c r="E409" s="158"/>
      <c r="F409" s="159" t="str">
        <f t="shared" si="12"/>
        <v/>
      </c>
      <c r="G409" s="160" t="str">
        <f t="shared" si="13"/>
        <v/>
      </c>
      <c r="H409" s="157"/>
    </row>
    <row r="410" spans="1:8" ht="15.75" x14ac:dyDescent="0.25">
      <c r="A410" s="155"/>
      <c r="B410" s="156"/>
      <c r="C410" s="157"/>
      <c r="D410" s="157"/>
      <c r="E410" s="158"/>
      <c r="F410" s="159" t="str">
        <f t="shared" si="12"/>
        <v/>
      </c>
      <c r="G410" s="160" t="str">
        <f t="shared" si="13"/>
        <v/>
      </c>
      <c r="H410" s="157"/>
    </row>
    <row r="411" spans="1:8" ht="15.75" x14ac:dyDescent="0.25">
      <c r="A411" s="155"/>
      <c r="B411" s="156"/>
      <c r="C411" s="157"/>
      <c r="D411" s="157"/>
      <c r="E411" s="158"/>
      <c r="F411" s="159" t="str">
        <f t="shared" si="12"/>
        <v/>
      </c>
      <c r="G411" s="160" t="str">
        <f t="shared" si="13"/>
        <v/>
      </c>
      <c r="H411" s="157"/>
    </row>
    <row r="412" spans="1:8" ht="15.75" x14ac:dyDescent="0.25">
      <c r="A412" s="155"/>
      <c r="B412" s="156"/>
      <c r="C412" s="157"/>
      <c r="D412" s="157"/>
      <c r="E412" s="158"/>
      <c r="F412" s="159" t="str">
        <f t="shared" si="12"/>
        <v/>
      </c>
      <c r="G412" s="160" t="str">
        <f t="shared" si="13"/>
        <v/>
      </c>
      <c r="H412" s="157"/>
    </row>
    <row r="413" spans="1:8" ht="15.75" x14ac:dyDescent="0.25">
      <c r="A413" s="155"/>
      <c r="B413" s="156"/>
      <c r="C413" s="157"/>
      <c r="D413" s="157"/>
      <c r="E413" s="158"/>
      <c r="F413" s="159" t="str">
        <f t="shared" si="12"/>
        <v/>
      </c>
      <c r="G413" s="160" t="str">
        <f t="shared" si="13"/>
        <v/>
      </c>
      <c r="H413" s="157"/>
    </row>
    <row r="414" spans="1:8" ht="15.75" x14ac:dyDescent="0.25">
      <c r="A414" s="155"/>
      <c r="B414" s="156"/>
      <c r="C414" s="157"/>
      <c r="D414" s="157"/>
      <c r="E414" s="158"/>
      <c r="F414" s="159" t="str">
        <f t="shared" si="12"/>
        <v/>
      </c>
      <c r="G414" s="160" t="str">
        <f t="shared" si="13"/>
        <v/>
      </c>
      <c r="H414" s="157"/>
    </row>
    <row r="415" spans="1:8" ht="15.75" x14ac:dyDescent="0.25">
      <c r="A415" s="155"/>
      <c r="B415" s="156"/>
      <c r="C415" s="157"/>
      <c r="D415" s="157"/>
      <c r="E415" s="158"/>
      <c r="F415" s="159" t="str">
        <f t="shared" si="12"/>
        <v/>
      </c>
      <c r="G415" s="160" t="str">
        <f t="shared" si="13"/>
        <v/>
      </c>
      <c r="H415" s="157"/>
    </row>
    <row r="416" spans="1:8" ht="15.75" x14ac:dyDescent="0.25">
      <c r="A416" s="155"/>
      <c r="B416" s="156"/>
      <c r="C416" s="157"/>
      <c r="D416" s="157"/>
      <c r="E416" s="158"/>
      <c r="F416" s="159" t="str">
        <f t="shared" si="12"/>
        <v/>
      </c>
      <c r="G416" s="160" t="str">
        <f t="shared" si="13"/>
        <v/>
      </c>
      <c r="H416" s="157"/>
    </row>
    <row r="417" spans="1:8" ht="15.75" x14ac:dyDescent="0.25">
      <c r="A417" s="155"/>
      <c r="B417" s="156"/>
      <c r="C417" s="157"/>
      <c r="D417" s="157"/>
      <c r="E417" s="158"/>
      <c r="F417" s="159" t="str">
        <f t="shared" si="12"/>
        <v/>
      </c>
      <c r="G417" s="160" t="str">
        <f t="shared" si="13"/>
        <v/>
      </c>
      <c r="H417" s="157"/>
    </row>
    <row r="418" spans="1:8" ht="15.75" x14ac:dyDescent="0.25">
      <c r="A418" s="155"/>
      <c r="B418" s="156"/>
      <c r="C418" s="157"/>
      <c r="D418" s="157"/>
      <c r="E418" s="158"/>
      <c r="F418" s="159" t="str">
        <f t="shared" si="12"/>
        <v/>
      </c>
      <c r="G418" s="160" t="str">
        <f t="shared" si="13"/>
        <v/>
      </c>
      <c r="H418" s="157"/>
    </row>
    <row r="419" spans="1:8" ht="15.75" x14ac:dyDescent="0.25">
      <c r="A419" s="155"/>
      <c r="B419" s="156"/>
      <c r="C419" s="157"/>
      <c r="D419" s="157"/>
      <c r="E419" s="158"/>
      <c r="F419" s="159" t="str">
        <f t="shared" si="12"/>
        <v/>
      </c>
      <c r="G419" s="160" t="str">
        <f t="shared" si="13"/>
        <v/>
      </c>
      <c r="H419" s="157"/>
    </row>
    <row r="420" spans="1:8" ht="15.75" x14ac:dyDescent="0.25">
      <c r="A420" s="155"/>
      <c r="B420" s="156"/>
      <c r="C420" s="157"/>
      <c r="D420" s="157"/>
      <c r="E420" s="158"/>
      <c r="F420" s="159" t="str">
        <f t="shared" si="12"/>
        <v/>
      </c>
      <c r="G420" s="160" t="str">
        <f t="shared" si="13"/>
        <v/>
      </c>
      <c r="H420" s="157"/>
    </row>
    <row r="421" spans="1:8" ht="15.75" x14ac:dyDescent="0.25">
      <c r="A421" s="155"/>
      <c r="B421" s="156"/>
      <c r="C421" s="157"/>
      <c r="D421" s="157"/>
      <c r="E421" s="158"/>
      <c r="F421" s="159" t="str">
        <f t="shared" si="12"/>
        <v/>
      </c>
      <c r="G421" s="160" t="str">
        <f t="shared" si="13"/>
        <v/>
      </c>
      <c r="H421" s="157"/>
    </row>
    <row r="422" spans="1:8" ht="15.75" x14ac:dyDescent="0.25">
      <c r="A422" s="155"/>
      <c r="B422" s="156"/>
      <c r="C422" s="157"/>
      <c r="D422" s="157"/>
      <c r="E422" s="158"/>
      <c r="F422" s="159" t="str">
        <f t="shared" si="12"/>
        <v/>
      </c>
      <c r="G422" s="160" t="str">
        <f t="shared" si="13"/>
        <v/>
      </c>
      <c r="H422" s="157"/>
    </row>
    <row r="423" spans="1:8" ht="15.75" x14ac:dyDescent="0.25">
      <c r="A423" s="155"/>
      <c r="B423" s="156"/>
      <c r="C423" s="157"/>
      <c r="D423" s="157"/>
      <c r="E423" s="158"/>
      <c r="F423" s="159" t="str">
        <f t="shared" si="12"/>
        <v/>
      </c>
      <c r="G423" s="160" t="str">
        <f t="shared" si="13"/>
        <v/>
      </c>
      <c r="H423" s="157"/>
    </row>
    <row r="424" spans="1:8" ht="15.75" x14ac:dyDescent="0.25">
      <c r="A424" s="155"/>
      <c r="B424" s="156"/>
      <c r="C424" s="157"/>
      <c r="D424" s="157"/>
      <c r="E424" s="158"/>
      <c r="F424" s="159" t="str">
        <f t="shared" si="12"/>
        <v/>
      </c>
      <c r="G424" s="160" t="str">
        <f t="shared" si="13"/>
        <v/>
      </c>
      <c r="H424" s="157"/>
    </row>
    <row r="425" spans="1:8" ht="15.75" x14ac:dyDescent="0.25">
      <c r="A425" s="155"/>
      <c r="B425" s="156"/>
      <c r="C425" s="157"/>
      <c r="D425" s="157"/>
      <c r="E425" s="158"/>
      <c r="F425" s="159" t="str">
        <f t="shared" si="12"/>
        <v/>
      </c>
      <c r="G425" s="160" t="str">
        <f t="shared" si="13"/>
        <v/>
      </c>
      <c r="H425" s="157"/>
    </row>
    <row r="426" spans="1:8" ht="15.75" x14ac:dyDescent="0.25">
      <c r="A426" s="155"/>
      <c r="B426" s="156"/>
      <c r="C426" s="157"/>
      <c r="D426" s="157"/>
      <c r="E426" s="158"/>
      <c r="F426" s="159" t="str">
        <f t="shared" si="12"/>
        <v/>
      </c>
      <c r="G426" s="160" t="str">
        <f t="shared" si="13"/>
        <v/>
      </c>
      <c r="H426" s="157"/>
    </row>
    <row r="427" spans="1:8" ht="15.75" x14ac:dyDescent="0.25">
      <c r="A427" s="155"/>
      <c r="B427" s="156"/>
      <c r="C427" s="157"/>
      <c r="D427" s="157"/>
      <c r="E427" s="158"/>
      <c r="F427" s="159" t="str">
        <f t="shared" si="12"/>
        <v/>
      </c>
      <c r="G427" s="160" t="str">
        <f t="shared" si="13"/>
        <v/>
      </c>
      <c r="H427" s="157"/>
    </row>
    <row r="428" spans="1:8" ht="15.75" x14ac:dyDescent="0.25">
      <c r="A428" s="155"/>
      <c r="B428" s="156"/>
      <c r="C428" s="157"/>
      <c r="D428" s="157"/>
      <c r="E428" s="158"/>
      <c r="F428" s="159" t="str">
        <f t="shared" si="12"/>
        <v/>
      </c>
      <c r="G428" s="160" t="str">
        <f t="shared" si="13"/>
        <v/>
      </c>
      <c r="H428" s="157"/>
    </row>
    <row r="429" spans="1:8" ht="15.75" x14ac:dyDescent="0.25">
      <c r="A429" s="155"/>
      <c r="B429" s="156"/>
      <c r="C429" s="157"/>
      <c r="D429" s="157"/>
      <c r="E429" s="158"/>
      <c r="F429" s="159" t="str">
        <f t="shared" si="12"/>
        <v/>
      </c>
      <c r="G429" s="160" t="str">
        <f t="shared" si="13"/>
        <v/>
      </c>
      <c r="H429" s="157"/>
    </row>
    <row r="430" spans="1:8" ht="15.75" x14ac:dyDescent="0.25">
      <c r="A430" s="155"/>
      <c r="B430" s="156"/>
      <c r="C430" s="157"/>
      <c r="D430" s="157"/>
      <c r="E430" s="158"/>
      <c r="F430" s="159" t="str">
        <f t="shared" si="12"/>
        <v/>
      </c>
      <c r="G430" s="160" t="str">
        <f t="shared" si="13"/>
        <v/>
      </c>
      <c r="H430" s="157"/>
    </row>
    <row r="431" spans="1:8" ht="15.75" x14ac:dyDescent="0.25">
      <c r="A431" s="155"/>
      <c r="B431" s="156"/>
      <c r="C431" s="157"/>
      <c r="D431" s="157"/>
      <c r="E431" s="158"/>
      <c r="F431" s="159" t="str">
        <f t="shared" si="12"/>
        <v/>
      </c>
      <c r="G431" s="160" t="str">
        <f t="shared" si="13"/>
        <v/>
      </c>
      <c r="H431" s="157"/>
    </row>
    <row r="432" spans="1:8" ht="15.75" x14ac:dyDescent="0.25">
      <c r="A432" s="155"/>
      <c r="B432" s="156"/>
      <c r="C432" s="157"/>
      <c r="D432" s="157"/>
      <c r="E432" s="158"/>
      <c r="F432" s="159" t="str">
        <f t="shared" si="12"/>
        <v/>
      </c>
      <c r="G432" s="160" t="str">
        <f t="shared" si="13"/>
        <v/>
      </c>
      <c r="H432" s="157"/>
    </row>
    <row r="433" spans="1:8" ht="15.75" x14ac:dyDescent="0.25">
      <c r="A433" s="155"/>
      <c r="B433" s="156"/>
      <c r="C433" s="157"/>
      <c r="D433" s="157"/>
      <c r="E433" s="158"/>
      <c r="F433" s="159" t="str">
        <f t="shared" si="12"/>
        <v/>
      </c>
      <c r="G433" s="160" t="str">
        <f t="shared" si="13"/>
        <v/>
      </c>
      <c r="H433" s="157"/>
    </row>
    <row r="434" spans="1:8" ht="15.75" x14ac:dyDescent="0.25">
      <c r="A434" s="155"/>
      <c r="B434" s="156"/>
      <c r="C434" s="157"/>
      <c r="D434" s="157"/>
      <c r="E434" s="158"/>
      <c r="F434" s="159" t="str">
        <f t="shared" si="12"/>
        <v/>
      </c>
      <c r="G434" s="160" t="str">
        <f t="shared" si="13"/>
        <v/>
      </c>
      <c r="H434" s="157"/>
    </row>
    <row r="435" spans="1:8" ht="15.75" x14ac:dyDescent="0.25">
      <c r="A435" s="155"/>
      <c r="B435" s="156"/>
      <c r="C435" s="157"/>
      <c r="D435" s="157"/>
      <c r="E435" s="158"/>
      <c r="F435" s="159" t="str">
        <f t="shared" si="12"/>
        <v/>
      </c>
      <c r="G435" s="160" t="str">
        <f t="shared" si="13"/>
        <v/>
      </c>
      <c r="H435" s="157"/>
    </row>
    <row r="436" spans="1:8" ht="15.75" x14ac:dyDescent="0.25">
      <c r="A436" s="155"/>
      <c r="B436" s="156"/>
      <c r="C436" s="157"/>
      <c r="D436" s="157"/>
      <c r="E436" s="158"/>
      <c r="F436" s="159" t="str">
        <f t="shared" si="12"/>
        <v/>
      </c>
      <c r="G436" s="160" t="str">
        <f t="shared" si="13"/>
        <v/>
      </c>
      <c r="H436" s="157"/>
    </row>
    <row r="437" spans="1:8" ht="15.75" x14ac:dyDescent="0.25">
      <c r="A437" s="155"/>
      <c r="B437" s="156"/>
      <c r="C437" s="157"/>
      <c r="D437" s="157"/>
      <c r="E437" s="158"/>
      <c r="F437" s="159" t="str">
        <f t="shared" si="12"/>
        <v/>
      </c>
      <c r="G437" s="160" t="str">
        <f t="shared" si="13"/>
        <v/>
      </c>
      <c r="H437" s="157"/>
    </row>
    <row r="438" spans="1:8" ht="15.75" x14ac:dyDescent="0.25">
      <c r="A438" s="155"/>
      <c r="B438" s="156"/>
      <c r="C438" s="157"/>
      <c r="D438" s="157"/>
      <c r="E438" s="158"/>
      <c r="F438" s="159" t="str">
        <f t="shared" si="12"/>
        <v/>
      </c>
      <c r="G438" s="160" t="str">
        <f t="shared" si="13"/>
        <v/>
      </c>
      <c r="H438" s="157"/>
    </row>
    <row r="439" spans="1:8" ht="15.75" x14ac:dyDescent="0.25">
      <c r="A439" s="155"/>
      <c r="B439" s="156"/>
      <c r="C439" s="157"/>
      <c r="D439" s="157"/>
      <c r="E439" s="158"/>
      <c r="F439" s="159" t="str">
        <f t="shared" si="12"/>
        <v/>
      </c>
      <c r="G439" s="160" t="str">
        <f t="shared" si="13"/>
        <v/>
      </c>
      <c r="H439" s="157"/>
    </row>
    <row r="440" spans="1:8" ht="15.75" x14ac:dyDescent="0.25">
      <c r="A440" s="155"/>
      <c r="B440" s="156"/>
      <c r="C440" s="157"/>
      <c r="D440" s="157"/>
      <c r="E440" s="158"/>
      <c r="F440" s="159" t="str">
        <f t="shared" si="12"/>
        <v/>
      </c>
      <c r="G440" s="160" t="str">
        <f t="shared" si="13"/>
        <v/>
      </c>
      <c r="H440" s="157"/>
    </row>
    <row r="441" spans="1:8" ht="15.75" x14ac:dyDescent="0.25">
      <c r="A441" s="155"/>
      <c r="B441" s="156"/>
      <c r="C441" s="157"/>
      <c r="D441" s="157"/>
      <c r="E441" s="158"/>
      <c r="F441" s="159" t="str">
        <f t="shared" si="12"/>
        <v/>
      </c>
      <c r="G441" s="160" t="str">
        <f t="shared" si="13"/>
        <v/>
      </c>
      <c r="H441" s="157"/>
    </row>
    <row r="442" spans="1:8" ht="15.75" x14ac:dyDescent="0.25">
      <c r="A442" s="155"/>
      <c r="B442" s="156"/>
      <c r="C442" s="157"/>
      <c r="D442" s="157"/>
      <c r="E442" s="158"/>
      <c r="F442" s="159" t="str">
        <f t="shared" si="12"/>
        <v/>
      </c>
      <c r="G442" s="160" t="str">
        <f t="shared" si="13"/>
        <v/>
      </c>
      <c r="H442" s="157"/>
    </row>
    <row r="443" spans="1:8" ht="15.75" x14ac:dyDescent="0.25">
      <c r="A443" s="155"/>
      <c r="B443" s="156"/>
      <c r="C443" s="157"/>
      <c r="D443" s="157"/>
      <c r="E443" s="158"/>
      <c r="F443" s="159" t="str">
        <f t="shared" si="12"/>
        <v/>
      </c>
      <c r="G443" s="160" t="str">
        <f t="shared" si="13"/>
        <v/>
      </c>
      <c r="H443" s="157"/>
    </row>
    <row r="444" spans="1:8" ht="15.75" x14ac:dyDescent="0.25">
      <c r="A444" s="155"/>
      <c r="B444" s="156"/>
      <c r="C444" s="157"/>
      <c r="D444" s="157"/>
      <c r="E444" s="158"/>
      <c r="F444" s="159" t="str">
        <f t="shared" si="12"/>
        <v/>
      </c>
      <c r="G444" s="160" t="str">
        <f t="shared" si="13"/>
        <v/>
      </c>
      <c r="H444" s="157"/>
    </row>
    <row r="445" spans="1:8" ht="15.75" x14ac:dyDescent="0.25">
      <c r="A445" s="155"/>
      <c r="B445" s="156"/>
      <c r="C445" s="157"/>
      <c r="D445" s="157"/>
      <c r="E445" s="158"/>
      <c r="F445" s="159" t="str">
        <f t="shared" si="12"/>
        <v/>
      </c>
      <c r="G445" s="160" t="str">
        <f t="shared" si="13"/>
        <v/>
      </c>
      <c r="H445" s="157"/>
    </row>
    <row r="446" spans="1:8" ht="15.75" x14ac:dyDescent="0.25">
      <c r="A446" s="155"/>
      <c r="B446" s="156"/>
      <c r="C446" s="157"/>
      <c r="D446" s="157"/>
      <c r="E446" s="158"/>
      <c r="F446" s="159" t="str">
        <f t="shared" si="12"/>
        <v/>
      </c>
      <c r="G446" s="160" t="str">
        <f t="shared" si="13"/>
        <v/>
      </c>
      <c r="H446" s="157"/>
    </row>
    <row r="447" spans="1:8" ht="15.75" x14ac:dyDescent="0.25">
      <c r="A447" s="155"/>
      <c r="B447" s="156"/>
      <c r="C447" s="157"/>
      <c r="D447" s="157"/>
      <c r="E447" s="158"/>
      <c r="F447" s="159" t="str">
        <f t="shared" si="12"/>
        <v/>
      </c>
      <c r="G447" s="160" t="str">
        <f t="shared" si="13"/>
        <v/>
      </c>
      <c r="H447" s="157"/>
    </row>
    <row r="448" spans="1:8" ht="15.75" x14ac:dyDescent="0.25">
      <c r="A448" s="155"/>
      <c r="B448" s="156"/>
      <c r="C448" s="157"/>
      <c r="D448" s="157"/>
      <c r="E448" s="158"/>
      <c r="F448" s="159" t="str">
        <f t="shared" si="12"/>
        <v/>
      </c>
      <c r="G448" s="160" t="str">
        <f t="shared" si="13"/>
        <v/>
      </c>
      <c r="H448" s="157"/>
    </row>
    <row r="449" spans="1:8" ht="15.75" x14ac:dyDescent="0.25">
      <c r="A449" s="155"/>
      <c r="B449" s="156"/>
      <c r="C449" s="157"/>
      <c r="D449" s="157"/>
      <c r="E449" s="158"/>
      <c r="F449" s="159" t="str">
        <f t="shared" si="12"/>
        <v/>
      </c>
      <c r="G449" s="160" t="str">
        <f t="shared" si="13"/>
        <v/>
      </c>
      <c r="H449" s="157"/>
    </row>
    <row r="450" spans="1:8" ht="15.75" x14ac:dyDescent="0.25">
      <c r="A450" s="155"/>
      <c r="B450" s="156"/>
      <c r="C450" s="157"/>
      <c r="D450" s="157"/>
      <c r="E450" s="158"/>
      <c r="F450" s="159" t="str">
        <f t="shared" si="12"/>
        <v/>
      </c>
      <c r="G450" s="160" t="str">
        <f t="shared" si="13"/>
        <v/>
      </c>
      <c r="H450" s="157"/>
    </row>
    <row r="451" spans="1:8" ht="15.75" x14ac:dyDescent="0.25">
      <c r="A451" s="155"/>
      <c r="B451" s="156"/>
      <c r="C451" s="157"/>
      <c r="D451" s="157"/>
      <c r="E451" s="158"/>
      <c r="F451" s="159" t="str">
        <f t="shared" si="12"/>
        <v/>
      </c>
      <c r="G451" s="160" t="str">
        <f t="shared" si="13"/>
        <v/>
      </c>
      <c r="H451" s="157"/>
    </row>
    <row r="452" spans="1:8" ht="15.75" x14ac:dyDescent="0.25">
      <c r="A452" s="155"/>
      <c r="B452" s="156"/>
      <c r="C452" s="157"/>
      <c r="D452" s="157"/>
      <c r="E452" s="158"/>
      <c r="F452" s="159" t="str">
        <f t="shared" si="12"/>
        <v/>
      </c>
      <c r="G452" s="160" t="str">
        <f t="shared" si="13"/>
        <v/>
      </c>
      <c r="H452" s="157"/>
    </row>
    <row r="453" spans="1:8" ht="15.75" x14ac:dyDescent="0.25">
      <c r="A453" s="155"/>
      <c r="B453" s="156"/>
      <c r="C453" s="157"/>
      <c r="D453" s="157"/>
      <c r="E453" s="158"/>
      <c r="F453" s="159" t="str">
        <f t="shared" si="12"/>
        <v/>
      </c>
      <c r="G453" s="160" t="str">
        <f t="shared" si="13"/>
        <v/>
      </c>
      <c r="H453" s="157"/>
    </row>
    <row r="454" spans="1:8" ht="15.75" x14ac:dyDescent="0.25">
      <c r="A454" s="155"/>
      <c r="B454" s="156"/>
      <c r="C454" s="157"/>
      <c r="D454" s="157"/>
      <c r="E454" s="158"/>
      <c r="F454" s="159" t="str">
        <f t="shared" si="12"/>
        <v/>
      </c>
      <c r="G454" s="160" t="str">
        <f t="shared" si="13"/>
        <v/>
      </c>
      <c r="H454" s="157"/>
    </row>
    <row r="455" spans="1:8" ht="15.75" x14ac:dyDescent="0.25">
      <c r="A455" s="155"/>
      <c r="B455" s="156"/>
      <c r="C455" s="157"/>
      <c r="D455" s="157"/>
      <c r="E455" s="158"/>
      <c r="F455" s="159" t="str">
        <f t="shared" si="12"/>
        <v/>
      </c>
      <c r="G455" s="160" t="str">
        <f t="shared" si="13"/>
        <v/>
      </c>
      <c r="H455" s="157"/>
    </row>
    <row r="456" spans="1:8" ht="15.75" x14ac:dyDescent="0.25">
      <c r="A456" s="155"/>
      <c r="B456" s="156"/>
      <c r="C456" s="157"/>
      <c r="D456" s="157"/>
      <c r="E456" s="158"/>
      <c r="F456" s="159" t="str">
        <f t="shared" si="12"/>
        <v/>
      </c>
      <c r="G456" s="160" t="str">
        <f t="shared" si="13"/>
        <v/>
      </c>
      <c r="H456" s="157"/>
    </row>
    <row r="457" spans="1:8" ht="15.75" x14ac:dyDescent="0.25">
      <c r="A457" s="155"/>
      <c r="B457" s="156"/>
      <c r="C457" s="157"/>
      <c r="D457" s="157"/>
      <c r="E457" s="158"/>
      <c r="F457" s="159" t="str">
        <f t="shared" si="12"/>
        <v/>
      </c>
      <c r="G457" s="160" t="str">
        <f t="shared" si="13"/>
        <v/>
      </c>
      <c r="H457" s="157"/>
    </row>
    <row r="458" spans="1:8" ht="15.75" x14ac:dyDescent="0.25">
      <c r="A458" s="155"/>
      <c r="B458" s="156"/>
      <c r="C458" s="157"/>
      <c r="D458" s="157"/>
      <c r="E458" s="158"/>
      <c r="F458" s="159" t="str">
        <f t="shared" si="12"/>
        <v/>
      </c>
      <c r="G458" s="160" t="str">
        <f t="shared" si="13"/>
        <v/>
      </c>
      <c r="H458" s="157"/>
    </row>
    <row r="459" spans="1:8" ht="15.75" x14ac:dyDescent="0.25">
      <c r="A459" s="155"/>
      <c r="B459" s="156"/>
      <c r="C459" s="157"/>
      <c r="D459" s="157"/>
      <c r="E459" s="158"/>
      <c r="F459" s="159" t="str">
        <f t="shared" si="12"/>
        <v/>
      </c>
      <c r="G459" s="160" t="str">
        <f t="shared" si="13"/>
        <v/>
      </c>
      <c r="H459" s="157"/>
    </row>
    <row r="460" spans="1:8" ht="15.75" x14ac:dyDescent="0.25">
      <c r="A460" s="155"/>
      <c r="B460" s="156"/>
      <c r="C460" s="157"/>
      <c r="D460" s="157"/>
      <c r="E460" s="158"/>
      <c r="F460" s="159" t="str">
        <f t="shared" si="12"/>
        <v/>
      </c>
      <c r="G460" s="160" t="str">
        <f t="shared" si="13"/>
        <v/>
      </c>
      <c r="H460" s="157"/>
    </row>
    <row r="461" spans="1:8" ht="15.75" x14ac:dyDescent="0.25">
      <c r="A461" s="155"/>
      <c r="B461" s="156"/>
      <c r="C461" s="157"/>
      <c r="D461" s="157"/>
      <c r="E461" s="158"/>
      <c r="F461" s="159" t="str">
        <f t="shared" si="12"/>
        <v/>
      </c>
      <c r="G461" s="160" t="str">
        <f t="shared" si="13"/>
        <v/>
      </c>
      <c r="H461" s="157"/>
    </row>
    <row r="462" spans="1:8" ht="15.75" x14ac:dyDescent="0.25">
      <c r="A462" s="155"/>
      <c r="B462" s="156"/>
      <c r="C462" s="157"/>
      <c r="D462" s="157"/>
      <c r="E462" s="158"/>
      <c r="F462" s="159" t="str">
        <f t="shared" si="12"/>
        <v/>
      </c>
      <c r="G462" s="160" t="str">
        <f t="shared" si="13"/>
        <v/>
      </c>
      <c r="H462" s="157"/>
    </row>
    <row r="463" spans="1:8" ht="15.75" x14ac:dyDescent="0.25">
      <c r="A463" s="155"/>
      <c r="B463" s="156"/>
      <c r="C463" s="157"/>
      <c r="D463" s="157"/>
      <c r="E463" s="158"/>
      <c r="F463" s="159" t="str">
        <f t="shared" si="12"/>
        <v/>
      </c>
      <c r="G463" s="160" t="str">
        <f t="shared" si="13"/>
        <v/>
      </c>
      <c r="H463" s="157"/>
    </row>
    <row r="464" spans="1:8" ht="15.75" x14ac:dyDescent="0.25">
      <c r="A464" s="155"/>
      <c r="B464" s="156"/>
      <c r="C464" s="157"/>
      <c r="D464" s="157"/>
      <c r="E464" s="158"/>
      <c r="F464" s="159" t="str">
        <f t="shared" ref="F464:F515" si="14">IF(E464="","",E464*$F$3)</f>
        <v/>
      </c>
      <c r="G464" s="160" t="str">
        <f t="shared" ref="G464:G515" si="15">IF(AND(ISNUMBER(A464),E464&lt;&gt;""),IF(YEAR(A464)*100+MONTH(A464)=$G$3,"✓",""),"")</f>
        <v/>
      </c>
      <c r="H464" s="157"/>
    </row>
    <row r="465" spans="1:8" ht="15.75" x14ac:dyDescent="0.25">
      <c r="A465" s="155"/>
      <c r="B465" s="156"/>
      <c r="C465" s="157"/>
      <c r="D465" s="157"/>
      <c r="E465" s="158"/>
      <c r="F465" s="159" t="str">
        <f t="shared" si="14"/>
        <v/>
      </c>
      <c r="G465" s="160" t="str">
        <f t="shared" si="15"/>
        <v/>
      </c>
      <c r="H465" s="157"/>
    </row>
    <row r="466" spans="1:8" ht="15.75" x14ac:dyDescent="0.25">
      <c r="A466" s="155"/>
      <c r="B466" s="156"/>
      <c r="C466" s="157"/>
      <c r="D466" s="157"/>
      <c r="E466" s="158"/>
      <c r="F466" s="159" t="str">
        <f t="shared" si="14"/>
        <v/>
      </c>
      <c r="G466" s="160" t="str">
        <f t="shared" si="15"/>
        <v/>
      </c>
      <c r="H466" s="157"/>
    </row>
    <row r="467" spans="1:8" ht="15.75" x14ac:dyDescent="0.25">
      <c r="A467" s="155"/>
      <c r="B467" s="156"/>
      <c r="C467" s="157"/>
      <c r="D467" s="157"/>
      <c r="E467" s="158"/>
      <c r="F467" s="159" t="str">
        <f t="shared" si="14"/>
        <v/>
      </c>
      <c r="G467" s="160" t="str">
        <f t="shared" si="15"/>
        <v/>
      </c>
      <c r="H467" s="157"/>
    </row>
    <row r="468" spans="1:8" ht="15.75" x14ac:dyDescent="0.25">
      <c r="A468" s="155"/>
      <c r="B468" s="156"/>
      <c r="C468" s="157"/>
      <c r="D468" s="157"/>
      <c r="E468" s="158"/>
      <c r="F468" s="159" t="str">
        <f t="shared" si="14"/>
        <v/>
      </c>
      <c r="G468" s="160" t="str">
        <f t="shared" si="15"/>
        <v/>
      </c>
      <c r="H468" s="157"/>
    </row>
    <row r="469" spans="1:8" ht="15.75" x14ac:dyDescent="0.25">
      <c r="A469" s="155"/>
      <c r="B469" s="156"/>
      <c r="C469" s="157"/>
      <c r="D469" s="157"/>
      <c r="E469" s="158"/>
      <c r="F469" s="159" t="str">
        <f t="shared" si="14"/>
        <v/>
      </c>
      <c r="G469" s="160" t="str">
        <f t="shared" si="15"/>
        <v/>
      </c>
      <c r="H469" s="157"/>
    </row>
    <row r="470" spans="1:8" ht="15.75" x14ac:dyDescent="0.25">
      <c r="A470" s="155"/>
      <c r="B470" s="156"/>
      <c r="C470" s="157"/>
      <c r="D470" s="157"/>
      <c r="E470" s="158"/>
      <c r="F470" s="159" t="str">
        <f t="shared" si="14"/>
        <v/>
      </c>
      <c r="G470" s="160" t="str">
        <f t="shared" si="15"/>
        <v/>
      </c>
      <c r="H470" s="157"/>
    </row>
    <row r="471" spans="1:8" ht="15.75" x14ac:dyDescent="0.25">
      <c r="A471" s="155"/>
      <c r="B471" s="156"/>
      <c r="C471" s="157"/>
      <c r="D471" s="157"/>
      <c r="E471" s="158"/>
      <c r="F471" s="159" t="str">
        <f t="shared" si="14"/>
        <v/>
      </c>
      <c r="G471" s="160" t="str">
        <f t="shared" si="15"/>
        <v/>
      </c>
      <c r="H471" s="157"/>
    </row>
    <row r="472" spans="1:8" ht="15.75" x14ac:dyDescent="0.25">
      <c r="A472" s="155"/>
      <c r="B472" s="156"/>
      <c r="C472" s="157"/>
      <c r="D472" s="157"/>
      <c r="E472" s="158"/>
      <c r="F472" s="159" t="str">
        <f t="shared" si="14"/>
        <v/>
      </c>
      <c r="G472" s="160" t="str">
        <f t="shared" si="15"/>
        <v/>
      </c>
      <c r="H472" s="157"/>
    </row>
    <row r="473" spans="1:8" ht="15.75" x14ac:dyDescent="0.25">
      <c r="A473" s="155"/>
      <c r="B473" s="156"/>
      <c r="C473" s="157"/>
      <c r="D473" s="157"/>
      <c r="E473" s="158"/>
      <c r="F473" s="159" t="str">
        <f t="shared" si="14"/>
        <v/>
      </c>
      <c r="G473" s="160" t="str">
        <f t="shared" si="15"/>
        <v/>
      </c>
      <c r="H473" s="157"/>
    </row>
    <row r="474" spans="1:8" ht="15.75" x14ac:dyDescent="0.25">
      <c r="A474" s="155"/>
      <c r="B474" s="156"/>
      <c r="C474" s="157"/>
      <c r="D474" s="157"/>
      <c r="E474" s="158"/>
      <c r="F474" s="159" t="str">
        <f t="shared" si="14"/>
        <v/>
      </c>
      <c r="G474" s="160" t="str">
        <f t="shared" si="15"/>
        <v/>
      </c>
      <c r="H474" s="157"/>
    </row>
    <row r="475" spans="1:8" ht="15.75" x14ac:dyDescent="0.25">
      <c r="A475" s="155"/>
      <c r="B475" s="156"/>
      <c r="C475" s="157"/>
      <c r="D475" s="157"/>
      <c r="E475" s="158"/>
      <c r="F475" s="159" t="str">
        <f t="shared" si="14"/>
        <v/>
      </c>
      <c r="G475" s="160" t="str">
        <f t="shared" si="15"/>
        <v/>
      </c>
      <c r="H475" s="157"/>
    </row>
    <row r="476" spans="1:8" ht="15.75" x14ac:dyDescent="0.25">
      <c r="A476" s="155"/>
      <c r="B476" s="156"/>
      <c r="C476" s="157"/>
      <c r="D476" s="157"/>
      <c r="E476" s="158"/>
      <c r="F476" s="159" t="str">
        <f t="shared" si="14"/>
        <v/>
      </c>
      <c r="G476" s="160" t="str">
        <f t="shared" si="15"/>
        <v/>
      </c>
      <c r="H476" s="157"/>
    </row>
    <row r="477" spans="1:8" ht="15.75" x14ac:dyDescent="0.25">
      <c r="A477" s="155"/>
      <c r="B477" s="156"/>
      <c r="C477" s="157"/>
      <c r="D477" s="157"/>
      <c r="E477" s="158"/>
      <c r="F477" s="159" t="str">
        <f t="shared" si="14"/>
        <v/>
      </c>
      <c r="G477" s="160" t="str">
        <f t="shared" si="15"/>
        <v/>
      </c>
      <c r="H477" s="157"/>
    </row>
    <row r="478" spans="1:8" ht="15.75" x14ac:dyDescent="0.25">
      <c r="A478" s="155"/>
      <c r="B478" s="156"/>
      <c r="C478" s="157"/>
      <c r="D478" s="157"/>
      <c r="E478" s="158"/>
      <c r="F478" s="159" t="str">
        <f t="shared" si="14"/>
        <v/>
      </c>
      <c r="G478" s="160" t="str">
        <f t="shared" si="15"/>
        <v/>
      </c>
      <c r="H478" s="157"/>
    </row>
    <row r="479" spans="1:8" ht="15.75" x14ac:dyDescent="0.25">
      <c r="A479" s="155"/>
      <c r="B479" s="156"/>
      <c r="C479" s="157"/>
      <c r="D479" s="157"/>
      <c r="E479" s="158"/>
      <c r="F479" s="159" t="str">
        <f t="shared" si="14"/>
        <v/>
      </c>
      <c r="G479" s="160" t="str">
        <f t="shared" si="15"/>
        <v/>
      </c>
      <c r="H479" s="157"/>
    </row>
    <row r="480" spans="1:8" ht="15.75" x14ac:dyDescent="0.25">
      <c r="A480" s="155"/>
      <c r="B480" s="156"/>
      <c r="C480" s="157"/>
      <c r="D480" s="157"/>
      <c r="E480" s="158"/>
      <c r="F480" s="159" t="str">
        <f t="shared" si="14"/>
        <v/>
      </c>
      <c r="G480" s="160" t="str">
        <f t="shared" si="15"/>
        <v/>
      </c>
      <c r="H480" s="157"/>
    </row>
    <row r="481" spans="1:8" ht="15.75" x14ac:dyDescent="0.25">
      <c r="A481" s="155"/>
      <c r="B481" s="156"/>
      <c r="C481" s="157"/>
      <c r="D481" s="157"/>
      <c r="E481" s="158"/>
      <c r="F481" s="159" t="str">
        <f t="shared" si="14"/>
        <v/>
      </c>
      <c r="G481" s="160" t="str">
        <f t="shared" si="15"/>
        <v/>
      </c>
      <c r="H481" s="157"/>
    </row>
    <row r="482" spans="1:8" ht="15.75" x14ac:dyDescent="0.25">
      <c r="A482" s="155"/>
      <c r="B482" s="156"/>
      <c r="C482" s="157"/>
      <c r="D482" s="157"/>
      <c r="E482" s="158"/>
      <c r="F482" s="159" t="str">
        <f t="shared" si="14"/>
        <v/>
      </c>
      <c r="G482" s="160" t="str">
        <f t="shared" si="15"/>
        <v/>
      </c>
      <c r="H482" s="157"/>
    </row>
    <row r="483" spans="1:8" ht="15.75" x14ac:dyDescent="0.25">
      <c r="A483" s="155"/>
      <c r="B483" s="156"/>
      <c r="C483" s="157"/>
      <c r="D483" s="157"/>
      <c r="E483" s="158"/>
      <c r="F483" s="159" t="str">
        <f t="shared" si="14"/>
        <v/>
      </c>
      <c r="G483" s="160" t="str">
        <f t="shared" si="15"/>
        <v/>
      </c>
      <c r="H483" s="157"/>
    </row>
    <row r="484" spans="1:8" ht="15.75" x14ac:dyDescent="0.25">
      <c r="A484" s="155"/>
      <c r="B484" s="156"/>
      <c r="C484" s="157"/>
      <c r="D484" s="157"/>
      <c r="E484" s="158"/>
      <c r="F484" s="159" t="str">
        <f t="shared" si="14"/>
        <v/>
      </c>
      <c r="G484" s="160" t="str">
        <f t="shared" si="15"/>
        <v/>
      </c>
      <c r="H484" s="157"/>
    </row>
    <row r="485" spans="1:8" ht="15.75" x14ac:dyDescent="0.25">
      <c r="A485" s="155"/>
      <c r="B485" s="156"/>
      <c r="C485" s="157"/>
      <c r="D485" s="157"/>
      <c r="E485" s="158"/>
      <c r="F485" s="159" t="str">
        <f t="shared" si="14"/>
        <v/>
      </c>
      <c r="G485" s="160" t="str">
        <f t="shared" si="15"/>
        <v/>
      </c>
      <c r="H485" s="157"/>
    </row>
    <row r="486" spans="1:8" ht="15.75" x14ac:dyDescent="0.25">
      <c r="A486" s="155"/>
      <c r="B486" s="156"/>
      <c r="C486" s="157"/>
      <c r="D486" s="157"/>
      <c r="E486" s="158"/>
      <c r="F486" s="159" t="str">
        <f t="shared" si="14"/>
        <v/>
      </c>
      <c r="G486" s="160" t="str">
        <f t="shared" si="15"/>
        <v/>
      </c>
      <c r="H486" s="157"/>
    </row>
    <row r="487" spans="1:8" ht="15.75" x14ac:dyDescent="0.25">
      <c r="A487" s="155"/>
      <c r="B487" s="156"/>
      <c r="C487" s="157"/>
      <c r="D487" s="157"/>
      <c r="E487" s="158"/>
      <c r="F487" s="159" t="str">
        <f t="shared" si="14"/>
        <v/>
      </c>
      <c r="G487" s="160" t="str">
        <f t="shared" si="15"/>
        <v/>
      </c>
      <c r="H487" s="157"/>
    </row>
    <row r="488" spans="1:8" ht="15.75" x14ac:dyDescent="0.25">
      <c r="A488" s="155"/>
      <c r="B488" s="156"/>
      <c r="C488" s="157"/>
      <c r="D488" s="157"/>
      <c r="E488" s="158"/>
      <c r="F488" s="159" t="str">
        <f t="shared" si="14"/>
        <v/>
      </c>
      <c r="G488" s="160" t="str">
        <f t="shared" si="15"/>
        <v/>
      </c>
      <c r="H488" s="157"/>
    </row>
    <row r="489" spans="1:8" ht="15.75" x14ac:dyDescent="0.25">
      <c r="A489" s="155"/>
      <c r="B489" s="156"/>
      <c r="C489" s="157"/>
      <c r="D489" s="157"/>
      <c r="E489" s="158"/>
      <c r="F489" s="159" t="str">
        <f t="shared" si="14"/>
        <v/>
      </c>
      <c r="G489" s="160" t="str">
        <f t="shared" si="15"/>
        <v/>
      </c>
      <c r="H489" s="157"/>
    </row>
    <row r="490" spans="1:8" ht="15.75" x14ac:dyDescent="0.25">
      <c r="A490" s="155"/>
      <c r="B490" s="156"/>
      <c r="C490" s="157"/>
      <c r="D490" s="157"/>
      <c r="E490" s="158"/>
      <c r="F490" s="159" t="str">
        <f t="shared" si="14"/>
        <v/>
      </c>
      <c r="G490" s="160" t="str">
        <f t="shared" si="15"/>
        <v/>
      </c>
      <c r="H490" s="157"/>
    </row>
    <row r="491" spans="1:8" ht="15.75" x14ac:dyDescent="0.25">
      <c r="A491" s="155"/>
      <c r="B491" s="156"/>
      <c r="C491" s="157"/>
      <c r="D491" s="157"/>
      <c r="E491" s="158"/>
      <c r="F491" s="159" t="str">
        <f t="shared" si="14"/>
        <v/>
      </c>
      <c r="G491" s="160" t="str">
        <f t="shared" si="15"/>
        <v/>
      </c>
      <c r="H491" s="157"/>
    </row>
    <row r="492" spans="1:8" ht="15.75" x14ac:dyDescent="0.25">
      <c r="A492" s="155"/>
      <c r="B492" s="156"/>
      <c r="C492" s="157"/>
      <c r="D492" s="157"/>
      <c r="E492" s="158"/>
      <c r="F492" s="159" t="str">
        <f t="shared" si="14"/>
        <v/>
      </c>
      <c r="G492" s="160" t="str">
        <f t="shared" si="15"/>
        <v/>
      </c>
      <c r="H492" s="157"/>
    </row>
    <row r="493" spans="1:8" ht="15.75" x14ac:dyDescent="0.25">
      <c r="A493" s="155"/>
      <c r="B493" s="156"/>
      <c r="C493" s="157"/>
      <c r="D493" s="157"/>
      <c r="E493" s="158"/>
      <c r="F493" s="159" t="str">
        <f t="shared" si="14"/>
        <v/>
      </c>
      <c r="G493" s="160" t="str">
        <f t="shared" si="15"/>
        <v/>
      </c>
      <c r="H493" s="157"/>
    </row>
    <row r="494" spans="1:8" ht="15.75" x14ac:dyDescent="0.25">
      <c r="A494" s="155"/>
      <c r="B494" s="156"/>
      <c r="C494" s="157"/>
      <c r="D494" s="157"/>
      <c r="E494" s="158"/>
      <c r="F494" s="159" t="str">
        <f t="shared" si="14"/>
        <v/>
      </c>
      <c r="G494" s="160" t="str">
        <f t="shared" si="15"/>
        <v/>
      </c>
      <c r="H494" s="157"/>
    </row>
    <row r="495" spans="1:8" ht="15.75" x14ac:dyDescent="0.25">
      <c r="A495" s="155"/>
      <c r="B495" s="156"/>
      <c r="C495" s="157"/>
      <c r="D495" s="157"/>
      <c r="E495" s="158"/>
      <c r="F495" s="159" t="str">
        <f t="shared" si="14"/>
        <v/>
      </c>
      <c r="G495" s="160" t="str">
        <f t="shared" si="15"/>
        <v/>
      </c>
      <c r="H495" s="157"/>
    </row>
    <row r="496" spans="1:8" ht="15.75" x14ac:dyDescent="0.25">
      <c r="A496" s="155"/>
      <c r="B496" s="156"/>
      <c r="C496" s="157"/>
      <c r="D496" s="157"/>
      <c r="E496" s="158"/>
      <c r="F496" s="159" t="str">
        <f t="shared" si="14"/>
        <v/>
      </c>
      <c r="G496" s="160" t="str">
        <f t="shared" si="15"/>
        <v/>
      </c>
      <c r="H496" s="157"/>
    </row>
    <row r="497" spans="1:8" ht="15.75" x14ac:dyDescent="0.25">
      <c r="A497" s="155"/>
      <c r="B497" s="156"/>
      <c r="C497" s="157"/>
      <c r="D497" s="157"/>
      <c r="E497" s="158"/>
      <c r="F497" s="159" t="str">
        <f t="shared" si="14"/>
        <v/>
      </c>
      <c r="G497" s="160" t="str">
        <f t="shared" si="15"/>
        <v/>
      </c>
      <c r="H497" s="157"/>
    </row>
    <row r="498" spans="1:8" ht="15.75" x14ac:dyDescent="0.25">
      <c r="A498" s="155"/>
      <c r="B498" s="156"/>
      <c r="C498" s="157"/>
      <c r="D498" s="157"/>
      <c r="E498" s="158"/>
      <c r="F498" s="159" t="str">
        <f t="shared" si="14"/>
        <v/>
      </c>
      <c r="G498" s="160" t="str">
        <f t="shared" si="15"/>
        <v/>
      </c>
      <c r="H498" s="157"/>
    </row>
    <row r="499" spans="1:8" ht="15.75" x14ac:dyDescent="0.25">
      <c r="A499" s="155"/>
      <c r="B499" s="156"/>
      <c r="C499" s="157"/>
      <c r="D499" s="157"/>
      <c r="E499" s="158"/>
      <c r="F499" s="159" t="str">
        <f t="shared" si="14"/>
        <v/>
      </c>
      <c r="G499" s="160" t="str">
        <f t="shared" si="15"/>
        <v/>
      </c>
      <c r="H499" s="157"/>
    </row>
    <row r="500" spans="1:8" ht="15.75" x14ac:dyDescent="0.25">
      <c r="A500" s="155"/>
      <c r="B500" s="156"/>
      <c r="C500" s="157"/>
      <c r="D500" s="157"/>
      <c r="E500" s="158"/>
      <c r="F500" s="159" t="str">
        <f t="shared" si="14"/>
        <v/>
      </c>
      <c r="G500" s="160" t="str">
        <f t="shared" si="15"/>
        <v/>
      </c>
      <c r="H500" s="157"/>
    </row>
    <row r="501" spans="1:8" ht="15.75" x14ac:dyDescent="0.25">
      <c r="A501" s="155"/>
      <c r="B501" s="156"/>
      <c r="C501" s="157"/>
      <c r="D501" s="157"/>
      <c r="E501" s="158"/>
      <c r="F501" s="159" t="str">
        <f t="shared" si="14"/>
        <v/>
      </c>
      <c r="G501" s="160" t="str">
        <f t="shared" si="15"/>
        <v/>
      </c>
      <c r="H501" s="157"/>
    </row>
    <row r="502" spans="1:8" ht="15.75" x14ac:dyDescent="0.25">
      <c r="A502" s="155"/>
      <c r="B502" s="156"/>
      <c r="C502" s="157"/>
      <c r="D502" s="157"/>
      <c r="E502" s="158"/>
      <c r="F502" s="159" t="str">
        <f t="shared" si="14"/>
        <v/>
      </c>
      <c r="G502" s="160" t="str">
        <f t="shared" si="15"/>
        <v/>
      </c>
      <c r="H502" s="157"/>
    </row>
    <row r="503" spans="1:8" ht="15.75" x14ac:dyDescent="0.25">
      <c r="A503" s="155"/>
      <c r="B503" s="156"/>
      <c r="C503" s="157"/>
      <c r="D503" s="157"/>
      <c r="E503" s="158"/>
      <c r="F503" s="159" t="str">
        <f t="shared" si="14"/>
        <v/>
      </c>
      <c r="G503" s="160" t="str">
        <f t="shared" si="15"/>
        <v/>
      </c>
      <c r="H503" s="157"/>
    </row>
    <row r="504" spans="1:8" ht="15.75" x14ac:dyDescent="0.25">
      <c r="A504" s="155"/>
      <c r="B504" s="156"/>
      <c r="C504" s="157"/>
      <c r="D504" s="157"/>
      <c r="E504" s="158"/>
      <c r="F504" s="159" t="str">
        <f t="shared" si="14"/>
        <v/>
      </c>
      <c r="G504" s="160" t="str">
        <f t="shared" si="15"/>
        <v/>
      </c>
      <c r="H504" s="157"/>
    </row>
    <row r="505" spans="1:8" ht="15.75" x14ac:dyDescent="0.25">
      <c r="A505" s="155"/>
      <c r="B505" s="156"/>
      <c r="C505" s="157"/>
      <c r="D505" s="157"/>
      <c r="E505" s="158"/>
      <c r="F505" s="159" t="str">
        <f t="shared" si="14"/>
        <v/>
      </c>
      <c r="G505" s="160" t="str">
        <f t="shared" si="15"/>
        <v/>
      </c>
      <c r="H505" s="157"/>
    </row>
    <row r="506" spans="1:8" ht="15.75" x14ac:dyDescent="0.25">
      <c r="A506" s="155"/>
      <c r="B506" s="156"/>
      <c r="C506" s="157"/>
      <c r="D506" s="157"/>
      <c r="E506" s="158"/>
      <c r="F506" s="159" t="str">
        <f t="shared" si="14"/>
        <v/>
      </c>
      <c r="G506" s="160" t="str">
        <f t="shared" si="15"/>
        <v/>
      </c>
      <c r="H506" s="157"/>
    </row>
    <row r="507" spans="1:8" ht="15.75" x14ac:dyDescent="0.25">
      <c r="A507" s="155"/>
      <c r="B507" s="156"/>
      <c r="C507" s="157"/>
      <c r="D507" s="157"/>
      <c r="E507" s="158"/>
      <c r="F507" s="159" t="str">
        <f t="shared" si="14"/>
        <v/>
      </c>
      <c r="G507" s="160" t="str">
        <f t="shared" si="15"/>
        <v/>
      </c>
      <c r="H507" s="157"/>
    </row>
    <row r="508" spans="1:8" ht="15.75" x14ac:dyDescent="0.25">
      <c r="A508" s="155"/>
      <c r="B508" s="156"/>
      <c r="C508" s="157"/>
      <c r="D508" s="157"/>
      <c r="E508" s="158"/>
      <c r="F508" s="159" t="str">
        <f t="shared" si="14"/>
        <v/>
      </c>
      <c r="G508" s="160" t="str">
        <f t="shared" si="15"/>
        <v/>
      </c>
      <c r="H508" s="157"/>
    </row>
    <row r="509" spans="1:8" ht="15.75" x14ac:dyDescent="0.25">
      <c r="A509" s="155"/>
      <c r="B509" s="156"/>
      <c r="C509" s="157"/>
      <c r="D509" s="157"/>
      <c r="E509" s="158"/>
      <c r="F509" s="159" t="str">
        <f t="shared" si="14"/>
        <v/>
      </c>
      <c r="G509" s="160" t="str">
        <f t="shared" si="15"/>
        <v/>
      </c>
      <c r="H509" s="157"/>
    </row>
    <row r="510" spans="1:8" ht="15.75" x14ac:dyDescent="0.25">
      <c r="A510" s="155"/>
      <c r="B510" s="156"/>
      <c r="C510" s="157"/>
      <c r="D510" s="157"/>
      <c r="E510" s="158"/>
      <c r="F510" s="159" t="str">
        <f t="shared" si="14"/>
        <v/>
      </c>
      <c r="G510" s="160" t="str">
        <f t="shared" si="15"/>
        <v/>
      </c>
      <c r="H510" s="157"/>
    </row>
    <row r="511" spans="1:8" ht="15.75" x14ac:dyDescent="0.25">
      <c r="A511" s="155"/>
      <c r="B511" s="156"/>
      <c r="C511" s="157"/>
      <c r="D511" s="157"/>
      <c r="E511" s="158"/>
      <c r="F511" s="159" t="str">
        <f t="shared" si="14"/>
        <v/>
      </c>
      <c r="G511" s="160" t="str">
        <f t="shared" si="15"/>
        <v/>
      </c>
      <c r="H511" s="157"/>
    </row>
    <row r="512" spans="1:8" ht="15.75" x14ac:dyDescent="0.25">
      <c r="A512" s="155"/>
      <c r="B512" s="156"/>
      <c r="C512" s="157"/>
      <c r="D512" s="157"/>
      <c r="E512" s="158"/>
      <c r="F512" s="159" t="str">
        <f t="shared" si="14"/>
        <v/>
      </c>
      <c r="G512" s="160" t="str">
        <f t="shared" si="15"/>
        <v/>
      </c>
      <c r="H512" s="157"/>
    </row>
    <row r="513" spans="1:8" ht="15.75" x14ac:dyDescent="0.25">
      <c r="A513" s="155"/>
      <c r="B513" s="156"/>
      <c r="C513" s="157"/>
      <c r="D513" s="157"/>
      <c r="E513" s="158"/>
      <c r="F513" s="159" t="str">
        <f t="shared" si="14"/>
        <v/>
      </c>
      <c r="G513" s="160" t="str">
        <f t="shared" si="15"/>
        <v/>
      </c>
      <c r="H513" s="157"/>
    </row>
    <row r="514" spans="1:8" ht="15.75" x14ac:dyDescent="0.25">
      <c r="A514" s="155"/>
      <c r="B514" s="156"/>
      <c r="C514" s="157"/>
      <c r="D514" s="157"/>
      <c r="E514" s="158"/>
      <c r="F514" s="159" t="str">
        <f t="shared" si="14"/>
        <v/>
      </c>
      <c r="G514" s="160" t="str">
        <f t="shared" si="15"/>
        <v/>
      </c>
      <c r="H514" s="157"/>
    </row>
    <row r="515" spans="1:8" ht="15.75" x14ac:dyDescent="0.25">
      <c r="A515" s="155"/>
      <c r="B515" s="156"/>
      <c r="C515" s="157"/>
      <c r="D515" s="157"/>
      <c r="E515" s="158"/>
      <c r="F515" s="159" t="str">
        <f t="shared" si="14"/>
        <v/>
      </c>
      <c r="G515" s="160" t="str">
        <f t="shared" si="15"/>
        <v/>
      </c>
      <c r="H515" s="157"/>
    </row>
  </sheetData>
  <autoFilter ref="A15:H515" xr:uid="{E61FA3BE-EE7E-47E6-AD5D-1CEE97C0A9AE}"/>
  <mergeCells count="13">
    <mergeCell ref="A2:H2"/>
    <mergeCell ref="A14:H14"/>
    <mergeCell ref="A5:F5"/>
    <mergeCell ref="A6:D6"/>
    <mergeCell ref="A7:D7"/>
    <mergeCell ref="A8:D8"/>
    <mergeCell ref="A9:D9"/>
    <mergeCell ref="A10:D10"/>
    <mergeCell ref="A11:D11"/>
    <mergeCell ref="G5:H5"/>
    <mergeCell ref="G6:H8"/>
    <mergeCell ref="G9:H9"/>
    <mergeCell ref="G10:H11"/>
  </mergeCells>
  <dataValidations count="5">
    <dataValidation type="whole" allowBlank="1" showInputMessage="1" showErrorMessage="1" sqref="B3" xr:uid="{5D4102E6-3640-4846-91C9-5D90399E9DCF}">
      <formula1>2000</formula1>
      <formula2>2100</formula2>
    </dataValidation>
    <dataValidation type="list" allowBlank="1" showInputMessage="1" showErrorMessage="1" sqref="D3" xr:uid="{A2FD7A26-018E-43BD-A37D-B451517BBF52}">
      <formula1>"Enero,Febrero,Marzo,Abril,Mayo,Junio,Julio,Agosto,Septiembre,Octubre,Noviembre,Diciembre"</formula1>
    </dataValidation>
    <dataValidation type="decimal" allowBlank="1" showInputMessage="1" showErrorMessage="1" sqref="F3" xr:uid="{BAD44910-27A0-4FD8-867C-4FC0D27DA73B}">
      <formula1>0</formula1>
      <formula2>1</formula2>
    </dataValidation>
    <dataValidation type="date" operator="greaterThanOrEqual" allowBlank="1" showInputMessage="1" showErrorMessage="1" error="Escribe una fecha, por ejemplo 24-10-26." sqref="A16:A515" xr:uid="{B4715E9E-58BA-42D6-BB2F-41DDA52B1758}">
      <formula1>36526</formula1>
    </dataValidation>
    <dataValidation type="decimal" operator="greaterThanOrEqual" allowBlank="1" showInputMessage="1" showErrorMessage="1" error="Escribe solo el monto de la factura (número)." sqref="E16:E515" xr:uid="{C6B540F9-4670-4B52-BCC7-8D0B13812298}">
      <formula1>0</formula1>
    </dataValidation>
  </dataValidations>
  <hyperlinks>
    <hyperlink ref="H3" location="'Inicio'!A1" tooltip="Volver al menú" display="⌂ Inicio" xr:uid="{7936665B-EAB6-43A1-A28D-7C8F3AE1FE27}"/>
  </hyperlink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Z1001"/>
  <sheetViews>
    <sheetView zoomScaleNormal="100" workbookViewId="0">
      <pane ySplit="1" topLeftCell="A2" activePane="bottomLeft" state="frozen"/>
      <selection pane="bottomLeft" activeCell="H2" sqref="H2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8" width="14" customWidth="1"/>
    <col min="9" max="10" width="16" customWidth="1"/>
    <col min="11" max="12" width="14" customWidth="1"/>
    <col min="13" max="13" width="16" customWidth="1"/>
    <col min="14" max="15" width="14" customWidth="1"/>
  </cols>
  <sheetData>
    <row r="1" spans="1:26" ht="31.5" customHeight="1" x14ac:dyDescent="0.25">
      <c r="A1" s="1" t="s">
        <v>14</v>
      </c>
      <c r="B1" s="1" t="s">
        <v>15</v>
      </c>
      <c r="C1" s="1" t="s">
        <v>223</v>
      </c>
      <c r="D1" s="1" t="s">
        <v>224</v>
      </c>
      <c r="E1" s="1" t="s">
        <v>208</v>
      </c>
      <c r="F1" s="1" t="s">
        <v>247</v>
      </c>
      <c r="G1" s="1" t="s">
        <v>248</v>
      </c>
      <c r="H1" s="1" t="s">
        <v>225</v>
      </c>
      <c r="I1" s="1" t="s">
        <v>226</v>
      </c>
      <c r="J1" s="1" t="s">
        <v>194</v>
      </c>
      <c r="K1" s="1" t="s">
        <v>196</v>
      </c>
      <c r="L1" s="1" t="s">
        <v>199</v>
      </c>
      <c r="M1" s="1" t="s">
        <v>197</v>
      </c>
      <c r="N1" s="1" t="s">
        <v>200</v>
      </c>
      <c r="O1" s="1" t="s">
        <v>227</v>
      </c>
      <c r="Z1" s="18"/>
    </row>
    <row r="2" spans="1:26" x14ac:dyDescent="0.25">
      <c r="A2" s="9" t="str">
        <f>IF(Registro!$A2="","",Registro!$A2)</f>
        <v>TDS</v>
      </c>
      <c r="B2" s="8">
        <f>IF(Registro!$B2="","",Registro!$B2)</f>
        <v>46296</v>
      </c>
      <c r="C2" s="14">
        <f t="shared" ref="C2:C65" si="0">IF(ISNUMBER(B2),YEAR(B2)*100+MONTH(B2),"")</f>
        <v>202610</v>
      </c>
      <c r="D2" s="10">
        <f>IF(Registro!$E2="","",IF(ISERROR(FIND("x",LOWER(Registro!$E2))),"-",IFERROR(SUMPRODUCT(--("0"&amp;LEFT(TRIM(MID(SUBSTITUTE(SUBSTITUTE(SUBSTITUTE(SUBSTITUTE(SUBSTITUTE(LOWER(Registro!$E2),"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",LEN(Registro!$E2))),({1,2,3,4,5,6,7,8,9,10,11,12,13,14,15,16,17,18,19,20,21,22,23,24,25,26,27,28,29,30}-1)*LEN(Registro!$E2)+1,LEN(Registro!$E2)))&amp;"x")-1))),"Revisar formato")))</f>
        <v>28</v>
      </c>
      <c r="E2" s="11">
        <f>IF(Registro!$E2="","",IF(ISERROR(FIND("x",LOWER(Registro!$E2))),"-",IFERROR(SUMPRODUCT(--("0"&amp;LEFT(TRIM(MID(SUBSTITUTE(SUBSTITUTE(SUBSTITUTE(SUBSTITUTE(SUBSTITUTE(LOWER(Registro!$E2),"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",LEN(Registro!$E2))),({1,2,3,4,5,6,7,8,9,10,11,12,13,14,15,16,17,18,19,20,21,22,23,24,25,26,27,28,29,30}-1)*LEN(Registro!$E2)+1,LEN(Registro!$E2)))&amp;"x")-1)),--("0"&amp;MID(TRIM(MID(SUBSTITUTE(SUBSTITUTE(SUBSTITUTE(SUBSTITUTE(SUBSTITUTE(LOWER(Registro!$E2),"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",LEN(Registro!$E2))),({1,2,3,4,5,6,7,8,9,10,11,12,13,14,15,16,17,18,19,20,21,22,23,24,25,26,27,28,29,30}-1)*LEN(Registro!$E2)+1,LEN(Registro!$E2)))&amp;"x")+1,20))),"Revisar formato")))</f>
        <v>1150</v>
      </c>
      <c r="F2" s="11" t="str">
        <f>IF(Registro!$F2="","",N(Registro!$F2))</f>
        <v/>
      </c>
      <c r="G2" s="11">
        <f t="shared" ref="G2:G65" si="1">IF(AND(E2="",F2=""),"",IF(OR(E2="",ISNUMBER(E2)),N(E2)-N(F2),E2))</f>
        <v>1150</v>
      </c>
      <c r="H2" s="10">
        <f>IF(Registro!$G2="","",IF(ISERROR(FIND("x",LOWER(Registro!$G2))),"-",IFERROR(SUMPRODUCT(--("0"&amp;LEFT(TRIM(MID(SUBSTITUTE(SUBSTITUTE(SUBSTITUTE(SUBSTITUTE(SUBSTITUTE(LOWER(Registro!$G2),"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",LEN(Registro!$G2))),({1,2,3,4,5,6,7,8,9,10,11,12,13,14,15,16,17,18,19,20,21,22,23,24,25,26,27,28,29,30}-1)*LEN(Registro!$G2)+1,LEN(Registro!$G2))),FIND("x",TRIM(MID(SUBSTITUTE(SUBSTITUTE(SUBSTITUTE(SUBSTITUTE(SUBSTITUTE(LOWER(Registro!$G2),"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",LEN(Registro!$G2))),({1,2,3,4,5,6,7,8,9,10,11,12,13,14,15,16,17,18,19,20,21,22,23,24,25,26,27,28,29,30}-1)*LEN(Registro!$G2)+1,LEN(Registro!$G2)))&amp;"x")-1))),"Revisar formato")))</f>
        <v>1</v>
      </c>
      <c r="I2" s="11">
        <f>IF(Registro!$G2="","",IF(ISERROR(FIND("x",LOWER(Registro!$G2))),N(Registro!$H2),IFERROR(SUMPRODUCT(--("0"&amp;LEFT(TRIM(MID(SUBSTITUTE(SUBSTITUTE(SUBSTITUTE(SUBSTITUTE(SUBSTITUTE(LOWER(Registro!$G2),"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",LEN(Registro!$G2))),({1,2,3,4,5,6,7,8,9,10,11,12,13,14,15,16,17,18,19,20,21,22,23,24,25,26,27,28,29,30}-1)*LEN(Registro!$G2)+1,LEN(Registro!$G2))),FIND("x",TRIM(MID(SUBSTITUTE(SUBSTITUTE(SUBSTITUTE(SUBSTITUTE(SUBSTITUTE(LOWER(Registro!$G2),"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",LEN(Registro!$G2))),({1,2,3,4,5,6,7,8,9,10,11,12,13,14,15,16,17,18,19,20,21,22,23,24,25,26,27,28,29,30}-1)*LEN(Registro!$G2)+1,LEN(Registro!$G2)))&amp;"x")-1)),--("0"&amp;MID(TRIM(MID(SUBSTITUTE(SUBSTITUTE(SUBSTITUTE(SUBSTITUTE(SUBSTITUTE(LOWER(Registro!$G2),"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",LEN(Registro!$G2))),({1,2,3,4,5,6,7,8,9,10,11,12,13,14,15,16,17,18,19,20,21,22,23,24,25,26,27,28,29,30}-1)*LEN(Registro!$G2)+1,LEN(Registro!$G2))),FIND("x",TRIM(MID(SUBSTITUTE(SUBSTITUTE(SUBSTITUTE(SUBSTITUTE(SUBSTITUTE(LOWER(Registro!$G2),"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",LEN(Registro!$G2))),({1,2,3,4,5,6,7,8,9,10,11,12,13,14,15,16,17,18,19,20,21,22,23,24,25,26,27,28,29,30}-1)*LEN(Registro!$G2)+1,LEN(Registro!$G2)))&amp;"x")+1,20))),"Revisar formato")))</f>
        <v>3300</v>
      </c>
      <c r="J2" s="9" t="str">
        <f>IF(AND(Registro!$E2="",Registro!$G2=""),"",IF(NOT(AND(ISNUMBER(I2),ISNUMBER(Registro!$H2))),"",IF(I2&lt;Registro!$H2,"FALTA BOLETOS",IF(I2=Registro!$H2,"CONFORME","DIFERENCIA"))))</f>
        <v>CONFORME</v>
      </c>
      <c r="K2" s="11">
        <f>IF(Registro!$I2="","",IFERROR(SUMPRODUCT(--("0"&amp;TRIM(RIGHT(SUBSTITUTE(TRIM(MID(SUBSTITUTE(SUBSTITUTE(Registro!$I2,";",CHAR(10)),CHAR(10),REPT(" ",LEN(Registro!$I2))),({1,2,3,4,5,6,7,8,9,10,11,12,13,14,15,16,17,18,19,20,21,22,23,24,25,26,27,28,29,30}-1)*LEN(Registro!$I2)+1,LEN(Registro!$I2)))," ",REPT(" ",50)),50)))),"Revisar formato"))</f>
        <v>100</v>
      </c>
      <c r="L2" s="11" t="str">
        <f>IF(Registro!$J2="","",IFERROR(SUMPRODUCT(--("0"&amp;TRIM(RIGHT(SUBSTITUTE(TRIM(MID(SUBSTITUTE(SUBSTITUTE(Registro!$J2,";",CHAR(10)),CHAR(10),REPT(" ",LEN(Registro!$J2))),({1,2,3,4,5,6,7,8,9,10,11,12,13,14,15,16,17,18,19,20,21,22,23,24,25,26,27,28,29,30}-1)*LEN(Registro!$J2)+1,LEN(Registro!$J2)))," ",REPT(" ",50)),50)))),"Revisar formato"))</f>
        <v/>
      </c>
      <c r="M2" s="11">
        <f>IF(AND(Registro!$H2="",Registro!$I2=""),"",IF(AND(ISTEXT(K2),K2&lt;&gt;""),"Revisar formato",N(Registro!$H2)-N(K2)))</f>
        <v>3200</v>
      </c>
      <c r="N2" s="11">
        <f t="shared" ref="N2:N65" si="2">IF(M2="","",IF(OR(M2="Revisar formato",AND(ISTEXT(L2),L2&lt;&gt;"")),"Revisar formato",M2-N(L2)))</f>
        <v>3200</v>
      </c>
      <c r="O2" s="15">
        <f>IF(AND(A2=Consulta!$B$3,C2=Consulta!$H$3),B2*10000+ROW(),"")</f>
        <v>462960002</v>
      </c>
    </row>
    <row r="3" spans="1:26" x14ac:dyDescent="0.25">
      <c r="A3" s="9" t="str">
        <f>IF(Registro!$A3="","",Registro!$A3)</f>
        <v>TDS</v>
      </c>
      <c r="B3" s="8">
        <f>IF(Registro!$B3="","",Registro!$B3)</f>
        <v>46297</v>
      </c>
      <c r="C3" s="14">
        <f t="shared" si="0"/>
        <v>202610</v>
      </c>
      <c r="D3" s="10">
        <f>IF(Registro!$E3="","",IF(ISERROR(FIND("x",LOWER(Registro!$E3))),"-",IFERROR(SUMPRODUCT(--("0"&amp;LEFT(TRIM(MID(SUBSTITUTE(SUBSTITUTE(SUBSTITUTE(SUBSTITUTE(SUBSTITUTE(LOWER(Registro!$E3),"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",LEN(Registro!$E3))),({1,2,3,4,5,6,7,8,9,10,11,12,13,14,15,16,17,18,19,20,21,22,23,24,25,26,27,28,29,30}-1)*LEN(Registro!$E3)+1,LEN(Registro!$E3)))&amp;"x")-1))),"Revisar formato")))</f>
        <v>35</v>
      </c>
      <c r="E3" s="11">
        <f>IF(Registro!$E3="","",IF(ISERROR(FIND("x",LOWER(Registro!$E3))),"-",IFERROR(SUMPRODUCT(--("0"&amp;LEFT(TRIM(MID(SUBSTITUTE(SUBSTITUTE(SUBSTITUTE(SUBSTITUTE(SUBSTITUTE(LOWER(Registro!$E3),"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",LEN(Registro!$E3))),({1,2,3,4,5,6,7,8,9,10,11,12,13,14,15,16,17,18,19,20,21,22,23,24,25,26,27,28,29,30}-1)*LEN(Registro!$E3)+1,LEN(Registro!$E3)))&amp;"x")-1)),--("0"&amp;MID(TRIM(MID(SUBSTITUTE(SUBSTITUTE(SUBSTITUTE(SUBSTITUTE(SUBSTITUTE(LOWER(Registro!$E3),"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",LEN(Registro!$E3))),({1,2,3,4,5,6,7,8,9,10,11,12,13,14,15,16,17,18,19,20,21,22,23,24,25,26,27,28,29,30}-1)*LEN(Registro!$E3)+1,LEN(Registro!$E3)))&amp;"x")+1,20))),"Revisar formato")))</f>
        <v>1650</v>
      </c>
      <c r="F3" s="11" t="str">
        <f>IF(Registro!$F3="","",N(Registro!$F3))</f>
        <v/>
      </c>
      <c r="G3" s="11">
        <f t="shared" si="1"/>
        <v>1650</v>
      </c>
      <c r="H3" s="10">
        <f>IF(Registro!$G3="","",IF(ISERROR(FIND("x",LOWER(Registro!$G3))),"-",IFERROR(SUMPRODUCT(--("0"&amp;LEFT(TRIM(MID(SUBSTITUTE(SUBSTITUTE(SUBSTITUTE(SUBSTITUTE(SUBSTITUTE(LOWER(Registro!$G3),"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",LEN(Registro!$G3))),({1,2,3,4,5,6,7,8,9,10,11,12,13,14,15,16,17,18,19,20,21,22,23,24,25,26,27,28,29,30}-1)*LEN(Registro!$G3)+1,LEN(Registro!$G3))),FIND("x",TRIM(MID(SUBSTITUTE(SUBSTITUTE(SUBSTITUTE(SUBSTITUTE(SUBSTITUTE(LOWER(Registro!$G3),"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",LEN(Registro!$G3))),({1,2,3,4,5,6,7,8,9,10,11,12,13,14,15,16,17,18,19,20,21,22,23,24,25,26,27,28,29,30}-1)*LEN(Registro!$G3)+1,LEN(Registro!$G3)))&amp;"x")-1))),"Revisar formato")))</f>
        <v>1</v>
      </c>
      <c r="I3" s="11">
        <f>IF(Registro!$G3="","",IF(ISERROR(FIND("x",LOWER(Registro!$G3))),N(Registro!$H3),IFERROR(SUMPRODUCT(--("0"&amp;LEFT(TRIM(MID(SUBSTITUTE(SUBSTITUTE(SUBSTITUTE(SUBSTITUTE(SUBSTITUTE(LOWER(Registro!$G3),"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",LEN(Registro!$G3))),({1,2,3,4,5,6,7,8,9,10,11,12,13,14,15,16,17,18,19,20,21,22,23,24,25,26,27,28,29,30}-1)*LEN(Registro!$G3)+1,LEN(Registro!$G3))),FIND("x",TRIM(MID(SUBSTITUTE(SUBSTITUTE(SUBSTITUTE(SUBSTITUTE(SUBSTITUTE(LOWER(Registro!$G3),"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",LEN(Registro!$G3))),({1,2,3,4,5,6,7,8,9,10,11,12,13,14,15,16,17,18,19,20,21,22,23,24,25,26,27,28,29,30}-1)*LEN(Registro!$G3)+1,LEN(Registro!$G3)))&amp;"x")-1)),--("0"&amp;MID(TRIM(MID(SUBSTITUTE(SUBSTITUTE(SUBSTITUTE(SUBSTITUTE(SUBSTITUTE(LOWER(Registro!$G3),"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",LEN(Registro!$G3))),({1,2,3,4,5,6,7,8,9,10,11,12,13,14,15,16,17,18,19,20,21,22,23,24,25,26,27,28,29,30}-1)*LEN(Registro!$G3)+1,LEN(Registro!$G3))),FIND("x",TRIM(MID(SUBSTITUTE(SUBSTITUTE(SUBSTITUTE(SUBSTITUTE(SUBSTITUTE(LOWER(Registro!$G3),"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",LEN(Registro!$G3))),({1,2,3,4,5,6,7,8,9,10,11,12,13,14,15,16,17,18,19,20,21,22,23,24,25,26,27,28,29,30}-1)*LEN(Registro!$G3)+1,LEN(Registro!$G3)))&amp;"x")+1,20))),"Revisar formato")))</f>
        <v>4060</v>
      </c>
      <c r="J3" s="9" t="str">
        <f>IF(AND(Registro!$E3="",Registro!$G3=""),"",IF(NOT(AND(ISNUMBER(I3),ISNUMBER(Registro!$H3))),"",IF(I3&lt;Registro!$H3,"FALTA BOLETOS",IF(I3=Registro!$H3,"CONFORME","DIFERENCIA"))))</f>
        <v>CONFORME</v>
      </c>
      <c r="K3" s="11">
        <f>IF(Registro!$I3="","",IFERROR(SUMPRODUCT(--("0"&amp;TRIM(RIGHT(SUBSTITUTE(TRIM(MID(SUBSTITUTE(SUBSTITUTE(Registro!$I3,";",CHAR(10)),CHAR(10),REPT(" ",LEN(Registro!$I3))),({1,2,3,4,5,6,7,8,9,10,11,12,13,14,15,16,17,18,19,20,21,22,23,24,25,26,27,28,29,30}-1)*LEN(Registro!$I3)+1,LEN(Registro!$I3)))," ",REPT(" ",50)),50)))),"Revisar formato"))</f>
        <v>200</v>
      </c>
      <c r="L3" s="11" t="str">
        <f>IF(Registro!$J3="","",IFERROR(SUMPRODUCT(--("0"&amp;TRIM(RIGHT(SUBSTITUTE(TRIM(MID(SUBSTITUTE(SUBSTITUTE(Registro!$J3,";",CHAR(10)),CHAR(10),REPT(" ",LEN(Registro!$J3))),({1,2,3,4,5,6,7,8,9,10,11,12,13,14,15,16,17,18,19,20,21,22,23,24,25,26,27,28,29,30}-1)*LEN(Registro!$J3)+1,LEN(Registro!$J3)))," ",REPT(" ",50)),50)))),"Revisar formato"))</f>
        <v/>
      </c>
      <c r="M3" s="11">
        <f>IF(AND(Registro!$H3="",Registro!$I3=""),"",IF(AND(ISTEXT(K3),K3&lt;&gt;""),"Revisar formato",N(Registro!$H3)-N(K3)))</f>
        <v>3860</v>
      </c>
      <c r="N3" s="11">
        <f t="shared" si="2"/>
        <v>3860</v>
      </c>
      <c r="O3" s="15">
        <f>IF(AND(A3=Consulta!$B$3,C3=Consulta!$H$3),B3*10000+ROW(),"")</f>
        <v>462970003</v>
      </c>
    </row>
    <row r="4" spans="1:26" x14ac:dyDescent="0.25">
      <c r="A4" s="9" t="str">
        <f>IF(Registro!$A4="","",Registro!$A4)</f>
        <v>TDS</v>
      </c>
      <c r="B4" s="8">
        <f>IF(Registro!$B4="","",Registro!$B4)</f>
        <v>46298</v>
      </c>
      <c r="C4" s="14">
        <f t="shared" si="0"/>
        <v>202610</v>
      </c>
      <c r="D4" s="10">
        <f>IF(Registro!$E4="","",IF(ISERROR(FIND("x",LOWER(Registro!$E4))),"-",IFERROR(SUMPRODUCT(--("0"&amp;LEFT(TRIM(MID(SUBSTITUTE(SUBSTITUTE(SUBSTITUTE(SUBSTITUTE(SUBSTITUTE(LOWER(Registro!$E4),"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",LEN(Registro!$E4))),({1,2,3,4,5,6,7,8,9,10,11,12,13,14,15,16,17,18,19,20,21,22,23,24,25,26,27,28,29,30}-1)*LEN(Registro!$E4)+1,LEN(Registro!$E4)))&amp;"x")-1))),"Revisar formato")))</f>
        <v>55</v>
      </c>
      <c r="E4" s="11">
        <f>IF(Registro!$E4="","",IF(ISERROR(FIND("x",LOWER(Registro!$E4))),"-",IFERROR(SUMPRODUCT(--("0"&amp;LEFT(TRIM(MID(SUBSTITUTE(SUBSTITUTE(SUBSTITUTE(SUBSTITUTE(SUBSTITUTE(LOWER(Registro!$E4),"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",LEN(Registro!$E4))),({1,2,3,4,5,6,7,8,9,10,11,12,13,14,15,16,17,18,19,20,21,22,23,24,25,26,27,28,29,30}-1)*LEN(Registro!$E4)+1,LEN(Registro!$E4)))&amp;"x")-1)),--("0"&amp;MID(TRIM(MID(SUBSTITUTE(SUBSTITUTE(SUBSTITUTE(SUBSTITUTE(SUBSTITUTE(LOWER(Registro!$E4),"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",LEN(Registro!$E4))),({1,2,3,4,5,6,7,8,9,10,11,12,13,14,15,16,17,18,19,20,21,22,23,24,25,26,27,28,29,30}-1)*LEN(Registro!$E4)+1,LEN(Registro!$E4)))&amp;"x")+1,20))),"Revisar formato")))</f>
        <v>3010</v>
      </c>
      <c r="F4" s="11" t="str">
        <f>IF(Registro!$F4="","",N(Registro!$F4))</f>
        <v/>
      </c>
      <c r="G4" s="11">
        <f t="shared" si="1"/>
        <v>3010</v>
      </c>
      <c r="H4" s="10">
        <f>IF(Registro!$G4="","",IF(ISERROR(FIND("x",LOWER(Registro!$G4))),"-",IFERROR(SUMPRODUCT(--("0"&amp;LEFT(TRIM(MID(SUBSTITUTE(SUBSTITUTE(SUBSTITUTE(SUBSTITUTE(SUBSTITUTE(LOWER(Registro!$G4),"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",LEN(Registro!$G4))),({1,2,3,4,5,6,7,8,9,10,11,12,13,14,15,16,17,18,19,20,21,22,23,24,25,26,27,28,29,30}-1)*LEN(Registro!$G4)+1,LEN(Registro!$G4))),FIND("x",TRIM(MID(SUBSTITUTE(SUBSTITUTE(SUBSTITUTE(SUBSTITUTE(SUBSTITUTE(LOWER(Registro!$G4),"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",LEN(Registro!$G4))),({1,2,3,4,5,6,7,8,9,10,11,12,13,14,15,16,17,18,19,20,21,22,23,24,25,26,27,28,29,30}-1)*LEN(Registro!$G4)+1,LEN(Registro!$G4)))&amp;"x")-1))),"Revisar formato")))</f>
        <v>1</v>
      </c>
      <c r="I4" s="11">
        <f>IF(Registro!$G4="","",IF(ISERROR(FIND("x",LOWER(Registro!$G4))),N(Registro!$H4),IFERROR(SUMPRODUCT(--("0"&amp;LEFT(TRIM(MID(SUBSTITUTE(SUBSTITUTE(SUBSTITUTE(SUBSTITUTE(SUBSTITUTE(LOWER(Registro!$G4),"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",LEN(Registro!$G4))),({1,2,3,4,5,6,7,8,9,10,11,12,13,14,15,16,17,18,19,20,21,22,23,24,25,26,27,28,29,30}-1)*LEN(Registro!$G4)+1,LEN(Registro!$G4))),FIND("x",TRIM(MID(SUBSTITUTE(SUBSTITUTE(SUBSTITUTE(SUBSTITUTE(SUBSTITUTE(LOWER(Registro!$G4),"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",LEN(Registro!$G4))),({1,2,3,4,5,6,7,8,9,10,11,12,13,14,15,16,17,18,19,20,21,22,23,24,25,26,27,28,29,30}-1)*LEN(Registro!$G4)+1,LEN(Registro!$G4)))&amp;"x")-1)),--("0"&amp;MID(TRIM(MID(SUBSTITUTE(SUBSTITUTE(SUBSTITUTE(SUBSTITUTE(SUBSTITUTE(LOWER(Registro!$G4),"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",LEN(Registro!$G4))),({1,2,3,4,5,6,7,8,9,10,11,12,13,14,15,16,17,18,19,20,21,22,23,24,25,26,27,28,29,30}-1)*LEN(Registro!$G4)+1,LEN(Registro!$G4))),FIND("x",TRIM(MID(SUBSTITUTE(SUBSTITUTE(SUBSTITUTE(SUBSTITUTE(SUBSTITUTE(LOWER(Registro!$G4),"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",LEN(Registro!$G4))),({1,2,3,4,5,6,7,8,9,10,11,12,13,14,15,16,17,18,19,20,21,22,23,24,25,26,27,28,29,30}-1)*LEN(Registro!$G4)+1,LEN(Registro!$G4)))&amp;"x")+1,20))),"Revisar formato")))</f>
        <v>3599</v>
      </c>
      <c r="J4" s="9" t="str">
        <f>IF(AND(Registro!$E4="",Registro!$G4=""),"",IF(NOT(AND(ISNUMBER(I4),ISNUMBER(Registro!$H4))),"",IF(I4&lt;Registro!$H4,"FALTA BOLETOS",IF(I4=Registro!$H4,"CONFORME","DIFERENCIA"))))</f>
        <v>CONFORME</v>
      </c>
      <c r="K4" s="11">
        <f>IF(Registro!$I4="","",IFERROR(SUMPRODUCT(--("0"&amp;TRIM(RIGHT(SUBSTITUTE(TRIM(MID(SUBSTITUTE(SUBSTITUTE(Registro!$I4,";",CHAR(10)),CHAR(10),REPT(" ",LEN(Registro!$I4))),({1,2,3,4,5,6,7,8,9,10,11,12,13,14,15,16,17,18,19,20,21,22,23,24,25,26,27,28,29,30}-1)*LEN(Registro!$I4)+1,LEN(Registro!$I4)))," ",REPT(" ",50)),50)))),"Revisar formato"))</f>
        <v>100</v>
      </c>
      <c r="L4" s="11">
        <f>IF(Registro!$J4="","",IFERROR(SUMPRODUCT(--("0"&amp;TRIM(RIGHT(SUBSTITUTE(TRIM(MID(SUBSTITUTE(SUBSTITUTE(Registro!$J4,";",CHAR(10)),CHAR(10),REPT(" ",LEN(Registro!$J4))),({1,2,3,4,5,6,7,8,9,10,11,12,13,14,15,16,17,18,19,20,21,22,23,24,25,26,27,28,29,30}-1)*LEN(Registro!$J4)+1,LEN(Registro!$J4)))," ",REPT(" ",50)),50)))),"Revisar formato"))</f>
        <v>8400</v>
      </c>
      <c r="M4" s="11">
        <f>IF(AND(Registro!$H4="",Registro!$I4=""),"",IF(AND(ISTEXT(K4),K4&lt;&gt;""),"Revisar formato",N(Registro!$H4)-N(K4)))</f>
        <v>3499</v>
      </c>
      <c r="N4" s="11">
        <f t="shared" si="2"/>
        <v>-4901</v>
      </c>
      <c r="O4" s="15">
        <f>IF(AND(A4=Consulta!$B$3,C4=Consulta!$H$3),B4*10000+ROW(),"")</f>
        <v>462980004</v>
      </c>
    </row>
    <row r="5" spans="1:26" x14ac:dyDescent="0.25">
      <c r="A5" s="9" t="str">
        <f>IF(Registro!$A5="","",Registro!$A5)</f>
        <v>TDS</v>
      </c>
      <c r="B5" s="8">
        <f>IF(Registro!$B5="","",Registro!$B5)</f>
        <v>46299</v>
      </c>
      <c r="C5" s="14">
        <f t="shared" si="0"/>
        <v>202610</v>
      </c>
      <c r="D5" s="10">
        <f>IF(Registro!$E5="","",IF(ISERROR(FIND("x",LOWER(Registro!$E5))),"-",IFERROR(SUMPRODUCT(--("0"&amp;LEFT(TRIM(MID(SUBSTITUTE(SUBSTITUTE(SUBSTITUTE(SUBSTITUTE(SUBSTITUTE(LOWER(Registro!$E5),"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",LEN(Registro!$E5))),({1,2,3,4,5,6,7,8,9,10,11,12,13,14,15,16,17,18,19,20,21,22,23,24,25,26,27,28,29,30}-1)*LEN(Registro!$E5)+1,LEN(Registro!$E5)))&amp;"x")-1))),"Revisar formato")))</f>
        <v>54</v>
      </c>
      <c r="E5" s="11">
        <f>IF(Registro!$E5="","",IF(ISERROR(FIND("x",LOWER(Registro!$E5))),"-",IFERROR(SUMPRODUCT(--("0"&amp;LEFT(TRIM(MID(SUBSTITUTE(SUBSTITUTE(SUBSTITUTE(SUBSTITUTE(SUBSTITUTE(LOWER(Registro!$E5),"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",LEN(Registro!$E5))),({1,2,3,4,5,6,7,8,9,10,11,12,13,14,15,16,17,18,19,20,21,22,23,24,25,26,27,28,29,30}-1)*LEN(Registro!$E5)+1,LEN(Registro!$E5)))&amp;"x")-1)),--("0"&amp;MID(TRIM(MID(SUBSTITUTE(SUBSTITUTE(SUBSTITUTE(SUBSTITUTE(SUBSTITUTE(LOWER(Registro!$E5),"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",LEN(Registro!$E5))),({1,2,3,4,5,6,7,8,9,10,11,12,13,14,15,16,17,18,19,20,21,22,23,24,25,26,27,28,29,30}-1)*LEN(Registro!$E5)+1,LEN(Registro!$E5)))&amp;"x")+1,20))),"Revisar formato")))</f>
        <v>2340</v>
      </c>
      <c r="F5" s="11" t="str">
        <f>IF(Registro!$F5="","",N(Registro!$F5))</f>
        <v/>
      </c>
      <c r="G5" s="11">
        <f t="shared" si="1"/>
        <v>2340</v>
      </c>
      <c r="H5" s="10">
        <f>IF(Registro!$G5="","",IF(ISERROR(FIND("x",LOWER(Registro!$G5))),"-",IFERROR(SUMPRODUCT(--("0"&amp;LEFT(TRIM(MID(SUBSTITUTE(SUBSTITUTE(SUBSTITUTE(SUBSTITUTE(SUBSTITUTE(LOWER(Registro!$G5),"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",LEN(Registro!$G5))),({1,2,3,4,5,6,7,8,9,10,11,12,13,14,15,16,17,18,19,20,21,22,23,24,25,26,27,28,29,30}-1)*LEN(Registro!$G5)+1,LEN(Registro!$G5))),FIND("x",TRIM(MID(SUBSTITUTE(SUBSTITUTE(SUBSTITUTE(SUBSTITUTE(SUBSTITUTE(LOWER(Registro!$G5),"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",LEN(Registro!$G5))),({1,2,3,4,5,6,7,8,9,10,11,12,13,14,15,16,17,18,19,20,21,22,23,24,25,26,27,28,29,30}-1)*LEN(Registro!$G5)+1,LEN(Registro!$G5)))&amp;"x")-1))),"Revisar formato")))</f>
        <v>1</v>
      </c>
      <c r="I5" s="11">
        <f>IF(Registro!$G5="","",IF(ISERROR(FIND("x",LOWER(Registro!$G5))),N(Registro!$H5),IFERROR(SUMPRODUCT(--("0"&amp;LEFT(TRIM(MID(SUBSTITUTE(SUBSTITUTE(SUBSTITUTE(SUBSTITUTE(SUBSTITUTE(LOWER(Registro!$G5),"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",LEN(Registro!$G5))),({1,2,3,4,5,6,7,8,9,10,11,12,13,14,15,16,17,18,19,20,21,22,23,24,25,26,27,28,29,30}-1)*LEN(Registro!$G5)+1,LEN(Registro!$G5))),FIND("x",TRIM(MID(SUBSTITUTE(SUBSTITUTE(SUBSTITUTE(SUBSTITUTE(SUBSTITUTE(LOWER(Registro!$G5),"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",LEN(Registro!$G5))),({1,2,3,4,5,6,7,8,9,10,11,12,13,14,15,16,17,18,19,20,21,22,23,24,25,26,27,28,29,30}-1)*LEN(Registro!$G5)+1,LEN(Registro!$G5)))&amp;"x")-1)),--("0"&amp;MID(TRIM(MID(SUBSTITUTE(SUBSTITUTE(SUBSTITUTE(SUBSTITUTE(SUBSTITUTE(LOWER(Registro!$G5),"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",LEN(Registro!$G5))),({1,2,3,4,5,6,7,8,9,10,11,12,13,14,15,16,17,18,19,20,21,22,23,24,25,26,27,28,29,30}-1)*LEN(Registro!$G5)+1,LEN(Registro!$G5))),FIND("x",TRIM(MID(SUBSTITUTE(SUBSTITUTE(SUBSTITUTE(SUBSTITUTE(SUBSTITUTE(LOWER(Registro!$G5),"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",LEN(Registro!$G5))),({1,2,3,4,5,6,7,8,9,10,11,12,13,14,15,16,17,18,19,20,21,22,23,24,25,26,27,28,29,30}-1)*LEN(Registro!$G5)+1,LEN(Registro!$G5)))&amp;"x")+1,20))),"Revisar formato")))</f>
        <v>2080</v>
      </c>
      <c r="J5" s="9" t="str">
        <f>IF(AND(Registro!$E5="",Registro!$G5=""),"",IF(NOT(AND(ISNUMBER(I5),ISNUMBER(Registro!$H5))),"",IF(I5&lt;Registro!$H5,"FALTA BOLETOS",IF(I5=Registro!$H5,"CONFORME","DIFERENCIA"))))</f>
        <v>CONFORME</v>
      </c>
      <c r="K5" s="11">
        <f>IF(Registro!$I5="","",IFERROR(SUMPRODUCT(--("0"&amp;TRIM(RIGHT(SUBSTITUTE(TRIM(MID(SUBSTITUTE(SUBSTITUTE(Registro!$I5,";",CHAR(10)),CHAR(10),REPT(" ",LEN(Registro!$I5))),({1,2,3,4,5,6,7,8,9,10,11,12,13,14,15,16,17,18,19,20,21,22,23,24,25,26,27,28,29,30}-1)*LEN(Registro!$I5)+1,LEN(Registro!$I5)))," ",REPT(" ",50)),50)))),"Revisar formato"))</f>
        <v>140</v>
      </c>
      <c r="L5" s="11" t="str">
        <f>IF(Registro!$J5="","",IFERROR(SUMPRODUCT(--("0"&amp;TRIM(RIGHT(SUBSTITUTE(TRIM(MID(SUBSTITUTE(SUBSTITUTE(Registro!$J5,";",CHAR(10)),CHAR(10),REPT(" ",LEN(Registro!$J5))),({1,2,3,4,5,6,7,8,9,10,11,12,13,14,15,16,17,18,19,20,21,22,23,24,25,26,27,28,29,30}-1)*LEN(Registro!$J5)+1,LEN(Registro!$J5)))," ",REPT(" ",50)),50)))),"Revisar formato"))</f>
        <v/>
      </c>
      <c r="M5" s="11">
        <f>IF(AND(Registro!$H5="",Registro!$I5=""),"",IF(AND(ISTEXT(K5),K5&lt;&gt;""),"Revisar formato",N(Registro!$H5)-N(K5)))</f>
        <v>1940</v>
      </c>
      <c r="N5" s="11">
        <f t="shared" si="2"/>
        <v>1940</v>
      </c>
      <c r="O5" s="15">
        <f>IF(AND(A5=Consulta!$B$3,C5=Consulta!$H$3),B5*10000+ROW(),"")</f>
        <v>462990005</v>
      </c>
    </row>
    <row r="6" spans="1:26" x14ac:dyDescent="0.25">
      <c r="A6" s="9" t="str">
        <f>IF(Registro!$A6="","",Registro!$A6)</f>
        <v>TDS</v>
      </c>
      <c r="B6" s="8">
        <f>IF(Registro!$B6="","",Registro!$B6)</f>
        <v>46300</v>
      </c>
      <c r="C6" s="14">
        <f t="shared" si="0"/>
        <v>202610</v>
      </c>
      <c r="D6" s="10">
        <f>IF(Registro!$E6="","",IF(ISERROR(FIND("x",LOWER(Registro!$E6))),"-",IFERROR(SUMPRODUCT(--("0"&amp;LEFT(TRIM(MID(SUBSTITUTE(SUBSTITUTE(SUBSTITUTE(SUBSTITUTE(SUBSTITUTE(LOWER(Registro!$E6),"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",LEN(Registro!$E6))),({1,2,3,4,5,6,7,8,9,10,11,12,13,14,15,16,17,18,19,20,21,22,23,24,25,26,27,28,29,30}-1)*LEN(Registro!$E6)+1,LEN(Registro!$E6)))&amp;"x")-1))),"Revisar formato")))</f>
        <v>49</v>
      </c>
      <c r="E6" s="11">
        <f>IF(Registro!$E6="","",IF(ISERROR(FIND("x",LOWER(Registro!$E6))),"-",IFERROR(SUMPRODUCT(--("0"&amp;LEFT(TRIM(MID(SUBSTITUTE(SUBSTITUTE(SUBSTITUTE(SUBSTITUTE(SUBSTITUTE(LOWER(Registro!$E6),"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",LEN(Registro!$E6))),({1,2,3,4,5,6,7,8,9,10,11,12,13,14,15,16,17,18,19,20,21,22,23,24,25,26,27,28,29,30}-1)*LEN(Registro!$E6)+1,LEN(Registro!$E6)))&amp;"x")-1)),--("0"&amp;MID(TRIM(MID(SUBSTITUTE(SUBSTITUTE(SUBSTITUTE(SUBSTITUTE(SUBSTITUTE(LOWER(Registro!$E6),"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",LEN(Registro!$E6))),({1,2,3,4,5,6,7,8,9,10,11,12,13,14,15,16,17,18,19,20,21,22,23,24,25,26,27,28,29,30}-1)*LEN(Registro!$E6)+1,LEN(Registro!$E6)))&amp;"x")+1,20))),"Revisar formato")))</f>
        <v>2200</v>
      </c>
      <c r="F6" s="11" t="str">
        <f>IF(Registro!$F6="","",N(Registro!$F6))</f>
        <v/>
      </c>
      <c r="G6" s="11">
        <f t="shared" si="1"/>
        <v>2200</v>
      </c>
      <c r="H6" s="10">
        <f>IF(Registro!$G6="","",IF(ISERROR(FIND("x",LOWER(Registro!$G6))),"-",IFERROR(SUMPRODUCT(--("0"&amp;LEFT(TRIM(MID(SUBSTITUTE(SUBSTITUTE(SUBSTITUTE(SUBSTITUTE(SUBSTITUTE(LOWER(Registro!$G6),"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",LEN(Registro!$G6))),({1,2,3,4,5,6,7,8,9,10,11,12,13,14,15,16,17,18,19,20,21,22,23,24,25,26,27,28,29,30}-1)*LEN(Registro!$G6)+1,LEN(Registro!$G6))),FIND("x",TRIM(MID(SUBSTITUTE(SUBSTITUTE(SUBSTITUTE(SUBSTITUTE(SUBSTITUTE(LOWER(Registro!$G6),"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",LEN(Registro!$G6))),({1,2,3,4,5,6,7,8,9,10,11,12,13,14,15,16,17,18,19,20,21,22,23,24,25,26,27,28,29,30}-1)*LEN(Registro!$G6)+1,LEN(Registro!$G6)))&amp;"x")-1))),"Revisar formato")))</f>
        <v>1</v>
      </c>
      <c r="I6" s="11">
        <f>IF(Registro!$G6="","",IF(ISERROR(FIND("x",LOWER(Registro!$G6))),N(Registro!$H6),IFERROR(SUMPRODUCT(--("0"&amp;LEFT(TRIM(MID(SUBSTITUTE(SUBSTITUTE(SUBSTITUTE(SUBSTITUTE(SUBSTITUTE(LOWER(Registro!$G6),"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",LEN(Registro!$G6))),({1,2,3,4,5,6,7,8,9,10,11,12,13,14,15,16,17,18,19,20,21,22,23,24,25,26,27,28,29,30}-1)*LEN(Registro!$G6)+1,LEN(Registro!$G6))),FIND("x",TRIM(MID(SUBSTITUTE(SUBSTITUTE(SUBSTITUTE(SUBSTITUTE(SUBSTITUTE(LOWER(Registro!$G6),"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",LEN(Registro!$G6))),({1,2,3,4,5,6,7,8,9,10,11,12,13,14,15,16,17,18,19,20,21,22,23,24,25,26,27,28,29,30}-1)*LEN(Registro!$G6)+1,LEN(Registro!$G6)))&amp;"x")-1)),--("0"&amp;MID(TRIM(MID(SUBSTITUTE(SUBSTITUTE(SUBSTITUTE(SUBSTITUTE(SUBSTITUTE(LOWER(Registro!$G6),"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",LEN(Registro!$G6))),({1,2,3,4,5,6,7,8,9,10,11,12,13,14,15,16,17,18,19,20,21,22,23,24,25,26,27,28,29,30}-1)*LEN(Registro!$G6)+1,LEN(Registro!$G6))),FIND("x",TRIM(MID(SUBSTITUTE(SUBSTITUTE(SUBSTITUTE(SUBSTITUTE(SUBSTITUTE(LOWER(Registro!$G6),"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",LEN(Registro!$G6))),({1,2,3,4,5,6,7,8,9,10,11,12,13,14,15,16,17,18,19,20,21,22,23,24,25,26,27,28,29,30}-1)*LEN(Registro!$G6)+1,LEN(Registro!$G6)))&amp;"x")+1,20))),"Revisar formato")))</f>
        <v>3300</v>
      </c>
      <c r="J6" s="9" t="str">
        <f>IF(AND(Registro!$E6="",Registro!$G6=""),"",IF(NOT(AND(ISNUMBER(I6),ISNUMBER(Registro!$H6))),"",IF(I6&lt;Registro!$H6,"FALTA BOLETOS",IF(I6=Registro!$H6,"CONFORME","DIFERENCIA"))))</f>
        <v>CONFORME</v>
      </c>
      <c r="K6" s="11">
        <f>IF(Registro!$I6="","",IFERROR(SUMPRODUCT(--("0"&amp;TRIM(RIGHT(SUBSTITUTE(TRIM(MID(SUBSTITUTE(SUBSTITUTE(Registro!$I6,";",CHAR(10)),CHAR(10),REPT(" ",LEN(Registro!$I6))),({1,2,3,4,5,6,7,8,9,10,11,12,13,14,15,16,17,18,19,20,21,22,23,24,25,26,27,28,29,30}-1)*LEN(Registro!$I6)+1,LEN(Registro!$I6)))," ",REPT(" ",50)),50)))),"Revisar formato"))</f>
        <v>500</v>
      </c>
      <c r="L6" s="11">
        <f>IF(Registro!$J6="","",IFERROR(SUMPRODUCT(--("0"&amp;TRIM(RIGHT(SUBSTITUTE(TRIM(MID(SUBSTITUTE(SUBSTITUTE(Registro!$J6,";",CHAR(10)),CHAR(10),REPT(" ",LEN(Registro!$J6))),({1,2,3,4,5,6,7,8,9,10,11,12,13,14,15,16,17,18,19,20,21,22,23,24,25,26,27,28,29,30}-1)*LEN(Registro!$J6)+1,LEN(Registro!$J6)))," ",REPT(" ",50)),50)))),"Revisar formato"))</f>
        <v>7500</v>
      </c>
      <c r="M6" s="11">
        <f>IF(AND(Registro!$H6="",Registro!$I6=""),"",IF(AND(ISTEXT(K6),K6&lt;&gt;""),"Revisar formato",N(Registro!$H6)-N(K6)))</f>
        <v>2800</v>
      </c>
      <c r="N6" s="11">
        <f t="shared" si="2"/>
        <v>-4700</v>
      </c>
      <c r="O6" s="15">
        <f>IF(AND(A6=Consulta!$B$3,C6=Consulta!$H$3),B6*10000+ROW(),"")</f>
        <v>463000006</v>
      </c>
    </row>
    <row r="7" spans="1:26" x14ac:dyDescent="0.25">
      <c r="A7" s="9" t="str">
        <f>IF(Registro!$A7="","",Registro!$A7)</f>
        <v>TDS</v>
      </c>
      <c r="B7" s="8">
        <f>IF(Registro!$B7="","",Registro!$B7)</f>
        <v>46301</v>
      </c>
      <c r="C7" s="14">
        <f t="shared" si="0"/>
        <v>202610</v>
      </c>
      <c r="D7" s="10">
        <f>IF(Registro!$E7="","",IF(ISERROR(FIND("x",LOWER(Registro!$E7))),"-",IFERROR(SUMPRODUCT(--("0"&amp;LEFT(TRIM(MID(SUBSTITUTE(SUBSTITUTE(SUBSTITUTE(SUBSTITUTE(SUBSTITUTE(LOWER(Registro!$E7),"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",LEN(Registro!$E7))),({1,2,3,4,5,6,7,8,9,10,11,12,13,14,15,16,17,18,19,20,21,22,23,24,25,26,27,28,29,30}-1)*LEN(Registro!$E7)+1,LEN(Registro!$E7)))&amp;"x")-1))),"Revisar formato")))</f>
        <v>56</v>
      </c>
      <c r="E7" s="11">
        <f>IF(Registro!$E7="","",IF(ISERROR(FIND("x",LOWER(Registro!$E7))),"-",IFERROR(SUMPRODUCT(--("0"&amp;LEFT(TRIM(MID(SUBSTITUTE(SUBSTITUTE(SUBSTITUTE(SUBSTITUTE(SUBSTITUTE(LOWER(Registro!$E7),"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",LEN(Registro!$E7))),({1,2,3,4,5,6,7,8,9,10,11,12,13,14,15,16,17,18,19,20,21,22,23,24,25,26,27,28,29,30}-1)*LEN(Registro!$E7)+1,LEN(Registro!$E7)))&amp;"x")-1)),--("0"&amp;MID(TRIM(MID(SUBSTITUTE(SUBSTITUTE(SUBSTITUTE(SUBSTITUTE(SUBSTITUTE(LOWER(Registro!$E7),"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",LEN(Registro!$E7))),({1,2,3,4,5,6,7,8,9,10,11,12,13,14,15,16,17,18,19,20,21,22,23,24,25,26,27,28,29,30}-1)*LEN(Registro!$E7)+1,LEN(Registro!$E7)))&amp;"x")+1,20))),"Revisar formato")))</f>
        <v>2930</v>
      </c>
      <c r="F7" s="11" t="str">
        <f>IF(Registro!$F7="","",N(Registro!$F7))</f>
        <v/>
      </c>
      <c r="G7" s="11">
        <f t="shared" si="1"/>
        <v>2930</v>
      </c>
      <c r="H7" s="10">
        <f>IF(Registro!$G7="","",IF(ISERROR(FIND("x",LOWER(Registro!$G7))),"-",IFERROR(SUMPRODUCT(--("0"&amp;LEFT(TRIM(MID(SUBSTITUTE(SUBSTITUTE(SUBSTITUTE(SUBSTITUTE(SUBSTITUTE(LOWER(Registro!$G7),"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",LEN(Registro!$G7))),({1,2,3,4,5,6,7,8,9,10,11,12,13,14,15,16,17,18,19,20,21,22,23,24,25,26,27,28,29,30}-1)*LEN(Registro!$G7)+1,LEN(Registro!$G7))),FIND("x",TRIM(MID(SUBSTITUTE(SUBSTITUTE(SUBSTITUTE(SUBSTITUTE(SUBSTITUTE(LOWER(Registro!$G7),"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",LEN(Registro!$G7))),({1,2,3,4,5,6,7,8,9,10,11,12,13,14,15,16,17,18,19,20,21,22,23,24,25,26,27,28,29,30}-1)*LEN(Registro!$G7)+1,LEN(Registro!$G7)))&amp;"x")-1))),"Revisar formato")))</f>
        <v>1</v>
      </c>
      <c r="I7" s="11">
        <f>IF(Registro!$G7="","",IF(ISERROR(FIND("x",LOWER(Registro!$G7))),N(Registro!$H7),IFERROR(SUMPRODUCT(--("0"&amp;LEFT(TRIM(MID(SUBSTITUTE(SUBSTITUTE(SUBSTITUTE(SUBSTITUTE(SUBSTITUTE(LOWER(Registro!$G7),"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",LEN(Registro!$G7))),({1,2,3,4,5,6,7,8,9,10,11,12,13,14,15,16,17,18,19,20,21,22,23,24,25,26,27,28,29,30}-1)*LEN(Registro!$G7)+1,LEN(Registro!$G7))),FIND("x",TRIM(MID(SUBSTITUTE(SUBSTITUTE(SUBSTITUTE(SUBSTITUTE(SUBSTITUTE(LOWER(Registro!$G7),"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",LEN(Registro!$G7))),({1,2,3,4,5,6,7,8,9,10,11,12,13,14,15,16,17,18,19,20,21,22,23,24,25,26,27,28,29,30}-1)*LEN(Registro!$G7)+1,LEN(Registro!$G7)))&amp;"x")-1)),--("0"&amp;MID(TRIM(MID(SUBSTITUTE(SUBSTITUTE(SUBSTITUTE(SUBSTITUTE(SUBSTITUTE(LOWER(Registro!$G7),"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",LEN(Registro!$G7))),({1,2,3,4,5,6,7,8,9,10,11,12,13,14,15,16,17,18,19,20,21,22,23,24,25,26,27,28,29,30}-1)*LEN(Registro!$G7)+1,LEN(Registro!$G7))),FIND("x",TRIM(MID(SUBSTITUTE(SUBSTITUTE(SUBSTITUTE(SUBSTITUTE(SUBSTITUTE(LOWER(Registro!$G7),"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",LEN(Registro!$G7))),({1,2,3,4,5,6,7,8,9,10,11,12,13,14,15,16,17,18,19,20,21,22,23,24,25,26,27,28,29,30}-1)*LEN(Registro!$G7)+1,LEN(Registro!$G7)))&amp;"x")+1,20))),"Revisar formato")))</f>
        <v>2350</v>
      </c>
      <c r="J7" s="9" t="str">
        <f>IF(AND(Registro!$E7="",Registro!$G7=""),"",IF(NOT(AND(ISNUMBER(I7),ISNUMBER(Registro!$H7))),"",IF(I7&lt;Registro!$H7,"FALTA BOLETOS",IF(I7=Registro!$H7,"CONFORME","DIFERENCIA"))))</f>
        <v>CONFORME</v>
      </c>
      <c r="K7" s="11">
        <f>IF(Registro!$I7="","",IFERROR(SUMPRODUCT(--("0"&amp;TRIM(RIGHT(SUBSTITUTE(TRIM(MID(SUBSTITUTE(SUBSTITUTE(Registro!$I7,";",CHAR(10)),CHAR(10),REPT(" ",LEN(Registro!$I7))),({1,2,3,4,5,6,7,8,9,10,11,12,13,14,15,16,17,18,19,20,21,22,23,24,25,26,27,28,29,30}-1)*LEN(Registro!$I7)+1,LEN(Registro!$I7)))," ",REPT(" ",50)),50)))),"Revisar formato"))</f>
        <v>100</v>
      </c>
      <c r="L7" s="11" t="str">
        <f>IF(Registro!$J7="","",IFERROR(SUMPRODUCT(--("0"&amp;TRIM(RIGHT(SUBSTITUTE(TRIM(MID(SUBSTITUTE(SUBSTITUTE(Registro!$J7,";",CHAR(10)),CHAR(10),REPT(" ",LEN(Registro!$J7))),({1,2,3,4,5,6,7,8,9,10,11,12,13,14,15,16,17,18,19,20,21,22,23,24,25,26,27,28,29,30}-1)*LEN(Registro!$J7)+1,LEN(Registro!$J7)))," ",REPT(" ",50)),50)))),"Revisar formato"))</f>
        <v/>
      </c>
      <c r="M7" s="11">
        <f>IF(AND(Registro!$H7="",Registro!$I7=""),"",IF(AND(ISTEXT(K7),K7&lt;&gt;""),"Revisar formato",N(Registro!$H7)-N(K7)))</f>
        <v>2250</v>
      </c>
      <c r="N7" s="11">
        <f t="shared" si="2"/>
        <v>2250</v>
      </c>
      <c r="O7" s="15">
        <f>IF(AND(A7=Consulta!$B$3,C7=Consulta!$H$3),B7*10000+ROW(),"")</f>
        <v>463010007</v>
      </c>
    </row>
    <row r="8" spans="1:26" x14ac:dyDescent="0.25">
      <c r="A8" s="9" t="str">
        <f>IF(Registro!$A8="","",Registro!$A8)</f>
        <v>TDS</v>
      </c>
      <c r="B8" s="8">
        <f>IF(Registro!$B8="","",Registro!$B8)</f>
        <v>46302</v>
      </c>
      <c r="C8" s="14">
        <f t="shared" si="0"/>
        <v>202610</v>
      </c>
      <c r="D8" s="10">
        <f>IF(Registro!$E8="","",IF(ISERROR(FIND("x",LOWER(Registro!$E8))),"-",IFERROR(SUMPRODUCT(--("0"&amp;LEFT(TRIM(MID(SUBSTITUTE(SUBSTITUTE(SUBSTITUTE(SUBSTITUTE(SUBSTITUTE(LOWER(Registro!$E8),"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",LEN(Registro!$E8))),({1,2,3,4,5,6,7,8,9,10,11,12,13,14,15,16,17,18,19,20,21,22,23,24,25,26,27,28,29,30}-1)*LEN(Registro!$E8)+1,LEN(Registro!$E8)))&amp;"x")-1))),"Revisar formato")))</f>
        <v>33</v>
      </c>
      <c r="E8" s="11">
        <f>IF(Registro!$E8="","",IF(ISERROR(FIND("x",LOWER(Registro!$E8))),"-",IFERROR(SUMPRODUCT(--("0"&amp;LEFT(TRIM(MID(SUBSTITUTE(SUBSTITUTE(SUBSTITUTE(SUBSTITUTE(SUBSTITUTE(LOWER(Registro!$E8),"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",LEN(Registro!$E8))),({1,2,3,4,5,6,7,8,9,10,11,12,13,14,15,16,17,18,19,20,21,22,23,24,25,26,27,28,29,30}-1)*LEN(Registro!$E8)+1,LEN(Registro!$E8)))&amp;"x")-1)),--("0"&amp;MID(TRIM(MID(SUBSTITUTE(SUBSTITUTE(SUBSTITUTE(SUBSTITUTE(SUBSTITUTE(LOWER(Registro!$E8),"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",LEN(Registro!$E8))),({1,2,3,4,5,6,7,8,9,10,11,12,13,14,15,16,17,18,19,20,21,22,23,24,25,26,27,28,29,30}-1)*LEN(Registro!$E8)+1,LEN(Registro!$E8)))&amp;"x")+1,20))),"Revisar formato")))</f>
        <v>1450</v>
      </c>
      <c r="F8" s="11" t="str">
        <f>IF(Registro!$F8="","",N(Registro!$F8))</f>
        <v/>
      </c>
      <c r="G8" s="11">
        <f t="shared" si="1"/>
        <v>1450</v>
      </c>
      <c r="H8" s="10">
        <f>IF(Registro!$G8="","",IF(ISERROR(FIND("x",LOWER(Registro!$G8))),"-",IFERROR(SUMPRODUCT(--("0"&amp;LEFT(TRIM(MID(SUBSTITUTE(SUBSTITUTE(SUBSTITUTE(SUBSTITUTE(SUBSTITUTE(LOWER(Registro!$G8),"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",LEN(Registro!$G8))),({1,2,3,4,5,6,7,8,9,10,11,12,13,14,15,16,17,18,19,20,21,22,23,24,25,26,27,28,29,30}-1)*LEN(Registro!$G8)+1,LEN(Registro!$G8))),FIND("x",TRIM(MID(SUBSTITUTE(SUBSTITUTE(SUBSTITUTE(SUBSTITUTE(SUBSTITUTE(LOWER(Registro!$G8),"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",LEN(Registro!$G8))),({1,2,3,4,5,6,7,8,9,10,11,12,13,14,15,16,17,18,19,20,21,22,23,24,25,26,27,28,29,30}-1)*LEN(Registro!$G8)+1,LEN(Registro!$G8)))&amp;"x")-1))),"Revisar formato")))</f>
        <v>1</v>
      </c>
      <c r="I8" s="11">
        <f>IF(Registro!$G8="","",IF(ISERROR(FIND("x",LOWER(Registro!$G8))),N(Registro!$H8),IFERROR(SUMPRODUCT(--("0"&amp;LEFT(TRIM(MID(SUBSTITUTE(SUBSTITUTE(SUBSTITUTE(SUBSTITUTE(SUBSTITUTE(LOWER(Registro!$G8),"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",LEN(Registro!$G8))),({1,2,3,4,5,6,7,8,9,10,11,12,13,14,15,16,17,18,19,20,21,22,23,24,25,26,27,28,29,30}-1)*LEN(Registro!$G8)+1,LEN(Registro!$G8))),FIND("x",TRIM(MID(SUBSTITUTE(SUBSTITUTE(SUBSTITUTE(SUBSTITUTE(SUBSTITUTE(LOWER(Registro!$G8),"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",LEN(Registro!$G8))),({1,2,3,4,5,6,7,8,9,10,11,12,13,14,15,16,17,18,19,20,21,22,23,24,25,26,27,28,29,30}-1)*LEN(Registro!$G8)+1,LEN(Registro!$G8)))&amp;"x")-1)),--("0"&amp;MID(TRIM(MID(SUBSTITUTE(SUBSTITUTE(SUBSTITUTE(SUBSTITUTE(SUBSTITUTE(LOWER(Registro!$G8),"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",LEN(Registro!$G8))),({1,2,3,4,5,6,7,8,9,10,11,12,13,14,15,16,17,18,19,20,21,22,23,24,25,26,27,28,29,30}-1)*LEN(Registro!$G8)+1,LEN(Registro!$G8))),FIND("x",TRIM(MID(SUBSTITUTE(SUBSTITUTE(SUBSTITUTE(SUBSTITUTE(SUBSTITUTE(LOWER(Registro!$G8),"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",LEN(Registro!$G8))),({1,2,3,4,5,6,7,8,9,10,11,12,13,14,15,16,17,18,19,20,21,22,23,24,25,26,27,28,29,30}-1)*LEN(Registro!$G8)+1,LEN(Registro!$G8)))&amp;"x")+1,20))),"Revisar formato")))</f>
        <v>2455</v>
      </c>
      <c r="J8" s="9" t="str">
        <f>IF(AND(Registro!$E8="",Registro!$G8=""),"",IF(NOT(AND(ISNUMBER(I8),ISNUMBER(Registro!$H8))),"",IF(I8&lt;Registro!$H8,"FALTA BOLETOS",IF(I8=Registro!$H8,"CONFORME","DIFERENCIA"))))</f>
        <v>CONFORME</v>
      </c>
      <c r="K8" s="11">
        <f>IF(Registro!$I8="","",IFERROR(SUMPRODUCT(--("0"&amp;TRIM(RIGHT(SUBSTITUTE(TRIM(MID(SUBSTITUTE(SUBSTITUTE(Registro!$I8,";",CHAR(10)),CHAR(10),REPT(" ",LEN(Registro!$I8))),({1,2,3,4,5,6,7,8,9,10,11,12,13,14,15,16,17,18,19,20,21,22,23,24,25,26,27,28,29,30}-1)*LEN(Registro!$I8)+1,LEN(Registro!$I8)))," ",REPT(" ",50)),50)))),"Revisar formato"))</f>
        <v>100</v>
      </c>
      <c r="L8" s="11" t="str">
        <f>IF(Registro!$J8="","",IFERROR(SUMPRODUCT(--("0"&amp;TRIM(RIGHT(SUBSTITUTE(TRIM(MID(SUBSTITUTE(SUBSTITUTE(Registro!$J8,";",CHAR(10)),CHAR(10),REPT(" ",LEN(Registro!$J8))),({1,2,3,4,5,6,7,8,9,10,11,12,13,14,15,16,17,18,19,20,21,22,23,24,25,26,27,28,29,30}-1)*LEN(Registro!$J8)+1,LEN(Registro!$J8)))," ",REPT(" ",50)),50)))),"Revisar formato"))</f>
        <v/>
      </c>
      <c r="M8" s="11">
        <f>IF(AND(Registro!$H8="",Registro!$I8=""),"",IF(AND(ISTEXT(K8),K8&lt;&gt;""),"Revisar formato",N(Registro!$H8)-N(K8)))</f>
        <v>2355</v>
      </c>
      <c r="N8" s="11">
        <f t="shared" si="2"/>
        <v>2355</v>
      </c>
      <c r="O8" s="15">
        <f>IF(AND(A8=Consulta!$B$3,C8=Consulta!$H$3),B8*10000+ROW(),"")</f>
        <v>463020008</v>
      </c>
    </row>
    <row r="9" spans="1:26" x14ac:dyDescent="0.25">
      <c r="A9" s="9" t="str">
        <f>IF(Registro!$A9="","",Registro!$A9)</f>
        <v>TDS</v>
      </c>
      <c r="B9" s="8">
        <f>IF(Registro!$B9="","",Registro!$B9)</f>
        <v>46303</v>
      </c>
      <c r="C9" s="14">
        <f t="shared" si="0"/>
        <v>202610</v>
      </c>
      <c r="D9" s="10">
        <f>IF(Registro!$E9="","",IF(ISERROR(FIND("x",LOWER(Registro!$E9))),"-",IFERROR(SUMPRODUCT(--("0"&amp;LEFT(TRIM(MID(SUBSTITUTE(SUBSTITUTE(SUBSTITUTE(SUBSTITUTE(SUBSTITUTE(LOWER(Registro!$E9),"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",LEN(Registro!$E9))),({1,2,3,4,5,6,7,8,9,10,11,12,13,14,15,16,17,18,19,20,21,22,23,24,25,26,27,28,29,30}-1)*LEN(Registro!$E9)+1,LEN(Registro!$E9)))&amp;"x")-1))),"Revisar formato")))</f>
        <v>46</v>
      </c>
      <c r="E9" s="11">
        <f>IF(Registro!$E9="","",IF(ISERROR(FIND("x",LOWER(Registro!$E9))),"-",IFERROR(SUMPRODUCT(--("0"&amp;LEFT(TRIM(MID(SUBSTITUTE(SUBSTITUTE(SUBSTITUTE(SUBSTITUTE(SUBSTITUTE(LOWER(Registro!$E9),"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",LEN(Registro!$E9))),({1,2,3,4,5,6,7,8,9,10,11,12,13,14,15,16,17,18,19,20,21,22,23,24,25,26,27,28,29,30}-1)*LEN(Registro!$E9)+1,LEN(Registro!$E9)))&amp;"x")-1)),--("0"&amp;MID(TRIM(MID(SUBSTITUTE(SUBSTITUTE(SUBSTITUTE(SUBSTITUTE(SUBSTITUTE(LOWER(Registro!$E9),"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",LEN(Registro!$E9))),({1,2,3,4,5,6,7,8,9,10,11,12,13,14,15,16,17,18,19,20,21,22,23,24,25,26,27,28,29,30}-1)*LEN(Registro!$E9)+1,LEN(Registro!$E9)))&amp;"x")+1,20))),"Revisar formato")))</f>
        <v>2060</v>
      </c>
      <c r="F9" s="11" t="str">
        <f>IF(Registro!$F9="","",N(Registro!$F9))</f>
        <v/>
      </c>
      <c r="G9" s="11">
        <f t="shared" si="1"/>
        <v>2060</v>
      </c>
      <c r="H9" s="10">
        <f>IF(Registro!$G9="","",IF(ISERROR(FIND("x",LOWER(Registro!$G9))),"-",IFERROR(SUMPRODUCT(--("0"&amp;LEFT(TRIM(MID(SUBSTITUTE(SUBSTITUTE(SUBSTITUTE(SUBSTITUTE(SUBSTITUTE(LOWER(Registro!$G9),"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",LEN(Registro!$G9))),({1,2,3,4,5,6,7,8,9,10,11,12,13,14,15,16,17,18,19,20,21,22,23,24,25,26,27,28,29,30}-1)*LEN(Registro!$G9)+1,LEN(Registro!$G9))),FIND("x",TRIM(MID(SUBSTITUTE(SUBSTITUTE(SUBSTITUTE(SUBSTITUTE(SUBSTITUTE(LOWER(Registro!$G9),"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",LEN(Registro!$G9))),({1,2,3,4,5,6,7,8,9,10,11,12,13,14,15,16,17,18,19,20,21,22,23,24,25,26,27,28,29,30}-1)*LEN(Registro!$G9)+1,LEN(Registro!$G9)))&amp;"x")-1))),"Revisar formato")))</f>
        <v>1</v>
      </c>
      <c r="I9" s="11">
        <f>IF(Registro!$G9="","",IF(ISERROR(FIND("x",LOWER(Registro!$G9))),N(Registro!$H9),IFERROR(SUMPRODUCT(--("0"&amp;LEFT(TRIM(MID(SUBSTITUTE(SUBSTITUTE(SUBSTITUTE(SUBSTITUTE(SUBSTITUTE(LOWER(Registro!$G9),"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",LEN(Registro!$G9))),({1,2,3,4,5,6,7,8,9,10,11,12,13,14,15,16,17,18,19,20,21,22,23,24,25,26,27,28,29,30}-1)*LEN(Registro!$G9)+1,LEN(Registro!$G9))),FIND("x",TRIM(MID(SUBSTITUTE(SUBSTITUTE(SUBSTITUTE(SUBSTITUTE(SUBSTITUTE(LOWER(Registro!$G9),"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",LEN(Registro!$G9))),({1,2,3,4,5,6,7,8,9,10,11,12,13,14,15,16,17,18,19,20,21,22,23,24,25,26,27,28,29,30}-1)*LEN(Registro!$G9)+1,LEN(Registro!$G9)))&amp;"x")-1)),--("0"&amp;MID(TRIM(MID(SUBSTITUTE(SUBSTITUTE(SUBSTITUTE(SUBSTITUTE(SUBSTITUTE(LOWER(Registro!$G9),"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",LEN(Registro!$G9))),({1,2,3,4,5,6,7,8,9,10,11,12,13,14,15,16,17,18,19,20,21,22,23,24,25,26,27,28,29,30}-1)*LEN(Registro!$G9)+1,LEN(Registro!$G9))),FIND("x",TRIM(MID(SUBSTITUTE(SUBSTITUTE(SUBSTITUTE(SUBSTITUTE(SUBSTITUTE(LOWER(Registro!$G9),"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",LEN(Registro!$G9))),({1,2,3,4,5,6,7,8,9,10,11,12,13,14,15,16,17,18,19,20,21,22,23,24,25,26,27,28,29,30}-1)*LEN(Registro!$G9)+1,LEN(Registro!$G9)))&amp;"x")+1,20))),"Revisar formato")))</f>
        <v>2365</v>
      </c>
      <c r="J9" s="9" t="str">
        <f>IF(AND(Registro!$E9="",Registro!$G9=""),"",IF(NOT(AND(ISNUMBER(I9),ISNUMBER(Registro!$H9))),"",IF(I9&lt;Registro!$H9,"FALTA BOLETOS",IF(I9=Registro!$H9,"CONFORME","DIFERENCIA"))))</f>
        <v>CONFORME</v>
      </c>
      <c r="K9" s="11">
        <f>IF(Registro!$I9="","",IFERROR(SUMPRODUCT(--("0"&amp;TRIM(RIGHT(SUBSTITUTE(TRIM(MID(SUBSTITUTE(SUBSTITUTE(Registro!$I9,";",CHAR(10)),CHAR(10),REPT(" ",LEN(Registro!$I9))),({1,2,3,4,5,6,7,8,9,10,11,12,13,14,15,16,17,18,19,20,21,22,23,24,25,26,27,28,29,30}-1)*LEN(Registro!$I9)+1,LEN(Registro!$I9)))," ",REPT(" ",50)),50)))),"Revisar formato"))</f>
        <v>50</v>
      </c>
      <c r="L9" s="11" t="str">
        <f>IF(Registro!$J9="","",IFERROR(SUMPRODUCT(--("0"&amp;TRIM(RIGHT(SUBSTITUTE(TRIM(MID(SUBSTITUTE(SUBSTITUTE(Registro!$J9,";",CHAR(10)),CHAR(10),REPT(" ",LEN(Registro!$J9))),({1,2,3,4,5,6,7,8,9,10,11,12,13,14,15,16,17,18,19,20,21,22,23,24,25,26,27,28,29,30}-1)*LEN(Registro!$J9)+1,LEN(Registro!$J9)))," ",REPT(" ",50)),50)))),"Revisar formato"))</f>
        <v/>
      </c>
      <c r="M9" s="11">
        <f>IF(AND(Registro!$H9="",Registro!$I9=""),"",IF(AND(ISTEXT(K9),K9&lt;&gt;""),"Revisar formato",N(Registro!$H9)-N(K9)))</f>
        <v>2315</v>
      </c>
      <c r="N9" s="11">
        <f t="shared" si="2"/>
        <v>2315</v>
      </c>
      <c r="O9" s="15">
        <f>IF(AND(A9=Consulta!$B$3,C9=Consulta!$H$3),B9*10000+ROW(),"")</f>
        <v>463030009</v>
      </c>
    </row>
    <row r="10" spans="1:26" x14ac:dyDescent="0.25">
      <c r="A10" s="9" t="str">
        <f>IF(Registro!$A10="","",Registro!$A10)</f>
        <v>TDS</v>
      </c>
      <c r="B10" s="8">
        <f>IF(Registro!$B10="","",Registro!$B10)</f>
        <v>46304</v>
      </c>
      <c r="C10" s="14">
        <f t="shared" si="0"/>
        <v>202610</v>
      </c>
      <c r="D10" s="10">
        <f>IF(Registro!$E10="","",IF(ISERROR(FIND("x",LOWER(Registro!$E10))),"-",IFERROR(SUMPRODUCT(--("0"&amp;LEFT(TRIM(MID(SUBSTITUTE(SUBSTITUTE(SUBSTITUTE(SUBSTITUTE(SUBSTITUTE(LOWER(Registro!$E10),"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",LEN(Registro!$E10))),({1,2,3,4,5,6,7,8,9,10,11,12,13,14,15,16,17,18,19,20,21,22,23,24,25,26,27,28,29,30}-1)*LEN(Registro!$E10)+1,LEN(Registro!$E10)))&amp;"x")-1))),"Revisar formato")))</f>
        <v>57</v>
      </c>
      <c r="E10" s="11">
        <f>IF(Registro!$E10="","",IF(ISERROR(FIND("x",LOWER(Registro!$E10))),"-",IFERROR(SUMPRODUCT(--("0"&amp;LEFT(TRIM(MID(SUBSTITUTE(SUBSTITUTE(SUBSTITUTE(SUBSTITUTE(SUBSTITUTE(LOWER(Registro!$E10),"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",LEN(Registro!$E10))),({1,2,3,4,5,6,7,8,9,10,11,12,13,14,15,16,17,18,19,20,21,22,23,24,25,26,27,28,29,30}-1)*LEN(Registro!$E10)+1,LEN(Registro!$E10)))&amp;"x")-1)),--("0"&amp;MID(TRIM(MID(SUBSTITUTE(SUBSTITUTE(SUBSTITUTE(SUBSTITUTE(SUBSTITUTE(LOWER(Registro!$E10),"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",LEN(Registro!$E10))),({1,2,3,4,5,6,7,8,9,10,11,12,13,14,15,16,17,18,19,20,21,22,23,24,25,26,27,28,29,30}-1)*LEN(Registro!$E10)+1,LEN(Registro!$E10)))&amp;"x")+1,20))),"Revisar formato")))</f>
        <v>2870</v>
      </c>
      <c r="F10" s="11" t="str">
        <f>IF(Registro!$F10="","",N(Registro!$F10))</f>
        <v/>
      </c>
      <c r="G10" s="11">
        <f t="shared" si="1"/>
        <v>2870</v>
      </c>
      <c r="H10" s="10">
        <f>IF(Registro!$G10="","",IF(ISERROR(FIND("x",LOWER(Registro!$G10))),"-",IFERROR(SUMPRODUCT(--("0"&amp;LEFT(TRIM(MID(SUBSTITUTE(SUBSTITUTE(SUBSTITUTE(SUBSTITUTE(SUBSTITUTE(LOWER(Registro!$G10),"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",LEN(Registro!$G10))),({1,2,3,4,5,6,7,8,9,10,11,12,13,14,15,16,17,18,19,20,21,22,23,24,25,26,27,28,29,30}-1)*LEN(Registro!$G10)+1,LEN(Registro!$G10))),FIND("x",TRIM(MID(SUBSTITUTE(SUBSTITUTE(SUBSTITUTE(SUBSTITUTE(SUBSTITUTE(LOWER(Registro!$G10),"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",LEN(Registro!$G10))),({1,2,3,4,5,6,7,8,9,10,11,12,13,14,15,16,17,18,19,20,21,22,23,24,25,26,27,28,29,30}-1)*LEN(Registro!$G10)+1,LEN(Registro!$G10)))&amp;"x")-1))),"Revisar formato")))</f>
        <v>1</v>
      </c>
      <c r="I10" s="11">
        <f>IF(Registro!$G10="","",IF(ISERROR(FIND("x",LOWER(Registro!$G10))),N(Registro!$H10),IFERROR(SUMPRODUCT(--("0"&amp;LEFT(TRIM(MID(SUBSTITUTE(SUBSTITUTE(SUBSTITUTE(SUBSTITUTE(SUBSTITUTE(LOWER(Registro!$G10),"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",LEN(Registro!$G10))),({1,2,3,4,5,6,7,8,9,10,11,12,13,14,15,16,17,18,19,20,21,22,23,24,25,26,27,28,29,30}-1)*LEN(Registro!$G10)+1,LEN(Registro!$G10))),FIND("x",TRIM(MID(SUBSTITUTE(SUBSTITUTE(SUBSTITUTE(SUBSTITUTE(SUBSTITUTE(LOWER(Registro!$G10),"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",LEN(Registro!$G10))),({1,2,3,4,5,6,7,8,9,10,11,12,13,14,15,16,17,18,19,20,21,22,23,24,25,26,27,28,29,30}-1)*LEN(Registro!$G10)+1,LEN(Registro!$G10)))&amp;"x")-1)),--("0"&amp;MID(TRIM(MID(SUBSTITUTE(SUBSTITUTE(SUBSTITUTE(SUBSTITUTE(SUBSTITUTE(LOWER(Registro!$G10),"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",LEN(Registro!$G10))),({1,2,3,4,5,6,7,8,9,10,11,12,13,14,15,16,17,18,19,20,21,22,23,24,25,26,27,28,29,30}-1)*LEN(Registro!$G10)+1,LEN(Registro!$G10))),FIND("x",TRIM(MID(SUBSTITUTE(SUBSTITUTE(SUBSTITUTE(SUBSTITUTE(SUBSTITUTE(LOWER(Registro!$G10),"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",LEN(Registro!$G10))),({1,2,3,4,5,6,7,8,9,10,11,12,13,14,15,16,17,18,19,20,21,22,23,24,25,26,27,28,29,30}-1)*LEN(Registro!$G10)+1,LEN(Registro!$G10)))&amp;"x")+1,20))),"Revisar formato")))</f>
        <v>2395</v>
      </c>
      <c r="J10" s="9" t="str">
        <f>IF(AND(Registro!$E10="",Registro!$G10=""),"",IF(NOT(AND(ISNUMBER(I10),ISNUMBER(Registro!$H10))),"",IF(I10&lt;Registro!$H10,"FALTA BOLETOS",IF(I10=Registro!$H10,"CONFORME","DIFERENCIA"))))</f>
        <v>CONFORME</v>
      </c>
      <c r="K10" s="11" t="str">
        <f>IF(Registro!$I10="","",IFERROR(SUMPRODUCT(--("0"&amp;TRIM(RIGHT(SUBSTITUTE(TRIM(MID(SUBSTITUTE(SUBSTITUTE(Registro!$I10,";",CHAR(10)),CHAR(10),REPT(" ",LEN(Registro!$I10))),({1,2,3,4,5,6,7,8,9,10,11,12,13,14,15,16,17,18,19,20,21,22,23,24,25,26,27,28,29,30}-1)*LEN(Registro!$I10)+1,LEN(Registro!$I10)))," ",REPT(" ",50)),50)))),"Revisar formato"))</f>
        <v/>
      </c>
      <c r="L10" s="11" t="str">
        <f>IF(Registro!$J10="","",IFERROR(SUMPRODUCT(--("0"&amp;TRIM(RIGHT(SUBSTITUTE(TRIM(MID(SUBSTITUTE(SUBSTITUTE(Registro!$J10,";",CHAR(10)),CHAR(10),REPT(" ",LEN(Registro!$J10))),({1,2,3,4,5,6,7,8,9,10,11,12,13,14,15,16,17,18,19,20,21,22,23,24,25,26,27,28,29,30}-1)*LEN(Registro!$J10)+1,LEN(Registro!$J10)))," ",REPT(" ",50)),50)))),"Revisar formato"))</f>
        <v/>
      </c>
      <c r="M10" s="11">
        <f>IF(AND(Registro!$H10="",Registro!$I10=""),"",IF(AND(ISTEXT(K10),K10&lt;&gt;""),"Revisar formato",N(Registro!$H10)-N(K10)))</f>
        <v>2395</v>
      </c>
      <c r="N10" s="11">
        <f t="shared" si="2"/>
        <v>2395</v>
      </c>
      <c r="O10" s="15">
        <f>IF(AND(A10=Consulta!$B$3,C10=Consulta!$H$3),B10*10000+ROW(),"")</f>
        <v>463040010</v>
      </c>
    </row>
    <row r="11" spans="1:26" x14ac:dyDescent="0.25">
      <c r="A11" s="9" t="str">
        <f>IF(Registro!$A11="","",Registro!$A11)</f>
        <v>TDS</v>
      </c>
      <c r="B11" s="8">
        <f>IF(Registro!$B11="","",Registro!$B11)</f>
        <v>46305</v>
      </c>
      <c r="C11" s="14">
        <f t="shared" si="0"/>
        <v>202610</v>
      </c>
      <c r="D11" s="10">
        <f>IF(Registro!$E11="","",IF(ISERROR(FIND("x",LOWER(Registro!$E11))),"-",IFERROR(SUMPRODUCT(--("0"&amp;LEFT(TRIM(MID(SUBSTITUTE(SUBSTITUTE(SUBSTITUTE(SUBSTITUTE(SUBSTITUTE(LOWER(Registro!$E11),"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",LEN(Registro!$E11))),({1,2,3,4,5,6,7,8,9,10,11,12,13,14,15,16,17,18,19,20,21,22,23,24,25,26,27,28,29,30}-1)*LEN(Registro!$E11)+1,LEN(Registro!$E11)))&amp;"x")-1))),"Revisar formato")))</f>
        <v>43</v>
      </c>
      <c r="E11" s="11">
        <f>IF(Registro!$E11="","",IF(ISERROR(FIND("x",LOWER(Registro!$E11))),"-",IFERROR(SUMPRODUCT(--("0"&amp;LEFT(TRIM(MID(SUBSTITUTE(SUBSTITUTE(SUBSTITUTE(SUBSTITUTE(SUBSTITUTE(LOWER(Registro!$E11),"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",LEN(Registro!$E11))),({1,2,3,4,5,6,7,8,9,10,11,12,13,14,15,16,17,18,19,20,21,22,23,24,25,26,27,28,29,30}-1)*LEN(Registro!$E11)+1,LEN(Registro!$E11)))&amp;"x")-1)),--("0"&amp;MID(TRIM(MID(SUBSTITUTE(SUBSTITUTE(SUBSTITUTE(SUBSTITUTE(SUBSTITUTE(LOWER(Registro!$E11),"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",LEN(Registro!$E11))),({1,2,3,4,5,6,7,8,9,10,11,12,13,14,15,16,17,18,19,20,21,22,23,24,25,26,27,28,29,30}-1)*LEN(Registro!$E11)+1,LEN(Registro!$E11)))&amp;"x")+1,20))),"Revisar formato")))</f>
        <v>1690</v>
      </c>
      <c r="F11" s="11" t="str">
        <f>IF(Registro!$F11="","",N(Registro!$F11))</f>
        <v/>
      </c>
      <c r="G11" s="11">
        <f t="shared" si="1"/>
        <v>1690</v>
      </c>
      <c r="H11" s="10">
        <f>IF(Registro!$G11="","",IF(ISERROR(FIND("x",LOWER(Registro!$G11))),"-",IFERROR(SUMPRODUCT(--("0"&amp;LEFT(TRIM(MID(SUBSTITUTE(SUBSTITUTE(SUBSTITUTE(SUBSTITUTE(SUBSTITUTE(LOWER(Registro!$G11),"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",LEN(Registro!$G11))),({1,2,3,4,5,6,7,8,9,10,11,12,13,14,15,16,17,18,19,20,21,22,23,24,25,26,27,28,29,30}-1)*LEN(Registro!$G11)+1,LEN(Registro!$G11))),FIND("x",TRIM(MID(SUBSTITUTE(SUBSTITUTE(SUBSTITUTE(SUBSTITUTE(SUBSTITUTE(LOWER(Registro!$G11),"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",LEN(Registro!$G11))),({1,2,3,4,5,6,7,8,9,10,11,12,13,14,15,16,17,18,19,20,21,22,23,24,25,26,27,28,29,30}-1)*LEN(Registro!$G11)+1,LEN(Registro!$G11)))&amp;"x")-1))),"Revisar formato")))</f>
        <v>1</v>
      </c>
      <c r="I11" s="11">
        <f>IF(Registro!$G11="","",IF(ISERROR(FIND("x",LOWER(Registro!$G11))),N(Registro!$H11),IFERROR(SUMPRODUCT(--("0"&amp;LEFT(TRIM(MID(SUBSTITUTE(SUBSTITUTE(SUBSTITUTE(SUBSTITUTE(SUBSTITUTE(LOWER(Registro!$G11),"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",LEN(Registro!$G11))),({1,2,3,4,5,6,7,8,9,10,11,12,13,14,15,16,17,18,19,20,21,22,23,24,25,26,27,28,29,30}-1)*LEN(Registro!$G11)+1,LEN(Registro!$G11))),FIND("x",TRIM(MID(SUBSTITUTE(SUBSTITUTE(SUBSTITUTE(SUBSTITUTE(SUBSTITUTE(LOWER(Registro!$G11),"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",LEN(Registro!$G11))),({1,2,3,4,5,6,7,8,9,10,11,12,13,14,15,16,17,18,19,20,21,22,23,24,25,26,27,28,29,30}-1)*LEN(Registro!$G11)+1,LEN(Registro!$G11)))&amp;"x")-1)),--("0"&amp;MID(TRIM(MID(SUBSTITUTE(SUBSTITUTE(SUBSTITUTE(SUBSTITUTE(SUBSTITUTE(LOWER(Registro!$G11),"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",LEN(Registro!$G11))),({1,2,3,4,5,6,7,8,9,10,11,12,13,14,15,16,17,18,19,20,21,22,23,24,25,26,27,28,29,30}-1)*LEN(Registro!$G11)+1,LEN(Registro!$G11))),FIND("x",TRIM(MID(SUBSTITUTE(SUBSTITUTE(SUBSTITUTE(SUBSTITUTE(SUBSTITUTE(LOWER(Registro!$G11),"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",LEN(Registro!$G11))),({1,2,3,4,5,6,7,8,9,10,11,12,13,14,15,16,17,18,19,20,21,22,23,24,25,26,27,28,29,30}-1)*LEN(Registro!$G11)+1,LEN(Registro!$G11)))&amp;"x")+1,20))),"Revisar formato")))</f>
        <v>3670</v>
      </c>
      <c r="J11" s="9" t="str">
        <f>IF(AND(Registro!$E11="",Registro!$G11=""),"",IF(NOT(AND(ISNUMBER(I11),ISNUMBER(Registro!$H11))),"",IF(I11&lt;Registro!$H11,"FALTA BOLETOS",IF(I11=Registro!$H11,"CONFORME","DIFERENCIA"))))</f>
        <v>CONFORME</v>
      </c>
      <c r="K11" s="11">
        <f>IF(Registro!$I11="","",IFERROR(SUMPRODUCT(--("0"&amp;TRIM(RIGHT(SUBSTITUTE(TRIM(MID(SUBSTITUTE(SUBSTITUTE(Registro!$I11,";",CHAR(10)),CHAR(10),REPT(" ",LEN(Registro!$I11))),({1,2,3,4,5,6,7,8,9,10,11,12,13,14,15,16,17,18,19,20,21,22,23,24,25,26,27,28,29,30}-1)*LEN(Registro!$I11)+1,LEN(Registro!$I11)))," ",REPT(" ",50)),50)))),"Revisar formato"))</f>
        <v>100</v>
      </c>
      <c r="L11" s="11">
        <f>IF(Registro!$J11="","",IFERROR(SUMPRODUCT(--("0"&amp;TRIM(RIGHT(SUBSTITUTE(TRIM(MID(SUBSTITUTE(SUBSTITUTE(Registro!$J11,";",CHAR(10)),CHAR(10),REPT(" ",LEN(Registro!$J11))),({1,2,3,4,5,6,7,8,9,10,11,12,13,14,15,16,17,18,19,20,21,22,23,24,25,26,27,28,29,30}-1)*LEN(Registro!$J11)+1,LEN(Registro!$J11)))," ",REPT(" ",50)),50)))),"Revisar formato"))</f>
        <v>8380</v>
      </c>
      <c r="M11" s="11">
        <f>IF(AND(Registro!$H11="",Registro!$I11=""),"",IF(AND(ISTEXT(K11),K11&lt;&gt;""),"Revisar formato",N(Registro!$H11)-N(K11)))</f>
        <v>3570</v>
      </c>
      <c r="N11" s="11">
        <f t="shared" si="2"/>
        <v>-4810</v>
      </c>
      <c r="O11" s="15">
        <f>IF(AND(A11=Consulta!$B$3,C11=Consulta!$H$3),B11*10000+ROW(),"")</f>
        <v>463050011</v>
      </c>
    </row>
    <row r="12" spans="1:26" x14ac:dyDescent="0.25">
      <c r="A12" s="9" t="str">
        <f>IF(Registro!$A12="","",Registro!$A12)</f>
        <v>TDS</v>
      </c>
      <c r="B12" s="8">
        <f>IF(Registro!$B12="","",Registro!$B12)</f>
        <v>46305</v>
      </c>
      <c r="C12" s="14">
        <f t="shared" si="0"/>
        <v>202610</v>
      </c>
      <c r="D12" s="10">
        <f>IF(Registro!$E12="","",IF(ISERROR(FIND("x",LOWER(Registro!$E12))),"-",IFERROR(SUMPRODUCT(--("0"&amp;LEFT(TRIM(MID(SUBSTITUTE(SUBSTITUTE(SUBSTITUTE(SUBSTITUTE(SUBSTITUTE(LOWER(Registro!$E12),"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",LEN(Registro!$E12))),({1,2,3,4,5,6,7,8,9,10,11,12,13,14,15,16,17,18,19,20,21,22,23,24,25,26,27,28,29,30}-1)*LEN(Registro!$E12)+1,LEN(Registro!$E12)))&amp;"x")-1))),"Revisar formato")))</f>
        <v>45</v>
      </c>
      <c r="E12" s="11">
        <f>IF(Registro!$E12="","",IF(ISERROR(FIND("x",LOWER(Registro!$E12))),"-",IFERROR(SUMPRODUCT(--("0"&amp;LEFT(TRIM(MID(SUBSTITUTE(SUBSTITUTE(SUBSTITUTE(SUBSTITUTE(SUBSTITUTE(LOWER(Registro!$E12),"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",LEN(Registro!$E12))),({1,2,3,4,5,6,7,8,9,10,11,12,13,14,15,16,17,18,19,20,21,22,23,24,25,26,27,28,29,30}-1)*LEN(Registro!$E12)+1,LEN(Registro!$E12)))&amp;"x")-1)),--("0"&amp;MID(TRIM(MID(SUBSTITUTE(SUBSTITUTE(SUBSTITUTE(SUBSTITUTE(SUBSTITUTE(LOWER(Registro!$E12),"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",LEN(Registro!$E12))),({1,2,3,4,5,6,7,8,9,10,11,12,13,14,15,16,17,18,19,20,21,22,23,24,25,26,27,28,29,30}-1)*LEN(Registro!$E12)+1,LEN(Registro!$E12)))&amp;"x")+1,20))),"Revisar formato")))</f>
        <v>1995</v>
      </c>
      <c r="F12" s="11" t="str">
        <f>IF(Registro!$F12="","",N(Registro!$F12))</f>
        <v/>
      </c>
      <c r="G12" s="11">
        <f t="shared" si="1"/>
        <v>1995</v>
      </c>
      <c r="H12" s="10">
        <f>IF(Registro!$G12="","",IF(ISERROR(FIND("x",LOWER(Registro!$G12))),"-",IFERROR(SUMPRODUCT(--("0"&amp;LEFT(TRIM(MID(SUBSTITUTE(SUBSTITUTE(SUBSTITUTE(SUBSTITUTE(SUBSTITUTE(LOWER(Registro!$G12),"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",LEN(Registro!$G12))),({1,2,3,4,5,6,7,8,9,10,11,12,13,14,15,16,17,18,19,20,21,22,23,24,25,26,27,28,29,30}-1)*LEN(Registro!$G12)+1,LEN(Registro!$G12))),FIND("x",TRIM(MID(SUBSTITUTE(SUBSTITUTE(SUBSTITUTE(SUBSTITUTE(SUBSTITUTE(LOWER(Registro!$G12),"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",LEN(Registro!$G12))),({1,2,3,4,5,6,7,8,9,10,11,12,13,14,15,16,17,18,19,20,21,22,23,24,25,26,27,28,29,30}-1)*LEN(Registro!$G12)+1,LEN(Registro!$G12)))&amp;"x")-1))),"Revisar formato")))</f>
        <v>1</v>
      </c>
      <c r="I12" s="11">
        <f>IF(Registro!$G12="","",IF(ISERROR(FIND("x",LOWER(Registro!$G12))),N(Registro!$H12),IFERROR(SUMPRODUCT(--("0"&amp;LEFT(TRIM(MID(SUBSTITUTE(SUBSTITUTE(SUBSTITUTE(SUBSTITUTE(SUBSTITUTE(LOWER(Registro!$G12),"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",LEN(Registro!$G12))),({1,2,3,4,5,6,7,8,9,10,11,12,13,14,15,16,17,18,19,20,21,22,23,24,25,26,27,28,29,30}-1)*LEN(Registro!$G12)+1,LEN(Registro!$G12))),FIND("x",TRIM(MID(SUBSTITUTE(SUBSTITUTE(SUBSTITUTE(SUBSTITUTE(SUBSTITUTE(LOWER(Registro!$G12),"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",LEN(Registro!$G12))),({1,2,3,4,5,6,7,8,9,10,11,12,13,14,15,16,17,18,19,20,21,22,23,24,25,26,27,28,29,30}-1)*LEN(Registro!$G12)+1,LEN(Registro!$G12)))&amp;"x")-1)),--("0"&amp;MID(TRIM(MID(SUBSTITUTE(SUBSTITUTE(SUBSTITUTE(SUBSTITUTE(SUBSTITUTE(LOWER(Registro!$G12),"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",LEN(Registro!$G12))),({1,2,3,4,5,6,7,8,9,10,11,12,13,14,15,16,17,18,19,20,21,22,23,24,25,26,27,28,29,30}-1)*LEN(Registro!$G12)+1,LEN(Registro!$G12))),FIND("x",TRIM(MID(SUBSTITUTE(SUBSTITUTE(SUBSTITUTE(SUBSTITUTE(SUBSTITUTE(LOWER(Registro!$G12),"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",LEN(Registro!$G12))),({1,2,3,4,5,6,7,8,9,10,11,12,13,14,15,16,17,18,19,20,21,22,23,24,25,26,27,28,29,30}-1)*LEN(Registro!$G12)+1,LEN(Registro!$G12)))&amp;"x")+1,20))),"Revisar formato")))</f>
        <v>2100</v>
      </c>
      <c r="J12" s="9" t="str">
        <f>IF(AND(Registro!$E12="",Registro!$G12=""),"",IF(NOT(AND(ISNUMBER(I12),ISNUMBER(Registro!$H12))),"",IF(I12&lt;Registro!$H12,"FALTA BOLETOS",IF(I12=Registro!$H12,"CONFORME","DIFERENCIA"))))</f>
        <v>CONFORME</v>
      </c>
      <c r="K12" s="11" t="str">
        <f>IF(Registro!$I12="","",IFERROR(SUMPRODUCT(--("0"&amp;TRIM(RIGHT(SUBSTITUTE(TRIM(MID(SUBSTITUTE(SUBSTITUTE(Registro!$I12,";",CHAR(10)),CHAR(10),REPT(" ",LEN(Registro!$I12))),({1,2,3,4,5,6,7,8,9,10,11,12,13,14,15,16,17,18,19,20,21,22,23,24,25,26,27,28,29,30}-1)*LEN(Registro!$I12)+1,LEN(Registro!$I12)))," ",REPT(" ",50)),50)))),"Revisar formato"))</f>
        <v/>
      </c>
      <c r="L12" s="11" t="str">
        <f>IF(Registro!$J12="","",IFERROR(SUMPRODUCT(--("0"&amp;TRIM(RIGHT(SUBSTITUTE(TRIM(MID(SUBSTITUTE(SUBSTITUTE(Registro!$J12,";",CHAR(10)),CHAR(10),REPT(" ",LEN(Registro!$J12))),({1,2,3,4,5,6,7,8,9,10,11,12,13,14,15,16,17,18,19,20,21,22,23,24,25,26,27,28,29,30}-1)*LEN(Registro!$J12)+1,LEN(Registro!$J12)))," ",REPT(" ",50)),50)))),"Revisar formato"))</f>
        <v/>
      </c>
      <c r="M12" s="11">
        <f>IF(AND(Registro!$H12="",Registro!$I12=""),"",IF(AND(ISTEXT(K12),K12&lt;&gt;""),"Revisar formato",N(Registro!$H12)-N(K12)))</f>
        <v>2100</v>
      </c>
      <c r="N12" s="11">
        <f t="shared" si="2"/>
        <v>2100</v>
      </c>
      <c r="O12" s="15">
        <f>IF(AND(A12=Consulta!$B$3,C12=Consulta!$H$3),B12*10000+ROW(),"")</f>
        <v>463050012</v>
      </c>
    </row>
    <row r="13" spans="1:26" x14ac:dyDescent="0.25">
      <c r="A13" s="9" t="str">
        <f>IF(Registro!$A13="","",Registro!$A13)</f>
        <v>TDS</v>
      </c>
      <c r="B13" s="8">
        <f>IF(Registro!$B13="","",Registro!$B13)</f>
        <v>46306</v>
      </c>
      <c r="C13" s="14">
        <f t="shared" si="0"/>
        <v>202610</v>
      </c>
      <c r="D13" s="10">
        <f>IF(Registro!$E13="","",IF(ISERROR(FIND("x",LOWER(Registro!$E13))),"-",IFERROR(SUMPRODUCT(--("0"&amp;LEFT(TRIM(MID(SUBSTITUTE(SUBSTITUTE(SUBSTITUTE(SUBSTITUTE(SUBSTITUTE(LOWER(Registro!$E13),"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",LEN(Registro!$E13))),({1,2,3,4,5,6,7,8,9,10,11,12,13,14,15,16,17,18,19,20,21,22,23,24,25,26,27,28,29,30}-1)*LEN(Registro!$E13)+1,LEN(Registro!$E13)))&amp;"x")-1))),"Revisar formato")))</f>
        <v>50</v>
      </c>
      <c r="E13" s="11">
        <f>IF(Registro!$E13="","",IF(ISERROR(FIND("x",LOWER(Registro!$E13))),"-",IFERROR(SUMPRODUCT(--("0"&amp;LEFT(TRIM(MID(SUBSTITUTE(SUBSTITUTE(SUBSTITUTE(SUBSTITUTE(SUBSTITUTE(LOWER(Registro!$E13),"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",LEN(Registro!$E13))),({1,2,3,4,5,6,7,8,9,10,11,12,13,14,15,16,17,18,19,20,21,22,23,24,25,26,27,28,29,30}-1)*LEN(Registro!$E13)+1,LEN(Registro!$E13)))&amp;"x")-1)),--("0"&amp;MID(TRIM(MID(SUBSTITUTE(SUBSTITUTE(SUBSTITUTE(SUBSTITUTE(SUBSTITUTE(LOWER(Registro!$E13),"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",LEN(Registro!$E13))),({1,2,3,4,5,6,7,8,9,10,11,12,13,14,15,16,17,18,19,20,21,22,23,24,25,26,27,28,29,30}-1)*LEN(Registro!$E13)+1,LEN(Registro!$E13)))&amp;"x")+1,20))),"Revisar formato")))</f>
        <v>2580</v>
      </c>
      <c r="F13" s="11" t="str">
        <f>IF(Registro!$F13="","",N(Registro!$F13))</f>
        <v/>
      </c>
      <c r="G13" s="11">
        <f t="shared" si="1"/>
        <v>2580</v>
      </c>
      <c r="H13" s="10">
        <f>IF(Registro!$G13="","",IF(ISERROR(FIND("x",LOWER(Registro!$G13))),"-",IFERROR(SUMPRODUCT(--("0"&amp;LEFT(TRIM(MID(SUBSTITUTE(SUBSTITUTE(SUBSTITUTE(SUBSTITUTE(SUBSTITUTE(LOWER(Registro!$G13),"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",LEN(Registro!$G13))),({1,2,3,4,5,6,7,8,9,10,11,12,13,14,15,16,17,18,19,20,21,22,23,24,25,26,27,28,29,30}-1)*LEN(Registro!$G13)+1,LEN(Registro!$G13))),FIND("x",TRIM(MID(SUBSTITUTE(SUBSTITUTE(SUBSTITUTE(SUBSTITUTE(SUBSTITUTE(LOWER(Registro!$G13),"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",LEN(Registro!$G13))),({1,2,3,4,5,6,7,8,9,10,11,12,13,14,15,16,17,18,19,20,21,22,23,24,25,26,27,28,29,30}-1)*LEN(Registro!$G13)+1,LEN(Registro!$G13)))&amp;"x")-1))),"Revisar formato")))</f>
        <v>1</v>
      </c>
      <c r="I13" s="11">
        <f>IF(Registro!$G13="","",IF(ISERROR(FIND("x",LOWER(Registro!$G13))),N(Registro!$H13),IFERROR(SUMPRODUCT(--("0"&amp;LEFT(TRIM(MID(SUBSTITUTE(SUBSTITUTE(SUBSTITUTE(SUBSTITUTE(SUBSTITUTE(LOWER(Registro!$G13),"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",LEN(Registro!$G13))),({1,2,3,4,5,6,7,8,9,10,11,12,13,14,15,16,17,18,19,20,21,22,23,24,25,26,27,28,29,30}-1)*LEN(Registro!$G13)+1,LEN(Registro!$G13))),FIND("x",TRIM(MID(SUBSTITUTE(SUBSTITUTE(SUBSTITUTE(SUBSTITUTE(SUBSTITUTE(LOWER(Registro!$G13),"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",LEN(Registro!$G13))),({1,2,3,4,5,6,7,8,9,10,11,12,13,14,15,16,17,18,19,20,21,22,23,24,25,26,27,28,29,30}-1)*LEN(Registro!$G13)+1,LEN(Registro!$G13)))&amp;"x")-1)),--("0"&amp;MID(TRIM(MID(SUBSTITUTE(SUBSTITUTE(SUBSTITUTE(SUBSTITUTE(SUBSTITUTE(LOWER(Registro!$G13),"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",LEN(Registro!$G13))),({1,2,3,4,5,6,7,8,9,10,11,12,13,14,15,16,17,18,19,20,21,22,23,24,25,26,27,28,29,30}-1)*LEN(Registro!$G13)+1,LEN(Registro!$G13))),FIND("x",TRIM(MID(SUBSTITUTE(SUBSTITUTE(SUBSTITUTE(SUBSTITUTE(SUBSTITUTE(LOWER(Registro!$G13),"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",LEN(Registro!$G13))),({1,2,3,4,5,6,7,8,9,10,11,12,13,14,15,16,17,18,19,20,21,22,23,24,25,26,27,28,29,30}-1)*LEN(Registro!$G13)+1,LEN(Registro!$G13)))&amp;"x")+1,20))),"Revisar formato")))</f>
        <v>5280</v>
      </c>
      <c r="J13" s="9" t="str">
        <f>IF(AND(Registro!$E13="",Registro!$G13=""),"",IF(NOT(AND(ISNUMBER(I13),ISNUMBER(Registro!$H13))),"",IF(I13&lt;Registro!$H13,"FALTA BOLETOS",IF(I13=Registro!$H13,"CONFORME","DIFERENCIA"))))</f>
        <v>CONFORME</v>
      </c>
      <c r="K13" s="11">
        <f>IF(Registro!$I13="","",IFERROR(SUMPRODUCT(--("0"&amp;TRIM(RIGHT(SUBSTITUTE(TRIM(MID(SUBSTITUTE(SUBSTITUTE(Registro!$I13,";",CHAR(10)),CHAR(10),REPT(" ",LEN(Registro!$I13))),({1,2,3,4,5,6,7,8,9,10,11,12,13,14,15,16,17,18,19,20,21,22,23,24,25,26,27,28,29,30}-1)*LEN(Registro!$I13)+1,LEN(Registro!$I13)))," ",REPT(" ",50)),50)))),"Revisar formato"))</f>
        <v>130</v>
      </c>
      <c r="L13" s="11" t="str">
        <f>IF(Registro!$J13="","",IFERROR(SUMPRODUCT(--("0"&amp;TRIM(RIGHT(SUBSTITUTE(TRIM(MID(SUBSTITUTE(SUBSTITUTE(Registro!$J13,";",CHAR(10)),CHAR(10),REPT(" ",LEN(Registro!$J13))),({1,2,3,4,5,6,7,8,9,10,11,12,13,14,15,16,17,18,19,20,21,22,23,24,25,26,27,28,29,30}-1)*LEN(Registro!$J13)+1,LEN(Registro!$J13)))," ",REPT(" ",50)),50)))),"Revisar formato"))</f>
        <v/>
      </c>
      <c r="M13" s="11">
        <f>IF(AND(Registro!$H13="",Registro!$I13=""),"",IF(AND(ISTEXT(K13),K13&lt;&gt;""),"Revisar formato",N(Registro!$H13)-N(K13)))</f>
        <v>5150</v>
      </c>
      <c r="N13" s="11">
        <f t="shared" si="2"/>
        <v>5150</v>
      </c>
      <c r="O13" s="15">
        <f>IF(AND(A13=Consulta!$B$3,C13=Consulta!$H$3),B13*10000+ROW(),"")</f>
        <v>463060013</v>
      </c>
    </row>
    <row r="14" spans="1:26" x14ac:dyDescent="0.25">
      <c r="A14" s="9" t="str">
        <f>IF(Registro!$A14="","",Registro!$A14)</f>
        <v>TDS</v>
      </c>
      <c r="B14" s="8">
        <f>IF(Registro!$B14="","",Registro!$B14)</f>
        <v>46307</v>
      </c>
      <c r="C14" s="14">
        <f t="shared" si="0"/>
        <v>202610</v>
      </c>
      <c r="D14" s="10">
        <f>IF(Registro!$E14="","",IF(ISERROR(FIND("x",LOWER(Registro!$E14))),"-",IFERROR(SUMPRODUCT(--("0"&amp;LEFT(TRIM(MID(SUBSTITUTE(SUBSTITUTE(SUBSTITUTE(SUBSTITUTE(SUBSTITUTE(LOWER(Registro!$E14),"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",LEN(Registro!$E14))),({1,2,3,4,5,6,7,8,9,10,11,12,13,14,15,16,17,18,19,20,21,22,23,24,25,26,27,28,29,30}-1)*LEN(Registro!$E14)+1,LEN(Registro!$E14)))&amp;"x")-1))),"Revisar formato")))</f>
        <v>51</v>
      </c>
      <c r="E14" s="11">
        <f>IF(Registro!$E14="","",IF(ISERROR(FIND("x",LOWER(Registro!$E14))),"-",IFERROR(SUMPRODUCT(--("0"&amp;LEFT(TRIM(MID(SUBSTITUTE(SUBSTITUTE(SUBSTITUTE(SUBSTITUTE(SUBSTITUTE(LOWER(Registro!$E14),"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",LEN(Registro!$E14))),({1,2,3,4,5,6,7,8,9,10,11,12,13,14,15,16,17,18,19,20,21,22,23,24,25,26,27,28,29,30}-1)*LEN(Registro!$E14)+1,LEN(Registro!$E14)))&amp;"x")-1)),--("0"&amp;MID(TRIM(MID(SUBSTITUTE(SUBSTITUTE(SUBSTITUTE(SUBSTITUTE(SUBSTITUTE(LOWER(Registro!$E14),"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",LEN(Registro!$E14))),({1,2,3,4,5,6,7,8,9,10,11,12,13,14,15,16,17,18,19,20,21,22,23,24,25,26,27,28,29,30}-1)*LEN(Registro!$E14)+1,LEN(Registro!$E14)))&amp;"x")+1,20))),"Revisar formato")))</f>
        <v>2220</v>
      </c>
      <c r="F14" s="11" t="str">
        <f>IF(Registro!$F14="","",N(Registro!$F14))</f>
        <v/>
      </c>
      <c r="G14" s="11">
        <f t="shared" si="1"/>
        <v>2220</v>
      </c>
      <c r="H14" s="10">
        <f>IF(Registro!$G14="","",IF(ISERROR(FIND("x",LOWER(Registro!$G14))),"-",IFERROR(SUMPRODUCT(--("0"&amp;LEFT(TRIM(MID(SUBSTITUTE(SUBSTITUTE(SUBSTITUTE(SUBSTITUTE(SUBSTITUTE(LOWER(Registro!$G14),"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",LEN(Registro!$G14))),({1,2,3,4,5,6,7,8,9,10,11,12,13,14,15,16,17,18,19,20,21,22,23,24,25,26,27,28,29,30}-1)*LEN(Registro!$G14)+1,LEN(Registro!$G14))),FIND("x",TRIM(MID(SUBSTITUTE(SUBSTITUTE(SUBSTITUTE(SUBSTITUTE(SUBSTITUTE(LOWER(Registro!$G14),"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",LEN(Registro!$G14))),({1,2,3,4,5,6,7,8,9,10,11,12,13,14,15,16,17,18,19,20,21,22,23,24,25,26,27,28,29,30}-1)*LEN(Registro!$G14)+1,LEN(Registro!$G14)))&amp;"x")-1))),"Revisar formato")))</f>
        <v>1</v>
      </c>
      <c r="I14" s="11">
        <f>IF(Registro!$G14="","",IF(ISERROR(FIND("x",LOWER(Registro!$G14))),N(Registro!$H14),IFERROR(SUMPRODUCT(--("0"&amp;LEFT(TRIM(MID(SUBSTITUTE(SUBSTITUTE(SUBSTITUTE(SUBSTITUTE(SUBSTITUTE(LOWER(Registro!$G14),"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",LEN(Registro!$G14))),({1,2,3,4,5,6,7,8,9,10,11,12,13,14,15,16,17,18,19,20,21,22,23,24,25,26,27,28,29,30}-1)*LEN(Registro!$G14)+1,LEN(Registro!$G14))),FIND("x",TRIM(MID(SUBSTITUTE(SUBSTITUTE(SUBSTITUTE(SUBSTITUTE(SUBSTITUTE(LOWER(Registro!$G14),"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",LEN(Registro!$G14))),({1,2,3,4,5,6,7,8,9,10,11,12,13,14,15,16,17,18,19,20,21,22,23,24,25,26,27,28,29,30}-1)*LEN(Registro!$G14)+1,LEN(Registro!$G14)))&amp;"x")-1)),--("0"&amp;MID(TRIM(MID(SUBSTITUTE(SUBSTITUTE(SUBSTITUTE(SUBSTITUTE(SUBSTITUTE(LOWER(Registro!$G14),"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",LEN(Registro!$G14))),({1,2,3,4,5,6,7,8,9,10,11,12,13,14,15,16,17,18,19,20,21,22,23,24,25,26,27,28,29,30}-1)*LEN(Registro!$G14)+1,LEN(Registro!$G14))),FIND("x",TRIM(MID(SUBSTITUTE(SUBSTITUTE(SUBSTITUTE(SUBSTITUTE(SUBSTITUTE(LOWER(Registro!$G14),"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",LEN(Registro!$G14))),({1,2,3,4,5,6,7,8,9,10,11,12,13,14,15,16,17,18,19,20,21,22,23,24,25,26,27,28,29,30}-1)*LEN(Registro!$G14)+1,LEN(Registro!$G14)))&amp;"x")+1,20))),"Revisar formato")))</f>
        <v>2855</v>
      </c>
      <c r="J14" s="9" t="str">
        <f>IF(AND(Registro!$E14="",Registro!$G14=""),"",IF(NOT(AND(ISNUMBER(I14),ISNUMBER(Registro!$H14))),"",IF(I14&lt;Registro!$H14,"FALTA BOLETOS",IF(I14=Registro!$H14,"CONFORME","DIFERENCIA"))))</f>
        <v>CONFORME</v>
      </c>
      <c r="K14" s="11">
        <f>IF(Registro!$I14="","",IFERROR(SUMPRODUCT(--("0"&amp;TRIM(RIGHT(SUBSTITUTE(TRIM(MID(SUBSTITUTE(SUBSTITUTE(Registro!$I14,";",CHAR(10)),CHAR(10),REPT(" ",LEN(Registro!$I14))),({1,2,3,4,5,6,7,8,9,10,11,12,13,14,15,16,17,18,19,20,21,22,23,24,25,26,27,28,29,30}-1)*LEN(Registro!$I14)+1,LEN(Registro!$I14)))," ",REPT(" ",50)),50)))),"Revisar formato"))</f>
        <v>220</v>
      </c>
      <c r="L14" s="11">
        <f>IF(Registro!$J14="","",IFERROR(SUMPRODUCT(--("0"&amp;TRIM(RIGHT(SUBSTITUTE(TRIM(MID(SUBSTITUTE(SUBSTITUTE(Registro!$J14,";",CHAR(10)),CHAR(10),REPT(" ",LEN(Registro!$J14))),({1,2,3,4,5,6,7,8,9,10,11,12,13,14,15,16,17,18,19,20,21,22,23,24,25,26,27,28,29,30}-1)*LEN(Registro!$J14)+1,LEN(Registro!$J14)))," ",REPT(" ",50)),50)))),"Revisar formato"))</f>
        <v>8190</v>
      </c>
      <c r="M14" s="11">
        <f>IF(AND(Registro!$H14="",Registro!$I14=""),"",IF(AND(ISTEXT(K14),K14&lt;&gt;""),"Revisar formato",N(Registro!$H14)-N(K14)))</f>
        <v>2635</v>
      </c>
      <c r="N14" s="11">
        <f t="shared" si="2"/>
        <v>-5555</v>
      </c>
      <c r="O14" s="15">
        <f>IF(AND(A14=Consulta!$B$3,C14=Consulta!$H$3),B14*10000+ROW(),"")</f>
        <v>463070014</v>
      </c>
    </row>
    <row r="15" spans="1:26" x14ac:dyDescent="0.25">
      <c r="A15" s="9" t="str">
        <f>IF(Registro!$A15="","",Registro!$A15)</f>
        <v>TDS</v>
      </c>
      <c r="B15" s="8">
        <f>IF(Registro!$B15="","",Registro!$B15)</f>
        <v>46308</v>
      </c>
      <c r="C15" s="14">
        <f t="shared" si="0"/>
        <v>202610</v>
      </c>
      <c r="D15" s="10">
        <f>IF(Registro!$E15="","",IF(ISERROR(FIND("x",LOWER(Registro!$E15))),"-",IFERROR(SUMPRODUCT(--("0"&amp;LEFT(TRIM(MID(SUBSTITUTE(SUBSTITUTE(SUBSTITUTE(SUBSTITUTE(SUBSTITUTE(LOWER(Registro!$E15),"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",LEN(Registro!$E15))),({1,2,3,4,5,6,7,8,9,10,11,12,13,14,15,16,17,18,19,20,21,22,23,24,25,26,27,28,29,30}-1)*LEN(Registro!$E15)+1,LEN(Registro!$E15)))&amp;"x")-1))),"Revisar formato")))</f>
        <v>41</v>
      </c>
      <c r="E15" s="11">
        <f>IF(Registro!$E15="","",IF(ISERROR(FIND("x",LOWER(Registro!$E15))),"-",IFERROR(SUMPRODUCT(--("0"&amp;LEFT(TRIM(MID(SUBSTITUTE(SUBSTITUTE(SUBSTITUTE(SUBSTITUTE(SUBSTITUTE(LOWER(Registro!$E15),"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",LEN(Registro!$E15))),({1,2,3,4,5,6,7,8,9,10,11,12,13,14,15,16,17,18,19,20,21,22,23,24,25,26,27,28,29,30}-1)*LEN(Registro!$E15)+1,LEN(Registro!$E15)))&amp;"x")-1)),--("0"&amp;MID(TRIM(MID(SUBSTITUTE(SUBSTITUTE(SUBSTITUTE(SUBSTITUTE(SUBSTITUTE(LOWER(Registro!$E15),"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",LEN(Registro!$E15))),({1,2,3,4,5,6,7,8,9,10,11,12,13,14,15,16,17,18,19,20,21,22,23,24,25,26,27,28,29,30}-1)*LEN(Registro!$E15)+1,LEN(Registro!$E15)))&amp;"x")+1,20))),"Revisar formato")))</f>
        <v>1720</v>
      </c>
      <c r="F15" s="11" t="str">
        <f>IF(Registro!$F15="","",N(Registro!$F15))</f>
        <v/>
      </c>
      <c r="G15" s="11">
        <f t="shared" si="1"/>
        <v>1720</v>
      </c>
      <c r="H15" s="10">
        <f>IF(Registro!$G15="","",IF(ISERROR(FIND("x",LOWER(Registro!$G15))),"-",IFERROR(SUMPRODUCT(--("0"&amp;LEFT(TRIM(MID(SUBSTITUTE(SUBSTITUTE(SUBSTITUTE(SUBSTITUTE(SUBSTITUTE(LOWER(Registro!$G15),"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",LEN(Registro!$G15))),({1,2,3,4,5,6,7,8,9,10,11,12,13,14,15,16,17,18,19,20,21,22,23,24,25,26,27,28,29,30}-1)*LEN(Registro!$G15)+1,LEN(Registro!$G15))),FIND("x",TRIM(MID(SUBSTITUTE(SUBSTITUTE(SUBSTITUTE(SUBSTITUTE(SUBSTITUTE(LOWER(Registro!$G15),"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",LEN(Registro!$G15))),({1,2,3,4,5,6,7,8,9,10,11,12,13,14,15,16,17,18,19,20,21,22,23,24,25,26,27,28,29,30}-1)*LEN(Registro!$G15)+1,LEN(Registro!$G15)))&amp;"x")-1))),"Revisar formato")))</f>
        <v>1</v>
      </c>
      <c r="I15" s="11">
        <f>IF(Registro!$G15="","",IF(ISERROR(FIND("x",LOWER(Registro!$G15))),N(Registro!$H15),IFERROR(SUMPRODUCT(--("0"&amp;LEFT(TRIM(MID(SUBSTITUTE(SUBSTITUTE(SUBSTITUTE(SUBSTITUTE(SUBSTITUTE(LOWER(Registro!$G15),"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",LEN(Registro!$G15))),({1,2,3,4,5,6,7,8,9,10,11,12,13,14,15,16,17,18,19,20,21,22,23,24,25,26,27,28,29,30}-1)*LEN(Registro!$G15)+1,LEN(Registro!$G15))),FIND("x",TRIM(MID(SUBSTITUTE(SUBSTITUTE(SUBSTITUTE(SUBSTITUTE(SUBSTITUTE(LOWER(Registro!$G15),"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",LEN(Registro!$G15))),({1,2,3,4,5,6,7,8,9,10,11,12,13,14,15,16,17,18,19,20,21,22,23,24,25,26,27,28,29,30}-1)*LEN(Registro!$G15)+1,LEN(Registro!$G15)))&amp;"x")-1)),--("0"&amp;MID(TRIM(MID(SUBSTITUTE(SUBSTITUTE(SUBSTITUTE(SUBSTITUTE(SUBSTITUTE(LOWER(Registro!$G15),"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",LEN(Registro!$G15))),({1,2,3,4,5,6,7,8,9,10,11,12,13,14,15,16,17,18,19,20,21,22,23,24,25,26,27,28,29,30}-1)*LEN(Registro!$G15)+1,LEN(Registro!$G15))),FIND("x",TRIM(MID(SUBSTITUTE(SUBSTITUTE(SUBSTITUTE(SUBSTITUTE(SUBSTITUTE(LOWER(Registro!$G15),"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",LEN(Registro!$G15))),({1,2,3,4,5,6,7,8,9,10,11,12,13,14,15,16,17,18,19,20,21,22,23,24,25,26,27,28,29,30}-1)*LEN(Registro!$G15)+1,LEN(Registro!$G15)))&amp;"x")+1,20))),"Revisar formato")))</f>
        <v>2960</v>
      </c>
      <c r="J15" s="9" t="str">
        <f>IF(AND(Registro!$E15="",Registro!$G15=""),"",IF(NOT(AND(ISNUMBER(I15),ISNUMBER(Registro!$H15))),"",IF(I15&lt;Registro!$H15,"FALTA BOLETOS",IF(I15=Registro!$H15,"CONFORME","DIFERENCIA"))))</f>
        <v>CONFORME</v>
      </c>
      <c r="K15" s="11">
        <f>IF(Registro!$I15="","",IFERROR(SUMPRODUCT(--("0"&amp;TRIM(RIGHT(SUBSTITUTE(TRIM(MID(SUBSTITUTE(SUBSTITUTE(Registro!$I15,";",CHAR(10)),CHAR(10),REPT(" ",LEN(Registro!$I15))),({1,2,3,4,5,6,7,8,9,10,11,12,13,14,15,16,17,18,19,20,21,22,23,24,25,26,27,28,29,30}-1)*LEN(Registro!$I15)+1,LEN(Registro!$I15)))," ",REPT(" ",50)),50)))),"Revisar formato"))</f>
        <v>120</v>
      </c>
      <c r="L15" s="11" t="str">
        <f>IF(Registro!$J15="","",IFERROR(SUMPRODUCT(--("0"&amp;TRIM(RIGHT(SUBSTITUTE(TRIM(MID(SUBSTITUTE(SUBSTITUTE(Registro!$J15,";",CHAR(10)),CHAR(10),REPT(" ",LEN(Registro!$J15))),({1,2,3,4,5,6,7,8,9,10,11,12,13,14,15,16,17,18,19,20,21,22,23,24,25,26,27,28,29,30}-1)*LEN(Registro!$J15)+1,LEN(Registro!$J15)))," ",REPT(" ",50)),50)))),"Revisar formato"))</f>
        <v/>
      </c>
      <c r="M15" s="11">
        <f>IF(AND(Registro!$H15="",Registro!$I15=""),"",IF(AND(ISTEXT(K15),K15&lt;&gt;""),"Revisar formato",N(Registro!$H15)-N(K15)))</f>
        <v>2840</v>
      </c>
      <c r="N15" s="11">
        <f t="shared" si="2"/>
        <v>2840</v>
      </c>
      <c r="O15" s="15">
        <f>IF(AND(A15=Consulta!$B$3,C15=Consulta!$H$3),B15*10000+ROW(),"")</f>
        <v>463080015</v>
      </c>
    </row>
    <row r="16" spans="1:26" x14ac:dyDescent="0.25">
      <c r="A16" s="9" t="str">
        <f>IF(Registro!$A16="","",Registro!$A16)</f>
        <v>TDS</v>
      </c>
      <c r="B16" s="8">
        <f>IF(Registro!$B16="","",Registro!$B16)</f>
        <v>46309</v>
      </c>
      <c r="C16" s="14">
        <f t="shared" si="0"/>
        <v>202610</v>
      </c>
      <c r="D16" s="10">
        <f>IF(Registro!$E16="","",IF(ISERROR(FIND("x",LOWER(Registro!$E16))),"-",IFERROR(SUMPRODUCT(--("0"&amp;LEFT(TRIM(MID(SUBSTITUTE(SUBSTITUTE(SUBSTITUTE(SUBSTITUTE(SUBSTITUTE(LOWER(Registro!$E16),"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",LEN(Registro!$E16))),({1,2,3,4,5,6,7,8,9,10,11,12,13,14,15,16,17,18,19,20,21,22,23,24,25,26,27,28,29,30}-1)*LEN(Registro!$E16)+1,LEN(Registro!$E16)))&amp;"x")-1))),"Revisar formato")))</f>
        <v>42</v>
      </c>
      <c r="E16" s="11">
        <f>IF(Registro!$E16="","",IF(ISERROR(FIND("x",LOWER(Registro!$E16))),"-",IFERROR(SUMPRODUCT(--("0"&amp;LEFT(TRIM(MID(SUBSTITUTE(SUBSTITUTE(SUBSTITUTE(SUBSTITUTE(SUBSTITUTE(LOWER(Registro!$E16),"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",LEN(Registro!$E16))),({1,2,3,4,5,6,7,8,9,10,11,12,13,14,15,16,17,18,19,20,21,22,23,24,25,26,27,28,29,30}-1)*LEN(Registro!$E16)+1,LEN(Registro!$E16)))&amp;"x")-1)),--("0"&amp;MID(TRIM(MID(SUBSTITUTE(SUBSTITUTE(SUBSTITUTE(SUBSTITUTE(SUBSTITUTE(LOWER(Registro!$E16),"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",LEN(Registro!$E16))),({1,2,3,4,5,6,7,8,9,10,11,12,13,14,15,16,17,18,19,20,21,22,23,24,25,26,27,28,29,30}-1)*LEN(Registro!$E16)+1,LEN(Registro!$E16)))&amp;"x")+1,20))),"Revisar formato")))</f>
        <v>1910</v>
      </c>
      <c r="F16" s="11" t="str">
        <f>IF(Registro!$F16="","",N(Registro!$F16))</f>
        <v/>
      </c>
      <c r="G16" s="11">
        <f t="shared" si="1"/>
        <v>1910</v>
      </c>
      <c r="H16" s="10">
        <f>IF(Registro!$G16="","",IF(ISERROR(FIND("x",LOWER(Registro!$G16))),"-",IFERROR(SUMPRODUCT(--("0"&amp;LEFT(TRIM(MID(SUBSTITUTE(SUBSTITUTE(SUBSTITUTE(SUBSTITUTE(SUBSTITUTE(LOWER(Registro!$G16),"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",LEN(Registro!$G16))),({1,2,3,4,5,6,7,8,9,10,11,12,13,14,15,16,17,18,19,20,21,22,23,24,25,26,27,28,29,30}-1)*LEN(Registro!$G16)+1,LEN(Registro!$G16))),FIND("x",TRIM(MID(SUBSTITUTE(SUBSTITUTE(SUBSTITUTE(SUBSTITUTE(SUBSTITUTE(LOWER(Registro!$G16),"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",LEN(Registro!$G16))),({1,2,3,4,5,6,7,8,9,10,11,12,13,14,15,16,17,18,19,20,21,22,23,24,25,26,27,28,29,30}-1)*LEN(Registro!$G16)+1,LEN(Registro!$G16)))&amp;"x")-1))),"Revisar formato")))</f>
        <v>1</v>
      </c>
      <c r="I16" s="11">
        <f>IF(Registro!$G16="","",IF(ISERROR(FIND("x",LOWER(Registro!$G16))),N(Registro!$H16),IFERROR(SUMPRODUCT(--("0"&amp;LEFT(TRIM(MID(SUBSTITUTE(SUBSTITUTE(SUBSTITUTE(SUBSTITUTE(SUBSTITUTE(LOWER(Registro!$G16),"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",LEN(Registro!$G16))),({1,2,3,4,5,6,7,8,9,10,11,12,13,14,15,16,17,18,19,20,21,22,23,24,25,26,27,28,29,30}-1)*LEN(Registro!$G16)+1,LEN(Registro!$G16))),FIND("x",TRIM(MID(SUBSTITUTE(SUBSTITUTE(SUBSTITUTE(SUBSTITUTE(SUBSTITUTE(LOWER(Registro!$G16),"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",LEN(Registro!$G16))),({1,2,3,4,5,6,7,8,9,10,11,12,13,14,15,16,17,18,19,20,21,22,23,24,25,26,27,28,29,30}-1)*LEN(Registro!$G16)+1,LEN(Registro!$G16)))&amp;"x")-1)),--("0"&amp;MID(TRIM(MID(SUBSTITUTE(SUBSTITUTE(SUBSTITUTE(SUBSTITUTE(SUBSTITUTE(LOWER(Registro!$G16),"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",LEN(Registro!$G16))),({1,2,3,4,5,6,7,8,9,10,11,12,13,14,15,16,17,18,19,20,21,22,23,24,25,26,27,28,29,30}-1)*LEN(Registro!$G16)+1,LEN(Registro!$G16))),FIND("x",TRIM(MID(SUBSTITUTE(SUBSTITUTE(SUBSTITUTE(SUBSTITUTE(SUBSTITUTE(LOWER(Registro!$G16),"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",LEN(Registro!$G16))),({1,2,3,4,5,6,7,8,9,10,11,12,13,14,15,16,17,18,19,20,21,22,23,24,25,26,27,28,29,30}-1)*LEN(Registro!$G16)+1,LEN(Registro!$G16)))&amp;"x")+1,20))),"Revisar formato")))</f>
        <v>2070</v>
      </c>
      <c r="J16" s="9" t="str">
        <f>IF(AND(Registro!$E16="",Registro!$G16=""),"",IF(NOT(AND(ISNUMBER(I16),ISNUMBER(Registro!$H16))),"",IF(I16&lt;Registro!$H16,"FALTA BOLETOS",IF(I16=Registro!$H16,"CONFORME","DIFERENCIA"))))</f>
        <v>CONFORME</v>
      </c>
      <c r="K16" s="11">
        <f>IF(Registro!$I16="","",IFERROR(SUMPRODUCT(--("0"&amp;TRIM(RIGHT(SUBSTITUTE(TRIM(MID(SUBSTITUTE(SUBSTITUTE(Registro!$I16,";",CHAR(10)),CHAR(10),REPT(" ",LEN(Registro!$I16))),({1,2,3,4,5,6,7,8,9,10,11,12,13,14,15,16,17,18,19,20,21,22,23,24,25,26,27,28,29,30}-1)*LEN(Registro!$I16)+1,LEN(Registro!$I16)))," ",REPT(" ",50)),50)))),"Revisar formato"))</f>
        <v>600</v>
      </c>
      <c r="L16" s="11" t="str">
        <f>IF(Registro!$J16="","",IFERROR(SUMPRODUCT(--("0"&amp;TRIM(RIGHT(SUBSTITUTE(TRIM(MID(SUBSTITUTE(SUBSTITUTE(Registro!$J16,";",CHAR(10)),CHAR(10),REPT(" ",LEN(Registro!$J16))),({1,2,3,4,5,6,7,8,9,10,11,12,13,14,15,16,17,18,19,20,21,22,23,24,25,26,27,28,29,30}-1)*LEN(Registro!$J16)+1,LEN(Registro!$J16)))," ",REPT(" ",50)),50)))),"Revisar formato"))</f>
        <v/>
      </c>
      <c r="M16" s="11">
        <f>IF(AND(Registro!$H16="",Registro!$I16=""),"",IF(AND(ISTEXT(K16),K16&lt;&gt;""),"Revisar formato",N(Registro!$H16)-N(K16)))</f>
        <v>1470</v>
      </c>
      <c r="N16" s="11">
        <f t="shared" si="2"/>
        <v>1470</v>
      </c>
      <c r="O16" s="15">
        <f>IF(AND(A16=Consulta!$B$3,C16=Consulta!$H$3),B16*10000+ROW(),"")</f>
        <v>463090016</v>
      </c>
    </row>
    <row r="17" spans="1:15" x14ac:dyDescent="0.25">
      <c r="A17" s="9" t="str">
        <f>IF(Registro!$A17="","",Registro!$A17)</f>
        <v>TDS</v>
      </c>
      <c r="B17" s="8">
        <f>IF(Registro!$B17="","",Registro!$B17)</f>
        <v>46310</v>
      </c>
      <c r="C17" s="14">
        <f t="shared" si="0"/>
        <v>202610</v>
      </c>
      <c r="D17" s="10" t="str">
        <f>IF(Registro!$E17="","",IF(ISERROR(FIND("x",LOWER(Registro!$E17))),"-",IFERROR(SUMPRODUCT(--("0"&amp;LEFT(TRIM(MID(SUBSTITUTE(SUBSTITUTE(SUBSTITUTE(SUBSTITUTE(SUBSTITUTE(LOWER(Registro!$E17),"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",LEN(Registro!$E17))),({1,2,3,4,5,6,7,8,9,10,11,12,13,14,15,16,17,18,19,20,21,22,23,24,25,26,27,28,29,30}-1)*LEN(Registro!$E17)+1,LEN(Registro!$E17)))&amp;"x")-1))),"Revisar formato")))</f>
        <v>-</v>
      </c>
      <c r="E17" s="11" t="str">
        <f>IF(Registro!$E17="","",IF(ISERROR(FIND("x",LOWER(Registro!$E17))),"-",IFERROR(SUMPRODUCT(--("0"&amp;LEFT(TRIM(MID(SUBSTITUTE(SUBSTITUTE(SUBSTITUTE(SUBSTITUTE(SUBSTITUTE(LOWER(Registro!$E17),"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",LEN(Registro!$E17))),({1,2,3,4,5,6,7,8,9,10,11,12,13,14,15,16,17,18,19,20,21,22,23,24,25,26,27,28,29,30}-1)*LEN(Registro!$E17)+1,LEN(Registro!$E17)))&amp;"x")-1)),--("0"&amp;MID(TRIM(MID(SUBSTITUTE(SUBSTITUTE(SUBSTITUTE(SUBSTITUTE(SUBSTITUTE(LOWER(Registro!$E17),"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",LEN(Registro!$E17))),({1,2,3,4,5,6,7,8,9,10,11,12,13,14,15,16,17,18,19,20,21,22,23,24,25,26,27,28,29,30}-1)*LEN(Registro!$E17)+1,LEN(Registro!$E17)))&amp;"x")+1,20))),"Revisar formato")))</f>
        <v>-</v>
      </c>
      <c r="F17" s="11" t="str">
        <f>IF(Registro!$F17="","",N(Registro!$F17))</f>
        <v/>
      </c>
      <c r="G17" s="11" t="str">
        <f t="shared" si="1"/>
        <v>-</v>
      </c>
      <c r="H17" s="10" t="str">
        <f>IF(Registro!$G17="","",IF(ISERROR(FIND("x",LOWER(Registro!$G17))),"-",IFERROR(SUMPRODUCT(--("0"&amp;LEFT(TRIM(MID(SUBSTITUTE(SUBSTITUTE(SUBSTITUTE(SUBSTITUTE(SUBSTITUTE(LOWER(Registro!$G17),"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",LEN(Registro!$G17))),({1,2,3,4,5,6,7,8,9,10,11,12,13,14,15,16,17,18,19,20,21,22,23,24,25,26,27,28,29,30}-1)*LEN(Registro!$G17)+1,LEN(Registro!$G17))),FIND("x",TRIM(MID(SUBSTITUTE(SUBSTITUTE(SUBSTITUTE(SUBSTITUTE(SUBSTITUTE(LOWER(Registro!$G17),"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",LEN(Registro!$G17))),({1,2,3,4,5,6,7,8,9,10,11,12,13,14,15,16,17,18,19,20,21,22,23,24,25,26,27,28,29,30}-1)*LEN(Registro!$G17)+1,LEN(Registro!$G17)))&amp;"x")-1))),"Revisar formato")))</f>
        <v>-</v>
      </c>
      <c r="I17" s="11">
        <f>IF(Registro!$G17="","",IF(ISERROR(FIND("x",LOWER(Registro!$G17))),N(Registro!$H17),IFERROR(SUMPRODUCT(--("0"&amp;LEFT(TRIM(MID(SUBSTITUTE(SUBSTITUTE(SUBSTITUTE(SUBSTITUTE(SUBSTITUTE(LOWER(Registro!$G17),"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",LEN(Registro!$G17))),({1,2,3,4,5,6,7,8,9,10,11,12,13,14,15,16,17,18,19,20,21,22,23,24,25,26,27,28,29,30}-1)*LEN(Registro!$G17)+1,LEN(Registro!$G17))),FIND("x",TRIM(MID(SUBSTITUTE(SUBSTITUTE(SUBSTITUTE(SUBSTITUTE(SUBSTITUTE(LOWER(Registro!$G17),"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",LEN(Registro!$G17))),({1,2,3,4,5,6,7,8,9,10,11,12,13,14,15,16,17,18,19,20,21,22,23,24,25,26,27,28,29,30}-1)*LEN(Registro!$G17)+1,LEN(Registro!$G17)))&amp;"x")-1)),--("0"&amp;MID(TRIM(MID(SUBSTITUTE(SUBSTITUTE(SUBSTITUTE(SUBSTITUTE(SUBSTITUTE(LOWER(Registro!$G17),"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",LEN(Registro!$G17))),({1,2,3,4,5,6,7,8,9,10,11,12,13,14,15,16,17,18,19,20,21,22,23,24,25,26,27,28,29,30}-1)*LEN(Registro!$G17)+1,LEN(Registro!$G17))),FIND("x",TRIM(MID(SUBSTITUTE(SUBSTITUTE(SUBSTITUTE(SUBSTITUTE(SUBSTITUTE(LOWER(Registro!$G17),"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",LEN(Registro!$G17))),({1,2,3,4,5,6,7,8,9,10,11,12,13,14,15,16,17,18,19,20,21,22,23,24,25,26,27,28,29,30}-1)*LEN(Registro!$G17)+1,LEN(Registro!$G17)))&amp;"x")+1,20))),"Revisar formato")))</f>
        <v>2870</v>
      </c>
      <c r="J17" s="9" t="str">
        <f>IF(AND(Registro!$E17="",Registro!$G17=""),"",IF(NOT(AND(ISNUMBER(I17),ISNUMBER(Registro!$H17))),"",IF(I17&lt;Registro!$H17,"FALTA BOLETOS",IF(I17=Registro!$H17,"CONFORME","DIFERENCIA"))))</f>
        <v>CONFORME</v>
      </c>
      <c r="K17" s="11">
        <f>IF(Registro!$I17="","",IFERROR(SUMPRODUCT(--("0"&amp;TRIM(RIGHT(SUBSTITUTE(TRIM(MID(SUBSTITUTE(SUBSTITUTE(Registro!$I17,";",CHAR(10)),CHAR(10),REPT(" ",LEN(Registro!$I17))),({1,2,3,4,5,6,7,8,9,10,11,12,13,14,15,16,17,18,19,20,21,22,23,24,25,26,27,28,29,30}-1)*LEN(Registro!$I17)+1,LEN(Registro!$I17)))," ",REPT(" ",50)),50)))),"Revisar formato"))</f>
        <v>120</v>
      </c>
      <c r="L17" s="11">
        <f>IF(Registro!$J17="","",IFERROR(SUMPRODUCT(--("0"&amp;TRIM(RIGHT(SUBSTITUTE(TRIM(MID(SUBSTITUTE(SUBSTITUTE(Registro!$J17,";",CHAR(10)),CHAR(10),REPT(" ",LEN(Registro!$J17))),({1,2,3,4,5,6,7,8,9,10,11,12,13,14,15,16,17,18,19,20,21,22,23,24,25,26,27,28,29,30}-1)*LEN(Registro!$J17)+1,LEN(Registro!$J17)))," ",REPT(" ",50)),50)))),"Revisar formato"))</f>
        <v>8370</v>
      </c>
      <c r="M17" s="11">
        <f>IF(AND(Registro!$H17="",Registro!$I17=""),"",IF(AND(ISTEXT(K17),K17&lt;&gt;""),"Revisar formato",N(Registro!$H17)-N(K17)))</f>
        <v>2750</v>
      </c>
      <c r="N17" s="11">
        <f t="shared" si="2"/>
        <v>-5620</v>
      </c>
      <c r="O17" s="15">
        <f>IF(AND(A17=Consulta!$B$3,C17=Consulta!$H$3),B17*10000+ROW(),"")</f>
        <v>463100017</v>
      </c>
    </row>
    <row r="18" spans="1:15" x14ac:dyDescent="0.25">
      <c r="A18" s="9" t="str">
        <f>IF(Registro!$A18="","",Registro!$A18)</f>
        <v>TDS</v>
      </c>
      <c r="B18" s="8">
        <f>IF(Registro!$B18="","",Registro!$B18)</f>
        <v>46311</v>
      </c>
      <c r="C18" s="14">
        <f t="shared" si="0"/>
        <v>202610</v>
      </c>
      <c r="D18" s="10" t="str">
        <f>IF(Registro!$E18="","",IF(ISERROR(FIND("x",LOWER(Registro!$E18))),"-",IFERROR(SUMPRODUCT(--("0"&amp;LEFT(TRIM(MID(SUBSTITUTE(SUBSTITUTE(SUBSTITUTE(SUBSTITUTE(SUBSTITUTE(LOWER(Registro!$E18),"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",LEN(Registro!$E18))),({1,2,3,4,5,6,7,8,9,10,11,12,13,14,15,16,17,18,19,20,21,22,23,24,25,26,27,28,29,30}-1)*LEN(Registro!$E18)+1,LEN(Registro!$E18)))&amp;"x")-1))),"Revisar formato")))</f>
        <v>-</v>
      </c>
      <c r="E18" s="11" t="str">
        <f>IF(Registro!$E18="","",IF(ISERROR(FIND("x",LOWER(Registro!$E18))),"-",IFERROR(SUMPRODUCT(--("0"&amp;LEFT(TRIM(MID(SUBSTITUTE(SUBSTITUTE(SUBSTITUTE(SUBSTITUTE(SUBSTITUTE(LOWER(Registro!$E18),"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",LEN(Registro!$E18))),({1,2,3,4,5,6,7,8,9,10,11,12,13,14,15,16,17,18,19,20,21,22,23,24,25,26,27,28,29,30}-1)*LEN(Registro!$E18)+1,LEN(Registro!$E18)))&amp;"x")-1)),--("0"&amp;MID(TRIM(MID(SUBSTITUTE(SUBSTITUTE(SUBSTITUTE(SUBSTITUTE(SUBSTITUTE(LOWER(Registro!$E18),"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",LEN(Registro!$E18))),({1,2,3,4,5,6,7,8,9,10,11,12,13,14,15,16,17,18,19,20,21,22,23,24,25,26,27,28,29,30}-1)*LEN(Registro!$E18)+1,LEN(Registro!$E18)))&amp;"x")+1,20))),"Revisar formato")))</f>
        <v>-</v>
      </c>
      <c r="F18" s="11" t="str">
        <f>IF(Registro!$F18="","",N(Registro!$F18))</f>
        <v/>
      </c>
      <c r="G18" s="11" t="str">
        <f t="shared" si="1"/>
        <v>-</v>
      </c>
      <c r="H18" s="10">
        <f>IF(Registro!$G18="","",IF(ISERROR(FIND("x",LOWER(Registro!$G18))),"-",IFERROR(SUMPRODUCT(--("0"&amp;LEFT(TRIM(MID(SUBSTITUTE(SUBSTITUTE(SUBSTITUTE(SUBSTITUTE(SUBSTITUTE(LOWER(Registro!$G18),"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",LEN(Registro!$G18))),({1,2,3,4,5,6,7,8,9,10,11,12,13,14,15,16,17,18,19,20,21,22,23,24,25,26,27,28,29,30}-1)*LEN(Registro!$G18)+1,LEN(Registro!$G18))),FIND("x",TRIM(MID(SUBSTITUTE(SUBSTITUTE(SUBSTITUTE(SUBSTITUTE(SUBSTITUTE(LOWER(Registro!$G18),"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",LEN(Registro!$G18))),({1,2,3,4,5,6,7,8,9,10,11,12,13,14,15,16,17,18,19,20,21,22,23,24,25,26,27,28,29,30}-1)*LEN(Registro!$G18)+1,LEN(Registro!$G18)))&amp;"x")-1))),"Revisar formato")))</f>
        <v>1</v>
      </c>
      <c r="I18" s="11">
        <f>IF(Registro!$G18="","",IF(ISERROR(FIND("x",LOWER(Registro!$G18))),N(Registro!$H18),IFERROR(SUMPRODUCT(--("0"&amp;LEFT(TRIM(MID(SUBSTITUTE(SUBSTITUTE(SUBSTITUTE(SUBSTITUTE(SUBSTITUTE(LOWER(Registro!$G18),"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",LEN(Registro!$G18))),({1,2,3,4,5,6,7,8,9,10,11,12,13,14,15,16,17,18,19,20,21,22,23,24,25,26,27,28,29,30}-1)*LEN(Registro!$G18)+1,LEN(Registro!$G18))),FIND("x",TRIM(MID(SUBSTITUTE(SUBSTITUTE(SUBSTITUTE(SUBSTITUTE(SUBSTITUTE(LOWER(Registro!$G18),"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",LEN(Registro!$G18))),({1,2,3,4,5,6,7,8,9,10,11,12,13,14,15,16,17,18,19,20,21,22,23,24,25,26,27,28,29,30}-1)*LEN(Registro!$G18)+1,LEN(Registro!$G18)))&amp;"x")-1)),--("0"&amp;MID(TRIM(MID(SUBSTITUTE(SUBSTITUTE(SUBSTITUTE(SUBSTITUTE(SUBSTITUTE(LOWER(Registro!$G18),"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",LEN(Registro!$G18))),({1,2,3,4,5,6,7,8,9,10,11,12,13,14,15,16,17,18,19,20,21,22,23,24,25,26,27,28,29,30}-1)*LEN(Registro!$G18)+1,LEN(Registro!$G18))),FIND("x",TRIM(MID(SUBSTITUTE(SUBSTITUTE(SUBSTITUTE(SUBSTITUTE(SUBSTITUTE(LOWER(Registro!$G18),"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",LEN(Registro!$G18))),({1,2,3,4,5,6,7,8,9,10,11,12,13,14,15,16,17,18,19,20,21,22,23,24,25,26,27,28,29,30}-1)*LEN(Registro!$G18)+1,LEN(Registro!$G18)))&amp;"x")+1,20))),"Revisar formato")))</f>
        <v>3250</v>
      </c>
      <c r="J18" s="9" t="str">
        <f>IF(AND(Registro!$E18="",Registro!$G18=""),"",IF(NOT(AND(ISNUMBER(I18),ISNUMBER(Registro!$H18))),"",IF(I18&lt;Registro!$H18,"FALTA BOLETOS",IF(I18=Registro!$H18,"CONFORME","DIFERENCIA"))))</f>
        <v>CONFORME</v>
      </c>
      <c r="K18" s="11">
        <f>IF(Registro!$I18="","",IFERROR(SUMPRODUCT(--("0"&amp;TRIM(RIGHT(SUBSTITUTE(TRIM(MID(SUBSTITUTE(SUBSTITUTE(Registro!$I18,";",CHAR(10)),CHAR(10),REPT(" ",LEN(Registro!$I18))),({1,2,3,4,5,6,7,8,9,10,11,12,13,14,15,16,17,18,19,20,21,22,23,24,25,26,27,28,29,30}-1)*LEN(Registro!$I18)+1,LEN(Registro!$I18)))," ",REPT(" ",50)),50)))),"Revisar formato"))</f>
        <v>140</v>
      </c>
      <c r="L18" s="11" t="str">
        <f>IF(Registro!$J18="","",IFERROR(SUMPRODUCT(--("0"&amp;TRIM(RIGHT(SUBSTITUTE(TRIM(MID(SUBSTITUTE(SUBSTITUTE(Registro!$J18,";",CHAR(10)),CHAR(10),REPT(" ",LEN(Registro!$J18))),({1,2,3,4,5,6,7,8,9,10,11,12,13,14,15,16,17,18,19,20,21,22,23,24,25,26,27,28,29,30}-1)*LEN(Registro!$J18)+1,LEN(Registro!$J18)))," ",REPT(" ",50)),50)))),"Revisar formato"))</f>
        <v/>
      </c>
      <c r="M18" s="11">
        <f>IF(AND(Registro!$H18="",Registro!$I18=""),"",IF(AND(ISTEXT(K18),K18&lt;&gt;""),"Revisar formato",N(Registro!$H18)-N(K18)))</f>
        <v>3110</v>
      </c>
      <c r="N18" s="11">
        <f t="shared" si="2"/>
        <v>3110</v>
      </c>
      <c r="O18" s="15">
        <f>IF(AND(A18=Consulta!$B$3,C18=Consulta!$H$3),B18*10000+ROW(),"")</f>
        <v>463110018</v>
      </c>
    </row>
    <row r="19" spans="1:15" x14ac:dyDescent="0.25">
      <c r="A19" s="9" t="str">
        <f>IF(Registro!$A19="","",Registro!$A19)</f>
        <v>TDS</v>
      </c>
      <c r="B19" s="8">
        <f>IF(Registro!$B19="","",Registro!$B19)</f>
        <v>46312</v>
      </c>
      <c r="C19" s="14">
        <f t="shared" si="0"/>
        <v>202610</v>
      </c>
      <c r="D19" s="10">
        <f>IF(Registro!$E19="","",IF(ISERROR(FIND("x",LOWER(Registro!$E19))),"-",IFERROR(SUMPRODUCT(--("0"&amp;LEFT(TRIM(MID(SUBSTITUTE(SUBSTITUTE(SUBSTITUTE(SUBSTITUTE(SUBSTITUTE(LOWER(Registro!$E19),"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",LEN(Registro!$E19))),({1,2,3,4,5,6,7,8,9,10,11,12,13,14,15,16,17,18,19,20,21,22,23,24,25,26,27,28,29,30}-1)*LEN(Registro!$E19)+1,LEN(Registro!$E19)))&amp;"x")-1))),"Revisar formato")))</f>
        <v>58</v>
      </c>
      <c r="E19" s="11">
        <f>IF(Registro!$E19="","",IF(ISERROR(FIND("x",LOWER(Registro!$E19))),"-",IFERROR(SUMPRODUCT(--("0"&amp;LEFT(TRIM(MID(SUBSTITUTE(SUBSTITUTE(SUBSTITUTE(SUBSTITUTE(SUBSTITUTE(LOWER(Registro!$E19),"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",LEN(Registro!$E19))),({1,2,3,4,5,6,7,8,9,10,11,12,13,14,15,16,17,18,19,20,21,22,23,24,25,26,27,28,29,30}-1)*LEN(Registro!$E19)+1,LEN(Registro!$E19)))&amp;"x")-1)),--("0"&amp;MID(TRIM(MID(SUBSTITUTE(SUBSTITUTE(SUBSTITUTE(SUBSTITUTE(SUBSTITUTE(LOWER(Registro!$E19),"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",LEN(Registro!$E19))),({1,2,3,4,5,6,7,8,9,10,11,12,13,14,15,16,17,18,19,20,21,22,23,24,25,26,27,28,29,30}-1)*LEN(Registro!$E19)+1,LEN(Registro!$E19)))&amp;"x")+1,20))),"Revisar formato")))</f>
        <v>3410</v>
      </c>
      <c r="F19" s="11" t="str">
        <f>IF(Registro!$F19="","",N(Registro!$F19))</f>
        <v/>
      </c>
      <c r="G19" s="11">
        <f t="shared" si="1"/>
        <v>3410</v>
      </c>
      <c r="H19" s="10">
        <f>IF(Registro!$G19="","",IF(ISERROR(FIND("x",LOWER(Registro!$G19))),"-",IFERROR(SUMPRODUCT(--("0"&amp;LEFT(TRIM(MID(SUBSTITUTE(SUBSTITUTE(SUBSTITUTE(SUBSTITUTE(SUBSTITUTE(LOWER(Registro!$G19),"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",LEN(Registro!$G19))),({1,2,3,4,5,6,7,8,9,10,11,12,13,14,15,16,17,18,19,20,21,22,23,24,25,26,27,28,29,30}-1)*LEN(Registro!$G19)+1,LEN(Registro!$G19))),FIND("x",TRIM(MID(SUBSTITUTE(SUBSTITUTE(SUBSTITUTE(SUBSTITUTE(SUBSTITUTE(LOWER(Registro!$G19),"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",LEN(Registro!$G19))),({1,2,3,4,5,6,7,8,9,10,11,12,13,14,15,16,17,18,19,20,21,22,23,24,25,26,27,28,29,30}-1)*LEN(Registro!$G19)+1,LEN(Registro!$G19)))&amp;"x")-1))),"Revisar formato")))</f>
        <v>1</v>
      </c>
      <c r="I19" s="11">
        <f>IF(Registro!$G19="","",IF(ISERROR(FIND("x",LOWER(Registro!$G19))),N(Registro!$H19),IFERROR(SUMPRODUCT(--("0"&amp;LEFT(TRIM(MID(SUBSTITUTE(SUBSTITUTE(SUBSTITUTE(SUBSTITUTE(SUBSTITUTE(LOWER(Registro!$G19),"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",LEN(Registro!$G19))),({1,2,3,4,5,6,7,8,9,10,11,12,13,14,15,16,17,18,19,20,21,22,23,24,25,26,27,28,29,30}-1)*LEN(Registro!$G19)+1,LEN(Registro!$G19))),FIND("x",TRIM(MID(SUBSTITUTE(SUBSTITUTE(SUBSTITUTE(SUBSTITUTE(SUBSTITUTE(LOWER(Registro!$G19),"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",LEN(Registro!$G19))),({1,2,3,4,5,6,7,8,9,10,11,12,13,14,15,16,17,18,19,20,21,22,23,24,25,26,27,28,29,30}-1)*LEN(Registro!$G19)+1,LEN(Registro!$G19)))&amp;"x")-1)),--("0"&amp;MID(TRIM(MID(SUBSTITUTE(SUBSTITUTE(SUBSTITUTE(SUBSTITUTE(SUBSTITUTE(LOWER(Registro!$G19),"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",LEN(Registro!$G19))),({1,2,3,4,5,6,7,8,9,10,11,12,13,14,15,16,17,18,19,20,21,22,23,24,25,26,27,28,29,30}-1)*LEN(Registro!$G19)+1,LEN(Registro!$G19))),FIND("x",TRIM(MID(SUBSTITUTE(SUBSTITUTE(SUBSTITUTE(SUBSTITUTE(SUBSTITUTE(LOWER(Registro!$G19),"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",LEN(Registro!$G19))),({1,2,3,4,5,6,7,8,9,10,11,12,13,14,15,16,17,18,19,20,21,22,23,24,25,26,27,28,29,30}-1)*LEN(Registro!$G19)+1,LEN(Registro!$G19)))&amp;"x")+1,20))),"Revisar formato")))</f>
        <v>3360</v>
      </c>
      <c r="J19" s="9" t="str">
        <f>IF(AND(Registro!$E19="",Registro!$G19=""),"",IF(NOT(AND(ISNUMBER(I19),ISNUMBER(Registro!$H19))),"",IF(I19&lt;Registro!$H19,"FALTA BOLETOS",IF(I19=Registro!$H19,"CONFORME","DIFERENCIA"))))</f>
        <v>CONFORME</v>
      </c>
      <c r="K19" s="11">
        <f>IF(Registro!$I19="","",IFERROR(SUMPRODUCT(--("0"&amp;TRIM(RIGHT(SUBSTITUTE(TRIM(MID(SUBSTITUTE(SUBSTITUTE(Registro!$I19,";",CHAR(10)),CHAR(10),REPT(" ",LEN(Registro!$I19))),({1,2,3,4,5,6,7,8,9,10,11,12,13,14,15,16,17,18,19,20,21,22,23,24,25,26,27,28,29,30}-1)*LEN(Registro!$I19)+1,LEN(Registro!$I19)))," ",REPT(" ",50)),50)))),"Revisar formato"))</f>
        <v>130</v>
      </c>
      <c r="L19" s="11">
        <f>IF(Registro!$J19="","",IFERROR(SUMPRODUCT(--("0"&amp;TRIM(RIGHT(SUBSTITUTE(TRIM(MID(SUBSTITUTE(SUBSTITUTE(Registro!$J19,";",CHAR(10)),CHAR(10),REPT(" ",LEN(Registro!$J19))),({1,2,3,4,5,6,7,8,9,10,11,12,13,14,15,16,17,18,19,20,21,22,23,24,25,26,27,28,29,30}-1)*LEN(Registro!$J19)+1,LEN(Registro!$J19)))," ",REPT(" ",50)),50)))),"Revisar formato"))</f>
        <v>5550</v>
      </c>
      <c r="M19" s="11">
        <f>IF(AND(Registro!$H19="",Registro!$I19=""),"",IF(AND(ISTEXT(K19),K19&lt;&gt;""),"Revisar formato",N(Registro!$H19)-N(K19)))</f>
        <v>3230</v>
      </c>
      <c r="N19" s="11">
        <f t="shared" si="2"/>
        <v>-2320</v>
      </c>
      <c r="O19" s="15">
        <f>IF(AND(A19=Consulta!$B$3,C19=Consulta!$H$3),B19*10000+ROW(),"")</f>
        <v>463120019</v>
      </c>
    </row>
    <row r="20" spans="1:15" x14ac:dyDescent="0.25">
      <c r="A20" s="9" t="str">
        <f>IF(Registro!$A20="","",Registro!$A20)</f>
        <v>TDS</v>
      </c>
      <c r="B20" s="8">
        <f>IF(Registro!$B20="","",Registro!$B20)</f>
        <v>46313</v>
      </c>
      <c r="C20" s="14">
        <f t="shared" si="0"/>
        <v>202610</v>
      </c>
      <c r="D20" s="10">
        <f>IF(Registro!$E20="","",IF(ISERROR(FIND("x",LOWER(Registro!$E20))),"-",IFERROR(SUMPRODUCT(--("0"&amp;LEFT(TRIM(MID(SUBSTITUTE(SUBSTITUTE(SUBSTITUTE(SUBSTITUTE(SUBSTITUTE(LOWER(Registro!$E20),"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",LEN(Registro!$E20))),({1,2,3,4,5,6,7,8,9,10,11,12,13,14,15,16,17,18,19,20,21,22,23,24,25,26,27,28,29,30}-1)*LEN(Registro!$E20)+1,LEN(Registro!$E20)))&amp;"x")-1))),"Revisar formato")))</f>
        <v>42</v>
      </c>
      <c r="E20" s="11">
        <f>IF(Registro!$E20="","",IF(ISERROR(FIND("x",LOWER(Registro!$E20))),"-",IFERROR(SUMPRODUCT(--("0"&amp;LEFT(TRIM(MID(SUBSTITUTE(SUBSTITUTE(SUBSTITUTE(SUBSTITUTE(SUBSTITUTE(LOWER(Registro!$E20),"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",LEN(Registro!$E20))),({1,2,3,4,5,6,7,8,9,10,11,12,13,14,15,16,17,18,19,20,21,22,23,24,25,26,27,28,29,30}-1)*LEN(Registro!$E20)+1,LEN(Registro!$E20)))&amp;"x")-1)),--("0"&amp;MID(TRIM(MID(SUBSTITUTE(SUBSTITUTE(SUBSTITUTE(SUBSTITUTE(SUBSTITUTE(LOWER(Registro!$E20),"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",LEN(Registro!$E20))),({1,2,3,4,5,6,7,8,9,10,11,12,13,14,15,16,17,18,19,20,21,22,23,24,25,26,27,28,29,30}-1)*LEN(Registro!$E20)+1,LEN(Registro!$E20)))&amp;"x")+1,20))),"Revisar formato")))</f>
        <v>1780</v>
      </c>
      <c r="F20" s="11" t="str">
        <f>IF(Registro!$F20="","",N(Registro!$F20))</f>
        <v/>
      </c>
      <c r="G20" s="11">
        <f t="shared" si="1"/>
        <v>1780</v>
      </c>
      <c r="H20" s="10">
        <f>IF(Registro!$G20="","",IF(ISERROR(FIND("x",LOWER(Registro!$G20))),"-",IFERROR(SUMPRODUCT(--("0"&amp;LEFT(TRIM(MID(SUBSTITUTE(SUBSTITUTE(SUBSTITUTE(SUBSTITUTE(SUBSTITUTE(LOWER(Registro!$G20),"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",LEN(Registro!$G20))),({1,2,3,4,5,6,7,8,9,10,11,12,13,14,15,16,17,18,19,20,21,22,23,24,25,26,27,28,29,30}-1)*LEN(Registro!$G20)+1,LEN(Registro!$G20))),FIND("x",TRIM(MID(SUBSTITUTE(SUBSTITUTE(SUBSTITUTE(SUBSTITUTE(SUBSTITUTE(LOWER(Registro!$G20),"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",LEN(Registro!$G20))),({1,2,3,4,5,6,7,8,9,10,11,12,13,14,15,16,17,18,19,20,21,22,23,24,25,26,27,28,29,30}-1)*LEN(Registro!$G20)+1,LEN(Registro!$G20)))&amp;"x")-1))),"Revisar formato")))</f>
        <v>1</v>
      </c>
      <c r="I20" s="11">
        <f>IF(Registro!$G20="","",IF(ISERROR(FIND("x",LOWER(Registro!$G20))),N(Registro!$H20),IFERROR(SUMPRODUCT(--("0"&amp;LEFT(TRIM(MID(SUBSTITUTE(SUBSTITUTE(SUBSTITUTE(SUBSTITUTE(SUBSTITUTE(LOWER(Registro!$G20),"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",LEN(Registro!$G20))),({1,2,3,4,5,6,7,8,9,10,11,12,13,14,15,16,17,18,19,20,21,22,23,24,25,26,27,28,29,30}-1)*LEN(Registro!$G20)+1,LEN(Registro!$G20))),FIND("x",TRIM(MID(SUBSTITUTE(SUBSTITUTE(SUBSTITUTE(SUBSTITUTE(SUBSTITUTE(LOWER(Registro!$G20),"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",LEN(Registro!$G20))),({1,2,3,4,5,6,7,8,9,10,11,12,13,14,15,16,17,18,19,20,21,22,23,24,25,26,27,28,29,30}-1)*LEN(Registro!$G20)+1,LEN(Registro!$G20)))&amp;"x")-1)),--("0"&amp;MID(TRIM(MID(SUBSTITUTE(SUBSTITUTE(SUBSTITUTE(SUBSTITUTE(SUBSTITUTE(LOWER(Registro!$G20),"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",LEN(Registro!$G20))),({1,2,3,4,5,6,7,8,9,10,11,12,13,14,15,16,17,18,19,20,21,22,23,24,25,26,27,28,29,30}-1)*LEN(Registro!$G20)+1,LEN(Registro!$G20))),FIND("x",TRIM(MID(SUBSTITUTE(SUBSTITUTE(SUBSTITUTE(SUBSTITUTE(SUBSTITUTE(LOWER(Registro!$G20),"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",LEN(Registro!$G20))),({1,2,3,4,5,6,7,8,9,10,11,12,13,14,15,16,17,18,19,20,21,22,23,24,25,26,27,28,29,30}-1)*LEN(Registro!$G20)+1,LEN(Registro!$G20)))&amp;"x")+1,20))),"Revisar formato")))</f>
        <v>3275</v>
      </c>
      <c r="J20" s="9" t="str">
        <f>IF(AND(Registro!$E20="",Registro!$G20=""),"",IF(NOT(AND(ISNUMBER(I20),ISNUMBER(Registro!$H20))),"",IF(I20&lt;Registro!$H20,"FALTA BOLETOS",IF(I20=Registro!$H20,"CONFORME","DIFERENCIA"))))</f>
        <v>CONFORME</v>
      </c>
      <c r="K20" s="11">
        <f>IF(Registro!$I20="","",IFERROR(SUMPRODUCT(--("0"&amp;TRIM(RIGHT(SUBSTITUTE(TRIM(MID(SUBSTITUTE(SUBSTITUTE(Registro!$I20,";",CHAR(10)),CHAR(10),REPT(" ",LEN(Registro!$I20))),({1,2,3,4,5,6,7,8,9,10,11,12,13,14,15,16,17,18,19,20,21,22,23,24,25,26,27,28,29,30}-1)*LEN(Registro!$I20)+1,LEN(Registro!$I20)))," ",REPT(" ",50)),50)))),"Revisar formato"))</f>
        <v>95</v>
      </c>
      <c r="L20" s="11" t="str">
        <f>IF(Registro!$J20="","",IFERROR(SUMPRODUCT(--("0"&amp;TRIM(RIGHT(SUBSTITUTE(TRIM(MID(SUBSTITUTE(SUBSTITUTE(Registro!$J20,";",CHAR(10)),CHAR(10),REPT(" ",LEN(Registro!$J20))),({1,2,3,4,5,6,7,8,9,10,11,12,13,14,15,16,17,18,19,20,21,22,23,24,25,26,27,28,29,30}-1)*LEN(Registro!$J20)+1,LEN(Registro!$J20)))," ",REPT(" ",50)),50)))),"Revisar formato"))</f>
        <v/>
      </c>
      <c r="M20" s="11">
        <f>IF(AND(Registro!$H20="",Registro!$I20=""),"",IF(AND(ISTEXT(K20),K20&lt;&gt;""),"Revisar formato",N(Registro!$H20)-N(K20)))</f>
        <v>3180</v>
      </c>
      <c r="N20" s="11">
        <f t="shared" si="2"/>
        <v>3180</v>
      </c>
      <c r="O20" s="15">
        <f>IF(AND(A20=Consulta!$B$3,C20=Consulta!$H$3),B20*10000+ROW(),"")</f>
        <v>463130020</v>
      </c>
    </row>
    <row r="21" spans="1:15" x14ac:dyDescent="0.25">
      <c r="A21" s="9" t="str">
        <f>IF(Registro!$A21="","",Registro!$A21)</f>
        <v>TDS</v>
      </c>
      <c r="B21" s="8">
        <f>IF(Registro!$B21="","",Registro!$B21)</f>
        <v>46314</v>
      </c>
      <c r="C21" s="14">
        <f t="shared" si="0"/>
        <v>202610</v>
      </c>
      <c r="D21" s="10">
        <f>IF(Registro!$E21="","",IF(ISERROR(FIND("x",LOWER(Registro!$E21))),"-",IFERROR(SUMPRODUCT(--("0"&amp;LEFT(TRIM(MID(SUBSTITUTE(SUBSTITUTE(SUBSTITUTE(SUBSTITUTE(SUBSTITUTE(LOWER(Registro!$E21),"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",LEN(Registro!$E21))),({1,2,3,4,5,6,7,8,9,10,11,12,13,14,15,16,17,18,19,20,21,22,23,24,25,26,27,28,29,30}-1)*LEN(Registro!$E21)+1,LEN(Registro!$E21)))&amp;"x")-1))),"Revisar formato")))</f>
        <v>52</v>
      </c>
      <c r="E21" s="11">
        <f>IF(Registro!$E21="","",IF(ISERROR(FIND("x",LOWER(Registro!$E21))),"-",IFERROR(SUMPRODUCT(--("0"&amp;LEFT(TRIM(MID(SUBSTITUTE(SUBSTITUTE(SUBSTITUTE(SUBSTITUTE(SUBSTITUTE(LOWER(Registro!$E21),"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",LEN(Registro!$E21))),({1,2,3,4,5,6,7,8,9,10,11,12,13,14,15,16,17,18,19,20,21,22,23,24,25,26,27,28,29,30}-1)*LEN(Registro!$E21)+1,LEN(Registro!$E21)))&amp;"x")-1)),--("0"&amp;MID(TRIM(MID(SUBSTITUTE(SUBSTITUTE(SUBSTITUTE(SUBSTITUTE(SUBSTITUTE(LOWER(Registro!$E21),"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",LEN(Registro!$E21))),({1,2,3,4,5,6,7,8,9,10,11,12,13,14,15,16,17,18,19,20,21,22,23,24,25,26,27,28,29,30}-1)*LEN(Registro!$E21)+1,LEN(Registro!$E21)))&amp;"x")+1,20))),"Revisar formato")))</f>
        <v>2650</v>
      </c>
      <c r="F21" s="11" t="str">
        <f>IF(Registro!$F21="","",N(Registro!$F21))</f>
        <v/>
      </c>
      <c r="G21" s="11">
        <f t="shared" si="1"/>
        <v>2650</v>
      </c>
      <c r="H21" s="10">
        <f>IF(Registro!$G21="","",IF(ISERROR(FIND("x",LOWER(Registro!$G21))),"-",IFERROR(SUMPRODUCT(--("0"&amp;LEFT(TRIM(MID(SUBSTITUTE(SUBSTITUTE(SUBSTITUTE(SUBSTITUTE(SUBSTITUTE(LOWER(Registro!$G21),"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",LEN(Registro!$G21))),({1,2,3,4,5,6,7,8,9,10,11,12,13,14,15,16,17,18,19,20,21,22,23,24,25,26,27,28,29,30}-1)*LEN(Registro!$G21)+1,LEN(Registro!$G21))),FIND("x",TRIM(MID(SUBSTITUTE(SUBSTITUTE(SUBSTITUTE(SUBSTITUTE(SUBSTITUTE(LOWER(Registro!$G21),"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",LEN(Registro!$G21))),({1,2,3,4,5,6,7,8,9,10,11,12,13,14,15,16,17,18,19,20,21,22,23,24,25,26,27,28,29,30}-1)*LEN(Registro!$G21)+1,LEN(Registro!$G21)))&amp;"x")-1))),"Revisar formato")))</f>
        <v>1</v>
      </c>
      <c r="I21" s="11">
        <f>IF(Registro!$G21="","",IF(ISERROR(FIND("x",LOWER(Registro!$G21))),N(Registro!$H21),IFERROR(SUMPRODUCT(--("0"&amp;LEFT(TRIM(MID(SUBSTITUTE(SUBSTITUTE(SUBSTITUTE(SUBSTITUTE(SUBSTITUTE(LOWER(Registro!$G21),"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",LEN(Registro!$G21))),({1,2,3,4,5,6,7,8,9,10,11,12,13,14,15,16,17,18,19,20,21,22,23,24,25,26,27,28,29,30}-1)*LEN(Registro!$G21)+1,LEN(Registro!$G21))),FIND("x",TRIM(MID(SUBSTITUTE(SUBSTITUTE(SUBSTITUTE(SUBSTITUTE(SUBSTITUTE(LOWER(Registro!$G21),"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",LEN(Registro!$G21))),({1,2,3,4,5,6,7,8,9,10,11,12,13,14,15,16,17,18,19,20,21,22,23,24,25,26,27,28,29,30}-1)*LEN(Registro!$G21)+1,LEN(Registro!$G21)))&amp;"x")-1)),--("0"&amp;MID(TRIM(MID(SUBSTITUTE(SUBSTITUTE(SUBSTITUTE(SUBSTITUTE(SUBSTITUTE(LOWER(Registro!$G21),"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",LEN(Registro!$G21))),({1,2,3,4,5,6,7,8,9,10,11,12,13,14,15,16,17,18,19,20,21,22,23,24,25,26,27,28,29,30}-1)*LEN(Registro!$G21)+1,LEN(Registro!$G21))),FIND("x",TRIM(MID(SUBSTITUTE(SUBSTITUTE(SUBSTITUTE(SUBSTITUTE(SUBSTITUTE(LOWER(Registro!$G21),"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",LEN(Registro!$G21))),({1,2,3,4,5,6,7,8,9,10,11,12,13,14,15,16,17,18,19,20,21,22,23,24,25,26,27,28,29,30}-1)*LEN(Registro!$G21)+1,LEN(Registro!$G21)))&amp;"x")+1,20))),"Revisar formato")))</f>
        <v>3275</v>
      </c>
      <c r="J21" s="9" t="str">
        <f>IF(AND(Registro!$E21="",Registro!$G21=""),"",IF(NOT(AND(ISNUMBER(I21),ISNUMBER(Registro!$H21))),"",IF(I21&lt;Registro!$H21,"FALTA BOLETOS",IF(I21=Registro!$H21,"CONFORME","DIFERENCIA"))))</f>
        <v>CONFORME</v>
      </c>
      <c r="K21" s="11">
        <f>IF(Registro!$I21="","",IFERROR(SUMPRODUCT(--("0"&amp;TRIM(RIGHT(SUBSTITUTE(TRIM(MID(SUBSTITUTE(SUBSTITUTE(Registro!$I21,";",CHAR(10)),CHAR(10),REPT(" ",LEN(Registro!$I21))),({1,2,3,4,5,6,7,8,9,10,11,12,13,14,15,16,17,18,19,20,21,22,23,24,25,26,27,28,29,30}-1)*LEN(Registro!$I21)+1,LEN(Registro!$I21)))," ",REPT(" ",50)),50)))),"Revisar formato"))</f>
        <v>215</v>
      </c>
      <c r="L21" s="11" t="str">
        <f>IF(Registro!$J21="","",IFERROR(SUMPRODUCT(--("0"&amp;TRIM(RIGHT(SUBSTITUTE(TRIM(MID(SUBSTITUTE(SUBSTITUTE(Registro!$J21,";",CHAR(10)),CHAR(10),REPT(" ",LEN(Registro!$J21))),({1,2,3,4,5,6,7,8,9,10,11,12,13,14,15,16,17,18,19,20,21,22,23,24,25,26,27,28,29,30}-1)*LEN(Registro!$J21)+1,LEN(Registro!$J21)))," ",REPT(" ",50)),50)))),"Revisar formato"))</f>
        <v/>
      </c>
      <c r="M21" s="11">
        <f>IF(AND(Registro!$H21="",Registro!$I21=""),"",IF(AND(ISTEXT(K21),K21&lt;&gt;""),"Revisar formato",N(Registro!$H21)-N(K21)))</f>
        <v>3060</v>
      </c>
      <c r="N21" s="11">
        <f t="shared" si="2"/>
        <v>3060</v>
      </c>
      <c r="O21" s="15">
        <f>IF(AND(A21=Consulta!$B$3,C21=Consulta!$H$3),B21*10000+ROW(),"")</f>
        <v>463140021</v>
      </c>
    </row>
    <row r="22" spans="1:15" x14ac:dyDescent="0.25">
      <c r="A22" s="9" t="str">
        <f>IF(Registro!$A22="","",Registro!$A22)</f>
        <v>TDS</v>
      </c>
      <c r="B22" s="8">
        <f>IF(Registro!$B22="","",Registro!$B22)</f>
        <v>46315</v>
      </c>
      <c r="C22" s="14">
        <f t="shared" si="0"/>
        <v>202610</v>
      </c>
      <c r="D22" s="10">
        <f>IF(Registro!$E22="","",IF(ISERROR(FIND("x",LOWER(Registro!$E22))),"-",IFERROR(SUMPRODUCT(--("0"&amp;LEFT(TRIM(MID(SUBSTITUTE(SUBSTITUTE(SUBSTITUTE(SUBSTITUTE(SUBSTITUTE(LOWER(Registro!$E22),"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",LEN(Registro!$E22))),({1,2,3,4,5,6,7,8,9,10,11,12,13,14,15,16,17,18,19,20,21,22,23,24,25,26,27,28,29,30}-1)*LEN(Registro!$E22)+1,LEN(Registro!$E22)))&amp;"x")-1))),"Revisar formato")))</f>
        <v>49</v>
      </c>
      <c r="E22" s="11">
        <f>IF(Registro!$E22="","",IF(ISERROR(FIND("x",LOWER(Registro!$E22))),"-",IFERROR(SUMPRODUCT(--("0"&amp;LEFT(TRIM(MID(SUBSTITUTE(SUBSTITUTE(SUBSTITUTE(SUBSTITUTE(SUBSTITUTE(LOWER(Registro!$E22),"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",LEN(Registro!$E22))),({1,2,3,4,5,6,7,8,9,10,11,12,13,14,15,16,17,18,19,20,21,22,23,24,25,26,27,28,29,30}-1)*LEN(Registro!$E22)+1,LEN(Registro!$E22)))&amp;"x")-1)),--("0"&amp;MID(TRIM(MID(SUBSTITUTE(SUBSTITUTE(SUBSTITUTE(SUBSTITUTE(SUBSTITUTE(LOWER(Registro!$E22),"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",LEN(Registro!$E22))),({1,2,3,4,5,6,7,8,9,10,11,12,13,14,15,16,17,18,19,20,21,22,23,24,25,26,27,28,29,30}-1)*LEN(Registro!$E22)+1,LEN(Registro!$E22)))&amp;"x")+1,20))),"Revisar formato")))</f>
        <v>2570</v>
      </c>
      <c r="F22" s="11" t="str">
        <f>IF(Registro!$F22="","",N(Registro!$F22))</f>
        <v/>
      </c>
      <c r="G22" s="11">
        <f t="shared" si="1"/>
        <v>2570</v>
      </c>
      <c r="H22" s="10">
        <f>IF(Registro!$G22="","",IF(ISERROR(FIND("x",LOWER(Registro!$G22))),"-",IFERROR(SUMPRODUCT(--("0"&amp;LEFT(TRIM(MID(SUBSTITUTE(SUBSTITUTE(SUBSTITUTE(SUBSTITUTE(SUBSTITUTE(LOWER(Registro!$G22),"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",LEN(Registro!$G22))),({1,2,3,4,5,6,7,8,9,10,11,12,13,14,15,16,17,18,19,20,21,22,23,24,25,26,27,28,29,30}-1)*LEN(Registro!$G22)+1,LEN(Registro!$G22))),FIND("x",TRIM(MID(SUBSTITUTE(SUBSTITUTE(SUBSTITUTE(SUBSTITUTE(SUBSTITUTE(LOWER(Registro!$G22),"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",LEN(Registro!$G22))),({1,2,3,4,5,6,7,8,9,10,11,12,13,14,15,16,17,18,19,20,21,22,23,24,25,26,27,28,29,30}-1)*LEN(Registro!$G22)+1,LEN(Registro!$G22)))&amp;"x")-1))),"Revisar formato")))</f>
        <v>1</v>
      </c>
      <c r="I22" s="11">
        <f>IF(Registro!$G22="","",IF(ISERROR(FIND("x",LOWER(Registro!$G22))),N(Registro!$H22),IFERROR(SUMPRODUCT(--("0"&amp;LEFT(TRIM(MID(SUBSTITUTE(SUBSTITUTE(SUBSTITUTE(SUBSTITUTE(SUBSTITUTE(LOWER(Registro!$G22),"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",LEN(Registro!$G22))),({1,2,3,4,5,6,7,8,9,10,11,12,13,14,15,16,17,18,19,20,21,22,23,24,25,26,27,28,29,30}-1)*LEN(Registro!$G22)+1,LEN(Registro!$G22))),FIND("x",TRIM(MID(SUBSTITUTE(SUBSTITUTE(SUBSTITUTE(SUBSTITUTE(SUBSTITUTE(LOWER(Registro!$G22),"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",LEN(Registro!$G22))),({1,2,3,4,5,6,7,8,9,10,11,12,13,14,15,16,17,18,19,20,21,22,23,24,25,26,27,28,29,30}-1)*LEN(Registro!$G22)+1,LEN(Registro!$G22)))&amp;"x")-1)),--("0"&amp;MID(TRIM(MID(SUBSTITUTE(SUBSTITUTE(SUBSTITUTE(SUBSTITUTE(SUBSTITUTE(LOWER(Registro!$G22),"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",LEN(Registro!$G22))),({1,2,3,4,5,6,7,8,9,10,11,12,13,14,15,16,17,18,19,20,21,22,23,24,25,26,27,28,29,30}-1)*LEN(Registro!$G22)+1,LEN(Registro!$G22))),FIND("x",TRIM(MID(SUBSTITUTE(SUBSTITUTE(SUBSTITUTE(SUBSTITUTE(SUBSTITUTE(LOWER(Registro!$G22),"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",LEN(Registro!$G22))),({1,2,3,4,5,6,7,8,9,10,11,12,13,14,15,16,17,18,19,20,21,22,23,24,25,26,27,28,29,30}-1)*LEN(Registro!$G22)+1,LEN(Registro!$G22)))&amp;"x")+1,20))),"Revisar formato")))</f>
        <v>2340</v>
      </c>
      <c r="J22" s="9" t="str">
        <f>IF(AND(Registro!$E22="",Registro!$G22=""),"",IF(NOT(AND(ISNUMBER(I22),ISNUMBER(Registro!$H22))),"",IF(I22&lt;Registro!$H22,"FALTA BOLETOS",IF(I22=Registro!$H22,"CONFORME","DIFERENCIA"))))</f>
        <v>CONFORME</v>
      </c>
      <c r="K22" s="11">
        <f>IF(Registro!$I22="","",IFERROR(SUMPRODUCT(--("0"&amp;TRIM(RIGHT(SUBSTITUTE(TRIM(MID(SUBSTITUTE(SUBSTITUTE(Registro!$I22,";",CHAR(10)),CHAR(10),REPT(" ",LEN(Registro!$I22))),({1,2,3,4,5,6,7,8,9,10,11,12,13,14,15,16,17,18,19,20,21,22,23,24,25,26,27,28,29,30}-1)*LEN(Registro!$I22)+1,LEN(Registro!$I22)))," ",REPT(" ",50)),50)))),"Revisar formato"))</f>
        <v>100</v>
      </c>
      <c r="L22" s="11">
        <f>IF(Registro!$J22="","",IFERROR(SUMPRODUCT(--("0"&amp;TRIM(RIGHT(SUBSTITUTE(TRIM(MID(SUBSTITUTE(SUBSTITUTE(Registro!$J22,";",CHAR(10)),CHAR(10),REPT(" ",LEN(Registro!$J22))),({1,2,3,4,5,6,7,8,9,10,11,12,13,14,15,16,17,18,19,20,21,22,23,24,25,26,27,28,29,30}-1)*LEN(Registro!$J22)+1,LEN(Registro!$J22)))," ",REPT(" ",50)),50)))),"Revisar formato"))</f>
        <v>8500</v>
      </c>
      <c r="M22" s="11">
        <f>IF(AND(Registro!$H22="",Registro!$I22=""),"",IF(AND(ISTEXT(K22),K22&lt;&gt;""),"Revisar formato",N(Registro!$H22)-N(K22)))</f>
        <v>2240</v>
      </c>
      <c r="N22" s="11">
        <f t="shared" si="2"/>
        <v>-6260</v>
      </c>
      <c r="O22" s="15">
        <f>IF(AND(A22=Consulta!$B$3,C22=Consulta!$H$3),B22*10000+ROW(),"")</f>
        <v>463150022</v>
      </c>
    </row>
    <row r="23" spans="1:15" x14ac:dyDescent="0.25">
      <c r="A23" s="9" t="str">
        <f>IF(Registro!$A23="","",Registro!$A23)</f>
        <v>TDS</v>
      </c>
      <c r="B23" s="8">
        <f>IF(Registro!$B23="","",Registro!$B23)</f>
        <v>46316</v>
      </c>
      <c r="C23" s="14">
        <f t="shared" si="0"/>
        <v>202610</v>
      </c>
      <c r="D23" s="10">
        <f>IF(Registro!$E23="","",IF(ISERROR(FIND("x",LOWER(Registro!$E23))),"-",IFERROR(SUMPRODUCT(--("0"&amp;LEFT(TRIM(MID(SUBSTITUTE(SUBSTITUTE(SUBSTITUTE(SUBSTITUTE(SUBSTITUTE(LOWER(Registro!$E23),"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",LEN(Registro!$E23))),({1,2,3,4,5,6,7,8,9,10,11,12,13,14,15,16,17,18,19,20,21,22,23,24,25,26,27,28,29,30}-1)*LEN(Registro!$E23)+1,LEN(Registro!$E23)))&amp;"x")-1))),"Revisar formato")))</f>
        <v>42</v>
      </c>
      <c r="E23" s="11">
        <f>IF(Registro!$E23="","",IF(ISERROR(FIND("x",LOWER(Registro!$E23))),"-",IFERROR(SUMPRODUCT(--("0"&amp;LEFT(TRIM(MID(SUBSTITUTE(SUBSTITUTE(SUBSTITUTE(SUBSTITUTE(SUBSTITUTE(LOWER(Registro!$E23),"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",LEN(Registro!$E23))),({1,2,3,4,5,6,7,8,9,10,11,12,13,14,15,16,17,18,19,20,21,22,23,24,25,26,27,28,29,30}-1)*LEN(Registro!$E23)+1,LEN(Registro!$E23)))&amp;"x")-1)),--("0"&amp;MID(TRIM(MID(SUBSTITUTE(SUBSTITUTE(SUBSTITUTE(SUBSTITUTE(SUBSTITUTE(LOWER(Registro!$E23),"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",LEN(Registro!$E23))),({1,2,3,4,5,6,7,8,9,10,11,12,13,14,15,16,17,18,19,20,21,22,23,24,25,26,27,28,29,30}-1)*LEN(Registro!$E23)+1,LEN(Registro!$E23)))&amp;"x")+1,20))),"Revisar formato")))</f>
        <v>2240</v>
      </c>
      <c r="F23" s="11" t="str">
        <f>IF(Registro!$F23="","",N(Registro!$F23))</f>
        <v/>
      </c>
      <c r="G23" s="11">
        <f t="shared" si="1"/>
        <v>2240</v>
      </c>
      <c r="H23" s="10" t="str">
        <f>IF(Registro!$G23="","",IF(ISERROR(FIND("x",LOWER(Registro!$G23))),"-",IFERROR(SUMPRODUCT(--("0"&amp;LEFT(TRIM(MID(SUBSTITUTE(SUBSTITUTE(SUBSTITUTE(SUBSTITUTE(SUBSTITUTE(LOWER(Registro!$G23),"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",LEN(Registro!$G23))),({1,2,3,4,5,6,7,8,9,10,11,12,13,14,15,16,17,18,19,20,21,22,23,24,25,26,27,28,29,30}-1)*LEN(Registro!$G23)+1,LEN(Registro!$G23))),FIND("x",TRIM(MID(SUBSTITUTE(SUBSTITUTE(SUBSTITUTE(SUBSTITUTE(SUBSTITUTE(LOWER(Registro!$G23),"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",LEN(Registro!$G23))),({1,2,3,4,5,6,7,8,9,10,11,12,13,14,15,16,17,18,19,20,21,22,23,24,25,26,27,28,29,30}-1)*LEN(Registro!$G23)+1,LEN(Registro!$G23)))&amp;"x")-1))),"Revisar formato")))</f>
        <v>-</v>
      </c>
      <c r="I23" s="11">
        <f>IF(Registro!$G23="","",IF(ISERROR(FIND("x",LOWER(Registro!$G23))),N(Registro!$H23),IFERROR(SUMPRODUCT(--("0"&amp;LEFT(TRIM(MID(SUBSTITUTE(SUBSTITUTE(SUBSTITUTE(SUBSTITUTE(SUBSTITUTE(LOWER(Registro!$G23),"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",LEN(Registro!$G23))),({1,2,3,4,5,6,7,8,9,10,11,12,13,14,15,16,17,18,19,20,21,22,23,24,25,26,27,28,29,30}-1)*LEN(Registro!$G23)+1,LEN(Registro!$G23))),FIND("x",TRIM(MID(SUBSTITUTE(SUBSTITUTE(SUBSTITUTE(SUBSTITUTE(SUBSTITUTE(LOWER(Registro!$G23),"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",LEN(Registro!$G23))),({1,2,3,4,5,6,7,8,9,10,11,12,13,14,15,16,17,18,19,20,21,22,23,24,25,26,27,28,29,30}-1)*LEN(Registro!$G23)+1,LEN(Registro!$G23)))&amp;"x")-1)),--("0"&amp;MID(TRIM(MID(SUBSTITUTE(SUBSTITUTE(SUBSTITUTE(SUBSTITUTE(SUBSTITUTE(LOWER(Registro!$G23),"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",LEN(Registro!$G23))),({1,2,3,4,5,6,7,8,9,10,11,12,13,14,15,16,17,18,19,20,21,22,23,24,25,26,27,28,29,30}-1)*LEN(Registro!$G23)+1,LEN(Registro!$G23))),FIND("x",TRIM(MID(SUBSTITUTE(SUBSTITUTE(SUBSTITUTE(SUBSTITUTE(SUBSTITUTE(LOWER(Registro!$G23),"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",LEN(Registro!$G23))),({1,2,3,4,5,6,7,8,9,10,11,12,13,14,15,16,17,18,19,20,21,22,23,24,25,26,27,28,29,30}-1)*LEN(Registro!$G23)+1,LEN(Registro!$G23)))&amp;"x")+1,20))),"Revisar formato")))</f>
        <v>0</v>
      </c>
      <c r="J23" s="9" t="str">
        <f>IF(AND(Registro!$E23="",Registro!$G23=""),"",IF(NOT(AND(ISNUMBER(I23),ISNUMBER(Registro!$H23))),"",IF(I23&lt;Registro!$H23,"FALTA BOLETOS",IF(I23=Registro!$H23,"CONFORME","DIFERENCIA"))))</f>
        <v>CONFORME</v>
      </c>
      <c r="K23" s="11" t="str">
        <f>IF(Registro!$I23="","",IFERROR(SUMPRODUCT(--("0"&amp;TRIM(RIGHT(SUBSTITUTE(TRIM(MID(SUBSTITUTE(SUBSTITUTE(Registro!$I23,";",CHAR(10)),CHAR(10),REPT(" ",LEN(Registro!$I23))),({1,2,3,4,5,6,7,8,9,10,11,12,13,14,15,16,17,18,19,20,21,22,23,24,25,26,27,28,29,30}-1)*LEN(Registro!$I23)+1,LEN(Registro!$I23)))," ",REPT(" ",50)),50)))),"Revisar formato"))</f>
        <v/>
      </c>
      <c r="L23" s="11" t="str">
        <f>IF(Registro!$J23="","",IFERROR(SUMPRODUCT(--("0"&amp;TRIM(RIGHT(SUBSTITUTE(TRIM(MID(SUBSTITUTE(SUBSTITUTE(Registro!$J23,";",CHAR(10)),CHAR(10),REPT(" ",LEN(Registro!$J23))),({1,2,3,4,5,6,7,8,9,10,11,12,13,14,15,16,17,18,19,20,21,22,23,24,25,26,27,28,29,30}-1)*LEN(Registro!$J23)+1,LEN(Registro!$J23)))," ",REPT(" ",50)),50)))),"Revisar formato"))</f>
        <v/>
      </c>
      <c r="M23" s="11">
        <f>IF(AND(Registro!$H23="",Registro!$I23=""),"",IF(AND(ISTEXT(K23),K23&lt;&gt;""),"Revisar formato",N(Registro!$H23)-N(K23)))</f>
        <v>0</v>
      </c>
      <c r="N23" s="11">
        <f t="shared" si="2"/>
        <v>0</v>
      </c>
      <c r="O23" s="15">
        <f>IF(AND(A23=Consulta!$B$3,C23=Consulta!$H$3),B23*10000+ROW(),"")</f>
        <v>463160023</v>
      </c>
    </row>
    <row r="24" spans="1:15" x14ac:dyDescent="0.25">
      <c r="A24" s="9" t="str">
        <f>IF(Registro!$A24="","",Registro!$A24)</f>
        <v>TDS</v>
      </c>
      <c r="B24" s="8">
        <f>IF(Registro!$B24="","",Registro!$B24)</f>
        <v>46317</v>
      </c>
      <c r="C24" s="14">
        <f t="shared" si="0"/>
        <v>202610</v>
      </c>
      <c r="D24" s="10">
        <f>IF(Registro!$E24="","",IF(ISERROR(FIND("x",LOWER(Registro!$E24))),"-",IFERROR(SUMPRODUCT(--("0"&amp;LEFT(TRIM(MID(SUBSTITUTE(SUBSTITUTE(SUBSTITUTE(SUBSTITUTE(SUBSTITUTE(LOWER(Registro!$E24),"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",LEN(Registro!$E24))),({1,2,3,4,5,6,7,8,9,10,11,12,13,14,15,16,17,18,19,20,21,22,23,24,25,26,27,28,29,30}-1)*LEN(Registro!$E24)+1,LEN(Registro!$E24)))&amp;"x")-1))),"Revisar formato")))</f>
        <v>33</v>
      </c>
      <c r="E24" s="11">
        <f>IF(Registro!$E24="","",IF(ISERROR(FIND("x",LOWER(Registro!$E24))),"-",IFERROR(SUMPRODUCT(--("0"&amp;LEFT(TRIM(MID(SUBSTITUTE(SUBSTITUTE(SUBSTITUTE(SUBSTITUTE(SUBSTITUTE(LOWER(Registro!$E24),"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",LEN(Registro!$E24))),({1,2,3,4,5,6,7,8,9,10,11,12,13,14,15,16,17,18,19,20,21,22,23,24,25,26,27,28,29,30}-1)*LEN(Registro!$E24)+1,LEN(Registro!$E24)))&amp;"x")-1)),--("0"&amp;MID(TRIM(MID(SUBSTITUTE(SUBSTITUTE(SUBSTITUTE(SUBSTITUTE(SUBSTITUTE(LOWER(Registro!$E24),"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",LEN(Registro!$E24))),({1,2,3,4,5,6,7,8,9,10,11,12,13,14,15,16,17,18,19,20,21,22,23,24,25,26,27,28,29,30}-1)*LEN(Registro!$E24)+1,LEN(Registro!$E24)))&amp;"x")+1,20))),"Revisar formato")))</f>
        <v>1710</v>
      </c>
      <c r="F24" s="11" t="str">
        <f>IF(Registro!$F24="","",N(Registro!$F24))</f>
        <v/>
      </c>
      <c r="G24" s="11">
        <f t="shared" si="1"/>
        <v>1710</v>
      </c>
      <c r="H24" s="10" t="str">
        <f>IF(Registro!$G24="","",IF(ISERROR(FIND("x",LOWER(Registro!$G24))),"-",IFERROR(SUMPRODUCT(--("0"&amp;LEFT(TRIM(MID(SUBSTITUTE(SUBSTITUTE(SUBSTITUTE(SUBSTITUTE(SUBSTITUTE(LOWER(Registro!$G24),"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",LEN(Registro!$G24))),({1,2,3,4,5,6,7,8,9,10,11,12,13,14,15,16,17,18,19,20,21,22,23,24,25,26,27,28,29,30}-1)*LEN(Registro!$G24)+1,LEN(Registro!$G24))),FIND("x",TRIM(MID(SUBSTITUTE(SUBSTITUTE(SUBSTITUTE(SUBSTITUTE(SUBSTITUTE(LOWER(Registro!$G24),"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",LEN(Registro!$G24))),({1,2,3,4,5,6,7,8,9,10,11,12,13,14,15,16,17,18,19,20,21,22,23,24,25,26,27,28,29,30}-1)*LEN(Registro!$G24)+1,LEN(Registro!$G24)))&amp;"x")-1))),"Revisar formato")))</f>
        <v>-</v>
      </c>
      <c r="I24" s="11">
        <f>IF(Registro!$G24="","",IF(ISERROR(FIND("x",LOWER(Registro!$G24))),N(Registro!$H24),IFERROR(SUMPRODUCT(--("0"&amp;LEFT(TRIM(MID(SUBSTITUTE(SUBSTITUTE(SUBSTITUTE(SUBSTITUTE(SUBSTITUTE(LOWER(Registro!$G24),"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",LEN(Registro!$G24))),({1,2,3,4,5,6,7,8,9,10,11,12,13,14,15,16,17,18,19,20,21,22,23,24,25,26,27,28,29,30}-1)*LEN(Registro!$G24)+1,LEN(Registro!$G24))),FIND("x",TRIM(MID(SUBSTITUTE(SUBSTITUTE(SUBSTITUTE(SUBSTITUTE(SUBSTITUTE(LOWER(Registro!$G24),"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",LEN(Registro!$G24))),({1,2,3,4,5,6,7,8,9,10,11,12,13,14,15,16,17,18,19,20,21,22,23,24,25,26,27,28,29,30}-1)*LEN(Registro!$G24)+1,LEN(Registro!$G24)))&amp;"x")-1)),--("0"&amp;MID(TRIM(MID(SUBSTITUTE(SUBSTITUTE(SUBSTITUTE(SUBSTITUTE(SUBSTITUTE(LOWER(Registro!$G24),"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",LEN(Registro!$G24))),({1,2,3,4,5,6,7,8,9,10,11,12,13,14,15,16,17,18,19,20,21,22,23,24,25,26,27,28,29,30}-1)*LEN(Registro!$G24)+1,LEN(Registro!$G24))),FIND("x",TRIM(MID(SUBSTITUTE(SUBSTITUTE(SUBSTITUTE(SUBSTITUTE(SUBSTITUTE(LOWER(Registro!$G24),"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",LEN(Registro!$G24))),({1,2,3,4,5,6,7,8,9,10,11,12,13,14,15,16,17,18,19,20,21,22,23,24,25,26,27,28,29,30}-1)*LEN(Registro!$G24)+1,LEN(Registro!$G24)))&amp;"x")+1,20))),"Revisar formato")))</f>
        <v>3760</v>
      </c>
      <c r="J24" s="9" t="str">
        <f>IF(AND(Registro!$E24="",Registro!$G24=""),"",IF(NOT(AND(ISNUMBER(I24),ISNUMBER(Registro!$H24))),"",IF(I24&lt;Registro!$H24,"FALTA BOLETOS",IF(I24=Registro!$H24,"CONFORME","DIFERENCIA"))))</f>
        <v>CONFORME</v>
      </c>
      <c r="K24" s="11">
        <f>IF(Registro!$I24="","",IFERROR(SUMPRODUCT(--("0"&amp;TRIM(RIGHT(SUBSTITUTE(TRIM(MID(SUBSTITUTE(SUBSTITUTE(Registro!$I24,";",CHAR(10)),CHAR(10),REPT(" ",LEN(Registro!$I24))),({1,2,3,4,5,6,7,8,9,10,11,12,13,14,15,16,17,18,19,20,21,22,23,24,25,26,27,28,29,30}-1)*LEN(Registro!$I24)+1,LEN(Registro!$I24)))," ",REPT(" ",50)),50)))),"Revisar formato"))</f>
        <v>130</v>
      </c>
      <c r="L24" s="11" t="str">
        <f>IF(Registro!$J24="","",IFERROR(SUMPRODUCT(--("0"&amp;TRIM(RIGHT(SUBSTITUTE(TRIM(MID(SUBSTITUTE(SUBSTITUTE(Registro!$J24,";",CHAR(10)),CHAR(10),REPT(" ",LEN(Registro!$J24))),({1,2,3,4,5,6,7,8,9,10,11,12,13,14,15,16,17,18,19,20,21,22,23,24,25,26,27,28,29,30}-1)*LEN(Registro!$J24)+1,LEN(Registro!$J24)))," ",REPT(" ",50)),50)))),"Revisar formato"))</f>
        <v/>
      </c>
      <c r="M24" s="11">
        <f>IF(AND(Registro!$H24="",Registro!$I24=""),"",IF(AND(ISTEXT(K24),K24&lt;&gt;""),"Revisar formato",N(Registro!$H24)-N(K24)))</f>
        <v>3630</v>
      </c>
      <c r="N24" s="11">
        <f t="shared" si="2"/>
        <v>3630</v>
      </c>
      <c r="O24" s="15">
        <f>IF(AND(A24=Consulta!$B$3,C24=Consulta!$H$3),B24*10000+ROW(),"")</f>
        <v>463170024</v>
      </c>
    </row>
    <row r="25" spans="1:15" x14ac:dyDescent="0.25">
      <c r="A25" s="9" t="str">
        <f>IF(Registro!$A25="","",Registro!$A25)</f>
        <v>TDS</v>
      </c>
      <c r="B25" s="8">
        <f>IF(Registro!$B25="","",Registro!$B25)</f>
        <v>46318</v>
      </c>
      <c r="C25" s="14">
        <f t="shared" si="0"/>
        <v>202610</v>
      </c>
      <c r="D25" s="10">
        <f>IF(Registro!$E25="","",IF(ISERROR(FIND("x",LOWER(Registro!$E25))),"-",IFERROR(SUMPRODUCT(--("0"&amp;LEFT(TRIM(MID(SUBSTITUTE(SUBSTITUTE(SUBSTITUTE(SUBSTITUTE(SUBSTITUTE(LOWER(Registro!$E25),"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",LEN(Registro!$E25))),({1,2,3,4,5,6,7,8,9,10,11,12,13,14,15,16,17,18,19,20,21,22,23,24,25,26,27,28,29,30}-1)*LEN(Registro!$E25)+1,LEN(Registro!$E25)))&amp;"x")-1))),"Revisar formato")))</f>
        <v>59</v>
      </c>
      <c r="E25" s="11">
        <f>IF(Registro!$E25="","",IF(ISERROR(FIND("x",LOWER(Registro!$E25))),"-",IFERROR(SUMPRODUCT(--("0"&amp;LEFT(TRIM(MID(SUBSTITUTE(SUBSTITUTE(SUBSTITUTE(SUBSTITUTE(SUBSTITUTE(LOWER(Registro!$E25),"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",LEN(Registro!$E25))),({1,2,3,4,5,6,7,8,9,10,11,12,13,14,15,16,17,18,19,20,21,22,23,24,25,26,27,28,29,30}-1)*LEN(Registro!$E25)+1,LEN(Registro!$E25)))&amp;"x")-1)),--("0"&amp;MID(TRIM(MID(SUBSTITUTE(SUBSTITUTE(SUBSTITUTE(SUBSTITUTE(SUBSTITUTE(LOWER(Registro!$E25),"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",LEN(Registro!$E25))),({1,2,3,4,5,6,7,8,9,10,11,12,13,14,15,16,17,18,19,20,21,22,23,24,25,26,27,28,29,30}-1)*LEN(Registro!$E25)+1,LEN(Registro!$E25)))&amp;"x")+1,20))),"Revisar formato")))</f>
        <v>3190</v>
      </c>
      <c r="F25" s="11" t="str">
        <f>IF(Registro!$F25="","",N(Registro!$F25))</f>
        <v/>
      </c>
      <c r="G25" s="11">
        <f t="shared" si="1"/>
        <v>3190</v>
      </c>
      <c r="H25" s="10">
        <f>IF(Registro!$G25="","",IF(ISERROR(FIND("x",LOWER(Registro!$G25))),"-",IFERROR(SUMPRODUCT(--("0"&amp;LEFT(TRIM(MID(SUBSTITUTE(SUBSTITUTE(SUBSTITUTE(SUBSTITUTE(SUBSTITUTE(LOWER(Registro!$G25),"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",LEN(Registro!$G25))),({1,2,3,4,5,6,7,8,9,10,11,12,13,14,15,16,17,18,19,20,21,22,23,24,25,26,27,28,29,30}-1)*LEN(Registro!$G25)+1,LEN(Registro!$G25))),FIND("x",TRIM(MID(SUBSTITUTE(SUBSTITUTE(SUBSTITUTE(SUBSTITUTE(SUBSTITUTE(LOWER(Registro!$G25),"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",LEN(Registro!$G25))),({1,2,3,4,5,6,7,8,9,10,11,12,13,14,15,16,17,18,19,20,21,22,23,24,25,26,27,28,29,30}-1)*LEN(Registro!$G25)+1,LEN(Registro!$G25)))&amp;"x")-1))),"Revisar formato")))</f>
        <v>1</v>
      </c>
      <c r="I25" s="11">
        <f>IF(Registro!$G25="","",IF(ISERROR(FIND("x",LOWER(Registro!$G25))),N(Registro!$H25),IFERROR(SUMPRODUCT(--("0"&amp;LEFT(TRIM(MID(SUBSTITUTE(SUBSTITUTE(SUBSTITUTE(SUBSTITUTE(SUBSTITUTE(LOWER(Registro!$G25),"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",LEN(Registro!$G25))),({1,2,3,4,5,6,7,8,9,10,11,12,13,14,15,16,17,18,19,20,21,22,23,24,25,26,27,28,29,30}-1)*LEN(Registro!$G25)+1,LEN(Registro!$G25))),FIND("x",TRIM(MID(SUBSTITUTE(SUBSTITUTE(SUBSTITUTE(SUBSTITUTE(SUBSTITUTE(LOWER(Registro!$G25),"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",LEN(Registro!$G25))),({1,2,3,4,5,6,7,8,9,10,11,12,13,14,15,16,17,18,19,20,21,22,23,24,25,26,27,28,29,30}-1)*LEN(Registro!$G25)+1,LEN(Registro!$G25)))&amp;"x")-1)),--("0"&amp;MID(TRIM(MID(SUBSTITUTE(SUBSTITUTE(SUBSTITUTE(SUBSTITUTE(SUBSTITUTE(LOWER(Registro!$G25),"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",LEN(Registro!$G25))),({1,2,3,4,5,6,7,8,9,10,11,12,13,14,15,16,17,18,19,20,21,22,23,24,25,26,27,28,29,30}-1)*LEN(Registro!$G25)+1,LEN(Registro!$G25))),FIND("x",TRIM(MID(SUBSTITUTE(SUBSTITUTE(SUBSTITUTE(SUBSTITUTE(SUBSTITUTE(LOWER(Registro!$G25),"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",LEN(Registro!$G25))),({1,2,3,4,5,6,7,8,9,10,11,12,13,14,15,16,17,18,19,20,21,22,23,24,25,26,27,28,29,30}-1)*LEN(Registro!$G25)+1,LEN(Registro!$G25)))&amp;"x")+1,20))),"Revisar formato")))</f>
        <v>2335</v>
      </c>
      <c r="J25" s="9" t="str">
        <f>IF(AND(Registro!$E25="",Registro!$G25=""),"",IF(NOT(AND(ISNUMBER(I25),ISNUMBER(Registro!$H25))),"",IF(I25&lt;Registro!$H25,"FALTA BOLETOS",IF(I25=Registro!$H25,"CONFORME","DIFERENCIA"))))</f>
        <v>CONFORME</v>
      </c>
      <c r="K25" s="11">
        <f>IF(Registro!$I25="","",IFERROR(SUMPRODUCT(--("0"&amp;TRIM(RIGHT(SUBSTITUTE(TRIM(MID(SUBSTITUTE(SUBSTITUTE(Registro!$I25,";",CHAR(10)),CHAR(10),REPT(" ",LEN(Registro!$I25))),({1,2,3,4,5,6,7,8,9,10,11,12,13,14,15,16,17,18,19,20,21,22,23,24,25,26,27,28,29,30}-1)*LEN(Registro!$I25)+1,LEN(Registro!$I25)))," ",REPT(" ",50)),50)))),"Revisar formato"))</f>
        <v>95</v>
      </c>
      <c r="L25" s="11">
        <f>IF(Registro!$J25="","",IFERROR(SUMPRODUCT(--("0"&amp;TRIM(RIGHT(SUBSTITUTE(TRIM(MID(SUBSTITUTE(SUBSTITUTE(Registro!$J25,";",CHAR(10)),CHAR(10),REPT(" ",LEN(Registro!$J25))),({1,2,3,4,5,6,7,8,9,10,11,12,13,14,15,16,17,18,19,20,21,22,23,24,25,26,27,28,29,30}-1)*LEN(Registro!$J25)+1,LEN(Registro!$J25)))," ",REPT(" ",50)),50)))),"Revisar formato"))</f>
        <v>8400</v>
      </c>
      <c r="M25" s="11">
        <f>IF(AND(Registro!$H25="",Registro!$I25=""),"",IF(AND(ISTEXT(K25),K25&lt;&gt;""),"Revisar formato",N(Registro!$H25)-N(K25)))</f>
        <v>2240</v>
      </c>
      <c r="N25" s="11">
        <f t="shared" si="2"/>
        <v>-6160</v>
      </c>
      <c r="O25" s="15">
        <f>IF(AND(A25=Consulta!$B$3,C25=Consulta!$H$3),B25*10000+ROW(),"")</f>
        <v>463180025</v>
      </c>
    </row>
    <row r="26" spans="1:15" x14ac:dyDescent="0.25">
      <c r="A26" s="9" t="str">
        <f>IF(Registro!$A26="","",Registro!$A26)</f>
        <v>PIN</v>
      </c>
      <c r="B26" s="8">
        <f>IF(Registro!$B26="","",Registro!$B26)</f>
        <v>46296</v>
      </c>
      <c r="C26" s="14">
        <f t="shared" si="0"/>
        <v>202610</v>
      </c>
      <c r="D26" s="10">
        <f>IF(Registro!$E26="","",IF(ISERROR(FIND("x",LOWER(Registro!$E26))),"-",IFERROR(SUMPRODUCT(--("0"&amp;LEFT(TRIM(MID(SUBSTITUTE(SUBSTITUTE(SUBSTITUTE(SUBSTITUTE(SUBSTITUTE(LOWER(Registro!$E26),"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",LEN(Registro!$E26))),({1,2,3,4,5,6,7,8,9,10,11,12,13,14,15,16,17,18,19,20,21,22,23,24,25,26,27,28,29,30}-1)*LEN(Registro!$E26)+1,LEN(Registro!$E26)))&amp;"x")-1))),"Revisar formato")))</f>
        <v>43</v>
      </c>
      <c r="E26" s="11">
        <f>IF(Registro!$E26="","",IF(ISERROR(FIND("x",LOWER(Registro!$E26))),"-",IFERROR(SUMPRODUCT(--("0"&amp;LEFT(TRIM(MID(SUBSTITUTE(SUBSTITUTE(SUBSTITUTE(SUBSTITUTE(SUBSTITUTE(LOWER(Registro!$E26),"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",LEN(Registro!$E26))),({1,2,3,4,5,6,7,8,9,10,11,12,13,14,15,16,17,18,19,20,21,22,23,24,25,26,27,28,29,30}-1)*LEN(Registro!$E26)+1,LEN(Registro!$E26)))&amp;"x")-1)),--("0"&amp;MID(TRIM(MID(SUBSTITUTE(SUBSTITUTE(SUBSTITUTE(SUBSTITUTE(SUBSTITUTE(LOWER(Registro!$E26),"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",LEN(Registro!$E26))),({1,2,3,4,5,6,7,8,9,10,11,12,13,14,15,16,17,18,19,20,21,22,23,24,25,26,27,28,29,30}-1)*LEN(Registro!$E26)+1,LEN(Registro!$E26)))&amp;"x")+1,20))),"Revisar formato")))</f>
        <v>1910</v>
      </c>
      <c r="F26" s="11" t="str">
        <f>IF(Registro!$F26="","",N(Registro!$F26))</f>
        <v/>
      </c>
      <c r="G26" s="11">
        <f t="shared" si="1"/>
        <v>1910</v>
      </c>
      <c r="H26" s="10">
        <f>IF(Registro!$G26="","",IF(ISERROR(FIND("x",LOWER(Registro!$G26))),"-",IFERROR(SUMPRODUCT(--("0"&amp;LEFT(TRIM(MID(SUBSTITUTE(SUBSTITUTE(SUBSTITUTE(SUBSTITUTE(SUBSTITUTE(LOWER(Registro!$G26),"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",LEN(Registro!$G26))),({1,2,3,4,5,6,7,8,9,10,11,12,13,14,15,16,17,18,19,20,21,22,23,24,25,26,27,28,29,30}-1)*LEN(Registro!$G26)+1,LEN(Registro!$G26))),FIND("x",TRIM(MID(SUBSTITUTE(SUBSTITUTE(SUBSTITUTE(SUBSTITUTE(SUBSTITUTE(LOWER(Registro!$G26),"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",LEN(Registro!$G26))),({1,2,3,4,5,6,7,8,9,10,11,12,13,14,15,16,17,18,19,20,21,22,23,24,25,26,27,28,29,30}-1)*LEN(Registro!$G26)+1,LEN(Registro!$G26)))&amp;"x")-1))),"Revisar formato")))</f>
        <v>1</v>
      </c>
      <c r="I26" s="11">
        <f>IF(Registro!$G26="","",IF(ISERROR(FIND("x",LOWER(Registro!$G26))),N(Registro!$H26),IFERROR(SUMPRODUCT(--("0"&amp;LEFT(TRIM(MID(SUBSTITUTE(SUBSTITUTE(SUBSTITUTE(SUBSTITUTE(SUBSTITUTE(LOWER(Registro!$G26),"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",LEN(Registro!$G26))),({1,2,3,4,5,6,7,8,9,10,11,12,13,14,15,16,17,18,19,20,21,22,23,24,25,26,27,28,29,30}-1)*LEN(Registro!$G26)+1,LEN(Registro!$G26))),FIND("x",TRIM(MID(SUBSTITUTE(SUBSTITUTE(SUBSTITUTE(SUBSTITUTE(SUBSTITUTE(LOWER(Registro!$G26),"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",LEN(Registro!$G26))),({1,2,3,4,5,6,7,8,9,10,11,12,13,14,15,16,17,18,19,20,21,22,23,24,25,26,27,28,29,30}-1)*LEN(Registro!$G26)+1,LEN(Registro!$G26)))&amp;"x")-1)),--("0"&amp;MID(TRIM(MID(SUBSTITUTE(SUBSTITUTE(SUBSTITUTE(SUBSTITUTE(SUBSTITUTE(LOWER(Registro!$G26),"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",LEN(Registro!$G26))),({1,2,3,4,5,6,7,8,9,10,11,12,13,14,15,16,17,18,19,20,21,22,23,24,25,26,27,28,29,30}-1)*LEN(Registro!$G26)+1,LEN(Registro!$G26))),FIND("x",TRIM(MID(SUBSTITUTE(SUBSTITUTE(SUBSTITUTE(SUBSTITUTE(SUBSTITUTE(LOWER(Registro!$G26),"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",LEN(Registro!$G26))),({1,2,3,4,5,6,7,8,9,10,11,12,13,14,15,16,17,18,19,20,21,22,23,24,25,26,27,28,29,30}-1)*LEN(Registro!$G26)+1,LEN(Registro!$G26)))&amp;"x")+1,20))),"Revisar formato")))</f>
        <v>1925</v>
      </c>
      <c r="J26" s="9" t="str">
        <f>IF(AND(Registro!$E26="",Registro!$G26=""),"",IF(NOT(AND(ISNUMBER(I26),ISNUMBER(Registro!$H26))),"",IF(I26&lt;Registro!$H26,"FALTA BOLETOS",IF(I26=Registro!$H26,"CONFORME","DIFERENCIA"))))</f>
        <v>CONFORME</v>
      </c>
      <c r="K26" s="11">
        <f>IF(Registro!$I26="","",IFERROR(SUMPRODUCT(--("0"&amp;TRIM(RIGHT(SUBSTITUTE(TRIM(MID(SUBSTITUTE(SUBSTITUTE(Registro!$I26,";",CHAR(10)),CHAR(10),REPT(" ",LEN(Registro!$I26))),({1,2,3,4,5,6,7,8,9,10,11,12,13,14,15,16,17,18,19,20,21,22,23,24,25,26,27,28,29,30}-1)*LEN(Registro!$I26)+1,LEN(Registro!$I26)))," ",REPT(" ",50)),50)))),"Revisar formato"))</f>
        <v>100</v>
      </c>
      <c r="L26" s="11" t="str">
        <f>IF(Registro!$J26="","",IFERROR(SUMPRODUCT(--("0"&amp;TRIM(RIGHT(SUBSTITUTE(TRIM(MID(SUBSTITUTE(SUBSTITUTE(Registro!$J26,";",CHAR(10)),CHAR(10),REPT(" ",LEN(Registro!$J26))),({1,2,3,4,5,6,7,8,9,10,11,12,13,14,15,16,17,18,19,20,21,22,23,24,25,26,27,28,29,30}-1)*LEN(Registro!$J26)+1,LEN(Registro!$J26)))," ",REPT(" ",50)),50)))),"Revisar formato"))</f>
        <v/>
      </c>
      <c r="M26" s="11">
        <f>IF(AND(Registro!$H26="",Registro!$I26=""),"",IF(AND(ISTEXT(K26),K26&lt;&gt;""),"Revisar formato",N(Registro!$H26)-N(K26)))</f>
        <v>1825</v>
      </c>
      <c r="N26" s="11">
        <f t="shared" si="2"/>
        <v>1825</v>
      </c>
      <c r="O26" s="15" t="str">
        <f>IF(AND(A26=Consulta!$B$3,C26=Consulta!$H$3),B26*10000+ROW(),"")</f>
        <v/>
      </c>
    </row>
    <row r="27" spans="1:15" x14ac:dyDescent="0.25">
      <c r="A27" s="9" t="str">
        <f>IF(Registro!$A27="","",Registro!$A27)</f>
        <v>PIN</v>
      </c>
      <c r="B27" s="8">
        <f>IF(Registro!$B27="","",Registro!$B27)</f>
        <v>46297</v>
      </c>
      <c r="C27" s="14">
        <f t="shared" si="0"/>
        <v>202610</v>
      </c>
      <c r="D27" s="10">
        <f>IF(Registro!$E27="","",IF(ISERROR(FIND("x",LOWER(Registro!$E27))),"-",IFERROR(SUMPRODUCT(--("0"&amp;LEFT(TRIM(MID(SUBSTITUTE(SUBSTITUTE(SUBSTITUTE(SUBSTITUTE(SUBSTITUTE(LOWER(Registro!$E27),"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",LEN(Registro!$E27))),({1,2,3,4,5,6,7,8,9,10,11,12,13,14,15,16,17,18,19,20,21,22,23,24,25,26,27,28,29,30}-1)*LEN(Registro!$E27)+1,LEN(Registro!$E27)))&amp;"x")-1))),"Revisar formato")))</f>
        <v>52</v>
      </c>
      <c r="E27" s="11">
        <f>IF(Registro!$E27="","",IF(ISERROR(FIND("x",LOWER(Registro!$E27))),"-",IFERROR(SUMPRODUCT(--("0"&amp;LEFT(TRIM(MID(SUBSTITUTE(SUBSTITUTE(SUBSTITUTE(SUBSTITUTE(SUBSTITUTE(LOWER(Registro!$E27),"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",LEN(Registro!$E27))),({1,2,3,4,5,6,7,8,9,10,11,12,13,14,15,16,17,18,19,20,21,22,23,24,25,26,27,28,29,30}-1)*LEN(Registro!$E27)+1,LEN(Registro!$E27)))&amp;"x")-1)),--("0"&amp;MID(TRIM(MID(SUBSTITUTE(SUBSTITUTE(SUBSTITUTE(SUBSTITUTE(SUBSTITUTE(LOWER(Registro!$E27),"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",LEN(Registro!$E27))),({1,2,3,4,5,6,7,8,9,10,11,12,13,14,15,16,17,18,19,20,21,22,23,24,25,26,27,28,29,30}-1)*LEN(Registro!$E27)+1,LEN(Registro!$E27)))&amp;"x")+1,20))),"Revisar formato")))</f>
        <v>2450</v>
      </c>
      <c r="F27" s="11" t="str">
        <f>IF(Registro!$F27="","",N(Registro!$F27))</f>
        <v/>
      </c>
      <c r="G27" s="11">
        <f t="shared" si="1"/>
        <v>2450</v>
      </c>
      <c r="H27" s="10">
        <f>IF(Registro!$G27="","",IF(ISERROR(FIND("x",LOWER(Registro!$G27))),"-",IFERROR(SUMPRODUCT(--("0"&amp;LEFT(TRIM(MID(SUBSTITUTE(SUBSTITUTE(SUBSTITUTE(SUBSTITUTE(SUBSTITUTE(LOWER(Registro!$G27),"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",LEN(Registro!$G27))),({1,2,3,4,5,6,7,8,9,10,11,12,13,14,15,16,17,18,19,20,21,22,23,24,25,26,27,28,29,30}-1)*LEN(Registro!$G27)+1,LEN(Registro!$G27))),FIND("x",TRIM(MID(SUBSTITUTE(SUBSTITUTE(SUBSTITUTE(SUBSTITUTE(SUBSTITUTE(LOWER(Registro!$G27),"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",LEN(Registro!$G27))),({1,2,3,4,5,6,7,8,9,10,11,12,13,14,15,16,17,18,19,20,21,22,23,24,25,26,27,28,29,30}-1)*LEN(Registro!$G27)+1,LEN(Registro!$G27)))&amp;"x")-1))),"Revisar formato")))</f>
        <v>1</v>
      </c>
      <c r="I27" s="11">
        <f>IF(Registro!$G27="","",IF(ISERROR(FIND("x",LOWER(Registro!$G27))),N(Registro!$H27),IFERROR(SUMPRODUCT(--("0"&amp;LEFT(TRIM(MID(SUBSTITUTE(SUBSTITUTE(SUBSTITUTE(SUBSTITUTE(SUBSTITUTE(LOWER(Registro!$G27),"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",LEN(Registro!$G27))),({1,2,3,4,5,6,7,8,9,10,11,12,13,14,15,16,17,18,19,20,21,22,23,24,25,26,27,28,29,30}-1)*LEN(Registro!$G27)+1,LEN(Registro!$G27))),FIND("x",TRIM(MID(SUBSTITUTE(SUBSTITUTE(SUBSTITUTE(SUBSTITUTE(SUBSTITUTE(LOWER(Registro!$G27),"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",LEN(Registro!$G27))),({1,2,3,4,5,6,7,8,9,10,11,12,13,14,15,16,17,18,19,20,21,22,23,24,25,26,27,28,29,30}-1)*LEN(Registro!$G27)+1,LEN(Registro!$G27)))&amp;"x")-1)),--("0"&amp;MID(TRIM(MID(SUBSTITUTE(SUBSTITUTE(SUBSTITUTE(SUBSTITUTE(SUBSTITUTE(LOWER(Registro!$G27),"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",LEN(Registro!$G27))),({1,2,3,4,5,6,7,8,9,10,11,12,13,14,15,16,17,18,19,20,21,22,23,24,25,26,27,28,29,30}-1)*LEN(Registro!$G27)+1,LEN(Registro!$G27))),FIND("x",TRIM(MID(SUBSTITUTE(SUBSTITUTE(SUBSTITUTE(SUBSTITUTE(SUBSTITUTE(LOWER(Registro!$G27),"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",LEN(Registro!$G27))),({1,2,3,4,5,6,7,8,9,10,11,12,13,14,15,16,17,18,19,20,21,22,23,24,25,26,27,28,29,30}-1)*LEN(Registro!$G27)+1,LEN(Registro!$G27)))&amp;"x")+1,20))),"Revisar formato")))</f>
        <v>2520</v>
      </c>
      <c r="J27" s="9" t="str">
        <f>IF(AND(Registro!$E27="",Registro!$G27=""),"",IF(NOT(AND(ISNUMBER(I27),ISNUMBER(Registro!$H27))),"",IF(I27&lt;Registro!$H27,"FALTA BOLETOS",IF(I27=Registro!$H27,"CONFORME","DIFERENCIA"))))</f>
        <v>CONFORME</v>
      </c>
      <c r="K27" s="11" t="str">
        <f>IF(Registro!$I27="","",IFERROR(SUMPRODUCT(--("0"&amp;TRIM(RIGHT(SUBSTITUTE(TRIM(MID(SUBSTITUTE(SUBSTITUTE(Registro!$I27,";",CHAR(10)),CHAR(10),REPT(" ",LEN(Registro!$I27))),({1,2,3,4,5,6,7,8,9,10,11,12,13,14,15,16,17,18,19,20,21,22,23,24,25,26,27,28,29,30}-1)*LEN(Registro!$I27)+1,LEN(Registro!$I27)))," ",REPT(" ",50)),50)))),"Revisar formato"))</f>
        <v/>
      </c>
      <c r="L27" s="11" t="str">
        <f>IF(Registro!$J27="","",IFERROR(SUMPRODUCT(--("0"&amp;TRIM(RIGHT(SUBSTITUTE(TRIM(MID(SUBSTITUTE(SUBSTITUTE(Registro!$J27,";",CHAR(10)),CHAR(10),REPT(" ",LEN(Registro!$J27))),({1,2,3,4,5,6,7,8,9,10,11,12,13,14,15,16,17,18,19,20,21,22,23,24,25,26,27,28,29,30}-1)*LEN(Registro!$J27)+1,LEN(Registro!$J27)))," ",REPT(" ",50)),50)))),"Revisar formato"))</f>
        <v/>
      </c>
      <c r="M27" s="11">
        <f>IF(AND(Registro!$H27="",Registro!$I27=""),"",IF(AND(ISTEXT(K27),K27&lt;&gt;""),"Revisar formato",N(Registro!$H27)-N(K27)))</f>
        <v>2520</v>
      </c>
      <c r="N27" s="11">
        <f t="shared" si="2"/>
        <v>2520</v>
      </c>
      <c r="O27" s="15" t="str">
        <f>IF(AND(A27=Consulta!$B$3,C27=Consulta!$H$3),B27*10000+ROW(),"")</f>
        <v/>
      </c>
    </row>
    <row r="28" spans="1:15" x14ac:dyDescent="0.25">
      <c r="A28" s="9" t="str">
        <f>IF(Registro!$A28="","",Registro!$A28)</f>
        <v>PIN</v>
      </c>
      <c r="B28" s="8">
        <f>IF(Registro!$B28="","",Registro!$B28)</f>
        <v>46298</v>
      </c>
      <c r="C28" s="14">
        <f t="shared" si="0"/>
        <v>202610</v>
      </c>
      <c r="D28" s="10">
        <f>IF(Registro!$E28="","",IF(ISERROR(FIND("x",LOWER(Registro!$E28))),"-",IFERROR(SUMPRODUCT(--("0"&amp;LEFT(TRIM(MID(SUBSTITUTE(SUBSTITUTE(SUBSTITUTE(SUBSTITUTE(SUBSTITUTE(LOWER(Registro!$E28),"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",LEN(Registro!$E28))),({1,2,3,4,5,6,7,8,9,10,11,12,13,14,15,16,17,18,19,20,21,22,23,24,25,26,27,28,29,30}-1)*LEN(Registro!$E28)+1,LEN(Registro!$E28)))&amp;"x")-1))),"Revisar formato")))</f>
        <v>44</v>
      </c>
      <c r="E28" s="11">
        <f>IF(Registro!$E28="","",IF(ISERROR(FIND("x",LOWER(Registro!$E28))),"-",IFERROR(SUMPRODUCT(--("0"&amp;LEFT(TRIM(MID(SUBSTITUTE(SUBSTITUTE(SUBSTITUTE(SUBSTITUTE(SUBSTITUTE(LOWER(Registro!$E28),"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",LEN(Registro!$E28))),({1,2,3,4,5,6,7,8,9,10,11,12,13,14,15,16,17,18,19,20,21,22,23,24,25,26,27,28,29,30}-1)*LEN(Registro!$E28)+1,LEN(Registro!$E28)))&amp;"x")-1)),--("0"&amp;MID(TRIM(MID(SUBSTITUTE(SUBSTITUTE(SUBSTITUTE(SUBSTITUTE(SUBSTITUTE(LOWER(Registro!$E28),"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",LEN(Registro!$E28))),({1,2,3,4,5,6,7,8,9,10,11,12,13,14,15,16,17,18,19,20,21,22,23,24,25,26,27,28,29,30}-1)*LEN(Registro!$E28)+1,LEN(Registro!$E28)))&amp;"x")+1,20))),"Revisar formato")))</f>
        <v>2080</v>
      </c>
      <c r="F28" s="11" t="str">
        <f>IF(Registro!$F28="","",N(Registro!$F28))</f>
        <v/>
      </c>
      <c r="G28" s="11">
        <f t="shared" si="1"/>
        <v>2080</v>
      </c>
      <c r="H28" s="10">
        <f>IF(Registro!$G28="","",IF(ISERROR(FIND("x",LOWER(Registro!$G28))),"-",IFERROR(SUMPRODUCT(--("0"&amp;LEFT(TRIM(MID(SUBSTITUTE(SUBSTITUTE(SUBSTITUTE(SUBSTITUTE(SUBSTITUTE(LOWER(Registro!$G28),"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",LEN(Registro!$G28))),({1,2,3,4,5,6,7,8,9,10,11,12,13,14,15,16,17,18,19,20,21,22,23,24,25,26,27,28,29,30}-1)*LEN(Registro!$G28)+1,LEN(Registro!$G28))),FIND("x",TRIM(MID(SUBSTITUTE(SUBSTITUTE(SUBSTITUTE(SUBSTITUTE(SUBSTITUTE(LOWER(Registro!$G28),"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",LEN(Registro!$G28))),({1,2,3,4,5,6,7,8,9,10,11,12,13,14,15,16,17,18,19,20,21,22,23,24,25,26,27,28,29,30}-1)*LEN(Registro!$G28)+1,LEN(Registro!$G28)))&amp;"x")-1))),"Revisar formato")))</f>
        <v>1</v>
      </c>
      <c r="I28" s="11">
        <f>IF(Registro!$G28="","",IF(ISERROR(FIND("x",LOWER(Registro!$G28))),N(Registro!$H28),IFERROR(SUMPRODUCT(--("0"&amp;LEFT(TRIM(MID(SUBSTITUTE(SUBSTITUTE(SUBSTITUTE(SUBSTITUTE(SUBSTITUTE(LOWER(Registro!$G28),"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",LEN(Registro!$G28))),({1,2,3,4,5,6,7,8,9,10,11,12,13,14,15,16,17,18,19,20,21,22,23,24,25,26,27,28,29,30}-1)*LEN(Registro!$G28)+1,LEN(Registro!$G28))),FIND("x",TRIM(MID(SUBSTITUTE(SUBSTITUTE(SUBSTITUTE(SUBSTITUTE(SUBSTITUTE(LOWER(Registro!$G28),"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",LEN(Registro!$G28))),({1,2,3,4,5,6,7,8,9,10,11,12,13,14,15,16,17,18,19,20,21,22,23,24,25,26,27,28,29,30}-1)*LEN(Registro!$G28)+1,LEN(Registro!$G28)))&amp;"x")-1)),--("0"&amp;MID(TRIM(MID(SUBSTITUTE(SUBSTITUTE(SUBSTITUTE(SUBSTITUTE(SUBSTITUTE(LOWER(Registro!$G28),"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",LEN(Registro!$G28))),({1,2,3,4,5,6,7,8,9,10,11,12,13,14,15,16,17,18,19,20,21,22,23,24,25,26,27,28,29,30}-1)*LEN(Registro!$G28)+1,LEN(Registro!$G28))),FIND("x",TRIM(MID(SUBSTITUTE(SUBSTITUTE(SUBSTITUTE(SUBSTITUTE(SUBSTITUTE(LOWER(Registro!$G28),"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",LEN(Registro!$G28))),({1,2,3,4,5,6,7,8,9,10,11,12,13,14,15,16,17,18,19,20,21,22,23,24,25,26,27,28,29,30}-1)*LEN(Registro!$G28)+1,LEN(Registro!$G28)))&amp;"x")+1,20))),"Revisar formato")))</f>
        <v>2215</v>
      </c>
      <c r="J28" s="9" t="str">
        <f>IF(AND(Registro!$E28="",Registro!$G28=""),"",IF(NOT(AND(ISNUMBER(I28),ISNUMBER(Registro!$H28))),"",IF(I28&lt;Registro!$H28,"FALTA BOLETOS",IF(I28=Registro!$H28,"CONFORME","DIFERENCIA"))))</f>
        <v>CONFORME</v>
      </c>
      <c r="K28" s="11" t="str">
        <f>IF(Registro!$I28="","",IFERROR(SUMPRODUCT(--("0"&amp;TRIM(RIGHT(SUBSTITUTE(TRIM(MID(SUBSTITUTE(SUBSTITUTE(Registro!$I28,";",CHAR(10)),CHAR(10),REPT(" ",LEN(Registro!$I28))),({1,2,3,4,5,6,7,8,9,10,11,12,13,14,15,16,17,18,19,20,21,22,23,24,25,26,27,28,29,30}-1)*LEN(Registro!$I28)+1,LEN(Registro!$I28)))," ",REPT(" ",50)),50)))),"Revisar formato"))</f>
        <v/>
      </c>
      <c r="L28" s="11" t="str">
        <f>IF(Registro!$J28="","",IFERROR(SUMPRODUCT(--("0"&amp;TRIM(RIGHT(SUBSTITUTE(TRIM(MID(SUBSTITUTE(SUBSTITUTE(Registro!$J28,";",CHAR(10)),CHAR(10),REPT(" ",LEN(Registro!$J28))),({1,2,3,4,5,6,7,8,9,10,11,12,13,14,15,16,17,18,19,20,21,22,23,24,25,26,27,28,29,30}-1)*LEN(Registro!$J28)+1,LEN(Registro!$J28)))," ",REPT(" ",50)),50)))),"Revisar formato"))</f>
        <v/>
      </c>
      <c r="M28" s="11">
        <f>IF(AND(Registro!$H28="",Registro!$I28=""),"",IF(AND(ISTEXT(K28),K28&lt;&gt;""),"Revisar formato",N(Registro!$H28)-N(K28)))</f>
        <v>2215</v>
      </c>
      <c r="N28" s="11">
        <f t="shared" si="2"/>
        <v>2215</v>
      </c>
      <c r="O28" s="15" t="str">
        <f>IF(AND(A28=Consulta!$B$3,C28=Consulta!$H$3),B28*10000+ROW(),"")</f>
        <v/>
      </c>
    </row>
    <row r="29" spans="1:15" x14ac:dyDescent="0.25">
      <c r="A29" s="9" t="str">
        <f>IF(Registro!$A29="","",Registro!$A29)</f>
        <v>PIN</v>
      </c>
      <c r="B29" s="8">
        <f>IF(Registro!$B29="","",Registro!$B29)</f>
        <v>46299</v>
      </c>
      <c r="C29" s="14">
        <f t="shared" si="0"/>
        <v>202610</v>
      </c>
      <c r="D29" s="10">
        <f>IF(Registro!$E29="","",IF(ISERROR(FIND("x",LOWER(Registro!$E29))),"-",IFERROR(SUMPRODUCT(--("0"&amp;LEFT(TRIM(MID(SUBSTITUTE(SUBSTITUTE(SUBSTITUTE(SUBSTITUTE(SUBSTITUTE(LOWER(Registro!$E29),"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",LEN(Registro!$E29))),({1,2,3,4,5,6,7,8,9,10,11,12,13,14,15,16,17,18,19,20,21,22,23,24,25,26,27,28,29,30}-1)*LEN(Registro!$E29)+1,LEN(Registro!$E29)))&amp;"x")-1))),"Revisar formato")))</f>
        <v>45</v>
      </c>
      <c r="E29" s="11">
        <f>IF(Registro!$E29="","",IF(ISERROR(FIND("x",LOWER(Registro!$E29))),"-",IFERROR(SUMPRODUCT(--("0"&amp;LEFT(TRIM(MID(SUBSTITUTE(SUBSTITUTE(SUBSTITUTE(SUBSTITUTE(SUBSTITUTE(LOWER(Registro!$E29),"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",LEN(Registro!$E29))),({1,2,3,4,5,6,7,8,9,10,11,12,13,14,15,16,17,18,19,20,21,22,23,24,25,26,27,28,29,30}-1)*LEN(Registro!$E29)+1,LEN(Registro!$E29)))&amp;"x")-1)),--("0"&amp;MID(TRIM(MID(SUBSTITUTE(SUBSTITUTE(SUBSTITUTE(SUBSTITUTE(SUBSTITUTE(LOWER(Registro!$E29),"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",LEN(Registro!$E29))),({1,2,3,4,5,6,7,8,9,10,11,12,13,14,15,16,17,18,19,20,21,22,23,24,25,26,27,28,29,30}-1)*LEN(Registro!$E29)+1,LEN(Registro!$E29)))&amp;"x")+1,20))),"Revisar formato")))</f>
        <v>2230</v>
      </c>
      <c r="F29" s="11" t="str">
        <f>IF(Registro!$F29="","",N(Registro!$F29))</f>
        <v/>
      </c>
      <c r="G29" s="11">
        <f t="shared" si="1"/>
        <v>2230</v>
      </c>
      <c r="H29" s="10">
        <f>IF(Registro!$G29="","",IF(ISERROR(FIND("x",LOWER(Registro!$G29))),"-",IFERROR(SUMPRODUCT(--("0"&amp;LEFT(TRIM(MID(SUBSTITUTE(SUBSTITUTE(SUBSTITUTE(SUBSTITUTE(SUBSTITUTE(LOWER(Registro!$G29),"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",LEN(Registro!$G29))),({1,2,3,4,5,6,7,8,9,10,11,12,13,14,15,16,17,18,19,20,21,22,23,24,25,26,27,28,29,30}-1)*LEN(Registro!$G29)+1,LEN(Registro!$G29))),FIND("x",TRIM(MID(SUBSTITUTE(SUBSTITUTE(SUBSTITUTE(SUBSTITUTE(SUBSTITUTE(LOWER(Registro!$G29),"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",LEN(Registro!$G29))),({1,2,3,4,5,6,7,8,9,10,11,12,13,14,15,16,17,18,19,20,21,22,23,24,25,26,27,28,29,30}-1)*LEN(Registro!$G29)+1,LEN(Registro!$G29)))&amp;"x")-1))),"Revisar formato")))</f>
        <v>1</v>
      </c>
      <c r="I29" s="11">
        <f>IF(Registro!$G29="","",IF(ISERROR(FIND("x",LOWER(Registro!$G29))),N(Registro!$H29),IFERROR(SUMPRODUCT(--("0"&amp;LEFT(TRIM(MID(SUBSTITUTE(SUBSTITUTE(SUBSTITUTE(SUBSTITUTE(SUBSTITUTE(LOWER(Registro!$G29),"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",LEN(Registro!$G29))),({1,2,3,4,5,6,7,8,9,10,11,12,13,14,15,16,17,18,19,20,21,22,23,24,25,26,27,28,29,30}-1)*LEN(Registro!$G29)+1,LEN(Registro!$G29))),FIND("x",TRIM(MID(SUBSTITUTE(SUBSTITUTE(SUBSTITUTE(SUBSTITUTE(SUBSTITUTE(LOWER(Registro!$G29),"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",LEN(Registro!$G29))),({1,2,3,4,5,6,7,8,9,10,11,12,13,14,15,16,17,18,19,20,21,22,23,24,25,26,27,28,29,30}-1)*LEN(Registro!$G29)+1,LEN(Registro!$G29)))&amp;"x")-1)),--("0"&amp;MID(TRIM(MID(SUBSTITUTE(SUBSTITUTE(SUBSTITUTE(SUBSTITUTE(SUBSTITUTE(LOWER(Registro!$G29),"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",LEN(Registro!$G29))),({1,2,3,4,5,6,7,8,9,10,11,12,13,14,15,16,17,18,19,20,21,22,23,24,25,26,27,28,29,30}-1)*LEN(Registro!$G29)+1,LEN(Registro!$G29))),FIND("x",TRIM(MID(SUBSTITUTE(SUBSTITUTE(SUBSTITUTE(SUBSTITUTE(SUBSTITUTE(LOWER(Registro!$G29),"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",LEN(Registro!$G29))),({1,2,3,4,5,6,7,8,9,10,11,12,13,14,15,16,17,18,19,20,21,22,23,24,25,26,27,28,29,30}-1)*LEN(Registro!$G29)+1,LEN(Registro!$G29)))&amp;"x")+1,20))),"Revisar formato")))</f>
        <v>3860</v>
      </c>
      <c r="J29" s="9" t="str">
        <f>IF(AND(Registro!$E29="",Registro!$G29=""),"",IF(NOT(AND(ISNUMBER(I29),ISNUMBER(Registro!$H29))),"",IF(I29&lt;Registro!$H29,"FALTA BOLETOS",IF(I29=Registro!$H29,"CONFORME","DIFERENCIA"))))</f>
        <v>CONFORME</v>
      </c>
      <c r="K29" s="11">
        <f>IF(Registro!$I29="","",IFERROR(SUMPRODUCT(--("0"&amp;TRIM(RIGHT(SUBSTITUTE(TRIM(MID(SUBSTITUTE(SUBSTITUTE(Registro!$I29,";",CHAR(10)),CHAR(10),REPT(" ",LEN(Registro!$I29))),({1,2,3,4,5,6,7,8,9,10,11,12,13,14,15,16,17,18,19,20,21,22,23,24,25,26,27,28,29,30}-1)*LEN(Registro!$I29)+1,LEN(Registro!$I29)))," ",REPT(" ",50)),50)))),"Revisar formato"))</f>
        <v>100</v>
      </c>
      <c r="L29" s="11" t="str">
        <f>IF(Registro!$J29="","",IFERROR(SUMPRODUCT(--("0"&amp;TRIM(RIGHT(SUBSTITUTE(TRIM(MID(SUBSTITUTE(SUBSTITUTE(Registro!$J29,";",CHAR(10)),CHAR(10),REPT(" ",LEN(Registro!$J29))),({1,2,3,4,5,6,7,8,9,10,11,12,13,14,15,16,17,18,19,20,21,22,23,24,25,26,27,28,29,30}-1)*LEN(Registro!$J29)+1,LEN(Registro!$J29)))," ",REPT(" ",50)),50)))),"Revisar formato"))</f>
        <v/>
      </c>
      <c r="M29" s="11">
        <f>IF(AND(Registro!$H29="",Registro!$I29=""),"",IF(AND(ISTEXT(K29),K29&lt;&gt;""),"Revisar formato",N(Registro!$H29)-N(K29)))</f>
        <v>3760</v>
      </c>
      <c r="N29" s="11">
        <f t="shared" si="2"/>
        <v>3760</v>
      </c>
      <c r="O29" s="15" t="str">
        <f>IF(AND(A29=Consulta!$B$3,C29=Consulta!$H$3),B29*10000+ROW(),"")</f>
        <v/>
      </c>
    </row>
    <row r="30" spans="1:15" x14ac:dyDescent="0.25">
      <c r="A30" s="9" t="str">
        <f>IF(Registro!$A30="","",Registro!$A30)</f>
        <v>PIN</v>
      </c>
      <c r="B30" s="8">
        <f>IF(Registro!$B30="","",Registro!$B30)</f>
        <v>46300</v>
      </c>
      <c r="C30" s="14">
        <f t="shared" si="0"/>
        <v>202610</v>
      </c>
      <c r="D30" s="10">
        <f>IF(Registro!$E30="","",IF(ISERROR(FIND("x",LOWER(Registro!$E30))),"-",IFERROR(SUMPRODUCT(--("0"&amp;LEFT(TRIM(MID(SUBSTITUTE(SUBSTITUTE(SUBSTITUTE(SUBSTITUTE(SUBSTITUTE(LOWER(Registro!$E30),"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",LEN(Registro!$E30))),({1,2,3,4,5,6,7,8,9,10,11,12,13,14,15,16,17,18,19,20,21,22,23,24,25,26,27,28,29,30}-1)*LEN(Registro!$E30)+1,LEN(Registro!$E30)))&amp;"x")-1))),"Revisar formato")))</f>
        <v>49</v>
      </c>
      <c r="E30" s="11">
        <f>IF(Registro!$E30="","",IF(ISERROR(FIND("x",LOWER(Registro!$E30))),"-",IFERROR(SUMPRODUCT(--("0"&amp;LEFT(TRIM(MID(SUBSTITUTE(SUBSTITUTE(SUBSTITUTE(SUBSTITUTE(SUBSTITUTE(LOWER(Registro!$E30),"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",LEN(Registro!$E30))),({1,2,3,4,5,6,7,8,9,10,11,12,13,14,15,16,17,18,19,20,21,22,23,24,25,26,27,28,29,30}-1)*LEN(Registro!$E30)+1,LEN(Registro!$E30)))&amp;"x")-1)),--("0"&amp;MID(TRIM(MID(SUBSTITUTE(SUBSTITUTE(SUBSTITUTE(SUBSTITUTE(SUBSTITUTE(LOWER(Registro!$E30),"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",LEN(Registro!$E30))),({1,2,3,4,5,6,7,8,9,10,11,12,13,14,15,16,17,18,19,20,21,22,23,24,25,26,27,28,29,30}-1)*LEN(Registro!$E30)+1,LEN(Registro!$E30)))&amp;"x")+1,20))),"Revisar formato")))</f>
        <v>2190</v>
      </c>
      <c r="F30" s="11" t="str">
        <f>IF(Registro!$F30="","",N(Registro!$F30))</f>
        <v/>
      </c>
      <c r="G30" s="11">
        <f t="shared" si="1"/>
        <v>2190</v>
      </c>
      <c r="H30" s="10">
        <f>IF(Registro!$G30="","",IF(ISERROR(FIND("x",LOWER(Registro!$G30))),"-",IFERROR(SUMPRODUCT(--("0"&amp;LEFT(TRIM(MID(SUBSTITUTE(SUBSTITUTE(SUBSTITUTE(SUBSTITUTE(SUBSTITUTE(LOWER(Registro!$G30),"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",LEN(Registro!$G30))),({1,2,3,4,5,6,7,8,9,10,11,12,13,14,15,16,17,18,19,20,21,22,23,24,25,26,27,28,29,30}-1)*LEN(Registro!$G30)+1,LEN(Registro!$G30))),FIND("x",TRIM(MID(SUBSTITUTE(SUBSTITUTE(SUBSTITUTE(SUBSTITUTE(SUBSTITUTE(LOWER(Registro!$G30),"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",LEN(Registro!$G30))),({1,2,3,4,5,6,7,8,9,10,11,12,13,14,15,16,17,18,19,20,21,22,23,24,25,26,27,28,29,30}-1)*LEN(Registro!$G30)+1,LEN(Registro!$G30)))&amp;"x")-1))),"Revisar formato")))</f>
        <v>1</v>
      </c>
      <c r="I30" s="11">
        <f>IF(Registro!$G30="","",IF(ISERROR(FIND("x",LOWER(Registro!$G30))),N(Registro!$H30),IFERROR(SUMPRODUCT(--("0"&amp;LEFT(TRIM(MID(SUBSTITUTE(SUBSTITUTE(SUBSTITUTE(SUBSTITUTE(SUBSTITUTE(LOWER(Registro!$G30),"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",LEN(Registro!$G30))),({1,2,3,4,5,6,7,8,9,10,11,12,13,14,15,16,17,18,19,20,21,22,23,24,25,26,27,28,29,30}-1)*LEN(Registro!$G30)+1,LEN(Registro!$G30))),FIND("x",TRIM(MID(SUBSTITUTE(SUBSTITUTE(SUBSTITUTE(SUBSTITUTE(SUBSTITUTE(LOWER(Registro!$G30),"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",LEN(Registro!$G30))),({1,2,3,4,5,6,7,8,9,10,11,12,13,14,15,16,17,18,19,20,21,22,23,24,25,26,27,28,29,30}-1)*LEN(Registro!$G30)+1,LEN(Registro!$G30)))&amp;"x")-1)),--("0"&amp;MID(TRIM(MID(SUBSTITUTE(SUBSTITUTE(SUBSTITUTE(SUBSTITUTE(SUBSTITUTE(LOWER(Registro!$G30),"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",LEN(Registro!$G30))),({1,2,3,4,5,6,7,8,9,10,11,12,13,14,15,16,17,18,19,20,21,22,23,24,25,26,27,28,29,30}-1)*LEN(Registro!$G30)+1,LEN(Registro!$G30))),FIND("x",TRIM(MID(SUBSTITUTE(SUBSTITUTE(SUBSTITUTE(SUBSTITUTE(SUBSTITUTE(LOWER(Registro!$G30),"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",LEN(Registro!$G30))),({1,2,3,4,5,6,7,8,9,10,11,12,13,14,15,16,17,18,19,20,21,22,23,24,25,26,27,28,29,30}-1)*LEN(Registro!$G30)+1,LEN(Registro!$G30)))&amp;"x")+1,20))),"Revisar formato")))</f>
        <v>2685</v>
      </c>
      <c r="J30" s="9" t="str">
        <f>IF(AND(Registro!$E30="",Registro!$G30=""),"",IF(NOT(AND(ISNUMBER(I30),ISNUMBER(Registro!$H30))),"",IF(I30&lt;Registro!$H30,"FALTA BOLETOS",IF(I30=Registro!$H30,"CONFORME","DIFERENCIA"))))</f>
        <v>CONFORME</v>
      </c>
      <c r="K30" s="11">
        <f>IF(Registro!$I30="","",IFERROR(SUMPRODUCT(--("0"&amp;TRIM(RIGHT(SUBSTITUTE(TRIM(MID(SUBSTITUTE(SUBSTITUTE(Registro!$I30,";",CHAR(10)),CHAR(10),REPT(" ",LEN(Registro!$I30))),({1,2,3,4,5,6,7,8,9,10,11,12,13,14,15,16,17,18,19,20,21,22,23,24,25,26,27,28,29,30}-1)*LEN(Registro!$I30)+1,LEN(Registro!$I30)))," ",REPT(" ",50)),50)))),"Revisar formato"))</f>
        <v>265</v>
      </c>
      <c r="L30" s="11" t="str">
        <f>IF(Registro!$J30="","",IFERROR(SUMPRODUCT(--("0"&amp;TRIM(RIGHT(SUBSTITUTE(TRIM(MID(SUBSTITUTE(SUBSTITUTE(Registro!$J30,";",CHAR(10)),CHAR(10),REPT(" ",LEN(Registro!$J30))),({1,2,3,4,5,6,7,8,9,10,11,12,13,14,15,16,17,18,19,20,21,22,23,24,25,26,27,28,29,30}-1)*LEN(Registro!$J30)+1,LEN(Registro!$J30)))," ",REPT(" ",50)),50)))),"Revisar formato"))</f>
        <v/>
      </c>
      <c r="M30" s="11">
        <f>IF(AND(Registro!$H30="",Registro!$I30=""),"",IF(AND(ISTEXT(K30),K30&lt;&gt;""),"Revisar formato",N(Registro!$H30)-N(K30)))</f>
        <v>2420</v>
      </c>
      <c r="N30" s="11">
        <f t="shared" si="2"/>
        <v>2420</v>
      </c>
      <c r="O30" s="15" t="str">
        <f>IF(AND(A30=Consulta!$B$3,C30=Consulta!$H$3),B30*10000+ROW(),"")</f>
        <v/>
      </c>
    </row>
    <row r="31" spans="1:15" x14ac:dyDescent="0.25">
      <c r="A31" s="9" t="str">
        <f>IF(Registro!$A31="","",Registro!$A31)</f>
        <v>PIN</v>
      </c>
      <c r="B31" s="8">
        <f>IF(Registro!$B31="","",Registro!$B31)</f>
        <v>46302</v>
      </c>
      <c r="C31" s="14">
        <f t="shared" si="0"/>
        <v>202610</v>
      </c>
      <c r="D31" s="10">
        <f>IF(Registro!$E31="","",IF(ISERROR(FIND("x",LOWER(Registro!$E31))),"-",IFERROR(SUMPRODUCT(--("0"&amp;LEFT(TRIM(MID(SUBSTITUTE(SUBSTITUTE(SUBSTITUTE(SUBSTITUTE(SUBSTITUTE(LOWER(Registro!$E31),"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",LEN(Registro!$E31))),({1,2,3,4,5,6,7,8,9,10,11,12,13,14,15,16,17,18,19,20,21,22,23,24,25,26,27,28,29,30}-1)*LEN(Registro!$E31)+1,LEN(Registro!$E31)))&amp;"x")-1))),"Revisar formato")))</f>
        <v>50</v>
      </c>
      <c r="E31" s="11">
        <f>IF(Registro!$E31="","",IF(ISERROR(FIND("x",LOWER(Registro!$E31))),"-",IFERROR(SUMPRODUCT(--("0"&amp;LEFT(TRIM(MID(SUBSTITUTE(SUBSTITUTE(SUBSTITUTE(SUBSTITUTE(SUBSTITUTE(LOWER(Registro!$E31),"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",LEN(Registro!$E31))),({1,2,3,4,5,6,7,8,9,10,11,12,13,14,15,16,17,18,19,20,21,22,23,24,25,26,27,28,29,30}-1)*LEN(Registro!$E31)+1,LEN(Registro!$E31)))&amp;"x")-1)),--("0"&amp;MID(TRIM(MID(SUBSTITUTE(SUBSTITUTE(SUBSTITUTE(SUBSTITUTE(SUBSTITUTE(LOWER(Registro!$E31),"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",LEN(Registro!$E31))),({1,2,3,4,5,6,7,8,9,10,11,12,13,14,15,16,17,18,19,20,21,22,23,24,25,26,27,28,29,30}-1)*LEN(Registro!$E31)+1,LEN(Registro!$E31)))&amp;"x")+1,20))),"Revisar formato")))</f>
        <v>2610</v>
      </c>
      <c r="F31" s="11" t="str">
        <f>IF(Registro!$F31="","",N(Registro!$F31))</f>
        <v/>
      </c>
      <c r="G31" s="11">
        <f t="shared" si="1"/>
        <v>2610</v>
      </c>
      <c r="H31" s="10">
        <f>IF(Registro!$G31="","",IF(ISERROR(FIND("x",LOWER(Registro!$G31))),"-",IFERROR(SUMPRODUCT(--("0"&amp;LEFT(TRIM(MID(SUBSTITUTE(SUBSTITUTE(SUBSTITUTE(SUBSTITUTE(SUBSTITUTE(LOWER(Registro!$G31),"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",LEN(Registro!$G31))),({1,2,3,4,5,6,7,8,9,10,11,12,13,14,15,16,17,18,19,20,21,22,23,24,25,26,27,28,29,30}-1)*LEN(Registro!$G31)+1,LEN(Registro!$G31))),FIND("x",TRIM(MID(SUBSTITUTE(SUBSTITUTE(SUBSTITUTE(SUBSTITUTE(SUBSTITUTE(LOWER(Registro!$G31),"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",LEN(Registro!$G31))),({1,2,3,4,5,6,7,8,9,10,11,12,13,14,15,16,17,18,19,20,21,22,23,24,25,26,27,28,29,30}-1)*LEN(Registro!$G31)+1,LEN(Registro!$G31)))&amp;"x")-1))),"Revisar formato")))</f>
        <v>1</v>
      </c>
      <c r="I31" s="11">
        <f>IF(Registro!$G31="","",IF(ISERROR(FIND("x",LOWER(Registro!$G31))),N(Registro!$H31),IFERROR(SUMPRODUCT(--("0"&amp;LEFT(TRIM(MID(SUBSTITUTE(SUBSTITUTE(SUBSTITUTE(SUBSTITUTE(SUBSTITUTE(LOWER(Registro!$G31),"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",LEN(Registro!$G31))),({1,2,3,4,5,6,7,8,9,10,11,12,13,14,15,16,17,18,19,20,21,22,23,24,25,26,27,28,29,30}-1)*LEN(Registro!$G31)+1,LEN(Registro!$G31))),FIND("x",TRIM(MID(SUBSTITUTE(SUBSTITUTE(SUBSTITUTE(SUBSTITUTE(SUBSTITUTE(LOWER(Registro!$G31),"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",LEN(Registro!$G31))),({1,2,3,4,5,6,7,8,9,10,11,12,13,14,15,16,17,18,19,20,21,22,23,24,25,26,27,28,29,30}-1)*LEN(Registro!$G31)+1,LEN(Registro!$G31)))&amp;"x")-1)),--("0"&amp;MID(TRIM(MID(SUBSTITUTE(SUBSTITUTE(SUBSTITUTE(SUBSTITUTE(SUBSTITUTE(LOWER(Registro!$G31),"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",LEN(Registro!$G31))),({1,2,3,4,5,6,7,8,9,10,11,12,13,14,15,16,17,18,19,20,21,22,23,24,25,26,27,28,29,30}-1)*LEN(Registro!$G31)+1,LEN(Registro!$G31))),FIND("x",TRIM(MID(SUBSTITUTE(SUBSTITUTE(SUBSTITUTE(SUBSTITUTE(SUBSTITUTE(LOWER(Registro!$G31),"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",LEN(Registro!$G31))),({1,2,3,4,5,6,7,8,9,10,11,12,13,14,15,16,17,18,19,20,21,22,23,24,25,26,27,28,29,30}-1)*LEN(Registro!$G31)+1,LEN(Registro!$G31)))&amp;"x")+1,20))),"Revisar formato")))</f>
        <v>2235</v>
      </c>
      <c r="J31" s="9" t="str">
        <f>IF(AND(Registro!$E31="",Registro!$G31=""),"",IF(NOT(AND(ISNUMBER(I31),ISNUMBER(Registro!$H31))),"",IF(I31&lt;Registro!$H31,"FALTA BOLETOS",IF(I31=Registro!$H31,"CONFORME","DIFERENCIA"))))</f>
        <v>CONFORME</v>
      </c>
      <c r="K31" s="11">
        <f>IF(Registro!$I31="","",IFERROR(SUMPRODUCT(--("0"&amp;TRIM(RIGHT(SUBSTITUTE(TRIM(MID(SUBSTITUTE(SUBSTITUTE(Registro!$I31,";",CHAR(10)),CHAR(10),REPT(" ",LEN(Registro!$I31))),({1,2,3,4,5,6,7,8,9,10,11,12,13,14,15,16,17,18,19,20,21,22,23,24,25,26,27,28,29,30}-1)*LEN(Registro!$I31)+1,LEN(Registro!$I31)))," ",REPT(" ",50)),50)))),"Revisar formato"))</f>
        <v>172</v>
      </c>
      <c r="L31" s="11" t="str">
        <f>IF(Registro!$J31="","",IFERROR(SUMPRODUCT(--("0"&amp;TRIM(RIGHT(SUBSTITUTE(TRIM(MID(SUBSTITUTE(SUBSTITUTE(Registro!$J31,";",CHAR(10)),CHAR(10),REPT(" ",LEN(Registro!$J31))),({1,2,3,4,5,6,7,8,9,10,11,12,13,14,15,16,17,18,19,20,21,22,23,24,25,26,27,28,29,30}-1)*LEN(Registro!$J31)+1,LEN(Registro!$J31)))," ",REPT(" ",50)),50)))),"Revisar formato"))</f>
        <v/>
      </c>
      <c r="M31" s="11">
        <f>IF(AND(Registro!$H31="",Registro!$I31=""),"",IF(AND(ISTEXT(K31),K31&lt;&gt;""),"Revisar formato",N(Registro!$H31)-N(K31)))</f>
        <v>2063</v>
      </c>
      <c r="N31" s="11">
        <f t="shared" si="2"/>
        <v>2063</v>
      </c>
      <c r="O31" s="15" t="str">
        <f>IF(AND(A31=Consulta!$B$3,C31=Consulta!$H$3),B31*10000+ROW(),"")</f>
        <v/>
      </c>
    </row>
    <row r="32" spans="1:15" x14ac:dyDescent="0.25">
      <c r="A32" s="9" t="str">
        <f>IF(Registro!$A32="","",Registro!$A32)</f>
        <v>PIN</v>
      </c>
      <c r="B32" s="8">
        <f>IF(Registro!$B32="","",Registro!$B32)</f>
        <v>46303</v>
      </c>
      <c r="C32" s="14">
        <f t="shared" si="0"/>
        <v>202610</v>
      </c>
      <c r="D32" s="10">
        <f>IF(Registro!$E32="","",IF(ISERROR(FIND("x",LOWER(Registro!$E32))),"-",IFERROR(SUMPRODUCT(--("0"&amp;LEFT(TRIM(MID(SUBSTITUTE(SUBSTITUTE(SUBSTITUTE(SUBSTITUTE(SUBSTITUTE(LOWER(Registro!$E32),"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",LEN(Registro!$E32))),({1,2,3,4,5,6,7,8,9,10,11,12,13,14,15,16,17,18,19,20,21,22,23,24,25,26,27,28,29,30}-1)*LEN(Registro!$E32)+1,LEN(Registro!$E32)))&amp;"x")-1))),"Revisar formato")))</f>
        <v>32</v>
      </c>
      <c r="E32" s="11">
        <f>IF(Registro!$E32="","",IF(ISERROR(FIND("x",LOWER(Registro!$E32))),"-",IFERROR(SUMPRODUCT(--("0"&amp;LEFT(TRIM(MID(SUBSTITUTE(SUBSTITUTE(SUBSTITUTE(SUBSTITUTE(SUBSTITUTE(LOWER(Registro!$E32),"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",LEN(Registro!$E32))),({1,2,3,4,5,6,7,8,9,10,11,12,13,14,15,16,17,18,19,20,21,22,23,24,25,26,27,28,29,30}-1)*LEN(Registro!$E32)+1,LEN(Registro!$E32)))&amp;"x")-1)),--("0"&amp;MID(TRIM(MID(SUBSTITUTE(SUBSTITUTE(SUBSTITUTE(SUBSTITUTE(SUBSTITUTE(LOWER(Registro!$E32),"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",LEN(Registro!$E32))),({1,2,3,4,5,6,7,8,9,10,11,12,13,14,15,16,17,18,19,20,21,22,23,24,25,26,27,28,29,30}-1)*LEN(Registro!$E32)+1,LEN(Registro!$E32)))&amp;"x")+1,20))),"Revisar formato")))</f>
        <v>1780</v>
      </c>
      <c r="F32" s="11" t="str">
        <f>IF(Registro!$F32="","",N(Registro!$F32))</f>
        <v/>
      </c>
      <c r="G32" s="11">
        <f t="shared" si="1"/>
        <v>1780</v>
      </c>
      <c r="H32" s="10">
        <f>IF(Registro!$G32="","",IF(ISERROR(FIND("x",LOWER(Registro!$G32))),"-",IFERROR(SUMPRODUCT(--("0"&amp;LEFT(TRIM(MID(SUBSTITUTE(SUBSTITUTE(SUBSTITUTE(SUBSTITUTE(SUBSTITUTE(LOWER(Registro!$G32),"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",LEN(Registro!$G32))),({1,2,3,4,5,6,7,8,9,10,11,12,13,14,15,16,17,18,19,20,21,22,23,24,25,26,27,28,29,30}-1)*LEN(Registro!$G32)+1,LEN(Registro!$G32))),FIND("x",TRIM(MID(SUBSTITUTE(SUBSTITUTE(SUBSTITUTE(SUBSTITUTE(SUBSTITUTE(LOWER(Registro!$G32),"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",LEN(Registro!$G32))),({1,2,3,4,5,6,7,8,9,10,11,12,13,14,15,16,17,18,19,20,21,22,23,24,25,26,27,28,29,30}-1)*LEN(Registro!$G32)+1,LEN(Registro!$G32)))&amp;"x")-1))),"Revisar formato")))</f>
        <v>1</v>
      </c>
      <c r="I32" s="11">
        <f>IF(Registro!$G32="","",IF(ISERROR(FIND("x",LOWER(Registro!$G32))),N(Registro!$H32),IFERROR(SUMPRODUCT(--("0"&amp;LEFT(TRIM(MID(SUBSTITUTE(SUBSTITUTE(SUBSTITUTE(SUBSTITUTE(SUBSTITUTE(LOWER(Registro!$G32),"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",LEN(Registro!$G32))),({1,2,3,4,5,6,7,8,9,10,11,12,13,14,15,16,17,18,19,20,21,22,23,24,25,26,27,28,29,30}-1)*LEN(Registro!$G32)+1,LEN(Registro!$G32))),FIND("x",TRIM(MID(SUBSTITUTE(SUBSTITUTE(SUBSTITUTE(SUBSTITUTE(SUBSTITUTE(LOWER(Registro!$G32),"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",LEN(Registro!$G32))),({1,2,3,4,5,6,7,8,9,10,11,12,13,14,15,16,17,18,19,20,21,22,23,24,25,26,27,28,29,30}-1)*LEN(Registro!$G32)+1,LEN(Registro!$G32)))&amp;"x")-1)),--("0"&amp;MID(TRIM(MID(SUBSTITUTE(SUBSTITUTE(SUBSTITUTE(SUBSTITUTE(SUBSTITUTE(LOWER(Registro!$G32),"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",LEN(Registro!$G32))),({1,2,3,4,5,6,7,8,9,10,11,12,13,14,15,16,17,18,19,20,21,22,23,24,25,26,27,28,29,30}-1)*LEN(Registro!$G32)+1,LEN(Registro!$G32))),FIND("x",TRIM(MID(SUBSTITUTE(SUBSTITUTE(SUBSTITUTE(SUBSTITUTE(SUBSTITUTE(LOWER(Registro!$G32),"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",LEN(Registro!$G32))),({1,2,3,4,5,6,7,8,9,10,11,12,13,14,15,16,17,18,19,20,21,22,23,24,25,26,27,28,29,30}-1)*LEN(Registro!$G32)+1,LEN(Registro!$G32)))&amp;"x")+1,20))),"Revisar formato")))</f>
        <v>3300</v>
      </c>
      <c r="J32" s="9" t="str">
        <f>IF(AND(Registro!$E32="",Registro!$G32=""),"",IF(NOT(AND(ISNUMBER(I32),ISNUMBER(Registro!$H32))),"",IF(I32&lt;Registro!$H32,"FALTA BOLETOS",IF(I32=Registro!$H32,"CONFORME","DIFERENCIA"))))</f>
        <v>CONFORME</v>
      </c>
      <c r="K32" s="11">
        <f>IF(Registro!$I32="","",IFERROR(SUMPRODUCT(--("0"&amp;TRIM(RIGHT(SUBSTITUTE(TRIM(MID(SUBSTITUTE(SUBSTITUTE(Registro!$I32,";",CHAR(10)),CHAR(10),REPT(" ",LEN(Registro!$I32))),({1,2,3,4,5,6,7,8,9,10,11,12,13,14,15,16,17,18,19,20,21,22,23,24,25,26,27,28,29,30}-1)*LEN(Registro!$I32)+1,LEN(Registro!$I32)))," ",REPT(" ",50)),50)))),"Revisar formato"))</f>
        <v>180</v>
      </c>
      <c r="L32" s="11" t="str">
        <f>IF(Registro!$J32="","",IFERROR(SUMPRODUCT(--("0"&amp;TRIM(RIGHT(SUBSTITUTE(TRIM(MID(SUBSTITUTE(SUBSTITUTE(Registro!$J32,";",CHAR(10)),CHAR(10),REPT(" ",LEN(Registro!$J32))),({1,2,3,4,5,6,7,8,9,10,11,12,13,14,15,16,17,18,19,20,21,22,23,24,25,26,27,28,29,30}-1)*LEN(Registro!$J32)+1,LEN(Registro!$J32)))," ",REPT(" ",50)),50)))),"Revisar formato"))</f>
        <v/>
      </c>
      <c r="M32" s="11">
        <f>IF(AND(Registro!$H32="",Registro!$I32=""),"",IF(AND(ISTEXT(K32),K32&lt;&gt;""),"Revisar formato",N(Registro!$H32)-N(K32)))</f>
        <v>3120</v>
      </c>
      <c r="N32" s="11">
        <f t="shared" si="2"/>
        <v>3120</v>
      </c>
      <c r="O32" s="15" t="str">
        <f>IF(AND(A32=Consulta!$B$3,C32=Consulta!$H$3),B32*10000+ROW(),"")</f>
        <v/>
      </c>
    </row>
    <row r="33" spans="1:15" x14ac:dyDescent="0.25">
      <c r="A33" s="9" t="str">
        <f>IF(Registro!$A33="","",Registro!$A33)</f>
        <v>PIN</v>
      </c>
      <c r="B33" s="8">
        <f>IF(Registro!$B33="","",Registro!$B33)</f>
        <v>46304</v>
      </c>
      <c r="C33" s="14">
        <f t="shared" si="0"/>
        <v>202610</v>
      </c>
      <c r="D33" s="10">
        <f>IF(Registro!$E33="","",IF(ISERROR(FIND("x",LOWER(Registro!$E33))),"-",IFERROR(SUMPRODUCT(--("0"&amp;LEFT(TRIM(MID(SUBSTITUTE(SUBSTITUTE(SUBSTITUTE(SUBSTITUTE(SUBSTITUTE(LOWER(Registro!$E33),"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",LEN(Registro!$E33))),({1,2,3,4,5,6,7,8,9,10,11,12,13,14,15,16,17,18,19,20,21,22,23,24,25,26,27,28,29,30}-1)*LEN(Registro!$E33)+1,LEN(Registro!$E33)))&amp;"x")-1))),"Revisar formato")))</f>
        <v>58</v>
      </c>
      <c r="E33" s="11">
        <f>IF(Registro!$E33="","",IF(ISERROR(FIND("x",LOWER(Registro!$E33))),"-",IFERROR(SUMPRODUCT(--("0"&amp;LEFT(TRIM(MID(SUBSTITUTE(SUBSTITUTE(SUBSTITUTE(SUBSTITUTE(SUBSTITUTE(LOWER(Registro!$E33),"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",LEN(Registro!$E33))),({1,2,3,4,5,6,7,8,9,10,11,12,13,14,15,16,17,18,19,20,21,22,23,24,25,26,27,28,29,30}-1)*LEN(Registro!$E33)+1,LEN(Registro!$E33)))&amp;"x")-1)),--("0"&amp;MID(TRIM(MID(SUBSTITUTE(SUBSTITUTE(SUBSTITUTE(SUBSTITUTE(SUBSTITUTE(LOWER(Registro!$E33),"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",LEN(Registro!$E33))),({1,2,3,4,5,6,7,8,9,10,11,12,13,14,15,16,17,18,19,20,21,22,23,24,25,26,27,28,29,30}-1)*LEN(Registro!$E33)+1,LEN(Registro!$E33)))&amp;"x")+1,20))),"Revisar formato")))</f>
        <v>2750</v>
      </c>
      <c r="F33" s="11" t="str">
        <f>IF(Registro!$F33="","",N(Registro!$F33))</f>
        <v/>
      </c>
      <c r="G33" s="11">
        <f t="shared" si="1"/>
        <v>2750</v>
      </c>
      <c r="H33" s="10">
        <f>IF(Registro!$G33="","",IF(ISERROR(FIND("x",LOWER(Registro!$G33))),"-",IFERROR(SUMPRODUCT(--("0"&amp;LEFT(TRIM(MID(SUBSTITUTE(SUBSTITUTE(SUBSTITUTE(SUBSTITUTE(SUBSTITUTE(LOWER(Registro!$G33),"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",LEN(Registro!$G33))),({1,2,3,4,5,6,7,8,9,10,11,12,13,14,15,16,17,18,19,20,21,22,23,24,25,26,27,28,29,30}-1)*LEN(Registro!$G33)+1,LEN(Registro!$G33))),FIND("x",TRIM(MID(SUBSTITUTE(SUBSTITUTE(SUBSTITUTE(SUBSTITUTE(SUBSTITUTE(LOWER(Registro!$G33),"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",LEN(Registro!$G33))),({1,2,3,4,5,6,7,8,9,10,11,12,13,14,15,16,17,18,19,20,21,22,23,24,25,26,27,28,29,30}-1)*LEN(Registro!$G33)+1,LEN(Registro!$G33)))&amp;"x")-1))),"Revisar formato")))</f>
        <v>1</v>
      </c>
      <c r="I33" s="11">
        <f>IF(Registro!$G33="","",IF(ISERROR(FIND("x",LOWER(Registro!$G33))),N(Registro!$H33),IFERROR(SUMPRODUCT(--("0"&amp;LEFT(TRIM(MID(SUBSTITUTE(SUBSTITUTE(SUBSTITUTE(SUBSTITUTE(SUBSTITUTE(LOWER(Registro!$G33),"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",LEN(Registro!$G33))),({1,2,3,4,5,6,7,8,9,10,11,12,13,14,15,16,17,18,19,20,21,22,23,24,25,26,27,28,29,30}-1)*LEN(Registro!$G33)+1,LEN(Registro!$G33))),FIND("x",TRIM(MID(SUBSTITUTE(SUBSTITUTE(SUBSTITUTE(SUBSTITUTE(SUBSTITUTE(LOWER(Registro!$G33),"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",LEN(Registro!$G33))),({1,2,3,4,5,6,7,8,9,10,11,12,13,14,15,16,17,18,19,20,21,22,23,24,25,26,27,28,29,30}-1)*LEN(Registro!$G33)+1,LEN(Registro!$G33)))&amp;"x")-1)),--("0"&amp;MID(TRIM(MID(SUBSTITUTE(SUBSTITUTE(SUBSTITUTE(SUBSTITUTE(SUBSTITUTE(LOWER(Registro!$G33),"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",LEN(Registro!$G33))),({1,2,3,4,5,6,7,8,9,10,11,12,13,14,15,16,17,18,19,20,21,22,23,24,25,26,27,28,29,30}-1)*LEN(Registro!$G33)+1,LEN(Registro!$G33))),FIND("x",TRIM(MID(SUBSTITUTE(SUBSTITUTE(SUBSTITUTE(SUBSTITUTE(SUBSTITUTE(LOWER(Registro!$G33),"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",LEN(Registro!$G33))),({1,2,3,4,5,6,7,8,9,10,11,12,13,14,15,16,17,18,19,20,21,22,23,24,25,26,27,28,29,30}-1)*LEN(Registro!$G33)+1,LEN(Registro!$G33)))&amp;"x")+1,20))),"Revisar formato")))</f>
        <v>2855</v>
      </c>
      <c r="J33" s="9" t="str">
        <f>IF(AND(Registro!$E33="",Registro!$G33=""),"",IF(NOT(AND(ISNUMBER(I33),ISNUMBER(Registro!$H33))),"",IF(I33&lt;Registro!$H33,"FALTA BOLETOS",IF(I33=Registro!$H33,"CONFORME","DIFERENCIA"))))</f>
        <v>CONFORME</v>
      </c>
      <c r="K33" s="11">
        <f>IF(Registro!$I33="","",IFERROR(SUMPRODUCT(--("0"&amp;TRIM(RIGHT(SUBSTITUTE(TRIM(MID(SUBSTITUTE(SUBSTITUTE(Registro!$I33,";",CHAR(10)),CHAR(10),REPT(" ",LEN(Registro!$I33))),({1,2,3,4,5,6,7,8,9,10,11,12,13,14,15,16,17,18,19,20,21,22,23,24,25,26,27,28,29,30}-1)*LEN(Registro!$I33)+1,LEN(Registro!$I33)))," ",REPT(" ",50)),50)))),"Revisar formato"))</f>
        <v>145</v>
      </c>
      <c r="L33" s="11" t="str">
        <f>IF(Registro!$J33="","",IFERROR(SUMPRODUCT(--("0"&amp;TRIM(RIGHT(SUBSTITUTE(TRIM(MID(SUBSTITUTE(SUBSTITUTE(Registro!$J33,";",CHAR(10)),CHAR(10),REPT(" ",LEN(Registro!$J33))),({1,2,3,4,5,6,7,8,9,10,11,12,13,14,15,16,17,18,19,20,21,22,23,24,25,26,27,28,29,30}-1)*LEN(Registro!$J33)+1,LEN(Registro!$J33)))," ",REPT(" ",50)),50)))),"Revisar formato"))</f>
        <v/>
      </c>
      <c r="M33" s="11">
        <f>IF(AND(Registro!$H33="",Registro!$I33=""),"",IF(AND(ISTEXT(K33),K33&lt;&gt;""),"Revisar formato",N(Registro!$H33)-N(K33)))</f>
        <v>2710</v>
      </c>
      <c r="N33" s="11">
        <f t="shared" si="2"/>
        <v>2710</v>
      </c>
      <c r="O33" s="15" t="str">
        <f>IF(AND(A33=Consulta!$B$3,C33=Consulta!$H$3),B33*10000+ROW(),"")</f>
        <v/>
      </c>
    </row>
    <row r="34" spans="1:15" x14ac:dyDescent="0.25">
      <c r="A34" s="9" t="str">
        <f>IF(Registro!$A34="","",Registro!$A34)</f>
        <v>PIN</v>
      </c>
      <c r="B34" s="8">
        <f>IF(Registro!$B34="","",Registro!$B34)</f>
        <v>46305</v>
      </c>
      <c r="C34" s="14">
        <f t="shared" si="0"/>
        <v>202610</v>
      </c>
      <c r="D34" s="10">
        <f>IF(Registro!$E34="","",IF(ISERROR(FIND("x",LOWER(Registro!$E34))),"-",IFERROR(SUMPRODUCT(--("0"&amp;LEFT(TRIM(MID(SUBSTITUTE(SUBSTITUTE(SUBSTITUTE(SUBSTITUTE(SUBSTITUTE(LOWER(Registro!$E34),"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",LEN(Registro!$E34))),({1,2,3,4,5,6,7,8,9,10,11,12,13,14,15,16,17,18,19,20,21,22,23,24,25,26,27,28,29,30}-1)*LEN(Registro!$E34)+1,LEN(Registro!$E34)))&amp;"x")-1))),"Revisar formato")))</f>
        <v>47</v>
      </c>
      <c r="E34" s="11">
        <f>IF(Registro!$E34="","",IF(ISERROR(FIND("x",LOWER(Registro!$E34))),"-",IFERROR(SUMPRODUCT(--("0"&amp;LEFT(TRIM(MID(SUBSTITUTE(SUBSTITUTE(SUBSTITUTE(SUBSTITUTE(SUBSTITUTE(LOWER(Registro!$E34),"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",LEN(Registro!$E34))),({1,2,3,4,5,6,7,8,9,10,11,12,13,14,15,16,17,18,19,20,21,22,23,24,25,26,27,28,29,30}-1)*LEN(Registro!$E34)+1,LEN(Registro!$E34)))&amp;"x")-1)),--("0"&amp;MID(TRIM(MID(SUBSTITUTE(SUBSTITUTE(SUBSTITUTE(SUBSTITUTE(SUBSTITUTE(LOWER(Registro!$E34),"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",LEN(Registro!$E34))),({1,2,3,4,5,6,7,8,9,10,11,12,13,14,15,16,17,18,19,20,21,22,23,24,25,26,27,28,29,30}-1)*LEN(Registro!$E34)+1,LEN(Registro!$E34)))&amp;"x")+1,20))),"Revisar formato")))</f>
        <v>2080</v>
      </c>
      <c r="F34" s="11" t="str">
        <f>IF(Registro!$F34="","",N(Registro!$F34))</f>
        <v/>
      </c>
      <c r="G34" s="11">
        <f t="shared" si="1"/>
        <v>2080</v>
      </c>
      <c r="H34" s="10">
        <f>IF(Registro!$G34="","",IF(ISERROR(FIND("x",LOWER(Registro!$G34))),"-",IFERROR(SUMPRODUCT(--("0"&amp;LEFT(TRIM(MID(SUBSTITUTE(SUBSTITUTE(SUBSTITUTE(SUBSTITUTE(SUBSTITUTE(LOWER(Registro!$G34),"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",LEN(Registro!$G34))),({1,2,3,4,5,6,7,8,9,10,11,12,13,14,15,16,17,18,19,20,21,22,23,24,25,26,27,28,29,30}-1)*LEN(Registro!$G34)+1,LEN(Registro!$G34))),FIND("x",TRIM(MID(SUBSTITUTE(SUBSTITUTE(SUBSTITUTE(SUBSTITUTE(SUBSTITUTE(LOWER(Registro!$G34),"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",LEN(Registro!$G34))),({1,2,3,4,5,6,7,8,9,10,11,12,13,14,15,16,17,18,19,20,21,22,23,24,25,26,27,28,29,30}-1)*LEN(Registro!$G34)+1,LEN(Registro!$G34)))&amp;"x")-1))),"Revisar formato")))</f>
        <v>1</v>
      </c>
      <c r="I34" s="11">
        <f>IF(Registro!$G34="","",IF(ISERROR(FIND("x",LOWER(Registro!$G34))),N(Registro!$H34),IFERROR(SUMPRODUCT(--("0"&amp;LEFT(TRIM(MID(SUBSTITUTE(SUBSTITUTE(SUBSTITUTE(SUBSTITUTE(SUBSTITUTE(LOWER(Registro!$G34),"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",LEN(Registro!$G34))),({1,2,3,4,5,6,7,8,9,10,11,12,13,14,15,16,17,18,19,20,21,22,23,24,25,26,27,28,29,30}-1)*LEN(Registro!$G34)+1,LEN(Registro!$G34))),FIND("x",TRIM(MID(SUBSTITUTE(SUBSTITUTE(SUBSTITUTE(SUBSTITUTE(SUBSTITUTE(LOWER(Registro!$G34),"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",LEN(Registro!$G34))),({1,2,3,4,5,6,7,8,9,10,11,12,13,14,15,16,17,18,19,20,21,22,23,24,25,26,27,28,29,30}-1)*LEN(Registro!$G34)+1,LEN(Registro!$G34)))&amp;"x")-1)),--("0"&amp;MID(TRIM(MID(SUBSTITUTE(SUBSTITUTE(SUBSTITUTE(SUBSTITUTE(SUBSTITUTE(LOWER(Registro!$G34),"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",LEN(Registro!$G34))),({1,2,3,4,5,6,7,8,9,10,11,12,13,14,15,16,17,18,19,20,21,22,23,24,25,26,27,28,29,30}-1)*LEN(Registro!$G34)+1,LEN(Registro!$G34))),FIND("x",TRIM(MID(SUBSTITUTE(SUBSTITUTE(SUBSTITUTE(SUBSTITUTE(SUBSTITUTE(LOWER(Registro!$G34),"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",LEN(Registro!$G34))),({1,2,3,4,5,6,7,8,9,10,11,12,13,14,15,16,17,18,19,20,21,22,23,24,25,26,27,28,29,30}-1)*LEN(Registro!$G34)+1,LEN(Registro!$G34)))&amp;"x")+1,20))),"Revisar formato")))</f>
        <v>3015</v>
      </c>
      <c r="J34" s="9" t="str">
        <f>IF(AND(Registro!$E34="",Registro!$G34=""),"",IF(NOT(AND(ISNUMBER(I34),ISNUMBER(Registro!$H34))),"",IF(I34&lt;Registro!$H34,"FALTA BOLETOS",IF(I34=Registro!$H34,"CONFORME","DIFERENCIA"))))</f>
        <v>CONFORME</v>
      </c>
      <c r="K34" s="11">
        <f>IF(Registro!$I34="","",IFERROR(SUMPRODUCT(--("0"&amp;TRIM(RIGHT(SUBSTITUTE(TRIM(MID(SUBSTITUTE(SUBSTITUTE(Registro!$I34,";",CHAR(10)),CHAR(10),REPT(" ",LEN(Registro!$I34))),({1,2,3,4,5,6,7,8,9,10,11,12,13,14,15,16,17,18,19,20,21,22,23,24,25,26,27,28,29,30}-1)*LEN(Registro!$I34)+1,LEN(Registro!$I34)))," ",REPT(" ",50)),50)))),"Revisar formato"))</f>
        <v>105</v>
      </c>
      <c r="L34" s="11" t="str">
        <f>IF(Registro!$J34="","",IFERROR(SUMPRODUCT(--("0"&amp;TRIM(RIGHT(SUBSTITUTE(TRIM(MID(SUBSTITUTE(SUBSTITUTE(Registro!$J34,";",CHAR(10)),CHAR(10),REPT(" ",LEN(Registro!$J34))),({1,2,3,4,5,6,7,8,9,10,11,12,13,14,15,16,17,18,19,20,21,22,23,24,25,26,27,28,29,30}-1)*LEN(Registro!$J34)+1,LEN(Registro!$J34)))," ",REPT(" ",50)),50)))),"Revisar formato"))</f>
        <v/>
      </c>
      <c r="M34" s="11">
        <f>IF(AND(Registro!$H34="",Registro!$I34=""),"",IF(AND(ISTEXT(K34),K34&lt;&gt;""),"Revisar formato",N(Registro!$H34)-N(K34)))</f>
        <v>2910</v>
      </c>
      <c r="N34" s="11">
        <f t="shared" si="2"/>
        <v>2910</v>
      </c>
      <c r="O34" s="15" t="str">
        <f>IF(AND(A34=Consulta!$B$3,C34=Consulta!$H$3),B34*10000+ROW(),"")</f>
        <v/>
      </c>
    </row>
    <row r="35" spans="1:15" x14ac:dyDescent="0.25">
      <c r="A35" s="9" t="str">
        <f>IF(Registro!$A35="","",Registro!$A35)</f>
        <v>PIN</v>
      </c>
      <c r="B35" s="8">
        <f>IF(Registro!$B35="","",Registro!$B35)</f>
        <v>46306</v>
      </c>
      <c r="C35" s="14">
        <f t="shared" si="0"/>
        <v>202610</v>
      </c>
      <c r="D35" s="10">
        <f>IF(Registro!$E35="","",IF(ISERROR(FIND("x",LOWER(Registro!$E35))),"-",IFERROR(SUMPRODUCT(--("0"&amp;LEFT(TRIM(MID(SUBSTITUTE(SUBSTITUTE(SUBSTITUTE(SUBSTITUTE(SUBSTITUTE(LOWER(Registro!$E35),"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",LEN(Registro!$E35))),({1,2,3,4,5,6,7,8,9,10,11,12,13,14,15,16,17,18,19,20,21,22,23,24,25,26,27,28,29,30}-1)*LEN(Registro!$E35)+1,LEN(Registro!$E35)))&amp;"x")-1))),"Revisar formato")))</f>
        <v>49</v>
      </c>
      <c r="E35" s="11">
        <f>IF(Registro!$E35="","",IF(ISERROR(FIND("x",LOWER(Registro!$E35))),"-",IFERROR(SUMPRODUCT(--("0"&amp;LEFT(TRIM(MID(SUBSTITUTE(SUBSTITUTE(SUBSTITUTE(SUBSTITUTE(SUBSTITUTE(LOWER(Registro!$E35),"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",LEN(Registro!$E35))),({1,2,3,4,5,6,7,8,9,10,11,12,13,14,15,16,17,18,19,20,21,22,23,24,25,26,27,28,29,30}-1)*LEN(Registro!$E35)+1,LEN(Registro!$E35)))&amp;"x")-1)),--("0"&amp;MID(TRIM(MID(SUBSTITUTE(SUBSTITUTE(SUBSTITUTE(SUBSTITUTE(SUBSTITUTE(LOWER(Registro!$E35),"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",LEN(Registro!$E35))),({1,2,3,4,5,6,7,8,9,10,11,12,13,14,15,16,17,18,19,20,21,22,23,24,25,26,27,28,29,30}-1)*LEN(Registro!$E35)+1,LEN(Registro!$E35)))&amp;"x")+1,20))),"Revisar formato")))</f>
        <v>2490</v>
      </c>
      <c r="F35" s="11" t="str">
        <f>IF(Registro!$F35="","",N(Registro!$F35))</f>
        <v/>
      </c>
      <c r="G35" s="11">
        <f t="shared" si="1"/>
        <v>2490</v>
      </c>
      <c r="H35" s="10">
        <f>IF(Registro!$G35="","",IF(ISERROR(FIND("x",LOWER(Registro!$G35))),"-",IFERROR(SUMPRODUCT(--("0"&amp;LEFT(TRIM(MID(SUBSTITUTE(SUBSTITUTE(SUBSTITUTE(SUBSTITUTE(SUBSTITUTE(LOWER(Registro!$G35),"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",LEN(Registro!$G35))),({1,2,3,4,5,6,7,8,9,10,11,12,13,14,15,16,17,18,19,20,21,22,23,24,25,26,27,28,29,30}-1)*LEN(Registro!$G35)+1,LEN(Registro!$G35))),FIND("x",TRIM(MID(SUBSTITUTE(SUBSTITUTE(SUBSTITUTE(SUBSTITUTE(SUBSTITUTE(LOWER(Registro!$G35),"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",LEN(Registro!$G35))),({1,2,3,4,5,6,7,8,9,10,11,12,13,14,15,16,17,18,19,20,21,22,23,24,25,26,27,28,29,30}-1)*LEN(Registro!$G35)+1,LEN(Registro!$G35)))&amp;"x")-1))),"Revisar formato")))</f>
        <v>1</v>
      </c>
      <c r="I35" s="11">
        <f>IF(Registro!$G35="","",IF(ISERROR(FIND("x",LOWER(Registro!$G35))),N(Registro!$H35),IFERROR(SUMPRODUCT(--("0"&amp;LEFT(TRIM(MID(SUBSTITUTE(SUBSTITUTE(SUBSTITUTE(SUBSTITUTE(SUBSTITUTE(LOWER(Registro!$G35),"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",LEN(Registro!$G35))),({1,2,3,4,5,6,7,8,9,10,11,12,13,14,15,16,17,18,19,20,21,22,23,24,25,26,27,28,29,30}-1)*LEN(Registro!$G35)+1,LEN(Registro!$G35))),FIND("x",TRIM(MID(SUBSTITUTE(SUBSTITUTE(SUBSTITUTE(SUBSTITUTE(SUBSTITUTE(LOWER(Registro!$G35),"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",LEN(Registro!$G35))),({1,2,3,4,5,6,7,8,9,10,11,12,13,14,15,16,17,18,19,20,21,22,23,24,25,26,27,28,29,30}-1)*LEN(Registro!$G35)+1,LEN(Registro!$G35)))&amp;"x")-1)),--("0"&amp;MID(TRIM(MID(SUBSTITUTE(SUBSTITUTE(SUBSTITUTE(SUBSTITUTE(SUBSTITUTE(LOWER(Registro!$G35),"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",LEN(Registro!$G35))),({1,2,3,4,5,6,7,8,9,10,11,12,13,14,15,16,17,18,19,20,21,22,23,24,25,26,27,28,29,30}-1)*LEN(Registro!$G35)+1,LEN(Registro!$G35))),FIND("x",TRIM(MID(SUBSTITUTE(SUBSTITUTE(SUBSTITUTE(SUBSTITUTE(SUBSTITUTE(LOWER(Registro!$G35),"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",LEN(Registro!$G35))),({1,2,3,4,5,6,7,8,9,10,11,12,13,14,15,16,17,18,19,20,21,22,23,24,25,26,27,28,29,30}-1)*LEN(Registro!$G35)+1,LEN(Registro!$G35)))&amp;"x")+1,20))),"Revisar formato")))</f>
        <v>2825</v>
      </c>
      <c r="J35" s="9" t="str">
        <f>IF(AND(Registro!$E35="",Registro!$G35=""),"",IF(NOT(AND(ISNUMBER(I35),ISNUMBER(Registro!$H35))),"",IF(I35&lt;Registro!$H35,"FALTA BOLETOS",IF(I35=Registro!$H35,"CONFORME","DIFERENCIA"))))</f>
        <v>CONFORME</v>
      </c>
      <c r="K35" s="11">
        <f>IF(Registro!$I35="","",IFERROR(SUMPRODUCT(--("0"&amp;TRIM(RIGHT(SUBSTITUTE(TRIM(MID(SUBSTITUTE(SUBSTITUTE(Registro!$I35,";",CHAR(10)),CHAR(10),REPT(" ",LEN(Registro!$I35))),({1,2,3,4,5,6,7,8,9,10,11,12,13,14,15,16,17,18,19,20,21,22,23,24,25,26,27,28,29,30}-1)*LEN(Registro!$I35)+1,LEN(Registro!$I35)))," ",REPT(" ",50)),50)))),"Revisar formato"))</f>
        <v>105</v>
      </c>
      <c r="L35" s="11" t="str">
        <f>IF(Registro!$J35="","",IFERROR(SUMPRODUCT(--("0"&amp;TRIM(RIGHT(SUBSTITUTE(TRIM(MID(SUBSTITUTE(SUBSTITUTE(Registro!$J35,";",CHAR(10)),CHAR(10),REPT(" ",LEN(Registro!$J35))),({1,2,3,4,5,6,7,8,9,10,11,12,13,14,15,16,17,18,19,20,21,22,23,24,25,26,27,28,29,30}-1)*LEN(Registro!$J35)+1,LEN(Registro!$J35)))," ",REPT(" ",50)),50)))),"Revisar formato"))</f>
        <v/>
      </c>
      <c r="M35" s="11">
        <f>IF(AND(Registro!$H35="",Registro!$I35=""),"",IF(AND(ISTEXT(K35),K35&lt;&gt;""),"Revisar formato",N(Registro!$H35)-N(K35)))</f>
        <v>2720</v>
      </c>
      <c r="N35" s="11">
        <f t="shared" si="2"/>
        <v>2720</v>
      </c>
      <c r="O35" s="15" t="str">
        <f>IF(AND(A35=Consulta!$B$3,C35=Consulta!$H$3),B35*10000+ROW(),"")</f>
        <v/>
      </c>
    </row>
    <row r="36" spans="1:15" x14ac:dyDescent="0.25">
      <c r="A36" s="9" t="str">
        <f>IF(Registro!$A36="","",Registro!$A36)</f>
        <v>PIN</v>
      </c>
      <c r="B36" s="8">
        <f>IF(Registro!$B36="","",Registro!$B36)</f>
        <v>46306</v>
      </c>
      <c r="C36" s="14">
        <f t="shared" si="0"/>
        <v>202610</v>
      </c>
      <c r="D36" s="10">
        <f>IF(Registro!$E36="","",IF(ISERROR(FIND("x",LOWER(Registro!$E36))),"-",IFERROR(SUMPRODUCT(--("0"&amp;LEFT(TRIM(MID(SUBSTITUTE(SUBSTITUTE(SUBSTITUTE(SUBSTITUTE(SUBSTITUTE(LOWER(Registro!$E36),"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",LEN(Registro!$E36))),({1,2,3,4,5,6,7,8,9,10,11,12,13,14,15,16,17,18,19,20,21,22,23,24,25,26,27,28,29,30}-1)*LEN(Registro!$E36)+1,LEN(Registro!$E36)))&amp;"x")-1))),"Revisar formato")))</f>
        <v>48</v>
      </c>
      <c r="E36" s="11">
        <f>IF(Registro!$E36="","",IF(ISERROR(FIND("x",LOWER(Registro!$E36))),"-",IFERROR(SUMPRODUCT(--("0"&amp;LEFT(TRIM(MID(SUBSTITUTE(SUBSTITUTE(SUBSTITUTE(SUBSTITUTE(SUBSTITUTE(LOWER(Registro!$E36),"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",LEN(Registro!$E36))),({1,2,3,4,5,6,7,8,9,10,11,12,13,14,15,16,17,18,19,20,21,22,23,24,25,26,27,28,29,30}-1)*LEN(Registro!$E36)+1,LEN(Registro!$E36)))&amp;"x")-1)),--("0"&amp;MID(TRIM(MID(SUBSTITUTE(SUBSTITUTE(SUBSTITUTE(SUBSTITUTE(SUBSTITUTE(LOWER(Registro!$E36),"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",LEN(Registro!$E36))),({1,2,3,4,5,6,7,8,9,10,11,12,13,14,15,16,17,18,19,20,21,22,23,24,25,26,27,28,29,30}-1)*LEN(Registro!$E36)+1,LEN(Registro!$E36)))&amp;"x")+1,20))),"Revisar formato")))</f>
        <v>2450</v>
      </c>
      <c r="F36" s="11" t="str">
        <f>IF(Registro!$F36="","",N(Registro!$F36))</f>
        <v/>
      </c>
      <c r="G36" s="11">
        <f t="shared" si="1"/>
        <v>2450</v>
      </c>
      <c r="H36" s="10">
        <f>IF(Registro!$G36="","",IF(ISERROR(FIND("x",LOWER(Registro!$G36))),"-",IFERROR(SUMPRODUCT(--("0"&amp;LEFT(TRIM(MID(SUBSTITUTE(SUBSTITUTE(SUBSTITUTE(SUBSTITUTE(SUBSTITUTE(LOWER(Registro!$G36),"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",LEN(Registro!$G36))),({1,2,3,4,5,6,7,8,9,10,11,12,13,14,15,16,17,18,19,20,21,22,23,24,25,26,27,28,29,30}-1)*LEN(Registro!$G36)+1,LEN(Registro!$G36))),FIND("x",TRIM(MID(SUBSTITUTE(SUBSTITUTE(SUBSTITUTE(SUBSTITUTE(SUBSTITUTE(LOWER(Registro!$G36),"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",LEN(Registro!$G36))),({1,2,3,4,5,6,7,8,9,10,11,12,13,14,15,16,17,18,19,20,21,22,23,24,25,26,27,28,29,30}-1)*LEN(Registro!$G36)+1,LEN(Registro!$G36)))&amp;"x")-1))),"Revisar formato")))</f>
        <v>1</v>
      </c>
      <c r="I36" s="11">
        <f>IF(Registro!$G36="","",IF(ISERROR(FIND("x",LOWER(Registro!$G36))),N(Registro!$H36),IFERROR(SUMPRODUCT(--("0"&amp;LEFT(TRIM(MID(SUBSTITUTE(SUBSTITUTE(SUBSTITUTE(SUBSTITUTE(SUBSTITUTE(LOWER(Registro!$G36),"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",LEN(Registro!$G36))),({1,2,3,4,5,6,7,8,9,10,11,12,13,14,15,16,17,18,19,20,21,22,23,24,25,26,27,28,29,30}-1)*LEN(Registro!$G36)+1,LEN(Registro!$G36))),FIND("x",TRIM(MID(SUBSTITUTE(SUBSTITUTE(SUBSTITUTE(SUBSTITUTE(SUBSTITUTE(LOWER(Registro!$G36),"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",LEN(Registro!$G36))),({1,2,3,4,5,6,7,8,9,10,11,12,13,14,15,16,17,18,19,20,21,22,23,24,25,26,27,28,29,30}-1)*LEN(Registro!$G36)+1,LEN(Registro!$G36)))&amp;"x")-1)),--("0"&amp;MID(TRIM(MID(SUBSTITUTE(SUBSTITUTE(SUBSTITUTE(SUBSTITUTE(SUBSTITUTE(LOWER(Registro!$G36),"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",LEN(Registro!$G36))),({1,2,3,4,5,6,7,8,9,10,11,12,13,14,15,16,17,18,19,20,21,22,23,24,25,26,27,28,29,30}-1)*LEN(Registro!$G36)+1,LEN(Registro!$G36))),FIND("x",TRIM(MID(SUBSTITUTE(SUBSTITUTE(SUBSTITUTE(SUBSTITUTE(SUBSTITUTE(LOWER(Registro!$G36),"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",LEN(Registro!$G36))),({1,2,3,4,5,6,7,8,9,10,11,12,13,14,15,16,17,18,19,20,21,22,23,24,25,26,27,28,29,30}-1)*LEN(Registro!$G36)+1,LEN(Registro!$G36)))&amp;"x")+1,20))),"Revisar formato")))</f>
        <v>1425</v>
      </c>
      <c r="J36" s="9" t="str">
        <f>IF(AND(Registro!$E36="",Registro!$G36=""),"",IF(NOT(AND(ISNUMBER(I36),ISNUMBER(Registro!$H36))),"",IF(I36&lt;Registro!$H36,"FALTA BOLETOS",IF(I36=Registro!$H36,"CONFORME","DIFERENCIA"))))</f>
        <v>CONFORME</v>
      </c>
      <c r="K36" s="11">
        <f>IF(Registro!$I36="","",IFERROR(SUMPRODUCT(--("0"&amp;TRIM(RIGHT(SUBSTITUTE(TRIM(MID(SUBSTITUTE(SUBSTITUTE(Registro!$I36,";",CHAR(10)),CHAR(10),REPT(" ",LEN(Registro!$I36))),({1,2,3,4,5,6,7,8,9,10,11,12,13,14,15,16,17,18,19,20,21,22,23,24,25,26,27,28,29,30}-1)*LEN(Registro!$I36)+1,LEN(Registro!$I36)))," ",REPT(" ",50)),50)))),"Revisar formato"))</f>
        <v>105</v>
      </c>
      <c r="L36" s="11" t="str">
        <f>IF(Registro!$J36="","",IFERROR(SUMPRODUCT(--("0"&amp;TRIM(RIGHT(SUBSTITUTE(TRIM(MID(SUBSTITUTE(SUBSTITUTE(Registro!$J36,";",CHAR(10)),CHAR(10),REPT(" ",LEN(Registro!$J36))),({1,2,3,4,5,6,7,8,9,10,11,12,13,14,15,16,17,18,19,20,21,22,23,24,25,26,27,28,29,30}-1)*LEN(Registro!$J36)+1,LEN(Registro!$J36)))," ",REPT(" ",50)),50)))),"Revisar formato"))</f>
        <v/>
      </c>
      <c r="M36" s="11">
        <f>IF(AND(Registro!$H36="",Registro!$I36=""),"",IF(AND(ISTEXT(K36),K36&lt;&gt;""),"Revisar formato",N(Registro!$H36)-N(K36)))</f>
        <v>1320</v>
      </c>
      <c r="N36" s="11">
        <f t="shared" si="2"/>
        <v>1320</v>
      </c>
      <c r="O36" s="15" t="str">
        <f>IF(AND(A36=Consulta!$B$3,C36=Consulta!$H$3),B36*10000+ROW(),"")</f>
        <v/>
      </c>
    </row>
    <row r="37" spans="1:15" x14ac:dyDescent="0.25">
      <c r="A37" s="9" t="str">
        <f>IF(Registro!$A37="","",Registro!$A37)</f>
        <v>PIN</v>
      </c>
      <c r="B37" s="8">
        <f>IF(Registro!$B37="","",Registro!$B37)</f>
        <v>46307</v>
      </c>
      <c r="C37" s="14">
        <f t="shared" si="0"/>
        <v>202610</v>
      </c>
      <c r="D37" s="10">
        <f>IF(Registro!$E37="","",IF(ISERROR(FIND("x",LOWER(Registro!$E37))),"-",IFERROR(SUMPRODUCT(--("0"&amp;LEFT(TRIM(MID(SUBSTITUTE(SUBSTITUTE(SUBSTITUTE(SUBSTITUTE(SUBSTITUTE(LOWER(Registro!$E37),"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",LEN(Registro!$E37))),({1,2,3,4,5,6,7,8,9,10,11,12,13,14,15,16,17,18,19,20,21,22,23,24,25,26,27,28,29,30}-1)*LEN(Registro!$E37)+1,LEN(Registro!$E37)))&amp;"x")-1))),"Revisar formato")))</f>
        <v>61</v>
      </c>
      <c r="E37" s="11">
        <f>IF(Registro!$E37="","",IF(ISERROR(FIND("x",LOWER(Registro!$E37))),"-",IFERROR(SUMPRODUCT(--("0"&amp;LEFT(TRIM(MID(SUBSTITUTE(SUBSTITUTE(SUBSTITUTE(SUBSTITUTE(SUBSTITUTE(LOWER(Registro!$E37),"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",LEN(Registro!$E37))),({1,2,3,4,5,6,7,8,9,10,11,12,13,14,15,16,17,18,19,20,21,22,23,24,25,26,27,28,29,30}-1)*LEN(Registro!$E37)+1,LEN(Registro!$E37)))&amp;"x")-1)),--("0"&amp;MID(TRIM(MID(SUBSTITUTE(SUBSTITUTE(SUBSTITUTE(SUBSTITUTE(SUBSTITUTE(LOWER(Registro!$E37),"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",LEN(Registro!$E37))),({1,2,3,4,5,6,7,8,9,10,11,12,13,14,15,16,17,18,19,20,21,22,23,24,25,26,27,28,29,30}-1)*LEN(Registro!$E37)+1,LEN(Registro!$E37)))&amp;"x")+1,20))),"Revisar formato")))</f>
        <v>3290</v>
      </c>
      <c r="F37" s="11" t="str">
        <f>IF(Registro!$F37="","",N(Registro!$F37))</f>
        <v/>
      </c>
      <c r="G37" s="11">
        <f t="shared" si="1"/>
        <v>3290</v>
      </c>
      <c r="H37" s="10">
        <f>IF(Registro!$G37="","",IF(ISERROR(FIND("x",LOWER(Registro!$G37))),"-",IFERROR(SUMPRODUCT(--("0"&amp;LEFT(TRIM(MID(SUBSTITUTE(SUBSTITUTE(SUBSTITUTE(SUBSTITUTE(SUBSTITUTE(LOWER(Registro!$G37),"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",LEN(Registro!$G37))),({1,2,3,4,5,6,7,8,9,10,11,12,13,14,15,16,17,18,19,20,21,22,23,24,25,26,27,28,29,30}-1)*LEN(Registro!$G37)+1,LEN(Registro!$G37))),FIND("x",TRIM(MID(SUBSTITUTE(SUBSTITUTE(SUBSTITUTE(SUBSTITUTE(SUBSTITUTE(LOWER(Registro!$G37),"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",LEN(Registro!$G37))),({1,2,3,4,5,6,7,8,9,10,11,12,13,14,15,16,17,18,19,20,21,22,23,24,25,26,27,28,29,30}-1)*LEN(Registro!$G37)+1,LEN(Registro!$G37)))&amp;"x")-1))),"Revisar formato")))</f>
        <v>1</v>
      </c>
      <c r="I37" s="11">
        <f>IF(Registro!$G37="","",IF(ISERROR(FIND("x",LOWER(Registro!$G37))),N(Registro!$H37),IFERROR(SUMPRODUCT(--("0"&amp;LEFT(TRIM(MID(SUBSTITUTE(SUBSTITUTE(SUBSTITUTE(SUBSTITUTE(SUBSTITUTE(LOWER(Registro!$G37),"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",LEN(Registro!$G37))),({1,2,3,4,5,6,7,8,9,10,11,12,13,14,15,16,17,18,19,20,21,22,23,24,25,26,27,28,29,30}-1)*LEN(Registro!$G37)+1,LEN(Registro!$G37))),FIND("x",TRIM(MID(SUBSTITUTE(SUBSTITUTE(SUBSTITUTE(SUBSTITUTE(SUBSTITUTE(LOWER(Registro!$G37),"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",LEN(Registro!$G37))),({1,2,3,4,5,6,7,8,9,10,11,12,13,14,15,16,17,18,19,20,21,22,23,24,25,26,27,28,29,30}-1)*LEN(Registro!$G37)+1,LEN(Registro!$G37)))&amp;"x")-1)),--("0"&amp;MID(TRIM(MID(SUBSTITUTE(SUBSTITUTE(SUBSTITUTE(SUBSTITUTE(SUBSTITUTE(LOWER(Registro!$G37),"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",LEN(Registro!$G37))),({1,2,3,4,5,6,7,8,9,10,11,12,13,14,15,16,17,18,19,20,21,22,23,24,25,26,27,28,29,30}-1)*LEN(Registro!$G37)+1,LEN(Registro!$G37))),FIND("x",TRIM(MID(SUBSTITUTE(SUBSTITUTE(SUBSTITUTE(SUBSTITUTE(SUBSTITUTE(LOWER(Registro!$G37),"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",LEN(Registro!$G37))),({1,2,3,4,5,6,7,8,9,10,11,12,13,14,15,16,17,18,19,20,21,22,23,24,25,26,27,28,29,30}-1)*LEN(Registro!$G37)+1,LEN(Registro!$G37)))&amp;"x")+1,20))),"Revisar formato")))</f>
        <v>2795</v>
      </c>
      <c r="J37" s="9" t="str">
        <f>IF(AND(Registro!$E37="",Registro!$G37=""),"",IF(NOT(AND(ISNUMBER(I37),ISNUMBER(Registro!$H37))),"",IF(I37&lt;Registro!$H37,"FALTA BOLETOS",IF(I37=Registro!$H37,"CONFORME","DIFERENCIA"))))</f>
        <v>CONFORME</v>
      </c>
      <c r="K37" s="11">
        <f>IF(Registro!$I37="","",IFERROR(SUMPRODUCT(--("0"&amp;TRIM(RIGHT(SUBSTITUTE(TRIM(MID(SUBSTITUTE(SUBSTITUTE(Registro!$I37,";",CHAR(10)),CHAR(10),REPT(" ",LEN(Registro!$I37))),({1,2,3,4,5,6,7,8,9,10,11,12,13,14,15,16,17,18,19,20,21,22,23,24,25,26,27,28,29,30}-1)*LEN(Registro!$I37)+1,LEN(Registro!$I37)))," ",REPT(" ",50)),50)))),"Revisar formato"))</f>
        <v>105</v>
      </c>
      <c r="L37" s="11" t="str">
        <f>IF(Registro!$J37="","",IFERROR(SUMPRODUCT(--("0"&amp;TRIM(RIGHT(SUBSTITUTE(TRIM(MID(SUBSTITUTE(SUBSTITUTE(Registro!$J37,";",CHAR(10)),CHAR(10),REPT(" ",LEN(Registro!$J37))),({1,2,3,4,5,6,7,8,9,10,11,12,13,14,15,16,17,18,19,20,21,22,23,24,25,26,27,28,29,30}-1)*LEN(Registro!$J37)+1,LEN(Registro!$J37)))," ",REPT(" ",50)),50)))),"Revisar formato"))</f>
        <v/>
      </c>
      <c r="M37" s="11">
        <f>IF(AND(Registro!$H37="",Registro!$I37=""),"",IF(AND(ISTEXT(K37),K37&lt;&gt;""),"Revisar formato",N(Registro!$H37)-N(K37)))</f>
        <v>2690</v>
      </c>
      <c r="N37" s="11">
        <f t="shared" si="2"/>
        <v>2690</v>
      </c>
      <c r="O37" s="15" t="str">
        <f>IF(AND(A37=Consulta!$B$3,C37=Consulta!$H$3),B37*10000+ROW(),"")</f>
        <v/>
      </c>
    </row>
    <row r="38" spans="1:15" x14ac:dyDescent="0.25">
      <c r="A38" s="9" t="str">
        <f>IF(Registro!$A38="","",Registro!$A38)</f>
        <v>PIN</v>
      </c>
      <c r="B38" s="8">
        <f>IF(Registro!$B38="","",Registro!$B38)</f>
        <v>46308</v>
      </c>
      <c r="C38" s="14">
        <f t="shared" si="0"/>
        <v>202610</v>
      </c>
      <c r="D38" s="10">
        <f>IF(Registro!$E38="","",IF(ISERROR(FIND("x",LOWER(Registro!$E38))),"-",IFERROR(SUMPRODUCT(--("0"&amp;LEFT(TRIM(MID(SUBSTITUTE(SUBSTITUTE(SUBSTITUTE(SUBSTITUTE(SUBSTITUTE(LOWER(Registro!$E38),"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",LEN(Registro!$E38))),({1,2,3,4,5,6,7,8,9,10,11,12,13,14,15,16,17,18,19,20,21,22,23,24,25,26,27,28,29,30}-1)*LEN(Registro!$E38)+1,LEN(Registro!$E38)))&amp;"x")-1))),"Revisar formato")))</f>
        <v>35</v>
      </c>
      <c r="E38" s="11">
        <f>IF(Registro!$E38="","",IF(ISERROR(FIND("x",LOWER(Registro!$E38))),"-",IFERROR(SUMPRODUCT(--("0"&amp;LEFT(TRIM(MID(SUBSTITUTE(SUBSTITUTE(SUBSTITUTE(SUBSTITUTE(SUBSTITUTE(LOWER(Registro!$E38),"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",LEN(Registro!$E38))),({1,2,3,4,5,6,7,8,9,10,11,12,13,14,15,16,17,18,19,20,21,22,23,24,25,26,27,28,29,30}-1)*LEN(Registro!$E38)+1,LEN(Registro!$E38)))&amp;"x")-1)),--("0"&amp;MID(TRIM(MID(SUBSTITUTE(SUBSTITUTE(SUBSTITUTE(SUBSTITUTE(SUBSTITUTE(LOWER(Registro!$E38),"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",LEN(Registro!$E38))),({1,2,3,4,5,6,7,8,9,10,11,12,13,14,15,16,17,18,19,20,21,22,23,24,25,26,27,28,29,30}-1)*LEN(Registro!$E38)+1,LEN(Registro!$E38)))&amp;"x")+1,20))),"Revisar formato")))</f>
        <v>1880</v>
      </c>
      <c r="F38" s="11" t="str">
        <f>IF(Registro!$F38="","",N(Registro!$F38))</f>
        <v/>
      </c>
      <c r="G38" s="11">
        <f t="shared" si="1"/>
        <v>1880</v>
      </c>
      <c r="H38" s="10">
        <f>IF(Registro!$G38="","",IF(ISERROR(FIND("x",LOWER(Registro!$G38))),"-",IFERROR(SUMPRODUCT(--("0"&amp;LEFT(TRIM(MID(SUBSTITUTE(SUBSTITUTE(SUBSTITUTE(SUBSTITUTE(SUBSTITUTE(LOWER(Registro!$G38),"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",LEN(Registro!$G38))),({1,2,3,4,5,6,7,8,9,10,11,12,13,14,15,16,17,18,19,20,21,22,23,24,25,26,27,28,29,30}-1)*LEN(Registro!$G38)+1,LEN(Registro!$G38))),FIND("x",TRIM(MID(SUBSTITUTE(SUBSTITUTE(SUBSTITUTE(SUBSTITUTE(SUBSTITUTE(LOWER(Registro!$G38),"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",LEN(Registro!$G38))),({1,2,3,4,5,6,7,8,9,10,11,12,13,14,15,16,17,18,19,20,21,22,23,24,25,26,27,28,29,30}-1)*LEN(Registro!$G38)+1,LEN(Registro!$G38)))&amp;"x")-1))),"Revisar formato")))</f>
        <v>1</v>
      </c>
      <c r="I38" s="11">
        <f>IF(Registro!$G38="","",IF(ISERROR(FIND("x",LOWER(Registro!$G38))),N(Registro!$H38),IFERROR(SUMPRODUCT(--("0"&amp;LEFT(TRIM(MID(SUBSTITUTE(SUBSTITUTE(SUBSTITUTE(SUBSTITUTE(SUBSTITUTE(LOWER(Registro!$G38),"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",LEN(Registro!$G38))),({1,2,3,4,5,6,7,8,9,10,11,12,13,14,15,16,17,18,19,20,21,22,23,24,25,26,27,28,29,30}-1)*LEN(Registro!$G38)+1,LEN(Registro!$G38))),FIND("x",TRIM(MID(SUBSTITUTE(SUBSTITUTE(SUBSTITUTE(SUBSTITUTE(SUBSTITUTE(LOWER(Registro!$G38),"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",LEN(Registro!$G38))),({1,2,3,4,5,6,7,8,9,10,11,12,13,14,15,16,17,18,19,20,21,22,23,24,25,26,27,28,29,30}-1)*LEN(Registro!$G38)+1,LEN(Registro!$G38)))&amp;"x")-1)),--("0"&amp;MID(TRIM(MID(SUBSTITUTE(SUBSTITUTE(SUBSTITUTE(SUBSTITUTE(SUBSTITUTE(LOWER(Registro!$G38),"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",LEN(Registro!$G38))),({1,2,3,4,5,6,7,8,9,10,11,12,13,14,15,16,17,18,19,20,21,22,23,24,25,26,27,28,29,30}-1)*LEN(Registro!$G38)+1,LEN(Registro!$G38))),FIND("x",TRIM(MID(SUBSTITUTE(SUBSTITUTE(SUBSTITUTE(SUBSTITUTE(SUBSTITUTE(LOWER(Registro!$G38),"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",LEN(Registro!$G38))),({1,2,3,4,5,6,7,8,9,10,11,12,13,14,15,16,17,18,19,20,21,22,23,24,25,26,27,28,29,30}-1)*LEN(Registro!$G38)+1,LEN(Registro!$G38)))&amp;"x")+1,20))),"Revisar formato")))</f>
        <v>1415</v>
      </c>
      <c r="J38" s="9" t="str">
        <f>IF(AND(Registro!$E38="",Registro!$G38=""),"",IF(NOT(AND(ISNUMBER(I38),ISNUMBER(Registro!$H38))),"",IF(I38&lt;Registro!$H38,"FALTA BOLETOS",IF(I38=Registro!$H38,"CONFORME","DIFERENCIA"))))</f>
        <v>CONFORME</v>
      </c>
      <c r="K38" s="11">
        <f>IF(Registro!$I38="","",IFERROR(SUMPRODUCT(--("0"&amp;TRIM(RIGHT(SUBSTITUTE(TRIM(MID(SUBSTITUTE(SUBSTITUTE(Registro!$I38,";",CHAR(10)),CHAR(10),REPT(" ",LEN(Registro!$I38))),({1,2,3,4,5,6,7,8,9,10,11,12,13,14,15,16,17,18,19,20,21,22,23,24,25,26,27,28,29,30}-1)*LEN(Registro!$I38)+1,LEN(Registro!$I38)))," ",REPT(" ",50)),50)))),"Revisar formato"))</f>
        <v>105</v>
      </c>
      <c r="L38" s="11" t="str">
        <f>IF(Registro!$J38="","",IFERROR(SUMPRODUCT(--("0"&amp;TRIM(RIGHT(SUBSTITUTE(TRIM(MID(SUBSTITUTE(SUBSTITUTE(Registro!$J38,";",CHAR(10)),CHAR(10),REPT(" ",LEN(Registro!$J38))),({1,2,3,4,5,6,7,8,9,10,11,12,13,14,15,16,17,18,19,20,21,22,23,24,25,26,27,28,29,30}-1)*LEN(Registro!$J38)+1,LEN(Registro!$J38)))," ",REPT(" ",50)),50)))),"Revisar formato"))</f>
        <v/>
      </c>
      <c r="M38" s="11">
        <f>IF(AND(Registro!$H38="",Registro!$I38=""),"",IF(AND(ISTEXT(K38),K38&lt;&gt;""),"Revisar formato",N(Registro!$H38)-N(K38)))</f>
        <v>1310</v>
      </c>
      <c r="N38" s="11">
        <f t="shared" si="2"/>
        <v>1310</v>
      </c>
      <c r="O38" s="15" t="str">
        <f>IF(AND(A38=Consulta!$B$3,C38=Consulta!$H$3),B38*10000+ROW(),"")</f>
        <v/>
      </c>
    </row>
    <row r="39" spans="1:15" x14ac:dyDescent="0.25">
      <c r="A39" s="9" t="str">
        <f>IF(Registro!$A39="","",Registro!$A39)</f>
        <v>PIN</v>
      </c>
      <c r="B39" s="8">
        <f>IF(Registro!$B39="","",Registro!$B39)</f>
        <v>46309</v>
      </c>
      <c r="C39" s="14">
        <f t="shared" si="0"/>
        <v>202610</v>
      </c>
      <c r="D39" s="10">
        <f>IF(Registro!$E39="","",IF(ISERROR(FIND("x",LOWER(Registro!$E39))),"-",IFERROR(SUMPRODUCT(--("0"&amp;LEFT(TRIM(MID(SUBSTITUTE(SUBSTITUTE(SUBSTITUTE(SUBSTITUTE(SUBSTITUTE(LOWER(Registro!$E39),"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",LEN(Registro!$E39))),({1,2,3,4,5,6,7,8,9,10,11,12,13,14,15,16,17,18,19,20,21,22,23,24,25,26,27,28,29,30}-1)*LEN(Registro!$E39)+1,LEN(Registro!$E39)))&amp;"x")-1))),"Revisar formato")))</f>
        <v>55</v>
      </c>
      <c r="E39" s="11">
        <f>IF(Registro!$E39="","",IF(ISERROR(FIND("x",LOWER(Registro!$E39))),"-",IFERROR(SUMPRODUCT(--("0"&amp;LEFT(TRIM(MID(SUBSTITUTE(SUBSTITUTE(SUBSTITUTE(SUBSTITUTE(SUBSTITUTE(LOWER(Registro!$E39),"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",LEN(Registro!$E39))),({1,2,3,4,5,6,7,8,9,10,11,12,13,14,15,16,17,18,19,20,21,22,23,24,25,26,27,28,29,30}-1)*LEN(Registro!$E39)+1,LEN(Registro!$E39)))&amp;"x")-1)),--("0"&amp;MID(TRIM(MID(SUBSTITUTE(SUBSTITUTE(SUBSTITUTE(SUBSTITUTE(SUBSTITUTE(LOWER(Registro!$E39),"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",LEN(Registro!$E39))),({1,2,3,4,5,6,7,8,9,10,11,12,13,14,15,16,17,18,19,20,21,22,23,24,25,26,27,28,29,30}-1)*LEN(Registro!$E39)+1,LEN(Registro!$E39)))&amp;"x")+1,20))),"Revisar formato")))</f>
        <v>2420</v>
      </c>
      <c r="F39" s="11" t="str">
        <f>IF(Registro!$F39="","",N(Registro!$F39))</f>
        <v/>
      </c>
      <c r="G39" s="11">
        <f t="shared" si="1"/>
        <v>2420</v>
      </c>
      <c r="H39" s="10">
        <f>IF(Registro!$G39="","",IF(ISERROR(FIND("x",LOWER(Registro!$G39))),"-",IFERROR(SUMPRODUCT(--("0"&amp;LEFT(TRIM(MID(SUBSTITUTE(SUBSTITUTE(SUBSTITUTE(SUBSTITUTE(SUBSTITUTE(LOWER(Registro!$G39),"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",LEN(Registro!$G39))),({1,2,3,4,5,6,7,8,9,10,11,12,13,14,15,16,17,18,19,20,21,22,23,24,25,26,27,28,29,30}-1)*LEN(Registro!$G39)+1,LEN(Registro!$G39))),FIND("x",TRIM(MID(SUBSTITUTE(SUBSTITUTE(SUBSTITUTE(SUBSTITUTE(SUBSTITUTE(LOWER(Registro!$G39),"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",LEN(Registro!$G39))),({1,2,3,4,5,6,7,8,9,10,11,12,13,14,15,16,17,18,19,20,21,22,23,24,25,26,27,28,29,30}-1)*LEN(Registro!$G39)+1,LEN(Registro!$G39)))&amp;"x")-1))),"Revisar formato")))</f>
        <v>1</v>
      </c>
      <c r="I39" s="11">
        <f>IF(Registro!$G39="","",IF(ISERROR(FIND("x",LOWER(Registro!$G39))),N(Registro!$H39),IFERROR(SUMPRODUCT(--("0"&amp;LEFT(TRIM(MID(SUBSTITUTE(SUBSTITUTE(SUBSTITUTE(SUBSTITUTE(SUBSTITUTE(LOWER(Registro!$G39),"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",LEN(Registro!$G39))),({1,2,3,4,5,6,7,8,9,10,11,12,13,14,15,16,17,18,19,20,21,22,23,24,25,26,27,28,29,30}-1)*LEN(Registro!$G39)+1,LEN(Registro!$G39))),FIND("x",TRIM(MID(SUBSTITUTE(SUBSTITUTE(SUBSTITUTE(SUBSTITUTE(SUBSTITUTE(LOWER(Registro!$G39),"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",LEN(Registro!$G39))),({1,2,3,4,5,6,7,8,9,10,11,12,13,14,15,16,17,18,19,20,21,22,23,24,25,26,27,28,29,30}-1)*LEN(Registro!$G39)+1,LEN(Registro!$G39)))&amp;"x")-1)),--("0"&amp;MID(TRIM(MID(SUBSTITUTE(SUBSTITUTE(SUBSTITUTE(SUBSTITUTE(SUBSTITUTE(LOWER(Registro!$G39),"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",LEN(Registro!$G39))),({1,2,3,4,5,6,7,8,9,10,11,12,13,14,15,16,17,18,19,20,21,22,23,24,25,26,27,28,29,30}-1)*LEN(Registro!$G39)+1,LEN(Registro!$G39))),FIND("x",TRIM(MID(SUBSTITUTE(SUBSTITUTE(SUBSTITUTE(SUBSTITUTE(SUBSTITUTE(LOWER(Registro!$G39),"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",LEN(Registro!$G39))),({1,2,3,4,5,6,7,8,9,10,11,12,13,14,15,16,17,18,19,20,21,22,23,24,25,26,27,28,29,30}-1)*LEN(Registro!$G39)+1,LEN(Registro!$G39)))&amp;"x")+1,20))),"Revisar formato")))</f>
        <v>2115</v>
      </c>
      <c r="J39" s="9" t="str">
        <f>IF(AND(Registro!$E39="",Registro!$G39=""),"",IF(NOT(AND(ISNUMBER(I39),ISNUMBER(Registro!$H39))),"",IF(I39&lt;Registro!$H39,"FALTA BOLETOS",IF(I39=Registro!$H39,"CONFORME","DIFERENCIA"))))</f>
        <v>CONFORME</v>
      </c>
      <c r="K39" s="11">
        <f>IF(Registro!$I39="","",IFERROR(SUMPRODUCT(--("0"&amp;TRIM(RIGHT(SUBSTITUTE(TRIM(MID(SUBSTITUTE(SUBSTITUTE(Registro!$I39,";",CHAR(10)),CHAR(10),REPT(" ",LEN(Registro!$I39))),({1,2,3,4,5,6,7,8,9,10,11,12,13,14,15,16,17,18,19,20,21,22,23,24,25,26,27,28,29,30}-1)*LEN(Registro!$I39)+1,LEN(Registro!$I39)))," ",REPT(" ",50)),50)))),"Revisar formato"))</f>
        <v>105</v>
      </c>
      <c r="L39" s="11" t="str">
        <f>IF(Registro!$J39="","",IFERROR(SUMPRODUCT(--("0"&amp;TRIM(RIGHT(SUBSTITUTE(TRIM(MID(SUBSTITUTE(SUBSTITUTE(Registro!$J39,";",CHAR(10)),CHAR(10),REPT(" ",LEN(Registro!$J39))),({1,2,3,4,5,6,7,8,9,10,11,12,13,14,15,16,17,18,19,20,21,22,23,24,25,26,27,28,29,30}-1)*LEN(Registro!$J39)+1,LEN(Registro!$J39)))," ",REPT(" ",50)),50)))),"Revisar formato"))</f>
        <v/>
      </c>
      <c r="M39" s="11">
        <f>IF(AND(Registro!$H39="",Registro!$I39=""),"",IF(AND(ISTEXT(K39),K39&lt;&gt;""),"Revisar formato",N(Registro!$H39)-N(K39)))</f>
        <v>2010</v>
      </c>
      <c r="N39" s="11">
        <f t="shared" si="2"/>
        <v>2010</v>
      </c>
      <c r="O39" s="15" t="str">
        <f>IF(AND(A39=Consulta!$B$3,C39=Consulta!$H$3),B39*10000+ROW(),"")</f>
        <v/>
      </c>
    </row>
    <row r="40" spans="1:15" x14ac:dyDescent="0.25">
      <c r="A40" s="9" t="str">
        <f>IF(Registro!$A40="","",Registro!$A40)</f>
        <v>PIN</v>
      </c>
      <c r="B40" s="8">
        <f>IF(Registro!$B40="","",Registro!$B40)</f>
        <v>46310</v>
      </c>
      <c r="C40" s="14">
        <f t="shared" si="0"/>
        <v>202610</v>
      </c>
      <c r="D40" s="10">
        <f>IF(Registro!$E40="","",IF(ISERROR(FIND("x",LOWER(Registro!$E40))),"-",IFERROR(SUMPRODUCT(--("0"&amp;LEFT(TRIM(MID(SUBSTITUTE(SUBSTITUTE(SUBSTITUTE(SUBSTITUTE(SUBSTITUTE(LOWER(Registro!$E40),"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",LEN(Registro!$E40))),({1,2,3,4,5,6,7,8,9,10,11,12,13,14,15,16,17,18,19,20,21,22,23,24,25,26,27,28,29,30}-1)*LEN(Registro!$E40)+1,LEN(Registro!$E40)))&amp;"x")-1))),"Revisar formato")))</f>
        <v>61</v>
      </c>
      <c r="E40" s="11">
        <f>IF(Registro!$E40="","",IF(ISERROR(FIND("x",LOWER(Registro!$E40))),"-",IFERROR(SUMPRODUCT(--("0"&amp;LEFT(TRIM(MID(SUBSTITUTE(SUBSTITUTE(SUBSTITUTE(SUBSTITUTE(SUBSTITUTE(LOWER(Registro!$E40),"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",LEN(Registro!$E40))),({1,2,3,4,5,6,7,8,9,10,11,12,13,14,15,16,17,18,19,20,21,22,23,24,25,26,27,28,29,30}-1)*LEN(Registro!$E40)+1,LEN(Registro!$E40)))&amp;"x")-1)),--("0"&amp;MID(TRIM(MID(SUBSTITUTE(SUBSTITUTE(SUBSTITUTE(SUBSTITUTE(SUBSTITUTE(LOWER(Registro!$E40),"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",LEN(Registro!$E40))),({1,2,3,4,5,6,7,8,9,10,11,12,13,14,15,16,17,18,19,20,21,22,23,24,25,26,27,28,29,30}-1)*LEN(Registro!$E40)+1,LEN(Registro!$E40)))&amp;"x")+1,20))),"Revisar formato")))</f>
        <v>2670</v>
      </c>
      <c r="F40" s="11" t="str">
        <f>IF(Registro!$F40="","",N(Registro!$F40))</f>
        <v/>
      </c>
      <c r="G40" s="11">
        <f t="shared" si="1"/>
        <v>2670</v>
      </c>
      <c r="H40" s="10">
        <f>IF(Registro!$G40="","",IF(ISERROR(FIND("x",LOWER(Registro!$G40))),"-",IFERROR(SUMPRODUCT(--("0"&amp;LEFT(TRIM(MID(SUBSTITUTE(SUBSTITUTE(SUBSTITUTE(SUBSTITUTE(SUBSTITUTE(LOWER(Registro!$G40),"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",LEN(Registro!$G40))),({1,2,3,4,5,6,7,8,9,10,11,12,13,14,15,16,17,18,19,20,21,22,23,24,25,26,27,28,29,30}-1)*LEN(Registro!$G40)+1,LEN(Registro!$G40))),FIND("x",TRIM(MID(SUBSTITUTE(SUBSTITUTE(SUBSTITUTE(SUBSTITUTE(SUBSTITUTE(LOWER(Registro!$G40),"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",LEN(Registro!$G40))),({1,2,3,4,5,6,7,8,9,10,11,12,13,14,15,16,17,18,19,20,21,22,23,24,25,26,27,28,29,30}-1)*LEN(Registro!$G40)+1,LEN(Registro!$G40)))&amp;"x")-1))),"Revisar formato")))</f>
        <v>1</v>
      </c>
      <c r="I40" s="11">
        <f>IF(Registro!$G40="","",IF(ISERROR(FIND("x",LOWER(Registro!$G40))),N(Registro!$H40),IFERROR(SUMPRODUCT(--("0"&amp;LEFT(TRIM(MID(SUBSTITUTE(SUBSTITUTE(SUBSTITUTE(SUBSTITUTE(SUBSTITUTE(LOWER(Registro!$G40),"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",LEN(Registro!$G40))),({1,2,3,4,5,6,7,8,9,10,11,12,13,14,15,16,17,18,19,20,21,22,23,24,25,26,27,28,29,30}-1)*LEN(Registro!$G40)+1,LEN(Registro!$G40))),FIND("x",TRIM(MID(SUBSTITUTE(SUBSTITUTE(SUBSTITUTE(SUBSTITUTE(SUBSTITUTE(LOWER(Registro!$G40),"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",LEN(Registro!$G40))),({1,2,3,4,5,6,7,8,9,10,11,12,13,14,15,16,17,18,19,20,21,22,23,24,25,26,27,28,29,30}-1)*LEN(Registro!$G40)+1,LEN(Registro!$G40)))&amp;"x")-1)),--("0"&amp;MID(TRIM(MID(SUBSTITUTE(SUBSTITUTE(SUBSTITUTE(SUBSTITUTE(SUBSTITUTE(LOWER(Registro!$G40),"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",LEN(Registro!$G40))),({1,2,3,4,5,6,7,8,9,10,11,12,13,14,15,16,17,18,19,20,21,22,23,24,25,26,27,28,29,30}-1)*LEN(Registro!$G40)+1,LEN(Registro!$G40))),FIND("x",TRIM(MID(SUBSTITUTE(SUBSTITUTE(SUBSTITUTE(SUBSTITUTE(SUBSTITUTE(LOWER(Registro!$G40),"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",LEN(Registro!$G40))),({1,2,3,4,5,6,7,8,9,10,11,12,13,14,15,16,17,18,19,20,21,22,23,24,25,26,27,28,29,30}-1)*LEN(Registro!$G40)+1,LEN(Registro!$G40)))&amp;"x")+1,20))),"Revisar formato")))</f>
        <v>1905</v>
      </c>
      <c r="J40" s="9" t="str">
        <f>IF(AND(Registro!$E40="",Registro!$G40=""),"",IF(NOT(AND(ISNUMBER(I40),ISNUMBER(Registro!$H40))),"",IF(I40&lt;Registro!$H40,"FALTA BOLETOS",IF(I40=Registro!$H40,"CONFORME","DIFERENCIA"))))</f>
        <v>CONFORME</v>
      </c>
      <c r="K40" s="11">
        <f>IF(Registro!$I40="","",IFERROR(SUMPRODUCT(--("0"&amp;TRIM(RIGHT(SUBSTITUTE(TRIM(MID(SUBSTITUTE(SUBSTITUTE(Registro!$I40,";",CHAR(10)),CHAR(10),REPT(" ",LEN(Registro!$I40))),({1,2,3,4,5,6,7,8,9,10,11,12,13,14,15,16,17,18,19,20,21,22,23,24,25,26,27,28,29,30}-1)*LEN(Registro!$I40)+1,LEN(Registro!$I40)))," ",REPT(" ",50)),50)))),"Revisar formato"))</f>
        <v>105</v>
      </c>
      <c r="L40" s="11" t="str">
        <f>IF(Registro!$J40="","",IFERROR(SUMPRODUCT(--("0"&amp;TRIM(RIGHT(SUBSTITUTE(TRIM(MID(SUBSTITUTE(SUBSTITUTE(Registro!$J40,";",CHAR(10)),CHAR(10),REPT(" ",LEN(Registro!$J40))),({1,2,3,4,5,6,7,8,9,10,11,12,13,14,15,16,17,18,19,20,21,22,23,24,25,26,27,28,29,30}-1)*LEN(Registro!$J40)+1,LEN(Registro!$J40)))," ",REPT(" ",50)),50)))),"Revisar formato"))</f>
        <v/>
      </c>
      <c r="M40" s="11">
        <f>IF(AND(Registro!$H40="",Registro!$I40=""),"",IF(AND(ISTEXT(K40),K40&lt;&gt;""),"Revisar formato",N(Registro!$H40)-N(K40)))</f>
        <v>1800</v>
      </c>
      <c r="N40" s="11">
        <f t="shared" si="2"/>
        <v>1800</v>
      </c>
      <c r="O40" s="15" t="str">
        <f>IF(AND(A40=Consulta!$B$3,C40=Consulta!$H$3),B40*10000+ROW(),"")</f>
        <v/>
      </c>
    </row>
    <row r="41" spans="1:15" x14ac:dyDescent="0.25">
      <c r="A41" s="9" t="str">
        <f>IF(Registro!$A41="","",Registro!$A41)</f>
        <v>PIN</v>
      </c>
      <c r="B41" s="8">
        <f>IF(Registro!$B41="","",Registro!$B41)</f>
        <v>46311</v>
      </c>
      <c r="C41" s="14">
        <f t="shared" si="0"/>
        <v>202610</v>
      </c>
      <c r="D41" s="10" t="str">
        <f>IF(Registro!$E41="","",IF(ISERROR(FIND("x",LOWER(Registro!$E41))),"-",IFERROR(SUMPRODUCT(--("0"&amp;LEFT(TRIM(MID(SUBSTITUTE(SUBSTITUTE(SUBSTITUTE(SUBSTITUTE(SUBSTITUTE(LOWER(Registro!$E41),"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",LEN(Registro!$E41))),({1,2,3,4,5,6,7,8,9,10,11,12,13,14,15,16,17,18,19,20,21,22,23,24,25,26,27,28,29,30}-1)*LEN(Registro!$E41)+1,LEN(Registro!$E41)))&amp;"x")-1))),"Revisar formato")))</f>
        <v>-</v>
      </c>
      <c r="E41" s="11" t="str">
        <f>IF(Registro!$E41="","",IF(ISERROR(FIND("x",LOWER(Registro!$E41))),"-",IFERROR(SUMPRODUCT(--("0"&amp;LEFT(TRIM(MID(SUBSTITUTE(SUBSTITUTE(SUBSTITUTE(SUBSTITUTE(SUBSTITUTE(LOWER(Registro!$E41),"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",LEN(Registro!$E41))),({1,2,3,4,5,6,7,8,9,10,11,12,13,14,15,16,17,18,19,20,21,22,23,24,25,26,27,28,29,30}-1)*LEN(Registro!$E41)+1,LEN(Registro!$E41)))&amp;"x")-1)),--("0"&amp;MID(TRIM(MID(SUBSTITUTE(SUBSTITUTE(SUBSTITUTE(SUBSTITUTE(SUBSTITUTE(LOWER(Registro!$E41),"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",LEN(Registro!$E41))),({1,2,3,4,5,6,7,8,9,10,11,12,13,14,15,16,17,18,19,20,21,22,23,24,25,26,27,28,29,30}-1)*LEN(Registro!$E41)+1,LEN(Registro!$E41)))&amp;"x")+1,20))),"Revisar formato")))</f>
        <v>-</v>
      </c>
      <c r="F41" s="11" t="str">
        <f>IF(Registro!$F41="","",N(Registro!$F41))</f>
        <v/>
      </c>
      <c r="G41" s="11" t="str">
        <f t="shared" si="1"/>
        <v>-</v>
      </c>
      <c r="H41" s="10" t="str">
        <f>IF(Registro!$G41="","",IF(ISERROR(FIND("x",LOWER(Registro!$G41))),"-",IFERROR(SUMPRODUCT(--("0"&amp;LEFT(TRIM(MID(SUBSTITUTE(SUBSTITUTE(SUBSTITUTE(SUBSTITUTE(SUBSTITUTE(LOWER(Registro!$G41),"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",LEN(Registro!$G41))),({1,2,3,4,5,6,7,8,9,10,11,12,13,14,15,16,17,18,19,20,21,22,23,24,25,26,27,28,29,30}-1)*LEN(Registro!$G41)+1,LEN(Registro!$G41))),FIND("x",TRIM(MID(SUBSTITUTE(SUBSTITUTE(SUBSTITUTE(SUBSTITUTE(SUBSTITUTE(LOWER(Registro!$G41),"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",LEN(Registro!$G41))),({1,2,3,4,5,6,7,8,9,10,11,12,13,14,15,16,17,18,19,20,21,22,23,24,25,26,27,28,29,30}-1)*LEN(Registro!$G41)+1,LEN(Registro!$G41)))&amp;"x")-1))),"Revisar formato")))</f>
        <v>-</v>
      </c>
      <c r="I41" s="11">
        <f>IF(Registro!$G41="","",IF(ISERROR(FIND("x",LOWER(Registro!$G41))),N(Registro!$H41),IFERROR(SUMPRODUCT(--("0"&amp;LEFT(TRIM(MID(SUBSTITUTE(SUBSTITUTE(SUBSTITUTE(SUBSTITUTE(SUBSTITUTE(LOWER(Registro!$G41),"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",LEN(Registro!$G41))),({1,2,3,4,5,6,7,8,9,10,11,12,13,14,15,16,17,18,19,20,21,22,23,24,25,26,27,28,29,30}-1)*LEN(Registro!$G41)+1,LEN(Registro!$G41))),FIND("x",TRIM(MID(SUBSTITUTE(SUBSTITUTE(SUBSTITUTE(SUBSTITUTE(SUBSTITUTE(LOWER(Registro!$G41),"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",LEN(Registro!$G41))),({1,2,3,4,5,6,7,8,9,10,11,12,13,14,15,16,17,18,19,20,21,22,23,24,25,26,27,28,29,30}-1)*LEN(Registro!$G41)+1,LEN(Registro!$G41)))&amp;"x")-1)),--("0"&amp;MID(TRIM(MID(SUBSTITUTE(SUBSTITUTE(SUBSTITUTE(SUBSTITUTE(SUBSTITUTE(LOWER(Registro!$G41),"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",LEN(Registro!$G41))),({1,2,3,4,5,6,7,8,9,10,11,12,13,14,15,16,17,18,19,20,21,22,23,24,25,26,27,28,29,30}-1)*LEN(Registro!$G41)+1,LEN(Registro!$G41))),FIND("x",TRIM(MID(SUBSTITUTE(SUBSTITUTE(SUBSTITUTE(SUBSTITUTE(SUBSTITUTE(LOWER(Registro!$G41),"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",LEN(Registro!$G41))),({1,2,3,4,5,6,7,8,9,10,11,12,13,14,15,16,17,18,19,20,21,22,23,24,25,26,27,28,29,30}-1)*LEN(Registro!$G41)+1,LEN(Registro!$G41)))&amp;"x")+1,20))),"Revisar formato")))</f>
        <v>2775</v>
      </c>
      <c r="J41" s="9" t="str">
        <f>IF(AND(Registro!$E41="",Registro!$G41=""),"",IF(NOT(AND(ISNUMBER(I41),ISNUMBER(Registro!$H41))),"",IF(I41&lt;Registro!$H41,"FALTA BOLETOS",IF(I41=Registro!$H41,"CONFORME","DIFERENCIA"))))</f>
        <v>CONFORME</v>
      </c>
      <c r="K41" s="11">
        <f>IF(Registro!$I41="","",IFERROR(SUMPRODUCT(--("0"&amp;TRIM(RIGHT(SUBSTITUTE(TRIM(MID(SUBSTITUTE(SUBSTITUTE(Registro!$I41,";",CHAR(10)),CHAR(10),REPT(" ",LEN(Registro!$I41))),({1,2,3,4,5,6,7,8,9,10,11,12,13,14,15,16,17,18,19,20,21,22,23,24,25,26,27,28,29,30}-1)*LEN(Registro!$I41)+1,LEN(Registro!$I41)))," ",REPT(" ",50)),50)))),"Revisar formato"))</f>
        <v>185</v>
      </c>
      <c r="L41" s="11" t="str">
        <f>IF(Registro!$J41="","",IFERROR(SUMPRODUCT(--("0"&amp;TRIM(RIGHT(SUBSTITUTE(TRIM(MID(SUBSTITUTE(SUBSTITUTE(Registro!$J41,";",CHAR(10)),CHAR(10),REPT(" ",LEN(Registro!$J41))),({1,2,3,4,5,6,7,8,9,10,11,12,13,14,15,16,17,18,19,20,21,22,23,24,25,26,27,28,29,30}-1)*LEN(Registro!$J41)+1,LEN(Registro!$J41)))," ",REPT(" ",50)),50)))),"Revisar formato"))</f>
        <v/>
      </c>
      <c r="M41" s="11">
        <f>IF(AND(Registro!$H41="",Registro!$I41=""),"",IF(AND(ISTEXT(K41),K41&lt;&gt;""),"Revisar formato",N(Registro!$H41)-N(K41)))</f>
        <v>2590</v>
      </c>
      <c r="N41" s="11">
        <f t="shared" si="2"/>
        <v>2590</v>
      </c>
      <c r="O41" s="15" t="str">
        <f>IF(AND(A41=Consulta!$B$3,C41=Consulta!$H$3),B41*10000+ROW(),"")</f>
        <v/>
      </c>
    </row>
    <row r="42" spans="1:15" x14ac:dyDescent="0.25">
      <c r="A42" s="9" t="str">
        <f>IF(Registro!$A42="","",Registro!$A42)</f>
        <v>PIN</v>
      </c>
      <c r="B42" s="8">
        <f>IF(Registro!$B42="","",Registro!$B42)</f>
        <v>46312</v>
      </c>
      <c r="C42" s="14">
        <f t="shared" si="0"/>
        <v>202610</v>
      </c>
      <c r="D42" s="10">
        <f>IF(Registro!$E42="","",IF(ISERROR(FIND("x",LOWER(Registro!$E42))),"-",IFERROR(SUMPRODUCT(--("0"&amp;LEFT(TRIM(MID(SUBSTITUTE(SUBSTITUTE(SUBSTITUTE(SUBSTITUTE(SUBSTITUTE(LOWER(Registro!$E42),"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",LEN(Registro!$E42))),({1,2,3,4,5,6,7,8,9,10,11,12,13,14,15,16,17,18,19,20,21,22,23,24,25,26,27,28,29,30}-1)*LEN(Registro!$E42)+1,LEN(Registro!$E42)))&amp;"x")-1))),"Revisar formato")))</f>
        <v>55</v>
      </c>
      <c r="E42" s="11">
        <f>IF(Registro!$E42="","",IF(ISERROR(FIND("x",LOWER(Registro!$E42))),"-",IFERROR(SUMPRODUCT(--("0"&amp;LEFT(TRIM(MID(SUBSTITUTE(SUBSTITUTE(SUBSTITUTE(SUBSTITUTE(SUBSTITUTE(LOWER(Registro!$E42),"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",LEN(Registro!$E42))),({1,2,3,4,5,6,7,8,9,10,11,12,13,14,15,16,17,18,19,20,21,22,23,24,25,26,27,28,29,30}-1)*LEN(Registro!$E42)+1,LEN(Registro!$E42)))&amp;"x")-1)),--("0"&amp;MID(TRIM(MID(SUBSTITUTE(SUBSTITUTE(SUBSTITUTE(SUBSTITUTE(SUBSTITUTE(LOWER(Registro!$E42),"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",LEN(Registro!$E42))),({1,2,3,4,5,6,7,8,9,10,11,12,13,14,15,16,17,18,19,20,21,22,23,24,25,26,27,28,29,30}-1)*LEN(Registro!$E42)+1,LEN(Registro!$E42)))&amp;"x")+1,20))),"Revisar formato")))</f>
        <v>2710</v>
      </c>
      <c r="F42" s="11" t="str">
        <f>IF(Registro!$F42="","",N(Registro!$F42))</f>
        <v/>
      </c>
      <c r="G42" s="11">
        <f t="shared" si="1"/>
        <v>2710</v>
      </c>
      <c r="H42" s="10">
        <f>IF(Registro!$G42="","",IF(ISERROR(FIND("x",LOWER(Registro!$G42))),"-",IFERROR(SUMPRODUCT(--("0"&amp;LEFT(TRIM(MID(SUBSTITUTE(SUBSTITUTE(SUBSTITUTE(SUBSTITUTE(SUBSTITUTE(LOWER(Registro!$G42),"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",LEN(Registro!$G42))),({1,2,3,4,5,6,7,8,9,10,11,12,13,14,15,16,17,18,19,20,21,22,23,24,25,26,27,28,29,30}-1)*LEN(Registro!$G42)+1,LEN(Registro!$G42))),FIND("x",TRIM(MID(SUBSTITUTE(SUBSTITUTE(SUBSTITUTE(SUBSTITUTE(SUBSTITUTE(LOWER(Registro!$G42),"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",LEN(Registro!$G42))),({1,2,3,4,5,6,7,8,9,10,11,12,13,14,15,16,17,18,19,20,21,22,23,24,25,26,27,28,29,30}-1)*LEN(Registro!$G42)+1,LEN(Registro!$G42)))&amp;"x")-1))),"Revisar formato")))</f>
        <v>1</v>
      </c>
      <c r="I42" s="11">
        <f>IF(Registro!$G42="","",IF(ISERROR(FIND("x",LOWER(Registro!$G42))),N(Registro!$H42),IFERROR(SUMPRODUCT(--("0"&amp;LEFT(TRIM(MID(SUBSTITUTE(SUBSTITUTE(SUBSTITUTE(SUBSTITUTE(SUBSTITUTE(LOWER(Registro!$G42),"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",LEN(Registro!$G42))),({1,2,3,4,5,6,7,8,9,10,11,12,13,14,15,16,17,18,19,20,21,22,23,24,25,26,27,28,29,30}-1)*LEN(Registro!$G42)+1,LEN(Registro!$G42))),FIND("x",TRIM(MID(SUBSTITUTE(SUBSTITUTE(SUBSTITUTE(SUBSTITUTE(SUBSTITUTE(LOWER(Registro!$G42),"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",LEN(Registro!$G42))),({1,2,3,4,5,6,7,8,9,10,11,12,13,14,15,16,17,18,19,20,21,22,23,24,25,26,27,28,29,30}-1)*LEN(Registro!$G42)+1,LEN(Registro!$G42)))&amp;"x")-1)),--("0"&amp;MID(TRIM(MID(SUBSTITUTE(SUBSTITUTE(SUBSTITUTE(SUBSTITUTE(SUBSTITUTE(LOWER(Registro!$G42),"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",LEN(Registro!$G42))),({1,2,3,4,5,6,7,8,9,10,11,12,13,14,15,16,17,18,19,20,21,22,23,24,25,26,27,28,29,30}-1)*LEN(Registro!$G42)+1,LEN(Registro!$G42))),FIND("x",TRIM(MID(SUBSTITUTE(SUBSTITUTE(SUBSTITUTE(SUBSTITUTE(SUBSTITUTE(LOWER(Registro!$G42),"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",LEN(Registro!$G42))),({1,2,3,4,5,6,7,8,9,10,11,12,13,14,15,16,17,18,19,20,21,22,23,24,25,26,27,28,29,30}-1)*LEN(Registro!$G42)+1,LEN(Registro!$G42)))&amp;"x")+1,20))),"Revisar formato")))</f>
        <v>1925</v>
      </c>
      <c r="J42" s="9" t="str">
        <f>IF(AND(Registro!$E42="",Registro!$G42=""),"",IF(NOT(AND(ISNUMBER(I42),ISNUMBER(Registro!$H42))),"",IF(I42&lt;Registro!$H42,"FALTA BOLETOS",IF(I42=Registro!$H42,"CONFORME","DIFERENCIA"))))</f>
        <v>CONFORME</v>
      </c>
      <c r="K42" s="11">
        <f>IF(Registro!$I42="","",IFERROR(SUMPRODUCT(--("0"&amp;TRIM(RIGHT(SUBSTITUTE(TRIM(MID(SUBSTITUTE(SUBSTITUTE(Registro!$I42,";",CHAR(10)),CHAR(10),REPT(" ",LEN(Registro!$I42))),({1,2,3,4,5,6,7,8,9,10,11,12,13,14,15,16,17,18,19,20,21,22,23,24,25,26,27,28,29,30}-1)*LEN(Registro!$I42)+1,LEN(Registro!$I42)))," ",REPT(" ",50)),50)))),"Revisar formato"))</f>
        <v>105</v>
      </c>
      <c r="L42" s="11" t="str">
        <f>IF(Registro!$J42="","",IFERROR(SUMPRODUCT(--("0"&amp;TRIM(RIGHT(SUBSTITUTE(TRIM(MID(SUBSTITUTE(SUBSTITUTE(Registro!$J42,";",CHAR(10)),CHAR(10),REPT(" ",LEN(Registro!$J42))),({1,2,3,4,5,6,7,8,9,10,11,12,13,14,15,16,17,18,19,20,21,22,23,24,25,26,27,28,29,30}-1)*LEN(Registro!$J42)+1,LEN(Registro!$J42)))," ",REPT(" ",50)),50)))),"Revisar formato"))</f>
        <v/>
      </c>
      <c r="M42" s="11">
        <f>IF(AND(Registro!$H42="",Registro!$I42=""),"",IF(AND(ISTEXT(K42),K42&lt;&gt;""),"Revisar formato",N(Registro!$H42)-N(K42)))</f>
        <v>1820</v>
      </c>
      <c r="N42" s="11">
        <f t="shared" si="2"/>
        <v>1820</v>
      </c>
      <c r="O42" s="15" t="str">
        <f>IF(AND(A42=Consulta!$B$3,C42=Consulta!$H$3),B42*10000+ROW(),"")</f>
        <v/>
      </c>
    </row>
    <row r="43" spans="1:15" x14ac:dyDescent="0.25">
      <c r="A43" s="9" t="str">
        <f>IF(Registro!$A43="","",Registro!$A43)</f>
        <v>PIN</v>
      </c>
      <c r="B43" s="8">
        <f>IF(Registro!$B43="","",Registro!$B43)</f>
        <v>46314</v>
      </c>
      <c r="C43" s="14">
        <f t="shared" si="0"/>
        <v>202610</v>
      </c>
      <c r="D43" s="10">
        <f>IF(Registro!$E43="","",IF(ISERROR(FIND("x",LOWER(Registro!$E43))),"-",IFERROR(SUMPRODUCT(--("0"&amp;LEFT(TRIM(MID(SUBSTITUTE(SUBSTITUTE(SUBSTITUTE(SUBSTITUTE(SUBSTITUTE(LOWER(Registro!$E43),"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",LEN(Registro!$E43))),({1,2,3,4,5,6,7,8,9,10,11,12,13,14,15,16,17,18,19,20,21,22,23,24,25,26,27,28,29,30}-1)*LEN(Registro!$E43)+1,LEN(Registro!$E43)))&amp;"x")-1))),"Revisar formato")))</f>
        <v>57</v>
      </c>
      <c r="E43" s="11">
        <f>IF(Registro!$E43="","",IF(ISERROR(FIND("x",LOWER(Registro!$E43))),"-",IFERROR(SUMPRODUCT(--("0"&amp;LEFT(TRIM(MID(SUBSTITUTE(SUBSTITUTE(SUBSTITUTE(SUBSTITUTE(SUBSTITUTE(LOWER(Registro!$E43),"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",LEN(Registro!$E43))),({1,2,3,4,5,6,7,8,9,10,11,12,13,14,15,16,17,18,19,20,21,22,23,24,25,26,27,28,29,30}-1)*LEN(Registro!$E43)+1,LEN(Registro!$E43)))&amp;"x")-1)),--("0"&amp;MID(TRIM(MID(SUBSTITUTE(SUBSTITUTE(SUBSTITUTE(SUBSTITUTE(SUBSTITUTE(LOWER(Registro!$E43),"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",LEN(Registro!$E43))),({1,2,3,4,5,6,7,8,9,10,11,12,13,14,15,16,17,18,19,20,21,22,23,24,25,26,27,28,29,30}-1)*LEN(Registro!$E43)+1,LEN(Registro!$E43)))&amp;"x")+1,20))),"Revisar formato")))</f>
        <v>2680</v>
      </c>
      <c r="F43" s="11" t="str">
        <f>IF(Registro!$F43="","",N(Registro!$F43))</f>
        <v/>
      </c>
      <c r="G43" s="11">
        <f t="shared" si="1"/>
        <v>2680</v>
      </c>
      <c r="H43" s="10">
        <f>IF(Registro!$G43="","",IF(ISERROR(FIND("x",LOWER(Registro!$G43))),"-",IFERROR(SUMPRODUCT(--("0"&amp;LEFT(TRIM(MID(SUBSTITUTE(SUBSTITUTE(SUBSTITUTE(SUBSTITUTE(SUBSTITUTE(LOWER(Registro!$G43),"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",LEN(Registro!$G43))),({1,2,3,4,5,6,7,8,9,10,11,12,13,14,15,16,17,18,19,20,21,22,23,24,25,26,27,28,29,30}-1)*LEN(Registro!$G43)+1,LEN(Registro!$G43))),FIND("x",TRIM(MID(SUBSTITUTE(SUBSTITUTE(SUBSTITUTE(SUBSTITUTE(SUBSTITUTE(LOWER(Registro!$G43),"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",LEN(Registro!$G43))),({1,2,3,4,5,6,7,8,9,10,11,12,13,14,15,16,17,18,19,20,21,22,23,24,25,26,27,28,29,30}-1)*LEN(Registro!$G43)+1,LEN(Registro!$G43)))&amp;"x")-1))),"Revisar formato")))</f>
        <v>1</v>
      </c>
      <c r="I43" s="11">
        <f>IF(Registro!$G43="","",IF(ISERROR(FIND("x",LOWER(Registro!$G43))),N(Registro!$H43),IFERROR(SUMPRODUCT(--("0"&amp;LEFT(TRIM(MID(SUBSTITUTE(SUBSTITUTE(SUBSTITUTE(SUBSTITUTE(SUBSTITUTE(LOWER(Registro!$G43),"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",LEN(Registro!$G43))),({1,2,3,4,5,6,7,8,9,10,11,12,13,14,15,16,17,18,19,20,21,22,23,24,25,26,27,28,29,30}-1)*LEN(Registro!$G43)+1,LEN(Registro!$G43))),FIND("x",TRIM(MID(SUBSTITUTE(SUBSTITUTE(SUBSTITUTE(SUBSTITUTE(SUBSTITUTE(LOWER(Registro!$G43),"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",LEN(Registro!$G43))),({1,2,3,4,5,6,7,8,9,10,11,12,13,14,15,16,17,18,19,20,21,22,23,24,25,26,27,28,29,30}-1)*LEN(Registro!$G43)+1,LEN(Registro!$G43)))&amp;"x")-1)),--("0"&amp;MID(TRIM(MID(SUBSTITUTE(SUBSTITUTE(SUBSTITUTE(SUBSTITUTE(SUBSTITUTE(LOWER(Registro!$G43),"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",LEN(Registro!$G43))),({1,2,3,4,5,6,7,8,9,10,11,12,13,14,15,16,17,18,19,20,21,22,23,24,25,26,27,28,29,30}-1)*LEN(Registro!$G43)+1,LEN(Registro!$G43))),FIND("x",TRIM(MID(SUBSTITUTE(SUBSTITUTE(SUBSTITUTE(SUBSTITUTE(SUBSTITUTE(LOWER(Registro!$G43),"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",LEN(Registro!$G43))),({1,2,3,4,5,6,7,8,9,10,11,12,13,14,15,16,17,18,19,20,21,22,23,24,25,26,27,28,29,30}-1)*LEN(Registro!$G43)+1,LEN(Registro!$G43)))&amp;"x")+1,20))),"Revisar formato")))</f>
        <v>1725</v>
      </c>
      <c r="J43" s="9" t="str">
        <f>IF(AND(Registro!$E43="",Registro!$G43=""),"",IF(NOT(AND(ISNUMBER(I43),ISNUMBER(Registro!$H43))),"",IF(I43&lt;Registro!$H43,"FALTA BOLETOS",IF(I43=Registro!$H43,"CONFORME","DIFERENCIA"))))</f>
        <v>CONFORME</v>
      </c>
      <c r="K43" s="11">
        <f>IF(Registro!$I43="","",IFERROR(SUMPRODUCT(--("0"&amp;TRIM(RIGHT(SUBSTITUTE(TRIM(MID(SUBSTITUTE(SUBSTITUTE(Registro!$I43,";",CHAR(10)),CHAR(10),REPT(" ",LEN(Registro!$I43))),({1,2,3,4,5,6,7,8,9,10,11,12,13,14,15,16,17,18,19,20,21,22,23,24,25,26,27,28,29,30}-1)*LEN(Registro!$I43)+1,LEN(Registro!$I43)))," ",REPT(" ",50)),50)))),"Revisar formato"))</f>
        <v>105</v>
      </c>
      <c r="L43" s="11" t="str">
        <f>IF(Registro!$J43="","",IFERROR(SUMPRODUCT(--("0"&amp;TRIM(RIGHT(SUBSTITUTE(TRIM(MID(SUBSTITUTE(SUBSTITUTE(Registro!$J43,";",CHAR(10)),CHAR(10),REPT(" ",LEN(Registro!$J43))),({1,2,3,4,5,6,7,8,9,10,11,12,13,14,15,16,17,18,19,20,21,22,23,24,25,26,27,28,29,30}-1)*LEN(Registro!$J43)+1,LEN(Registro!$J43)))," ",REPT(" ",50)),50)))),"Revisar formato"))</f>
        <v/>
      </c>
      <c r="M43" s="11">
        <f>IF(AND(Registro!$H43="",Registro!$I43=""),"",IF(AND(ISTEXT(K43),K43&lt;&gt;""),"Revisar formato",N(Registro!$H43)-N(K43)))</f>
        <v>1620</v>
      </c>
      <c r="N43" s="11">
        <f t="shared" si="2"/>
        <v>1620</v>
      </c>
      <c r="O43" s="15" t="str">
        <f>IF(AND(A43=Consulta!$B$3,C43=Consulta!$H$3),B43*10000+ROW(),"")</f>
        <v/>
      </c>
    </row>
    <row r="44" spans="1:15" x14ac:dyDescent="0.25">
      <c r="A44" s="9" t="str">
        <f>IF(Registro!$A44="","",Registro!$A44)</f>
        <v>PIN</v>
      </c>
      <c r="B44" s="8">
        <f>IF(Registro!$B44="","",Registro!$B44)</f>
        <v>46315</v>
      </c>
      <c r="C44" s="14">
        <f t="shared" si="0"/>
        <v>202610</v>
      </c>
      <c r="D44" s="10">
        <f>IF(Registro!$E44="","",IF(ISERROR(FIND("x",LOWER(Registro!$E44))),"-",IFERROR(SUMPRODUCT(--("0"&amp;LEFT(TRIM(MID(SUBSTITUTE(SUBSTITUTE(SUBSTITUTE(SUBSTITUTE(SUBSTITUTE(LOWER(Registro!$E44),"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",LEN(Registro!$E44))),({1,2,3,4,5,6,7,8,9,10,11,12,13,14,15,16,17,18,19,20,21,22,23,24,25,26,27,28,29,30}-1)*LEN(Registro!$E44)+1,LEN(Registro!$E44)))&amp;"x")-1))),"Revisar formato")))</f>
        <v>51</v>
      </c>
      <c r="E44" s="11">
        <f>IF(Registro!$E44="","",IF(ISERROR(FIND("x",LOWER(Registro!$E44))),"-",IFERROR(SUMPRODUCT(--("0"&amp;LEFT(TRIM(MID(SUBSTITUTE(SUBSTITUTE(SUBSTITUTE(SUBSTITUTE(SUBSTITUTE(LOWER(Registro!$E44),"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",LEN(Registro!$E44))),({1,2,3,4,5,6,7,8,9,10,11,12,13,14,15,16,17,18,19,20,21,22,23,24,25,26,27,28,29,30}-1)*LEN(Registro!$E44)+1,LEN(Registro!$E44)))&amp;"x")-1)),--("0"&amp;MID(TRIM(MID(SUBSTITUTE(SUBSTITUTE(SUBSTITUTE(SUBSTITUTE(SUBSTITUTE(LOWER(Registro!$E44),"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",LEN(Registro!$E44))),({1,2,3,4,5,6,7,8,9,10,11,12,13,14,15,16,17,18,19,20,21,22,23,24,25,26,27,28,29,30}-1)*LEN(Registro!$E44)+1,LEN(Registro!$E44)))&amp;"x")+1,20))),"Revisar formato")))</f>
        <v>2600</v>
      </c>
      <c r="F44" s="11" t="str">
        <f>IF(Registro!$F44="","",N(Registro!$F44))</f>
        <v/>
      </c>
      <c r="G44" s="11">
        <f t="shared" si="1"/>
        <v>2600</v>
      </c>
      <c r="H44" s="10">
        <f>IF(Registro!$G44="","",IF(ISERROR(FIND("x",LOWER(Registro!$G44))),"-",IFERROR(SUMPRODUCT(--("0"&amp;LEFT(TRIM(MID(SUBSTITUTE(SUBSTITUTE(SUBSTITUTE(SUBSTITUTE(SUBSTITUTE(LOWER(Registro!$G44),"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",LEN(Registro!$G44))),({1,2,3,4,5,6,7,8,9,10,11,12,13,14,15,16,17,18,19,20,21,22,23,24,25,26,27,28,29,30}-1)*LEN(Registro!$G44)+1,LEN(Registro!$G44))),FIND("x",TRIM(MID(SUBSTITUTE(SUBSTITUTE(SUBSTITUTE(SUBSTITUTE(SUBSTITUTE(LOWER(Registro!$G44),"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",LEN(Registro!$G44))),({1,2,3,4,5,6,7,8,9,10,11,12,13,14,15,16,17,18,19,20,21,22,23,24,25,26,27,28,29,30}-1)*LEN(Registro!$G44)+1,LEN(Registro!$G44)))&amp;"x")-1))),"Revisar formato")))</f>
        <v>1</v>
      </c>
      <c r="I44" s="11">
        <f>IF(Registro!$G44="","",IF(ISERROR(FIND("x",LOWER(Registro!$G44))),N(Registro!$H44),IFERROR(SUMPRODUCT(--("0"&amp;LEFT(TRIM(MID(SUBSTITUTE(SUBSTITUTE(SUBSTITUTE(SUBSTITUTE(SUBSTITUTE(LOWER(Registro!$G44),"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",LEN(Registro!$G44))),({1,2,3,4,5,6,7,8,9,10,11,12,13,14,15,16,17,18,19,20,21,22,23,24,25,26,27,28,29,30}-1)*LEN(Registro!$G44)+1,LEN(Registro!$G44))),FIND("x",TRIM(MID(SUBSTITUTE(SUBSTITUTE(SUBSTITUTE(SUBSTITUTE(SUBSTITUTE(LOWER(Registro!$G44),"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",LEN(Registro!$G44))),({1,2,3,4,5,6,7,8,9,10,11,12,13,14,15,16,17,18,19,20,21,22,23,24,25,26,27,28,29,30}-1)*LEN(Registro!$G44)+1,LEN(Registro!$G44)))&amp;"x")-1)),--("0"&amp;MID(TRIM(MID(SUBSTITUTE(SUBSTITUTE(SUBSTITUTE(SUBSTITUTE(SUBSTITUTE(LOWER(Registro!$G44),"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",LEN(Registro!$G44))),({1,2,3,4,5,6,7,8,9,10,11,12,13,14,15,16,17,18,19,20,21,22,23,24,25,26,27,28,29,30}-1)*LEN(Registro!$G44)+1,LEN(Registro!$G44))),FIND("x",TRIM(MID(SUBSTITUTE(SUBSTITUTE(SUBSTITUTE(SUBSTITUTE(SUBSTITUTE(LOWER(Registro!$G44),"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",LEN(Registro!$G44))),({1,2,3,4,5,6,7,8,9,10,11,12,13,14,15,16,17,18,19,20,21,22,23,24,25,26,27,28,29,30}-1)*LEN(Registro!$G44)+1,LEN(Registro!$G44)))&amp;"x")+1,20))),"Revisar formato")))</f>
        <v>3660</v>
      </c>
      <c r="J44" s="9" t="str">
        <f>IF(AND(Registro!$E44="",Registro!$G44=""),"",IF(NOT(AND(ISNUMBER(I44),ISNUMBER(Registro!$H44))),"",IF(I44&lt;Registro!$H44,"FALTA BOLETOS",IF(I44=Registro!$H44,"CONFORME","DIFERENCIA"))))</f>
        <v>CONFORME</v>
      </c>
      <c r="K44" s="11">
        <f>IF(Registro!$I44="","",IFERROR(SUMPRODUCT(--("0"&amp;TRIM(RIGHT(SUBSTITUTE(TRIM(MID(SUBSTITUTE(SUBSTITUTE(Registro!$I44,";",CHAR(10)),CHAR(10),REPT(" ",LEN(Registro!$I44))),({1,2,3,4,5,6,7,8,9,10,11,12,13,14,15,16,17,18,19,20,21,22,23,24,25,26,27,28,29,30}-1)*LEN(Registro!$I44)+1,LEN(Registro!$I44)))," ",REPT(" ",50)),50)))),"Revisar formato"))</f>
        <v>110</v>
      </c>
      <c r="L44" s="11" t="str">
        <f>IF(Registro!$J44="","",IFERROR(SUMPRODUCT(--("0"&amp;TRIM(RIGHT(SUBSTITUTE(TRIM(MID(SUBSTITUTE(SUBSTITUTE(Registro!$J44,";",CHAR(10)),CHAR(10),REPT(" ",LEN(Registro!$J44))),({1,2,3,4,5,6,7,8,9,10,11,12,13,14,15,16,17,18,19,20,21,22,23,24,25,26,27,28,29,30}-1)*LEN(Registro!$J44)+1,LEN(Registro!$J44)))," ",REPT(" ",50)),50)))),"Revisar formato"))</f>
        <v/>
      </c>
      <c r="M44" s="11">
        <f>IF(AND(Registro!$H44="",Registro!$I44=""),"",IF(AND(ISTEXT(K44),K44&lt;&gt;""),"Revisar formato",N(Registro!$H44)-N(K44)))</f>
        <v>3550</v>
      </c>
      <c r="N44" s="11">
        <f t="shared" si="2"/>
        <v>3550</v>
      </c>
      <c r="O44" s="15" t="str">
        <f>IF(AND(A44=Consulta!$B$3,C44=Consulta!$H$3),B44*10000+ROW(),"")</f>
        <v/>
      </c>
    </row>
    <row r="45" spans="1:15" x14ac:dyDescent="0.25">
      <c r="A45" s="9" t="str">
        <f>IF(Registro!$A45="","",Registro!$A45)</f>
        <v>PIN</v>
      </c>
      <c r="B45" s="8">
        <f>IF(Registro!$B45="","",Registro!$B45)</f>
        <v>46317</v>
      </c>
      <c r="C45" s="14">
        <f t="shared" si="0"/>
        <v>202610</v>
      </c>
      <c r="D45" s="10">
        <f>IF(Registro!$E45="","",IF(ISERROR(FIND("x",LOWER(Registro!$E45))),"-",IFERROR(SUMPRODUCT(--("0"&amp;LEFT(TRIM(MID(SUBSTITUTE(SUBSTITUTE(SUBSTITUTE(SUBSTITUTE(SUBSTITUTE(LOWER(Registro!$E45),"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",LEN(Registro!$E45))),({1,2,3,4,5,6,7,8,9,10,11,12,13,14,15,16,17,18,19,20,21,22,23,24,25,26,27,28,29,30}-1)*LEN(Registro!$E45)+1,LEN(Registro!$E45)))&amp;"x")-1))),"Revisar formato")))</f>
        <v>46</v>
      </c>
      <c r="E45" s="11">
        <f>IF(Registro!$E45="","",IF(ISERROR(FIND("x",LOWER(Registro!$E45))),"-",IFERROR(SUMPRODUCT(--("0"&amp;LEFT(TRIM(MID(SUBSTITUTE(SUBSTITUTE(SUBSTITUTE(SUBSTITUTE(SUBSTITUTE(LOWER(Registro!$E45),"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",LEN(Registro!$E45))),({1,2,3,4,5,6,7,8,9,10,11,12,13,14,15,16,17,18,19,20,21,22,23,24,25,26,27,28,29,30}-1)*LEN(Registro!$E45)+1,LEN(Registro!$E45)))&amp;"x")-1)),--("0"&amp;MID(TRIM(MID(SUBSTITUTE(SUBSTITUTE(SUBSTITUTE(SUBSTITUTE(SUBSTITUTE(LOWER(Registro!$E45),"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",LEN(Registro!$E45))),({1,2,3,4,5,6,7,8,9,10,11,12,13,14,15,16,17,18,19,20,21,22,23,24,25,26,27,28,29,30}-1)*LEN(Registro!$E45)+1,LEN(Registro!$E45)))&amp;"x")+1,20))),"Revisar formato")))</f>
        <v>2000</v>
      </c>
      <c r="F45" s="11" t="str">
        <f>IF(Registro!$F45="","",N(Registro!$F45))</f>
        <v/>
      </c>
      <c r="G45" s="11">
        <f t="shared" si="1"/>
        <v>2000</v>
      </c>
      <c r="H45" s="10">
        <f>IF(Registro!$G45="","",IF(ISERROR(FIND("x",LOWER(Registro!$G45))),"-",IFERROR(SUMPRODUCT(--("0"&amp;LEFT(TRIM(MID(SUBSTITUTE(SUBSTITUTE(SUBSTITUTE(SUBSTITUTE(SUBSTITUTE(LOWER(Registro!$G45),"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",LEN(Registro!$G45))),({1,2,3,4,5,6,7,8,9,10,11,12,13,14,15,16,17,18,19,20,21,22,23,24,25,26,27,28,29,30}-1)*LEN(Registro!$G45)+1,LEN(Registro!$G45))),FIND("x",TRIM(MID(SUBSTITUTE(SUBSTITUTE(SUBSTITUTE(SUBSTITUTE(SUBSTITUTE(LOWER(Registro!$G45),"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",LEN(Registro!$G45))),({1,2,3,4,5,6,7,8,9,10,11,12,13,14,15,16,17,18,19,20,21,22,23,24,25,26,27,28,29,30}-1)*LEN(Registro!$G45)+1,LEN(Registro!$G45)))&amp;"x")-1))),"Revisar formato")))</f>
        <v>1</v>
      </c>
      <c r="I45" s="11">
        <f>IF(Registro!$G45="","",IF(ISERROR(FIND("x",LOWER(Registro!$G45))),N(Registro!$H45),IFERROR(SUMPRODUCT(--("0"&amp;LEFT(TRIM(MID(SUBSTITUTE(SUBSTITUTE(SUBSTITUTE(SUBSTITUTE(SUBSTITUTE(LOWER(Registro!$G45),"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",LEN(Registro!$G45))),({1,2,3,4,5,6,7,8,9,10,11,12,13,14,15,16,17,18,19,20,21,22,23,24,25,26,27,28,29,30}-1)*LEN(Registro!$G45)+1,LEN(Registro!$G45))),FIND("x",TRIM(MID(SUBSTITUTE(SUBSTITUTE(SUBSTITUTE(SUBSTITUTE(SUBSTITUTE(LOWER(Registro!$G45),"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",LEN(Registro!$G45))),({1,2,3,4,5,6,7,8,9,10,11,12,13,14,15,16,17,18,19,20,21,22,23,24,25,26,27,28,29,30}-1)*LEN(Registro!$G45)+1,LEN(Registro!$G45)))&amp;"x")-1)),--("0"&amp;MID(TRIM(MID(SUBSTITUTE(SUBSTITUTE(SUBSTITUTE(SUBSTITUTE(SUBSTITUTE(LOWER(Registro!$G45),"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",LEN(Registro!$G45))),({1,2,3,4,5,6,7,8,9,10,11,12,13,14,15,16,17,18,19,20,21,22,23,24,25,26,27,28,29,30}-1)*LEN(Registro!$G45)+1,LEN(Registro!$G45))),FIND("x",TRIM(MID(SUBSTITUTE(SUBSTITUTE(SUBSTITUTE(SUBSTITUTE(SUBSTITUTE(LOWER(Registro!$G45),"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",LEN(Registro!$G45))),({1,2,3,4,5,6,7,8,9,10,11,12,13,14,15,16,17,18,19,20,21,22,23,24,25,26,27,28,29,30}-1)*LEN(Registro!$G45)+1,LEN(Registro!$G45)))&amp;"x")+1,20))),"Revisar formato")))</f>
        <v>1795</v>
      </c>
      <c r="J45" s="9" t="str">
        <f>IF(AND(Registro!$E45="",Registro!$G45=""),"",IF(NOT(AND(ISNUMBER(I45),ISNUMBER(Registro!$H45))),"",IF(I45&lt;Registro!$H45,"FALTA BOLETOS",IF(I45=Registro!$H45,"CONFORME","DIFERENCIA"))))</f>
        <v>CONFORME</v>
      </c>
      <c r="K45" s="11">
        <f>IF(Registro!$I45="","",IFERROR(SUMPRODUCT(--("0"&amp;TRIM(RIGHT(SUBSTITUTE(TRIM(MID(SUBSTITUTE(SUBSTITUTE(Registro!$I45,";",CHAR(10)),CHAR(10),REPT(" ",LEN(Registro!$I45))),({1,2,3,4,5,6,7,8,9,10,11,12,13,14,15,16,17,18,19,20,21,22,23,24,25,26,27,28,29,30}-1)*LEN(Registro!$I45)+1,LEN(Registro!$I45)))," ",REPT(" ",50)),50)))),"Revisar formato"))</f>
        <v>85</v>
      </c>
      <c r="L45" s="11" t="str">
        <f>IF(Registro!$J45="","",IFERROR(SUMPRODUCT(--("0"&amp;TRIM(RIGHT(SUBSTITUTE(TRIM(MID(SUBSTITUTE(SUBSTITUTE(Registro!$J45,";",CHAR(10)),CHAR(10),REPT(" ",LEN(Registro!$J45))),({1,2,3,4,5,6,7,8,9,10,11,12,13,14,15,16,17,18,19,20,21,22,23,24,25,26,27,28,29,30}-1)*LEN(Registro!$J45)+1,LEN(Registro!$J45)))," ",REPT(" ",50)),50)))),"Revisar formato"))</f>
        <v/>
      </c>
      <c r="M45" s="11">
        <f>IF(AND(Registro!$H45="",Registro!$I45=""),"",IF(AND(ISTEXT(K45),K45&lt;&gt;""),"Revisar formato",N(Registro!$H45)-N(K45)))</f>
        <v>1710</v>
      </c>
      <c r="N45" s="11">
        <f t="shared" si="2"/>
        <v>1710</v>
      </c>
      <c r="O45" s="15" t="str">
        <f>IF(AND(A45=Consulta!$B$3,C45=Consulta!$H$3),B45*10000+ROW(),"")</f>
        <v/>
      </c>
    </row>
    <row r="46" spans="1:15" x14ac:dyDescent="0.25">
      <c r="A46" s="9" t="str">
        <f>IF(Registro!$A46="","",Registro!$A46)</f>
        <v>PIN</v>
      </c>
      <c r="B46" s="8">
        <f>IF(Registro!$B46="","",Registro!$B46)</f>
        <v>46318</v>
      </c>
      <c r="C46" s="14">
        <f t="shared" si="0"/>
        <v>202610</v>
      </c>
      <c r="D46" s="10">
        <f>IF(Registro!$E46="","",IF(ISERROR(FIND("x",LOWER(Registro!$E46))),"-",IFERROR(SUMPRODUCT(--("0"&amp;LEFT(TRIM(MID(SUBSTITUTE(SUBSTITUTE(SUBSTITUTE(SUBSTITUTE(SUBSTITUTE(LOWER(Registro!$E46),"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",LEN(Registro!$E46))),({1,2,3,4,5,6,7,8,9,10,11,12,13,14,15,16,17,18,19,20,21,22,23,24,25,26,27,28,29,30}-1)*LEN(Registro!$E46)+1,LEN(Registro!$E46)))&amp;"x")-1))),"Revisar formato")))</f>
        <v>54</v>
      </c>
      <c r="E46" s="11">
        <f>IF(Registro!$E46="","",IF(ISERROR(FIND("x",LOWER(Registro!$E46))),"-",IFERROR(SUMPRODUCT(--("0"&amp;LEFT(TRIM(MID(SUBSTITUTE(SUBSTITUTE(SUBSTITUTE(SUBSTITUTE(SUBSTITUTE(LOWER(Registro!$E46),"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",LEN(Registro!$E46))),({1,2,3,4,5,6,7,8,9,10,11,12,13,14,15,16,17,18,19,20,21,22,23,24,25,26,27,28,29,30}-1)*LEN(Registro!$E46)+1,LEN(Registro!$E46)))&amp;"x")-1)),--("0"&amp;MID(TRIM(MID(SUBSTITUTE(SUBSTITUTE(SUBSTITUTE(SUBSTITUTE(SUBSTITUTE(LOWER(Registro!$E46),"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",LEN(Registro!$E46))),({1,2,3,4,5,6,7,8,9,10,11,12,13,14,15,16,17,18,19,20,21,22,23,24,25,26,27,28,29,30}-1)*LEN(Registro!$E46)+1,LEN(Registro!$E46)))&amp;"x")+1,20))),"Revisar formato")))</f>
        <v>2960</v>
      </c>
      <c r="F46" s="11" t="str">
        <f>IF(Registro!$F46="","",N(Registro!$F46))</f>
        <v/>
      </c>
      <c r="G46" s="11">
        <f t="shared" si="1"/>
        <v>2960</v>
      </c>
      <c r="H46" s="10">
        <f>IF(Registro!$G46="","",IF(ISERROR(FIND("x",LOWER(Registro!$G46))),"-",IFERROR(SUMPRODUCT(--("0"&amp;LEFT(TRIM(MID(SUBSTITUTE(SUBSTITUTE(SUBSTITUTE(SUBSTITUTE(SUBSTITUTE(LOWER(Registro!$G46),"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",LEN(Registro!$G46))),({1,2,3,4,5,6,7,8,9,10,11,12,13,14,15,16,17,18,19,20,21,22,23,24,25,26,27,28,29,30}-1)*LEN(Registro!$G46)+1,LEN(Registro!$G46))),FIND("x",TRIM(MID(SUBSTITUTE(SUBSTITUTE(SUBSTITUTE(SUBSTITUTE(SUBSTITUTE(LOWER(Registro!$G46),"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",LEN(Registro!$G46))),({1,2,3,4,5,6,7,8,9,10,11,12,13,14,15,16,17,18,19,20,21,22,23,24,25,26,27,28,29,30}-1)*LEN(Registro!$G46)+1,LEN(Registro!$G46)))&amp;"x")-1))),"Revisar formato")))</f>
        <v>60</v>
      </c>
      <c r="I46" s="11">
        <f>IF(Registro!$G46="","",IF(ISERROR(FIND("x",LOWER(Registro!$G46))),N(Registro!$H46),IFERROR(SUMPRODUCT(--("0"&amp;LEFT(TRIM(MID(SUBSTITUTE(SUBSTITUTE(SUBSTITUTE(SUBSTITUTE(SUBSTITUTE(LOWER(Registro!$G46),"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",LEN(Registro!$G46))),({1,2,3,4,5,6,7,8,9,10,11,12,13,14,15,16,17,18,19,20,21,22,23,24,25,26,27,28,29,30}-1)*LEN(Registro!$G46)+1,LEN(Registro!$G46))),FIND("x",TRIM(MID(SUBSTITUTE(SUBSTITUTE(SUBSTITUTE(SUBSTITUTE(SUBSTITUTE(LOWER(Registro!$G46),"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",LEN(Registro!$G46))),({1,2,3,4,5,6,7,8,9,10,11,12,13,14,15,16,17,18,19,20,21,22,23,24,25,26,27,28,29,30}-1)*LEN(Registro!$G46)+1,LEN(Registro!$G46)))&amp;"x")-1)),--("0"&amp;MID(TRIM(MID(SUBSTITUTE(SUBSTITUTE(SUBSTITUTE(SUBSTITUTE(SUBSTITUTE(LOWER(Registro!$G46),"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",LEN(Registro!$G46))),({1,2,3,4,5,6,7,8,9,10,11,12,13,14,15,16,17,18,19,20,21,22,23,24,25,26,27,28,29,30}-1)*LEN(Registro!$G46)+1,LEN(Registro!$G46))),FIND("x",TRIM(MID(SUBSTITUTE(SUBSTITUTE(SUBSTITUTE(SUBSTITUTE(SUBSTITUTE(LOWER(Registro!$G46),"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",LEN(Registro!$G46))),({1,2,3,4,5,6,7,8,9,10,11,12,13,14,15,16,17,18,19,20,21,22,23,24,25,26,27,28,29,30}-1)*LEN(Registro!$G46)+1,LEN(Registro!$G46)))&amp;"x")+1,20))),"Revisar formato")))</f>
        <v>3690</v>
      </c>
      <c r="J46" s="9" t="str">
        <f>IF(AND(Registro!$E46="",Registro!$G46=""),"",IF(NOT(AND(ISNUMBER(I46),ISNUMBER(Registro!$H46))),"",IF(I46&lt;Registro!$H46,"FALTA BOLETOS",IF(I46=Registro!$H46,"CONFORME","DIFERENCIA"))))</f>
        <v>FALTA BOLETOS</v>
      </c>
      <c r="K46" s="11">
        <f>IF(Registro!$I46="","",IFERROR(SUMPRODUCT(--("0"&amp;TRIM(RIGHT(SUBSTITUTE(TRIM(MID(SUBSTITUTE(SUBSTITUTE(Registro!$I46,";",CHAR(10)),CHAR(10),REPT(" ",LEN(Registro!$I46))),({1,2,3,4,5,6,7,8,9,10,11,12,13,14,15,16,17,18,19,20,21,22,23,24,25,26,27,28,29,30}-1)*LEN(Registro!$I46)+1,LEN(Registro!$I46)))," ",REPT(" ",50)),50)))),"Revisar formato"))</f>
        <v>130</v>
      </c>
      <c r="L46" s="11" t="str">
        <f>IF(Registro!$J46="","",IFERROR(SUMPRODUCT(--("0"&amp;TRIM(RIGHT(SUBSTITUTE(TRIM(MID(SUBSTITUTE(SUBSTITUTE(Registro!$J46,";",CHAR(10)),CHAR(10),REPT(" ",LEN(Registro!$J46))),({1,2,3,4,5,6,7,8,9,10,11,12,13,14,15,16,17,18,19,20,21,22,23,24,25,26,27,28,29,30}-1)*LEN(Registro!$J46)+1,LEN(Registro!$J46)))," ",REPT(" ",50)),50)))),"Revisar formato"))</f>
        <v/>
      </c>
      <c r="M46" s="11">
        <f>IF(AND(Registro!$H46="",Registro!$I46=""),"",IF(AND(ISTEXT(K46),K46&lt;&gt;""),"Revisar formato",N(Registro!$H46)-N(K46)))</f>
        <v>3620</v>
      </c>
      <c r="N46" s="11">
        <f t="shared" si="2"/>
        <v>3620</v>
      </c>
      <c r="O46" s="15" t="str">
        <f>IF(AND(A46=Consulta!$B$3,C46=Consulta!$H$3),B46*10000+ROW(),"")</f>
        <v/>
      </c>
    </row>
    <row r="47" spans="1:15" x14ac:dyDescent="0.25">
      <c r="A47" s="9" t="str">
        <f>IF(Registro!$A47="","",Registro!$A47)</f>
        <v>TDS</v>
      </c>
      <c r="B47" s="8">
        <f>IF(Registro!$B47="","",Registro!$B47)</f>
        <v>46319</v>
      </c>
      <c r="C47" s="14">
        <f t="shared" si="0"/>
        <v>202610</v>
      </c>
      <c r="D47" s="10">
        <f>IF(Registro!$E47="","",IF(ISERROR(FIND("x",LOWER(Registro!$E47))),"-",IFERROR(SUMPRODUCT(--("0"&amp;LEFT(TRIM(MID(SUBSTITUTE(SUBSTITUTE(SUBSTITUTE(SUBSTITUTE(SUBSTITUTE(LOWER(Registro!$E47),"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",LEN(Registro!$E47))),({1,2,3,4,5,6,7,8,9,10,11,12,13,14,15,16,17,18,19,20,21,22,23,24,25,26,27,28,29,30}-1)*LEN(Registro!$E47)+1,LEN(Registro!$E47)))&amp;"x")-1))),"Revisar formato")))</f>
        <v>52</v>
      </c>
      <c r="E47" s="11">
        <f>IF(Registro!$E47="","",IF(ISERROR(FIND("x",LOWER(Registro!$E47))),"-",IFERROR(SUMPRODUCT(--("0"&amp;LEFT(TRIM(MID(SUBSTITUTE(SUBSTITUTE(SUBSTITUTE(SUBSTITUTE(SUBSTITUTE(LOWER(Registro!$E47),"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",LEN(Registro!$E47))),({1,2,3,4,5,6,7,8,9,10,11,12,13,14,15,16,17,18,19,20,21,22,23,24,25,26,27,28,29,30}-1)*LEN(Registro!$E47)+1,LEN(Registro!$E47)))&amp;"x")-1)),--("0"&amp;MID(TRIM(MID(SUBSTITUTE(SUBSTITUTE(SUBSTITUTE(SUBSTITUTE(SUBSTITUTE(LOWER(Registro!$E47),"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",LEN(Registro!$E47))),({1,2,3,4,5,6,7,8,9,10,11,12,13,14,15,16,17,18,19,20,21,22,23,24,25,26,27,28,29,30}-1)*LEN(Registro!$E47)+1,LEN(Registro!$E47)))&amp;"x")+1,20))),"Revisar formato")))</f>
        <v>2790</v>
      </c>
      <c r="F47" s="11" t="str">
        <f>IF(Registro!$F47="","",N(Registro!$F47))</f>
        <v/>
      </c>
      <c r="G47" s="11">
        <f t="shared" si="1"/>
        <v>2790</v>
      </c>
      <c r="H47" s="10">
        <f>IF(Registro!$G47="","",IF(ISERROR(FIND("x",LOWER(Registro!$G47))),"-",IFERROR(SUMPRODUCT(--("0"&amp;LEFT(TRIM(MID(SUBSTITUTE(SUBSTITUTE(SUBSTITUTE(SUBSTITUTE(SUBSTITUTE(LOWER(Registro!$G47),"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",LEN(Registro!$G47))),({1,2,3,4,5,6,7,8,9,10,11,12,13,14,15,16,17,18,19,20,21,22,23,24,25,26,27,28,29,30}-1)*LEN(Registro!$G47)+1,LEN(Registro!$G47))),FIND("x",TRIM(MID(SUBSTITUTE(SUBSTITUTE(SUBSTITUTE(SUBSTITUTE(SUBSTITUTE(LOWER(Registro!$G47),"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",LEN(Registro!$G47))),({1,2,3,4,5,6,7,8,9,10,11,12,13,14,15,16,17,18,19,20,21,22,23,24,25,26,27,28,29,30}-1)*LEN(Registro!$G47)+1,LEN(Registro!$G47)))&amp;"x")-1))),"Revisar formato")))</f>
        <v>1</v>
      </c>
      <c r="I47" s="11">
        <f>IF(Registro!$G47="","",IF(ISERROR(FIND("x",LOWER(Registro!$G47))),N(Registro!$H47),IFERROR(SUMPRODUCT(--("0"&amp;LEFT(TRIM(MID(SUBSTITUTE(SUBSTITUTE(SUBSTITUTE(SUBSTITUTE(SUBSTITUTE(LOWER(Registro!$G47),"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",LEN(Registro!$G47))),({1,2,3,4,5,6,7,8,9,10,11,12,13,14,15,16,17,18,19,20,21,22,23,24,25,26,27,28,29,30}-1)*LEN(Registro!$G47)+1,LEN(Registro!$G47))),FIND("x",TRIM(MID(SUBSTITUTE(SUBSTITUTE(SUBSTITUTE(SUBSTITUTE(SUBSTITUTE(LOWER(Registro!$G47),"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",LEN(Registro!$G47))),({1,2,3,4,5,6,7,8,9,10,11,12,13,14,15,16,17,18,19,20,21,22,23,24,25,26,27,28,29,30}-1)*LEN(Registro!$G47)+1,LEN(Registro!$G47)))&amp;"x")-1)),--("0"&amp;MID(TRIM(MID(SUBSTITUTE(SUBSTITUTE(SUBSTITUTE(SUBSTITUTE(SUBSTITUTE(LOWER(Registro!$G47),"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",LEN(Registro!$G47))),({1,2,3,4,5,6,7,8,9,10,11,12,13,14,15,16,17,18,19,20,21,22,23,24,25,26,27,28,29,30}-1)*LEN(Registro!$G47)+1,LEN(Registro!$G47))),FIND("x",TRIM(MID(SUBSTITUTE(SUBSTITUTE(SUBSTITUTE(SUBSTITUTE(SUBSTITUTE(LOWER(Registro!$G47),"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",LEN(Registro!$G47))),({1,2,3,4,5,6,7,8,9,10,11,12,13,14,15,16,17,18,19,20,21,22,23,24,25,26,27,28,29,30}-1)*LEN(Registro!$G47)+1,LEN(Registro!$G47)))&amp;"x")+1,20))),"Revisar formato")))</f>
        <v>2815</v>
      </c>
      <c r="J47" s="9" t="str">
        <f>IF(AND(Registro!$E47="",Registro!$G47=""),"",IF(NOT(AND(ISNUMBER(I47),ISNUMBER(Registro!$H47))),"",IF(I47&lt;Registro!$H47,"FALTA BOLETOS",IF(I47=Registro!$H47,"CONFORME","DIFERENCIA"))))</f>
        <v>CONFORME</v>
      </c>
      <c r="K47" s="11">
        <f>IF(Registro!$I47="","",IFERROR(SUMPRODUCT(--("0"&amp;TRIM(RIGHT(SUBSTITUTE(TRIM(MID(SUBSTITUTE(SUBSTITUTE(Registro!$I47,";",CHAR(10)),CHAR(10),REPT(" ",LEN(Registro!$I47))),({1,2,3,4,5,6,7,8,9,10,11,12,13,14,15,16,17,18,19,20,21,22,23,24,25,26,27,28,29,30}-1)*LEN(Registro!$I47)+1,LEN(Registro!$I47)))," ",REPT(" ",50)),50)))),"Revisar formato"))</f>
        <v>92</v>
      </c>
      <c r="L47" s="11">
        <f>IF(Registro!$J47="","",IFERROR(SUMPRODUCT(--("0"&amp;TRIM(RIGHT(SUBSTITUTE(TRIM(MID(SUBSTITUTE(SUBSTITUTE(Registro!$J47,";",CHAR(10)),CHAR(10),REPT(" ",LEN(Registro!$J47))),({1,2,3,4,5,6,7,8,9,10,11,12,13,14,15,16,17,18,19,20,21,22,23,24,25,26,27,28,29,30}-1)*LEN(Registro!$J47)+1,LEN(Registro!$J47)))," ",REPT(" ",50)),50)))),"Revisar formato"))</f>
        <v>2700</v>
      </c>
      <c r="M47" s="11">
        <f>IF(AND(Registro!$H47="",Registro!$I47=""),"",IF(AND(ISTEXT(K47),K47&lt;&gt;""),"Revisar formato",N(Registro!$H47)-N(K47)))</f>
        <v>2723</v>
      </c>
      <c r="N47" s="11">
        <f t="shared" si="2"/>
        <v>23</v>
      </c>
      <c r="O47" s="15">
        <f>IF(AND(A47=Consulta!$B$3,C47=Consulta!$H$3),B47*10000+ROW(),"")</f>
        <v>463190047</v>
      </c>
    </row>
    <row r="48" spans="1:15" x14ac:dyDescent="0.25">
      <c r="A48" s="9" t="str">
        <f>IF(Registro!$A48="","",Registro!$A48)</f>
        <v>TDS</v>
      </c>
      <c r="B48" s="8">
        <f>IF(Registro!$B48="","",Registro!$B48)</f>
        <v>46320</v>
      </c>
      <c r="C48" s="14">
        <f t="shared" si="0"/>
        <v>202610</v>
      </c>
      <c r="D48" s="10">
        <f>IF(Registro!$E48="","",IF(ISERROR(FIND("x",LOWER(Registro!$E48))),"-",IFERROR(SUMPRODUCT(--("0"&amp;LEFT(TRIM(MID(SUBSTITUTE(SUBSTITUTE(SUBSTITUTE(SUBSTITUTE(SUBSTITUTE(LOWER(Registro!$E48),"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",LEN(Registro!$E48))),({1,2,3,4,5,6,7,8,9,10,11,12,13,14,15,16,17,18,19,20,21,22,23,24,25,26,27,28,29,30}-1)*LEN(Registro!$E48)+1,LEN(Registro!$E48)))&amp;"x")-1))),"Revisar formato")))</f>
        <v>34</v>
      </c>
      <c r="E48" s="11">
        <f>IF(Registro!$E48="","",IF(ISERROR(FIND("x",LOWER(Registro!$E48))),"-",IFERROR(SUMPRODUCT(--("0"&amp;LEFT(TRIM(MID(SUBSTITUTE(SUBSTITUTE(SUBSTITUTE(SUBSTITUTE(SUBSTITUTE(LOWER(Registro!$E48),"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",LEN(Registro!$E48))),({1,2,3,4,5,6,7,8,9,10,11,12,13,14,15,16,17,18,19,20,21,22,23,24,25,26,27,28,29,30}-1)*LEN(Registro!$E48)+1,LEN(Registro!$E48)))&amp;"x")-1)),--("0"&amp;MID(TRIM(MID(SUBSTITUTE(SUBSTITUTE(SUBSTITUTE(SUBSTITUTE(SUBSTITUTE(LOWER(Registro!$E48),"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",LEN(Registro!$E48))),({1,2,3,4,5,6,7,8,9,10,11,12,13,14,15,16,17,18,19,20,21,22,23,24,25,26,27,28,29,30}-1)*LEN(Registro!$E48)+1,LEN(Registro!$E48)))&amp;"x")+1,20))),"Revisar formato")))</f>
        <v>1560</v>
      </c>
      <c r="F48" s="11" t="str">
        <f>IF(Registro!$F48="","",N(Registro!$F48))</f>
        <v/>
      </c>
      <c r="G48" s="11">
        <f t="shared" si="1"/>
        <v>1560</v>
      </c>
      <c r="H48" s="10">
        <f>IF(Registro!$G48="","",IF(ISERROR(FIND("x",LOWER(Registro!$G48))),"-",IFERROR(SUMPRODUCT(--("0"&amp;LEFT(TRIM(MID(SUBSTITUTE(SUBSTITUTE(SUBSTITUTE(SUBSTITUTE(SUBSTITUTE(LOWER(Registro!$G48),"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",LEN(Registro!$G48))),({1,2,3,4,5,6,7,8,9,10,11,12,13,14,15,16,17,18,19,20,21,22,23,24,25,26,27,28,29,30}-1)*LEN(Registro!$G48)+1,LEN(Registro!$G48))),FIND("x",TRIM(MID(SUBSTITUTE(SUBSTITUTE(SUBSTITUTE(SUBSTITUTE(SUBSTITUTE(LOWER(Registro!$G48),"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",LEN(Registro!$G48))),({1,2,3,4,5,6,7,8,9,10,11,12,13,14,15,16,17,18,19,20,21,22,23,24,25,26,27,28,29,30}-1)*LEN(Registro!$G48)+1,LEN(Registro!$G48)))&amp;"x")-1))),"Revisar formato")))</f>
        <v>1</v>
      </c>
      <c r="I48" s="11">
        <f>IF(Registro!$G48="","",IF(ISERROR(FIND("x",LOWER(Registro!$G48))),N(Registro!$H48),IFERROR(SUMPRODUCT(--("0"&amp;LEFT(TRIM(MID(SUBSTITUTE(SUBSTITUTE(SUBSTITUTE(SUBSTITUTE(SUBSTITUTE(LOWER(Registro!$G48),"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",LEN(Registro!$G48))),({1,2,3,4,5,6,7,8,9,10,11,12,13,14,15,16,17,18,19,20,21,22,23,24,25,26,27,28,29,30}-1)*LEN(Registro!$G48)+1,LEN(Registro!$G48))),FIND("x",TRIM(MID(SUBSTITUTE(SUBSTITUTE(SUBSTITUTE(SUBSTITUTE(SUBSTITUTE(LOWER(Registro!$G48),"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",LEN(Registro!$G48))),({1,2,3,4,5,6,7,8,9,10,11,12,13,14,15,16,17,18,19,20,21,22,23,24,25,26,27,28,29,30}-1)*LEN(Registro!$G48)+1,LEN(Registro!$G48)))&amp;"x")-1)),--("0"&amp;MID(TRIM(MID(SUBSTITUTE(SUBSTITUTE(SUBSTITUTE(SUBSTITUTE(SUBSTITUTE(LOWER(Registro!$G48),"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",LEN(Registro!$G48))),({1,2,3,4,5,6,7,8,9,10,11,12,13,14,15,16,17,18,19,20,21,22,23,24,25,26,27,28,29,30}-1)*LEN(Registro!$G48)+1,LEN(Registro!$G48))),FIND("x",TRIM(MID(SUBSTITUTE(SUBSTITUTE(SUBSTITUTE(SUBSTITUTE(SUBSTITUTE(LOWER(Registro!$G48),"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",LEN(Registro!$G48))),({1,2,3,4,5,6,7,8,9,10,11,12,13,14,15,16,17,18,19,20,21,22,23,24,25,26,27,28,29,30}-1)*LEN(Registro!$G48)+1,LEN(Registro!$G48)))&amp;"x")+1,20))),"Revisar formato")))</f>
        <v>200</v>
      </c>
      <c r="J48" s="9" t="str">
        <f>IF(AND(Registro!$E48="",Registro!$G48=""),"",IF(NOT(AND(ISNUMBER(I48),ISNUMBER(Registro!$H48))),"",IF(I48&lt;Registro!$H48,"FALTA BOLETOS",IF(I48=Registro!$H48,"CONFORME","DIFERENCIA"))))</f>
        <v>CONFORME</v>
      </c>
      <c r="K48" s="11" t="str">
        <f>IF(Registro!$I48="","",IFERROR(SUMPRODUCT(--("0"&amp;TRIM(RIGHT(SUBSTITUTE(TRIM(MID(SUBSTITUTE(SUBSTITUTE(Registro!$I48,";",CHAR(10)),CHAR(10),REPT(" ",LEN(Registro!$I48))),({1,2,3,4,5,6,7,8,9,10,11,12,13,14,15,16,17,18,19,20,21,22,23,24,25,26,27,28,29,30}-1)*LEN(Registro!$I48)+1,LEN(Registro!$I48)))," ",REPT(" ",50)),50)))),"Revisar formato"))</f>
        <v/>
      </c>
      <c r="L48" s="11" t="str">
        <f>IF(Registro!$J48="","",IFERROR(SUMPRODUCT(--("0"&amp;TRIM(RIGHT(SUBSTITUTE(TRIM(MID(SUBSTITUTE(SUBSTITUTE(Registro!$J48,";",CHAR(10)),CHAR(10),REPT(" ",LEN(Registro!$J48))),({1,2,3,4,5,6,7,8,9,10,11,12,13,14,15,16,17,18,19,20,21,22,23,24,25,26,27,28,29,30}-1)*LEN(Registro!$J48)+1,LEN(Registro!$J48)))," ",REPT(" ",50)),50)))),"Revisar formato"))</f>
        <v/>
      </c>
      <c r="M48" s="11">
        <f>IF(AND(Registro!$H48="",Registro!$I48=""),"",IF(AND(ISTEXT(K48),K48&lt;&gt;""),"Revisar formato",N(Registro!$H48)-N(K48)))</f>
        <v>200</v>
      </c>
      <c r="N48" s="11">
        <f t="shared" si="2"/>
        <v>200</v>
      </c>
      <c r="O48" s="15">
        <f>IF(AND(A48=Consulta!$B$3,C48=Consulta!$H$3),B48*10000+ROW(),"")</f>
        <v>463200048</v>
      </c>
    </row>
    <row r="49" spans="1:15" x14ac:dyDescent="0.25">
      <c r="A49" s="9" t="str">
        <f>IF(Registro!$A49="","",Registro!$A49)</f>
        <v>PIN</v>
      </c>
      <c r="B49" s="8">
        <f>IF(Registro!$B49="","",Registro!$B49)</f>
        <v>46319</v>
      </c>
      <c r="C49" s="14">
        <f t="shared" si="0"/>
        <v>202610</v>
      </c>
      <c r="D49" s="10">
        <f>IF(Registro!$E49="","",IF(ISERROR(FIND("x",LOWER(Registro!$E49))),"-",IFERROR(SUMPRODUCT(--("0"&amp;LEFT(TRIM(MID(SUBSTITUTE(SUBSTITUTE(SUBSTITUTE(SUBSTITUTE(SUBSTITUTE(LOWER(Registro!$E49),"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",LEN(Registro!$E49))),({1,2,3,4,5,6,7,8,9,10,11,12,13,14,15,16,17,18,19,20,21,22,23,24,25,26,27,28,29,30}-1)*LEN(Registro!$E49)+1,LEN(Registro!$E49)))&amp;"x")-1))),"Revisar formato")))</f>
        <v>51</v>
      </c>
      <c r="E49" s="11">
        <f>IF(Registro!$E49="","",IF(ISERROR(FIND("x",LOWER(Registro!$E49))),"-",IFERROR(SUMPRODUCT(--("0"&amp;LEFT(TRIM(MID(SUBSTITUTE(SUBSTITUTE(SUBSTITUTE(SUBSTITUTE(SUBSTITUTE(LOWER(Registro!$E49),"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",LEN(Registro!$E49))),({1,2,3,4,5,6,7,8,9,10,11,12,13,14,15,16,17,18,19,20,21,22,23,24,25,26,27,28,29,30}-1)*LEN(Registro!$E49)+1,LEN(Registro!$E49)))&amp;"x")-1)),--("0"&amp;MID(TRIM(MID(SUBSTITUTE(SUBSTITUTE(SUBSTITUTE(SUBSTITUTE(SUBSTITUTE(LOWER(Registro!$E49),"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",LEN(Registro!$E49))),({1,2,3,4,5,6,7,8,9,10,11,12,13,14,15,16,17,18,19,20,21,22,23,24,25,26,27,28,29,30}-1)*LEN(Registro!$E49)+1,LEN(Registro!$E49)))&amp;"x")+1,20))),"Revisar formato")))</f>
        <v>2740</v>
      </c>
      <c r="F49" s="11" t="str">
        <f>IF(Registro!$F49="","",N(Registro!$F49))</f>
        <v/>
      </c>
      <c r="G49" s="11">
        <f t="shared" si="1"/>
        <v>2740</v>
      </c>
      <c r="H49" s="10">
        <f>IF(Registro!$G49="","",IF(ISERROR(FIND("x",LOWER(Registro!$G49))),"-",IFERROR(SUMPRODUCT(--("0"&amp;LEFT(TRIM(MID(SUBSTITUTE(SUBSTITUTE(SUBSTITUTE(SUBSTITUTE(SUBSTITUTE(LOWER(Registro!$G49),"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",LEN(Registro!$G49))),({1,2,3,4,5,6,7,8,9,10,11,12,13,14,15,16,17,18,19,20,21,22,23,24,25,26,27,28,29,30}-1)*LEN(Registro!$G49)+1,LEN(Registro!$G49))),FIND("x",TRIM(MID(SUBSTITUTE(SUBSTITUTE(SUBSTITUTE(SUBSTITUTE(SUBSTITUTE(LOWER(Registro!$G49),"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",LEN(Registro!$G49))),({1,2,3,4,5,6,7,8,9,10,11,12,13,14,15,16,17,18,19,20,21,22,23,24,25,26,27,28,29,30}-1)*LEN(Registro!$G49)+1,LEN(Registro!$G49)))&amp;"x")-1))),"Revisar formato")))</f>
        <v>43</v>
      </c>
      <c r="I49" s="11">
        <f>IF(Registro!$G49="","",IF(ISERROR(FIND("x",LOWER(Registro!$G49))),N(Registro!$H49),IFERROR(SUMPRODUCT(--("0"&amp;LEFT(TRIM(MID(SUBSTITUTE(SUBSTITUTE(SUBSTITUTE(SUBSTITUTE(SUBSTITUTE(LOWER(Registro!$G49),"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",LEN(Registro!$G49))),({1,2,3,4,5,6,7,8,9,10,11,12,13,14,15,16,17,18,19,20,21,22,23,24,25,26,27,28,29,30}-1)*LEN(Registro!$G49)+1,LEN(Registro!$G49))),FIND("x",TRIM(MID(SUBSTITUTE(SUBSTITUTE(SUBSTITUTE(SUBSTITUTE(SUBSTITUTE(LOWER(Registro!$G49),"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",LEN(Registro!$G49))),({1,2,3,4,5,6,7,8,9,10,11,12,13,14,15,16,17,18,19,20,21,22,23,24,25,26,27,28,29,30}-1)*LEN(Registro!$G49)+1,LEN(Registro!$G49)))&amp;"x")-1)),--("0"&amp;MID(TRIM(MID(SUBSTITUTE(SUBSTITUTE(SUBSTITUTE(SUBSTITUTE(SUBSTITUTE(LOWER(Registro!$G49),"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",LEN(Registro!$G49))),({1,2,3,4,5,6,7,8,9,10,11,12,13,14,15,16,17,18,19,20,21,22,23,24,25,26,27,28,29,30}-1)*LEN(Registro!$G49)+1,LEN(Registro!$G49))),FIND("x",TRIM(MID(SUBSTITUTE(SUBSTITUTE(SUBSTITUTE(SUBSTITUTE(SUBSTITUTE(LOWER(Registro!$G49),"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",LEN(Registro!$G49))),({1,2,3,4,5,6,7,8,9,10,11,12,13,14,15,16,17,18,19,20,21,22,23,24,25,26,27,28,29,30}-1)*LEN(Registro!$G49)+1,LEN(Registro!$G49)))&amp;"x")+1,20))),"Revisar formato")))</f>
        <v>2270</v>
      </c>
      <c r="J49" s="9" t="str">
        <f>IF(AND(Registro!$E49="",Registro!$G49=""),"",IF(NOT(AND(ISNUMBER(I49),ISNUMBER(Registro!$H49))),"",IF(I49&lt;Registro!$H49,"FALTA BOLETOS",IF(I49=Registro!$H49,"CONFORME","DIFERENCIA"))))</f>
        <v>FALTA BOLETOS</v>
      </c>
      <c r="K49" s="11">
        <f>IF(Registro!$I49="","",IFERROR(SUMPRODUCT(--("0"&amp;TRIM(RIGHT(SUBSTITUTE(TRIM(MID(SUBSTITUTE(SUBSTITUTE(Registro!$I49,";",CHAR(10)),CHAR(10),REPT(" ",LEN(Registro!$I49))),({1,2,3,4,5,6,7,8,9,10,11,12,13,14,15,16,17,18,19,20,21,22,23,24,25,26,27,28,29,30}-1)*LEN(Registro!$I49)+1,LEN(Registro!$I49)))," ",REPT(" ",50)),50)))),"Revisar formato"))</f>
        <v>90</v>
      </c>
      <c r="L49" s="11">
        <f>IF(Registro!$J49="","",IFERROR(SUMPRODUCT(--("0"&amp;TRIM(RIGHT(SUBSTITUTE(TRIM(MID(SUBSTITUTE(SUBSTITUTE(Registro!$J49,";",CHAR(10)),CHAR(10),REPT(" ",LEN(Registro!$J49))),({1,2,3,4,5,6,7,8,9,10,11,12,13,14,15,16,17,18,19,20,21,22,23,24,25,26,27,28,29,30}-1)*LEN(Registro!$J49)+1,LEN(Registro!$J49)))," ",REPT(" ",50)),50)))),"Revisar formato"))</f>
        <v>2500</v>
      </c>
      <c r="M49" s="11">
        <f>IF(AND(Registro!$H49="",Registro!$I49=""),"",IF(AND(ISTEXT(K49),K49&lt;&gt;""),"Revisar formato",N(Registro!$H49)-N(K49)))</f>
        <v>2325</v>
      </c>
      <c r="N49" s="11">
        <f t="shared" si="2"/>
        <v>-175</v>
      </c>
      <c r="O49" s="15" t="str">
        <f>IF(AND(A49=Consulta!$B$3,C49=Consulta!$H$3),B49*10000+ROW(),"")</f>
        <v/>
      </c>
    </row>
    <row r="50" spans="1:15" x14ac:dyDescent="0.25">
      <c r="A50" s="9" t="str">
        <f>IF(Registro!$A50="","",Registro!$A50)</f>
        <v>PIN</v>
      </c>
      <c r="B50" s="8">
        <f>IF(Registro!$B50="","",Registro!$B50)</f>
        <v>46320</v>
      </c>
      <c r="C50" s="14">
        <f t="shared" si="0"/>
        <v>202610</v>
      </c>
      <c r="D50" s="10">
        <f>IF(Registro!$E50="","",IF(ISERROR(FIND("x",LOWER(Registro!$E50))),"-",IFERROR(SUMPRODUCT(--("0"&amp;LEFT(TRIM(MID(SUBSTITUTE(SUBSTITUTE(SUBSTITUTE(SUBSTITUTE(SUBSTITUTE(LOWER(Registro!$E50),"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",LEN(Registro!$E50))),({1,2,3,4,5,6,7,8,9,10,11,12,13,14,15,16,17,18,19,20,21,22,23,24,25,26,27,28,29,30}-1)*LEN(Registro!$E50)+1,LEN(Registro!$E50)))&amp;"x")-1))),"Revisar formato")))</f>
        <v>38</v>
      </c>
      <c r="E50" s="11">
        <f>IF(Registro!$E50="","",IF(ISERROR(FIND("x",LOWER(Registro!$E50))),"-",IFERROR(SUMPRODUCT(--("0"&amp;LEFT(TRIM(MID(SUBSTITUTE(SUBSTITUTE(SUBSTITUTE(SUBSTITUTE(SUBSTITUTE(LOWER(Registro!$E50),"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",LEN(Registro!$E50))),({1,2,3,4,5,6,7,8,9,10,11,12,13,14,15,16,17,18,19,20,21,22,23,24,25,26,27,28,29,30}-1)*LEN(Registro!$E50)+1,LEN(Registro!$E50)))&amp;"x")-1)),--("0"&amp;MID(TRIM(MID(SUBSTITUTE(SUBSTITUTE(SUBSTITUTE(SUBSTITUTE(SUBSTITUTE(LOWER(Registro!$E50),"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",LEN(Registro!$E50))),({1,2,3,4,5,6,7,8,9,10,11,12,13,14,15,16,17,18,19,20,21,22,23,24,25,26,27,28,29,30}-1)*LEN(Registro!$E50)+1,LEN(Registro!$E50)))&amp;"x")+1,20))),"Revisar formato")))</f>
        <v>2010</v>
      </c>
      <c r="F50" s="11" t="str">
        <f>IF(Registro!$F50="","",N(Registro!$F50))</f>
        <v/>
      </c>
      <c r="G50" s="11">
        <f t="shared" si="1"/>
        <v>2010</v>
      </c>
      <c r="H50" s="10">
        <f>IF(Registro!$G50="","",IF(ISERROR(FIND("x",LOWER(Registro!$G50))),"-",IFERROR(SUMPRODUCT(--("0"&amp;LEFT(TRIM(MID(SUBSTITUTE(SUBSTITUTE(SUBSTITUTE(SUBSTITUTE(SUBSTITUTE(LOWER(Registro!$G50),"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",LEN(Registro!$G50))),({1,2,3,4,5,6,7,8,9,10,11,12,13,14,15,16,17,18,19,20,21,22,23,24,25,26,27,28,29,30}-1)*LEN(Registro!$G50)+1,LEN(Registro!$G50))),FIND("x",TRIM(MID(SUBSTITUTE(SUBSTITUTE(SUBSTITUTE(SUBSTITUTE(SUBSTITUTE(LOWER(Registro!$G50),"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",LEN(Registro!$G50))),({1,2,3,4,5,6,7,8,9,10,11,12,13,14,15,16,17,18,19,20,21,22,23,24,25,26,27,28,29,30}-1)*LEN(Registro!$G50)+1,LEN(Registro!$G50)))&amp;"x")-1))),"Revisar formato")))</f>
        <v>50</v>
      </c>
      <c r="I50" s="11">
        <f>IF(Registro!$G50="","",IF(ISERROR(FIND("x",LOWER(Registro!$G50))),N(Registro!$H50),IFERROR(SUMPRODUCT(--("0"&amp;LEFT(TRIM(MID(SUBSTITUTE(SUBSTITUTE(SUBSTITUTE(SUBSTITUTE(SUBSTITUTE(LOWER(Registro!$G50),"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",LEN(Registro!$G50))),({1,2,3,4,5,6,7,8,9,10,11,12,13,14,15,16,17,18,19,20,21,22,23,24,25,26,27,28,29,30}-1)*LEN(Registro!$G50)+1,LEN(Registro!$G50))),FIND("x",TRIM(MID(SUBSTITUTE(SUBSTITUTE(SUBSTITUTE(SUBSTITUTE(SUBSTITUTE(LOWER(Registro!$G50),"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",LEN(Registro!$G50))),({1,2,3,4,5,6,7,8,9,10,11,12,13,14,15,16,17,18,19,20,21,22,23,24,25,26,27,28,29,30}-1)*LEN(Registro!$G50)+1,LEN(Registro!$G50)))&amp;"x")-1)),--("0"&amp;MID(TRIM(MID(SUBSTITUTE(SUBSTITUTE(SUBSTITUTE(SUBSTITUTE(SUBSTITUTE(LOWER(Registro!$G50),"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",LEN(Registro!$G50))),({1,2,3,4,5,6,7,8,9,10,11,12,13,14,15,16,17,18,19,20,21,22,23,24,25,26,27,28,29,30}-1)*LEN(Registro!$G50)+1,LEN(Registro!$G50))),FIND("x",TRIM(MID(SUBSTITUTE(SUBSTITUTE(SUBSTITUTE(SUBSTITUTE(SUBSTITUTE(LOWER(Registro!$G50),"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",LEN(Registro!$G50))),({1,2,3,4,5,6,7,8,9,10,11,12,13,14,15,16,17,18,19,20,21,22,23,24,25,26,27,28,29,30}-1)*LEN(Registro!$G50)+1,LEN(Registro!$G50)))&amp;"x")+1,20))),"Revisar formato")))</f>
        <v>2910</v>
      </c>
      <c r="J50" s="9" t="str">
        <f>IF(AND(Registro!$E50="",Registro!$G50=""),"",IF(NOT(AND(ISNUMBER(I50),ISNUMBER(Registro!$H50))),"",IF(I50&lt;Registro!$H50,"FALTA BOLETOS",IF(I50=Registro!$H50,"CONFORME","DIFERENCIA"))))</f>
        <v>FALTA BOLETOS</v>
      </c>
      <c r="K50" s="11">
        <f>IF(Registro!$I50="","",IFERROR(SUMPRODUCT(--("0"&amp;TRIM(RIGHT(SUBSTITUTE(TRIM(MID(SUBSTITUTE(SUBSTITUTE(Registro!$I50,";",CHAR(10)),CHAR(10),REPT(" ",LEN(Registro!$I50))),({1,2,3,4,5,6,7,8,9,10,11,12,13,14,15,16,17,18,19,20,21,22,23,24,25,26,27,28,29,30}-1)*LEN(Registro!$I50)+1,LEN(Registro!$I50)))," ",REPT(" ",50)),50)))),"Revisar formato"))</f>
        <v>440</v>
      </c>
      <c r="L50" s="11">
        <f>IF(Registro!$J50="","",IFERROR(SUMPRODUCT(--("0"&amp;TRIM(RIGHT(SUBSTITUTE(TRIM(MID(SUBSTITUTE(SUBSTITUTE(Registro!$J50,";",CHAR(10)),CHAR(10),REPT(" ",LEN(Registro!$J50))),({1,2,3,4,5,6,7,8,9,10,11,12,13,14,15,16,17,18,19,20,21,22,23,24,25,26,27,28,29,30}-1)*LEN(Registro!$J50)+1,LEN(Registro!$J50)))," ",REPT(" ",50)),50)))),"Revisar formato"))</f>
        <v>3200</v>
      </c>
      <c r="M50" s="11">
        <f>IF(AND(Registro!$H50="",Registro!$I50=""),"",IF(AND(ISTEXT(K50),K50&lt;&gt;""),"Revisar formato",N(Registro!$H50)-N(K50)))</f>
        <v>3120</v>
      </c>
      <c r="N50" s="11">
        <f t="shared" si="2"/>
        <v>-80</v>
      </c>
      <c r="O50" s="15" t="str">
        <f>IF(AND(A50=Consulta!$B$3,C50=Consulta!$H$3),B50*10000+ROW(),"")</f>
        <v/>
      </c>
    </row>
    <row r="51" spans="1:15" x14ac:dyDescent="0.25">
      <c r="A51" s="9" t="str">
        <f>IF(Registro!$A51="","",Registro!$A51)</f>
        <v/>
      </c>
      <c r="B51" s="8" t="str">
        <f>IF(Registro!$B51="","",Registro!$B51)</f>
        <v/>
      </c>
      <c r="C51" s="14" t="str">
        <f t="shared" si="0"/>
        <v/>
      </c>
      <c r="D51" s="10" t="str">
        <f>IF(Registro!$E51="","",IF(ISERROR(FIND("x",LOWER(Registro!$E51))),"-",IFERROR(SUMPRODUCT(--("0"&amp;LEFT(TRIM(MID(SUBSTITUTE(SUBSTITUTE(SUBSTITUTE(SUBSTITUTE(SUBSTITUTE(LOWER(Registro!$E51),"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",LEN(Registro!$E51))),({1,2,3,4,5,6,7,8,9,10,11,12,13,14,15,16,17,18,19,20,21,22,23,24,25,26,27,28,29,30}-1)*LEN(Registro!$E51)+1,LEN(Registro!$E51)))&amp;"x")-1))),"Revisar formato")))</f>
        <v/>
      </c>
      <c r="E51" s="11" t="str">
        <f>IF(Registro!$E51="","",IF(ISERROR(FIND("x",LOWER(Registro!$E51))),"-",IFERROR(SUMPRODUCT(--("0"&amp;LEFT(TRIM(MID(SUBSTITUTE(SUBSTITUTE(SUBSTITUTE(SUBSTITUTE(SUBSTITUTE(LOWER(Registro!$E51),"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",LEN(Registro!$E51))),({1,2,3,4,5,6,7,8,9,10,11,12,13,14,15,16,17,18,19,20,21,22,23,24,25,26,27,28,29,30}-1)*LEN(Registro!$E51)+1,LEN(Registro!$E51)))&amp;"x")-1)),--("0"&amp;MID(TRIM(MID(SUBSTITUTE(SUBSTITUTE(SUBSTITUTE(SUBSTITUTE(SUBSTITUTE(LOWER(Registro!$E51),"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",LEN(Registro!$E51))),({1,2,3,4,5,6,7,8,9,10,11,12,13,14,15,16,17,18,19,20,21,22,23,24,25,26,27,28,29,30}-1)*LEN(Registro!$E51)+1,LEN(Registro!$E51)))&amp;"x")+1,20))),"Revisar formato")))</f>
        <v/>
      </c>
      <c r="F51" s="11" t="str">
        <f>IF(Registro!$F51="","",N(Registro!$F51))</f>
        <v/>
      </c>
      <c r="G51" s="11" t="str">
        <f t="shared" si="1"/>
        <v/>
      </c>
      <c r="H51" s="10" t="str">
        <f>IF(Registro!$G51="","",IF(ISERROR(FIND("x",LOWER(Registro!$G51))),"-",IFERROR(SUMPRODUCT(--("0"&amp;LEFT(TRIM(MID(SUBSTITUTE(SUBSTITUTE(SUBSTITUTE(SUBSTITUTE(SUBSTITUTE(LOWER(Registro!$G51),"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",LEN(Registro!$G51))),({1,2,3,4,5,6,7,8,9,10,11,12,13,14,15,16,17,18,19,20,21,22,23,24,25,26,27,28,29,30}-1)*LEN(Registro!$G51)+1,LEN(Registro!$G51))),FIND("x",TRIM(MID(SUBSTITUTE(SUBSTITUTE(SUBSTITUTE(SUBSTITUTE(SUBSTITUTE(LOWER(Registro!$G51),"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",LEN(Registro!$G51))),({1,2,3,4,5,6,7,8,9,10,11,12,13,14,15,16,17,18,19,20,21,22,23,24,25,26,27,28,29,30}-1)*LEN(Registro!$G51)+1,LEN(Registro!$G51)))&amp;"x")-1))),"Revisar formato")))</f>
        <v/>
      </c>
      <c r="I51" s="11" t="str">
        <f>IF(Registro!$G51="","",IF(ISERROR(FIND("x",LOWER(Registro!$G51))),N(Registro!$H51),IFERROR(SUMPRODUCT(--("0"&amp;LEFT(TRIM(MID(SUBSTITUTE(SUBSTITUTE(SUBSTITUTE(SUBSTITUTE(SUBSTITUTE(LOWER(Registro!$G51),"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",LEN(Registro!$G51))),({1,2,3,4,5,6,7,8,9,10,11,12,13,14,15,16,17,18,19,20,21,22,23,24,25,26,27,28,29,30}-1)*LEN(Registro!$G51)+1,LEN(Registro!$G51))),FIND("x",TRIM(MID(SUBSTITUTE(SUBSTITUTE(SUBSTITUTE(SUBSTITUTE(SUBSTITUTE(LOWER(Registro!$G51),"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",LEN(Registro!$G51))),({1,2,3,4,5,6,7,8,9,10,11,12,13,14,15,16,17,18,19,20,21,22,23,24,25,26,27,28,29,30}-1)*LEN(Registro!$G51)+1,LEN(Registro!$G51)))&amp;"x")-1)),--("0"&amp;MID(TRIM(MID(SUBSTITUTE(SUBSTITUTE(SUBSTITUTE(SUBSTITUTE(SUBSTITUTE(LOWER(Registro!$G51),"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",LEN(Registro!$G51))),({1,2,3,4,5,6,7,8,9,10,11,12,13,14,15,16,17,18,19,20,21,22,23,24,25,26,27,28,29,30}-1)*LEN(Registro!$G51)+1,LEN(Registro!$G51))),FIND("x",TRIM(MID(SUBSTITUTE(SUBSTITUTE(SUBSTITUTE(SUBSTITUTE(SUBSTITUTE(LOWER(Registro!$G51),"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",LEN(Registro!$G51))),({1,2,3,4,5,6,7,8,9,10,11,12,13,14,15,16,17,18,19,20,21,22,23,24,25,26,27,28,29,30}-1)*LEN(Registro!$G51)+1,LEN(Registro!$G51)))&amp;"x")+1,20))),"Revisar formato")))</f>
        <v/>
      </c>
      <c r="J51" s="9" t="str">
        <f>IF(AND(Registro!$E51="",Registro!$G51=""),"",IF(NOT(AND(ISNUMBER(I51),ISNUMBER(Registro!$H51))),"",IF(I51&lt;Registro!$H51,"FALTA BOLETOS",IF(I51=Registro!$H51,"CONFORME","DIFERENCIA"))))</f>
        <v/>
      </c>
      <c r="K51" s="11" t="str">
        <f>IF(Registro!$I51="","",IFERROR(SUMPRODUCT(--("0"&amp;TRIM(RIGHT(SUBSTITUTE(TRIM(MID(SUBSTITUTE(SUBSTITUTE(Registro!$I51,";",CHAR(10)),CHAR(10),REPT(" ",LEN(Registro!$I51))),({1,2,3,4,5,6,7,8,9,10,11,12,13,14,15,16,17,18,19,20,21,22,23,24,25,26,27,28,29,30}-1)*LEN(Registro!$I51)+1,LEN(Registro!$I51)))," ",REPT(" ",50)),50)))),"Revisar formato"))</f>
        <v/>
      </c>
      <c r="L51" s="11" t="str">
        <f>IF(Registro!$J51="","",IFERROR(SUMPRODUCT(--("0"&amp;TRIM(RIGHT(SUBSTITUTE(TRIM(MID(SUBSTITUTE(SUBSTITUTE(Registro!$J51,";",CHAR(10)),CHAR(10),REPT(" ",LEN(Registro!$J51))),({1,2,3,4,5,6,7,8,9,10,11,12,13,14,15,16,17,18,19,20,21,22,23,24,25,26,27,28,29,30}-1)*LEN(Registro!$J51)+1,LEN(Registro!$J51)))," ",REPT(" ",50)),50)))),"Revisar formato"))</f>
        <v/>
      </c>
      <c r="M51" s="11" t="str">
        <f>IF(AND(Registro!$H51="",Registro!$I51=""),"",IF(AND(ISTEXT(K51),K51&lt;&gt;""),"Revisar formato",N(Registro!$H51)-N(K51)))</f>
        <v/>
      </c>
      <c r="N51" s="11" t="str">
        <f t="shared" si="2"/>
        <v/>
      </c>
      <c r="O51" s="15" t="str">
        <f>IF(AND(A51=Consulta!$B$3,C51=Consulta!$H$3),B51*10000+ROW(),"")</f>
        <v/>
      </c>
    </row>
    <row r="52" spans="1:15" x14ac:dyDescent="0.25">
      <c r="A52" s="9" t="str">
        <f>IF(Registro!$A52="","",Registro!$A52)</f>
        <v/>
      </c>
      <c r="B52" s="8" t="str">
        <f>IF(Registro!$B52="","",Registro!$B52)</f>
        <v/>
      </c>
      <c r="C52" s="14" t="str">
        <f t="shared" si="0"/>
        <v/>
      </c>
      <c r="D52" s="10" t="str">
        <f>IF(Registro!$E52="","",IF(ISERROR(FIND("x",LOWER(Registro!$E52))),"-",IFERROR(SUMPRODUCT(--("0"&amp;LEFT(TRIM(MID(SUBSTITUTE(SUBSTITUTE(SUBSTITUTE(SUBSTITUTE(SUBSTITUTE(LOWER(Registro!$E52),"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",LEN(Registro!$E52))),({1,2,3,4,5,6,7,8,9,10,11,12,13,14,15,16,17,18,19,20,21,22,23,24,25,26,27,28,29,30}-1)*LEN(Registro!$E52)+1,LEN(Registro!$E52)))&amp;"x")-1))),"Revisar formato")))</f>
        <v/>
      </c>
      <c r="E52" s="11" t="str">
        <f>IF(Registro!$E52="","",IF(ISERROR(FIND("x",LOWER(Registro!$E52))),"-",IFERROR(SUMPRODUCT(--("0"&amp;LEFT(TRIM(MID(SUBSTITUTE(SUBSTITUTE(SUBSTITUTE(SUBSTITUTE(SUBSTITUTE(LOWER(Registro!$E52),"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",LEN(Registro!$E52))),({1,2,3,4,5,6,7,8,9,10,11,12,13,14,15,16,17,18,19,20,21,22,23,24,25,26,27,28,29,30}-1)*LEN(Registro!$E52)+1,LEN(Registro!$E52)))&amp;"x")-1)),--("0"&amp;MID(TRIM(MID(SUBSTITUTE(SUBSTITUTE(SUBSTITUTE(SUBSTITUTE(SUBSTITUTE(LOWER(Registro!$E52),"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",LEN(Registro!$E52))),({1,2,3,4,5,6,7,8,9,10,11,12,13,14,15,16,17,18,19,20,21,22,23,24,25,26,27,28,29,30}-1)*LEN(Registro!$E52)+1,LEN(Registro!$E52)))&amp;"x")+1,20))),"Revisar formato")))</f>
        <v/>
      </c>
      <c r="F52" s="11" t="str">
        <f>IF(Registro!$F52="","",N(Registro!$F52))</f>
        <v/>
      </c>
      <c r="G52" s="11" t="str">
        <f t="shared" si="1"/>
        <v/>
      </c>
      <c r="H52" s="10" t="str">
        <f>IF(Registro!$G52="","",IF(ISERROR(FIND("x",LOWER(Registro!$G52))),"-",IFERROR(SUMPRODUCT(--("0"&amp;LEFT(TRIM(MID(SUBSTITUTE(SUBSTITUTE(SUBSTITUTE(SUBSTITUTE(SUBSTITUTE(LOWER(Registro!$G52),"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",LEN(Registro!$G52))),({1,2,3,4,5,6,7,8,9,10,11,12,13,14,15,16,17,18,19,20,21,22,23,24,25,26,27,28,29,30}-1)*LEN(Registro!$G52)+1,LEN(Registro!$G52))),FIND("x",TRIM(MID(SUBSTITUTE(SUBSTITUTE(SUBSTITUTE(SUBSTITUTE(SUBSTITUTE(LOWER(Registro!$G52),"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",LEN(Registro!$G52))),({1,2,3,4,5,6,7,8,9,10,11,12,13,14,15,16,17,18,19,20,21,22,23,24,25,26,27,28,29,30}-1)*LEN(Registro!$G52)+1,LEN(Registro!$G52)))&amp;"x")-1))),"Revisar formato")))</f>
        <v/>
      </c>
      <c r="I52" s="11" t="str">
        <f>IF(Registro!$G52="","",IF(ISERROR(FIND("x",LOWER(Registro!$G52))),N(Registro!$H52),IFERROR(SUMPRODUCT(--("0"&amp;LEFT(TRIM(MID(SUBSTITUTE(SUBSTITUTE(SUBSTITUTE(SUBSTITUTE(SUBSTITUTE(LOWER(Registro!$G52),"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",LEN(Registro!$G52))),({1,2,3,4,5,6,7,8,9,10,11,12,13,14,15,16,17,18,19,20,21,22,23,24,25,26,27,28,29,30}-1)*LEN(Registro!$G52)+1,LEN(Registro!$G52))),FIND("x",TRIM(MID(SUBSTITUTE(SUBSTITUTE(SUBSTITUTE(SUBSTITUTE(SUBSTITUTE(LOWER(Registro!$G52),"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",LEN(Registro!$G52))),({1,2,3,4,5,6,7,8,9,10,11,12,13,14,15,16,17,18,19,20,21,22,23,24,25,26,27,28,29,30}-1)*LEN(Registro!$G52)+1,LEN(Registro!$G52)))&amp;"x")-1)),--("0"&amp;MID(TRIM(MID(SUBSTITUTE(SUBSTITUTE(SUBSTITUTE(SUBSTITUTE(SUBSTITUTE(LOWER(Registro!$G52),"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",LEN(Registro!$G52))),({1,2,3,4,5,6,7,8,9,10,11,12,13,14,15,16,17,18,19,20,21,22,23,24,25,26,27,28,29,30}-1)*LEN(Registro!$G52)+1,LEN(Registro!$G52))),FIND("x",TRIM(MID(SUBSTITUTE(SUBSTITUTE(SUBSTITUTE(SUBSTITUTE(SUBSTITUTE(LOWER(Registro!$G52),"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",LEN(Registro!$G52))),({1,2,3,4,5,6,7,8,9,10,11,12,13,14,15,16,17,18,19,20,21,22,23,24,25,26,27,28,29,30}-1)*LEN(Registro!$G52)+1,LEN(Registro!$G52)))&amp;"x")+1,20))),"Revisar formato")))</f>
        <v/>
      </c>
      <c r="J52" s="9" t="str">
        <f>IF(AND(Registro!$E52="",Registro!$G52=""),"",IF(NOT(AND(ISNUMBER(I52),ISNUMBER(Registro!$H52))),"",IF(I52&lt;Registro!$H52,"FALTA BOLETOS",IF(I52=Registro!$H52,"CONFORME","DIFERENCIA"))))</f>
        <v/>
      </c>
      <c r="K52" s="11" t="str">
        <f>IF(Registro!$I52="","",IFERROR(SUMPRODUCT(--("0"&amp;TRIM(RIGHT(SUBSTITUTE(TRIM(MID(SUBSTITUTE(SUBSTITUTE(Registro!$I52,";",CHAR(10)),CHAR(10),REPT(" ",LEN(Registro!$I52))),({1,2,3,4,5,6,7,8,9,10,11,12,13,14,15,16,17,18,19,20,21,22,23,24,25,26,27,28,29,30}-1)*LEN(Registro!$I52)+1,LEN(Registro!$I52)))," ",REPT(" ",50)),50)))),"Revisar formato"))</f>
        <v/>
      </c>
      <c r="L52" s="11" t="str">
        <f>IF(Registro!$J52="","",IFERROR(SUMPRODUCT(--("0"&amp;TRIM(RIGHT(SUBSTITUTE(TRIM(MID(SUBSTITUTE(SUBSTITUTE(Registro!$J52,";",CHAR(10)),CHAR(10),REPT(" ",LEN(Registro!$J52))),({1,2,3,4,5,6,7,8,9,10,11,12,13,14,15,16,17,18,19,20,21,22,23,24,25,26,27,28,29,30}-1)*LEN(Registro!$J52)+1,LEN(Registro!$J52)))," ",REPT(" ",50)),50)))),"Revisar formato"))</f>
        <v/>
      </c>
      <c r="M52" s="11" t="str">
        <f>IF(AND(Registro!$H52="",Registro!$I52=""),"",IF(AND(ISTEXT(K52),K52&lt;&gt;""),"Revisar formato",N(Registro!$H52)-N(K52)))</f>
        <v/>
      </c>
      <c r="N52" s="11" t="str">
        <f t="shared" si="2"/>
        <v/>
      </c>
      <c r="O52" s="15" t="str">
        <f>IF(AND(A52=Consulta!$B$3,C52=Consulta!$H$3),B52*10000+ROW(),"")</f>
        <v/>
      </c>
    </row>
    <row r="53" spans="1:15" x14ac:dyDescent="0.25">
      <c r="A53" s="9" t="str">
        <f>IF(Registro!$A53="","",Registro!$A53)</f>
        <v/>
      </c>
      <c r="B53" s="8" t="str">
        <f>IF(Registro!$B53="","",Registro!$B53)</f>
        <v/>
      </c>
      <c r="C53" s="14" t="str">
        <f t="shared" si="0"/>
        <v/>
      </c>
      <c r="D53" s="10" t="str">
        <f>IF(Registro!$E53="","",IF(ISERROR(FIND("x",LOWER(Registro!$E53))),"-",IFERROR(SUMPRODUCT(--("0"&amp;LEFT(TRIM(MID(SUBSTITUTE(SUBSTITUTE(SUBSTITUTE(SUBSTITUTE(SUBSTITUTE(LOWER(Registro!$E53),"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",LEN(Registro!$E53))),({1,2,3,4,5,6,7,8,9,10,11,12,13,14,15,16,17,18,19,20,21,22,23,24,25,26,27,28,29,30}-1)*LEN(Registro!$E53)+1,LEN(Registro!$E53)))&amp;"x")-1))),"Revisar formato")))</f>
        <v/>
      </c>
      <c r="E53" s="11" t="str">
        <f>IF(Registro!$E53="","",IF(ISERROR(FIND("x",LOWER(Registro!$E53))),"-",IFERROR(SUMPRODUCT(--("0"&amp;LEFT(TRIM(MID(SUBSTITUTE(SUBSTITUTE(SUBSTITUTE(SUBSTITUTE(SUBSTITUTE(LOWER(Registro!$E53),"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",LEN(Registro!$E53))),({1,2,3,4,5,6,7,8,9,10,11,12,13,14,15,16,17,18,19,20,21,22,23,24,25,26,27,28,29,30}-1)*LEN(Registro!$E53)+1,LEN(Registro!$E53)))&amp;"x")-1)),--("0"&amp;MID(TRIM(MID(SUBSTITUTE(SUBSTITUTE(SUBSTITUTE(SUBSTITUTE(SUBSTITUTE(LOWER(Registro!$E53),"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",LEN(Registro!$E53))),({1,2,3,4,5,6,7,8,9,10,11,12,13,14,15,16,17,18,19,20,21,22,23,24,25,26,27,28,29,30}-1)*LEN(Registro!$E53)+1,LEN(Registro!$E53)))&amp;"x")+1,20))),"Revisar formato")))</f>
        <v/>
      </c>
      <c r="F53" s="11" t="str">
        <f>IF(Registro!$F53="","",N(Registro!$F53))</f>
        <v/>
      </c>
      <c r="G53" s="11" t="str">
        <f t="shared" si="1"/>
        <v/>
      </c>
      <c r="H53" s="10" t="str">
        <f>IF(Registro!$G53="","",IF(ISERROR(FIND("x",LOWER(Registro!$G53))),"-",IFERROR(SUMPRODUCT(--("0"&amp;LEFT(TRIM(MID(SUBSTITUTE(SUBSTITUTE(SUBSTITUTE(SUBSTITUTE(SUBSTITUTE(LOWER(Registro!$G53),"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",LEN(Registro!$G53))),({1,2,3,4,5,6,7,8,9,10,11,12,13,14,15,16,17,18,19,20,21,22,23,24,25,26,27,28,29,30}-1)*LEN(Registro!$G53)+1,LEN(Registro!$G53))),FIND("x",TRIM(MID(SUBSTITUTE(SUBSTITUTE(SUBSTITUTE(SUBSTITUTE(SUBSTITUTE(LOWER(Registro!$G53),"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",LEN(Registro!$G53))),({1,2,3,4,5,6,7,8,9,10,11,12,13,14,15,16,17,18,19,20,21,22,23,24,25,26,27,28,29,30}-1)*LEN(Registro!$G53)+1,LEN(Registro!$G53)))&amp;"x")-1))),"Revisar formato")))</f>
        <v/>
      </c>
      <c r="I53" s="11" t="str">
        <f>IF(Registro!$G53="","",IF(ISERROR(FIND("x",LOWER(Registro!$G53))),N(Registro!$H53),IFERROR(SUMPRODUCT(--("0"&amp;LEFT(TRIM(MID(SUBSTITUTE(SUBSTITUTE(SUBSTITUTE(SUBSTITUTE(SUBSTITUTE(LOWER(Registro!$G53),"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",LEN(Registro!$G53))),({1,2,3,4,5,6,7,8,9,10,11,12,13,14,15,16,17,18,19,20,21,22,23,24,25,26,27,28,29,30}-1)*LEN(Registro!$G53)+1,LEN(Registro!$G53))),FIND("x",TRIM(MID(SUBSTITUTE(SUBSTITUTE(SUBSTITUTE(SUBSTITUTE(SUBSTITUTE(LOWER(Registro!$G53),"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",LEN(Registro!$G53))),({1,2,3,4,5,6,7,8,9,10,11,12,13,14,15,16,17,18,19,20,21,22,23,24,25,26,27,28,29,30}-1)*LEN(Registro!$G53)+1,LEN(Registro!$G53)))&amp;"x")-1)),--("0"&amp;MID(TRIM(MID(SUBSTITUTE(SUBSTITUTE(SUBSTITUTE(SUBSTITUTE(SUBSTITUTE(LOWER(Registro!$G53),"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",LEN(Registro!$G53))),({1,2,3,4,5,6,7,8,9,10,11,12,13,14,15,16,17,18,19,20,21,22,23,24,25,26,27,28,29,30}-1)*LEN(Registro!$G53)+1,LEN(Registro!$G53))),FIND("x",TRIM(MID(SUBSTITUTE(SUBSTITUTE(SUBSTITUTE(SUBSTITUTE(SUBSTITUTE(LOWER(Registro!$G53),"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",LEN(Registro!$G53))),({1,2,3,4,5,6,7,8,9,10,11,12,13,14,15,16,17,18,19,20,21,22,23,24,25,26,27,28,29,30}-1)*LEN(Registro!$G53)+1,LEN(Registro!$G53)))&amp;"x")+1,20))),"Revisar formato")))</f>
        <v/>
      </c>
      <c r="J53" s="9" t="str">
        <f>IF(AND(Registro!$E53="",Registro!$G53=""),"",IF(NOT(AND(ISNUMBER(I53),ISNUMBER(Registro!$H53))),"",IF(I53&lt;Registro!$H53,"FALTA BOLETOS",IF(I53=Registro!$H53,"CONFORME","DIFERENCIA"))))</f>
        <v/>
      </c>
      <c r="K53" s="11" t="str">
        <f>IF(Registro!$I53="","",IFERROR(SUMPRODUCT(--("0"&amp;TRIM(RIGHT(SUBSTITUTE(TRIM(MID(SUBSTITUTE(SUBSTITUTE(Registro!$I53,";",CHAR(10)),CHAR(10),REPT(" ",LEN(Registro!$I53))),({1,2,3,4,5,6,7,8,9,10,11,12,13,14,15,16,17,18,19,20,21,22,23,24,25,26,27,28,29,30}-1)*LEN(Registro!$I53)+1,LEN(Registro!$I53)))," ",REPT(" ",50)),50)))),"Revisar formato"))</f>
        <v/>
      </c>
      <c r="L53" s="11" t="str">
        <f>IF(Registro!$J53="","",IFERROR(SUMPRODUCT(--("0"&amp;TRIM(RIGHT(SUBSTITUTE(TRIM(MID(SUBSTITUTE(SUBSTITUTE(Registro!$J53,";",CHAR(10)),CHAR(10),REPT(" ",LEN(Registro!$J53))),({1,2,3,4,5,6,7,8,9,10,11,12,13,14,15,16,17,18,19,20,21,22,23,24,25,26,27,28,29,30}-1)*LEN(Registro!$J53)+1,LEN(Registro!$J53)))," ",REPT(" ",50)),50)))),"Revisar formato"))</f>
        <v/>
      </c>
      <c r="M53" s="11" t="str">
        <f>IF(AND(Registro!$H53="",Registro!$I53=""),"",IF(AND(ISTEXT(K53),K53&lt;&gt;""),"Revisar formato",N(Registro!$H53)-N(K53)))</f>
        <v/>
      </c>
      <c r="N53" s="11" t="str">
        <f t="shared" si="2"/>
        <v/>
      </c>
      <c r="O53" s="15" t="str">
        <f>IF(AND(A53=Consulta!$B$3,C53=Consulta!$H$3),B53*10000+ROW(),"")</f>
        <v/>
      </c>
    </row>
    <row r="54" spans="1:15" x14ac:dyDescent="0.25">
      <c r="A54" s="9" t="str">
        <f>IF(Registro!$A54="","",Registro!$A54)</f>
        <v/>
      </c>
      <c r="B54" s="8" t="str">
        <f>IF(Registro!$B54="","",Registro!$B54)</f>
        <v/>
      </c>
      <c r="C54" s="14" t="str">
        <f t="shared" si="0"/>
        <v/>
      </c>
      <c r="D54" s="10" t="str">
        <f>IF(Registro!$E54="","",IF(ISERROR(FIND("x",LOWER(Registro!$E54))),"-",IFERROR(SUMPRODUCT(--("0"&amp;LEFT(TRIM(MID(SUBSTITUTE(SUBSTITUTE(SUBSTITUTE(SUBSTITUTE(SUBSTITUTE(LOWER(Registro!$E54),"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",LEN(Registro!$E54))),({1,2,3,4,5,6,7,8,9,10,11,12,13,14,15,16,17,18,19,20,21,22,23,24,25,26,27,28,29,30}-1)*LEN(Registro!$E54)+1,LEN(Registro!$E54)))&amp;"x")-1))),"Revisar formato")))</f>
        <v/>
      </c>
      <c r="E54" s="11" t="str">
        <f>IF(Registro!$E54="","",IF(ISERROR(FIND("x",LOWER(Registro!$E54))),"-",IFERROR(SUMPRODUCT(--("0"&amp;LEFT(TRIM(MID(SUBSTITUTE(SUBSTITUTE(SUBSTITUTE(SUBSTITUTE(SUBSTITUTE(LOWER(Registro!$E54),"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",LEN(Registro!$E54))),({1,2,3,4,5,6,7,8,9,10,11,12,13,14,15,16,17,18,19,20,21,22,23,24,25,26,27,28,29,30}-1)*LEN(Registro!$E54)+1,LEN(Registro!$E54)))&amp;"x")-1)),--("0"&amp;MID(TRIM(MID(SUBSTITUTE(SUBSTITUTE(SUBSTITUTE(SUBSTITUTE(SUBSTITUTE(LOWER(Registro!$E54),"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",LEN(Registro!$E54))),({1,2,3,4,5,6,7,8,9,10,11,12,13,14,15,16,17,18,19,20,21,22,23,24,25,26,27,28,29,30}-1)*LEN(Registro!$E54)+1,LEN(Registro!$E54)))&amp;"x")+1,20))),"Revisar formato")))</f>
        <v/>
      </c>
      <c r="F54" s="11" t="str">
        <f>IF(Registro!$F54="","",N(Registro!$F54))</f>
        <v/>
      </c>
      <c r="G54" s="11" t="str">
        <f t="shared" si="1"/>
        <v/>
      </c>
      <c r="H54" s="10" t="str">
        <f>IF(Registro!$G54="","",IF(ISERROR(FIND("x",LOWER(Registro!$G54))),"-",IFERROR(SUMPRODUCT(--("0"&amp;LEFT(TRIM(MID(SUBSTITUTE(SUBSTITUTE(SUBSTITUTE(SUBSTITUTE(SUBSTITUTE(LOWER(Registro!$G54),"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",LEN(Registro!$G54))),({1,2,3,4,5,6,7,8,9,10,11,12,13,14,15,16,17,18,19,20,21,22,23,24,25,26,27,28,29,30}-1)*LEN(Registro!$G54)+1,LEN(Registro!$G54))),FIND("x",TRIM(MID(SUBSTITUTE(SUBSTITUTE(SUBSTITUTE(SUBSTITUTE(SUBSTITUTE(LOWER(Registro!$G54),"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",LEN(Registro!$G54))),({1,2,3,4,5,6,7,8,9,10,11,12,13,14,15,16,17,18,19,20,21,22,23,24,25,26,27,28,29,30}-1)*LEN(Registro!$G54)+1,LEN(Registro!$G54)))&amp;"x")-1))),"Revisar formato")))</f>
        <v/>
      </c>
      <c r="I54" s="11" t="str">
        <f>IF(Registro!$G54="","",IF(ISERROR(FIND("x",LOWER(Registro!$G54))),N(Registro!$H54),IFERROR(SUMPRODUCT(--("0"&amp;LEFT(TRIM(MID(SUBSTITUTE(SUBSTITUTE(SUBSTITUTE(SUBSTITUTE(SUBSTITUTE(LOWER(Registro!$G54),"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",LEN(Registro!$G54))),({1,2,3,4,5,6,7,8,9,10,11,12,13,14,15,16,17,18,19,20,21,22,23,24,25,26,27,28,29,30}-1)*LEN(Registro!$G54)+1,LEN(Registro!$G54))),FIND("x",TRIM(MID(SUBSTITUTE(SUBSTITUTE(SUBSTITUTE(SUBSTITUTE(SUBSTITUTE(LOWER(Registro!$G54),"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",LEN(Registro!$G54))),({1,2,3,4,5,6,7,8,9,10,11,12,13,14,15,16,17,18,19,20,21,22,23,24,25,26,27,28,29,30}-1)*LEN(Registro!$G54)+1,LEN(Registro!$G54)))&amp;"x")-1)),--("0"&amp;MID(TRIM(MID(SUBSTITUTE(SUBSTITUTE(SUBSTITUTE(SUBSTITUTE(SUBSTITUTE(LOWER(Registro!$G54),"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",LEN(Registro!$G54))),({1,2,3,4,5,6,7,8,9,10,11,12,13,14,15,16,17,18,19,20,21,22,23,24,25,26,27,28,29,30}-1)*LEN(Registro!$G54)+1,LEN(Registro!$G54))),FIND("x",TRIM(MID(SUBSTITUTE(SUBSTITUTE(SUBSTITUTE(SUBSTITUTE(SUBSTITUTE(LOWER(Registro!$G54),"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",LEN(Registro!$G54))),({1,2,3,4,5,6,7,8,9,10,11,12,13,14,15,16,17,18,19,20,21,22,23,24,25,26,27,28,29,30}-1)*LEN(Registro!$G54)+1,LEN(Registro!$G54)))&amp;"x")+1,20))),"Revisar formato")))</f>
        <v/>
      </c>
      <c r="J54" s="9" t="str">
        <f>IF(AND(Registro!$E54="",Registro!$G54=""),"",IF(NOT(AND(ISNUMBER(I54),ISNUMBER(Registro!$H54))),"",IF(I54&lt;Registro!$H54,"FALTA BOLETOS",IF(I54=Registro!$H54,"CONFORME","DIFERENCIA"))))</f>
        <v/>
      </c>
      <c r="K54" s="11" t="str">
        <f>IF(Registro!$I54="","",IFERROR(SUMPRODUCT(--("0"&amp;TRIM(RIGHT(SUBSTITUTE(TRIM(MID(SUBSTITUTE(SUBSTITUTE(Registro!$I54,";",CHAR(10)),CHAR(10),REPT(" ",LEN(Registro!$I54))),({1,2,3,4,5,6,7,8,9,10,11,12,13,14,15,16,17,18,19,20,21,22,23,24,25,26,27,28,29,30}-1)*LEN(Registro!$I54)+1,LEN(Registro!$I54)))," ",REPT(" ",50)),50)))),"Revisar formato"))</f>
        <v/>
      </c>
      <c r="L54" s="11" t="str">
        <f>IF(Registro!$J54="","",IFERROR(SUMPRODUCT(--("0"&amp;TRIM(RIGHT(SUBSTITUTE(TRIM(MID(SUBSTITUTE(SUBSTITUTE(Registro!$J54,";",CHAR(10)),CHAR(10),REPT(" ",LEN(Registro!$J54))),({1,2,3,4,5,6,7,8,9,10,11,12,13,14,15,16,17,18,19,20,21,22,23,24,25,26,27,28,29,30}-1)*LEN(Registro!$J54)+1,LEN(Registro!$J54)))," ",REPT(" ",50)),50)))),"Revisar formato"))</f>
        <v/>
      </c>
      <c r="M54" s="11" t="str">
        <f>IF(AND(Registro!$H54="",Registro!$I54=""),"",IF(AND(ISTEXT(K54),K54&lt;&gt;""),"Revisar formato",N(Registro!$H54)-N(K54)))</f>
        <v/>
      </c>
      <c r="N54" s="11" t="str">
        <f t="shared" si="2"/>
        <v/>
      </c>
      <c r="O54" s="15" t="str">
        <f>IF(AND(A54=Consulta!$B$3,C54=Consulta!$H$3),B54*10000+ROW(),"")</f>
        <v/>
      </c>
    </row>
    <row r="55" spans="1:15" x14ac:dyDescent="0.25">
      <c r="A55" s="9" t="str">
        <f>IF(Registro!$A55="","",Registro!$A55)</f>
        <v/>
      </c>
      <c r="B55" s="8" t="str">
        <f>IF(Registro!$B55="","",Registro!$B55)</f>
        <v/>
      </c>
      <c r="C55" s="14" t="str">
        <f t="shared" si="0"/>
        <v/>
      </c>
      <c r="D55" s="10" t="str">
        <f>IF(Registro!$E55="","",IF(ISERROR(FIND("x",LOWER(Registro!$E55))),"-",IFERROR(SUMPRODUCT(--("0"&amp;LEFT(TRIM(MID(SUBSTITUTE(SUBSTITUTE(SUBSTITUTE(SUBSTITUTE(SUBSTITUTE(LOWER(Registro!$E55),"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",LEN(Registro!$E55))),({1,2,3,4,5,6,7,8,9,10,11,12,13,14,15,16,17,18,19,20,21,22,23,24,25,26,27,28,29,30}-1)*LEN(Registro!$E55)+1,LEN(Registro!$E55)))&amp;"x")-1))),"Revisar formato")))</f>
        <v/>
      </c>
      <c r="E55" s="11" t="str">
        <f>IF(Registro!$E55="","",IF(ISERROR(FIND("x",LOWER(Registro!$E55))),"-",IFERROR(SUMPRODUCT(--("0"&amp;LEFT(TRIM(MID(SUBSTITUTE(SUBSTITUTE(SUBSTITUTE(SUBSTITUTE(SUBSTITUTE(LOWER(Registro!$E55),"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",LEN(Registro!$E55))),({1,2,3,4,5,6,7,8,9,10,11,12,13,14,15,16,17,18,19,20,21,22,23,24,25,26,27,28,29,30}-1)*LEN(Registro!$E55)+1,LEN(Registro!$E55)))&amp;"x")-1)),--("0"&amp;MID(TRIM(MID(SUBSTITUTE(SUBSTITUTE(SUBSTITUTE(SUBSTITUTE(SUBSTITUTE(LOWER(Registro!$E55),"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",LEN(Registro!$E55))),({1,2,3,4,5,6,7,8,9,10,11,12,13,14,15,16,17,18,19,20,21,22,23,24,25,26,27,28,29,30}-1)*LEN(Registro!$E55)+1,LEN(Registro!$E55)))&amp;"x")+1,20))),"Revisar formato")))</f>
        <v/>
      </c>
      <c r="F55" s="11" t="str">
        <f>IF(Registro!$F55="","",N(Registro!$F55))</f>
        <v/>
      </c>
      <c r="G55" s="11" t="str">
        <f t="shared" si="1"/>
        <v/>
      </c>
      <c r="H55" s="10" t="str">
        <f>IF(Registro!$G55="","",IF(ISERROR(FIND("x",LOWER(Registro!$G55))),"-",IFERROR(SUMPRODUCT(--("0"&amp;LEFT(TRIM(MID(SUBSTITUTE(SUBSTITUTE(SUBSTITUTE(SUBSTITUTE(SUBSTITUTE(LOWER(Registro!$G55),"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",LEN(Registro!$G55))),({1,2,3,4,5,6,7,8,9,10,11,12,13,14,15,16,17,18,19,20,21,22,23,24,25,26,27,28,29,30}-1)*LEN(Registro!$G55)+1,LEN(Registro!$G55))),FIND("x",TRIM(MID(SUBSTITUTE(SUBSTITUTE(SUBSTITUTE(SUBSTITUTE(SUBSTITUTE(LOWER(Registro!$G55),"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",LEN(Registro!$G55))),({1,2,3,4,5,6,7,8,9,10,11,12,13,14,15,16,17,18,19,20,21,22,23,24,25,26,27,28,29,30}-1)*LEN(Registro!$G55)+1,LEN(Registro!$G55)))&amp;"x")-1))),"Revisar formato")))</f>
        <v/>
      </c>
      <c r="I55" s="11" t="str">
        <f>IF(Registro!$G55="","",IF(ISERROR(FIND("x",LOWER(Registro!$G55))),N(Registro!$H55),IFERROR(SUMPRODUCT(--("0"&amp;LEFT(TRIM(MID(SUBSTITUTE(SUBSTITUTE(SUBSTITUTE(SUBSTITUTE(SUBSTITUTE(LOWER(Registro!$G55),"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",LEN(Registro!$G55))),({1,2,3,4,5,6,7,8,9,10,11,12,13,14,15,16,17,18,19,20,21,22,23,24,25,26,27,28,29,30}-1)*LEN(Registro!$G55)+1,LEN(Registro!$G55))),FIND("x",TRIM(MID(SUBSTITUTE(SUBSTITUTE(SUBSTITUTE(SUBSTITUTE(SUBSTITUTE(LOWER(Registro!$G55),"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",LEN(Registro!$G55))),({1,2,3,4,5,6,7,8,9,10,11,12,13,14,15,16,17,18,19,20,21,22,23,24,25,26,27,28,29,30}-1)*LEN(Registro!$G55)+1,LEN(Registro!$G55)))&amp;"x")-1)),--("0"&amp;MID(TRIM(MID(SUBSTITUTE(SUBSTITUTE(SUBSTITUTE(SUBSTITUTE(SUBSTITUTE(LOWER(Registro!$G55),"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",LEN(Registro!$G55))),({1,2,3,4,5,6,7,8,9,10,11,12,13,14,15,16,17,18,19,20,21,22,23,24,25,26,27,28,29,30}-1)*LEN(Registro!$G55)+1,LEN(Registro!$G55))),FIND("x",TRIM(MID(SUBSTITUTE(SUBSTITUTE(SUBSTITUTE(SUBSTITUTE(SUBSTITUTE(LOWER(Registro!$G55),"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",LEN(Registro!$G55))),({1,2,3,4,5,6,7,8,9,10,11,12,13,14,15,16,17,18,19,20,21,22,23,24,25,26,27,28,29,30}-1)*LEN(Registro!$G55)+1,LEN(Registro!$G55)))&amp;"x")+1,20))),"Revisar formato")))</f>
        <v/>
      </c>
      <c r="J55" s="9" t="str">
        <f>IF(AND(Registro!$E55="",Registro!$G55=""),"",IF(NOT(AND(ISNUMBER(I55),ISNUMBER(Registro!$H55))),"",IF(I55&lt;Registro!$H55,"FALTA BOLETOS",IF(I55=Registro!$H55,"CONFORME","DIFERENCIA"))))</f>
        <v/>
      </c>
      <c r="K55" s="11" t="str">
        <f>IF(Registro!$I55="","",IFERROR(SUMPRODUCT(--("0"&amp;TRIM(RIGHT(SUBSTITUTE(TRIM(MID(SUBSTITUTE(SUBSTITUTE(Registro!$I55,";",CHAR(10)),CHAR(10),REPT(" ",LEN(Registro!$I55))),({1,2,3,4,5,6,7,8,9,10,11,12,13,14,15,16,17,18,19,20,21,22,23,24,25,26,27,28,29,30}-1)*LEN(Registro!$I55)+1,LEN(Registro!$I55)))," ",REPT(" ",50)),50)))),"Revisar formato"))</f>
        <v/>
      </c>
      <c r="L55" s="11" t="str">
        <f>IF(Registro!$J55="","",IFERROR(SUMPRODUCT(--("0"&amp;TRIM(RIGHT(SUBSTITUTE(TRIM(MID(SUBSTITUTE(SUBSTITUTE(Registro!$J55,";",CHAR(10)),CHAR(10),REPT(" ",LEN(Registro!$J55))),({1,2,3,4,5,6,7,8,9,10,11,12,13,14,15,16,17,18,19,20,21,22,23,24,25,26,27,28,29,30}-1)*LEN(Registro!$J55)+1,LEN(Registro!$J55)))," ",REPT(" ",50)),50)))),"Revisar formato"))</f>
        <v/>
      </c>
      <c r="M55" s="11" t="str">
        <f>IF(AND(Registro!$H55="",Registro!$I55=""),"",IF(AND(ISTEXT(K55),K55&lt;&gt;""),"Revisar formato",N(Registro!$H55)-N(K55)))</f>
        <v/>
      </c>
      <c r="N55" s="11" t="str">
        <f t="shared" si="2"/>
        <v/>
      </c>
      <c r="O55" s="15" t="str">
        <f>IF(AND(A55=Consulta!$B$3,C55=Consulta!$H$3),B55*10000+ROW(),"")</f>
        <v/>
      </c>
    </row>
    <row r="56" spans="1:15" x14ac:dyDescent="0.25">
      <c r="A56" s="9" t="str">
        <f>IF(Registro!$A56="","",Registro!$A56)</f>
        <v/>
      </c>
      <c r="B56" s="8" t="str">
        <f>IF(Registro!$B56="","",Registro!$B56)</f>
        <v/>
      </c>
      <c r="C56" s="14" t="str">
        <f t="shared" si="0"/>
        <v/>
      </c>
      <c r="D56" s="10" t="str">
        <f>IF(Registro!$E56="","",IF(ISERROR(FIND("x",LOWER(Registro!$E56))),"-",IFERROR(SUMPRODUCT(--("0"&amp;LEFT(TRIM(MID(SUBSTITUTE(SUBSTITUTE(SUBSTITUTE(SUBSTITUTE(SUBSTITUTE(LOWER(Registro!$E56),"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",LEN(Registro!$E56))),({1,2,3,4,5,6,7,8,9,10,11,12,13,14,15,16,17,18,19,20,21,22,23,24,25,26,27,28,29,30}-1)*LEN(Registro!$E56)+1,LEN(Registro!$E56)))&amp;"x")-1))),"Revisar formato")))</f>
        <v/>
      </c>
      <c r="E56" s="11" t="str">
        <f>IF(Registro!$E56="","",IF(ISERROR(FIND("x",LOWER(Registro!$E56))),"-",IFERROR(SUMPRODUCT(--("0"&amp;LEFT(TRIM(MID(SUBSTITUTE(SUBSTITUTE(SUBSTITUTE(SUBSTITUTE(SUBSTITUTE(LOWER(Registro!$E56),"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",LEN(Registro!$E56))),({1,2,3,4,5,6,7,8,9,10,11,12,13,14,15,16,17,18,19,20,21,22,23,24,25,26,27,28,29,30}-1)*LEN(Registro!$E56)+1,LEN(Registro!$E56)))&amp;"x")-1)),--("0"&amp;MID(TRIM(MID(SUBSTITUTE(SUBSTITUTE(SUBSTITUTE(SUBSTITUTE(SUBSTITUTE(LOWER(Registro!$E56),"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",LEN(Registro!$E56))),({1,2,3,4,5,6,7,8,9,10,11,12,13,14,15,16,17,18,19,20,21,22,23,24,25,26,27,28,29,30}-1)*LEN(Registro!$E56)+1,LEN(Registro!$E56)))&amp;"x")+1,20))),"Revisar formato")))</f>
        <v/>
      </c>
      <c r="F56" s="11" t="str">
        <f>IF(Registro!$F56="","",N(Registro!$F56))</f>
        <v/>
      </c>
      <c r="G56" s="11" t="str">
        <f t="shared" si="1"/>
        <v/>
      </c>
      <c r="H56" s="10" t="str">
        <f>IF(Registro!$G56="","",IF(ISERROR(FIND("x",LOWER(Registro!$G56))),"-",IFERROR(SUMPRODUCT(--("0"&amp;LEFT(TRIM(MID(SUBSTITUTE(SUBSTITUTE(SUBSTITUTE(SUBSTITUTE(SUBSTITUTE(LOWER(Registro!$G56),"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",LEN(Registro!$G56))),({1,2,3,4,5,6,7,8,9,10,11,12,13,14,15,16,17,18,19,20,21,22,23,24,25,26,27,28,29,30}-1)*LEN(Registro!$G56)+1,LEN(Registro!$G56))),FIND("x",TRIM(MID(SUBSTITUTE(SUBSTITUTE(SUBSTITUTE(SUBSTITUTE(SUBSTITUTE(LOWER(Registro!$G56),"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",LEN(Registro!$G56))),({1,2,3,4,5,6,7,8,9,10,11,12,13,14,15,16,17,18,19,20,21,22,23,24,25,26,27,28,29,30}-1)*LEN(Registro!$G56)+1,LEN(Registro!$G56)))&amp;"x")-1))),"Revisar formato")))</f>
        <v/>
      </c>
      <c r="I56" s="11" t="str">
        <f>IF(Registro!$G56="","",IF(ISERROR(FIND("x",LOWER(Registro!$G56))),N(Registro!$H56),IFERROR(SUMPRODUCT(--("0"&amp;LEFT(TRIM(MID(SUBSTITUTE(SUBSTITUTE(SUBSTITUTE(SUBSTITUTE(SUBSTITUTE(LOWER(Registro!$G56),"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",LEN(Registro!$G56))),({1,2,3,4,5,6,7,8,9,10,11,12,13,14,15,16,17,18,19,20,21,22,23,24,25,26,27,28,29,30}-1)*LEN(Registro!$G56)+1,LEN(Registro!$G56))),FIND("x",TRIM(MID(SUBSTITUTE(SUBSTITUTE(SUBSTITUTE(SUBSTITUTE(SUBSTITUTE(LOWER(Registro!$G56),"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",LEN(Registro!$G56))),({1,2,3,4,5,6,7,8,9,10,11,12,13,14,15,16,17,18,19,20,21,22,23,24,25,26,27,28,29,30}-1)*LEN(Registro!$G56)+1,LEN(Registro!$G56)))&amp;"x")-1)),--("0"&amp;MID(TRIM(MID(SUBSTITUTE(SUBSTITUTE(SUBSTITUTE(SUBSTITUTE(SUBSTITUTE(LOWER(Registro!$G56),"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",LEN(Registro!$G56))),({1,2,3,4,5,6,7,8,9,10,11,12,13,14,15,16,17,18,19,20,21,22,23,24,25,26,27,28,29,30}-1)*LEN(Registro!$G56)+1,LEN(Registro!$G56))),FIND("x",TRIM(MID(SUBSTITUTE(SUBSTITUTE(SUBSTITUTE(SUBSTITUTE(SUBSTITUTE(LOWER(Registro!$G56),"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",LEN(Registro!$G56))),({1,2,3,4,5,6,7,8,9,10,11,12,13,14,15,16,17,18,19,20,21,22,23,24,25,26,27,28,29,30}-1)*LEN(Registro!$G56)+1,LEN(Registro!$G56)))&amp;"x")+1,20))),"Revisar formato")))</f>
        <v/>
      </c>
      <c r="J56" s="9" t="str">
        <f>IF(AND(Registro!$E56="",Registro!$G56=""),"",IF(NOT(AND(ISNUMBER(I56),ISNUMBER(Registro!$H56))),"",IF(I56&lt;Registro!$H56,"FALTA BOLETOS",IF(I56=Registro!$H56,"CONFORME","DIFERENCIA"))))</f>
        <v/>
      </c>
      <c r="K56" s="11" t="str">
        <f>IF(Registro!$I56="","",IFERROR(SUMPRODUCT(--("0"&amp;TRIM(RIGHT(SUBSTITUTE(TRIM(MID(SUBSTITUTE(SUBSTITUTE(Registro!$I56,";",CHAR(10)),CHAR(10),REPT(" ",LEN(Registro!$I56))),({1,2,3,4,5,6,7,8,9,10,11,12,13,14,15,16,17,18,19,20,21,22,23,24,25,26,27,28,29,30}-1)*LEN(Registro!$I56)+1,LEN(Registro!$I56)))," ",REPT(" ",50)),50)))),"Revisar formato"))</f>
        <v/>
      </c>
      <c r="L56" s="11" t="str">
        <f>IF(Registro!$J56="","",IFERROR(SUMPRODUCT(--("0"&amp;TRIM(RIGHT(SUBSTITUTE(TRIM(MID(SUBSTITUTE(SUBSTITUTE(Registro!$J56,";",CHAR(10)),CHAR(10),REPT(" ",LEN(Registro!$J56))),({1,2,3,4,5,6,7,8,9,10,11,12,13,14,15,16,17,18,19,20,21,22,23,24,25,26,27,28,29,30}-1)*LEN(Registro!$J56)+1,LEN(Registro!$J56)))," ",REPT(" ",50)),50)))),"Revisar formato"))</f>
        <v/>
      </c>
      <c r="M56" s="11" t="str">
        <f>IF(AND(Registro!$H56="",Registro!$I56=""),"",IF(AND(ISTEXT(K56),K56&lt;&gt;""),"Revisar formato",N(Registro!$H56)-N(K56)))</f>
        <v/>
      </c>
      <c r="N56" s="11" t="str">
        <f t="shared" si="2"/>
        <v/>
      </c>
      <c r="O56" s="15" t="str">
        <f>IF(AND(A56=Consulta!$B$3,C56=Consulta!$H$3),B56*10000+ROW(),"")</f>
        <v/>
      </c>
    </row>
    <row r="57" spans="1:15" x14ac:dyDescent="0.25">
      <c r="A57" s="9" t="str">
        <f>IF(Registro!$A57="","",Registro!$A57)</f>
        <v/>
      </c>
      <c r="B57" s="8" t="str">
        <f>IF(Registro!$B57="","",Registro!$B57)</f>
        <v/>
      </c>
      <c r="C57" s="14" t="str">
        <f t="shared" si="0"/>
        <v/>
      </c>
      <c r="D57" s="10" t="str">
        <f>IF(Registro!$E57="","",IF(ISERROR(FIND("x",LOWER(Registro!$E57))),"-",IFERROR(SUMPRODUCT(--("0"&amp;LEFT(TRIM(MID(SUBSTITUTE(SUBSTITUTE(SUBSTITUTE(SUBSTITUTE(SUBSTITUTE(LOWER(Registro!$E57),"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",LEN(Registro!$E57))),({1,2,3,4,5,6,7,8,9,10,11,12,13,14,15,16,17,18,19,20,21,22,23,24,25,26,27,28,29,30}-1)*LEN(Registro!$E57)+1,LEN(Registro!$E57)))&amp;"x")-1))),"Revisar formato")))</f>
        <v/>
      </c>
      <c r="E57" s="11" t="str">
        <f>IF(Registro!$E57="","",IF(ISERROR(FIND("x",LOWER(Registro!$E57))),"-",IFERROR(SUMPRODUCT(--("0"&amp;LEFT(TRIM(MID(SUBSTITUTE(SUBSTITUTE(SUBSTITUTE(SUBSTITUTE(SUBSTITUTE(LOWER(Registro!$E57),"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",LEN(Registro!$E57))),({1,2,3,4,5,6,7,8,9,10,11,12,13,14,15,16,17,18,19,20,21,22,23,24,25,26,27,28,29,30}-1)*LEN(Registro!$E57)+1,LEN(Registro!$E57)))&amp;"x")-1)),--("0"&amp;MID(TRIM(MID(SUBSTITUTE(SUBSTITUTE(SUBSTITUTE(SUBSTITUTE(SUBSTITUTE(LOWER(Registro!$E57),"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",LEN(Registro!$E57))),({1,2,3,4,5,6,7,8,9,10,11,12,13,14,15,16,17,18,19,20,21,22,23,24,25,26,27,28,29,30}-1)*LEN(Registro!$E57)+1,LEN(Registro!$E57)))&amp;"x")+1,20))),"Revisar formato")))</f>
        <v/>
      </c>
      <c r="F57" s="11" t="str">
        <f>IF(Registro!$F57="","",N(Registro!$F57))</f>
        <v/>
      </c>
      <c r="G57" s="11" t="str">
        <f t="shared" si="1"/>
        <v/>
      </c>
      <c r="H57" s="10" t="str">
        <f>IF(Registro!$G57="","",IF(ISERROR(FIND("x",LOWER(Registro!$G57))),"-",IFERROR(SUMPRODUCT(--("0"&amp;LEFT(TRIM(MID(SUBSTITUTE(SUBSTITUTE(SUBSTITUTE(SUBSTITUTE(SUBSTITUTE(LOWER(Registro!$G57),"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",LEN(Registro!$G57))),({1,2,3,4,5,6,7,8,9,10,11,12,13,14,15,16,17,18,19,20,21,22,23,24,25,26,27,28,29,30}-1)*LEN(Registro!$G57)+1,LEN(Registro!$G57))),FIND("x",TRIM(MID(SUBSTITUTE(SUBSTITUTE(SUBSTITUTE(SUBSTITUTE(SUBSTITUTE(LOWER(Registro!$G57),"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",LEN(Registro!$G57))),({1,2,3,4,5,6,7,8,9,10,11,12,13,14,15,16,17,18,19,20,21,22,23,24,25,26,27,28,29,30}-1)*LEN(Registro!$G57)+1,LEN(Registro!$G57)))&amp;"x")-1))),"Revisar formato")))</f>
        <v/>
      </c>
      <c r="I57" s="11" t="str">
        <f>IF(Registro!$G57="","",IF(ISERROR(FIND("x",LOWER(Registro!$G57))),N(Registro!$H57),IFERROR(SUMPRODUCT(--("0"&amp;LEFT(TRIM(MID(SUBSTITUTE(SUBSTITUTE(SUBSTITUTE(SUBSTITUTE(SUBSTITUTE(LOWER(Registro!$G57),"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",LEN(Registro!$G57))),({1,2,3,4,5,6,7,8,9,10,11,12,13,14,15,16,17,18,19,20,21,22,23,24,25,26,27,28,29,30}-1)*LEN(Registro!$G57)+1,LEN(Registro!$G57))),FIND("x",TRIM(MID(SUBSTITUTE(SUBSTITUTE(SUBSTITUTE(SUBSTITUTE(SUBSTITUTE(LOWER(Registro!$G57),"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",LEN(Registro!$G57))),({1,2,3,4,5,6,7,8,9,10,11,12,13,14,15,16,17,18,19,20,21,22,23,24,25,26,27,28,29,30}-1)*LEN(Registro!$G57)+1,LEN(Registro!$G57)))&amp;"x")-1)),--("0"&amp;MID(TRIM(MID(SUBSTITUTE(SUBSTITUTE(SUBSTITUTE(SUBSTITUTE(SUBSTITUTE(LOWER(Registro!$G57),"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",LEN(Registro!$G57))),({1,2,3,4,5,6,7,8,9,10,11,12,13,14,15,16,17,18,19,20,21,22,23,24,25,26,27,28,29,30}-1)*LEN(Registro!$G57)+1,LEN(Registro!$G57))),FIND("x",TRIM(MID(SUBSTITUTE(SUBSTITUTE(SUBSTITUTE(SUBSTITUTE(SUBSTITUTE(LOWER(Registro!$G57),"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",LEN(Registro!$G57))),({1,2,3,4,5,6,7,8,9,10,11,12,13,14,15,16,17,18,19,20,21,22,23,24,25,26,27,28,29,30}-1)*LEN(Registro!$G57)+1,LEN(Registro!$G57)))&amp;"x")+1,20))),"Revisar formato")))</f>
        <v/>
      </c>
      <c r="J57" s="9" t="str">
        <f>IF(AND(Registro!$E57="",Registro!$G57=""),"",IF(NOT(AND(ISNUMBER(I57),ISNUMBER(Registro!$H57))),"",IF(I57&lt;Registro!$H57,"FALTA BOLETOS",IF(I57=Registro!$H57,"CONFORME","DIFERENCIA"))))</f>
        <v/>
      </c>
      <c r="K57" s="11" t="str">
        <f>IF(Registro!$I57="","",IFERROR(SUMPRODUCT(--("0"&amp;TRIM(RIGHT(SUBSTITUTE(TRIM(MID(SUBSTITUTE(SUBSTITUTE(Registro!$I57,";",CHAR(10)),CHAR(10),REPT(" ",LEN(Registro!$I57))),({1,2,3,4,5,6,7,8,9,10,11,12,13,14,15,16,17,18,19,20,21,22,23,24,25,26,27,28,29,30}-1)*LEN(Registro!$I57)+1,LEN(Registro!$I57)))," ",REPT(" ",50)),50)))),"Revisar formato"))</f>
        <v/>
      </c>
      <c r="L57" s="11" t="str">
        <f>IF(Registro!$J57="","",IFERROR(SUMPRODUCT(--("0"&amp;TRIM(RIGHT(SUBSTITUTE(TRIM(MID(SUBSTITUTE(SUBSTITUTE(Registro!$J57,";",CHAR(10)),CHAR(10),REPT(" ",LEN(Registro!$J57))),({1,2,3,4,5,6,7,8,9,10,11,12,13,14,15,16,17,18,19,20,21,22,23,24,25,26,27,28,29,30}-1)*LEN(Registro!$J57)+1,LEN(Registro!$J57)))," ",REPT(" ",50)),50)))),"Revisar formato"))</f>
        <v/>
      </c>
      <c r="M57" s="11" t="str">
        <f>IF(AND(Registro!$H57="",Registro!$I57=""),"",IF(AND(ISTEXT(K57),K57&lt;&gt;""),"Revisar formato",N(Registro!$H57)-N(K57)))</f>
        <v/>
      </c>
      <c r="N57" s="11" t="str">
        <f t="shared" si="2"/>
        <v/>
      </c>
      <c r="O57" s="15" t="str">
        <f>IF(AND(A57=Consulta!$B$3,C57=Consulta!$H$3),B57*10000+ROW(),"")</f>
        <v/>
      </c>
    </row>
    <row r="58" spans="1:15" x14ac:dyDescent="0.25">
      <c r="A58" s="9" t="str">
        <f>IF(Registro!$A58="","",Registro!$A58)</f>
        <v/>
      </c>
      <c r="B58" s="8" t="str">
        <f>IF(Registro!$B58="","",Registro!$B58)</f>
        <v/>
      </c>
      <c r="C58" s="14" t="str">
        <f t="shared" si="0"/>
        <v/>
      </c>
      <c r="D58" s="10" t="str">
        <f>IF(Registro!$E58="","",IF(ISERROR(FIND("x",LOWER(Registro!$E58))),"-",IFERROR(SUMPRODUCT(--("0"&amp;LEFT(TRIM(MID(SUBSTITUTE(SUBSTITUTE(SUBSTITUTE(SUBSTITUTE(SUBSTITUTE(LOWER(Registro!$E58),"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",LEN(Registro!$E58))),({1,2,3,4,5,6,7,8,9,10,11,12,13,14,15,16,17,18,19,20,21,22,23,24,25,26,27,28,29,30}-1)*LEN(Registro!$E58)+1,LEN(Registro!$E58)))&amp;"x")-1))),"Revisar formato")))</f>
        <v/>
      </c>
      <c r="E58" s="11" t="str">
        <f>IF(Registro!$E58="","",IF(ISERROR(FIND("x",LOWER(Registro!$E58))),"-",IFERROR(SUMPRODUCT(--("0"&amp;LEFT(TRIM(MID(SUBSTITUTE(SUBSTITUTE(SUBSTITUTE(SUBSTITUTE(SUBSTITUTE(LOWER(Registro!$E58),"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",LEN(Registro!$E58))),({1,2,3,4,5,6,7,8,9,10,11,12,13,14,15,16,17,18,19,20,21,22,23,24,25,26,27,28,29,30}-1)*LEN(Registro!$E58)+1,LEN(Registro!$E58)))&amp;"x")-1)),--("0"&amp;MID(TRIM(MID(SUBSTITUTE(SUBSTITUTE(SUBSTITUTE(SUBSTITUTE(SUBSTITUTE(LOWER(Registro!$E58),"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",LEN(Registro!$E58))),({1,2,3,4,5,6,7,8,9,10,11,12,13,14,15,16,17,18,19,20,21,22,23,24,25,26,27,28,29,30}-1)*LEN(Registro!$E58)+1,LEN(Registro!$E58)))&amp;"x")+1,20))),"Revisar formato")))</f>
        <v/>
      </c>
      <c r="F58" s="11" t="str">
        <f>IF(Registro!$F58="","",N(Registro!$F58))</f>
        <v/>
      </c>
      <c r="G58" s="11" t="str">
        <f t="shared" si="1"/>
        <v/>
      </c>
      <c r="H58" s="10" t="str">
        <f>IF(Registro!$G58="","",IF(ISERROR(FIND("x",LOWER(Registro!$G58))),"-",IFERROR(SUMPRODUCT(--("0"&amp;LEFT(TRIM(MID(SUBSTITUTE(SUBSTITUTE(SUBSTITUTE(SUBSTITUTE(SUBSTITUTE(LOWER(Registro!$G58),"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",LEN(Registro!$G58))),({1,2,3,4,5,6,7,8,9,10,11,12,13,14,15,16,17,18,19,20,21,22,23,24,25,26,27,28,29,30}-1)*LEN(Registro!$G58)+1,LEN(Registro!$G58))),FIND("x",TRIM(MID(SUBSTITUTE(SUBSTITUTE(SUBSTITUTE(SUBSTITUTE(SUBSTITUTE(LOWER(Registro!$G58),"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",LEN(Registro!$G58))),({1,2,3,4,5,6,7,8,9,10,11,12,13,14,15,16,17,18,19,20,21,22,23,24,25,26,27,28,29,30}-1)*LEN(Registro!$G58)+1,LEN(Registro!$G58)))&amp;"x")-1))),"Revisar formato")))</f>
        <v/>
      </c>
      <c r="I58" s="11" t="str">
        <f>IF(Registro!$G58="","",IF(ISERROR(FIND("x",LOWER(Registro!$G58))),N(Registro!$H58),IFERROR(SUMPRODUCT(--("0"&amp;LEFT(TRIM(MID(SUBSTITUTE(SUBSTITUTE(SUBSTITUTE(SUBSTITUTE(SUBSTITUTE(LOWER(Registro!$G58),"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",LEN(Registro!$G58))),({1,2,3,4,5,6,7,8,9,10,11,12,13,14,15,16,17,18,19,20,21,22,23,24,25,26,27,28,29,30}-1)*LEN(Registro!$G58)+1,LEN(Registro!$G58))),FIND("x",TRIM(MID(SUBSTITUTE(SUBSTITUTE(SUBSTITUTE(SUBSTITUTE(SUBSTITUTE(LOWER(Registro!$G58),"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",LEN(Registro!$G58))),({1,2,3,4,5,6,7,8,9,10,11,12,13,14,15,16,17,18,19,20,21,22,23,24,25,26,27,28,29,30}-1)*LEN(Registro!$G58)+1,LEN(Registro!$G58)))&amp;"x")-1)),--("0"&amp;MID(TRIM(MID(SUBSTITUTE(SUBSTITUTE(SUBSTITUTE(SUBSTITUTE(SUBSTITUTE(LOWER(Registro!$G58),"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",LEN(Registro!$G58))),({1,2,3,4,5,6,7,8,9,10,11,12,13,14,15,16,17,18,19,20,21,22,23,24,25,26,27,28,29,30}-1)*LEN(Registro!$G58)+1,LEN(Registro!$G58))),FIND("x",TRIM(MID(SUBSTITUTE(SUBSTITUTE(SUBSTITUTE(SUBSTITUTE(SUBSTITUTE(LOWER(Registro!$G58),"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",LEN(Registro!$G58))),({1,2,3,4,5,6,7,8,9,10,11,12,13,14,15,16,17,18,19,20,21,22,23,24,25,26,27,28,29,30}-1)*LEN(Registro!$G58)+1,LEN(Registro!$G58)))&amp;"x")+1,20))),"Revisar formato")))</f>
        <v/>
      </c>
      <c r="J58" s="9" t="str">
        <f>IF(AND(Registro!$E58="",Registro!$G58=""),"",IF(NOT(AND(ISNUMBER(I58),ISNUMBER(Registro!$H58))),"",IF(I58&lt;Registro!$H58,"FALTA BOLETOS",IF(I58=Registro!$H58,"CONFORME","DIFERENCIA"))))</f>
        <v/>
      </c>
      <c r="K58" s="11" t="str">
        <f>IF(Registro!$I58="","",IFERROR(SUMPRODUCT(--("0"&amp;TRIM(RIGHT(SUBSTITUTE(TRIM(MID(SUBSTITUTE(SUBSTITUTE(Registro!$I58,";",CHAR(10)),CHAR(10),REPT(" ",LEN(Registro!$I58))),({1,2,3,4,5,6,7,8,9,10,11,12,13,14,15,16,17,18,19,20,21,22,23,24,25,26,27,28,29,30}-1)*LEN(Registro!$I58)+1,LEN(Registro!$I58)))," ",REPT(" ",50)),50)))),"Revisar formato"))</f>
        <v/>
      </c>
      <c r="L58" s="11" t="str">
        <f>IF(Registro!$J58="","",IFERROR(SUMPRODUCT(--("0"&amp;TRIM(RIGHT(SUBSTITUTE(TRIM(MID(SUBSTITUTE(SUBSTITUTE(Registro!$J58,";",CHAR(10)),CHAR(10),REPT(" ",LEN(Registro!$J58))),({1,2,3,4,5,6,7,8,9,10,11,12,13,14,15,16,17,18,19,20,21,22,23,24,25,26,27,28,29,30}-1)*LEN(Registro!$J58)+1,LEN(Registro!$J58)))," ",REPT(" ",50)),50)))),"Revisar formato"))</f>
        <v/>
      </c>
      <c r="M58" s="11" t="str">
        <f>IF(AND(Registro!$H58="",Registro!$I58=""),"",IF(AND(ISTEXT(K58),K58&lt;&gt;""),"Revisar formato",N(Registro!$H58)-N(K58)))</f>
        <v/>
      </c>
      <c r="N58" s="11" t="str">
        <f t="shared" si="2"/>
        <v/>
      </c>
      <c r="O58" s="15" t="str">
        <f>IF(AND(A58=Consulta!$B$3,C58=Consulta!$H$3),B58*10000+ROW(),"")</f>
        <v/>
      </c>
    </row>
    <row r="59" spans="1:15" x14ac:dyDescent="0.25">
      <c r="A59" s="9" t="str">
        <f>IF(Registro!$A59="","",Registro!$A59)</f>
        <v/>
      </c>
      <c r="B59" s="8" t="str">
        <f>IF(Registro!$B59="","",Registro!$B59)</f>
        <v/>
      </c>
      <c r="C59" s="14" t="str">
        <f t="shared" si="0"/>
        <v/>
      </c>
      <c r="D59" s="10" t="str">
        <f>IF(Registro!$E59="","",IF(ISERROR(FIND("x",LOWER(Registro!$E59))),"-",IFERROR(SUMPRODUCT(--("0"&amp;LEFT(TRIM(MID(SUBSTITUTE(SUBSTITUTE(SUBSTITUTE(SUBSTITUTE(SUBSTITUTE(LOWER(Registro!$E59),"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",LEN(Registro!$E59))),({1,2,3,4,5,6,7,8,9,10,11,12,13,14,15,16,17,18,19,20,21,22,23,24,25,26,27,28,29,30}-1)*LEN(Registro!$E59)+1,LEN(Registro!$E59)))&amp;"x")-1))),"Revisar formato")))</f>
        <v/>
      </c>
      <c r="E59" s="11" t="str">
        <f>IF(Registro!$E59="","",IF(ISERROR(FIND("x",LOWER(Registro!$E59))),"-",IFERROR(SUMPRODUCT(--("0"&amp;LEFT(TRIM(MID(SUBSTITUTE(SUBSTITUTE(SUBSTITUTE(SUBSTITUTE(SUBSTITUTE(LOWER(Registro!$E59),"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",LEN(Registro!$E59))),({1,2,3,4,5,6,7,8,9,10,11,12,13,14,15,16,17,18,19,20,21,22,23,24,25,26,27,28,29,30}-1)*LEN(Registro!$E59)+1,LEN(Registro!$E59)))&amp;"x")-1)),--("0"&amp;MID(TRIM(MID(SUBSTITUTE(SUBSTITUTE(SUBSTITUTE(SUBSTITUTE(SUBSTITUTE(LOWER(Registro!$E59),"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",LEN(Registro!$E59))),({1,2,3,4,5,6,7,8,9,10,11,12,13,14,15,16,17,18,19,20,21,22,23,24,25,26,27,28,29,30}-1)*LEN(Registro!$E59)+1,LEN(Registro!$E59)))&amp;"x")+1,20))),"Revisar formato")))</f>
        <v/>
      </c>
      <c r="F59" s="11" t="str">
        <f>IF(Registro!$F59="","",N(Registro!$F59))</f>
        <v/>
      </c>
      <c r="G59" s="11" t="str">
        <f t="shared" si="1"/>
        <v/>
      </c>
      <c r="H59" s="10" t="str">
        <f>IF(Registro!$G59="","",IF(ISERROR(FIND("x",LOWER(Registro!$G59))),"-",IFERROR(SUMPRODUCT(--("0"&amp;LEFT(TRIM(MID(SUBSTITUTE(SUBSTITUTE(SUBSTITUTE(SUBSTITUTE(SUBSTITUTE(LOWER(Registro!$G59),"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",LEN(Registro!$G59))),({1,2,3,4,5,6,7,8,9,10,11,12,13,14,15,16,17,18,19,20,21,22,23,24,25,26,27,28,29,30}-1)*LEN(Registro!$G59)+1,LEN(Registro!$G59))),FIND("x",TRIM(MID(SUBSTITUTE(SUBSTITUTE(SUBSTITUTE(SUBSTITUTE(SUBSTITUTE(LOWER(Registro!$G59),"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",LEN(Registro!$G59))),({1,2,3,4,5,6,7,8,9,10,11,12,13,14,15,16,17,18,19,20,21,22,23,24,25,26,27,28,29,30}-1)*LEN(Registro!$G59)+1,LEN(Registro!$G59)))&amp;"x")-1))),"Revisar formato")))</f>
        <v/>
      </c>
      <c r="I59" s="11" t="str">
        <f>IF(Registro!$G59="","",IF(ISERROR(FIND("x",LOWER(Registro!$G59))),N(Registro!$H59),IFERROR(SUMPRODUCT(--("0"&amp;LEFT(TRIM(MID(SUBSTITUTE(SUBSTITUTE(SUBSTITUTE(SUBSTITUTE(SUBSTITUTE(LOWER(Registro!$G59),"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",LEN(Registro!$G59))),({1,2,3,4,5,6,7,8,9,10,11,12,13,14,15,16,17,18,19,20,21,22,23,24,25,26,27,28,29,30}-1)*LEN(Registro!$G59)+1,LEN(Registro!$G59))),FIND("x",TRIM(MID(SUBSTITUTE(SUBSTITUTE(SUBSTITUTE(SUBSTITUTE(SUBSTITUTE(LOWER(Registro!$G59),"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",LEN(Registro!$G59))),({1,2,3,4,5,6,7,8,9,10,11,12,13,14,15,16,17,18,19,20,21,22,23,24,25,26,27,28,29,30}-1)*LEN(Registro!$G59)+1,LEN(Registro!$G59)))&amp;"x")-1)),--("0"&amp;MID(TRIM(MID(SUBSTITUTE(SUBSTITUTE(SUBSTITUTE(SUBSTITUTE(SUBSTITUTE(LOWER(Registro!$G59),"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",LEN(Registro!$G59))),({1,2,3,4,5,6,7,8,9,10,11,12,13,14,15,16,17,18,19,20,21,22,23,24,25,26,27,28,29,30}-1)*LEN(Registro!$G59)+1,LEN(Registro!$G59))),FIND("x",TRIM(MID(SUBSTITUTE(SUBSTITUTE(SUBSTITUTE(SUBSTITUTE(SUBSTITUTE(LOWER(Registro!$G59),"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",LEN(Registro!$G59))),({1,2,3,4,5,6,7,8,9,10,11,12,13,14,15,16,17,18,19,20,21,22,23,24,25,26,27,28,29,30}-1)*LEN(Registro!$G59)+1,LEN(Registro!$G59)))&amp;"x")+1,20))),"Revisar formato")))</f>
        <v/>
      </c>
      <c r="J59" s="9" t="str">
        <f>IF(AND(Registro!$E59="",Registro!$G59=""),"",IF(NOT(AND(ISNUMBER(I59),ISNUMBER(Registro!$H59))),"",IF(I59&lt;Registro!$H59,"FALTA BOLETOS",IF(I59=Registro!$H59,"CONFORME","DIFERENCIA"))))</f>
        <v/>
      </c>
      <c r="K59" s="11" t="str">
        <f>IF(Registro!$I59="","",IFERROR(SUMPRODUCT(--("0"&amp;TRIM(RIGHT(SUBSTITUTE(TRIM(MID(SUBSTITUTE(SUBSTITUTE(Registro!$I59,";",CHAR(10)),CHAR(10),REPT(" ",LEN(Registro!$I59))),({1,2,3,4,5,6,7,8,9,10,11,12,13,14,15,16,17,18,19,20,21,22,23,24,25,26,27,28,29,30}-1)*LEN(Registro!$I59)+1,LEN(Registro!$I59)))," ",REPT(" ",50)),50)))),"Revisar formato"))</f>
        <v/>
      </c>
      <c r="L59" s="11" t="str">
        <f>IF(Registro!$J59="","",IFERROR(SUMPRODUCT(--("0"&amp;TRIM(RIGHT(SUBSTITUTE(TRIM(MID(SUBSTITUTE(SUBSTITUTE(Registro!$J59,";",CHAR(10)),CHAR(10),REPT(" ",LEN(Registro!$J59))),({1,2,3,4,5,6,7,8,9,10,11,12,13,14,15,16,17,18,19,20,21,22,23,24,25,26,27,28,29,30}-1)*LEN(Registro!$J59)+1,LEN(Registro!$J59)))," ",REPT(" ",50)),50)))),"Revisar formato"))</f>
        <v/>
      </c>
      <c r="M59" s="11" t="str">
        <f>IF(AND(Registro!$H59="",Registro!$I59=""),"",IF(AND(ISTEXT(K59),K59&lt;&gt;""),"Revisar formato",N(Registro!$H59)-N(K59)))</f>
        <v/>
      </c>
      <c r="N59" s="11" t="str">
        <f t="shared" si="2"/>
        <v/>
      </c>
      <c r="O59" s="15" t="str">
        <f>IF(AND(A59=Consulta!$B$3,C59=Consulta!$H$3),B59*10000+ROW(),"")</f>
        <v/>
      </c>
    </row>
    <row r="60" spans="1:15" x14ac:dyDescent="0.25">
      <c r="A60" s="9" t="str">
        <f>IF(Registro!$A60="","",Registro!$A60)</f>
        <v/>
      </c>
      <c r="B60" s="8" t="str">
        <f>IF(Registro!$B60="","",Registro!$B60)</f>
        <v/>
      </c>
      <c r="C60" s="14" t="str">
        <f t="shared" si="0"/>
        <v/>
      </c>
      <c r="D60" s="10" t="str">
        <f>IF(Registro!$E60="","",IF(ISERROR(FIND("x",LOWER(Registro!$E60))),"-",IFERROR(SUMPRODUCT(--("0"&amp;LEFT(TRIM(MID(SUBSTITUTE(SUBSTITUTE(SUBSTITUTE(SUBSTITUTE(SUBSTITUTE(LOWER(Registro!$E60),"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",LEN(Registro!$E60))),({1,2,3,4,5,6,7,8,9,10,11,12,13,14,15,16,17,18,19,20,21,22,23,24,25,26,27,28,29,30}-1)*LEN(Registro!$E60)+1,LEN(Registro!$E60)))&amp;"x")-1))),"Revisar formato")))</f>
        <v/>
      </c>
      <c r="E60" s="11" t="str">
        <f>IF(Registro!$E60="","",IF(ISERROR(FIND("x",LOWER(Registro!$E60))),"-",IFERROR(SUMPRODUCT(--("0"&amp;LEFT(TRIM(MID(SUBSTITUTE(SUBSTITUTE(SUBSTITUTE(SUBSTITUTE(SUBSTITUTE(LOWER(Registro!$E60),"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",LEN(Registro!$E60))),({1,2,3,4,5,6,7,8,9,10,11,12,13,14,15,16,17,18,19,20,21,22,23,24,25,26,27,28,29,30}-1)*LEN(Registro!$E60)+1,LEN(Registro!$E60)))&amp;"x")-1)),--("0"&amp;MID(TRIM(MID(SUBSTITUTE(SUBSTITUTE(SUBSTITUTE(SUBSTITUTE(SUBSTITUTE(LOWER(Registro!$E60),"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",LEN(Registro!$E60))),({1,2,3,4,5,6,7,8,9,10,11,12,13,14,15,16,17,18,19,20,21,22,23,24,25,26,27,28,29,30}-1)*LEN(Registro!$E60)+1,LEN(Registro!$E60)))&amp;"x")+1,20))),"Revisar formato")))</f>
        <v/>
      </c>
      <c r="F60" s="11" t="str">
        <f>IF(Registro!$F60="","",N(Registro!$F60))</f>
        <v/>
      </c>
      <c r="G60" s="11" t="str">
        <f t="shared" si="1"/>
        <v/>
      </c>
      <c r="H60" s="10" t="str">
        <f>IF(Registro!$G60="","",IF(ISERROR(FIND("x",LOWER(Registro!$G60))),"-",IFERROR(SUMPRODUCT(--("0"&amp;LEFT(TRIM(MID(SUBSTITUTE(SUBSTITUTE(SUBSTITUTE(SUBSTITUTE(SUBSTITUTE(LOWER(Registro!$G60),"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",LEN(Registro!$G60))),({1,2,3,4,5,6,7,8,9,10,11,12,13,14,15,16,17,18,19,20,21,22,23,24,25,26,27,28,29,30}-1)*LEN(Registro!$G60)+1,LEN(Registro!$G60))),FIND("x",TRIM(MID(SUBSTITUTE(SUBSTITUTE(SUBSTITUTE(SUBSTITUTE(SUBSTITUTE(LOWER(Registro!$G60),"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",LEN(Registro!$G60))),({1,2,3,4,5,6,7,8,9,10,11,12,13,14,15,16,17,18,19,20,21,22,23,24,25,26,27,28,29,30}-1)*LEN(Registro!$G60)+1,LEN(Registro!$G60)))&amp;"x")-1))),"Revisar formato")))</f>
        <v/>
      </c>
      <c r="I60" s="11" t="str">
        <f>IF(Registro!$G60="","",IF(ISERROR(FIND("x",LOWER(Registro!$G60))),N(Registro!$H60),IFERROR(SUMPRODUCT(--("0"&amp;LEFT(TRIM(MID(SUBSTITUTE(SUBSTITUTE(SUBSTITUTE(SUBSTITUTE(SUBSTITUTE(LOWER(Registro!$G60),"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",LEN(Registro!$G60))),({1,2,3,4,5,6,7,8,9,10,11,12,13,14,15,16,17,18,19,20,21,22,23,24,25,26,27,28,29,30}-1)*LEN(Registro!$G60)+1,LEN(Registro!$G60))),FIND("x",TRIM(MID(SUBSTITUTE(SUBSTITUTE(SUBSTITUTE(SUBSTITUTE(SUBSTITUTE(LOWER(Registro!$G60),"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",LEN(Registro!$G60))),({1,2,3,4,5,6,7,8,9,10,11,12,13,14,15,16,17,18,19,20,21,22,23,24,25,26,27,28,29,30}-1)*LEN(Registro!$G60)+1,LEN(Registro!$G60)))&amp;"x")-1)),--("0"&amp;MID(TRIM(MID(SUBSTITUTE(SUBSTITUTE(SUBSTITUTE(SUBSTITUTE(SUBSTITUTE(LOWER(Registro!$G60),"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",LEN(Registro!$G60))),({1,2,3,4,5,6,7,8,9,10,11,12,13,14,15,16,17,18,19,20,21,22,23,24,25,26,27,28,29,30}-1)*LEN(Registro!$G60)+1,LEN(Registro!$G60))),FIND("x",TRIM(MID(SUBSTITUTE(SUBSTITUTE(SUBSTITUTE(SUBSTITUTE(SUBSTITUTE(LOWER(Registro!$G60),"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",LEN(Registro!$G60))),({1,2,3,4,5,6,7,8,9,10,11,12,13,14,15,16,17,18,19,20,21,22,23,24,25,26,27,28,29,30}-1)*LEN(Registro!$G60)+1,LEN(Registro!$G60)))&amp;"x")+1,20))),"Revisar formato")))</f>
        <v/>
      </c>
      <c r="J60" s="9" t="str">
        <f>IF(AND(Registro!$E60="",Registro!$G60=""),"",IF(NOT(AND(ISNUMBER(I60),ISNUMBER(Registro!$H60))),"",IF(I60&lt;Registro!$H60,"FALTA BOLETOS",IF(I60=Registro!$H60,"CONFORME","DIFERENCIA"))))</f>
        <v/>
      </c>
      <c r="K60" s="11" t="str">
        <f>IF(Registro!$I60="","",IFERROR(SUMPRODUCT(--("0"&amp;TRIM(RIGHT(SUBSTITUTE(TRIM(MID(SUBSTITUTE(SUBSTITUTE(Registro!$I60,";",CHAR(10)),CHAR(10),REPT(" ",LEN(Registro!$I60))),({1,2,3,4,5,6,7,8,9,10,11,12,13,14,15,16,17,18,19,20,21,22,23,24,25,26,27,28,29,30}-1)*LEN(Registro!$I60)+1,LEN(Registro!$I60)))," ",REPT(" ",50)),50)))),"Revisar formato"))</f>
        <v/>
      </c>
      <c r="L60" s="11" t="str">
        <f>IF(Registro!$J60="","",IFERROR(SUMPRODUCT(--("0"&amp;TRIM(RIGHT(SUBSTITUTE(TRIM(MID(SUBSTITUTE(SUBSTITUTE(Registro!$J60,";",CHAR(10)),CHAR(10),REPT(" ",LEN(Registro!$J60))),({1,2,3,4,5,6,7,8,9,10,11,12,13,14,15,16,17,18,19,20,21,22,23,24,25,26,27,28,29,30}-1)*LEN(Registro!$J60)+1,LEN(Registro!$J60)))," ",REPT(" ",50)),50)))),"Revisar formato"))</f>
        <v/>
      </c>
      <c r="M60" s="11" t="str">
        <f>IF(AND(Registro!$H60="",Registro!$I60=""),"",IF(AND(ISTEXT(K60),K60&lt;&gt;""),"Revisar formato",N(Registro!$H60)-N(K60)))</f>
        <v/>
      </c>
      <c r="N60" s="11" t="str">
        <f t="shared" si="2"/>
        <v/>
      </c>
      <c r="O60" s="15" t="str">
        <f>IF(AND(A60=Consulta!$B$3,C60=Consulta!$H$3),B60*10000+ROW(),"")</f>
        <v/>
      </c>
    </row>
    <row r="61" spans="1:15" x14ac:dyDescent="0.25">
      <c r="A61" s="9" t="str">
        <f>IF(Registro!$A61="","",Registro!$A61)</f>
        <v/>
      </c>
      <c r="B61" s="8" t="str">
        <f>IF(Registro!$B61="","",Registro!$B61)</f>
        <v/>
      </c>
      <c r="C61" s="14" t="str">
        <f t="shared" si="0"/>
        <v/>
      </c>
      <c r="D61" s="10" t="str">
        <f>IF(Registro!$E61="","",IF(ISERROR(FIND("x",LOWER(Registro!$E61))),"-",IFERROR(SUMPRODUCT(--("0"&amp;LEFT(TRIM(MID(SUBSTITUTE(SUBSTITUTE(SUBSTITUTE(SUBSTITUTE(SUBSTITUTE(LOWER(Registro!$E61),"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",LEN(Registro!$E61))),({1,2,3,4,5,6,7,8,9,10,11,12,13,14,15,16,17,18,19,20,21,22,23,24,25,26,27,28,29,30}-1)*LEN(Registro!$E61)+1,LEN(Registro!$E61)))&amp;"x")-1))),"Revisar formato")))</f>
        <v/>
      </c>
      <c r="E61" s="11" t="str">
        <f>IF(Registro!$E61="","",IF(ISERROR(FIND("x",LOWER(Registro!$E61))),"-",IFERROR(SUMPRODUCT(--("0"&amp;LEFT(TRIM(MID(SUBSTITUTE(SUBSTITUTE(SUBSTITUTE(SUBSTITUTE(SUBSTITUTE(LOWER(Registro!$E61),"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",LEN(Registro!$E61))),({1,2,3,4,5,6,7,8,9,10,11,12,13,14,15,16,17,18,19,20,21,22,23,24,25,26,27,28,29,30}-1)*LEN(Registro!$E61)+1,LEN(Registro!$E61)))&amp;"x")-1)),--("0"&amp;MID(TRIM(MID(SUBSTITUTE(SUBSTITUTE(SUBSTITUTE(SUBSTITUTE(SUBSTITUTE(LOWER(Registro!$E61),"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",LEN(Registro!$E61))),({1,2,3,4,5,6,7,8,9,10,11,12,13,14,15,16,17,18,19,20,21,22,23,24,25,26,27,28,29,30}-1)*LEN(Registro!$E61)+1,LEN(Registro!$E61)))&amp;"x")+1,20))),"Revisar formato")))</f>
        <v/>
      </c>
      <c r="F61" s="11" t="str">
        <f>IF(Registro!$F61="","",N(Registro!$F61))</f>
        <v/>
      </c>
      <c r="G61" s="11" t="str">
        <f t="shared" si="1"/>
        <v/>
      </c>
      <c r="H61" s="10" t="str">
        <f>IF(Registro!$G61="","",IF(ISERROR(FIND("x",LOWER(Registro!$G61))),"-",IFERROR(SUMPRODUCT(--("0"&amp;LEFT(TRIM(MID(SUBSTITUTE(SUBSTITUTE(SUBSTITUTE(SUBSTITUTE(SUBSTITUTE(LOWER(Registro!$G61),"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",LEN(Registro!$G61))),({1,2,3,4,5,6,7,8,9,10,11,12,13,14,15,16,17,18,19,20,21,22,23,24,25,26,27,28,29,30}-1)*LEN(Registro!$G61)+1,LEN(Registro!$G61))),FIND("x",TRIM(MID(SUBSTITUTE(SUBSTITUTE(SUBSTITUTE(SUBSTITUTE(SUBSTITUTE(LOWER(Registro!$G61),"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",LEN(Registro!$G61))),({1,2,3,4,5,6,7,8,9,10,11,12,13,14,15,16,17,18,19,20,21,22,23,24,25,26,27,28,29,30}-1)*LEN(Registro!$G61)+1,LEN(Registro!$G61)))&amp;"x")-1))),"Revisar formato")))</f>
        <v/>
      </c>
      <c r="I61" s="11" t="str">
        <f>IF(Registro!$G61="","",IF(ISERROR(FIND("x",LOWER(Registro!$G61))),N(Registro!$H61),IFERROR(SUMPRODUCT(--("0"&amp;LEFT(TRIM(MID(SUBSTITUTE(SUBSTITUTE(SUBSTITUTE(SUBSTITUTE(SUBSTITUTE(LOWER(Registro!$G61),"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",LEN(Registro!$G61))),({1,2,3,4,5,6,7,8,9,10,11,12,13,14,15,16,17,18,19,20,21,22,23,24,25,26,27,28,29,30}-1)*LEN(Registro!$G61)+1,LEN(Registro!$G61))),FIND("x",TRIM(MID(SUBSTITUTE(SUBSTITUTE(SUBSTITUTE(SUBSTITUTE(SUBSTITUTE(LOWER(Registro!$G61),"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",LEN(Registro!$G61))),({1,2,3,4,5,6,7,8,9,10,11,12,13,14,15,16,17,18,19,20,21,22,23,24,25,26,27,28,29,30}-1)*LEN(Registro!$G61)+1,LEN(Registro!$G61)))&amp;"x")-1)),--("0"&amp;MID(TRIM(MID(SUBSTITUTE(SUBSTITUTE(SUBSTITUTE(SUBSTITUTE(SUBSTITUTE(LOWER(Registro!$G61),"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",LEN(Registro!$G61))),({1,2,3,4,5,6,7,8,9,10,11,12,13,14,15,16,17,18,19,20,21,22,23,24,25,26,27,28,29,30}-1)*LEN(Registro!$G61)+1,LEN(Registro!$G61))),FIND("x",TRIM(MID(SUBSTITUTE(SUBSTITUTE(SUBSTITUTE(SUBSTITUTE(SUBSTITUTE(LOWER(Registro!$G61),"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",LEN(Registro!$G61))),({1,2,3,4,5,6,7,8,9,10,11,12,13,14,15,16,17,18,19,20,21,22,23,24,25,26,27,28,29,30}-1)*LEN(Registro!$G61)+1,LEN(Registro!$G61)))&amp;"x")+1,20))),"Revisar formato")))</f>
        <v/>
      </c>
      <c r="J61" s="9" t="str">
        <f>IF(AND(Registro!$E61="",Registro!$G61=""),"",IF(NOT(AND(ISNUMBER(I61),ISNUMBER(Registro!$H61))),"",IF(I61&lt;Registro!$H61,"FALTA BOLETOS",IF(I61=Registro!$H61,"CONFORME","DIFERENCIA"))))</f>
        <v/>
      </c>
      <c r="K61" s="11" t="str">
        <f>IF(Registro!$I61="","",IFERROR(SUMPRODUCT(--("0"&amp;TRIM(RIGHT(SUBSTITUTE(TRIM(MID(SUBSTITUTE(SUBSTITUTE(Registro!$I61,";",CHAR(10)),CHAR(10),REPT(" ",LEN(Registro!$I61))),({1,2,3,4,5,6,7,8,9,10,11,12,13,14,15,16,17,18,19,20,21,22,23,24,25,26,27,28,29,30}-1)*LEN(Registro!$I61)+1,LEN(Registro!$I61)))," ",REPT(" ",50)),50)))),"Revisar formato"))</f>
        <v/>
      </c>
      <c r="L61" s="11" t="str">
        <f>IF(Registro!$J61="","",IFERROR(SUMPRODUCT(--("0"&amp;TRIM(RIGHT(SUBSTITUTE(TRIM(MID(SUBSTITUTE(SUBSTITUTE(Registro!$J61,";",CHAR(10)),CHAR(10),REPT(" ",LEN(Registro!$J61))),({1,2,3,4,5,6,7,8,9,10,11,12,13,14,15,16,17,18,19,20,21,22,23,24,25,26,27,28,29,30}-1)*LEN(Registro!$J61)+1,LEN(Registro!$J61)))," ",REPT(" ",50)),50)))),"Revisar formato"))</f>
        <v/>
      </c>
      <c r="M61" s="11" t="str">
        <f>IF(AND(Registro!$H61="",Registro!$I61=""),"",IF(AND(ISTEXT(K61),K61&lt;&gt;""),"Revisar formato",N(Registro!$H61)-N(K61)))</f>
        <v/>
      </c>
      <c r="N61" s="11" t="str">
        <f t="shared" si="2"/>
        <v/>
      </c>
      <c r="O61" s="15" t="str">
        <f>IF(AND(A61=Consulta!$B$3,C61=Consulta!$H$3),B61*10000+ROW(),"")</f>
        <v/>
      </c>
    </row>
    <row r="62" spans="1:15" x14ac:dyDescent="0.25">
      <c r="A62" s="9" t="str">
        <f>IF(Registro!$A62="","",Registro!$A62)</f>
        <v/>
      </c>
      <c r="B62" s="8" t="str">
        <f>IF(Registro!$B62="","",Registro!$B62)</f>
        <v/>
      </c>
      <c r="C62" s="14" t="str">
        <f t="shared" si="0"/>
        <v/>
      </c>
      <c r="D62" s="10" t="str">
        <f>IF(Registro!$E62="","",IF(ISERROR(FIND("x",LOWER(Registro!$E62))),"-",IFERROR(SUMPRODUCT(--("0"&amp;LEFT(TRIM(MID(SUBSTITUTE(SUBSTITUTE(SUBSTITUTE(SUBSTITUTE(SUBSTITUTE(LOWER(Registro!$E62),"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",LEN(Registro!$E62))),({1,2,3,4,5,6,7,8,9,10,11,12,13,14,15,16,17,18,19,20,21,22,23,24,25,26,27,28,29,30}-1)*LEN(Registro!$E62)+1,LEN(Registro!$E62)))&amp;"x")-1))),"Revisar formato")))</f>
        <v/>
      </c>
      <c r="E62" s="11" t="str">
        <f>IF(Registro!$E62="","",IF(ISERROR(FIND("x",LOWER(Registro!$E62))),"-",IFERROR(SUMPRODUCT(--("0"&amp;LEFT(TRIM(MID(SUBSTITUTE(SUBSTITUTE(SUBSTITUTE(SUBSTITUTE(SUBSTITUTE(LOWER(Registro!$E62),"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",LEN(Registro!$E62))),({1,2,3,4,5,6,7,8,9,10,11,12,13,14,15,16,17,18,19,20,21,22,23,24,25,26,27,28,29,30}-1)*LEN(Registro!$E62)+1,LEN(Registro!$E62)))&amp;"x")-1)),--("0"&amp;MID(TRIM(MID(SUBSTITUTE(SUBSTITUTE(SUBSTITUTE(SUBSTITUTE(SUBSTITUTE(LOWER(Registro!$E62),"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",LEN(Registro!$E62))),({1,2,3,4,5,6,7,8,9,10,11,12,13,14,15,16,17,18,19,20,21,22,23,24,25,26,27,28,29,30}-1)*LEN(Registro!$E62)+1,LEN(Registro!$E62)))&amp;"x")+1,20))),"Revisar formato")))</f>
        <v/>
      </c>
      <c r="F62" s="11" t="str">
        <f>IF(Registro!$F62="","",N(Registro!$F62))</f>
        <v/>
      </c>
      <c r="G62" s="11" t="str">
        <f t="shared" si="1"/>
        <v/>
      </c>
      <c r="H62" s="10" t="str">
        <f>IF(Registro!$G62="","",IF(ISERROR(FIND("x",LOWER(Registro!$G62))),"-",IFERROR(SUMPRODUCT(--("0"&amp;LEFT(TRIM(MID(SUBSTITUTE(SUBSTITUTE(SUBSTITUTE(SUBSTITUTE(SUBSTITUTE(LOWER(Registro!$G62),"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",LEN(Registro!$G62))),({1,2,3,4,5,6,7,8,9,10,11,12,13,14,15,16,17,18,19,20,21,22,23,24,25,26,27,28,29,30}-1)*LEN(Registro!$G62)+1,LEN(Registro!$G62))),FIND("x",TRIM(MID(SUBSTITUTE(SUBSTITUTE(SUBSTITUTE(SUBSTITUTE(SUBSTITUTE(LOWER(Registro!$G62),"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",LEN(Registro!$G62))),({1,2,3,4,5,6,7,8,9,10,11,12,13,14,15,16,17,18,19,20,21,22,23,24,25,26,27,28,29,30}-1)*LEN(Registro!$G62)+1,LEN(Registro!$G62)))&amp;"x")-1))),"Revisar formato")))</f>
        <v/>
      </c>
      <c r="I62" s="11" t="str">
        <f>IF(Registro!$G62="","",IF(ISERROR(FIND("x",LOWER(Registro!$G62))),N(Registro!$H62),IFERROR(SUMPRODUCT(--("0"&amp;LEFT(TRIM(MID(SUBSTITUTE(SUBSTITUTE(SUBSTITUTE(SUBSTITUTE(SUBSTITUTE(LOWER(Registro!$G62),"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",LEN(Registro!$G62))),({1,2,3,4,5,6,7,8,9,10,11,12,13,14,15,16,17,18,19,20,21,22,23,24,25,26,27,28,29,30}-1)*LEN(Registro!$G62)+1,LEN(Registro!$G62))),FIND("x",TRIM(MID(SUBSTITUTE(SUBSTITUTE(SUBSTITUTE(SUBSTITUTE(SUBSTITUTE(LOWER(Registro!$G62),"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",LEN(Registro!$G62))),({1,2,3,4,5,6,7,8,9,10,11,12,13,14,15,16,17,18,19,20,21,22,23,24,25,26,27,28,29,30}-1)*LEN(Registro!$G62)+1,LEN(Registro!$G62)))&amp;"x")-1)),--("0"&amp;MID(TRIM(MID(SUBSTITUTE(SUBSTITUTE(SUBSTITUTE(SUBSTITUTE(SUBSTITUTE(LOWER(Registro!$G62),"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",LEN(Registro!$G62))),({1,2,3,4,5,6,7,8,9,10,11,12,13,14,15,16,17,18,19,20,21,22,23,24,25,26,27,28,29,30}-1)*LEN(Registro!$G62)+1,LEN(Registro!$G62))),FIND("x",TRIM(MID(SUBSTITUTE(SUBSTITUTE(SUBSTITUTE(SUBSTITUTE(SUBSTITUTE(LOWER(Registro!$G62),"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",LEN(Registro!$G62))),({1,2,3,4,5,6,7,8,9,10,11,12,13,14,15,16,17,18,19,20,21,22,23,24,25,26,27,28,29,30}-1)*LEN(Registro!$G62)+1,LEN(Registro!$G62)))&amp;"x")+1,20))),"Revisar formato")))</f>
        <v/>
      </c>
      <c r="J62" s="9" t="str">
        <f>IF(AND(Registro!$E62="",Registro!$G62=""),"",IF(NOT(AND(ISNUMBER(I62),ISNUMBER(Registro!$H62))),"",IF(I62&lt;Registro!$H62,"FALTA BOLETOS",IF(I62=Registro!$H62,"CONFORME","DIFERENCIA"))))</f>
        <v/>
      </c>
      <c r="K62" s="11" t="str">
        <f>IF(Registro!$I62="","",IFERROR(SUMPRODUCT(--("0"&amp;TRIM(RIGHT(SUBSTITUTE(TRIM(MID(SUBSTITUTE(SUBSTITUTE(Registro!$I62,";",CHAR(10)),CHAR(10),REPT(" ",LEN(Registro!$I62))),({1,2,3,4,5,6,7,8,9,10,11,12,13,14,15,16,17,18,19,20,21,22,23,24,25,26,27,28,29,30}-1)*LEN(Registro!$I62)+1,LEN(Registro!$I62)))," ",REPT(" ",50)),50)))),"Revisar formato"))</f>
        <v/>
      </c>
      <c r="L62" s="11" t="str">
        <f>IF(Registro!$J62="","",IFERROR(SUMPRODUCT(--("0"&amp;TRIM(RIGHT(SUBSTITUTE(TRIM(MID(SUBSTITUTE(SUBSTITUTE(Registro!$J62,";",CHAR(10)),CHAR(10),REPT(" ",LEN(Registro!$J62))),({1,2,3,4,5,6,7,8,9,10,11,12,13,14,15,16,17,18,19,20,21,22,23,24,25,26,27,28,29,30}-1)*LEN(Registro!$J62)+1,LEN(Registro!$J62)))," ",REPT(" ",50)),50)))),"Revisar formato"))</f>
        <v/>
      </c>
      <c r="M62" s="11" t="str">
        <f>IF(AND(Registro!$H62="",Registro!$I62=""),"",IF(AND(ISTEXT(K62),K62&lt;&gt;""),"Revisar formato",N(Registro!$H62)-N(K62)))</f>
        <v/>
      </c>
      <c r="N62" s="11" t="str">
        <f t="shared" si="2"/>
        <v/>
      </c>
      <c r="O62" s="15" t="str">
        <f>IF(AND(A62=Consulta!$B$3,C62=Consulta!$H$3),B62*10000+ROW(),"")</f>
        <v/>
      </c>
    </row>
    <row r="63" spans="1:15" x14ac:dyDescent="0.25">
      <c r="A63" s="9" t="str">
        <f>IF(Registro!$A63="","",Registro!$A63)</f>
        <v/>
      </c>
      <c r="B63" s="8" t="str">
        <f>IF(Registro!$B63="","",Registro!$B63)</f>
        <v/>
      </c>
      <c r="C63" s="14" t="str">
        <f t="shared" si="0"/>
        <v/>
      </c>
      <c r="D63" s="10" t="str">
        <f>IF(Registro!$E63="","",IF(ISERROR(FIND("x",LOWER(Registro!$E63))),"-",IFERROR(SUMPRODUCT(--("0"&amp;LEFT(TRIM(MID(SUBSTITUTE(SUBSTITUTE(SUBSTITUTE(SUBSTITUTE(SUBSTITUTE(LOWER(Registro!$E63),"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",LEN(Registro!$E63))),({1,2,3,4,5,6,7,8,9,10,11,12,13,14,15,16,17,18,19,20,21,22,23,24,25,26,27,28,29,30}-1)*LEN(Registro!$E63)+1,LEN(Registro!$E63)))&amp;"x")-1))),"Revisar formato")))</f>
        <v/>
      </c>
      <c r="E63" s="11" t="str">
        <f>IF(Registro!$E63="","",IF(ISERROR(FIND("x",LOWER(Registro!$E63))),"-",IFERROR(SUMPRODUCT(--("0"&amp;LEFT(TRIM(MID(SUBSTITUTE(SUBSTITUTE(SUBSTITUTE(SUBSTITUTE(SUBSTITUTE(LOWER(Registro!$E63),"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",LEN(Registro!$E63))),({1,2,3,4,5,6,7,8,9,10,11,12,13,14,15,16,17,18,19,20,21,22,23,24,25,26,27,28,29,30}-1)*LEN(Registro!$E63)+1,LEN(Registro!$E63)))&amp;"x")-1)),--("0"&amp;MID(TRIM(MID(SUBSTITUTE(SUBSTITUTE(SUBSTITUTE(SUBSTITUTE(SUBSTITUTE(LOWER(Registro!$E63),"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",LEN(Registro!$E63))),({1,2,3,4,5,6,7,8,9,10,11,12,13,14,15,16,17,18,19,20,21,22,23,24,25,26,27,28,29,30}-1)*LEN(Registro!$E63)+1,LEN(Registro!$E63)))&amp;"x")+1,20))),"Revisar formato")))</f>
        <v/>
      </c>
      <c r="F63" s="11" t="str">
        <f>IF(Registro!$F63="","",N(Registro!$F63))</f>
        <v/>
      </c>
      <c r="G63" s="11" t="str">
        <f t="shared" si="1"/>
        <v/>
      </c>
      <c r="H63" s="10" t="str">
        <f>IF(Registro!$G63="","",IF(ISERROR(FIND("x",LOWER(Registro!$G63))),"-",IFERROR(SUMPRODUCT(--("0"&amp;LEFT(TRIM(MID(SUBSTITUTE(SUBSTITUTE(SUBSTITUTE(SUBSTITUTE(SUBSTITUTE(LOWER(Registro!$G63),"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",LEN(Registro!$G63))),({1,2,3,4,5,6,7,8,9,10,11,12,13,14,15,16,17,18,19,20,21,22,23,24,25,26,27,28,29,30}-1)*LEN(Registro!$G63)+1,LEN(Registro!$G63))),FIND("x",TRIM(MID(SUBSTITUTE(SUBSTITUTE(SUBSTITUTE(SUBSTITUTE(SUBSTITUTE(LOWER(Registro!$G63),"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",LEN(Registro!$G63))),({1,2,3,4,5,6,7,8,9,10,11,12,13,14,15,16,17,18,19,20,21,22,23,24,25,26,27,28,29,30}-1)*LEN(Registro!$G63)+1,LEN(Registro!$G63)))&amp;"x")-1))),"Revisar formato")))</f>
        <v/>
      </c>
      <c r="I63" s="11" t="str">
        <f>IF(Registro!$G63="","",IF(ISERROR(FIND("x",LOWER(Registro!$G63))),N(Registro!$H63),IFERROR(SUMPRODUCT(--("0"&amp;LEFT(TRIM(MID(SUBSTITUTE(SUBSTITUTE(SUBSTITUTE(SUBSTITUTE(SUBSTITUTE(LOWER(Registro!$G63),"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",LEN(Registro!$G63))),({1,2,3,4,5,6,7,8,9,10,11,12,13,14,15,16,17,18,19,20,21,22,23,24,25,26,27,28,29,30}-1)*LEN(Registro!$G63)+1,LEN(Registro!$G63))),FIND("x",TRIM(MID(SUBSTITUTE(SUBSTITUTE(SUBSTITUTE(SUBSTITUTE(SUBSTITUTE(LOWER(Registro!$G63),"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",LEN(Registro!$G63))),({1,2,3,4,5,6,7,8,9,10,11,12,13,14,15,16,17,18,19,20,21,22,23,24,25,26,27,28,29,30}-1)*LEN(Registro!$G63)+1,LEN(Registro!$G63)))&amp;"x")-1)),--("0"&amp;MID(TRIM(MID(SUBSTITUTE(SUBSTITUTE(SUBSTITUTE(SUBSTITUTE(SUBSTITUTE(LOWER(Registro!$G63),"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",LEN(Registro!$G63))),({1,2,3,4,5,6,7,8,9,10,11,12,13,14,15,16,17,18,19,20,21,22,23,24,25,26,27,28,29,30}-1)*LEN(Registro!$G63)+1,LEN(Registro!$G63))),FIND("x",TRIM(MID(SUBSTITUTE(SUBSTITUTE(SUBSTITUTE(SUBSTITUTE(SUBSTITUTE(LOWER(Registro!$G63),"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",LEN(Registro!$G63))),({1,2,3,4,5,6,7,8,9,10,11,12,13,14,15,16,17,18,19,20,21,22,23,24,25,26,27,28,29,30}-1)*LEN(Registro!$G63)+1,LEN(Registro!$G63)))&amp;"x")+1,20))),"Revisar formato")))</f>
        <v/>
      </c>
      <c r="J63" s="9" t="str">
        <f>IF(AND(Registro!$E63="",Registro!$G63=""),"",IF(NOT(AND(ISNUMBER(I63),ISNUMBER(Registro!$H63))),"",IF(I63&lt;Registro!$H63,"FALTA BOLETOS",IF(I63=Registro!$H63,"CONFORME","DIFERENCIA"))))</f>
        <v/>
      </c>
      <c r="K63" s="11" t="str">
        <f>IF(Registro!$I63="","",IFERROR(SUMPRODUCT(--("0"&amp;TRIM(RIGHT(SUBSTITUTE(TRIM(MID(SUBSTITUTE(SUBSTITUTE(Registro!$I63,";",CHAR(10)),CHAR(10),REPT(" ",LEN(Registro!$I63))),({1,2,3,4,5,6,7,8,9,10,11,12,13,14,15,16,17,18,19,20,21,22,23,24,25,26,27,28,29,30}-1)*LEN(Registro!$I63)+1,LEN(Registro!$I63)))," ",REPT(" ",50)),50)))),"Revisar formato"))</f>
        <v/>
      </c>
      <c r="L63" s="11" t="str">
        <f>IF(Registro!$J63="","",IFERROR(SUMPRODUCT(--("0"&amp;TRIM(RIGHT(SUBSTITUTE(TRIM(MID(SUBSTITUTE(SUBSTITUTE(Registro!$J63,";",CHAR(10)),CHAR(10),REPT(" ",LEN(Registro!$J63))),({1,2,3,4,5,6,7,8,9,10,11,12,13,14,15,16,17,18,19,20,21,22,23,24,25,26,27,28,29,30}-1)*LEN(Registro!$J63)+1,LEN(Registro!$J63)))," ",REPT(" ",50)),50)))),"Revisar formato"))</f>
        <v/>
      </c>
      <c r="M63" s="11" t="str">
        <f>IF(AND(Registro!$H63="",Registro!$I63=""),"",IF(AND(ISTEXT(K63),K63&lt;&gt;""),"Revisar formato",N(Registro!$H63)-N(K63)))</f>
        <v/>
      </c>
      <c r="N63" s="11" t="str">
        <f t="shared" si="2"/>
        <v/>
      </c>
      <c r="O63" s="15" t="str">
        <f>IF(AND(A63=Consulta!$B$3,C63=Consulta!$H$3),B63*10000+ROW(),"")</f>
        <v/>
      </c>
    </row>
    <row r="64" spans="1:15" x14ac:dyDescent="0.25">
      <c r="A64" s="9" t="str">
        <f>IF(Registro!$A64="","",Registro!$A64)</f>
        <v/>
      </c>
      <c r="B64" s="8" t="str">
        <f>IF(Registro!$B64="","",Registro!$B64)</f>
        <v/>
      </c>
      <c r="C64" s="14" t="str">
        <f t="shared" si="0"/>
        <v/>
      </c>
      <c r="D64" s="10" t="str">
        <f>IF(Registro!$E64="","",IF(ISERROR(FIND("x",LOWER(Registro!$E64))),"-",IFERROR(SUMPRODUCT(--("0"&amp;LEFT(TRIM(MID(SUBSTITUTE(SUBSTITUTE(SUBSTITUTE(SUBSTITUTE(SUBSTITUTE(LOWER(Registro!$E64),"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",LEN(Registro!$E64))),({1,2,3,4,5,6,7,8,9,10,11,12,13,14,15,16,17,18,19,20,21,22,23,24,25,26,27,28,29,30}-1)*LEN(Registro!$E64)+1,LEN(Registro!$E64)))&amp;"x")-1))),"Revisar formato")))</f>
        <v/>
      </c>
      <c r="E64" s="11" t="str">
        <f>IF(Registro!$E64="","",IF(ISERROR(FIND("x",LOWER(Registro!$E64))),"-",IFERROR(SUMPRODUCT(--("0"&amp;LEFT(TRIM(MID(SUBSTITUTE(SUBSTITUTE(SUBSTITUTE(SUBSTITUTE(SUBSTITUTE(LOWER(Registro!$E64),"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",LEN(Registro!$E64))),({1,2,3,4,5,6,7,8,9,10,11,12,13,14,15,16,17,18,19,20,21,22,23,24,25,26,27,28,29,30}-1)*LEN(Registro!$E64)+1,LEN(Registro!$E64)))&amp;"x")-1)),--("0"&amp;MID(TRIM(MID(SUBSTITUTE(SUBSTITUTE(SUBSTITUTE(SUBSTITUTE(SUBSTITUTE(LOWER(Registro!$E64),"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",LEN(Registro!$E64))),({1,2,3,4,5,6,7,8,9,10,11,12,13,14,15,16,17,18,19,20,21,22,23,24,25,26,27,28,29,30}-1)*LEN(Registro!$E64)+1,LEN(Registro!$E64)))&amp;"x")+1,20))),"Revisar formato")))</f>
        <v/>
      </c>
      <c r="F64" s="11" t="str">
        <f>IF(Registro!$F64="","",N(Registro!$F64))</f>
        <v/>
      </c>
      <c r="G64" s="11" t="str">
        <f t="shared" si="1"/>
        <v/>
      </c>
      <c r="H64" s="10" t="str">
        <f>IF(Registro!$G64="","",IF(ISERROR(FIND("x",LOWER(Registro!$G64))),"-",IFERROR(SUMPRODUCT(--("0"&amp;LEFT(TRIM(MID(SUBSTITUTE(SUBSTITUTE(SUBSTITUTE(SUBSTITUTE(SUBSTITUTE(LOWER(Registro!$G64),"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",LEN(Registro!$G64))),({1,2,3,4,5,6,7,8,9,10,11,12,13,14,15,16,17,18,19,20,21,22,23,24,25,26,27,28,29,30}-1)*LEN(Registro!$G64)+1,LEN(Registro!$G64))),FIND("x",TRIM(MID(SUBSTITUTE(SUBSTITUTE(SUBSTITUTE(SUBSTITUTE(SUBSTITUTE(LOWER(Registro!$G64),"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",LEN(Registro!$G64))),({1,2,3,4,5,6,7,8,9,10,11,12,13,14,15,16,17,18,19,20,21,22,23,24,25,26,27,28,29,30}-1)*LEN(Registro!$G64)+1,LEN(Registro!$G64)))&amp;"x")-1))),"Revisar formato")))</f>
        <v/>
      </c>
      <c r="I64" s="11" t="str">
        <f>IF(Registro!$G64="","",IF(ISERROR(FIND("x",LOWER(Registro!$G64))),N(Registro!$H64),IFERROR(SUMPRODUCT(--("0"&amp;LEFT(TRIM(MID(SUBSTITUTE(SUBSTITUTE(SUBSTITUTE(SUBSTITUTE(SUBSTITUTE(LOWER(Registro!$G64),"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",LEN(Registro!$G64))),({1,2,3,4,5,6,7,8,9,10,11,12,13,14,15,16,17,18,19,20,21,22,23,24,25,26,27,28,29,30}-1)*LEN(Registro!$G64)+1,LEN(Registro!$G64))),FIND("x",TRIM(MID(SUBSTITUTE(SUBSTITUTE(SUBSTITUTE(SUBSTITUTE(SUBSTITUTE(LOWER(Registro!$G64),"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",LEN(Registro!$G64))),({1,2,3,4,5,6,7,8,9,10,11,12,13,14,15,16,17,18,19,20,21,22,23,24,25,26,27,28,29,30}-1)*LEN(Registro!$G64)+1,LEN(Registro!$G64)))&amp;"x")-1)),--("0"&amp;MID(TRIM(MID(SUBSTITUTE(SUBSTITUTE(SUBSTITUTE(SUBSTITUTE(SUBSTITUTE(LOWER(Registro!$G64),"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",LEN(Registro!$G64))),({1,2,3,4,5,6,7,8,9,10,11,12,13,14,15,16,17,18,19,20,21,22,23,24,25,26,27,28,29,30}-1)*LEN(Registro!$G64)+1,LEN(Registro!$G64))),FIND("x",TRIM(MID(SUBSTITUTE(SUBSTITUTE(SUBSTITUTE(SUBSTITUTE(SUBSTITUTE(LOWER(Registro!$G64),"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",LEN(Registro!$G64))),({1,2,3,4,5,6,7,8,9,10,11,12,13,14,15,16,17,18,19,20,21,22,23,24,25,26,27,28,29,30}-1)*LEN(Registro!$G64)+1,LEN(Registro!$G64)))&amp;"x")+1,20))),"Revisar formato")))</f>
        <v/>
      </c>
      <c r="J64" s="9" t="str">
        <f>IF(AND(Registro!$E64="",Registro!$G64=""),"",IF(NOT(AND(ISNUMBER(I64),ISNUMBER(Registro!$H64))),"",IF(I64&lt;Registro!$H64,"FALTA BOLETOS",IF(I64=Registro!$H64,"CONFORME","DIFERENCIA"))))</f>
        <v/>
      </c>
      <c r="K64" s="11" t="str">
        <f>IF(Registro!$I64="","",IFERROR(SUMPRODUCT(--("0"&amp;TRIM(RIGHT(SUBSTITUTE(TRIM(MID(SUBSTITUTE(SUBSTITUTE(Registro!$I64,";",CHAR(10)),CHAR(10),REPT(" ",LEN(Registro!$I64))),({1,2,3,4,5,6,7,8,9,10,11,12,13,14,15,16,17,18,19,20,21,22,23,24,25,26,27,28,29,30}-1)*LEN(Registro!$I64)+1,LEN(Registro!$I64)))," ",REPT(" ",50)),50)))),"Revisar formato"))</f>
        <v/>
      </c>
      <c r="L64" s="11" t="str">
        <f>IF(Registro!$J64="","",IFERROR(SUMPRODUCT(--("0"&amp;TRIM(RIGHT(SUBSTITUTE(TRIM(MID(SUBSTITUTE(SUBSTITUTE(Registro!$J64,";",CHAR(10)),CHAR(10),REPT(" ",LEN(Registro!$J64))),({1,2,3,4,5,6,7,8,9,10,11,12,13,14,15,16,17,18,19,20,21,22,23,24,25,26,27,28,29,30}-1)*LEN(Registro!$J64)+1,LEN(Registro!$J64)))," ",REPT(" ",50)),50)))),"Revisar formato"))</f>
        <v/>
      </c>
      <c r="M64" s="11" t="str">
        <f>IF(AND(Registro!$H64="",Registro!$I64=""),"",IF(AND(ISTEXT(K64),K64&lt;&gt;""),"Revisar formato",N(Registro!$H64)-N(K64)))</f>
        <v/>
      </c>
      <c r="N64" s="11" t="str">
        <f t="shared" si="2"/>
        <v/>
      </c>
      <c r="O64" s="15" t="str">
        <f>IF(AND(A64=Consulta!$B$3,C64=Consulta!$H$3),B64*10000+ROW(),"")</f>
        <v/>
      </c>
    </row>
    <row r="65" spans="1:15" x14ac:dyDescent="0.25">
      <c r="A65" s="9" t="str">
        <f>IF(Registro!$A65="","",Registro!$A65)</f>
        <v/>
      </c>
      <c r="B65" s="8" t="str">
        <f>IF(Registro!$B65="","",Registro!$B65)</f>
        <v/>
      </c>
      <c r="C65" s="14" t="str">
        <f t="shared" si="0"/>
        <v/>
      </c>
      <c r="D65" s="10" t="str">
        <f>IF(Registro!$E65="","",IF(ISERROR(FIND("x",LOWER(Registro!$E65))),"-",IFERROR(SUMPRODUCT(--("0"&amp;LEFT(TRIM(MID(SUBSTITUTE(SUBSTITUTE(SUBSTITUTE(SUBSTITUTE(SUBSTITUTE(LOWER(Registro!$E65),"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",LEN(Registro!$E65))),({1,2,3,4,5,6,7,8,9,10,11,12,13,14,15,16,17,18,19,20,21,22,23,24,25,26,27,28,29,30}-1)*LEN(Registro!$E65)+1,LEN(Registro!$E65)))&amp;"x")-1))),"Revisar formato")))</f>
        <v/>
      </c>
      <c r="E65" s="11" t="str">
        <f>IF(Registro!$E65="","",IF(ISERROR(FIND("x",LOWER(Registro!$E65))),"-",IFERROR(SUMPRODUCT(--("0"&amp;LEFT(TRIM(MID(SUBSTITUTE(SUBSTITUTE(SUBSTITUTE(SUBSTITUTE(SUBSTITUTE(LOWER(Registro!$E65),"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",LEN(Registro!$E65))),({1,2,3,4,5,6,7,8,9,10,11,12,13,14,15,16,17,18,19,20,21,22,23,24,25,26,27,28,29,30}-1)*LEN(Registro!$E65)+1,LEN(Registro!$E65)))&amp;"x")-1)),--("0"&amp;MID(TRIM(MID(SUBSTITUTE(SUBSTITUTE(SUBSTITUTE(SUBSTITUTE(SUBSTITUTE(LOWER(Registro!$E65),"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",LEN(Registro!$E65))),({1,2,3,4,5,6,7,8,9,10,11,12,13,14,15,16,17,18,19,20,21,22,23,24,25,26,27,28,29,30}-1)*LEN(Registro!$E65)+1,LEN(Registro!$E65)))&amp;"x")+1,20))),"Revisar formato")))</f>
        <v/>
      </c>
      <c r="F65" s="11" t="str">
        <f>IF(Registro!$F65="","",N(Registro!$F65))</f>
        <v/>
      </c>
      <c r="G65" s="11" t="str">
        <f t="shared" si="1"/>
        <v/>
      </c>
      <c r="H65" s="10" t="str">
        <f>IF(Registro!$G65="","",IF(ISERROR(FIND("x",LOWER(Registro!$G65))),"-",IFERROR(SUMPRODUCT(--("0"&amp;LEFT(TRIM(MID(SUBSTITUTE(SUBSTITUTE(SUBSTITUTE(SUBSTITUTE(SUBSTITUTE(LOWER(Registro!$G65),"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",LEN(Registro!$G65))),({1,2,3,4,5,6,7,8,9,10,11,12,13,14,15,16,17,18,19,20,21,22,23,24,25,26,27,28,29,30}-1)*LEN(Registro!$G65)+1,LEN(Registro!$G65))),FIND("x",TRIM(MID(SUBSTITUTE(SUBSTITUTE(SUBSTITUTE(SUBSTITUTE(SUBSTITUTE(LOWER(Registro!$G65),"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",LEN(Registro!$G65))),({1,2,3,4,5,6,7,8,9,10,11,12,13,14,15,16,17,18,19,20,21,22,23,24,25,26,27,28,29,30}-1)*LEN(Registro!$G65)+1,LEN(Registro!$G65)))&amp;"x")-1))),"Revisar formato")))</f>
        <v/>
      </c>
      <c r="I65" s="11" t="str">
        <f>IF(Registro!$G65="","",IF(ISERROR(FIND("x",LOWER(Registro!$G65))),N(Registro!$H65),IFERROR(SUMPRODUCT(--("0"&amp;LEFT(TRIM(MID(SUBSTITUTE(SUBSTITUTE(SUBSTITUTE(SUBSTITUTE(SUBSTITUTE(LOWER(Registro!$G65),"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",LEN(Registro!$G65))),({1,2,3,4,5,6,7,8,9,10,11,12,13,14,15,16,17,18,19,20,21,22,23,24,25,26,27,28,29,30}-1)*LEN(Registro!$G65)+1,LEN(Registro!$G65))),FIND("x",TRIM(MID(SUBSTITUTE(SUBSTITUTE(SUBSTITUTE(SUBSTITUTE(SUBSTITUTE(LOWER(Registro!$G65),"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",LEN(Registro!$G65))),({1,2,3,4,5,6,7,8,9,10,11,12,13,14,15,16,17,18,19,20,21,22,23,24,25,26,27,28,29,30}-1)*LEN(Registro!$G65)+1,LEN(Registro!$G65)))&amp;"x")-1)),--("0"&amp;MID(TRIM(MID(SUBSTITUTE(SUBSTITUTE(SUBSTITUTE(SUBSTITUTE(SUBSTITUTE(LOWER(Registro!$G65),"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",LEN(Registro!$G65))),({1,2,3,4,5,6,7,8,9,10,11,12,13,14,15,16,17,18,19,20,21,22,23,24,25,26,27,28,29,30}-1)*LEN(Registro!$G65)+1,LEN(Registro!$G65))),FIND("x",TRIM(MID(SUBSTITUTE(SUBSTITUTE(SUBSTITUTE(SUBSTITUTE(SUBSTITUTE(LOWER(Registro!$G65),"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",LEN(Registro!$G65))),({1,2,3,4,5,6,7,8,9,10,11,12,13,14,15,16,17,18,19,20,21,22,23,24,25,26,27,28,29,30}-1)*LEN(Registro!$G65)+1,LEN(Registro!$G65)))&amp;"x")+1,20))),"Revisar formato")))</f>
        <v/>
      </c>
      <c r="J65" s="9" t="str">
        <f>IF(AND(Registro!$E65="",Registro!$G65=""),"",IF(NOT(AND(ISNUMBER(I65),ISNUMBER(Registro!$H65))),"",IF(I65&lt;Registro!$H65,"FALTA BOLETOS",IF(I65=Registro!$H65,"CONFORME","DIFERENCIA"))))</f>
        <v/>
      </c>
      <c r="K65" s="11" t="str">
        <f>IF(Registro!$I65="","",IFERROR(SUMPRODUCT(--("0"&amp;TRIM(RIGHT(SUBSTITUTE(TRIM(MID(SUBSTITUTE(SUBSTITUTE(Registro!$I65,";",CHAR(10)),CHAR(10),REPT(" ",LEN(Registro!$I65))),({1,2,3,4,5,6,7,8,9,10,11,12,13,14,15,16,17,18,19,20,21,22,23,24,25,26,27,28,29,30}-1)*LEN(Registro!$I65)+1,LEN(Registro!$I65)))," ",REPT(" ",50)),50)))),"Revisar formato"))</f>
        <v/>
      </c>
      <c r="L65" s="11" t="str">
        <f>IF(Registro!$J65="","",IFERROR(SUMPRODUCT(--("0"&amp;TRIM(RIGHT(SUBSTITUTE(TRIM(MID(SUBSTITUTE(SUBSTITUTE(Registro!$J65,";",CHAR(10)),CHAR(10),REPT(" ",LEN(Registro!$J65))),({1,2,3,4,5,6,7,8,9,10,11,12,13,14,15,16,17,18,19,20,21,22,23,24,25,26,27,28,29,30}-1)*LEN(Registro!$J65)+1,LEN(Registro!$J65)))," ",REPT(" ",50)),50)))),"Revisar formato"))</f>
        <v/>
      </c>
      <c r="M65" s="11" t="str">
        <f>IF(AND(Registro!$H65="",Registro!$I65=""),"",IF(AND(ISTEXT(K65),K65&lt;&gt;""),"Revisar formato",N(Registro!$H65)-N(K65)))</f>
        <v/>
      </c>
      <c r="N65" s="11" t="str">
        <f t="shared" si="2"/>
        <v/>
      </c>
      <c r="O65" s="15" t="str">
        <f>IF(AND(A65=Consulta!$B$3,C65=Consulta!$H$3),B65*10000+ROW(),"")</f>
        <v/>
      </c>
    </row>
    <row r="66" spans="1:15" x14ac:dyDescent="0.25">
      <c r="A66" s="9" t="str">
        <f>IF(Registro!$A66="","",Registro!$A66)</f>
        <v/>
      </c>
      <c r="B66" s="8" t="str">
        <f>IF(Registro!$B66="","",Registro!$B66)</f>
        <v/>
      </c>
      <c r="C66" s="14" t="str">
        <f t="shared" ref="C66:C129" si="3">IF(ISNUMBER(B66),YEAR(B66)*100+MONTH(B66),"")</f>
        <v/>
      </c>
      <c r="D66" s="10" t="str">
        <f>IF(Registro!$E66="","",IF(ISERROR(FIND("x",LOWER(Registro!$E66))),"-",IFERROR(SUMPRODUCT(--("0"&amp;LEFT(TRIM(MID(SUBSTITUTE(SUBSTITUTE(SUBSTITUTE(SUBSTITUTE(SUBSTITUTE(LOWER(Registro!$E66),"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",LEN(Registro!$E66))),({1,2,3,4,5,6,7,8,9,10,11,12,13,14,15,16,17,18,19,20,21,22,23,24,25,26,27,28,29,30}-1)*LEN(Registro!$E66)+1,LEN(Registro!$E66)))&amp;"x")-1))),"Revisar formato")))</f>
        <v/>
      </c>
      <c r="E66" s="11" t="str">
        <f>IF(Registro!$E66="","",IF(ISERROR(FIND("x",LOWER(Registro!$E66))),"-",IFERROR(SUMPRODUCT(--("0"&amp;LEFT(TRIM(MID(SUBSTITUTE(SUBSTITUTE(SUBSTITUTE(SUBSTITUTE(SUBSTITUTE(LOWER(Registro!$E66),"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",LEN(Registro!$E66))),({1,2,3,4,5,6,7,8,9,10,11,12,13,14,15,16,17,18,19,20,21,22,23,24,25,26,27,28,29,30}-1)*LEN(Registro!$E66)+1,LEN(Registro!$E66)))&amp;"x")-1)),--("0"&amp;MID(TRIM(MID(SUBSTITUTE(SUBSTITUTE(SUBSTITUTE(SUBSTITUTE(SUBSTITUTE(LOWER(Registro!$E66),"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",LEN(Registro!$E66))),({1,2,3,4,5,6,7,8,9,10,11,12,13,14,15,16,17,18,19,20,21,22,23,24,25,26,27,28,29,30}-1)*LEN(Registro!$E66)+1,LEN(Registro!$E66)))&amp;"x")+1,20))),"Revisar formato")))</f>
        <v/>
      </c>
      <c r="F66" s="11" t="str">
        <f>IF(Registro!$F66="","",N(Registro!$F66))</f>
        <v/>
      </c>
      <c r="G66" s="11" t="str">
        <f t="shared" ref="G66:G129" si="4">IF(AND(E66="",F66=""),"",IF(OR(E66="",ISNUMBER(E66)),N(E66)-N(F66),E66))</f>
        <v/>
      </c>
      <c r="H66" s="10" t="str">
        <f>IF(Registro!$G66="","",IF(ISERROR(FIND("x",LOWER(Registro!$G66))),"-",IFERROR(SUMPRODUCT(--("0"&amp;LEFT(TRIM(MID(SUBSTITUTE(SUBSTITUTE(SUBSTITUTE(SUBSTITUTE(SUBSTITUTE(LOWER(Registro!$G66),"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",LEN(Registro!$G66))),({1,2,3,4,5,6,7,8,9,10,11,12,13,14,15,16,17,18,19,20,21,22,23,24,25,26,27,28,29,30}-1)*LEN(Registro!$G66)+1,LEN(Registro!$G66))),FIND("x",TRIM(MID(SUBSTITUTE(SUBSTITUTE(SUBSTITUTE(SUBSTITUTE(SUBSTITUTE(LOWER(Registro!$G66),"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",LEN(Registro!$G66))),({1,2,3,4,5,6,7,8,9,10,11,12,13,14,15,16,17,18,19,20,21,22,23,24,25,26,27,28,29,30}-1)*LEN(Registro!$G66)+1,LEN(Registro!$G66)))&amp;"x")-1))),"Revisar formato")))</f>
        <v/>
      </c>
      <c r="I66" s="11" t="str">
        <f>IF(Registro!$G66="","",IF(ISERROR(FIND("x",LOWER(Registro!$G66))),N(Registro!$H66),IFERROR(SUMPRODUCT(--("0"&amp;LEFT(TRIM(MID(SUBSTITUTE(SUBSTITUTE(SUBSTITUTE(SUBSTITUTE(SUBSTITUTE(LOWER(Registro!$G66),"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",LEN(Registro!$G66))),({1,2,3,4,5,6,7,8,9,10,11,12,13,14,15,16,17,18,19,20,21,22,23,24,25,26,27,28,29,30}-1)*LEN(Registro!$G66)+1,LEN(Registro!$G66))),FIND("x",TRIM(MID(SUBSTITUTE(SUBSTITUTE(SUBSTITUTE(SUBSTITUTE(SUBSTITUTE(LOWER(Registro!$G66),"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",LEN(Registro!$G66))),({1,2,3,4,5,6,7,8,9,10,11,12,13,14,15,16,17,18,19,20,21,22,23,24,25,26,27,28,29,30}-1)*LEN(Registro!$G66)+1,LEN(Registro!$G66)))&amp;"x")-1)),--("0"&amp;MID(TRIM(MID(SUBSTITUTE(SUBSTITUTE(SUBSTITUTE(SUBSTITUTE(SUBSTITUTE(LOWER(Registro!$G66),"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",LEN(Registro!$G66))),({1,2,3,4,5,6,7,8,9,10,11,12,13,14,15,16,17,18,19,20,21,22,23,24,25,26,27,28,29,30}-1)*LEN(Registro!$G66)+1,LEN(Registro!$G66))),FIND("x",TRIM(MID(SUBSTITUTE(SUBSTITUTE(SUBSTITUTE(SUBSTITUTE(SUBSTITUTE(LOWER(Registro!$G66),"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",LEN(Registro!$G66))),({1,2,3,4,5,6,7,8,9,10,11,12,13,14,15,16,17,18,19,20,21,22,23,24,25,26,27,28,29,30}-1)*LEN(Registro!$G66)+1,LEN(Registro!$G66)))&amp;"x")+1,20))),"Revisar formato")))</f>
        <v/>
      </c>
      <c r="J66" s="9" t="str">
        <f>IF(AND(Registro!$E66="",Registro!$G66=""),"",IF(NOT(AND(ISNUMBER(I66),ISNUMBER(Registro!$H66))),"",IF(I66&lt;Registro!$H66,"FALTA BOLETOS",IF(I66=Registro!$H66,"CONFORME","DIFERENCIA"))))</f>
        <v/>
      </c>
      <c r="K66" s="11" t="str">
        <f>IF(Registro!$I66="","",IFERROR(SUMPRODUCT(--("0"&amp;TRIM(RIGHT(SUBSTITUTE(TRIM(MID(SUBSTITUTE(SUBSTITUTE(Registro!$I66,";",CHAR(10)),CHAR(10),REPT(" ",LEN(Registro!$I66))),({1,2,3,4,5,6,7,8,9,10,11,12,13,14,15,16,17,18,19,20,21,22,23,24,25,26,27,28,29,30}-1)*LEN(Registro!$I66)+1,LEN(Registro!$I66)))," ",REPT(" ",50)),50)))),"Revisar formato"))</f>
        <v/>
      </c>
      <c r="L66" s="11" t="str">
        <f>IF(Registro!$J66="","",IFERROR(SUMPRODUCT(--("0"&amp;TRIM(RIGHT(SUBSTITUTE(TRIM(MID(SUBSTITUTE(SUBSTITUTE(Registro!$J66,";",CHAR(10)),CHAR(10),REPT(" ",LEN(Registro!$J66))),({1,2,3,4,5,6,7,8,9,10,11,12,13,14,15,16,17,18,19,20,21,22,23,24,25,26,27,28,29,30}-1)*LEN(Registro!$J66)+1,LEN(Registro!$J66)))," ",REPT(" ",50)),50)))),"Revisar formato"))</f>
        <v/>
      </c>
      <c r="M66" s="11" t="str">
        <f>IF(AND(Registro!$H66="",Registro!$I66=""),"",IF(AND(ISTEXT(K66),K66&lt;&gt;""),"Revisar formato",N(Registro!$H66)-N(K66)))</f>
        <v/>
      </c>
      <c r="N66" s="11" t="str">
        <f t="shared" ref="N66:N129" si="5">IF(M66="","",IF(OR(M66="Revisar formato",AND(ISTEXT(L66),L66&lt;&gt;"")),"Revisar formato",M66-N(L66)))</f>
        <v/>
      </c>
      <c r="O66" s="15" t="str">
        <f>IF(AND(A66=Consulta!$B$3,C66=Consulta!$H$3),B66*10000+ROW(),"")</f>
        <v/>
      </c>
    </row>
    <row r="67" spans="1:15" x14ac:dyDescent="0.25">
      <c r="A67" s="9" t="str">
        <f>IF(Registro!$A67="","",Registro!$A67)</f>
        <v/>
      </c>
      <c r="B67" s="8" t="str">
        <f>IF(Registro!$B67="","",Registro!$B67)</f>
        <v/>
      </c>
      <c r="C67" s="14" t="str">
        <f t="shared" si="3"/>
        <v/>
      </c>
      <c r="D67" s="10" t="str">
        <f>IF(Registro!$E67="","",IF(ISERROR(FIND("x",LOWER(Registro!$E67))),"-",IFERROR(SUMPRODUCT(--("0"&amp;LEFT(TRIM(MID(SUBSTITUTE(SUBSTITUTE(SUBSTITUTE(SUBSTITUTE(SUBSTITUTE(LOWER(Registro!$E67),"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",LEN(Registro!$E67))),({1,2,3,4,5,6,7,8,9,10,11,12,13,14,15,16,17,18,19,20,21,22,23,24,25,26,27,28,29,30}-1)*LEN(Registro!$E67)+1,LEN(Registro!$E67)))&amp;"x")-1))),"Revisar formato")))</f>
        <v/>
      </c>
      <c r="E67" s="11" t="str">
        <f>IF(Registro!$E67="","",IF(ISERROR(FIND("x",LOWER(Registro!$E67))),"-",IFERROR(SUMPRODUCT(--("0"&amp;LEFT(TRIM(MID(SUBSTITUTE(SUBSTITUTE(SUBSTITUTE(SUBSTITUTE(SUBSTITUTE(LOWER(Registro!$E67),"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",LEN(Registro!$E67))),({1,2,3,4,5,6,7,8,9,10,11,12,13,14,15,16,17,18,19,20,21,22,23,24,25,26,27,28,29,30}-1)*LEN(Registro!$E67)+1,LEN(Registro!$E67)))&amp;"x")-1)),--("0"&amp;MID(TRIM(MID(SUBSTITUTE(SUBSTITUTE(SUBSTITUTE(SUBSTITUTE(SUBSTITUTE(LOWER(Registro!$E67),"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",LEN(Registro!$E67))),({1,2,3,4,5,6,7,8,9,10,11,12,13,14,15,16,17,18,19,20,21,22,23,24,25,26,27,28,29,30}-1)*LEN(Registro!$E67)+1,LEN(Registro!$E67)))&amp;"x")+1,20))),"Revisar formato")))</f>
        <v/>
      </c>
      <c r="F67" s="11" t="str">
        <f>IF(Registro!$F67="","",N(Registro!$F67))</f>
        <v/>
      </c>
      <c r="G67" s="11" t="str">
        <f t="shared" si="4"/>
        <v/>
      </c>
      <c r="H67" s="10" t="str">
        <f>IF(Registro!$G67="","",IF(ISERROR(FIND("x",LOWER(Registro!$G67))),"-",IFERROR(SUMPRODUCT(--("0"&amp;LEFT(TRIM(MID(SUBSTITUTE(SUBSTITUTE(SUBSTITUTE(SUBSTITUTE(SUBSTITUTE(LOWER(Registro!$G67),"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",LEN(Registro!$G67))),({1,2,3,4,5,6,7,8,9,10,11,12,13,14,15,16,17,18,19,20,21,22,23,24,25,26,27,28,29,30}-1)*LEN(Registro!$G67)+1,LEN(Registro!$G67))),FIND("x",TRIM(MID(SUBSTITUTE(SUBSTITUTE(SUBSTITUTE(SUBSTITUTE(SUBSTITUTE(LOWER(Registro!$G67),"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",LEN(Registro!$G67))),({1,2,3,4,5,6,7,8,9,10,11,12,13,14,15,16,17,18,19,20,21,22,23,24,25,26,27,28,29,30}-1)*LEN(Registro!$G67)+1,LEN(Registro!$G67)))&amp;"x")-1))),"Revisar formato")))</f>
        <v/>
      </c>
      <c r="I67" s="11" t="str">
        <f>IF(Registro!$G67="","",IF(ISERROR(FIND("x",LOWER(Registro!$G67))),N(Registro!$H67),IFERROR(SUMPRODUCT(--("0"&amp;LEFT(TRIM(MID(SUBSTITUTE(SUBSTITUTE(SUBSTITUTE(SUBSTITUTE(SUBSTITUTE(LOWER(Registro!$G67),"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",LEN(Registro!$G67))),({1,2,3,4,5,6,7,8,9,10,11,12,13,14,15,16,17,18,19,20,21,22,23,24,25,26,27,28,29,30}-1)*LEN(Registro!$G67)+1,LEN(Registro!$G67))),FIND("x",TRIM(MID(SUBSTITUTE(SUBSTITUTE(SUBSTITUTE(SUBSTITUTE(SUBSTITUTE(LOWER(Registro!$G67),"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",LEN(Registro!$G67))),({1,2,3,4,5,6,7,8,9,10,11,12,13,14,15,16,17,18,19,20,21,22,23,24,25,26,27,28,29,30}-1)*LEN(Registro!$G67)+1,LEN(Registro!$G67)))&amp;"x")-1)),--("0"&amp;MID(TRIM(MID(SUBSTITUTE(SUBSTITUTE(SUBSTITUTE(SUBSTITUTE(SUBSTITUTE(LOWER(Registro!$G67),"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",LEN(Registro!$G67))),({1,2,3,4,5,6,7,8,9,10,11,12,13,14,15,16,17,18,19,20,21,22,23,24,25,26,27,28,29,30}-1)*LEN(Registro!$G67)+1,LEN(Registro!$G67))),FIND("x",TRIM(MID(SUBSTITUTE(SUBSTITUTE(SUBSTITUTE(SUBSTITUTE(SUBSTITUTE(LOWER(Registro!$G67),"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",LEN(Registro!$G67))),({1,2,3,4,5,6,7,8,9,10,11,12,13,14,15,16,17,18,19,20,21,22,23,24,25,26,27,28,29,30}-1)*LEN(Registro!$G67)+1,LEN(Registro!$G67)))&amp;"x")+1,20))),"Revisar formato")))</f>
        <v/>
      </c>
      <c r="J67" s="9" t="str">
        <f>IF(AND(Registro!$E67="",Registro!$G67=""),"",IF(NOT(AND(ISNUMBER(I67),ISNUMBER(Registro!$H67))),"",IF(I67&lt;Registro!$H67,"FALTA BOLETOS",IF(I67=Registro!$H67,"CONFORME","DIFERENCIA"))))</f>
        <v/>
      </c>
      <c r="K67" s="11" t="str">
        <f>IF(Registro!$I67="","",IFERROR(SUMPRODUCT(--("0"&amp;TRIM(RIGHT(SUBSTITUTE(TRIM(MID(SUBSTITUTE(SUBSTITUTE(Registro!$I67,";",CHAR(10)),CHAR(10),REPT(" ",LEN(Registro!$I67))),({1,2,3,4,5,6,7,8,9,10,11,12,13,14,15,16,17,18,19,20,21,22,23,24,25,26,27,28,29,30}-1)*LEN(Registro!$I67)+1,LEN(Registro!$I67)))," ",REPT(" ",50)),50)))),"Revisar formato"))</f>
        <v/>
      </c>
      <c r="L67" s="11" t="str">
        <f>IF(Registro!$J67="","",IFERROR(SUMPRODUCT(--("0"&amp;TRIM(RIGHT(SUBSTITUTE(TRIM(MID(SUBSTITUTE(SUBSTITUTE(Registro!$J67,";",CHAR(10)),CHAR(10),REPT(" ",LEN(Registro!$J67))),({1,2,3,4,5,6,7,8,9,10,11,12,13,14,15,16,17,18,19,20,21,22,23,24,25,26,27,28,29,30}-1)*LEN(Registro!$J67)+1,LEN(Registro!$J67)))," ",REPT(" ",50)),50)))),"Revisar formato"))</f>
        <v/>
      </c>
      <c r="M67" s="11" t="str">
        <f>IF(AND(Registro!$H67="",Registro!$I67=""),"",IF(AND(ISTEXT(K67),K67&lt;&gt;""),"Revisar formato",N(Registro!$H67)-N(K67)))</f>
        <v/>
      </c>
      <c r="N67" s="11" t="str">
        <f t="shared" si="5"/>
        <v/>
      </c>
      <c r="O67" s="15" t="str">
        <f>IF(AND(A67=Consulta!$B$3,C67=Consulta!$H$3),B67*10000+ROW(),"")</f>
        <v/>
      </c>
    </row>
    <row r="68" spans="1:15" x14ac:dyDescent="0.25">
      <c r="A68" s="9" t="str">
        <f>IF(Registro!$A68="","",Registro!$A68)</f>
        <v/>
      </c>
      <c r="B68" s="8" t="str">
        <f>IF(Registro!$B68="","",Registro!$B68)</f>
        <v/>
      </c>
      <c r="C68" s="14" t="str">
        <f t="shared" si="3"/>
        <v/>
      </c>
      <c r="D68" s="10" t="str">
        <f>IF(Registro!$E68="","",IF(ISERROR(FIND("x",LOWER(Registro!$E68))),"-",IFERROR(SUMPRODUCT(--("0"&amp;LEFT(TRIM(MID(SUBSTITUTE(SUBSTITUTE(SUBSTITUTE(SUBSTITUTE(SUBSTITUTE(LOWER(Registro!$E68),"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",LEN(Registro!$E68))),({1,2,3,4,5,6,7,8,9,10,11,12,13,14,15,16,17,18,19,20,21,22,23,24,25,26,27,28,29,30}-1)*LEN(Registro!$E68)+1,LEN(Registro!$E68)))&amp;"x")-1))),"Revisar formato")))</f>
        <v/>
      </c>
      <c r="E68" s="11" t="str">
        <f>IF(Registro!$E68="","",IF(ISERROR(FIND("x",LOWER(Registro!$E68))),"-",IFERROR(SUMPRODUCT(--("0"&amp;LEFT(TRIM(MID(SUBSTITUTE(SUBSTITUTE(SUBSTITUTE(SUBSTITUTE(SUBSTITUTE(LOWER(Registro!$E68),"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",LEN(Registro!$E68))),({1,2,3,4,5,6,7,8,9,10,11,12,13,14,15,16,17,18,19,20,21,22,23,24,25,26,27,28,29,30}-1)*LEN(Registro!$E68)+1,LEN(Registro!$E68)))&amp;"x")-1)),--("0"&amp;MID(TRIM(MID(SUBSTITUTE(SUBSTITUTE(SUBSTITUTE(SUBSTITUTE(SUBSTITUTE(LOWER(Registro!$E68),"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",LEN(Registro!$E68))),({1,2,3,4,5,6,7,8,9,10,11,12,13,14,15,16,17,18,19,20,21,22,23,24,25,26,27,28,29,30}-1)*LEN(Registro!$E68)+1,LEN(Registro!$E68)))&amp;"x")+1,20))),"Revisar formato")))</f>
        <v/>
      </c>
      <c r="F68" s="11" t="str">
        <f>IF(Registro!$F68="","",N(Registro!$F68))</f>
        <v/>
      </c>
      <c r="G68" s="11" t="str">
        <f t="shared" si="4"/>
        <v/>
      </c>
      <c r="H68" s="10" t="str">
        <f>IF(Registro!$G68="","",IF(ISERROR(FIND("x",LOWER(Registro!$G68))),"-",IFERROR(SUMPRODUCT(--("0"&amp;LEFT(TRIM(MID(SUBSTITUTE(SUBSTITUTE(SUBSTITUTE(SUBSTITUTE(SUBSTITUTE(LOWER(Registro!$G68),"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",LEN(Registro!$G68))),({1,2,3,4,5,6,7,8,9,10,11,12,13,14,15,16,17,18,19,20,21,22,23,24,25,26,27,28,29,30}-1)*LEN(Registro!$G68)+1,LEN(Registro!$G68))),FIND("x",TRIM(MID(SUBSTITUTE(SUBSTITUTE(SUBSTITUTE(SUBSTITUTE(SUBSTITUTE(LOWER(Registro!$G68),"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",LEN(Registro!$G68))),({1,2,3,4,5,6,7,8,9,10,11,12,13,14,15,16,17,18,19,20,21,22,23,24,25,26,27,28,29,30}-1)*LEN(Registro!$G68)+1,LEN(Registro!$G68)))&amp;"x")-1))),"Revisar formato")))</f>
        <v/>
      </c>
      <c r="I68" s="11" t="str">
        <f>IF(Registro!$G68="","",IF(ISERROR(FIND("x",LOWER(Registro!$G68))),N(Registro!$H68),IFERROR(SUMPRODUCT(--("0"&amp;LEFT(TRIM(MID(SUBSTITUTE(SUBSTITUTE(SUBSTITUTE(SUBSTITUTE(SUBSTITUTE(LOWER(Registro!$G68),"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",LEN(Registro!$G68))),({1,2,3,4,5,6,7,8,9,10,11,12,13,14,15,16,17,18,19,20,21,22,23,24,25,26,27,28,29,30}-1)*LEN(Registro!$G68)+1,LEN(Registro!$G68))),FIND("x",TRIM(MID(SUBSTITUTE(SUBSTITUTE(SUBSTITUTE(SUBSTITUTE(SUBSTITUTE(LOWER(Registro!$G68),"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",LEN(Registro!$G68))),({1,2,3,4,5,6,7,8,9,10,11,12,13,14,15,16,17,18,19,20,21,22,23,24,25,26,27,28,29,30}-1)*LEN(Registro!$G68)+1,LEN(Registro!$G68)))&amp;"x")-1)),--("0"&amp;MID(TRIM(MID(SUBSTITUTE(SUBSTITUTE(SUBSTITUTE(SUBSTITUTE(SUBSTITUTE(LOWER(Registro!$G68),"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",LEN(Registro!$G68))),({1,2,3,4,5,6,7,8,9,10,11,12,13,14,15,16,17,18,19,20,21,22,23,24,25,26,27,28,29,30}-1)*LEN(Registro!$G68)+1,LEN(Registro!$G68))),FIND("x",TRIM(MID(SUBSTITUTE(SUBSTITUTE(SUBSTITUTE(SUBSTITUTE(SUBSTITUTE(LOWER(Registro!$G68),"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",LEN(Registro!$G68))),({1,2,3,4,5,6,7,8,9,10,11,12,13,14,15,16,17,18,19,20,21,22,23,24,25,26,27,28,29,30}-1)*LEN(Registro!$G68)+1,LEN(Registro!$G68)))&amp;"x")+1,20))),"Revisar formato")))</f>
        <v/>
      </c>
      <c r="J68" s="9" t="str">
        <f>IF(AND(Registro!$E68="",Registro!$G68=""),"",IF(NOT(AND(ISNUMBER(I68),ISNUMBER(Registro!$H68))),"",IF(I68&lt;Registro!$H68,"FALTA BOLETOS",IF(I68=Registro!$H68,"CONFORME","DIFERENCIA"))))</f>
        <v/>
      </c>
      <c r="K68" s="11" t="str">
        <f>IF(Registro!$I68="","",IFERROR(SUMPRODUCT(--("0"&amp;TRIM(RIGHT(SUBSTITUTE(TRIM(MID(SUBSTITUTE(SUBSTITUTE(Registro!$I68,";",CHAR(10)),CHAR(10),REPT(" ",LEN(Registro!$I68))),({1,2,3,4,5,6,7,8,9,10,11,12,13,14,15,16,17,18,19,20,21,22,23,24,25,26,27,28,29,30}-1)*LEN(Registro!$I68)+1,LEN(Registro!$I68)))," ",REPT(" ",50)),50)))),"Revisar formato"))</f>
        <v/>
      </c>
      <c r="L68" s="11" t="str">
        <f>IF(Registro!$J68="","",IFERROR(SUMPRODUCT(--("0"&amp;TRIM(RIGHT(SUBSTITUTE(TRIM(MID(SUBSTITUTE(SUBSTITUTE(Registro!$J68,";",CHAR(10)),CHAR(10),REPT(" ",LEN(Registro!$J68))),({1,2,3,4,5,6,7,8,9,10,11,12,13,14,15,16,17,18,19,20,21,22,23,24,25,26,27,28,29,30}-1)*LEN(Registro!$J68)+1,LEN(Registro!$J68)))," ",REPT(" ",50)),50)))),"Revisar formato"))</f>
        <v/>
      </c>
      <c r="M68" s="11" t="str">
        <f>IF(AND(Registro!$H68="",Registro!$I68=""),"",IF(AND(ISTEXT(K68),K68&lt;&gt;""),"Revisar formato",N(Registro!$H68)-N(K68)))</f>
        <v/>
      </c>
      <c r="N68" s="11" t="str">
        <f t="shared" si="5"/>
        <v/>
      </c>
      <c r="O68" s="15" t="str">
        <f>IF(AND(A68=Consulta!$B$3,C68=Consulta!$H$3),B68*10000+ROW(),"")</f>
        <v/>
      </c>
    </row>
    <row r="69" spans="1:15" x14ac:dyDescent="0.25">
      <c r="A69" s="9" t="str">
        <f>IF(Registro!$A69="","",Registro!$A69)</f>
        <v/>
      </c>
      <c r="B69" s="8" t="str">
        <f>IF(Registro!$B69="","",Registro!$B69)</f>
        <v/>
      </c>
      <c r="C69" s="14" t="str">
        <f t="shared" si="3"/>
        <v/>
      </c>
      <c r="D69" s="10" t="str">
        <f>IF(Registro!$E69="","",IF(ISERROR(FIND("x",LOWER(Registro!$E69))),"-",IFERROR(SUMPRODUCT(--("0"&amp;LEFT(TRIM(MID(SUBSTITUTE(SUBSTITUTE(SUBSTITUTE(SUBSTITUTE(SUBSTITUTE(LOWER(Registro!$E69),"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",LEN(Registro!$E69))),({1,2,3,4,5,6,7,8,9,10,11,12,13,14,15,16,17,18,19,20,21,22,23,24,25,26,27,28,29,30}-1)*LEN(Registro!$E69)+1,LEN(Registro!$E69)))&amp;"x")-1))),"Revisar formato")))</f>
        <v/>
      </c>
      <c r="E69" s="11" t="str">
        <f>IF(Registro!$E69="","",IF(ISERROR(FIND("x",LOWER(Registro!$E69))),"-",IFERROR(SUMPRODUCT(--("0"&amp;LEFT(TRIM(MID(SUBSTITUTE(SUBSTITUTE(SUBSTITUTE(SUBSTITUTE(SUBSTITUTE(LOWER(Registro!$E69),"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",LEN(Registro!$E69))),({1,2,3,4,5,6,7,8,9,10,11,12,13,14,15,16,17,18,19,20,21,22,23,24,25,26,27,28,29,30}-1)*LEN(Registro!$E69)+1,LEN(Registro!$E69)))&amp;"x")-1)),--("0"&amp;MID(TRIM(MID(SUBSTITUTE(SUBSTITUTE(SUBSTITUTE(SUBSTITUTE(SUBSTITUTE(LOWER(Registro!$E69),"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",LEN(Registro!$E69))),({1,2,3,4,5,6,7,8,9,10,11,12,13,14,15,16,17,18,19,20,21,22,23,24,25,26,27,28,29,30}-1)*LEN(Registro!$E69)+1,LEN(Registro!$E69)))&amp;"x")+1,20))),"Revisar formato")))</f>
        <v/>
      </c>
      <c r="F69" s="11" t="str">
        <f>IF(Registro!$F69="","",N(Registro!$F69))</f>
        <v/>
      </c>
      <c r="G69" s="11" t="str">
        <f t="shared" si="4"/>
        <v/>
      </c>
      <c r="H69" s="10" t="str">
        <f>IF(Registro!$G69="","",IF(ISERROR(FIND("x",LOWER(Registro!$G69))),"-",IFERROR(SUMPRODUCT(--("0"&amp;LEFT(TRIM(MID(SUBSTITUTE(SUBSTITUTE(SUBSTITUTE(SUBSTITUTE(SUBSTITUTE(LOWER(Registro!$G69),"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",LEN(Registro!$G69))),({1,2,3,4,5,6,7,8,9,10,11,12,13,14,15,16,17,18,19,20,21,22,23,24,25,26,27,28,29,30}-1)*LEN(Registro!$G69)+1,LEN(Registro!$G69))),FIND("x",TRIM(MID(SUBSTITUTE(SUBSTITUTE(SUBSTITUTE(SUBSTITUTE(SUBSTITUTE(LOWER(Registro!$G69),"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",LEN(Registro!$G69))),({1,2,3,4,5,6,7,8,9,10,11,12,13,14,15,16,17,18,19,20,21,22,23,24,25,26,27,28,29,30}-1)*LEN(Registro!$G69)+1,LEN(Registro!$G69)))&amp;"x")-1))),"Revisar formato")))</f>
        <v/>
      </c>
      <c r="I69" s="11" t="str">
        <f>IF(Registro!$G69="","",IF(ISERROR(FIND("x",LOWER(Registro!$G69))),N(Registro!$H69),IFERROR(SUMPRODUCT(--("0"&amp;LEFT(TRIM(MID(SUBSTITUTE(SUBSTITUTE(SUBSTITUTE(SUBSTITUTE(SUBSTITUTE(LOWER(Registro!$G69),"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",LEN(Registro!$G69))),({1,2,3,4,5,6,7,8,9,10,11,12,13,14,15,16,17,18,19,20,21,22,23,24,25,26,27,28,29,30}-1)*LEN(Registro!$G69)+1,LEN(Registro!$G69))),FIND("x",TRIM(MID(SUBSTITUTE(SUBSTITUTE(SUBSTITUTE(SUBSTITUTE(SUBSTITUTE(LOWER(Registro!$G69),"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",LEN(Registro!$G69))),({1,2,3,4,5,6,7,8,9,10,11,12,13,14,15,16,17,18,19,20,21,22,23,24,25,26,27,28,29,30}-1)*LEN(Registro!$G69)+1,LEN(Registro!$G69)))&amp;"x")-1)),--("0"&amp;MID(TRIM(MID(SUBSTITUTE(SUBSTITUTE(SUBSTITUTE(SUBSTITUTE(SUBSTITUTE(LOWER(Registro!$G69),"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",LEN(Registro!$G69))),({1,2,3,4,5,6,7,8,9,10,11,12,13,14,15,16,17,18,19,20,21,22,23,24,25,26,27,28,29,30}-1)*LEN(Registro!$G69)+1,LEN(Registro!$G69))),FIND("x",TRIM(MID(SUBSTITUTE(SUBSTITUTE(SUBSTITUTE(SUBSTITUTE(SUBSTITUTE(LOWER(Registro!$G69),"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",LEN(Registro!$G69))),({1,2,3,4,5,6,7,8,9,10,11,12,13,14,15,16,17,18,19,20,21,22,23,24,25,26,27,28,29,30}-1)*LEN(Registro!$G69)+1,LEN(Registro!$G69)))&amp;"x")+1,20))),"Revisar formato")))</f>
        <v/>
      </c>
      <c r="J69" s="9" t="str">
        <f>IF(AND(Registro!$E69="",Registro!$G69=""),"",IF(NOT(AND(ISNUMBER(I69),ISNUMBER(Registro!$H69))),"",IF(I69&lt;Registro!$H69,"FALTA BOLETOS",IF(I69=Registro!$H69,"CONFORME","DIFERENCIA"))))</f>
        <v/>
      </c>
      <c r="K69" s="11" t="str">
        <f>IF(Registro!$I69="","",IFERROR(SUMPRODUCT(--("0"&amp;TRIM(RIGHT(SUBSTITUTE(TRIM(MID(SUBSTITUTE(SUBSTITUTE(Registro!$I69,";",CHAR(10)),CHAR(10),REPT(" ",LEN(Registro!$I69))),({1,2,3,4,5,6,7,8,9,10,11,12,13,14,15,16,17,18,19,20,21,22,23,24,25,26,27,28,29,30}-1)*LEN(Registro!$I69)+1,LEN(Registro!$I69)))," ",REPT(" ",50)),50)))),"Revisar formato"))</f>
        <v/>
      </c>
      <c r="L69" s="11" t="str">
        <f>IF(Registro!$J69="","",IFERROR(SUMPRODUCT(--("0"&amp;TRIM(RIGHT(SUBSTITUTE(TRIM(MID(SUBSTITUTE(SUBSTITUTE(Registro!$J69,";",CHAR(10)),CHAR(10),REPT(" ",LEN(Registro!$J69))),({1,2,3,4,5,6,7,8,9,10,11,12,13,14,15,16,17,18,19,20,21,22,23,24,25,26,27,28,29,30}-1)*LEN(Registro!$J69)+1,LEN(Registro!$J69)))," ",REPT(" ",50)),50)))),"Revisar formato"))</f>
        <v/>
      </c>
      <c r="M69" s="11" t="str">
        <f>IF(AND(Registro!$H69="",Registro!$I69=""),"",IF(AND(ISTEXT(K69),K69&lt;&gt;""),"Revisar formato",N(Registro!$H69)-N(K69)))</f>
        <v/>
      </c>
      <c r="N69" s="11" t="str">
        <f t="shared" si="5"/>
        <v/>
      </c>
      <c r="O69" s="15" t="str">
        <f>IF(AND(A69=Consulta!$B$3,C69=Consulta!$H$3),B69*10000+ROW(),"")</f>
        <v/>
      </c>
    </row>
    <row r="70" spans="1:15" x14ac:dyDescent="0.25">
      <c r="A70" s="9" t="str">
        <f>IF(Registro!$A70="","",Registro!$A70)</f>
        <v/>
      </c>
      <c r="B70" s="8" t="str">
        <f>IF(Registro!$B70="","",Registro!$B70)</f>
        <v/>
      </c>
      <c r="C70" s="14" t="str">
        <f t="shared" si="3"/>
        <v/>
      </c>
      <c r="D70" s="10" t="str">
        <f>IF(Registro!$E70="","",IF(ISERROR(FIND("x",LOWER(Registro!$E70))),"-",IFERROR(SUMPRODUCT(--("0"&amp;LEFT(TRIM(MID(SUBSTITUTE(SUBSTITUTE(SUBSTITUTE(SUBSTITUTE(SUBSTITUTE(LOWER(Registro!$E70),"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",LEN(Registro!$E70))),({1,2,3,4,5,6,7,8,9,10,11,12,13,14,15,16,17,18,19,20,21,22,23,24,25,26,27,28,29,30}-1)*LEN(Registro!$E70)+1,LEN(Registro!$E70)))&amp;"x")-1))),"Revisar formato")))</f>
        <v/>
      </c>
      <c r="E70" s="11" t="str">
        <f>IF(Registro!$E70="","",IF(ISERROR(FIND("x",LOWER(Registro!$E70))),"-",IFERROR(SUMPRODUCT(--("0"&amp;LEFT(TRIM(MID(SUBSTITUTE(SUBSTITUTE(SUBSTITUTE(SUBSTITUTE(SUBSTITUTE(LOWER(Registro!$E70),"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",LEN(Registro!$E70))),({1,2,3,4,5,6,7,8,9,10,11,12,13,14,15,16,17,18,19,20,21,22,23,24,25,26,27,28,29,30}-1)*LEN(Registro!$E70)+1,LEN(Registro!$E70)))&amp;"x")-1)),--("0"&amp;MID(TRIM(MID(SUBSTITUTE(SUBSTITUTE(SUBSTITUTE(SUBSTITUTE(SUBSTITUTE(LOWER(Registro!$E70),"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",LEN(Registro!$E70))),({1,2,3,4,5,6,7,8,9,10,11,12,13,14,15,16,17,18,19,20,21,22,23,24,25,26,27,28,29,30}-1)*LEN(Registro!$E70)+1,LEN(Registro!$E70)))&amp;"x")+1,20))),"Revisar formato")))</f>
        <v/>
      </c>
      <c r="F70" s="11" t="str">
        <f>IF(Registro!$F70="","",N(Registro!$F70))</f>
        <v/>
      </c>
      <c r="G70" s="11" t="str">
        <f t="shared" si="4"/>
        <v/>
      </c>
      <c r="H70" s="10" t="str">
        <f>IF(Registro!$G70="","",IF(ISERROR(FIND("x",LOWER(Registro!$G70))),"-",IFERROR(SUMPRODUCT(--("0"&amp;LEFT(TRIM(MID(SUBSTITUTE(SUBSTITUTE(SUBSTITUTE(SUBSTITUTE(SUBSTITUTE(LOWER(Registro!$G70),"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",LEN(Registro!$G70))),({1,2,3,4,5,6,7,8,9,10,11,12,13,14,15,16,17,18,19,20,21,22,23,24,25,26,27,28,29,30}-1)*LEN(Registro!$G70)+1,LEN(Registro!$G70))),FIND("x",TRIM(MID(SUBSTITUTE(SUBSTITUTE(SUBSTITUTE(SUBSTITUTE(SUBSTITUTE(LOWER(Registro!$G70),"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",LEN(Registro!$G70))),({1,2,3,4,5,6,7,8,9,10,11,12,13,14,15,16,17,18,19,20,21,22,23,24,25,26,27,28,29,30}-1)*LEN(Registro!$G70)+1,LEN(Registro!$G70)))&amp;"x")-1))),"Revisar formato")))</f>
        <v/>
      </c>
      <c r="I70" s="11" t="str">
        <f>IF(Registro!$G70="","",IF(ISERROR(FIND("x",LOWER(Registro!$G70))),N(Registro!$H70),IFERROR(SUMPRODUCT(--("0"&amp;LEFT(TRIM(MID(SUBSTITUTE(SUBSTITUTE(SUBSTITUTE(SUBSTITUTE(SUBSTITUTE(LOWER(Registro!$G70),"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",LEN(Registro!$G70))),({1,2,3,4,5,6,7,8,9,10,11,12,13,14,15,16,17,18,19,20,21,22,23,24,25,26,27,28,29,30}-1)*LEN(Registro!$G70)+1,LEN(Registro!$G70))),FIND("x",TRIM(MID(SUBSTITUTE(SUBSTITUTE(SUBSTITUTE(SUBSTITUTE(SUBSTITUTE(LOWER(Registro!$G70),"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",LEN(Registro!$G70))),({1,2,3,4,5,6,7,8,9,10,11,12,13,14,15,16,17,18,19,20,21,22,23,24,25,26,27,28,29,30}-1)*LEN(Registro!$G70)+1,LEN(Registro!$G70)))&amp;"x")-1)),--("0"&amp;MID(TRIM(MID(SUBSTITUTE(SUBSTITUTE(SUBSTITUTE(SUBSTITUTE(SUBSTITUTE(LOWER(Registro!$G70),"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",LEN(Registro!$G70))),({1,2,3,4,5,6,7,8,9,10,11,12,13,14,15,16,17,18,19,20,21,22,23,24,25,26,27,28,29,30}-1)*LEN(Registro!$G70)+1,LEN(Registro!$G70))),FIND("x",TRIM(MID(SUBSTITUTE(SUBSTITUTE(SUBSTITUTE(SUBSTITUTE(SUBSTITUTE(LOWER(Registro!$G70),"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",LEN(Registro!$G70))),({1,2,3,4,5,6,7,8,9,10,11,12,13,14,15,16,17,18,19,20,21,22,23,24,25,26,27,28,29,30}-1)*LEN(Registro!$G70)+1,LEN(Registro!$G70)))&amp;"x")+1,20))),"Revisar formato")))</f>
        <v/>
      </c>
      <c r="J70" s="9" t="str">
        <f>IF(AND(Registro!$E70="",Registro!$G70=""),"",IF(NOT(AND(ISNUMBER(I70),ISNUMBER(Registro!$H70))),"",IF(I70&lt;Registro!$H70,"FALTA BOLETOS",IF(I70=Registro!$H70,"CONFORME","DIFERENCIA"))))</f>
        <v/>
      </c>
      <c r="K70" s="11" t="str">
        <f>IF(Registro!$I70="","",IFERROR(SUMPRODUCT(--("0"&amp;TRIM(RIGHT(SUBSTITUTE(TRIM(MID(SUBSTITUTE(SUBSTITUTE(Registro!$I70,";",CHAR(10)),CHAR(10),REPT(" ",LEN(Registro!$I70))),({1,2,3,4,5,6,7,8,9,10,11,12,13,14,15,16,17,18,19,20,21,22,23,24,25,26,27,28,29,30}-1)*LEN(Registro!$I70)+1,LEN(Registro!$I70)))," ",REPT(" ",50)),50)))),"Revisar formato"))</f>
        <v/>
      </c>
      <c r="L70" s="11" t="str">
        <f>IF(Registro!$J70="","",IFERROR(SUMPRODUCT(--("0"&amp;TRIM(RIGHT(SUBSTITUTE(TRIM(MID(SUBSTITUTE(SUBSTITUTE(Registro!$J70,";",CHAR(10)),CHAR(10),REPT(" ",LEN(Registro!$J70))),({1,2,3,4,5,6,7,8,9,10,11,12,13,14,15,16,17,18,19,20,21,22,23,24,25,26,27,28,29,30}-1)*LEN(Registro!$J70)+1,LEN(Registro!$J70)))," ",REPT(" ",50)),50)))),"Revisar formato"))</f>
        <v/>
      </c>
      <c r="M70" s="11" t="str">
        <f>IF(AND(Registro!$H70="",Registro!$I70=""),"",IF(AND(ISTEXT(K70),K70&lt;&gt;""),"Revisar formato",N(Registro!$H70)-N(K70)))</f>
        <v/>
      </c>
      <c r="N70" s="11" t="str">
        <f t="shared" si="5"/>
        <v/>
      </c>
      <c r="O70" s="15" t="str">
        <f>IF(AND(A70=Consulta!$B$3,C70=Consulta!$H$3),B70*10000+ROW(),"")</f>
        <v/>
      </c>
    </row>
    <row r="71" spans="1:15" x14ac:dyDescent="0.25">
      <c r="A71" s="9" t="str">
        <f>IF(Registro!$A71="","",Registro!$A71)</f>
        <v/>
      </c>
      <c r="B71" s="8" t="str">
        <f>IF(Registro!$B71="","",Registro!$B71)</f>
        <v/>
      </c>
      <c r="C71" s="14" t="str">
        <f t="shared" si="3"/>
        <v/>
      </c>
      <c r="D71" s="10" t="str">
        <f>IF(Registro!$E71="","",IF(ISERROR(FIND("x",LOWER(Registro!$E71))),"-",IFERROR(SUMPRODUCT(--("0"&amp;LEFT(TRIM(MID(SUBSTITUTE(SUBSTITUTE(SUBSTITUTE(SUBSTITUTE(SUBSTITUTE(LOWER(Registro!$E71),"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",LEN(Registro!$E71))),({1,2,3,4,5,6,7,8,9,10,11,12,13,14,15,16,17,18,19,20,21,22,23,24,25,26,27,28,29,30}-1)*LEN(Registro!$E71)+1,LEN(Registro!$E71)))&amp;"x")-1))),"Revisar formato")))</f>
        <v/>
      </c>
      <c r="E71" s="11" t="str">
        <f>IF(Registro!$E71="","",IF(ISERROR(FIND("x",LOWER(Registro!$E71))),"-",IFERROR(SUMPRODUCT(--("0"&amp;LEFT(TRIM(MID(SUBSTITUTE(SUBSTITUTE(SUBSTITUTE(SUBSTITUTE(SUBSTITUTE(LOWER(Registro!$E71),"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",LEN(Registro!$E71))),({1,2,3,4,5,6,7,8,9,10,11,12,13,14,15,16,17,18,19,20,21,22,23,24,25,26,27,28,29,30}-1)*LEN(Registro!$E71)+1,LEN(Registro!$E71)))&amp;"x")-1)),--("0"&amp;MID(TRIM(MID(SUBSTITUTE(SUBSTITUTE(SUBSTITUTE(SUBSTITUTE(SUBSTITUTE(LOWER(Registro!$E71),"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",LEN(Registro!$E71))),({1,2,3,4,5,6,7,8,9,10,11,12,13,14,15,16,17,18,19,20,21,22,23,24,25,26,27,28,29,30}-1)*LEN(Registro!$E71)+1,LEN(Registro!$E71)))&amp;"x")+1,20))),"Revisar formato")))</f>
        <v/>
      </c>
      <c r="F71" s="11" t="str">
        <f>IF(Registro!$F71="","",N(Registro!$F71))</f>
        <v/>
      </c>
      <c r="G71" s="11" t="str">
        <f t="shared" si="4"/>
        <v/>
      </c>
      <c r="H71" s="10" t="str">
        <f>IF(Registro!$G71="","",IF(ISERROR(FIND("x",LOWER(Registro!$G71))),"-",IFERROR(SUMPRODUCT(--("0"&amp;LEFT(TRIM(MID(SUBSTITUTE(SUBSTITUTE(SUBSTITUTE(SUBSTITUTE(SUBSTITUTE(LOWER(Registro!$G71),"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",LEN(Registro!$G71))),({1,2,3,4,5,6,7,8,9,10,11,12,13,14,15,16,17,18,19,20,21,22,23,24,25,26,27,28,29,30}-1)*LEN(Registro!$G71)+1,LEN(Registro!$G71))),FIND("x",TRIM(MID(SUBSTITUTE(SUBSTITUTE(SUBSTITUTE(SUBSTITUTE(SUBSTITUTE(LOWER(Registro!$G71),"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",LEN(Registro!$G71))),({1,2,3,4,5,6,7,8,9,10,11,12,13,14,15,16,17,18,19,20,21,22,23,24,25,26,27,28,29,30}-1)*LEN(Registro!$G71)+1,LEN(Registro!$G71)))&amp;"x")-1))),"Revisar formato")))</f>
        <v/>
      </c>
      <c r="I71" s="11" t="str">
        <f>IF(Registro!$G71="","",IF(ISERROR(FIND("x",LOWER(Registro!$G71))),N(Registro!$H71),IFERROR(SUMPRODUCT(--("0"&amp;LEFT(TRIM(MID(SUBSTITUTE(SUBSTITUTE(SUBSTITUTE(SUBSTITUTE(SUBSTITUTE(LOWER(Registro!$G71),"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",LEN(Registro!$G71))),({1,2,3,4,5,6,7,8,9,10,11,12,13,14,15,16,17,18,19,20,21,22,23,24,25,26,27,28,29,30}-1)*LEN(Registro!$G71)+1,LEN(Registro!$G71))),FIND("x",TRIM(MID(SUBSTITUTE(SUBSTITUTE(SUBSTITUTE(SUBSTITUTE(SUBSTITUTE(LOWER(Registro!$G71),"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",LEN(Registro!$G71))),({1,2,3,4,5,6,7,8,9,10,11,12,13,14,15,16,17,18,19,20,21,22,23,24,25,26,27,28,29,30}-1)*LEN(Registro!$G71)+1,LEN(Registro!$G71)))&amp;"x")-1)),--("0"&amp;MID(TRIM(MID(SUBSTITUTE(SUBSTITUTE(SUBSTITUTE(SUBSTITUTE(SUBSTITUTE(LOWER(Registro!$G71),"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",LEN(Registro!$G71))),({1,2,3,4,5,6,7,8,9,10,11,12,13,14,15,16,17,18,19,20,21,22,23,24,25,26,27,28,29,30}-1)*LEN(Registro!$G71)+1,LEN(Registro!$G71))),FIND("x",TRIM(MID(SUBSTITUTE(SUBSTITUTE(SUBSTITUTE(SUBSTITUTE(SUBSTITUTE(LOWER(Registro!$G71),"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",LEN(Registro!$G71))),({1,2,3,4,5,6,7,8,9,10,11,12,13,14,15,16,17,18,19,20,21,22,23,24,25,26,27,28,29,30}-1)*LEN(Registro!$G71)+1,LEN(Registro!$G71)))&amp;"x")+1,20))),"Revisar formato")))</f>
        <v/>
      </c>
      <c r="J71" s="9" t="str">
        <f>IF(AND(Registro!$E71="",Registro!$G71=""),"",IF(NOT(AND(ISNUMBER(I71),ISNUMBER(Registro!$H71))),"",IF(I71&lt;Registro!$H71,"FALTA BOLETOS",IF(I71=Registro!$H71,"CONFORME","DIFERENCIA"))))</f>
        <v/>
      </c>
      <c r="K71" s="11" t="str">
        <f>IF(Registro!$I71="","",IFERROR(SUMPRODUCT(--("0"&amp;TRIM(RIGHT(SUBSTITUTE(TRIM(MID(SUBSTITUTE(SUBSTITUTE(Registro!$I71,";",CHAR(10)),CHAR(10),REPT(" ",LEN(Registro!$I71))),({1,2,3,4,5,6,7,8,9,10,11,12,13,14,15,16,17,18,19,20,21,22,23,24,25,26,27,28,29,30}-1)*LEN(Registro!$I71)+1,LEN(Registro!$I71)))," ",REPT(" ",50)),50)))),"Revisar formato"))</f>
        <v/>
      </c>
      <c r="L71" s="11" t="str">
        <f>IF(Registro!$J71="","",IFERROR(SUMPRODUCT(--("0"&amp;TRIM(RIGHT(SUBSTITUTE(TRIM(MID(SUBSTITUTE(SUBSTITUTE(Registro!$J71,";",CHAR(10)),CHAR(10),REPT(" ",LEN(Registro!$J71))),({1,2,3,4,5,6,7,8,9,10,11,12,13,14,15,16,17,18,19,20,21,22,23,24,25,26,27,28,29,30}-1)*LEN(Registro!$J71)+1,LEN(Registro!$J71)))," ",REPT(" ",50)),50)))),"Revisar formato"))</f>
        <v/>
      </c>
      <c r="M71" s="11" t="str">
        <f>IF(AND(Registro!$H71="",Registro!$I71=""),"",IF(AND(ISTEXT(K71),K71&lt;&gt;""),"Revisar formato",N(Registro!$H71)-N(K71)))</f>
        <v/>
      </c>
      <c r="N71" s="11" t="str">
        <f t="shared" si="5"/>
        <v/>
      </c>
      <c r="O71" s="15" t="str">
        <f>IF(AND(A71=Consulta!$B$3,C71=Consulta!$H$3),B71*10000+ROW(),"")</f>
        <v/>
      </c>
    </row>
    <row r="72" spans="1:15" x14ac:dyDescent="0.25">
      <c r="A72" s="9" t="str">
        <f>IF(Registro!$A72="","",Registro!$A72)</f>
        <v/>
      </c>
      <c r="B72" s="8" t="str">
        <f>IF(Registro!$B72="","",Registro!$B72)</f>
        <v/>
      </c>
      <c r="C72" s="14" t="str">
        <f t="shared" si="3"/>
        <v/>
      </c>
      <c r="D72" s="10" t="str">
        <f>IF(Registro!$E72="","",IF(ISERROR(FIND("x",LOWER(Registro!$E72))),"-",IFERROR(SUMPRODUCT(--("0"&amp;LEFT(TRIM(MID(SUBSTITUTE(SUBSTITUTE(SUBSTITUTE(SUBSTITUTE(SUBSTITUTE(LOWER(Registro!$E72),"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",LEN(Registro!$E72))),({1,2,3,4,5,6,7,8,9,10,11,12,13,14,15,16,17,18,19,20,21,22,23,24,25,26,27,28,29,30}-1)*LEN(Registro!$E72)+1,LEN(Registro!$E72)))&amp;"x")-1))),"Revisar formato")))</f>
        <v/>
      </c>
      <c r="E72" s="11" t="str">
        <f>IF(Registro!$E72="","",IF(ISERROR(FIND("x",LOWER(Registro!$E72))),"-",IFERROR(SUMPRODUCT(--("0"&amp;LEFT(TRIM(MID(SUBSTITUTE(SUBSTITUTE(SUBSTITUTE(SUBSTITUTE(SUBSTITUTE(LOWER(Registro!$E72),"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",LEN(Registro!$E72))),({1,2,3,4,5,6,7,8,9,10,11,12,13,14,15,16,17,18,19,20,21,22,23,24,25,26,27,28,29,30}-1)*LEN(Registro!$E72)+1,LEN(Registro!$E72)))&amp;"x")-1)),--("0"&amp;MID(TRIM(MID(SUBSTITUTE(SUBSTITUTE(SUBSTITUTE(SUBSTITUTE(SUBSTITUTE(LOWER(Registro!$E72),"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",LEN(Registro!$E72))),({1,2,3,4,5,6,7,8,9,10,11,12,13,14,15,16,17,18,19,20,21,22,23,24,25,26,27,28,29,30}-1)*LEN(Registro!$E72)+1,LEN(Registro!$E72)))&amp;"x")+1,20))),"Revisar formato")))</f>
        <v/>
      </c>
      <c r="F72" s="11" t="str">
        <f>IF(Registro!$F72="","",N(Registro!$F72))</f>
        <v/>
      </c>
      <c r="G72" s="11" t="str">
        <f t="shared" si="4"/>
        <v/>
      </c>
      <c r="H72" s="10" t="str">
        <f>IF(Registro!$G72="","",IF(ISERROR(FIND("x",LOWER(Registro!$G72))),"-",IFERROR(SUMPRODUCT(--("0"&amp;LEFT(TRIM(MID(SUBSTITUTE(SUBSTITUTE(SUBSTITUTE(SUBSTITUTE(SUBSTITUTE(LOWER(Registro!$G72),"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",LEN(Registro!$G72))),({1,2,3,4,5,6,7,8,9,10,11,12,13,14,15,16,17,18,19,20,21,22,23,24,25,26,27,28,29,30}-1)*LEN(Registro!$G72)+1,LEN(Registro!$G72))),FIND("x",TRIM(MID(SUBSTITUTE(SUBSTITUTE(SUBSTITUTE(SUBSTITUTE(SUBSTITUTE(LOWER(Registro!$G72),"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",LEN(Registro!$G72))),({1,2,3,4,5,6,7,8,9,10,11,12,13,14,15,16,17,18,19,20,21,22,23,24,25,26,27,28,29,30}-1)*LEN(Registro!$G72)+1,LEN(Registro!$G72)))&amp;"x")-1))),"Revisar formato")))</f>
        <v/>
      </c>
      <c r="I72" s="11" t="str">
        <f>IF(Registro!$G72="","",IF(ISERROR(FIND("x",LOWER(Registro!$G72))),N(Registro!$H72),IFERROR(SUMPRODUCT(--("0"&amp;LEFT(TRIM(MID(SUBSTITUTE(SUBSTITUTE(SUBSTITUTE(SUBSTITUTE(SUBSTITUTE(LOWER(Registro!$G72),"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",LEN(Registro!$G72))),({1,2,3,4,5,6,7,8,9,10,11,12,13,14,15,16,17,18,19,20,21,22,23,24,25,26,27,28,29,30}-1)*LEN(Registro!$G72)+1,LEN(Registro!$G72))),FIND("x",TRIM(MID(SUBSTITUTE(SUBSTITUTE(SUBSTITUTE(SUBSTITUTE(SUBSTITUTE(LOWER(Registro!$G72),"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",LEN(Registro!$G72))),({1,2,3,4,5,6,7,8,9,10,11,12,13,14,15,16,17,18,19,20,21,22,23,24,25,26,27,28,29,30}-1)*LEN(Registro!$G72)+1,LEN(Registro!$G72)))&amp;"x")-1)),--("0"&amp;MID(TRIM(MID(SUBSTITUTE(SUBSTITUTE(SUBSTITUTE(SUBSTITUTE(SUBSTITUTE(LOWER(Registro!$G72),"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",LEN(Registro!$G72))),({1,2,3,4,5,6,7,8,9,10,11,12,13,14,15,16,17,18,19,20,21,22,23,24,25,26,27,28,29,30}-1)*LEN(Registro!$G72)+1,LEN(Registro!$G72))),FIND("x",TRIM(MID(SUBSTITUTE(SUBSTITUTE(SUBSTITUTE(SUBSTITUTE(SUBSTITUTE(LOWER(Registro!$G72),"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",LEN(Registro!$G72))),({1,2,3,4,5,6,7,8,9,10,11,12,13,14,15,16,17,18,19,20,21,22,23,24,25,26,27,28,29,30}-1)*LEN(Registro!$G72)+1,LEN(Registro!$G72)))&amp;"x")+1,20))),"Revisar formato")))</f>
        <v/>
      </c>
      <c r="J72" s="9" t="str">
        <f>IF(AND(Registro!$E72="",Registro!$G72=""),"",IF(NOT(AND(ISNUMBER(I72),ISNUMBER(Registro!$H72))),"",IF(I72&lt;Registro!$H72,"FALTA BOLETOS",IF(I72=Registro!$H72,"CONFORME","DIFERENCIA"))))</f>
        <v/>
      </c>
      <c r="K72" s="11" t="str">
        <f>IF(Registro!$I72="","",IFERROR(SUMPRODUCT(--("0"&amp;TRIM(RIGHT(SUBSTITUTE(TRIM(MID(SUBSTITUTE(SUBSTITUTE(Registro!$I72,";",CHAR(10)),CHAR(10),REPT(" ",LEN(Registro!$I72))),({1,2,3,4,5,6,7,8,9,10,11,12,13,14,15,16,17,18,19,20,21,22,23,24,25,26,27,28,29,30}-1)*LEN(Registro!$I72)+1,LEN(Registro!$I72)))," ",REPT(" ",50)),50)))),"Revisar formato"))</f>
        <v/>
      </c>
      <c r="L72" s="11" t="str">
        <f>IF(Registro!$J72="","",IFERROR(SUMPRODUCT(--("0"&amp;TRIM(RIGHT(SUBSTITUTE(TRIM(MID(SUBSTITUTE(SUBSTITUTE(Registro!$J72,";",CHAR(10)),CHAR(10),REPT(" ",LEN(Registro!$J72))),({1,2,3,4,5,6,7,8,9,10,11,12,13,14,15,16,17,18,19,20,21,22,23,24,25,26,27,28,29,30}-1)*LEN(Registro!$J72)+1,LEN(Registro!$J72)))," ",REPT(" ",50)),50)))),"Revisar formato"))</f>
        <v/>
      </c>
      <c r="M72" s="11" t="str">
        <f>IF(AND(Registro!$H72="",Registro!$I72=""),"",IF(AND(ISTEXT(K72),K72&lt;&gt;""),"Revisar formato",N(Registro!$H72)-N(K72)))</f>
        <v/>
      </c>
      <c r="N72" s="11" t="str">
        <f t="shared" si="5"/>
        <v/>
      </c>
      <c r="O72" s="15" t="str">
        <f>IF(AND(A72=Consulta!$B$3,C72=Consulta!$H$3),B72*10000+ROW(),"")</f>
        <v/>
      </c>
    </row>
    <row r="73" spans="1:15" x14ac:dyDescent="0.25">
      <c r="A73" s="9" t="str">
        <f>IF(Registro!$A73="","",Registro!$A73)</f>
        <v/>
      </c>
      <c r="B73" s="8" t="str">
        <f>IF(Registro!$B73="","",Registro!$B73)</f>
        <v/>
      </c>
      <c r="C73" s="14" t="str">
        <f t="shared" si="3"/>
        <v/>
      </c>
      <c r="D73" s="10" t="str">
        <f>IF(Registro!$E73="","",IF(ISERROR(FIND("x",LOWER(Registro!$E73))),"-",IFERROR(SUMPRODUCT(--("0"&amp;LEFT(TRIM(MID(SUBSTITUTE(SUBSTITUTE(SUBSTITUTE(SUBSTITUTE(SUBSTITUTE(LOWER(Registro!$E73),"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",LEN(Registro!$E73))),({1,2,3,4,5,6,7,8,9,10,11,12,13,14,15,16,17,18,19,20,21,22,23,24,25,26,27,28,29,30}-1)*LEN(Registro!$E73)+1,LEN(Registro!$E73)))&amp;"x")-1))),"Revisar formato")))</f>
        <v/>
      </c>
      <c r="E73" s="11" t="str">
        <f>IF(Registro!$E73="","",IF(ISERROR(FIND("x",LOWER(Registro!$E73))),"-",IFERROR(SUMPRODUCT(--("0"&amp;LEFT(TRIM(MID(SUBSTITUTE(SUBSTITUTE(SUBSTITUTE(SUBSTITUTE(SUBSTITUTE(LOWER(Registro!$E73),"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",LEN(Registro!$E73))),({1,2,3,4,5,6,7,8,9,10,11,12,13,14,15,16,17,18,19,20,21,22,23,24,25,26,27,28,29,30}-1)*LEN(Registro!$E73)+1,LEN(Registro!$E73)))&amp;"x")-1)),--("0"&amp;MID(TRIM(MID(SUBSTITUTE(SUBSTITUTE(SUBSTITUTE(SUBSTITUTE(SUBSTITUTE(LOWER(Registro!$E73),"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",LEN(Registro!$E73))),({1,2,3,4,5,6,7,8,9,10,11,12,13,14,15,16,17,18,19,20,21,22,23,24,25,26,27,28,29,30}-1)*LEN(Registro!$E73)+1,LEN(Registro!$E73)))&amp;"x")+1,20))),"Revisar formato")))</f>
        <v/>
      </c>
      <c r="F73" s="11" t="str">
        <f>IF(Registro!$F73="","",N(Registro!$F73))</f>
        <v/>
      </c>
      <c r="G73" s="11" t="str">
        <f t="shared" si="4"/>
        <v/>
      </c>
      <c r="H73" s="10" t="str">
        <f>IF(Registro!$G73="","",IF(ISERROR(FIND("x",LOWER(Registro!$G73))),"-",IFERROR(SUMPRODUCT(--("0"&amp;LEFT(TRIM(MID(SUBSTITUTE(SUBSTITUTE(SUBSTITUTE(SUBSTITUTE(SUBSTITUTE(LOWER(Registro!$G73),"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",LEN(Registro!$G73))),({1,2,3,4,5,6,7,8,9,10,11,12,13,14,15,16,17,18,19,20,21,22,23,24,25,26,27,28,29,30}-1)*LEN(Registro!$G73)+1,LEN(Registro!$G73))),FIND("x",TRIM(MID(SUBSTITUTE(SUBSTITUTE(SUBSTITUTE(SUBSTITUTE(SUBSTITUTE(LOWER(Registro!$G73),"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",LEN(Registro!$G73))),({1,2,3,4,5,6,7,8,9,10,11,12,13,14,15,16,17,18,19,20,21,22,23,24,25,26,27,28,29,30}-1)*LEN(Registro!$G73)+1,LEN(Registro!$G73)))&amp;"x")-1))),"Revisar formato")))</f>
        <v/>
      </c>
      <c r="I73" s="11" t="str">
        <f>IF(Registro!$G73="","",IF(ISERROR(FIND("x",LOWER(Registro!$G73))),N(Registro!$H73),IFERROR(SUMPRODUCT(--("0"&amp;LEFT(TRIM(MID(SUBSTITUTE(SUBSTITUTE(SUBSTITUTE(SUBSTITUTE(SUBSTITUTE(LOWER(Registro!$G73),"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",LEN(Registro!$G73))),({1,2,3,4,5,6,7,8,9,10,11,12,13,14,15,16,17,18,19,20,21,22,23,24,25,26,27,28,29,30}-1)*LEN(Registro!$G73)+1,LEN(Registro!$G73))),FIND("x",TRIM(MID(SUBSTITUTE(SUBSTITUTE(SUBSTITUTE(SUBSTITUTE(SUBSTITUTE(LOWER(Registro!$G73),"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",LEN(Registro!$G73))),({1,2,3,4,5,6,7,8,9,10,11,12,13,14,15,16,17,18,19,20,21,22,23,24,25,26,27,28,29,30}-1)*LEN(Registro!$G73)+1,LEN(Registro!$G73)))&amp;"x")-1)),--("0"&amp;MID(TRIM(MID(SUBSTITUTE(SUBSTITUTE(SUBSTITUTE(SUBSTITUTE(SUBSTITUTE(LOWER(Registro!$G73),"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",LEN(Registro!$G73))),({1,2,3,4,5,6,7,8,9,10,11,12,13,14,15,16,17,18,19,20,21,22,23,24,25,26,27,28,29,30}-1)*LEN(Registro!$G73)+1,LEN(Registro!$G73))),FIND("x",TRIM(MID(SUBSTITUTE(SUBSTITUTE(SUBSTITUTE(SUBSTITUTE(SUBSTITUTE(LOWER(Registro!$G73),"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",LEN(Registro!$G73))),({1,2,3,4,5,6,7,8,9,10,11,12,13,14,15,16,17,18,19,20,21,22,23,24,25,26,27,28,29,30}-1)*LEN(Registro!$G73)+1,LEN(Registro!$G73)))&amp;"x")+1,20))),"Revisar formato")))</f>
        <v/>
      </c>
      <c r="J73" s="9" t="str">
        <f>IF(AND(Registro!$E73="",Registro!$G73=""),"",IF(NOT(AND(ISNUMBER(I73),ISNUMBER(Registro!$H73))),"",IF(I73&lt;Registro!$H73,"FALTA BOLETOS",IF(I73=Registro!$H73,"CONFORME","DIFERENCIA"))))</f>
        <v/>
      </c>
      <c r="K73" s="11" t="str">
        <f>IF(Registro!$I73="","",IFERROR(SUMPRODUCT(--("0"&amp;TRIM(RIGHT(SUBSTITUTE(TRIM(MID(SUBSTITUTE(SUBSTITUTE(Registro!$I73,";",CHAR(10)),CHAR(10),REPT(" ",LEN(Registro!$I73))),({1,2,3,4,5,6,7,8,9,10,11,12,13,14,15,16,17,18,19,20,21,22,23,24,25,26,27,28,29,30}-1)*LEN(Registro!$I73)+1,LEN(Registro!$I73)))," ",REPT(" ",50)),50)))),"Revisar formato"))</f>
        <v/>
      </c>
      <c r="L73" s="11" t="str">
        <f>IF(Registro!$J73="","",IFERROR(SUMPRODUCT(--("0"&amp;TRIM(RIGHT(SUBSTITUTE(TRIM(MID(SUBSTITUTE(SUBSTITUTE(Registro!$J73,";",CHAR(10)),CHAR(10),REPT(" ",LEN(Registro!$J73))),({1,2,3,4,5,6,7,8,9,10,11,12,13,14,15,16,17,18,19,20,21,22,23,24,25,26,27,28,29,30}-1)*LEN(Registro!$J73)+1,LEN(Registro!$J73)))," ",REPT(" ",50)),50)))),"Revisar formato"))</f>
        <v/>
      </c>
      <c r="M73" s="11" t="str">
        <f>IF(AND(Registro!$H73="",Registro!$I73=""),"",IF(AND(ISTEXT(K73),K73&lt;&gt;""),"Revisar formato",N(Registro!$H73)-N(K73)))</f>
        <v/>
      </c>
      <c r="N73" s="11" t="str">
        <f t="shared" si="5"/>
        <v/>
      </c>
      <c r="O73" s="15" t="str">
        <f>IF(AND(A73=Consulta!$B$3,C73=Consulta!$H$3),B73*10000+ROW(),"")</f>
        <v/>
      </c>
    </row>
    <row r="74" spans="1:15" x14ac:dyDescent="0.25">
      <c r="A74" s="9" t="str">
        <f>IF(Registro!$A74="","",Registro!$A74)</f>
        <v/>
      </c>
      <c r="B74" s="8" t="str">
        <f>IF(Registro!$B74="","",Registro!$B74)</f>
        <v/>
      </c>
      <c r="C74" s="14" t="str">
        <f t="shared" si="3"/>
        <v/>
      </c>
      <c r="D74" s="10" t="str">
        <f>IF(Registro!$E74="","",IF(ISERROR(FIND("x",LOWER(Registro!$E74))),"-",IFERROR(SUMPRODUCT(--("0"&amp;LEFT(TRIM(MID(SUBSTITUTE(SUBSTITUTE(SUBSTITUTE(SUBSTITUTE(SUBSTITUTE(LOWER(Registro!$E74),"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",LEN(Registro!$E74))),({1,2,3,4,5,6,7,8,9,10,11,12,13,14,15,16,17,18,19,20,21,22,23,24,25,26,27,28,29,30}-1)*LEN(Registro!$E74)+1,LEN(Registro!$E74)))&amp;"x")-1))),"Revisar formato")))</f>
        <v/>
      </c>
      <c r="E74" s="11" t="str">
        <f>IF(Registro!$E74="","",IF(ISERROR(FIND("x",LOWER(Registro!$E74))),"-",IFERROR(SUMPRODUCT(--("0"&amp;LEFT(TRIM(MID(SUBSTITUTE(SUBSTITUTE(SUBSTITUTE(SUBSTITUTE(SUBSTITUTE(LOWER(Registro!$E74),"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",LEN(Registro!$E74))),({1,2,3,4,5,6,7,8,9,10,11,12,13,14,15,16,17,18,19,20,21,22,23,24,25,26,27,28,29,30}-1)*LEN(Registro!$E74)+1,LEN(Registro!$E74)))&amp;"x")-1)),--("0"&amp;MID(TRIM(MID(SUBSTITUTE(SUBSTITUTE(SUBSTITUTE(SUBSTITUTE(SUBSTITUTE(LOWER(Registro!$E74),"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",LEN(Registro!$E74))),({1,2,3,4,5,6,7,8,9,10,11,12,13,14,15,16,17,18,19,20,21,22,23,24,25,26,27,28,29,30}-1)*LEN(Registro!$E74)+1,LEN(Registro!$E74)))&amp;"x")+1,20))),"Revisar formato")))</f>
        <v/>
      </c>
      <c r="F74" s="11" t="str">
        <f>IF(Registro!$F74="","",N(Registro!$F74))</f>
        <v/>
      </c>
      <c r="G74" s="11" t="str">
        <f t="shared" si="4"/>
        <v/>
      </c>
      <c r="H74" s="10" t="str">
        <f>IF(Registro!$G74="","",IF(ISERROR(FIND("x",LOWER(Registro!$G74))),"-",IFERROR(SUMPRODUCT(--("0"&amp;LEFT(TRIM(MID(SUBSTITUTE(SUBSTITUTE(SUBSTITUTE(SUBSTITUTE(SUBSTITUTE(LOWER(Registro!$G74),"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",LEN(Registro!$G74))),({1,2,3,4,5,6,7,8,9,10,11,12,13,14,15,16,17,18,19,20,21,22,23,24,25,26,27,28,29,30}-1)*LEN(Registro!$G74)+1,LEN(Registro!$G74))),FIND("x",TRIM(MID(SUBSTITUTE(SUBSTITUTE(SUBSTITUTE(SUBSTITUTE(SUBSTITUTE(LOWER(Registro!$G74),"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",LEN(Registro!$G74))),({1,2,3,4,5,6,7,8,9,10,11,12,13,14,15,16,17,18,19,20,21,22,23,24,25,26,27,28,29,30}-1)*LEN(Registro!$G74)+1,LEN(Registro!$G74)))&amp;"x")-1))),"Revisar formato")))</f>
        <v/>
      </c>
      <c r="I74" s="11" t="str">
        <f>IF(Registro!$G74="","",IF(ISERROR(FIND("x",LOWER(Registro!$G74))),N(Registro!$H74),IFERROR(SUMPRODUCT(--("0"&amp;LEFT(TRIM(MID(SUBSTITUTE(SUBSTITUTE(SUBSTITUTE(SUBSTITUTE(SUBSTITUTE(LOWER(Registro!$G74),"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",LEN(Registro!$G74))),({1,2,3,4,5,6,7,8,9,10,11,12,13,14,15,16,17,18,19,20,21,22,23,24,25,26,27,28,29,30}-1)*LEN(Registro!$G74)+1,LEN(Registro!$G74))),FIND("x",TRIM(MID(SUBSTITUTE(SUBSTITUTE(SUBSTITUTE(SUBSTITUTE(SUBSTITUTE(LOWER(Registro!$G74),"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",LEN(Registro!$G74))),({1,2,3,4,5,6,7,8,9,10,11,12,13,14,15,16,17,18,19,20,21,22,23,24,25,26,27,28,29,30}-1)*LEN(Registro!$G74)+1,LEN(Registro!$G74)))&amp;"x")-1)),--("0"&amp;MID(TRIM(MID(SUBSTITUTE(SUBSTITUTE(SUBSTITUTE(SUBSTITUTE(SUBSTITUTE(LOWER(Registro!$G74),"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",LEN(Registro!$G74))),({1,2,3,4,5,6,7,8,9,10,11,12,13,14,15,16,17,18,19,20,21,22,23,24,25,26,27,28,29,30}-1)*LEN(Registro!$G74)+1,LEN(Registro!$G74))),FIND("x",TRIM(MID(SUBSTITUTE(SUBSTITUTE(SUBSTITUTE(SUBSTITUTE(SUBSTITUTE(LOWER(Registro!$G74),"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",LEN(Registro!$G74))),({1,2,3,4,5,6,7,8,9,10,11,12,13,14,15,16,17,18,19,20,21,22,23,24,25,26,27,28,29,30}-1)*LEN(Registro!$G74)+1,LEN(Registro!$G74)))&amp;"x")+1,20))),"Revisar formato")))</f>
        <v/>
      </c>
      <c r="J74" s="9" t="str">
        <f>IF(AND(Registro!$E74="",Registro!$G74=""),"",IF(NOT(AND(ISNUMBER(I74),ISNUMBER(Registro!$H74))),"",IF(I74&lt;Registro!$H74,"FALTA BOLETOS",IF(I74=Registro!$H74,"CONFORME","DIFERENCIA"))))</f>
        <v/>
      </c>
      <c r="K74" s="11" t="str">
        <f>IF(Registro!$I74="","",IFERROR(SUMPRODUCT(--("0"&amp;TRIM(RIGHT(SUBSTITUTE(TRIM(MID(SUBSTITUTE(SUBSTITUTE(Registro!$I74,";",CHAR(10)),CHAR(10),REPT(" ",LEN(Registro!$I74))),({1,2,3,4,5,6,7,8,9,10,11,12,13,14,15,16,17,18,19,20,21,22,23,24,25,26,27,28,29,30}-1)*LEN(Registro!$I74)+1,LEN(Registro!$I74)))," ",REPT(" ",50)),50)))),"Revisar formato"))</f>
        <v/>
      </c>
      <c r="L74" s="11" t="str">
        <f>IF(Registro!$J74="","",IFERROR(SUMPRODUCT(--("0"&amp;TRIM(RIGHT(SUBSTITUTE(TRIM(MID(SUBSTITUTE(SUBSTITUTE(Registro!$J74,";",CHAR(10)),CHAR(10),REPT(" ",LEN(Registro!$J74))),({1,2,3,4,5,6,7,8,9,10,11,12,13,14,15,16,17,18,19,20,21,22,23,24,25,26,27,28,29,30}-1)*LEN(Registro!$J74)+1,LEN(Registro!$J74)))," ",REPT(" ",50)),50)))),"Revisar formato"))</f>
        <v/>
      </c>
      <c r="M74" s="11" t="str">
        <f>IF(AND(Registro!$H74="",Registro!$I74=""),"",IF(AND(ISTEXT(K74),K74&lt;&gt;""),"Revisar formato",N(Registro!$H74)-N(K74)))</f>
        <v/>
      </c>
      <c r="N74" s="11" t="str">
        <f t="shared" si="5"/>
        <v/>
      </c>
      <c r="O74" s="15" t="str">
        <f>IF(AND(A74=Consulta!$B$3,C74=Consulta!$H$3),B74*10000+ROW(),"")</f>
        <v/>
      </c>
    </row>
    <row r="75" spans="1:15" x14ac:dyDescent="0.25">
      <c r="A75" s="9" t="str">
        <f>IF(Registro!$A75="","",Registro!$A75)</f>
        <v/>
      </c>
      <c r="B75" s="8" t="str">
        <f>IF(Registro!$B75="","",Registro!$B75)</f>
        <v/>
      </c>
      <c r="C75" s="14" t="str">
        <f t="shared" si="3"/>
        <v/>
      </c>
      <c r="D75" s="10" t="str">
        <f>IF(Registro!$E75="","",IF(ISERROR(FIND("x",LOWER(Registro!$E75))),"-",IFERROR(SUMPRODUCT(--("0"&amp;LEFT(TRIM(MID(SUBSTITUTE(SUBSTITUTE(SUBSTITUTE(SUBSTITUTE(SUBSTITUTE(LOWER(Registro!$E75),"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",LEN(Registro!$E75))),({1,2,3,4,5,6,7,8,9,10,11,12,13,14,15,16,17,18,19,20,21,22,23,24,25,26,27,28,29,30}-1)*LEN(Registro!$E75)+1,LEN(Registro!$E75)))&amp;"x")-1))),"Revisar formato")))</f>
        <v/>
      </c>
      <c r="E75" s="11" t="str">
        <f>IF(Registro!$E75="","",IF(ISERROR(FIND("x",LOWER(Registro!$E75))),"-",IFERROR(SUMPRODUCT(--("0"&amp;LEFT(TRIM(MID(SUBSTITUTE(SUBSTITUTE(SUBSTITUTE(SUBSTITUTE(SUBSTITUTE(LOWER(Registro!$E75),"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",LEN(Registro!$E75))),({1,2,3,4,5,6,7,8,9,10,11,12,13,14,15,16,17,18,19,20,21,22,23,24,25,26,27,28,29,30}-1)*LEN(Registro!$E75)+1,LEN(Registro!$E75)))&amp;"x")-1)),--("0"&amp;MID(TRIM(MID(SUBSTITUTE(SUBSTITUTE(SUBSTITUTE(SUBSTITUTE(SUBSTITUTE(LOWER(Registro!$E75),"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",LEN(Registro!$E75))),({1,2,3,4,5,6,7,8,9,10,11,12,13,14,15,16,17,18,19,20,21,22,23,24,25,26,27,28,29,30}-1)*LEN(Registro!$E75)+1,LEN(Registro!$E75)))&amp;"x")+1,20))),"Revisar formato")))</f>
        <v/>
      </c>
      <c r="F75" s="11" t="str">
        <f>IF(Registro!$F75="","",N(Registro!$F75))</f>
        <v/>
      </c>
      <c r="G75" s="11" t="str">
        <f t="shared" si="4"/>
        <v/>
      </c>
      <c r="H75" s="10" t="str">
        <f>IF(Registro!$G75="","",IF(ISERROR(FIND("x",LOWER(Registro!$G75))),"-",IFERROR(SUMPRODUCT(--("0"&amp;LEFT(TRIM(MID(SUBSTITUTE(SUBSTITUTE(SUBSTITUTE(SUBSTITUTE(SUBSTITUTE(LOWER(Registro!$G75),"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",LEN(Registro!$G75))),({1,2,3,4,5,6,7,8,9,10,11,12,13,14,15,16,17,18,19,20,21,22,23,24,25,26,27,28,29,30}-1)*LEN(Registro!$G75)+1,LEN(Registro!$G75))),FIND("x",TRIM(MID(SUBSTITUTE(SUBSTITUTE(SUBSTITUTE(SUBSTITUTE(SUBSTITUTE(LOWER(Registro!$G75),"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",LEN(Registro!$G75))),({1,2,3,4,5,6,7,8,9,10,11,12,13,14,15,16,17,18,19,20,21,22,23,24,25,26,27,28,29,30}-1)*LEN(Registro!$G75)+1,LEN(Registro!$G75)))&amp;"x")-1))),"Revisar formato")))</f>
        <v/>
      </c>
      <c r="I75" s="11" t="str">
        <f>IF(Registro!$G75="","",IF(ISERROR(FIND("x",LOWER(Registro!$G75))),N(Registro!$H75),IFERROR(SUMPRODUCT(--("0"&amp;LEFT(TRIM(MID(SUBSTITUTE(SUBSTITUTE(SUBSTITUTE(SUBSTITUTE(SUBSTITUTE(LOWER(Registro!$G75),"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",LEN(Registro!$G75))),({1,2,3,4,5,6,7,8,9,10,11,12,13,14,15,16,17,18,19,20,21,22,23,24,25,26,27,28,29,30}-1)*LEN(Registro!$G75)+1,LEN(Registro!$G75))),FIND("x",TRIM(MID(SUBSTITUTE(SUBSTITUTE(SUBSTITUTE(SUBSTITUTE(SUBSTITUTE(LOWER(Registro!$G75),"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",LEN(Registro!$G75))),({1,2,3,4,5,6,7,8,9,10,11,12,13,14,15,16,17,18,19,20,21,22,23,24,25,26,27,28,29,30}-1)*LEN(Registro!$G75)+1,LEN(Registro!$G75)))&amp;"x")-1)),--("0"&amp;MID(TRIM(MID(SUBSTITUTE(SUBSTITUTE(SUBSTITUTE(SUBSTITUTE(SUBSTITUTE(LOWER(Registro!$G75),"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",LEN(Registro!$G75))),({1,2,3,4,5,6,7,8,9,10,11,12,13,14,15,16,17,18,19,20,21,22,23,24,25,26,27,28,29,30}-1)*LEN(Registro!$G75)+1,LEN(Registro!$G75))),FIND("x",TRIM(MID(SUBSTITUTE(SUBSTITUTE(SUBSTITUTE(SUBSTITUTE(SUBSTITUTE(LOWER(Registro!$G75),"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",LEN(Registro!$G75))),({1,2,3,4,5,6,7,8,9,10,11,12,13,14,15,16,17,18,19,20,21,22,23,24,25,26,27,28,29,30}-1)*LEN(Registro!$G75)+1,LEN(Registro!$G75)))&amp;"x")+1,20))),"Revisar formato")))</f>
        <v/>
      </c>
      <c r="J75" s="9" t="str">
        <f>IF(AND(Registro!$E75="",Registro!$G75=""),"",IF(NOT(AND(ISNUMBER(I75),ISNUMBER(Registro!$H75))),"",IF(I75&lt;Registro!$H75,"FALTA BOLETOS",IF(I75=Registro!$H75,"CONFORME","DIFERENCIA"))))</f>
        <v/>
      </c>
      <c r="K75" s="11" t="str">
        <f>IF(Registro!$I75="","",IFERROR(SUMPRODUCT(--("0"&amp;TRIM(RIGHT(SUBSTITUTE(TRIM(MID(SUBSTITUTE(SUBSTITUTE(Registro!$I75,";",CHAR(10)),CHAR(10),REPT(" ",LEN(Registro!$I75))),({1,2,3,4,5,6,7,8,9,10,11,12,13,14,15,16,17,18,19,20,21,22,23,24,25,26,27,28,29,30}-1)*LEN(Registro!$I75)+1,LEN(Registro!$I75)))," ",REPT(" ",50)),50)))),"Revisar formato"))</f>
        <v/>
      </c>
      <c r="L75" s="11" t="str">
        <f>IF(Registro!$J75="","",IFERROR(SUMPRODUCT(--("0"&amp;TRIM(RIGHT(SUBSTITUTE(TRIM(MID(SUBSTITUTE(SUBSTITUTE(Registro!$J75,";",CHAR(10)),CHAR(10),REPT(" ",LEN(Registro!$J75))),({1,2,3,4,5,6,7,8,9,10,11,12,13,14,15,16,17,18,19,20,21,22,23,24,25,26,27,28,29,30}-1)*LEN(Registro!$J75)+1,LEN(Registro!$J75)))," ",REPT(" ",50)),50)))),"Revisar formato"))</f>
        <v/>
      </c>
      <c r="M75" s="11" t="str">
        <f>IF(AND(Registro!$H75="",Registro!$I75=""),"",IF(AND(ISTEXT(K75),K75&lt;&gt;""),"Revisar formato",N(Registro!$H75)-N(K75)))</f>
        <v/>
      </c>
      <c r="N75" s="11" t="str">
        <f t="shared" si="5"/>
        <v/>
      </c>
      <c r="O75" s="15" t="str">
        <f>IF(AND(A75=Consulta!$B$3,C75=Consulta!$H$3),B75*10000+ROW(),"")</f>
        <v/>
      </c>
    </row>
    <row r="76" spans="1:15" x14ac:dyDescent="0.25">
      <c r="A76" s="9" t="str">
        <f>IF(Registro!$A76="","",Registro!$A76)</f>
        <v/>
      </c>
      <c r="B76" s="8" t="str">
        <f>IF(Registro!$B76="","",Registro!$B76)</f>
        <v/>
      </c>
      <c r="C76" s="14" t="str">
        <f t="shared" si="3"/>
        <v/>
      </c>
      <c r="D76" s="10" t="str">
        <f>IF(Registro!$E76="","",IF(ISERROR(FIND("x",LOWER(Registro!$E76))),"-",IFERROR(SUMPRODUCT(--("0"&amp;LEFT(TRIM(MID(SUBSTITUTE(SUBSTITUTE(SUBSTITUTE(SUBSTITUTE(SUBSTITUTE(LOWER(Registro!$E76),"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",LEN(Registro!$E76))),({1,2,3,4,5,6,7,8,9,10,11,12,13,14,15,16,17,18,19,20,21,22,23,24,25,26,27,28,29,30}-1)*LEN(Registro!$E76)+1,LEN(Registro!$E76)))&amp;"x")-1))),"Revisar formato")))</f>
        <v/>
      </c>
      <c r="E76" s="11" t="str">
        <f>IF(Registro!$E76="","",IF(ISERROR(FIND("x",LOWER(Registro!$E76))),"-",IFERROR(SUMPRODUCT(--("0"&amp;LEFT(TRIM(MID(SUBSTITUTE(SUBSTITUTE(SUBSTITUTE(SUBSTITUTE(SUBSTITUTE(LOWER(Registro!$E76),"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",LEN(Registro!$E76))),({1,2,3,4,5,6,7,8,9,10,11,12,13,14,15,16,17,18,19,20,21,22,23,24,25,26,27,28,29,30}-1)*LEN(Registro!$E76)+1,LEN(Registro!$E76)))&amp;"x")-1)),--("0"&amp;MID(TRIM(MID(SUBSTITUTE(SUBSTITUTE(SUBSTITUTE(SUBSTITUTE(SUBSTITUTE(LOWER(Registro!$E76),"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",LEN(Registro!$E76))),({1,2,3,4,5,6,7,8,9,10,11,12,13,14,15,16,17,18,19,20,21,22,23,24,25,26,27,28,29,30}-1)*LEN(Registro!$E76)+1,LEN(Registro!$E76)))&amp;"x")+1,20))),"Revisar formato")))</f>
        <v/>
      </c>
      <c r="F76" s="11" t="str">
        <f>IF(Registro!$F76="","",N(Registro!$F76))</f>
        <v/>
      </c>
      <c r="G76" s="11" t="str">
        <f t="shared" si="4"/>
        <v/>
      </c>
      <c r="H76" s="10" t="str">
        <f>IF(Registro!$G76="","",IF(ISERROR(FIND("x",LOWER(Registro!$G76))),"-",IFERROR(SUMPRODUCT(--("0"&amp;LEFT(TRIM(MID(SUBSTITUTE(SUBSTITUTE(SUBSTITUTE(SUBSTITUTE(SUBSTITUTE(LOWER(Registro!$G76),"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",LEN(Registro!$G76))),({1,2,3,4,5,6,7,8,9,10,11,12,13,14,15,16,17,18,19,20,21,22,23,24,25,26,27,28,29,30}-1)*LEN(Registro!$G76)+1,LEN(Registro!$G76))),FIND("x",TRIM(MID(SUBSTITUTE(SUBSTITUTE(SUBSTITUTE(SUBSTITUTE(SUBSTITUTE(LOWER(Registro!$G76),"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",LEN(Registro!$G76))),({1,2,3,4,5,6,7,8,9,10,11,12,13,14,15,16,17,18,19,20,21,22,23,24,25,26,27,28,29,30}-1)*LEN(Registro!$G76)+1,LEN(Registro!$G76)))&amp;"x")-1))),"Revisar formato")))</f>
        <v/>
      </c>
      <c r="I76" s="11" t="str">
        <f>IF(Registro!$G76="","",IF(ISERROR(FIND("x",LOWER(Registro!$G76))),N(Registro!$H76),IFERROR(SUMPRODUCT(--("0"&amp;LEFT(TRIM(MID(SUBSTITUTE(SUBSTITUTE(SUBSTITUTE(SUBSTITUTE(SUBSTITUTE(LOWER(Registro!$G76),"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",LEN(Registro!$G76))),({1,2,3,4,5,6,7,8,9,10,11,12,13,14,15,16,17,18,19,20,21,22,23,24,25,26,27,28,29,30}-1)*LEN(Registro!$G76)+1,LEN(Registro!$G76))),FIND("x",TRIM(MID(SUBSTITUTE(SUBSTITUTE(SUBSTITUTE(SUBSTITUTE(SUBSTITUTE(LOWER(Registro!$G76),"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",LEN(Registro!$G76))),({1,2,3,4,5,6,7,8,9,10,11,12,13,14,15,16,17,18,19,20,21,22,23,24,25,26,27,28,29,30}-1)*LEN(Registro!$G76)+1,LEN(Registro!$G76)))&amp;"x")-1)),--("0"&amp;MID(TRIM(MID(SUBSTITUTE(SUBSTITUTE(SUBSTITUTE(SUBSTITUTE(SUBSTITUTE(LOWER(Registro!$G76),"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",LEN(Registro!$G76))),({1,2,3,4,5,6,7,8,9,10,11,12,13,14,15,16,17,18,19,20,21,22,23,24,25,26,27,28,29,30}-1)*LEN(Registro!$G76)+1,LEN(Registro!$G76))),FIND("x",TRIM(MID(SUBSTITUTE(SUBSTITUTE(SUBSTITUTE(SUBSTITUTE(SUBSTITUTE(LOWER(Registro!$G76),"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",LEN(Registro!$G76))),({1,2,3,4,5,6,7,8,9,10,11,12,13,14,15,16,17,18,19,20,21,22,23,24,25,26,27,28,29,30}-1)*LEN(Registro!$G76)+1,LEN(Registro!$G76)))&amp;"x")+1,20))),"Revisar formato")))</f>
        <v/>
      </c>
      <c r="J76" s="9" t="str">
        <f>IF(AND(Registro!$E76="",Registro!$G76=""),"",IF(NOT(AND(ISNUMBER(I76),ISNUMBER(Registro!$H76))),"",IF(I76&lt;Registro!$H76,"FALTA BOLETOS",IF(I76=Registro!$H76,"CONFORME","DIFERENCIA"))))</f>
        <v/>
      </c>
      <c r="K76" s="11" t="str">
        <f>IF(Registro!$I76="","",IFERROR(SUMPRODUCT(--("0"&amp;TRIM(RIGHT(SUBSTITUTE(TRIM(MID(SUBSTITUTE(SUBSTITUTE(Registro!$I76,";",CHAR(10)),CHAR(10),REPT(" ",LEN(Registro!$I76))),({1,2,3,4,5,6,7,8,9,10,11,12,13,14,15,16,17,18,19,20,21,22,23,24,25,26,27,28,29,30}-1)*LEN(Registro!$I76)+1,LEN(Registro!$I76)))," ",REPT(" ",50)),50)))),"Revisar formato"))</f>
        <v/>
      </c>
      <c r="L76" s="11" t="str">
        <f>IF(Registro!$J76="","",IFERROR(SUMPRODUCT(--("0"&amp;TRIM(RIGHT(SUBSTITUTE(TRIM(MID(SUBSTITUTE(SUBSTITUTE(Registro!$J76,";",CHAR(10)),CHAR(10),REPT(" ",LEN(Registro!$J76))),({1,2,3,4,5,6,7,8,9,10,11,12,13,14,15,16,17,18,19,20,21,22,23,24,25,26,27,28,29,30}-1)*LEN(Registro!$J76)+1,LEN(Registro!$J76)))," ",REPT(" ",50)),50)))),"Revisar formato"))</f>
        <v/>
      </c>
      <c r="M76" s="11" t="str">
        <f>IF(AND(Registro!$H76="",Registro!$I76=""),"",IF(AND(ISTEXT(K76),K76&lt;&gt;""),"Revisar formato",N(Registro!$H76)-N(K76)))</f>
        <v/>
      </c>
      <c r="N76" s="11" t="str">
        <f t="shared" si="5"/>
        <v/>
      </c>
      <c r="O76" s="15" t="str">
        <f>IF(AND(A76=Consulta!$B$3,C76=Consulta!$H$3),B76*10000+ROW(),"")</f>
        <v/>
      </c>
    </row>
    <row r="77" spans="1:15" x14ac:dyDescent="0.25">
      <c r="A77" s="9" t="str">
        <f>IF(Registro!$A77="","",Registro!$A77)</f>
        <v/>
      </c>
      <c r="B77" s="8" t="str">
        <f>IF(Registro!$B77="","",Registro!$B77)</f>
        <v/>
      </c>
      <c r="C77" s="14" t="str">
        <f t="shared" si="3"/>
        <v/>
      </c>
      <c r="D77" s="10" t="str">
        <f>IF(Registro!$E77="","",IF(ISERROR(FIND("x",LOWER(Registro!$E77))),"-",IFERROR(SUMPRODUCT(--("0"&amp;LEFT(TRIM(MID(SUBSTITUTE(SUBSTITUTE(SUBSTITUTE(SUBSTITUTE(SUBSTITUTE(LOWER(Registro!$E77),"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",LEN(Registro!$E77))),({1,2,3,4,5,6,7,8,9,10,11,12,13,14,15,16,17,18,19,20,21,22,23,24,25,26,27,28,29,30}-1)*LEN(Registro!$E77)+1,LEN(Registro!$E77)))&amp;"x")-1))),"Revisar formato")))</f>
        <v/>
      </c>
      <c r="E77" s="11" t="str">
        <f>IF(Registro!$E77="","",IF(ISERROR(FIND("x",LOWER(Registro!$E77))),"-",IFERROR(SUMPRODUCT(--("0"&amp;LEFT(TRIM(MID(SUBSTITUTE(SUBSTITUTE(SUBSTITUTE(SUBSTITUTE(SUBSTITUTE(LOWER(Registro!$E77),"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",LEN(Registro!$E77))),({1,2,3,4,5,6,7,8,9,10,11,12,13,14,15,16,17,18,19,20,21,22,23,24,25,26,27,28,29,30}-1)*LEN(Registro!$E77)+1,LEN(Registro!$E77)))&amp;"x")-1)),--("0"&amp;MID(TRIM(MID(SUBSTITUTE(SUBSTITUTE(SUBSTITUTE(SUBSTITUTE(SUBSTITUTE(LOWER(Registro!$E77),"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",LEN(Registro!$E77))),({1,2,3,4,5,6,7,8,9,10,11,12,13,14,15,16,17,18,19,20,21,22,23,24,25,26,27,28,29,30}-1)*LEN(Registro!$E77)+1,LEN(Registro!$E77)))&amp;"x")+1,20))),"Revisar formato")))</f>
        <v/>
      </c>
      <c r="F77" s="11" t="str">
        <f>IF(Registro!$F77="","",N(Registro!$F77))</f>
        <v/>
      </c>
      <c r="G77" s="11" t="str">
        <f t="shared" si="4"/>
        <v/>
      </c>
      <c r="H77" s="10" t="str">
        <f>IF(Registro!$G77="","",IF(ISERROR(FIND("x",LOWER(Registro!$G77))),"-",IFERROR(SUMPRODUCT(--("0"&amp;LEFT(TRIM(MID(SUBSTITUTE(SUBSTITUTE(SUBSTITUTE(SUBSTITUTE(SUBSTITUTE(LOWER(Registro!$G77),"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",LEN(Registro!$G77))),({1,2,3,4,5,6,7,8,9,10,11,12,13,14,15,16,17,18,19,20,21,22,23,24,25,26,27,28,29,30}-1)*LEN(Registro!$G77)+1,LEN(Registro!$G77))),FIND("x",TRIM(MID(SUBSTITUTE(SUBSTITUTE(SUBSTITUTE(SUBSTITUTE(SUBSTITUTE(LOWER(Registro!$G77),"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",LEN(Registro!$G77))),({1,2,3,4,5,6,7,8,9,10,11,12,13,14,15,16,17,18,19,20,21,22,23,24,25,26,27,28,29,30}-1)*LEN(Registro!$G77)+1,LEN(Registro!$G77)))&amp;"x")-1))),"Revisar formato")))</f>
        <v/>
      </c>
      <c r="I77" s="11" t="str">
        <f>IF(Registro!$G77="","",IF(ISERROR(FIND("x",LOWER(Registro!$G77))),N(Registro!$H77),IFERROR(SUMPRODUCT(--("0"&amp;LEFT(TRIM(MID(SUBSTITUTE(SUBSTITUTE(SUBSTITUTE(SUBSTITUTE(SUBSTITUTE(LOWER(Registro!$G77),"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",LEN(Registro!$G77))),({1,2,3,4,5,6,7,8,9,10,11,12,13,14,15,16,17,18,19,20,21,22,23,24,25,26,27,28,29,30}-1)*LEN(Registro!$G77)+1,LEN(Registro!$G77))),FIND("x",TRIM(MID(SUBSTITUTE(SUBSTITUTE(SUBSTITUTE(SUBSTITUTE(SUBSTITUTE(LOWER(Registro!$G77),"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",LEN(Registro!$G77))),({1,2,3,4,5,6,7,8,9,10,11,12,13,14,15,16,17,18,19,20,21,22,23,24,25,26,27,28,29,30}-1)*LEN(Registro!$G77)+1,LEN(Registro!$G77)))&amp;"x")-1)),--("0"&amp;MID(TRIM(MID(SUBSTITUTE(SUBSTITUTE(SUBSTITUTE(SUBSTITUTE(SUBSTITUTE(LOWER(Registro!$G77),"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",LEN(Registro!$G77))),({1,2,3,4,5,6,7,8,9,10,11,12,13,14,15,16,17,18,19,20,21,22,23,24,25,26,27,28,29,30}-1)*LEN(Registro!$G77)+1,LEN(Registro!$G77))),FIND("x",TRIM(MID(SUBSTITUTE(SUBSTITUTE(SUBSTITUTE(SUBSTITUTE(SUBSTITUTE(LOWER(Registro!$G77),"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",LEN(Registro!$G77))),({1,2,3,4,5,6,7,8,9,10,11,12,13,14,15,16,17,18,19,20,21,22,23,24,25,26,27,28,29,30}-1)*LEN(Registro!$G77)+1,LEN(Registro!$G77)))&amp;"x")+1,20))),"Revisar formato")))</f>
        <v/>
      </c>
      <c r="J77" s="9" t="str">
        <f>IF(AND(Registro!$E77="",Registro!$G77=""),"",IF(NOT(AND(ISNUMBER(I77),ISNUMBER(Registro!$H77))),"",IF(I77&lt;Registro!$H77,"FALTA BOLETOS",IF(I77=Registro!$H77,"CONFORME","DIFERENCIA"))))</f>
        <v/>
      </c>
      <c r="K77" s="11" t="str">
        <f>IF(Registro!$I77="","",IFERROR(SUMPRODUCT(--("0"&amp;TRIM(RIGHT(SUBSTITUTE(TRIM(MID(SUBSTITUTE(SUBSTITUTE(Registro!$I77,";",CHAR(10)),CHAR(10),REPT(" ",LEN(Registro!$I77))),({1,2,3,4,5,6,7,8,9,10,11,12,13,14,15,16,17,18,19,20,21,22,23,24,25,26,27,28,29,30}-1)*LEN(Registro!$I77)+1,LEN(Registro!$I77)))," ",REPT(" ",50)),50)))),"Revisar formato"))</f>
        <v/>
      </c>
      <c r="L77" s="11" t="str">
        <f>IF(Registro!$J77="","",IFERROR(SUMPRODUCT(--("0"&amp;TRIM(RIGHT(SUBSTITUTE(TRIM(MID(SUBSTITUTE(SUBSTITUTE(Registro!$J77,";",CHAR(10)),CHAR(10),REPT(" ",LEN(Registro!$J77))),({1,2,3,4,5,6,7,8,9,10,11,12,13,14,15,16,17,18,19,20,21,22,23,24,25,26,27,28,29,30}-1)*LEN(Registro!$J77)+1,LEN(Registro!$J77)))," ",REPT(" ",50)),50)))),"Revisar formato"))</f>
        <v/>
      </c>
      <c r="M77" s="11" t="str">
        <f>IF(AND(Registro!$H77="",Registro!$I77=""),"",IF(AND(ISTEXT(K77),K77&lt;&gt;""),"Revisar formato",N(Registro!$H77)-N(K77)))</f>
        <v/>
      </c>
      <c r="N77" s="11" t="str">
        <f t="shared" si="5"/>
        <v/>
      </c>
      <c r="O77" s="15" t="str">
        <f>IF(AND(A77=Consulta!$B$3,C77=Consulta!$H$3),B77*10000+ROW(),"")</f>
        <v/>
      </c>
    </row>
    <row r="78" spans="1:15" x14ac:dyDescent="0.25">
      <c r="A78" s="9" t="str">
        <f>IF(Registro!$A78="","",Registro!$A78)</f>
        <v/>
      </c>
      <c r="B78" s="8" t="str">
        <f>IF(Registro!$B78="","",Registro!$B78)</f>
        <v/>
      </c>
      <c r="C78" s="14" t="str">
        <f t="shared" si="3"/>
        <v/>
      </c>
      <c r="D78" s="10" t="str">
        <f>IF(Registro!$E78="","",IF(ISERROR(FIND("x",LOWER(Registro!$E78))),"-",IFERROR(SUMPRODUCT(--("0"&amp;LEFT(TRIM(MID(SUBSTITUTE(SUBSTITUTE(SUBSTITUTE(SUBSTITUTE(SUBSTITUTE(LOWER(Registro!$E78),"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",LEN(Registro!$E78))),({1,2,3,4,5,6,7,8,9,10,11,12,13,14,15,16,17,18,19,20,21,22,23,24,25,26,27,28,29,30}-1)*LEN(Registro!$E78)+1,LEN(Registro!$E78)))&amp;"x")-1))),"Revisar formato")))</f>
        <v/>
      </c>
      <c r="E78" s="11" t="str">
        <f>IF(Registro!$E78="","",IF(ISERROR(FIND("x",LOWER(Registro!$E78))),"-",IFERROR(SUMPRODUCT(--("0"&amp;LEFT(TRIM(MID(SUBSTITUTE(SUBSTITUTE(SUBSTITUTE(SUBSTITUTE(SUBSTITUTE(LOWER(Registro!$E78),"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",LEN(Registro!$E78))),({1,2,3,4,5,6,7,8,9,10,11,12,13,14,15,16,17,18,19,20,21,22,23,24,25,26,27,28,29,30}-1)*LEN(Registro!$E78)+1,LEN(Registro!$E78)))&amp;"x")-1)),--("0"&amp;MID(TRIM(MID(SUBSTITUTE(SUBSTITUTE(SUBSTITUTE(SUBSTITUTE(SUBSTITUTE(LOWER(Registro!$E78),"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",LEN(Registro!$E78))),({1,2,3,4,5,6,7,8,9,10,11,12,13,14,15,16,17,18,19,20,21,22,23,24,25,26,27,28,29,30}-1)*LEN(Registro!$E78)+1,LEN(Registro!$E78)))&amp;"x")+1,20))),"Revisar formato")))</f>
        <v/>
      </c>
      <c r="F78" s="11" t="str">
        <f>IF(Registro!$F78="","",N(Registro!$F78))</f>
        <v/>
      </c>
      <c r="G78" s="11" t="str">
        <f t="shared" si="4"/>
        <v/>
      </c>
      <c r="H78" s="10" t="str">
        <f>IF(Registro!$G78="","",IF(ISERROR(FIND("x",LOWER(Registro!$G78))),"-",IFERROR(SUMPRODUCT(--("0"&amp;LEFT(TRIM(MID(SUBSTITUTE(SUBSTITUTE(SUBSTITUTE(SUBSTITUTE(SUBSTITUTE(LOWER(Registro!$G78),"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",LEN(Registro!$G78))),({1,2,3,4,5,6,7,8,9,10,11,12,13,14,15,16,17,18,19,20,21,22,23,24,25,26,27,28,29,30}-1)*LEN(Registro!$G78)+1,LEN(Registro!$G78))),FIND("x",TRIM(MID(SUBSTITUTE(SUBSTITUTE(SUBSTITUTE(SUBSTITUTE(SUBSTITUTE(LOWER(Registro!$G78),"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",LEN(Registro!$G78))),({1,2,3,4,5,6,7,8,9,10,11,12,13,14,15,16,17,18,19,20,21,22,23,24,25,26,27,28,29,30}-1)*LEN(Registro!$G78)+1,LEN(Registro!$G78)))&amp;"x")-1))),"Revisar formato")))</f>
        <v/>
      </c>
      <c r="I78" s="11" t="str">
        <f>IF(Registro!$G78="","",IF(ISERROR(FIND("x",LOWER(Registro!$G78))),N(Registro!$H78),IFERROR(SUMPRODUCT(--("0"&amp;LEFT(TRIM(MID(SUBSTITUTE(SUBSTITUTE(SUBSTITUTE(SUBSTITUTE(SUBSTITUTE(LOWER(Registro!$G78),"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",LEN(Registro!$G78))),({1,2,3,4,5,6,7,8,9,10,11,12,13,14,15,16,17,18,19,20,21,22,23,24,25,26,27,28,29,30}-1)*LEN(Registro!$G78)+1,LEN(Registro!$G78))),FIND("x",TRIM(MID(SUBSTITUTE(SUBSTITUTE(SUBSTITUTE(SUBSTITUTE(SUBSTITUTE(LOWER(Registro!$G78),"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",LEN(Registro!$G78))),({1,2,3,4,5,6,7,8,9,10,11,12,13,14,15,16,17,18,19,20,21,22,23,24,25,26,27,28,29,30}-1)*LEN(Registro!$G78)+1,LEN(Registro!$G78)))&amp;"x")-1)),--("0"&amp;MID(TRIM(MID(SUBSTITUTE(SUBSTITUTE(SUBSTITUTE(SUBSTITUTE(SUBSTITUTE(LOWER(Registro!$G78),"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",LEN(Registro!$G78))),({1,2,3,4,5,6,7,8,9,10,11,12,13,14,15,16,17,18,19,20,21,22,23,24,25,26,27,28,29,30}-1)*LEN(Registro!$G78)+1,LEN(Registro!$G78))),FIND("x",TRIM(MID(SUBSTITUTE(SUBSTITUTE(SUBSTITUTE(SUBSTITUTE(SUBSTITUTE(LOWER(Registro!$G78),"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",LEN(Registro!$G78))),({1,2,3,4,5,6,7,8,9,10,11,12,13,14,15,16,17,18,19,20,21,22,23,24,25,26,27,28,29,30}-1)*LEN(Registro!$G78)+1,LEN(Registro!$G78)))&amp;"x")+1,20))),"Revisar formato")))</f>
        <v/>
      </c>
      <c r="J78" s="9" t="str">
        <f>IF(AND(Registro!$E78="",Registro!$G78=""),"",IF(NOT(AND(ISNUMBER(I78),ISNUMBER(Registro!$H78))),"",IF(I78&lt;Registro!$H78,"FALTA BOLETOS",IF(I78=Registro!$H78,"CONFORME","DIFERENCIA"))))</f>
        <v/>
      </c>
      <c r="K78" s="11" t="str">
        <f>IF(Registro!$I78="","",IFERROR(SUMPRODUCT(--("0"&amp;TRIM(RIGHT(SUBSTITUTE(TRIM(MID(SUBSTITUTE(SUBSTITUTE(Registro!$I78,";",CHAR(10)),CHAR(10),REPT(" ",LEN(Registro!$I78))),({1,2,3,4,5,6,7,8,9,10,11,12,13,14,15,16,17,18,19,20,21,22,23,24,25,26,27,28,29,30}-1)*LEN(Registro!$I78)+1,LEN(Registro!$I78)))," ",REPT(" ",50)),50)))),"Revisar formato"))</f>
        <v/>
      </c>
      <c r="L78" s="11" t="str">
        <f>IF(Registro!$J78="","",IFERROR(SUMPRODUCT(--("0"&amp;TRIM(RIGHT(SUBSTITUTE(TRIM(MID(SUBSTITUTE(SUBSTITUTE(Registro!$J78,";",CHAR(10)),CHAR(10),REPT(" ",LEN(Registro!$J78))),({1,2,3,4,5,6,7,8,9,10,11,12,13,14,15,16,17,18,19,20,21,22,23,24,25,26,27,28,29,30}-1)*LEN(Registro!$J78)+1,LEN(Registro!$J78)))," ",REPT(" ",50)),50)))),"Revisar formato"))</f>
        <v/>
      </c>
      <c r="M78" s="11" t="str">
        <f>IF(AND(Registro!$H78="",Registro!$I78=""),"",IF(AND(ISTEXT(K78),K78&lt;&gt;""),"Revisar formato",N(Registro!$H78)-N(K78)))</f>
        <v/>
      </c>
      <c r="N78" s="11" t="str">
        <f t="shared" si="5"/>
        <v/>
      </c>
      <c r="O78" s="15" t="str">
        <f>IF(AND(A78=Consulta!$B$3,C78=Consulta!$H$3),B78*10000+ROW(),"")</f>
        <v/>
      </c>
    </row>
    <row r="79" spans="1:15" x14ac:dyDescent="0.25">
      <c r="A79" s="9" t="str">
        <f>IF(Registro!$A79="","",Registro!$A79)</f>
        <v/>
      </c>
      <c r="B79" s="8" t="str">
        <f>IF(Registro!$B79="","",Registro!$B79)</f>
        <v/>
      </c>
      <c r="C79" s="14" t="str">
        <f t="shared" si="3"/>
        <v/>
      </c>
      <c r="D79" s="10" t="str">
        <f>IF(Registro!$E79="","",IF(ISERROR(FIND("x",LOWER(Registro!$E79))),"-",IFERROR(SUMPRODUCT(--("0"&amp;LEFT(TRIM(MID(SUBSTITUTE(SUBSTITUTE(SUBSTITUTE(SUBSTITUTE(SUBSTITUTE(LOWER(Registro!$E79),"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",LEN(Registro!$E79))),({1,2,3,4,5,6,7,8,9,10,11,12,13,14,15,16,17,18,19,20,21,22,23,24,25,26,27,28,29,30}-1)*LEN(Registro!$E79)+1,LEN(Registro!$E79)))&amp;"x")-1))),"Revisar formato")))</f>
        <v/>
      </c>
      <c r="E79" s="11" t="str">
        <f>IF(Registro!$E79="","",IF(ISERROR(FIND("x",LOWER(Registro!$E79))),"-",IFERROR(SUMPRODUCT(--("0"&amp;LEFT(TRIM(MID(SUBSTITUTE(SUBSTITUTE(SUBSTITUTE(SUBSTITUTE(SUBSTITUTE(LOWER(Registro!$E79),"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",LEN(Registro!$E79))),({1,2,3,4,5,6,7,8,9,10,11,12,13,14,15,16,17,18,19,20,21,22,23,24,25,26,27,28,29,30}-1)*LEN(Registro!$E79)+1,LEN(Registro!$E79)))&amp;"x")-1)),--("0"&amp;MID(TRIM(MID(SUBSTITUTE(SUBSTITUTE(SUBSTITUTE(SUBSTITUTE(SUBSTITUTE(LOWER(Registro!$E79),"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",LEN(Registro!$E79))),({1,2,3,4,5,6,7,8,9,10,11,12,13,14,15,16,17,18,19,20,21,22,23,24,25,26,27,28,29,30}-1)*LEN(Registro!$E79)+1,LEN(Registro!$E79)))&amp;"x")+1,20))),"Revisar formato")))</f>
        <v/>
      </c>
      <c r="F79" s="11" t="str">
        <f>IF(Registro!$F79="","",N(Registro!$F79))</f>
        <v/>
      </c>
      <c r="G79" s="11" t="str">
        <f t="shared" si="4"/>
        <v/>
      </c>
      <c r="H79" s="10" t="str">
        <f>IF(Registro!$G79="","",IF(ISERROR(FIND("x",LOWER(Registro!$G79))),"-",IFERROR(SUMPRODUCT(--("0"&amp;LEFT(TRIM(MID(SUBSTITUTE(SUBSTITUTE(SUBSTITUTE(SUBSTITUTE(SUBSTITUTE(LOWER(Registro!$G79),"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",LEN(Registro!$G79))),({1,2,3,4,5,6,7,8,9,10,11,12,13,14,15,16,17,18,19,20,21,22,23,24,25,26,27,28,29,30}-1)*LEN(Registro!$G79)+1,LEN(Registro!$G79))),FIND("x",TRIM(MID(SUBSTITUTE(SUBSTITUTE(SUBSTITUTE(SUBSTITUTE(SUBSTITUTE(LOWER(Registro!$G79),"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",LEN(Registro!$G79))),({1,2,3,4,5,6,7,8,9,10,11,12,13,14,15,16,17,18,19,20,21,22,23,24,25,26,27,28,29,30}-1)*LEN(Registro!$G79)+1,LEN(Registro!$G79)))&amp;"x")-1))),"Revisar formato")))</f>
        <v/>
      </c>
      <c r="I79" s="11" t="str">
        <f>IF(Registro!$G79="","",IF(ISERROR(FIND("x",LOWER(Registro!$G79))),N(Registro!$H79),IFERROR(SUMPRODUCT(--("0"&amp;LEFT(TRIM(MID(SUBSTITUTE(SUBSTITUTE(SUBSTITUTE(SUBSTITUTE(SUBSTITUTE(LOWER(Registro!$G79),"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",LEN(Registro!$G79))),({1,2,3,4,5,6,7,8,9,10,11,12,13,14,15,16,17,18,19,20,21,22,23,24,25,26,27,28,29,30}-1)*LEN(Registro!$G79)+1,LEN(Registro!$G79))),FIND("x",TRIM(MID(SUBSTITUTE(SUBSTITUTE(SUBSTITUTE(SUBSTITUTE(SUBSTITUTE(LOWER(Registro!$G79),"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",LEN(Registro!$G79))),({1,2,3,4,5,6,7,8,9,10,11,12,13,14,15,16,17,18,19,20,21,22,23,24,25,26,27,28,29,30}-1)*LEN(Registro!$G79)+1,LEN(Registro!$G79)))&amp;"x")-1)),--("0"&amp;MID(TRIM(MID(SUBSTITUTE(SUBSTITUTE(SUBSTITUTE(SUBSTITUTE(SUBSTITUTE(LOWER(Registro!$G79),"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",LEN(Registro!$G79))),({1,2,3,4,5,6,7,8,9,10,11,12,13,14,15,16,17,18,19,20,21,22,23,24,25,26,27,28,29,30}-1)*LEN(Registro!$G79)+1,LEN(Registro!$G79))),FIND("x",TRIM(MID(SUBSTITUTE(SUBSTITUTE(SUBSTITUTE(SUBSTITUTE(SUBSTITUTE(LOWER(Registro!$G79),"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",LEN(Registro!$G79))),({1,2,3,4,5,6,7,8,9,10,11,12,13,14,15,16,17,18,19,20,21,22,23,24,25,26,27,28,29,30}-1)*LEN(Registro!$G79)+1,LEN(Registro!$G79)))&amp;"x")+1,20))),"Revisar formato")))</f>
        <v/>
      </c>
      <c r="J79" s="9" t="str">
        <f>IF(AND(Registro!$E79="",Registro!$G79=""),"",IF(NOT(AND(ISNUMBER(I79),ISNUMBER(Registro!$H79))),"",IF(I79&lt;Registro!$H79,"FALTA BOLETOS",IF(I79=Registro!$H79,"CONFORME","DIFERENCIA"))))</f>
        <v/>
      </c>
      <c r="K79" s="11" t="str">
        <f>IF(Registro!$I79="","",IFERROR(SUMPRODUCT(--("0"&amp;TRIM(RIGHT(SUBSTITUTE(TRIM(MID(SUBSTITUTE(SUBSTITUTE(Registro!$I79,";",CHAR(10)),CHAR(10),REPT(" ",LEN(Registro!$I79))),({1,2,3,4,5,6,7,8,9,10,11,12,13,14,15,16,17,18,19,20,21,22,23,24,25,26,27,28,29,30}-1)*LEN(Registro!$I79)+1,LEN(Registro!$I79)))," ",REPT(" ",50)),50)))),"Revisar formato"))</f>
        <v/>
      </c>
      <c r="L79" s="11" t="str">
        <f>IF(Registro!$J79="","",IFERROR(SUMPRODUCT(--("0"&amp;TRIM(RIGHT(SUBSTITUTE(TRIM(MID(SUBSTITUTE(SUBSTITUTE(Registro!$J79,";",CHAR(10)),CHAR(10),REPT(" ",LEN(Registro!$J79))),({1,2,3,4,5,6,7,8,9,10,11,12,13,14,15,16,17,18,19,20,21,22,23,24,25,26,27,28,29,30}-1)*LEN(Registro!$J79)+1,LEN(Registro!$J79)))," ",REPT(" ",50)),50)))),"Revisar formato"))</f>
        <v/>
      </c>
      <c r="M79" s="11" t="str">
        <f>IF(AND(Registro!$H79="",Registro!$I79=""),"",IF(AND(ISTEXT(K79),K79&lt;&gt;""),"Revisar formato",N(Registro!$H79)-N(K79)))</f>
        <v/>
      </c>
      <c r="N79" s="11" t="str">
        <f t="shared" si="5"/>
        <v/>
      </c>
      <c r="O79" s="15" t="str">
        <f>IF(AND(A79=Consulta!$B$3,C79=Consulta!$H$3),B79*10000+ROW(),"")</f>
        <v/>
      </c>
    </row>
    <row r="80" spans="1:15" x14ac:dyDescent="0.25">
      <c r="A80" s="9" t="str">
        <f>IF(Registro!$A80="","",Registro!$A80)</f>
        <v/>
      </c>
      <c r="B80" s="8" t="str">
        <f>IF(Registro!$B80="","",Registro!$B80)</f>
        <v/>
      </c>
      <c r="C80" s="14" t="str">
        <f t="shared" si="3"/>
        <v/>
      </c>
      <c r="D80" s="10" t="str">
        <f>IF(Registro!$E80="","",IF(ISERROR(FIND("x",LOWER(Registro!$E80))),"-",IFERROR(SUMPRODUCT(--("0"&amp;LEFT(TRIM(MID(SUBSTITUTE(SUBSTITUTE(SUBSTITUTE(SUBSTITUTE(SUBSTITUTE(LOWER(Registro!$E80),"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",LEN(Registro!$E80))),({1,2,3,4,5,6,7,8,9,10,11,12,13,14,15,16,17,18,19,20,21,22,23,24,25,26,27,28,29,30}-1)*LEN(Registro!$E80)+1,LEN(Registro!$E80)))&amp;"x")-1))),"Revisar formato")))</f>
        <v/>
      </c>
      <c r="E80" s="11" t="str">
        <f>IF(Registro!$E80="","",IF(ISERROR(FIND("x",LOWER(Registro!$E80))),"-",IFERROR(SUMPRODUCT(--("0"&amp;LEFT(TRIM(MID(SUBSTITUTE(SUBSTITUTE(SUBSTITUTE(SUBSTITUTE(SUBSTITUTE(LOWER(Registro!$E80),"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",LEN(Registro!$E80))),({1,2,3,4,5,6,7,8,9,10,11,12,13,14,15,16,17,18,19,20,21,22,23,24,25,26,27,28,29,30}-1)*LEN(Registro!$E80)+1,LEN(Registro!$E80)))&amp;"x")-1)),--("0"&amp;MID(TRIM(MID(SUBSTITUTE(SUBSTITUTE(SUBSTITUTE(SUBSTITUTE(SUBSTITUTE(LOWER(Registro!$E80),"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",LEN(Registro!$E80))),({1,2,3,4,5,6,7,8,9,10,11,12,13,14,15,16,17,18,19,20,21,22,23,24,25,26,27,28,29,30}-1)*LEN(Registro!$E80)+1,LEN(Registro!$E80)))&amp;"x")+1,20))),"Revisar formato")))</f>
        <v/>
      </c>
      <c r="F80" s="11" t="str">
        <f>IF(Registro!$F80="","",N(Registro!$F80))</f>
        <v/>
      </c>
      <c r="G80" s="11" t="str">
        <f t="shared" si="4"/>
        <v/>
      </c>
      <c r="H80" s="10" t="str">
        <f>IF(Registro!$G80="","",IF(ISERROR(FIND("x",LOWER(Registro!$G80))),"-",IFERROR(SUMPRODUCT(--("0"&amp;LEFT(TRIM(MID(SUBSTITUTE(SUBSTITUTE(SUBSTITUTE(SUBSTITUTE(SUBSTITUTE(LOWER(Registro!$G80),"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",LEN(Registro!$G80))),({1,2,3,4,5,6,7,8,9,10,11,12,13,14,15,16,17,18,19,20,21,22,23,24,25,26,27,28,29,30}-1)*LEN(Registro!$G80)+1,LEN(Registro!$G80))),FIND("x",TRIM(MID(SUBSTITUTE(SUBSTITUTE(SUBSTITUTE(SUBSTITUTE(SUBSTITUTE(LOWER(Registro!$G80),"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",LEN(Registro!$G80))),({1,2,3,4,5,6,7,8,9,10,11,12,13,14,15,16,17,18,19,20,21,22,23,24,25,26,27,28,29,30}-1)*LEN(Registro!$G80)+1,LEN(Registro!$G80)))&amp;"x")-1))),"Revisar formato")))</f>
        <v/>
      </c>
      <c r="I80" s="11" t="str">
        <f>IF(Registro!$G80="","",IF(ISERROR(FIND("x",LOWER(Registro!$G80))),N(Registro!$H80),IFERROR(SUMPRODUCT(--("0"&amp;LEFT(TRIM(MID(SUBSTITUTE(SUBSTITUTE(SUBSTITUTE(SUBSTITUTE(SUBSTITUTE(LOWER(Registro!$G80),"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",LEN(Registro!$G80))),({1,2,3,4,5,6,7,8,9,10,11,12,13,14,15,16,17,18,19,20,21,22,23,24,25,26,27,28,29,30}-1)*LEN(Registro!$G80)+1,LEN(Registro!$G80))),FIND("x",TRIM(MID(SUBSTITUTE(SUBSTITUTE(SUBSTITUTE(SUBSTITUTE(SUBSTITUTE(LOWER(Registro!$G80),"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",LEN(Registro!$G80))),({1,2,3,4,5,6,7,8,9,10,11,12,13,14,15,16,17,18,19,20,21,22,23,24,25,26,27,28,29,30}-1)*LEN(Registro!$G80)+1,LEN(Registro!$G80)))&amp;"x")-1)),--("0"&amp;MID(TRIM(MID(SUBSTITUTE(SUBSTITUTE(SUBSTITUTE(SUBSTITUTE(SUBSTITUTE(LOWER(Registro!$G80),"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",LEN(Registro!$G80))),({1,2,3,4,5,6,7,8,9,10,11,12,13,14,15,16,17,18,19,20,21,22,23,24,25,26,27,28,29,30}-1)*LEN(Registro!$G80)+1,LEN(Registro!$G80))),FIND("x",TRIM(MID(SUBSTITUTE(SUBSTITUTE(SUBSTITUTE(SUBSTITUTE(SUBSTITUTE(LOWER(Registro!$G80),"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",LEN(Registro!$G80))),({1,2,3,4,5,6,7,8,9,10,11,12,13,14,15,16,17,18,19,20,21,22,23,24,25,26,27,28,29,30}-1)*LEN(Registro!$G80)+1,LEN(Registro!$G80)))&amp;"x")+1,20))),"Revisar formato")))</f>
        <v/>
      </c>
      <c r="J80" s="9" t="str">
        <f>IF(AND(Registro!$E80="",Registro!$G80=""),"",IF(NOT(AND(ISNUMBER(I80),ISNUMBER(Registro!$H80))),"",IF(I80&lt;Registro!$H80,"FALTA BOLETOS",IF(I80=Registro!$H80,"CONFORME","DIFERENCIA"))))</f>
        <v/>
      </c>
      <c r="K80" s="11" t="str">
        <f>IF(Registro!$I80="","",IFERROR(SUMPRODUCT(--("0"&amp;TRIM(RIGHT(SUBSTITUTE(TRIM(MID(SUBSTITUTE(SUBSTITUTE(Registro!$I80,";",CHAR(10)),CHAR(10),REPT(" ",LEN(Registro!$I80))),({1,2,3,4,5,6,7,8,9,10,11,12,13,14,15,16,17,18,19,20,21,22,23,24,25,26,27,28,29,30}-1)*LEN(Registro!$I80)+1,LEN(Registro!$I80)))," ",REPT(" ",50)),50)))),"Revisar formato"))</f>
        <v/>
      </c>
      <c r="L80" s="11" t="str">
        <f>IF(Registro!$J80="","",IFERROR(SUMPRODUCT(--("0"&amp;TRIM(RIGHT(SUBSTITUTE(TRIM(MID(SUBSTITUTE(SUBSTITUTE(Registro!$J80,";",CHAR(10)),CHAR(10),REPT(" ",LEN(Registro!$J80))),({1,2,3,4,5,6,7,8,9,10,11,12,13,14,15,16,17,18,19,20,21,22,23,24,25,26,27,28,29,30}-1)*LEN(Registro!$J80)+1,LEN(Registro!$J80)))," ",REPT(" ",50)),50)))),"Revisar formato"))</f>
        <v/>
      </c>
      <c r="M80" s="11" t="str">
        <f>IF(AND(Registro!$H80="",Registro!$I80=""),"",IF(AND(ISTEXT(K80),K80&lt;&gt;""),"Revisar formato",N(Registro!$H80)-N(K80)))</f>
        <v/>
      </c>
      <c r="N80" s="11" t="str">
        <f t="shared" si="5"/>
        <v/>
      </c>
      <c r="O80" s="15" t="str">
        <f>IF(AND(A80=Consulta!$B$3,C80=Consulta!$H$3),B80*10000+ROW(),"")</f>
        <v/>
      </c>
    </row>
    <row r="81" spans="1:15" x14ac:dyDescent="0.25">
      <c r="A81" s="9" t="str">
        <f>IF(Registro!$A81="","",Registro!$A81)</f>
        <v/>
      </c>
      <c r="B81" s="8" t="str">
        <f>IF(Registro!$B81="","",Registro!$B81)</f>
        <v/>
      </c>
      <c r="C81" s="14" t="str">
        <f t="shared" si="3"/>
        <v/>
      </c>
      <c r="D81" s="10" t="str">
        <f>IF(Registro!$E81="","",IF(ISERROR(FIND("x",LOWER(Registro!$E81))),"-",IFERROR(SUMPRODUCT(--("0"&amp;LEFT(TRIM(MID(SUBSTITUTE(SUBSTITUTE(SUBSTITUTE(SUBSTITUTE(SUBSTITUTE(LOWER(Registro!$E81),"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",LEN(Registro!$E81))),({1,2,3,4,5,6,7,8,9,10,11,12,13,14,15,16,17,18,19,20,21,22,23,24,25,26,27,28,29,30}-1)*LEN(Registro!$E81)+1,LEN(Registro!$E81)))&amp;"x")-1))),"Revisar formato")))</f>
        <v/>
      </c>
      <c r="E81" s="11" t="str">
        <f>IF(Registro!$E81="","",IF(ISERROR(FIND("x",LOWER(Registro!$E81))),"-",IFERROR(SUMPRODUCT(--("0"&amp;LEFT(TRIM(MID(SUBSTITUTE(SUBSTITUTE(SUBSTITUTE(SUBSTITUTE(SUBSTITUTE(LOWER(Registro!$E81),"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",LEN(Registro!$E81))),({1,2,3,4,5,6,7,8,9,10,11,12,13,14,15,16,17,18,19,20,21,22,23,24,25,26,27,28,29,30}-1)*LEN(Registro!$E81)+1,LEN(Registro!$E81)))&amp;"x")-1)),--("0"&amp;MID(TRIM(MID(SUBSTITUTE(SUBSTITUTE(SUBSTITUTE(SUBSTITUTE(SUBSTITUTE(LOWER(Registro!$E81),"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",LEN(Registro!$E81))),({1,2,3,4,5,6,7,8,9,10,11,12,13,14,15,16,17,18,19,20,21,22,23,24,25,26,27,28,29,30}-1)*LEN(Registro!$E81)+1,LEN(Registro!$E81)))&amp;"x")+1,20))),"Revisar formato")))</f>
        <v/>
      </c>
      <c r="F81" s="11" t="str">
        <f>IF(Registro!$F81="","",N(Registro!$F81))</f>
        <v/>
      </c>
      <c r="G81" s="11" t="str">
        <f t="shared" si="4"/>
        <v/>
      </c>
      <c r="H81" s="10" t="str">
        <f>IF(Registro!$G81="","",IF(ISERROR(FIND("x",LOWER(Registro!$G81))),"-",IFERROR(SUMPRODUCT(--("0"&amp;LEFT(TRIM(MID(SUBSTITUTE(SUBSTITUTE(SUBSTITUTE(SUBSTITUTE(SUBSTITUTE(LOWER(Registro!$G81),"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",LEN(Registro!$G81))),({1,2,3,4,5,6,7,8,9,10,11,12,13,14,15,16,17,18,19,20,21,22,23,24,25,26,27,28,29,30}-1)*LEN(Registro!$G81)+1,LEN(Registro!$G81))),FIND("x",TRIM(MID(SUBSTITUTE(SUBSTITUTE(SUBSTITUTE(SUBSTITUTE(SUBSTITUTE(LOWER(Registro!$G81),"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",LEN(Registro!$G81))),({1,2,3,4,5,6,7,8,9,10,11,12,13,14,15,16,17,18,19,20,21,22,23,24,25,26,27,28,29,30}-1)*LEN(Registro!$G81)+1,LEN(Registro!$G81)))&amp;"x")-1))),"Revisar formato")))</f>
        <v/>
      </c>
      <c r="I81" s="11" t="str">
        <f>IF(Registro!$G81="","",IF(ISERROR(FIND("x",LOWER(Registro!$G81))),N(Registro!$H81),IFERROR(SUMPRODUCT(--("0"&amp;LEFT(TRIM(MID(SUBSTITUTE(SUBSTITUTE(SUBSTITUTE(SUBSTITUTE(SUBSTITUTE(LOWER(Registro!$G81),"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",LEN(Registro!$G81))),({1,2,3,4,5,6,7,8,9,10,11,12,13,14,15,16,17,18,19,20,21,22,23,24,25,26,27,28,29,30}-1)*LEN(Registro!$G81)+1,LEN(Registro!$G81))),FIND("x",TRIM(MID(SUBSTITUTE(SUBSTITUTE(SUBSTITUTE(SUBSTITUTE(SUBSTITUTE(LOWER(Registro!$G81),"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",LEN(Registro!$G81))),({1,2,3,4,5,6,7,8,9,10,11,12,13,14,15,16,17,18,19,20,21,22,23,24,25,26,27,28,29,30}-1)*LEN(Registro!$G81)+1,LEN(Registro!$G81)))&amp;"x")-1)),--("0"&amp;MID(TRIM(MID(SUBSTITUTE(SUBSTITUTE(SUBSTITUTE(SUBSTITUTE(SUBSTITUTE(LOWER(Registro!$G81),"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",LEN(Registro!$G81))),({1,2,3,4,5,6,7,8,9,10,11,12,13,14,15,16,17,18,19,20,21,22,23,24,25,26,27,28,29,30}-1)*LEN(Registro!$G81)+1,LEN(Registro!$G81))),FIND("x",TRIM(MID(SUBSTITUTE(SUBSTITUTE(SUBSTITUTE(SUBSTITUTE(SUBSTITUTE(LOWER(Registro!$G81),"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",LEN(Registro!$G81))),({1,2,3,4,5,6,7,8,9,10,11,12,13,14,15,16,17,18,19,20,21,22,23,24,25,26,27,28,29,30}-1)*LEN(Registro!$G81)+1,LEN(Registro!$G81)))&amp;"x")+1,20))),"Revisar formato")))</f>
        <v/>
      </c>
      <c r="J81" s="9" t="str">
        <f>IF(AND(Registro!$E81="",Registro!$G81=""),"",IF(NOT(AND(ISNUMBER(I81),ISNUMBER(Registro!$H81))),"",IF(I81&lt;Registro!$H81,"FALTA BOLETOS",IF(I81=Registro!$H81,"CONFORME","DIFERENCIA"))))</f>
        <v/>
      </c>
      <c r="K81" s="11" t="str">
        <f>IF(Registro!$I81="","",IFERROR(SUMPRODUCT(--("0"&amp;TRIM(RIGHT(SUBSTITUTE(TRIM(MID(SUBSTITUTE(SUBSTITUTE(Registro!$I81,";",CHAR(10)),CHAR(10),REPT(" ",LEN(Registro!$I81))),({1,2,3,4,5,6,7,8,9,10,11,12,13,14,15,16,17,18,19,20,21,22,23,24,25,26,27,28,29,30}-1)*LEN(Registro!$I81)+1,LEN(Registro!$I81)))," ",REPT(" ",50)),50)))),"Revisar formato"))</f>
        <v/>
      </c>
      <c r="L81" s="11" t="str">
        <f>IF(Registro!$J81="","",IFERROR(SUMPRODUCT(--("0"&amp;TRIM(RIGHT(SUBSTITUTE(TRIM(MID(SUBSTITUTE(SUBSTITUTE(Registro!$J81,";",CHAR(10)),CHAR(10),REPT(" ",LEN(Registro!$J81))),({1,2,3,4,5,6,7,8,9,10,11,12,13,14,15,16,17,18,19,20,21,22,23,24,25,26,27,28,29,30}-1)*LEN(Registro!$J81)+1,LEN(Registro!$J81)))," ",REPT(" ",50)),50)))),"Revisar formato"))</f>
        <v/>
      </c>
      <c r="M81" s="11" t="str">
        <f>IF(AND(Registro!$H81="",Registro!$I81=""),"",IF(AND(ISTEXT(K81),K81&lt;&gt;""),"Revisar formato",N(Registro!$H81)-N(K81)))</f>
        <v/>
      </c>
      <c r="N81" s="11" t="str">
        <f t="shared" si="5"/>
        <v/>
      </c>
      <c r="O81" s="15" t="str">
        <f>IF(AND(A81=Consulta!$B$3,C81=Consulta!$H$3),B81*10000+ROW(),"")</f>
        <v/>
      </c>
    </row>
    <row r="82" spans="1:15" x14ac:dyDescent="0.25">
      <c r="A82" s="9" t="str">
        <f>IF(Registro!$A82="","",Registro!$A82)</f>
        <v/>
      </c>
      <c r="B82" s="8" t="str">
        <f>IF(Registro!$B82="","",Registro!$B82)</f>
        <v/>
      </c>
      <c r="C82" s="14" t="str">
        <f t="shared" si="3"/>
        <v/>
      </c>
      <c r="D82" s="10" t="str">
        <f>IF(Registro!$E82="","",IF(ISERROR(FIND("x",LOWER(Registro!$E82))),"-",IFERROR(SUMPRODUCT(--("0"&amp;LEFT(TRIM(MID(SUBSTITUTE(SUBSTITUTE(SUBSTITUTE(SUBSTITUTE(SUBSTITUTE(LOWER(Registro!$E82),"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",LEN(Registro!$E82))),({1,2,3,4,5,6,7,8,9,10,11,12,13,14,15,16,17,18,19,20,21,22,23,24,25,26,27,28,29,30}-1)*LEN(Registro!$E82)+1,LEN(Registro!$E82)))&amp;"x")-1))),"Revisar formato")))</f>
        <v/>
      </c>
      <c r="E82" s="11" t="str">
        <f>IF(Registro!$E82="","",IF(ISERROR(FIND("x",LOWER(Registro!$E82))),"-",IFERROR(SUMPRODUCT(--("0"&amp;LEFT(TRIM(MID(SUBSTITUTE(SUBSTITUTE(SUBSTITUTE(SUBSTITUTE(SUBSTITUTE(LOWER(Registro!$E82),"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",LEN(Registro!$E82))),({1,2,3,4,5,6,7,8,9,10,11,12,13,14,15,16,17,18,19,20,21,22,23,24,25,26,27,28,29,30}-1)*LEN(Registro!$E82)+1,LEN(Registro!$E82)))&amp;"x")-1)),--("0"&amp;MID(TRIM(MID(SUBSTITUTE(SUBSTITUTE(SUBSTITUTE(SUBSTITUTE(SUBSTITUTE(LOWER(Registro!$E82),"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",LEN(Registro!$E82))),({1,2,3,4,5,6,7,8,9,10,11,12,13,14,15,16,17,18,19,20,21,22,23,24,25,26,27,28,29,30}-1)*LEN(Registro!$E82)+1,LEN(Registro!$E82)))&amp;"x")+1,20))),"Revisar formato")))</f>
        <v/>
      </c>
      <c r="F82" s="11" t="str">
        <f>IF(Registro!$F82="","",N(Registro!$F82))</f>
        <v/>
      </c>
      <c r="G82" s="11" t="str">
        <f t="shared" si="4"/>
        <v/>
      </c>
      <c r="H82" s="10" t="str">
        <f>IF(Registro!$G82="","",IF(ISERROR(FIND("x",LOWER(Registro!$G82))),"-",IFERROR(SUMPRODUCT(--("0"&amp;LEFT(TRIM(MID(SUBSTITUTE(SUBSTITUTE(SUBSTITUTE(SUBSTITUTE(SUBSTITUTE(LOWER(Registro!$G82),"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",LEN(Registro!$G82))),({1,2,3,4,5,6,7,8,9,10,11,12,13,14,15,16,17,18,19,20,21,22,23,24,25,26,27,28,29,30}-1)*LEN(Registro!$G82)+1,LEN(Registro!$G82))),FIND("x",TRIM(MID(SUBSTITUTE(SUBSTITUTE(SUBSTITUTE(SUBSTITUTE(SUBSTITUTE(LOWER(Registro!$G82),"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",LEN(Registro!$G82))),({1,2,3,4,5,6,7,8,9,10,11,12,13,14,15,16,17,18,19,20,21,22,23,24,25,26,27,28,29,30}-1)*LEN(Registro!$G82)+1,LEN(Registro!$G82)))&amp;"x")-1))),"Revisar formato")))</f>
        <v/>
      </c>
      <c r="I82" s="11" t="str">
        <f>IF(Registro!$G82="","",IF(ISERROR(FIND("x",LOWER(Registro!$G82))),N(Registro!$H82),IFERROR(SUMPRODUCT(--("0"&amp;LEFT(TRIM(MID(SUBSTITUTE(SUBSTITUTE(SUBSTITUTE(SUBSTITUTE(SUBSTITUTE(LOWER(Registro!$G82),"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",LEN(Registro!$G82))),({1,2,3,4,5,6,7,8,9,10,11,12,13,14,15,16,17,18,19,20,21,22,23,24,25,26,27,28,29,30}-1)*LEN(Registro!$G82)+1,LEN(Registro!$G82))),FIND("x",TRIM(MID(SUBSTITUTE(SUBSTITUTE(SUBSTITUTE(SUBSTITUTE(SUBSTITUTE(LOWER(Registro!$G82),"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",LEN(Registro!$G82))),({1,2,3,4,5,6,7,8,9,10,11,12,13,14,15,16,17,18,19,20,21,22,23,24,25,26,27,28,29,30}-1)*LEN(Registro!$G82)+1,LEN(Registro!$G82)))&amp;"x")-1)),--("0"&amp;MID(TRIM(MID(SUBSTITUTE(SUBSTITUTE(SUBSTITUTE(SUBSTITUTE(SUBSTITUTE(LOWER(Registro!$G82),"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",LEN(Registro!$G82))),({1,2,3,4,5,6,7,8,9,10,11,12,13,14,15,16,17,18,19,20,21,22,23,24,25,26,27,28,29,30}-1)*LEN(Registro!$G82)+1,LEN(Registro!$G82))),FIND("x",TRIM(MID(SUBSTITUTE(SUBSTITUTE(SUBSTITUTE(SUBSTITUTE(SUBSTITUTE(LOWER(Registro!$G82),"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",LEN(Registro!$G82))),({1,2,3,4,5,6,7,8,9,10,11,12,13,14,15,16,17,18,19,20,21,22,23,24,25,26,27,28,29,30}-1)*LEN(Registro!$G82)+1,LEN(Registro!$G82)))&amp;"x")+1,20))),"Revisar formato")))</f>
        <v/>
      </c>
      <c r="J82" s="9" t="str">
        <f>IF(AND(Registro!$E82="",Registro!$G82=""),"",IF(NOT(AND(ISNUMBER(I82),ISNUMBER(Registro!$H82))),"",IF(I82&lt;Registro!$H82,"FALTA BOLETOS",IF(I82=Registro!$H82,"CONFORME","DIFERENCIA"))))</f>
        <v/>
      </c>
      <c r="K82" s="11" t="str">
        <f>IF(Registro!$I82="","",IFERROR(SUMPRODUCT(--("0"&amp;TRIM(RIGHT(SUBSTITUTE(TRIM(MID(SUBSTITUTE(SUBSTITUTE(Registro!$I82,";",CHAR(10)),CHAR(10),REPT(" ",LEN(Registro!$I82))),({1,2,3,4,5,6,7,8,9,10,11,12,13,14,15,16,17,18,19,20,21,22,23,24,25,26,27,28,29,30}-1)*LEN(Registro!$I82)+1,LEN(Registro!$I82)))," ",REPT(" ",50)),50)))),"Revisar formato"))</f>
        <v/>
      </c>
      <c r="L82" s="11" t="str">
        <f>IF(Registro!$J82="","",IFERROR(SUMPRODUCT(--("0"&amp;TRIM(RIGHT(SUBSTITUTE(TRIM(MID(SUBSTITUTE(SUBSTITUTE(Registro!$J82,";",CHAR(10)),CHAR(10),REPT(" ",LEN(Registro!$J82))),({1,2,3,4,5,6,7,8,9,10,11,12,13,14,15,16,17,18,19,20,21,22,23,24,25,26,27,28,29,30}-1)*LEN(Registro!$J82)+1,LEN(Registro!$J82)))," ",REPT(" ",50)),50)))),"Revisar formato"))</f>
        <v/>
      </c>
      <c r="M82" s="11" t="str">
        <f>IF(AND(Registro!$H82="",Registro!$I82=""),"",IF(AND(ISTEXT(K82),K82&lt;&gt;""),"Revisar formato",N(Registro!$H82)-N(K82)))</f>
        <v/>
      </c>
      <c r="N82" s="11" t="str">
        <f t="shared" si="5"/>
        <v/>
      </c>
      <c r="O82" s="15" t="str">
        <f>IF(AND(A82=Consulta!$B$3,C82=Consulta!$H$3),B82*10000+ROW(),"")</f>
        <v/>
      </c>
    </row>
    <row r="83" spans="1:15" x14ac:dyDescent="0.25">
      <c r="A83" s="9" t="str">
        <f>IF(Registro!$A83="","",Registro!$A83)</f>
        <v/>
      </c>
      <c r="B83" s="8" t="str">
        <f>IF(Registro!$B83="","",Registro!$B83)</f>
        <v/>
      </c>
      <c r="C83" s="14" t="str">
        <f t="shared" si="3"/>
        <v/>
      </c>
      <c r="D83" s="10" t="str">
        <f>IF(Registro!$E83="","",IF(ISERROR(FIND("x",LOWER(Registro!$E83))),"-",IFERROR(SUMPRODUCT(--("0"&amp;LEFT(TRIM(MID(SUBSTITUTE(SUBSTITUTE(SUBSTITUTE(SUBSTITUTE(SUBSTITUTE(LOWER(Registro!$E83),"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",LEN(Registro!$E83))),({1,2,3,4,5,6,7,8,9,10,11,12,13,14,15,16,17,18,19,20,21,22,23,24,25,26,27,28,29,30}-1)*LEN(Registro!$E83)+1,LEN(Registro!$E83)))&amp;"x")-1))),"Revisar formato")))</f>
        <v/>
      </c>
      <c r="E83" s="11" t="str">
        <f>IF(Registro!$E83="","",IF(ISERROR(FIND("x",LOWER(Registro!$E83))),"-",IFERROR(SUMPRODUCT(--("0"&amp;LEFT(TRIM(MID(SUBSTITUTE(SUBSTITUTE(SUBSTITUTE(SUBSTITUTE(SUBSTITUTE(LOWER(Registro!$E83),"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",LEN(Registro!$E83))),({1,2,3,4,5,6,7,8,9,10,11,12,13,14,15,16,17,18,19,20,21,22,23,24,25,26,27,28,29,30}-1)*LEN(Registro!$E83)+1,LEN(Registro!$E83)))&amp;"x")-1)),--("0"&amp;MID(TRIM(MID(SUBSTITUTE(SUBSTITUTE(SUBSTITUTE(SUBSTITUTE(SUBSTITUTE(LOWER(Registro!$E83),"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",LEN(Registro!$E83))),({1,2,3,4,5,6,7,8,9,10,11,12,13,14,15,16,17,18,19,20,21,22,23,24,25,26,27,28,29,30}-1)*LEN(Registro!$E83)+1,LEN(Registro!$E83)))&amp;"x")+1,20))),"Revisar formato")))</f>
        <v/>
      </c>
      <c r="F83" s="11" t="str">
        <f>IF(Registro!$F83="","",N(Registro!$F83))</f>
        <v/>
      </c>
      <c r="G83" s="11" t="str">
        <f t="shared" si="4"/>
        <v/>
      </c>
      <c r="H83" s="10" t="str">
        <f>IF(Registro!$G83="","",IF(ISERROR(FIND("x",LOWER(Registro!$G83))),"-",IFERROR(SUMPRODUCT(--("0"&amp;LEFT(TRIM(MID(SUBSTITUTE(SUBSTITUTE(SUBSTITUTE(SUBSTITUTE(SUBSTITUTE(LOWER(Registro!$G83),"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",LEN(Registro!$G83))),({1,2,3,4,5,6,7,8,9,10,11,12,13,14,15,16,17,18,19,20,21,22,23,24,25,26,27,28,29,30}-1)*LEN(Registro!$G83)+1,LEN(Registro!$G83))),FIND("x",TRIM(MID(SUBSTITUTE(SUBSTITUTE(SUBSTITUTE(SUBSTITUTE(SUBSTITUTE(LOWER(Registro!$G83),"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",LEN(Registro!$G83))),({1,2,3,4,5,6,7,8,9,10,11,12,13,14,15,16,17,18,19,20,21,22,23,24,25,26,27,28,29,30}-1)*LEN(Registro!$G83)+1,LEN(Registro!$G83)))&amp;"x")-1))),"Revisar formato")))</f>
        <v/>
      </c>
      <c r="I83" s="11" t="str">
        <f>IF(Registro!$G83="","",IF(ISERROR(FIND("x",LOWER(Registro!$G83))),N(Registro!$H83),IFERROR(SUMPRODUCT(--("0"&amp;LEFT(TRIM(MID(SUBSTITUTE(SUBSTITUTE(SUBSTITUTE(SUBSTITUTE(SUBSTITUTE(LOWER(Registro!$G83),"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",LEN(Registro!$G83))),({1,2,3,4,5,6,7,8,9,10,11,12,13,14,15,16,17,18,19,20,21,22,23,24,25,26,27,28,29,30}-1)*LEN(Registro!$G83)+1,LEN(Registro!$G83))),FIND("x",TRIM(MID(SUBSTITUTE(SUBSTITUTE(SUBSTITUTE(SUBSTITUTE(SUBSTITUTE(LOWER(Registro!$G83),"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",LEN(Registro!$G83))),({1,2,3,4,5,6,7,8,9,10,11,12,13,14,15,16,17,18,19,20,21,22,23,24,25,26,27,28,29,30}-1)*LEN(Registro!$G83)+1,LEN(Registro!$G83)))&amp;"x")-1)),--("0"&amp;MID(TRIM(MID(SUBSTITUTE(SUBSTITUTE(SUBSTITUTE(SUBSTITUTE(SUBSTITUTE(LOWER(Registro!$G83),"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",LEN(Registro!$G83))),({1,2,3,4,5,6,7,8,9,10,11,12,13,14,15,16,17,18,19,20,21,22,23,24,25,26,27,28,29,30}-1)*LEN(Registro!$G83)+1,LEN(Registro!$G83))),FIND("x",TRIM(MID(SUBSTITUTE(SUBSTITUTE(SUBSTITUTE(SUBSTITUTE(SUBSTITUTE(LOWER(Registro!$G83),"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",LEN(Registro!$G83))),({1,2,3,4,5,6,7,8,9,10,11,12,13,14,15,16,17,18,19,20,21,22,23,24,25,26,27,28,29,30}-1)*LEN(Registro!$G83)+1,LEN(Registro!$G83)))&amp;"x")+1,20))),"Revisar formato")))</f>
        <v/>
      </c>
      <c r="J83" s="9" t="str">
        <f>IF(AND(Registro!$E83="",Registro!$G83=""),"",IF(NOT(AND(ISNUMBER(I83),ISNUMBER(Registro!$H83))),"",IF(I83&lt;Registro!$H83,"FALTA BOLETOS",IF(I83=Registro!$H83,"CONFORME","DIFERENCIA"))))</f>
        <v/>
      </c>
      <c r="K83" s="11" t="str">
        <f>IF(Registro!$I83="","",IFERROR(SUMPRODUCT(--("0"&amp;TRIM(RIGHT(SUBSTITUTE(TRIM(MID(SUBSTITUTE(SUBSTITUTE(Registro!$I83,";",CHAR(10)),CHAR(10),REPT(" ",LEN(Registro!$I83))),({1,2,3,4,5,6,7,8,9,10,11,12,13,14,15,16,17,18,19,20,21,22,23,24,25,26,27,28,29,30}-1)*LEN(Registro!$I83)+1,LEN(Registro!$I83)))," ",REPT(" ",50)),50)))),"Revisar formato"))</f>
        <v/>
      </c>
      <c r="L83" s="11" t="str">
        <f>IF(Registro!$J83="","",IFERROR(SUMPRODUCT(--("0"&amp;TRIM(RIGHT(SUBSTITUTE(TRIM(MID(SUBSTITUTE(SUBSTITUTE(Registro!$J83,";",CHAR(10)),CHAR(10),REPT(" ",LEN(Registro!$J83))),({1,2,3,4,5,6,7,8,9,10,11,12,13,14,15,16,17,18,19,20,21,22,23,24,25,26,27,28,29,30}-1)*LEN(Registro!$J83)+1,LEN(Registro!$J83)))," ",REPT(" ",50)),50)))),"Revisar formato"))</f>
        <v/>
      </c>
      <c r="M83" s="11" t="str">
        <f>IF(AND(Registro!$H83="",Registro!$I83=""),"",IF(AND(ISTEXT(K83),K83&lt;&gt;""),"Revisar formato",N(Registro!$H83)-N(K83)))</f>
        <v/>
      </c>
      <c r="N83" s="11" t="str">
        <f t="shared" si="5"/>
        <v/>
      </c>
      <c r="O83" s="15" t="str">
        <f>IF(AND(A83=Consulta!$B$3,C83=Consulta!$H$3),B83*10000+ROW(),"")</f>
        <v/>
      </c>
    </row>
    <row r="84" spans="1:15" x14ac:dyDescent="0.25">
      <c r="A84" s="9" t="str">
        <f>IF(Registro!$A84="","",Registro!$A84)</f>
        <v/>
      </c>
      <c r="B84" s="8" t="str">
        <f>IF(Registro!$B84="","",Registro!$B84)</f>
        <v/>
      </c>
      <c r="C84" s="14" t="str">
        <f t="shared" si="3"/>
        <v/>
      </c>
      <c r="D84" s="10" t="str">
        <f>IF(Registro!$E84="","",IF(ISERROR(FIND("x",LOWER(Registro!$E84))),"-",IFERROR(SUMPRODUCT(--("0"&amp;LEFT(TRIM(MID(SUBSTITUTE(SUBSTITUTE(SUBSTITUTE(SUBSTITUTE(SUBSTITUTE(LOWER(Registro!$E84),"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",LEN(Registro!$E84))),({1,2,3,4,5,6,7,8,9,10,11,12,13,14,15,16,17,18,19,20,21,22,23,24,25,26,27,28,29,30}-1)*LEN(Registro!$E84)+1,LEN(Registro!$E84)))&amp;"x")-1))),"Revisar formato")))</f>
        <v/>
      </c>
      <c r="E84" s="11" t="str">
        <f>IF(Registro!$E84="","",IF(ISERROR(FIND("x",LOWER(Registro!$E84))),"-",IFERROR(SUMPRODUCT(--("0"&amp;LEFT(TRIM(MID(SUBSTITUTE(SUBSTITUTE(SUBSTITUTE(SUBSTITUTE(SUBSTITUTE(LOWER(Registro!$E84),"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",LEN(Registro!$E84))),({1,2,3,4,5,6,7,8,9,10,11,12,13,14,15,16,17,18,19,20,21,22,23,24,25,26,27,28,29,30}-1)*LEN(Registro!$E84)+1,LEN(Registro!$E84)))&amp;"x")-1)),--("0"&amp;MID(TRIM(MID(SUBSTITUTE(SUBSTITUTE(SUBSTITUTE(SUBSTITUTE(SUBSTITUTE(LOWER(Registro!$E84),"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",LEN(Registro!$E84))),({1,2,3,4,5,6,7,8,9,10,11,12,13,14,15,16,17,18,19,20,21,22,23,24,25,26,27,28,29,30}-1)*LEN(Registro!$E84)+1,LEN(Registro!$E84)))&amp;"x")+1,20))),"Revisar formato")))</f>
        <v/>
      </c>
      <c r="F84" s="11" t="str">
        <f>IF(Registro!$F84="","",N(Registro!$F84))</f>
        <v/>
      </c>
      <c r="G84" s="11" t="str">
        <f t="shared" si="4"/>
        <v/>
      </c>
      <c r="H84" s="10" t="str">
        <f>IF(Registro!$G84="","",IF(ISERROR(FIND("x",LOWER(Registro!$G84))),"-",IFERROR(SUMPRODUCT(--("0"&amp;LEFT(TRIM(MID(SUBSTITUTE(SUBSTITUTE(SUBSTITUTE(SUBSTITUTE(SUBSTITUTE(LOWER(Registro!$G84),"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",LEN(Registro!$G84))),({1,2,3,4,5,6,7,8,9,10,11,12,13,14,15,16,17,18,19,20,21,22,23,24,25,26,27,28,29,30}-1)*LEN(Registro!$G84)+1,LEN(Registro!$G84))),FIND("x",TRIM(MID(SUBSTITUTE(SUBSTITUTE(SUBSTITUTE(SUBSTITUTE(SUBSTITUTE(LOWER(Registro!$G84),"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",LEN(Registro!$G84))),({1,2,3,4,5,6,7,8,9,10,11,12,13,14,15,16,17,18,19,20,21,22,23,24,25,26,27,28,29,30}-1)*LEN(Registro!$G84)+1,LEN(Registro!$G84)))&amp;"x")-1))),"Revisar formato")))</f>
        <v/>
      </c>
      <c r="I84" s="11" t="str">
        <f>IF(Registro!$G84="","",IF(ISERROR(FIND("x",LOWER(Registro!$G84))),N(Registro!$H84),IFERROR(SUMPRODUCT(--("0"&amp;LEFT(TRIM(MID(SUBSTITUTE(SUBSTITUTE(SUBSTITUTE(SUBSTITUTE(SUBSTITUTE(LOWER(Registro!$G84),"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",LEN(Registro!$G84))),({1,2,3,4,5,6,7,8,9,10,11,12,13,14,15,16,17,18,19,20,21,22,23,24,25,26,27,28,29,30}-1)*LEN(Registro!$G84)+1,LEN(Registro!$G84))),FIND("x",TRIM(MID(SUBSTITUTE(SUBSTITUTE(SUBSTITUTE(SUBSTITUTE(SUBSTITUTE(LOWER(Registro!$G84),"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",LEN(Registro!$G84))),({1,2,3,4,5,6,7,8,9,10,11,12,13,14,15,16,17,18,19,20,21,22,23,24,25,26,27,28,29,30}-1)*LEN(Registro!$G84)+1,LEN(Registro!$G84)))&amp;"x")-1)),--("0"&amp;MID(TRIM(MID(SUBSTITUTE(SUBSTITUTE(SUBSTITUTE(SUBSTITUTE(SUBSTITUTE(LOWER(Registro!$G84),"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",LEN(Registro!$G84))),({1,2,3,4,5,6,7,8,9,10,11,12,13,14,15,16,17,18,19,20,21,22,23,24,25,26,27,28,29,30}-1)*LEN(Registro!$G84)+1,LEN(Registro!$G84))),FIND("x",TRIM(MID(SUBSTITUTE(SUBSTITUTE(SUBSTITUTE(SUBSTITUTE(SUBSTITUTE(LOWER(Registro!$G84),"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",LEN(Registro!$G84))),({1,2,3,4,5,6,7,8,9,10,11,12,13,14,15,16,17,18,19,20,21,22,23,24,25,26,27,28,29,30}-1)*LEN(Registro!$G84)+1,LEN(Registro!$G84)))&amp;"x")+1,20))),"Revisar formato")))</f>
        <v/>
      </c>
      <c r="J84" s="9" t="str">
        <f>IF(AND(Registro!$E84="",Registro!$G84=""),"",IF(NOT(AND(ISNUMBER(I84),ISNUMBER(Registro!$H84))),"",IF(I84&lt;Registro!$H84,"FALTA BOLETOS",IF(I84=Registro!$H84,"CONFORME","DIFERENCIA"))))</f>
        <v/>
      </c>
      <c r="K84" s="11" t="str">
        <f>IF(Registro!$I84="","",IFERROR(SUMPRODUCT(--("0"&amp;TRIM(RIGHT(SUBSTITUTE(TRIM(MID(SUBSTITUTE(SUBSTITUTE(Registro!$I84,";",CHAR(10)),CHAR(10),REPT(" ",LEN(Registro!$I84))),({1,2,3,4,5,6,7,8,9,10,11,12,13,14,15,16,17,18,19,20,21,22,23,24,25,26,27,28,29,30}-1)*LEN(Registro!$I84)+1,LEN(Registro!$I84)))," ",REPT(" ",50)),50)))),"Revisar formato"))</f>
        <v/>
      </c>
      <c r="L84" s="11" t="str">
        <f>IF(Registro!$J84="","",IFERROR(SUMPRODUCT(--("0"&amp;TRIM(RIGHT(SUBSTITUTE(TRIM(MID(SUBSTITUTE(SUBSTITUTE(Registro!$J84,";",CHAR(10)),CHAR(10),REPT(" ",LEN(Registro!$J84))),({1,2,3,4,5,6,7,8,9,10,11,12,13,14,15,16,17,18,19,20,21,22,23,24,25,26,27,28,29,30}-1)*LEN(Registro!$J84)+1,LEN(Registro!$J84)))," ",REPT(" ",50)),50)))),"Revisar formato"))</f>
        <v/>
      </c>
      <c r="M84" s="11" t="str">
        <f>IF(AND(Registro!$H84="",Registro!$I84=""),"",IF(AND(ISTEXT(K84),K84&lt;&gt;""),"Revisar formato",N(Registro!$H84)-N(K84)))</f>
        <v/>
      </c>
      <c r="N84" s="11" t="str">
        <f t="shared" si="5"/>
        <v/>
      </c>
      <c r="O84" s="15" t="str">
        <f>IF(AND(A84=Consulta!$B$3,C84=Consulta!$H$3),B84*10000+ROW(),"")</f>
        <v/>
      </c>
    </row>
    <row r="85" spans="1:15" x14ac:dyDescent="0.25">
      <c r="A85" s="9" t="str">
        <f>IF(Registro!$A85="","",Registro!$A85)</f>
        <v/>
      </c>
      <c r="B85" s="8" t="str">
        <f>IF(Registro!$B85="","",Registro!$B85)</f>
        <v/>
      </c>
      <c r="C85" s="14" t="str">
        <f t="shared" si="3"/>
        <v/>
      </c>
      <c r="D85" s="10" t="str">
        <f>IF(Registro!$E85="","",IF(ISERROR(FIND("x",LOWER(Registro!$E85))),"-",IFERROR(SUMPRODUCT(--("0"&amp;LEFT(TRIM(MID(SUBSTITUTE(SUBSTITUTE(SUBSTITUTE(SUBSTITUTE(SUBSTITUTE(LOWER(Registro!$E85),"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",LEN(Registro!$E85))),({1,2,3,4,5,6,7,8,9,10,11,12,13,14,15,16,17,18,19,20,21,22,23,24,25,26,27,28,29,30}-1)*LEN(Registro!$E85)+1,LEN(Registro!$E85)))&amp;"x")-1))),"Revisar formato")))</f>
        <v/>
      </c>
      <c r="E85" s="11" t="str">
        <f>IF(Registro!$E85="","",IF(ISERROR(FIND("x",LOWER(Registro!$E85))),"-",IFERROR(SUMPRODUCT(--("0"&amp;LEFT(TRIM(MID(SUBSTITUTE(SUBSTITUTE(SUBSTITUTE(SUBSTITUTE(SUBSTITUTE(LOWER(Registro!$E85),"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",LEN(Registro!$E85))),({1,2,3,4,5,6,7,8,9,10,11,12,13,14,15,16,17,18,19,20,21,22,23,24,25,26,27,28,29,30}-1)*LEN(Registro!$E85)+1,LEN(Registro!$E85)))&amp;"x")-1)),--("0"&amp;MID(TRIM(MID(SUBSTITUTE(SUBSTITUTE(SUBSTITUTE(SUBSTITUTE(SUBSTITUTE(LOWER(Registro!$E85),"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",LEN(Registro!$E85))),({1,2,3,4,5,6,7,8,9,10,11,12,13,14,15,16,17,18,19,20,21,22,23,24,25,26,27,28,29,30}-1)*LEN(Registro!$E85)+1,LEN(Registro!$E85)))&amp;"x")+1,20))),"Revisar formato")))</f>
        <v/>
      </c>
      <c r="F85" s="11" t="str">
        <f>IF(Registro!$F85="","",N(Registro!$F85))</f>
        <v/>
      </c>
      <c r="G85" s="11" t="str">
        <f t="shared" si="4"/>
        <v/>
      </c>
      <c r="H85" s="10" t="str">
        <f>IF(Registro!$G85="","",IF(ISERROR(FIND("x",LOWER(Registro!$G85))),"-",IFERROR(SUMPRODUCT(--("0"&amp;LEFT(TRIM(MID(SUBSTITUTE(SUBSTITUTE(SUBSTITUTE(SUBSTITUTE(SUBSTITUTE(LOWER(Registro!$G85),"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",LEN(Registro!$G85))),({1,2,3,4,5,6,7,8,9,10,11,12,13,14,15,16,17,18,19,20,21,22,23,24,25,26,27,28,29,30}-1)*LEN(Registro!$G85)+1,LEN(Registro!$G85))),FIND("x",TRIM(MID(SUBSTITUTE(SUBSTITUTE(SUBSTITUTE(SUBSTITUTE(SUBSTITUTE(LOWER(Registro!$G85),"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",LEN(Registro!$G85))),({1,2,3,4,5,6,7,8,9,10,11,12,13,14,15,16,17,18,19,20,21,22,23,24,25,26,27,28,29,30}-1)*LEN(Registro!$G85)+1,LEN(Registro!$G85)))&amp;"x")-1))),"Revisar formato")))</f>
        <v/>
      </c>
      <c r="I85" s="11" t="str">
        <f>IF(Registro!$G85="","",IF(ISERROR(FIND("x",LOWER(Registro!$G85))),N(Registro!$H85),IFERROR(SUMPRODUCT(--("0"&amp;LEFT(TRIM(MID(SUBSTITUTE(SUBSTITUTE(SUBSTITUTE(SUBSTITUTE(SUBSTITUTE(LOWER(Registro!$G85),"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",LEN(Registro!$G85))),({1,2,3,4,5,6,7,8,9,10,11,12,13,14,15,16,17,18,19,20,21,22,23,24,25,26,27,28,29,30}-1)*LEN(Registro!$G85)+1,LEN(Registro!$G85))),FIND("x",TRIM(MID(SUBSTITUTE(SUBSTITUTE(SUBSTITUTE(SUBSTITUTE(SUBSTITUTE(LOWER(Registro!$G85),"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",LEN(Registro!$G85))),({1,2,3,4,5,6,7,8,9,10,11,12,13,14,15,16,17,18,19,20,21,22,23,24,25,26,27,28,29,30}-1)*LEN(Registro!$G85)+1,LEN(Registro!$G85)))&amp;"x")-1)),--("0"&amp;MID(TRIM(MID(SUBSTITUTE(SUBSTITUTE(SUBSTITUTE(SUBSTITUTE(SUBSTITUTE(LOWER(Registro!$G85),"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",LEN(Registro!$G85))),({1,2,3,4,5,6,7,8,9,10,11,12,13,14,15,16,17,18,19,20,21,22,23,24,25,26,27,28,29,30}-1)*LEN(Registro!$G85)+1,LEN(Registro!$G85))),FIND("x",TRIM(MID(SUBSTITUTE(SUBSTITUTE(SUBSTITUTE(SUBSTITUTE(SUBSTITUTE(LOWER(Registro!$G85),"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",LEN(Registro!$G85))),({1,2,3,4,5,6,7,8,9,10,11,12,13,14,15,16,17,18,19,20,21,22,23,24,25,26,27,28,29,30}-1)*LEN(Registro!$G85)+1,LEN(Registro!$G85)))&amp;"x")+1,20))),"Revisar formato")))</f>
        <v/>
      </c>
      <c r="J85" s="9" t="str">
        <f>IF(AND(Registro!$E85="",Registro!$G85=""),"",IF(NOT(AND(ISNUMBER(I85),ISNUMBER(Registro!$H85))),"",IF(I85&lt;Registro!$H85,"FALTA BOLETOS",IF(I85=Registro!$H85,"CONFORME","DIFERENCIA"))))</f>
        <v/>
      </c>
      <c r="K85" s="11" t="str">
        <f>IF(Registro!$I85="","",IFERROR(SUMPRODUCT(--("0"&amp;TRIM(RIGHT(SUBSTITUTE(TRIM(MID(SUBSTITUTE(SUBSTITUTE(Registro!$I85,";",CHAR(10)),CHAR(10),REPT(" ",LEN(Registro!$I85))),({1,2,3,4,5,6,7,8,9,10,11,12,13,14,15,16,17,18,19,20,21,22,23,24,25,26,27,28,29,30}-1)*LEN(Registro!$I85)+1,LEN(Registro!$I85)))," ",REPT(" ",50)),50)))),"Revisar formato"))</f>
        <v/>
      </c>
      <c r="L85" s="11" t="str">
        <f>IF(Registro!$J85="","",IFERROR(SUMPRODUCT(--("0"&amp;TRIM(RIGHT(SUBSTITUTE(TRIM(MID(SUBSTITUTE(SUBSTITUTE(Registro!$J85,";",CHAR(10)),CHAR(10),REPT(" ",LEN(Registro!$J85))),({1,2,3,4,5,6,7,8,9,10,11,12,13,14,15,16,17,18,19,20,21,22,23,24,25,26,27,28,29,30}-1)*LEN(Registro!$J85)+1,LEN(Registro!$J85)))," ",REPT(" ",50)),50)))),"Revisar formato"))</f>
        <v/>
      </c>
      <c r="M85" s="11" t="str">
        <f>IF(AND(Registro!$H85="",Registro!$I85=""),"",IF(AND(ISTEXT(K85),K85&lt;&gt;""),"Revisar formato",N(Registro!$H85)-N(K85)))</f>
        <v/>
      </c>
      <c r="N85" s="11" t="str">
        <f t="shared" si="5"/>
        <v/>
      </c>
      <c r="O85" s="15" t="str">
        <f>IF(AND(A85=Consulta!$B$3,C85=Consulta!$H$3),B85*10000+ROW(),"")</f>
        <v/>
      </c>
    </row>
    <row r="86" spans="1:15" x14ac:dyDescent="0.25">
      <c r="A86" s="9" t="str">
        <f>IF(Registro!$A86="","",Registro!$A86)</f>
        <v/>
      </c>
      <c r="B86" s="8" t="str">
        <f>IF(Registro!$B86="","",Registro!$B86)</f>
        <v/>
      </c>
      <c r="C86" s="14" t="str">
        <f t="shared" si="3"/>
        <v/>
      </c>
      <c r="D86" s="10" t="str">
        <f>IF(Registro!$E86="","",IF(ISERROR(FIND("x",LOWER(Registro!$E86))),"-",IFERROR(SUMPRODUCT(--("0"&amp;LEFT(TRIM(MID(SUBSTITUTE(SUBSTITUTE(SUBSTITUTE(SUBSTITUTE(SUBSTITUTE(LOWER(Registro!$E86),"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",LEN(Registro!$E86))),({1,2,3,4,5,6,7,8,9,10,11,12,13,14,15,16,17,18,19,20,21,22,23,24,25,26,27,28,29,30}-1)*LEN(Registro!$E86)+1,LEN(Registro!$E86)))&amp;"x")-1))),"Revisar formato")))</f>
        <v/>
      </c>
      <c r="E86" s="11" t="str">
        <f>IF(Registro!$E86="","",IF(ISERROR(FIND("x",LOWER(Registro!$E86))),"-",IFERROR(SUMPRODUCT(--("0"&amp;LEFT(TRIM(MID(SUBSTITUTE(SUBSTITUTE(SUBSTITUTE(SUBSTITUTE(SUBSTITUTE(LOWER(Registro!$E86),"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",LEN(Registro!$E86))),({1,2,3,4,5,6,7,8,9,10,11,12,13,14,15,16,17,18,19,20,21,22,23,24,25,26,27,28,29,30}-1)*LEN(Registro!$E86)+1,LEN(Registro!$E86)))&amp;"x")-1)),--("0"&amp;MID(TRIM(MID(SUBSTITUTE(SUBSTITUTE(SUBSTITUTE(SUBSTITUTE(SUBSTITUTE(LOWER(Registro!$E86),"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",LEN(Registro!$E86))),({1,2,3,4,5,6,7,8,9,10,11,12,13,14,15,16,17,18,19,20,21,22,23,24,25,26,27,28,29,30}-1)*LEN(Registro!$E86)+1,LEN(Registro!$E86)))&amp;"x")+1,20))),"Revisar formato")))</f>
        <v/>
      </c>
      <c r="F86" s="11" t="str">
        <f>IF(Registro!$F86="","",N(Registro!$F86))</f>
        <v/>
      </c>
      <c r="G86" s="11" t="str">
        <f t="shared" si="4"/>
        <v/>
      </c>
      <c r="H86" s="10" t="str">
        <f>IF(Registro!$G86="","",IF(ISERROR(FIND("x",LOWER(Registro!$G86))),"-",IFERROR(SUMPRODUCT(--("0"&amp;LEFT(TRIM(MID(SUBSTITUTE(SUBSTITUTE(SUBSTITUTE(SUBSTITUTE(SUBSTITUTE(LOWER(Registro!$G86),"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",LEN(Registro!$G86))),({1,2,3,4,5,6,7,8,9,10,11,12,13,14,15,16,17,18,19,20,21,22,23,24,25,26,27,28,29,30}-1)*LEN(Registro!$G86)+1,LEN(Registro!$G86))),FIND("x",TRIM(MID(SUBSTITUTE(SUBSTITUTE(SUBSTITUTE(SUBSTITUTE(SUBSTITUTE(LOWER(Registro!$G86),"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",LEN(Registro!$G86))),({1,2,3,4,5,6,7,8,9,10,11,12,13,14,15,16,17,18,19,20,21,22,23,24,25,26,27,28,29,30}-1)*LEN(Registro!$G86)+1,LEN(Registro!$G86)))&amp;"x")-1))),"Revisar formato")))</f>
        <v/>
      </c>
      <c r="I86" s="11" t="str">
        <f>IF(Registro!$G86="","",IF(ISERROR(FIND("x",LOWER(Registro!$G86))),N(Registro!$H86),IFERROR(SUMPRODUCT(--("0"&amp;LEFT(TRIM(MID(SUBSTITUTE(SUBSTITUTE(SUBSTITUTE(SUBSTITUTE(SUBSTITUTE(LOWER(Registro!$G86),"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",LEN(Registro!$G86))),({1,2,3,4,5,6,7,8,9,10,11,12,13,14,15,16,17,18,19,20,21,22,23,24,25,26,27,28,29,30}-1)*LEN(Registro!$G86)+1,LEN(Registro!$G86))),FIND("x",TRIM(MID(SUBSTITUTE(SUBSTITUTE(SUBSTITUTE(SUBSTITUTE(SUBSTITUTE(LOWER(Registro!$G86),"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",LEN(Registro!$G86))),({1,2,3,4,5,6,7,8,9,10,11,12,13,14,15,16,17,18,19,20,21,22,23,24,25,26,27,28,29,30}-1)*LEN(Registro!$G86)+1,LEN(Registro!$G86)))&amp;"x")-1)),--("0"&amp;MID(TRIM(MID(SUBSTITUTE(SUBSTITUTE(SUBSTITUTE(SUBSTITUTE(SUBSTITUTE(LOWER(Registro!$G86),"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",LEN(Registro!$G86))),({1,2,3,4,5,6,7,8,9,10,11,12,13,14,15,16,17,18,19,20,21,22,23,24,25,26,27,28,29,30}-1)*LEN(Registro!$G86)+1,LEN(Registro!$G86))),FIND("x",TRIM(MID(SUBSTITUTE(SUBSTITUTE(SUBSTITUTE(SUBSTITUTE(SUBSTITUTE(LOWER(Registro!$G86),"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",LEN(Registro!$G86))),({1,2,3,4,5,6,7,8,9,10,11,12,13,14,15,16,17,18,19,20,21,22,23,24,25,26,27,28,29,30}-1)*LEN(Registro!$G86)+1,LEN(Registro!$G86)))&amp;"x")+1,20))),"Revisar formato")))</f>
        <v/>
      </c>
      <c r="J86" s="9" t="str">
        <f>IF(AND(Registro!$E86="",Registro!$G86=""),"",IF(NOT(AND(ISNUMBER(I86),ISNUMBER(Registro!$H86))),"",IF(I86&lt;Registro!$H86,"FALTA BOLETOS",IF(I86=Registro!$H86,"CONFORME","DIFERENCIA"))))</f>
        <v/>
      </c>
      <c r="K86" s="11" t="str">
        <f>IF(Registro!$I86="","",IFERROR(SUMPRODUCT(--("0"&amp;TRIM(RIGHT(SUBSTITUTE(TRIM(MID(SUBSTITUTE(SUBSTITUTE(Registro!$I86,";",CHAR(10)),CHAR(10),REPT(" ",LEN(Registro!$I86))),({1,2,3,4,5,6,7,8,9,10,11,12,13,14,15,16,17,18,19,20,21,22,23,24,25,26,27,28,29,30}-1)*LEN(Registro!$I86)+1,LEN(Registro!$I86)))," ",REPT(" ",50)),50)))),"Revisar formato"))</f>
        <v/>
      </c>
      <c r="L86" s="11" t="str">
        <f>IF(Registro!$J86="","",IFERROR(SUMPRODUCT(--("0"&amp;TRIM(RIGHT(SUBSTITUTE(TRIM(MID(SUBSTITUTE(SUBSTITUTE(Registro!$J86,";",CHAR(10)),CHAR(10),REPT(" ",LEN(Registro!$J86))),({1,2,3,4,5,6,7,8,9,10,11,12,13,14,15,16,17,18,19,20,21,22,23,24,25,26,27,28,29,30}-1)*LEN(Registro!$J86)+1,LEN(Registro!$J86)))," ",REPT(" ",50)),50)))),"Revisar formato"))</f>
        <v/>
      </c>
      <c r="M86" s="11" t="str">
        <f>IF(AND(Registro!$H86="",Registro!$I86=""),"",IF(AND(ISTEXT(K86),K86&lt;&gt;""),"Revisar formato",N(Registro!$H86)-N(K86)))</f>
        <v/>
      </c>
      <c r="N86" s="11" t="str">
        <f t="shared" si="5"/>
        <v/>
      </c>
      <c r="O86" s="15" t="str">
        <f>IF(AND(A86=Consulta!$B$3,C86=Consulta!$H$3),B86*10000+ROW(),"")</f>
        <v/>
      </c>
    </row>
    <row r="87" spans="1:15" x14ac:dyDescent="0.25">
      <c r="A87" s="9" t="str">
        <f>IF(Registro!$A87="","",Registro!$A87)</f>
        <v/>
      </c>
      <c r="B87" s="8" t="str">
        <f>IF(Registro!$B87="","",Registro!$B87)</f>
        <v/>
      </c>
      <c r="C87" s="14" t="str">
        <f t="shared" si="3"/>
        <v/>
      </c>
      <c r="D87" s="10" t="str">
        <f>IF(Registro!$E87="","",IF(ISERROR(FIND("x",LOWER(Registro!$E87))),"-",IFERROR(SUMPRODUCT(--("0"&amp;LEFT(TRIM(MID(SUBSTITUTE(SUBSTITUTE(SUBSTITUTE(SUBSTITUTE(SUBSTITUTE(LOWER(Registro!$E87),"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",LEN(Registro!$E87))),({1,2,3,4,5,6,7,8,9,10,11,12,13,14,15,16,17,18,19,20,21,22,23,24,25,26,27,28,29,30}-1)*LEN(Registro!$E87)+1,LEN(Registro!$E87)))&amp;"x")-1))),"Revisar formato")))</f>
        <v/>
      </c>
      <c r="E87" s="11" t="str">
        <f>IF(Registro!$E87="","",IF(ISERROR(FIND("x",LOWER(Registro!$E87))),"-",IFERROR(SUMPRODUCT(--("0"&amp;LEFT(TRIM(MID(SUBSTITUTE(SUBSTITUTE(SUBSTITUTE(SUBSTITUTE(SUBSTITUTE(LOWER(Registro!$E87),"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",LEN(Registro!$E87))),({1,2,3,4,5,6,7,8,9,10,11,12,13,14,15,16,17,18,19,20,21,22,23,24,25,26,27,28,29,30}-1)*LEN(Registro!$E87)+1,LEN(Registro!$E87)))&amp;"x")-1)),--("0"&amp;MID(TRIM(MID(SUBSTITUTE(SUBSTITUTE(SUBSTITUTE(SUBSTITUTE(SUBSTITUTE(LOWER(Registro!$E87),"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",LEN(Registro!$E87))),({1,2,3,4,5,6,7,8,9,10,11,12,13,14,15,16,17,18,19,20,21,22,23,24,25,26,27,28,29,30}-1)*LEN(Registro!$E87)+1,LEN(Registro!$E87)))&amp;"x")+1,20))),"Revisar formato")))</f>
        <v/>
      </c>
      <c r="F87" s="11" t="str">
        <f>IF(Registro!$F87="","",N(Registro!$F87))</f>
        <v/>
      </c>
      <c r="G87" s="11" t="str">
        <f t="shared" si="4"/>
        <v/>
      </c>
      <c r="H87" s="10" t="str">
        <f>IF(Registro!$G87="","",IF(ISERROR(FIND("x",LOWER(Registro!$G87))),"-",IFERROR(SUMPRODUCT(--("0"&amp;LEFT(TRIM(MID(SUBSTITUTE(SUBSTITUTE(SUBSTITUTE(SUBSTITUTE(SUBSTITUTE(LOWER(Registro!$G87),"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",LEN(Registro!$G87))),({1,2,3,4,5,6,7,8,9,10,11,12,13,14,15,16,17,18,19,20,21,22,23,24,25,26,27,28,29,30}-1)*LEN(Registro!$G87)+1,LEN(Registro!$G87))),FIND("x",TRIM(MID(SUBSTITUTE(SUBSTITUTE(SUBSTITUTE(SUBSTITUTE(SUBSTITUTE(LOWER(Registro!$G87),"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",LEN(Registro!$G87))),({1,2,3,4,5,6,7,8,9,10,11,12,13,14,15,16,17,18,19,20,21,22,23,24,25,26,27,28,29,30}-1)*LEN(Registro!$G87)+1,LEN(Registro!$G87)))&amp;"x")-1))),"Revisar formato")))</f>
        <v/>
      </c>
      <c r="I87" s="11" t="str">
        <f>IF(Registro!$G87="","",IF(ISERROR(FIND("x",LOWER(Registro!$G87))),N(Registro!$H87),IFERROR(SUMPRODUCT(--("0"&amp;LEFT(TRIM(MID(SUBSTITUTE(SUBSTITUTE(SUBSTITUTE(SUBSTITUTE(SUBSTITUTE(LOWER(Registro!$G87),"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",LEN(Registro!$G87))),({1,2,3,4,5,6,7,8,9,10,11,12,13,14,15,16,17,18,19,20,21,22,23,24,25,26,27,28,29,30}-1)*LEN(Registro!$G87)+1,LEN(Registro!$G87))),FIND("x",TRIM(MID(SUBSTITUTE(SUBSTITUTE(SUBSTITUTE(SUBSTITUTE(SUBSTITUTE(LOWER(Registro!$G87),"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",LEN(Registro!$G87))),({1,2,3,4,5,6,7,8,9,10,11,12,13,14,15,16,17,18,19,20,21,22,23,24,25,26,27,28,29,30}-1)*LEN(Registro!$G87)+1,LEN(Registro!$G87)))&amp;"x")-1)),--("0"&amp;MID(TRIM(MID(SUBSTITUTE(SUBSTITUTE(SUBSTITUTE(SUBSTITUTE(SUBSTITUTE(LOWER(Registro!$G87),"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",LEN(Registro!$G87))),({1,2,3,4,5,6,7,8,9,10,11,12,13,14,15,16,17,18,19,20,21,22,23,24,25,26,27,28,29,30}-1)*LEN(Registro!$G87)+1,LEN(Registro!$G87))),FIND("x",TRIM(MID(SUBSTITUTE(SUBSTITUTE(SUBSTITUTE(SUBSTITUTE(SUBSTITUTE(LOWER(Registro!$G87),"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",LEN(Registro!$G87))),({1,2,3,4,5,6,7,8,9,10,11,12,13,14,15,16,17,18,19,20,21,22,23,24,25,26,27,28,29,30}-1)*LEN(Registro!$G87)+1,LEN(Registro!$G87)))&amp;"x")+1,20))),"Revisar formato")))</f>
        <v/>
      </c>
      <c r="J87" s="9" t="str">
        <f>IF(AND(Registro!$E87="",Registro!$G87=""),"",IF(NOT(AND(ISNUMBER(I87),ISNUMBER(Registro!$H87))),"",IF(I87&lt;Registro!$H87,"FALTA BOLETOS",IF(I87=Registro!$H87,"CONFORME","DIFERENCIA"))))</f>
        <v/>
      </c>
      <c r="K87" s="11" t="str">
        <f>IF(Registro!$I87="","",IFERROR(SUMPRODUCT(--("0"&amp;TRIM(RIGHT(SUBSTITUTE(TRIM(MID(SUBSTITUTE(SUBSTITUTE(Registro!$I87,";",CHAR(10)),CHAR(10),REPT(" ",LEN(Registro!$I87))),({1,2,3,4,5,6,7,8,9,10,11,12,13,14,15,16,17,18,19,20,21,22,23,24,25,26,27,28,29,30}-1)*LEN(Registro!$I87)+1,LEN(Registro!$I87)))," ",REPT(" ",50)),50)))),"Revisar formato"))</f>
        <v/>
      </c>
      <c r="L87" s="11" t="str">
        <f>IF(Registro!$J87="","",IFERROR(SUMPRODUCT(--("0"&amp;TRIM(RIGHT(SUBSTITUTE(TRIM(MID(SUBSTITUTE(SUBSTITUTE(Registro!$J87,";",CHAR(10)),CHAR(10),REPT(" ",LEN(Registro!$J87))),({1,2,3,4,5,6,7,8,9,10,11,12,13,14,15,16,17,18,19,20,21,22,23,24,25,26,27,28,29,30}-1)*LEN(Registro!$J87)+1,LEN(Registro!$J87)))," ",REPT(" ",50)),50)))),"Revisar formato"))</f>
        <v/>
      </c>
      <c r="M87" s="11" t="str">
        <f>IF(AND(Registro!$H87="",Registro!$I87=""),"",IF(AND(ISTEXT(K87),K87&lt;&gt;""),"Revisar formato",N(Registro!$H87)-N(K87)))</f>
        <v/>
      </c>
      <c r="N87" s="11" t="str">
        <f t="shared" si="5"/>
        <v/>
      </c>
      <c r="O87" s="15" t="str">
        <f>IF(AND(A87=Consulta!$B$3,C87=Consulta!$H$3),B87*10000+ROW(),"")</f>
        <v/>
      </c>
    </row>
    <row r="88" spans="1:15" x14ac:dyDescent="0.25">
      <c r="A88" s="9" t="str">
        <f>IF(Registro!$A88="","",Registro!$A88)</f>
        <v/>
      </c>
      <c r="B88" s="8" t="str">
        <f>IF(Registro!$B88="","",Registro!$B88)</f>
        <v/>
      </c>
      <c r="C88" s="14" t="str">
        <f t="shared" si="3"/>
        <v/>
      </c>
      <c r="D88" s="10" t="str">
        <f>IF(Registro!$E88="","",IF(ISERROR(FIND("x",LOWER(Registro!$E88))),"-",IFERROR(SUMPRODUCT(--("0"&amp;LEFT(TRIM(MID(SUBSTITUTE(SUBSTITUTE(SUBSTITUTE(SUBSTITUTE(SUBSTITUTE(LOWER(Registro!$E88),"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",LEN(Registro!$E88))),({1,2,3,4,5,6,7,8,9,10,11,12,13,14,15,16,17,18,19,20,21,22,23,24,25,26,27,28,29,30}-1)*LEN(Registro!$E88)+1,LEN(Registro!$E88)))&amp;"x")-1))),"Revisar formato")))</f>
        <v/>
      </c>
      <c r="E88" s="11" t="str">
        <f>IF(Registro!$E88="","",IF(ISERROR(FIND("x",LOWER(Registro!$E88))),"-",IFERROR(SUMPRODUCT(--("0"&amp;LEFT(TRIM(MID(SUBSTITUTE(SUBSTITUTE(SUBSTITUTE(SUBSTITUTE(SUBSTITUTE(LOWER(Registro!$E88),"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",LEN(Registro!$E88))),({1,2,3,4,5,6,7,8,9,10,11,12,13,14,15,16,17,18,19,20,21,22,23,24,25,26,27,28,29,30}-1)*LEN(Registro!$E88)+1,LEN(Registro!$E88)))&amp;"x")-1)),--("0"&amp;MID(TRIM(MID(SUBSTITUTE(SUBSTITUTE(SUBSTITUTE(SUBSTITUTE(SUBSTITUTE(LOWER(Registro!$E88),"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",LEN(Registro!$E88))),({1,2,3,4,5,6,7,8,9,10,11,12,13,14,15,16,17,18,19,20,21,22,23,24,25,26,27,28,29,30}-1)*LEN(Registro!$E88)+1,LEN(Registro!$E88)))&amp;"x")+1,20))),"Revisar formato")))</f>
        <v/>
      </c>
      <c r="F88" s="11" t="str">
        <f>IF(Registro!$F88="","",N(Registro!$F88))</f>
        <v/>
      </c>
      <c r="G88" s="11" t="str">
        <f t="shared" si="4"/>
        <v/>
      </c>
      <c r="H88" s="10" t="str">
        <f>IF(Registro!$G88="","",IF(ISERROR(FIND("x",LOWER(Registro!$G88))),"-",IFERROR(SUMPRODUCT(--("0"&amp;LEFT(TRIM(MID(SUBSTITUTE(SUBSTITUTE(SUBSTITUTE(SUBSTITUTE(SUBSTITUTE(LOWER(Registro!$G88),"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",LEN(Registro!$G88))),({1,2,3,4,5,6,7,8,9,10,11,12,13,14,15,16,17,18,19,20,21,22,23,24,25,26,27,28,29,30}-1)*LEN(Registro!$G88)+1,LEN(Registro!$G88))),FIND("x",TRIM(MID(SUBSTITUTE(SUBSTITUTE(SUBSTITUTE(SUBSTITUTE(SUBSTITUTE(LOWER(Registro!$G88),"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",LEN(Registro!$G88))),({1,2,3,4,5,6,7,8,9,10,11,12,13,14,15,16,17,18,19,20,21,22,23,24,25,26,27,28,29,30}-1)*LEN(Registro!$G88)+1,LEN(Registro!$G88)))&amp;"x")-1))),"Revisar formato")))</f>
        <v/>
      </c>
      <c r="I88" s="11" t="str">
        <f>IF(Registro!$G88="","",IF(ISERROR(FIND("x",LOWER(Registro!$G88))),N(Registro!$H88),IFERROR(SUMPRODUCT(--("0"&amp;LEFT(TRIM(MID(SUBSTITUTE(SUBSTITUTE(SUBSTITUTE(SUBSTITUTE(SUBSTITUTE(LOWER(Registro!$G88),"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",LEN(Registro!$G88))),({1,2,3,4,5,6,7,8,9,10,11,12,13,14,15,16,17,18,19,20,21,22,23,24,25,26,27,28,29,30}-1)*LEN(Registro!$G88)+1,LEN(Registro!$G88))),FIND("x",TRIM(MID(SUBSTITUTE(SUBSTITUTE(SUBSTITUTE(SUBSTITUTE(SUBSTITUTE(LOWER(Registro!$G88),"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",LEN(Registro!$G88))),({1,2,3,4,5,6,7,8,9,10,11,12,13,14,15,16,17,18,19,20,21,22,23,24,25,26,27,28,29,30}-1)*LEN(Registro!$G88)+1,LEN(Registro!$G88)))&amp;"x")-1)),--("0"&amp;MID(TRIM(MID(SUBSTITUTE(SUBSTITUTE(SUBSTITUTE(SUBSTITUTE(SUBSTITUTE(LOWER(Registro!$G88),"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",LEN(Registro!$G88))),({1,2,3,4,5,6,7,8,9,10,11,12,13,14,15,16,17,18,19,20,21,22,23,24,25,26,27,28,29,30}-1)*LEN(Registro!$G88)+1,LEN(Registro!$G88))),FIND("x",TRIM(MID(SUBSTITUTE(SUBSTITUTE(SUBSTITUTE(SUBSTITUTE(SUBSTITUTE(LOWER(Registro!$G88),"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",LEN(Registro!$G88))),({1,2,3,4,5,6,7,8,9,10,11,12,13,14,15,16,17,18,19,20,21,22,23,24,25,26,27,28,29,30}-1)*LEN(Registro!$G88)+1,LEN(Registro!$G88)))&amp;"x")+1,20))),"Revisar formato")))</f>
        <v/>
      </c>
      <c r="J88" s="9" t="str">
        <f>IF(AND(Registro!$E88="",Registro!$G88=""),"",IF(NOT(AND(ISNUMBER(I88),ISNUMBER(Registro!$H88))),"",IF(I88&lt;Registro!$H88,"FALTA BOLETOS",IF(I88=Registro!$H88,"CONFORME","DIFERENCIA"))))</f>
        <v/>
      </c>
      <c r="K88" s="11" t="str">
        <f>IF(Registro!$I88="","",IFERROR(SUMPRODUCT(--("0"&amp;TRIM(RIGHT(SUBSTITUTE(TRIM(MID(SUBSTITUTE(SUBSTITUTE(Registro!$I88,";",CHAR(10)),CHAR(10),REPT(" ",LEN(Registro!$I88))),({1,2,3,4,5,6,7,8,9,10,11,12,13,14,15,16,17,18,19,20,21,22,23,24,25,26,27,28,29,30}-1)*LEN(Registro!$I88)+1,LEN(Registro!$I88)))," ",REPT(" ",50)),50)))),"Revisar formato"))</f>
        <v/>
      </c>
      <c r="L88" s="11" t="str">
        <f>IF(Registro!$J88="","",IFERROR(SUMPRODUCT(--("0"&amp;TRIM(RIGHT(SUBSTITUTE(TRIM(MID(SUBSTITUTE(SUBSTITUTE(Registro!$J88,";",CHAR(10)),CHAR(10),REPT(" ",LEN(Registro!$J88))),({1,2,3,4,5,6,7,8,9,10,11,12,13,14,15,16,17,18,19,20,21,22,23,24,25,26,27,28,29,30}-1)*LEN(Registro!$J88)+1,LEN(Registro!$J88)))," ",REPT(" ",50)),50)))),"Revisar formato"))</f>
        <v/>
      </c>
      <c r="M88" s="11" t="str">
        <f>IF(AND(Registro!$H88="",Registro!$I88=""),"",IF(AND(ISTEXT(K88),K88&lt;&gt;""),"Revisar formato",N(Registro!$H88)-N(K88)))</f>
        <v/>
      </c>
      <c r="N88" s="11" t="str">
        <f t="shared" si="5"/>
        <v/>
      </c>
      <c r="O88" s="15" t="str">
        <f>IF(AND(A88=Consulta!$B$3,C88=Consulta!$H$3),B88*10000+ROW(),"")</f>
        <v/>
      </c>
    </row>
    <row r="89" spans="1:15" x14ac:dyDescent="0.25">
      <c r="A89" s="9" t="str">
        <f>IF(Registro!$A89="","",Registro!$A89)</f>
        <v/>
      </c>
      <c r="B89" s="8" t="str">
        <f>IF(Registro!$B89="","",Registro!$B89)</f>
        <v/>
      </c>
      <c r="C89" s="14" t="str">
        <f t="shared" si="3"/>
        <v/>
      </c>
      <c r="D89" s="10" t="str">
        <f>IF(Registro!$E89="","",IF(ISERROR(FIND("x",LOWER(Registro!$E89))),"-",IFERROR(SUMPRODUCT(--("0"&amp;LEFT(TRIM(MID(SUBSTITUTE(SUBSTITUTE(SUBSTITUTE(SUBSTITUTE(SUBSTITUTE(LOWER(Registro!$E89),"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",LEN(Registro!$E89))),({1,2,3,4,5,6,7,8,9,10,11,12,13,14,15,16,17,18,19,20,21,22,23,24,25,26,27,28,29,30}-1)*LEN(Registro!$E89)+1,LEN(Registro!$E89)))&amp;"x")-1))),"Revisar formato")))</f>
        <v/>
      </c>
      <c r="E89" s="11" t="str">
        <f>IF(Registro!$E89="","",IF(ISERROR(FIND("x",LOWER(Registro!$E89))),"-",IFERROR(SUMPRODUCT(--("0"&amp;LEFT(TRIM(MID(SUBSTITUTE(SUBSTITUTE(SUBSTITUTE(SUBSTITUTE(SUBSTITUTE(LOWER(Registro!$E89),"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",LEN(Registro!$E89))),({1,2,3,4,5,6,7,8,9,10,11,12,13,14,15,16,17,18,19,20,21,22,23,24,25,26,27,28,29,30}-1)*LEN(Registro!$E89)+1,LEN(Registro!$E89)))&amp;"x")-1)),--("0"&amp;MID(TRIM(MID(SUBSTITUTE(SUBSTITUTE(SUBSTITUTE(SUBSTITUTE(SUBSTITUTE(LOWER(Registro!$E89),"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",LEN(Registro!$E89))),({1,2,3,4,5,6,7,8,9,10,11,12,13,14,15,16,17,18,19,20,21,22,23,24,25,26,27,28,29,30}-1)*LEN(Registro!$E89)+1,LEN(Registro!$E89)))&amp;"x")+1,20))),"Revisar formato")))</f>
        <v/>
      </c>
      <c r="F89" s="11" t="str">
        <f>IF(Registro!$F89="","",N(Registro!$F89))</f>
        <v/>
      </c>
      <c r="G89" s="11" t="str">
        <f t="shared" si="4"/>
        <v/>
      </c>
      <c r="H89" s="10" t="str">
        <f>IF(Registro!$G89="","",IF(ISERROR(FIND("x",LOWER(Registro!$G89))),"-",IFERROR(SUMPRODUCT(--("0"&amp;LEFT(TRIM(MID(SUBSTITUTE(SUBSTITUTE(SUBSTITUTE(SUBSTITUTE(SUBSTITUTE(LOWER(Registro!$G89),"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",LEN(Registro!$G89))),({1,2,3,4,5,6,7,8,9,10,11,12,13,14,15,16,17,18,19,20,21,22,23,24,25,26,27,28,29,30}-1)*LEN(Registro!$G89)+1,LEN(Registro!$G89))),FIND("x",TRIM(MID(SUBSTITUTE(SUBSTITUTE(SUBSTITUTE(SUBSTITUTE(SUBSTITUTE(LOWER(Registro!$G89),"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",LEN(Registro!$G89))),({1,2,3,4,5,6,7,8,9,10,11,12,13,14,15,16,17,18,19,20,21,22,23,24,25,26,27,28,29,30}-1)*LEN(Registro!$G89)+1,LEN(Registro!$G89)))&amp;"x")-1))),"Revisar formato")))</f>
        <v/>
      </c>
      <c r="I89" s="11" t="str">
        <f>IF(Registro!$G89="","",IF(ISERROR(FIND("x",LOWER(Registro!$G89))),N(Registro!$H89),IFERROR(SUMPRODUCT(--("0"&amp;LEFT(TRIM(MID(SUBSTITUTE(SUBSTITUTE(SUBSTITUTE(SUBSTITUTE(SUBSTITUTE(LOWER(Registro!$G89),"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",LEN(Registro!$G89))),({1,2,3,4,5,6,7,8,9,10,11,12,13,14,15,16,17,18,19,20,21,22,23,24,25,26,27,28,29,30}-1)*LEN(Registro!$G89)+1,LEN(Registro!$G89))),FIND("x",TRIM(MID(SUBSTITUTE(SUBSTITUTE(SUBSTITUTE(SUBSTITUTE(SUBSTITUTE(LOWER(Registro!$G89),"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",LEN(Registro!$G89))),({1,2,3,4,5,6,7,8,9,10,11,12,13,14,15,16,17,18,19,20,21,22,23,24,25,26,27,28,29,30}-1)*LEN(Registro!$G89)+1,LEN(Registro!$G89)))&amp;"x")-1)),--("0"&amp;MID(TRIM(MID(SUBSTITUTE(SUBSTITUTE(SUBSTITUTE(SUBSTITUTE(SUBSTITUTE(LOWER(Registro!$G89),"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",LEN(Registro!$G89))),({1,2,3,4,5,6,7,8,9,10,11,12,13,14,15,16,17,18,19,20,21,22,23,24,25,26,27,28,29,30}-1)*LEN(Registro!$G89)+1,LEN(Registro!$G89))),FIND("x",TRIM(MID(SUBSTITUTE(SUBSTITUTE(SUBSTITUTE(SUBSTITUTE(SUBSTITUTE(LOWER(Registro!$G89),"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",LEN(Registro!$G89))),({1,2,3,4,5,6,7,8,9,10,11,12,13,14,15,16,17,18,19,20,21,22,23,24,25,26,27,28,29,30}-1)*LEN(Registro!$G89)+1,LEN(Registro!$G89)))&amp;"x")+1,20))),"Revisar formato")))</f>
        <v/>
      </c>
      <c r="J89" s="9" t="str">
        <f>IF(AND(Registro!$E89="",Registro!$G89=""),"",IF(NOT(AND(ISNUMBER(I89),ISNUMBER(Registro!$H89))),"",IF(I89&lt;Registro!$H89,"FALTA BOLETOS",IF(I89=Registro!$H89,"CONFORME","DIFERENCIA"))))</f>
        <v/>
      </c>
      <c r="K89" s="11" t="str">
        <f>IF(Registro!$I89="","",IFERROR(SUMPRODUCT(--("0"&amp;TRIM(RIGHT(SUBSTITUTE(TRIM(MID(SUBSTITUTE(SUBSTITUTE(Registro!$I89,";",CHAR(10)),CHAR(10),REPT(" ",LEN(Registro!$I89))),({1,2,3,4,5,6,7,8,9,10,11,12,13,14,15,16,17,18,19,20,21,22,23,24,25,26,27,28,29,30}-1)*LEN(Registro!$I89)+1,LEN(Registro!$I89)))," ",REPT(" ",50)),50)))),"Revisar formato"))</f>
        <v/>
      </c>
      <c r="L89" s="11" t="str">
        <f>IF(Registro!$J89="","",IFERROR(SUMPRODUCT(--("0"&amp;TRIM(RIGHT(SUBSTITUTE(TRIM(MID(SUBSTITUTE(SUBSTITUTE(Registro!$J89,";",CHAR(10)),CHAR(10),REPT(" ",LEN(Registro!$J89))),({1,2,3,4,5,6,7,8,9,10,11,12,13,14,15,16,17,18,19,20,21,22,23,24,25,26,27,28,29,30}-1)*LEN(Registro!$J89)+1,LEN(Registro!$J89)))," ",REPT(" ",50)),50)))),"Revisar formato"))</f>
        <v/>
      </c>
      <c r="M89" s="11" t="str">
        <f>IF(AND(Registro!$H89="",Registro!$I89=""),"",IF(AND(ISTEXT(K89),K89&lt;&gt;""),"Revisar formato",N(Registro!$H89)-N(K89)))</f>
        <v/>
      </c>
      <c r="N89" s="11" t="str">
        <f t="shared" si="5"/>
        <v/>
      </c>
      <c r="O89" s="15" t="str">
        <f>IF(AND(A89=Consulta!$B$3,C89=Consulta!$H$3),B89*10000+ROW(),"")</f>
        <v/>
      </c>
    </row>
    <row r="90" spans="1:15" x14ac:dyDescent="0.25">
      <c r="A90" s="9" t="str">
        <f>IF(Registro!$A90="","",Registro!$A90)</f>
        <v/>
      </c>
      <c r="B90" s="8" t="str">
        <f>IF(Registro!$B90="","",Registro!$B90)</f>
        <v/>
      </c>
      <c r="C90" s="14" t="str">
        <f t="shared" si="3"/>
        <v/>
      </c>
      <c r="D90" s="10" t="str">
        <f>IF(Registro!$E90="","",IF(ISERROR(FIND("x",LOWER(Registro!$E90))),"-",IFERROR(SUMPRODUCT(--("0"&amp;LEFT(TRIM(MID(SUBSTITUTE(SUBSTITUTE(SUBSTITUTE(SUBSTITUTE(SUBSTITUTE(LOWER(Registro!$E90),"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",LEN(Registro!$E90))),({1,2,3,4,5,6,7,8,9,10,11,12,13,14,15,16,17,18,19,20,21,22,23,24,25,26,27,28,29,30}-1)*LEN(Registro!$E90)+1,LEN(Registro!$E90)))&amp;"x")-1))),"Revisar formato")))</f>
        <v/>
      </c>
      <c r="E90" s="11" t="str">
        <f>IF(Registro!$E90="","",IF(ISERROR(FIND("x",LOWER(Registro!$E90))),"-",IFERROR(SUMPRODUCT(--("0"&amp;LEFT(TRIM(MID(SUBSTITUTE(SUBSTITUTE(SUBSTITUTE(SUBSTITUTE(SUBSTITUTE(LOWER(Registro!$E90),"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",LEN(Registro!$E90))),({1,2,3,4,5,6,7,8,9,10,11,12,13,14,15,16,17,18,19,20,21,22,23,24,25,26,27,28,29,30}-1)*LEN(Registro!$E90)+1,LEN(Registro!$E90)))&amp;"x")-1)),--("0"&amp;MID(TRIM(MID(SUBSTITUTE(SUBSTITUTE(SUBSTITUTE(SUBSTITUTE(SUBSTITUTE(LOWER(Registro!$E90),"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",LEN(Registro!$E90))),({1,2,3,4,5,6,7,8,9,10,11,12,13,14,15,16,17,18,19,20,21,22,23,24,25,26,27,28,29,30}-1)*LEN(Registro!$E90)+1,LEN(Registro!$E90)))&amp;"x")+1,20))),"Revisar formato")))</f>
        <v/>
      </c>
      <c r="F90" s="11" t="str">
        <f>IF(Registro!$F90="","",N(Registro!$F90))</f>
        <v/>
      </c>
      <c r="G90" s="11" t="str">
        <f t="shared" si="4"/>
        <v/>
      </c>
      <c r="H90" s="10" t="str">
        <f>IF(Registro!$G90="","",IF(ISERROR(FIND("x",LOWER(Registro!$G90))),"-",IFERROR(SUMPRODUCT(--("0"&amp;LEFT(TRIM(MID(SUBSTITUTE(SUBSTITUTE(SUBSTITUTE(SUBSTITUTE(SUBSTITUTE(LOWER(Registro!$G90),"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",LEN(Registro!$G90))),({1,2,3,4,5,6,7,8,9,10,11,12,13,14,15,16,17,18,19,20,21,22,23,24,25,26,27,28,29,30}-1)*LEN(Registro!$G90)+1,LEN(Registro!$G90))),FIND("x",TRIM(MID(SUBSTITUTE(SUBSTITUTE(SUBSTITUTE(SUBSTITUTE(SUBSTITUTE(LOWER(Registro!$G90),"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",LEN(Registro!$G90))),({1,2,3,4,5,6,7,8,9,10,11,12,13,14,15,16,17,18,19,20,21,22,23,24,25,26,27,28,29,30}-1)*LEN(Registro!$G90)+1,LEN(Registro!$G90)))&amp;"x")-1))),"Revisar formato")))</f>
        <v/>
      </c>
      <c r="I90" s="11" t="str">
        <f>IF(Registro!$G90="","",IF(ISERROR(FIND("x",LOWER(Registro!$G90))),N(Registro!$H90),IFERROR(SUMPRODUCT(--("0"&amp;LEFT(TRIM(MID(SUBSTITUTE(SUBSTITUTE(SUBSTITUTE(SUBSTITUTE(SUBSTITUTE(LOWER(Registro!$G90),"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",LEN(Registro!$G90))),({1,2,3,4,5,6,7,8,9,10,11,12,13,14,15,16,17,18,19,20,21,22,23,24,25,26,27,28,29,30}-1)*LEN(Registro!$G90)+1,LEN(Registro!$G90))),FIND("x",TRIM(MID(SUBSTITUTE(SUBSTITUTE(SUBSTITUTE(SUBSTITUTE(SUBSTITUTE(LOWER(Registro!$G90),"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",LEN(Registro!$G90))),({1,2,3,4,5,6,7,8,9,10,11,12,13,14,15,16,17,18,19,20,21,22,23,24,25,26,27,28,29,30}-1)*LEN(Registro!$G90)+1,LEN(Registro!$G90)))&amp;"x")-1)),--("0"&amp;MID(TRIM(MID(SUBSTITUTE(SUBSTITUTE(SUBSTITUTE(SUBSTITUTE(SUBSTITUTE(LOWER(Registro!$G90),"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",LEN(Registro!$G90))),({1,2,3,4,5,6,7,8,9,10,11,12,13,14,15,16,17,18,19,20,21,22,23,24,25,26,27,28,29,30}-1)*LEN(Registro!$G90)+1,LEN(Registro!$G90))),FIND("x",TRIM(MID(SUBSTITUTE(SUBSTITUTE(SUBSTITUTE(SUBSTITUTE(SUBSTITUTE(LOWER(Registro!$G90),"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",LEN(Registro!$G90))),({1,2,3,4,5,6,7,8,9,10,11,12,13,14,15,16,17,18,19,20,21,22,23,24,25,26,27,28,29,30}-1)*LEN(Registro!$G90)+1,LEN(Registro!$G90)))&amp;"x")+1,20))),"Revisar formato")))</f>
        <v/>
      </c>
      <c r="J90" s="9" t="str">
        <f>IF(AND(Registro!$E90="",Registro!$G90=""),"",IF(NOT(AND(ISNUMBER(I90),ISNUMBER(Registro!$H90))),"",IF(I90&lt;Registro!$H90,"FALTA BOLETOS",IF(I90=Registro!$H90,"CONFORME","DIFERENCIA"))))</f>
        <v/>
      </c>
      <c r="K90" s="11" t="str">
        <f>IF(Registro!$I90="","",IFERROR(SUMPRODUCT(--("0"&amp;TRIM(RIGHT(SUBSTITUTE(TRIM(MID(SUBSTITUTE(SUBSTITUTE(Registro!$I90,";",CHAR(10)),CHAR(10),REPT(" ",LEN(Registro!$I90))),({1,2,3,4,5,6,7,8,9,10,11,12,13,14,15,16,17,18,19,20,21,22,23,24,25,26,27,28,29,30}-1)*LEN(Registro!$I90)+1,LEN(Registro!$I90)))," ",REPT(" ",50)),50)))),"Revisar formato"))</f>
        <v/>
      </c>
      <c r="L90" s="11" t="str">
        <f>IF(Registro!$J90="","",IFERROR(SUMPRODUCT(--("0"&amp;TRIM(RIGHT(SUBSTITUTE(TRIM(MID(SUBSTITUTE(SUBSTITUTE(Registro!$J90,";",CHAR(10)),CHAR(10),REPT(" ",LEN(Registro!$J90))),({1,2,3,4,5,6,7,8,9,10,11,12,13,14,15,16,17,18,19,20,21,22,23,24,25,26,27,28,29,30}-1)*LEN(Registro!$J90)+1,LEN(Registro!$J90)))," ",REPT(" ",50)),50)))),"Revisar formato"))</f>
        <v/>
      </c>
      <c r="M90" s="11" t="str">
        <f>IF(AND(Registro!$H90="",Registro!$I90=""),"",IF(AND(ISTEXT(K90),K90&lt;&gt;""),"Revisar formato",N(Registro!$H90)-N(K90)))</f>
        <v/>
      </c>
      <c r="N90" s="11" t="str">
        <f t="shared" si="5"/>
        <v/>
      </c>
      <c r="O90" s="15" t="str">
        <f>IF(AND(A90=Consulta!$B$3,C90=Consulta!$H$3),B90*10000+ROW(),"")</f>
        <v/>
      </c>
    </row>
    <row r="91" spans="1:15" x14ac:dyDescent="0.25">
      <c r="A91" s="9" t="str">
        <f>IF(Registro!$A91="","",Registro!$A91)</f>
        <v/>
      </c>
      <c r="B91" s="8" t="str">
        <f>IF(Registro!$B91="","",Registro!$B91)</f>
        <v/>
      </c>
      <c r="C91" s="14" t="str">
        <f t="shared" si="3"/>
        <v/>
      </c>
      <c r="D91" s="10" t="str">
        <f>IF(Registro!$E91="","",IF(ISERROR(FIND("x",LOWER(Registro!$E91))),"-",IFERROR(SUMPRODUCT(--("0"&amp;LEFT(TRIM(MID(SUBSTITUTE(SUBSTITUTE(SUBSTITUTE(SUBSTITUTE(SUBSTITUTE(LOWER(Registro!$E91),"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",LEN(Registro!$E91))),({1,2,3,4,5,6,7,8,9,10,11,12,13,14,15,16,17,18,19,20,21,22,23,24,25,26,27,28,29,30}-1)*LEN(Registro!$E91)+1,LEN(Registro!$E91)))&amp;"x")-1))),"Revisar formato")))</f>
        <v/>
      </c>
      <c r="E91" s="11" t="str">
        <f>IF(Registro!$E91="","",IF(ISERROR(FIND("x",LOWER(Registro!$E91))),"-",IFERROR(SUMPRODUCT(--("0"&amp;LEFT(TRIM(MID(SUBSTITUTE(SUBSTITUTE(SUBSTITUTE(SUBSTITUTE(SUBSTITUTE(LOWER(Registro!$E91),"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",LEN(Registro!$E91))),({1,2,3,4,5,6,7,8,9,10,11,12,13,14,15,16,17,18,19,20,21,22,23,24,25,26,27,28,29,30}-1)*LEN(Registro!$E91)+1,LEN(Registro!$E91)))&amp;"x")-1)),--("0"&amp;MID(TRIM(MID(SUBSTITUTE(SUBSTITUTE(SUBSTITUTE(SUBSTITUTE(SUBSTITUTE(LOWER(Registro!$E91),"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",LEN(Registro!$E91))),({1,2,3,4,5,6,7,8,9,10,11,12,13,14,15,16,17,18,19,20,21,22,23,24,25,26,27,28,29,30}-1)*LEN(Registro!$E91)+1,LEN(Registro!$E91)))&amp;"x")+1,20))),"Revisar formato")))</f>
        <v/>
      </c>
      <c r="F91" s="11" t="str">
        <f>IF(Registro!$F91="","",N(Registro!$F91))</f>
        <v/>
      </c>
      <c r="G91" s="11" t="str">
        <f t="shared" si="4"/>
        <v/>
      </c>
      <c r="H91" s="10" t="str">
        <f>IF(Registro!$G91="","",IF(ISERROR(FIND("x",LOWER(Registro!$G91))),"-",IFERROR(SUMPRODUCT(--("0"&amp;LEFT(TRIM(MID(SUBSTITUTE(SUBSTITUTE(SUBSTITUTE(SUBSTITUTE(SUBSTITUTE(LOWER(Registro!$G91),"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",LEN(Registro!$G91))),({1,2,3,4,5,6,7,8,9,10,11,12,13,14,15,16,17,18,19,20,21,22,23,24,25,26,27,28,29,30}-1)*LEN(Registro!$G91)+1,LEN(Registro!$G91))),FIND("x",TRIM(MID(SUBSTITUTE(SUBSTITUTE(SUBSTITUTE(SUBSTITUTE(SUBSTITUTE(LOWER(Registro!$G91),"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",LEN(Registro!$G91))),({1,2,3,4,5,6,7,8,9,10,11,12,13,14,15,16,17,18,19,20,21,22,23,24,25,26,27,28,29,30}-1)*LEN(Registro!$G91)+1,LEN(Registro!$G91)))&amp;"x")-1))),"Revisar formato")))</f>
        <v/>
      </c>
      <c r="I91" s="11" t="str">
        <f>IF(Registro!$G91="","",IF(ISERROR(FIND("x",LOWER(Registro!$G91))),N(Registro!$H91),IFERROR(SUMPRODUCT(--("0"&amp;LEFT(TRIM(MID(SUBSTITUTE(SUBSTITUTE(SUBSTITUTE(SUBSTITUTE(SUBSTITUTE(LOWER(Registro!$G91),"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",LEN(Registro!$G91))),({1,2,3,4,5,6,7,8,9,10,11,12,13,14,15,16,17,18,19,20,21,22,23,24,25,26,27,28,29,30}-1)*LEN(Registro!$G91)+1,LEN(Registro!$G91))),FIND("x",TRIM(MID(SUBSTITUTE(SUBSTITUTE(SUBSTITUTE(SUBSTITUTE(SUBSTITUTE(LOWER(Registro!$G91),"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",LEN(Registro!$G91))),({1,2,3,4,5,6,7,8,9,10,11,12,13,14,15,16,17,18,19,20,21,22,23,24,25,26,27,28,29,30}-1)*LEN(Registro!$G91)+1,LEN(Registro!$G91)))&amp;"x")-1)),--("0"&amp;MID(TRIM(MID(SUBSTITUTE(SUBSTITUTE(SUBSTITUTE(SUBSTITUTE(SUBSTITUTE(LOWER(Registro!$G91),"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",LEN(Registro!$G91))),({1,2,3,4,5,6,7,8,9,10,11,12,13,14,15,16,17,18,19,20,21,22,23,24,25,26,27,28,29,30}-1)*LEN(Registro!$G91)+1,LEN(Registro!$G91))),FIND("x",TRIM(MID(SUBSTITUTE(SUBSTITUTE(SUBSTITUTE(SUBSTITUTE(SUBSTITUTE(LOWER(Registro!$G91),"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",LEN(Registro!$G91))),({1,2,3,4,5,6,7,8,9,10,11,12,13,14,15,16,17,18,19,20,21,22,23,24,25,26,27,28,29,30}-1)*LEN(Registro!$G91)+1,LEN(Registro!$G91)))&amp;"x")+1,20))),"Revisar formato")))</f>
        <v/>
      </c>
      <c r="J91" s="9" t="str">
        <f>IF(AND(Registro!$E91="",Registro!$G91=""),"",IF(NOT(AND(ISNUMBER(I91),ISNUMBER(Registro!$H91))),"",IF(I91&lt;Registro!$H91,"FALTA BOLETOS",IF(I91=Registro!$H91,"CONFORME","DIFERENCIA"))))</f>
        <v/>
      </c>
      <c r="K91" s="11" t="str">
        <f>IF(Registro!$I91="","",IFERROR(SUMPRODUCT(--("0"&amp;TRIM(RIGHT(SUBSTITUTE(TRIM(MID(SUBSTITUTE(SUBSTITUTE(Registro!$I91,";",CHAR(10)),CHAR(10),REPT(" ",LEN(Registro!$I91))),({1,2,3,4,5,6,7,8,9,10,11,12,13,14,15,16,17,18,19,20,21,22,23,24,25,26,27,28,29,30}-1)*LEN(Registro!$I91)+1,LEN(Registro!$I91)))," ",REPT(" ",50)),50)))),"Revisar formato"))</f>
        <v/>
      </c>
      <c r="L91" s="11" t="str">
        <f>IF(Registro!$J91="","",IFERROR(SUMPRODUCT(--("0"&amp;TRIM(RIGHT(SUBSTITUTE(TRIM(MID(SUBSTITUTE(SUBSTITUTE(Registro!$J91,";",CHAR(10)),CHAR(10),REPT(" ",LEN(Registro!$J91))),({1,2,3,4,5,6,7,8,9,10,11,12,13,14,15,16,17,18,19,20,21,22,23,24,25,26,27,28,29,30}-1)*LEN(Registro!$J91)+1,LEN(Registro!$J91)))," ",REPT(" ",50)),50)))),"Revisar formato"))</f>
        <v/>
      </c>
      <c r="M91" s="11" t="str">
        <f>IF(AND(Registro!$H91="",Registro!$I91=""),"",IF(AND(ISTEXT(K91),K91&lt;&gt;""),"Revisar formato",N(Registro!$H91)-N(K91)))</f>
        <v/>
      </c>
      <c r="N91" s="11" t="str">
        <f t="shared" si="5"/>
        <v/>
      </c>
      <c r="O91" s="15" t="str">
        <f>IF(AND(A91=Consulta!$B$3,C91=Consulta!$H$3),B91*10000+ROW(),"")</f>
        <v/>
      </c>
    </row>
    <row r="92" spans="1:15" x14ac:dyDescent="0.25">
      <c r="A92" s="9" t="str">
        <f>IF(Registro!$A92="","",Registro!$A92)</f>
        <v/>
      </c>
      <c r="B92" s="8" t="str">
        <f>IF(Registro!$B92="","",Registro!$B92)</f>
        <v/>
      </c>
      <c r="C92" s="14" t="str">
        <f t="shared" si="3"/>
        <v/>
      </c>
      <c r="D92" s="10" t="str">
        <f>IF(Registro!$E92="","",IF(ISERROR(FIND("x",LOWER(Registro!$E92))),"-",IFERROR(SUMPRODUCT(--("0"&amp;LEFT(TRIM(MID(SUBSTITUTE(SUBSTITUTE(SUBSTITUTE(SUBSTITUTE(SUBSTITUTE(LOWER(Registro!$E92),"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",LEN(Registro!$E92))),({1,2,3,4,5,6,7,8,9,10,11,12,13,14,15,16,17,18,19,20,21,22,23,24,25,26,27,28,29,30}-1)*LEN(Registro!$E92)+1,LEN(Registro!$E92)))&amp;"x")-1))),"Revisar formato")))</f>
        <v/>
      </c>
      <c r="E92" s="11" t="str">
        <f>IF(Registro!$E92="","",IF(ISERROR(FIND("x",LOWER(Registro!$E92))),"-",IFERROR(SUMPRODUCT(--("0"&amp;LEFT(TRIM(MID(SUBSTITUTE(SUBSTITUTE(SUBSTITUTE(SUBSTITUTE(SUBSTITUTE(LOWER(Registro!$E92),"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",LEN(Registro!$E92))),({1,2,3,4,5,6,7,8,9,10,11,12,13,14,15,16,17,18,19,20,21,22,23,24,25,26,27,28,29,30}-1)*LEN(Registro!$E92)+1,LEN(Registro!$E92)))&amp;"x")-1)),--("0"&amp;MID(TRIM(MID(SUBSTITUTE(SUBSTITUTE(SUBSTITUTE(SUBSTITUTE(SUBSTITUTE(LOWER(Registro!$E92),"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",LEN(Registro!$E92))),({1,2,3,4,5,6,7,8,9,10,11,12,13,14,15,16,17,18,19,20,21,22,23,24,25,26,27,28,29,30}-1)*LEN(Registro!$E92)+1,LEN(Registro!$E92)))&amp;"x")+1,20))),"Revisar formato")))</f>
        <v/>
      </c>
      <c r="F92" s="11" t="str">
        <f>IF(Registro!$F92="","",N(Registro!$F92))</f>
        <v/>
      </c>
      <c r="G92" s="11" t="str">
        <f t="shared" si="4"/>
        <v/>
      </c>
      <c r="H92" s="10" t="str">
        <f>IF(Registro!$G92="","",IF(ISERROR(FIND("x",LOWER(Registro!$G92))),"-",IFERROR(SUMPRODUCT(--("0"&amp;LEFT(TRIM(MID(SUBSTITUTE(SUBSTITUTE(SUBSTITUTE(SUBSTITUTE(SUBSTITUTE(LOWER(Registro!$G92),"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",LEN(Registro!$G92))),({1,2,3,4,5,6,7,8,9,10,11,12,13,14,15,16,17,18,19,20,21,22,23,24,25,26,27,28,29,30}-1)*LEN(Registro!$G92)+1,LEN(Registro!$G92))),FIND("x",TRIM(MID(SUBSTITUTE(SUBSTITUTE(SUBSTITUTE(SUBSTITUTE(SUBSTITUTE(LOWER(Registro!$G92),"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",LEN(Registro!$G92))),({1,2,3,4,5,6,7,8,9,10,11,12,13,14,15,16,17,18,19,20,21,22,23,24,25,26,27,28,29,30}-1)*LEN(Registro!$G92)+1,LEN(Registro!$G92)))&amp;"x")-1))),"Revisar formato")))</f>
        <v/>
      </c>
      <c r="I92" s="11" t="str">
        <f>IF(Registro!$G92="","",IF(ISERROR(FIND("x",LOWER(Registro!$G92))),N(Registro!$H92),IFERROR(SUMPRODUCT(--("0"&amp;LEFT(TRIM(MID(SUBSTITUTE(SUBSTITUTE(SUBSTITUTE(SUBSTITUTE(SUBSTITUTE(LOWER(Registro!$G92),"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",LEN(Registro!$G92))),({1,2,3,4,5,6,7,8,9,10,11,12,13,14,15,16,17,18,19,20,21,22,23,24,25,26,27,28,29,30}-1)*LEN(Registro!$G92)+1,LEN(Registro!$G92))),FIND("x",TRIM(MID(SUBSTITUTE(SUBSTITUTE(SUBSTITUTE(SUBSTITUTE(SUBSTITUTE(LOWER(Registro!$G92),"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",LEN(Registro!$G92))),({1,2,3,4,5,6,7,8,9,10,11,12,13,14,15,16,17,18,19,20,21,22,23,24,25,26,27,28,29,30}-1)*LEN(Registro!$G92)+1,LEN(Registro!$G92)))&amp;"x")-1)),--("0"&amp;MID(TRIM(MID(SUBSTITUTE(SUBSTITUTE(SUBSTITUTE(SUBSTITUTE(SUBSTITUTE(LOWER(Registro!$G92),"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",LEN(Registro!$G92))),({1,2,3,4,5,6,7,8,9,10,11,12,13,14,15,16,17,18,19,20,21,22,23,24,25,26,27,28,29,30}-1)*LEN(Registro!$G92)+1,LEN(Registro!$G92))),FIND("x",TRIM(MID(SUBSTITUTE(SUBSTITUTE(SUBSTITUTE(SUBSTITUTE(SUBSTITUTE(LOWER(Registro!$G92),"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",LEN(Registro!$G92))),({1,2,3,4,5,6,7,8,9,10,11,12,13,14,15,16,17,18,19,20,21,22,23,24,25,26,27,28,29,30}-1)*LEN(Registro!$G92)+1,LEN(Registro!$G92)))&amp;"x")+1,20))),"Revisar formato")))</f>
        <v/>
      </c>
      <c r="J92" s="9" t="str">
        <f>IF(AND(Registro!$E92="",Registro!$G92=""),"",IF(NOT(AND(ISNUMBER(I92),ISNUMBER(Registro!$H92))),"",IF(I92&lt;Registro!$H92,"FALTA BOLETOS",IF(I92=Registro!$H92,"CONFORME","DIFERENCIA"))))</f>
        <v/>
      </c>
      <c r="K92" s="11" t="str">
        <f>IF(Registro!$I92="","",IFERROR(SUMPRODUCT(--("0"&amp;TRIM(RIGHT(SUBSTITUTE(TRIM(MID(SUBSTITUTE(SUBSTITUTE(Registro!$I92,";",CHAR(10)),CHAR(10),REPT(" ",LEN(Registro!$I92))),({1,2,3,4,5,6,7,8,9,10,11,12,13,14,15,16,17,18,19,20,21,22,23,24,25,26,27,28,29,30}-1)*LEN(Registro!$I92)+1,LEN(Registro!$I92)))," ",REPT(" ",50)),50)))),"Revisar formato"))</f>
        <v/>
      </c>
      <c r="L92" s="11" t="str">
        <f>IF(Registro!$J92="","",IFERROR(SUMPRODUCT(--("0"&amp;TRIM(RIGHT(SUBSTITUTE(TRIM(MID(SUBSTITUTE(SUBSTITUTE(Registro!$J92,";",CHAR(10)),CHAR(10),REPT(" ",LEN(Registro!$J92))),({1,2,3,4,5,6,7,8,9,10,11,12,13,14,15,16,17,18,19,20,21,22,23,24,25,26,27,28,29,30}-1)*LEN(Registro!$J92)+1,LEN(Registro!$J92)))," ",REPT(" ",50)),50)))),"Revisar formato"))</f>
        <v/>
      </c>
      <c r="M92" s="11" t="str">
        <f>IF(AND(Registro!$H92="",Registro!$I92=""),"",IF(AND(ISTEXT(K92),K92&lt;&gt;""),"Revisar formato",N(Registro!$H92)-N(K92)))</f>
        <v/>
      </c>
      <c r="N92" s="11" t="str">
        <f t="shared" si="5"/>
        <v/>
      </c>
      <c r="O92" s="15" t="str">
        <f>IF(AND(A92=Consulta!$B$3,C92=Consulta!$H$3),B92*10000+ROW(),"")</f>
        <v/>
      </c>
    </row>
    <row r="93" spans="1:15" x14ac:dyDescent="0.25">
      <c r="A93" s="9" t="str">
        <f>IF(Registro!$A93="","",Registro!$A93)</f>
        <v/>
      </c>
      <c r="B93" s="8" t="str">
        <f>IF(Registro!$B93="","",Registro!$B93)</f>
        <v/>
      </c>
      <c r="C93" s="14" t="str">
        <f t="shared" si="3"/>
        <v/>
      </c>
      <c r="D93" s="10" t="str">
        <f>IF(Registro!$E93="","",IF(ISERROR(FIND("x",LOWER(Registro!$E93))),"-",IFERROR(SUMPRODUCT(--("0"&amp;LEFT(TRIM(MID(SUBSTITUTE(SUBSTITUTE(SUBSTITUTE(SUBSTITUTE(SUBSTITUTE(LOWER(Registro!$E93),"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",LEN(Registro!$E93))),({1,2,3,4,5,6,7,8,9,10,11,12,13,14,15,16,17,18,19,20,21,22,23,24,25,26,27,28,29,30}-1)*LEN(Registro!$E93)+1,LEN(Registro!$E93)))&amp;"x")-1))),"Revisar formato")))</f>
        <v/>
      </c>
      <c r="E93" s="11" t="str">
        <f>IF(Registro!$E93="","",IF(ISERROR(FIND("x",LOWER(Registro!$E93))),"-",IFERROR(SUMPRODUCT(--("0"&amp;LEFT(TRIM(MID(SUBSTITUTE(SUBSTITUTE(SUBSTITUTE(SUBSTITUTE(SUBSTITUTE(LOWER(Registro!$E93),"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",LEN(Registro!$E93))),({1,2,3,4,5,6,7,8,9,10,11,12,13,14,15,16,17,18,19,20,21,22,23,24,25,26,27,28,29,30}-1)*LEN(Registro!$E93)+1,LEN(Registro!$E93)))&amp;"x")-1)),--("0"&amp;MID(TRIM(MID(SUBSTITUTE(SUBSTITUTE(SUBSTITUTE(SUBSTITUTE(SUBSTITUTE(LOWER(Registro!$E93),"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",LEN(Registro!$E93))),({1,2,3,4,5,6,7,8,9,10,11,12,13,14,15,16,17,18,19,20,21,22,23,24,25,26,27,28,29,30}-1)*LEN(Registro!$E93)+1,LEN(Registro!$E93)))&amp;"x")+1,20))),"Revisar formato")))</f>
        <v/>
      </c>
      <c r="F93" s="11" t="str">
        <f>IF(Registro!$F93="","",N(Registro!$F93))</f>
        <v/>
      </c>
      <c r="G93" s="11" t="str">
        <f t="shared" si="4"/>
        <v/>
      </c>
      <c r="H93" s="10" t="str">
        <f>IF(Registro!$G93="","",IF(ISERROR(FIND("x",LOWER(Registro!$G93))),"-",IFERROR(SUMPRODUCT(--("0"&amp;LEFT(TRIM(MID(SUBSTITUTE(SUBSTITUTE(SUBSTITUTE(SUBSTITUTE(SUBSTITUTE(LOWER(Registro!$G93),"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",LEN(Registro!$G93))),({1,2,3,4,5,6,7,8,9,10,11,12,13,14,15,16,17,18,19,20,21,22,23,24,25,26,27,28,29,30}-1)*LEN(Registro!$G93)+1,LEN(Registro!$G93))),FIND("x",TRIM(MID(SUBSTITUTE(SUBSTITUTE(SUBSTITUTE(SUBSTITUTE(SUBSTITUTE(LOWER(Registro!$G93),"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",LEN(Registro!$G93))),({1,2,3,4,5,6,7,8,9,10,11,12,13,14,15,16,17,18,19,20,21,22,23,24,25,26,27,28,29,30}-1)*LEN(Registro!$G93)+1,LEN(Registro!$G93)))&amp;"x")-1))),"Revisar formato")))</f>
        <v/>
      </c>
      <c r="I93" s="11" t="str">
        <f>IF(Registro!$G93="","",IF(ISERROR(FIND("x",LOWER(Registro!$G93))),N(Registro!$H93),IFERROR(SUMPRODUCT(--("0"&amp;LEFT(TRIM(MID(SUBSTITUTE(SUBSTITUTE(SUBSTITUTE(SUBSTITUTE(SUBSTITUTE(LOWER(Registro!$G93),"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",LEN(Registro!$G93))),({1,2,3,4,5,6,7,8,9,10,11,12,13,14,15,16,17,18,19,20,21,22,23,24,25,26,27,28,29,30}-1)*LEN(Registro!$G93)+1,LEN(Registro!$G93))),FIND("x",TRIM(MID(SUBSTITUTE(SUBSTITUTE(SUBSTITUTE(SUBSTITUTE(SUBSTITUTE(LOWER(Registro!$G93),"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",LEN(Registro!$G93))),({1,2,3,4,5,6,7,8,9,10,11,12,13,14,15,16,17,18,19,20,21,22,23,24,25,26,27,28,29,30}-1)*LEN(Registro!$G93)+1,LEN(Registro!$G93)))&amp;"x")-1)),--("0"&amp;MID(TRIM(MID(SUBSTITUTE(SUBSTITUTE(SUBSTITUTE(SUBSTITUTE(SUBSTITUTE(LOWER(Registro!$G93),"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",LEN(Registro!$G93))),({1,2,3,4,5,6,7,8,9,10,11,12,13,14,15,16,17,18,19,20,21,22,23,24,25,26,27,28,29,30}-1)*LEN(Registro!$G93)+1,LEN(Registro!$G93))),FIND("x",TRIM(MID(SUBSTITUTE(SUBSTITUTE(SUBSTITUTE(SUBSTITUTE(SUBSTITUTE(LOWER(Registro!$G93),"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",LEN(Registro!$G93))),({1,2,3,4,5,6,7,8,9,10,11,12,13,14,15,16,17,18,19,20,21,22,23,24,25,26,27,28,29,30}-1)*LEN(Registro!$G93)+1,LEN(Registro!$G93)))&amp;"x")+1,20))),"Revisar formato")))</f>
        <v/>
      </c>
      <c r="J93" s="9" t="str">
        <f>IF(AND(Registro!$E93="",Registro!$G93=""),"",IF(NOT(AND(ISNUMBER(I93),ISNUMBER(Registro!$H93))),"",IF(I93&lt;Registro!$H93,"FALTA BOLETOS",IF(I93=Registro!$H93,"CONFORME","DIFERENCIA"))))</f>
        <v/>
      </c>
      <c r="K93" s="11" t="str">
        <f>IF(Registro!$I93="","",IFERROR(SUMPRODUCT(--("0"&amp;TRIM(RIGHT(SUBSTITUTE(TRIM(MID(SUBSTITUTE(SUBSTITUTE(Registro!$I93,";",CHAR(10)),CHAR(10),REPT(" ",LEN(Registro!$I93))),({1,2,3,4,5,6,7,8,9,10,11,12,13,14,15,16,17,18,19,20,21,22,23,24,25,26,27,28,29,30}-1)*LEN(Registro!$I93)+1,LEN(Registro!$I93)))," ",REPT(" ",50)),50)))),"Revisar formato"))</f>
        <v/>
      </c>
      <c r="L93" s="11" t="str">
        <f>IF(Registro!$J93="","",IFERROR(SUMPRODUCT(--("0"&amp;TRIM(RIGHT(SUBSTITUTE(TRIM(MID(SUBSTITUTE(SUBSTITUTE(Registro!$J93,";",CHAR(10)),CHAR(10),REPT(" ",LEN(Registro!$J93))),({1,2,3,4,5,6,7,8,9,10,11,12,13,14,15,16,17,18,19,20,21,22,23,24,25,26,27,28,29,30}-1)*LEN(Registro!$J93)+1,LEN(Registro!$J93)))," ",REPT(" ",50)),50)))),"Revisar formato"))</f>
        <v/>
      </c>
      <c r="M93" s="11" t="str">
        <f>IF(AND(Registro!$H93="",Registro!$I93=""),"",IF(AND(ISTEXT(K93),K93&lt;&gt;""),"Revisar formato",N(Registro!$H93)-N(K93)))</f>
        <v/>
      </c>
      <c r="N93" s="11" t="str">
        <f t="shared" si="5"/>
        <v/>
      </c>
      <c r="O93" s="15" t="str">
        <f>IF(AND(A93=Consulta!$B$3,C93=Consulta!$H$3),B93*10000+ROW(),"")</f>
        <v/>
      </c>
    </row>
    <row r="94" spans="1:15" x14ac:dyDescent="0.25">
      <c r="A94" s="9" t="str">
        <f>IF(Registro!$A94="","",Registro!$A94)</f>
        <v/>
      </c>
      <c r="B94" s="8" t="str">
        <f>IF(Registro!$B94="","",Registro!$B94)</f>
        <v/>
      </c>
      <c r="C94" s="14" t="str">
        <f t="shared" si="3"/>
        <v/>
      </c>
      <c r="D94" s="10" t="str">
        <f>IF(Registro!$E94="","",IF(ISERROR(FIND("x",LOWER(Registro!$E94))),"-",IFERROR(SUMPRODUCT(--("0"&amp;LEFT(TRIM(MID(SUBSTITUTE(SUBSTITUTE(SUBSTITUTE(SUBSTITUTE(SUBSTITUTE(LOWER(Registro!$E94),"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",LEN(Registro!$E94))),({1,2,3,4,5,6,7,8,9,10,11,12,13,14,15,16,17,18,19,20,21,22,23,24,25,26,27,28,29,30}-1)*LEN(Registro!$E94)+1,LEN(Registro!$E94)))&amp;"x")-1))),"Revisar formato")))</f>
        <v/>
      </c>
      <c r="E94" s="11" t="str">
        <f>IF(Registro!$E94="","",IF(ISERROR(FIND("x",LOWER(Registro!$E94))),"-",IFERROR(SUMPRODUCT(--("0"&amp;LEFT(TRIM(MID(SUBSTITUTE(SUBSTITUTE(SUBSTITUTE(SUBSTITUTE(SUBSTITUTE(LOWER(Registro!$E94),"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",LEN(Registro!$E94))),({1,2,3,4,5,6,7,8,9,10,11,12,13,14,15,16,17,18,19,20,21,22,23,24,25,26,27,28,29,30}-1)*LEN(Registro!$E94)+1,LEN(Registro!$E94)))&amp;"x")-1)),--("0"&amp;MID(TRIM(MID(SUBSTITUTE(SUBSTITUTE(SUBSTITUTE(SUBSTITUTE(SUBSTITUTE(LOWER(Registro!$E94),"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",LEN(Registro!$E94))),({1,2,3,4,5,6,7,8,9,10,11,12,13,14,15,16,17,18,19,20,21,22,23,24,25,26,27,28,29,30}-1)*LEN(Registro!$E94)+1,LEN(Registro!$E94)))&amp;"x")+1,20))),"Revisar formato")))</f>
        <v/>
      </c>
      <c r="F94" s="11" t="str">
        <f>IF(Registro!$F94="","",N(Registro!$F94))</f>
        <v/>
      </c>
      <c r="G94" s="11" t="str">
        <f t="shared" si="4"/>
        <v/>
      </c>
      <c r="H94" s="10" t="str">
        <f>IF(Registro!$G94="","",IF(ISERROR(FIND("x",LOWER(Registro!$G94))),"-",IFERROR(SUMPRODUCT(--("0"&amp;LEFT(TRIM(MID(SUBSTITUTE(SUBSTITUTE(SUBSTITUTE(SUBSTITUTE(SUBSTITUTE(LOWER(Registro!$G94),"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",LEN(Registro!$G94))),({1,2,3,4,5,6,7,8,9,10,11,12,13,14,15,16,17,18,19,20,21,22,23,24,25,26,27,28,29,30}-1)*LEN(Registro!$G94)+1,LEN(Registro!$G94))),FIND("x",TRIM(MID(SUBSTITUTE(SUBSTITUTE(SUBSTITUTE(SUBSTITUTE(SUBSTITUTE(LOWER(Registro!$G94),"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",LEN(Registro!$G94))),({1,2,3,4,5,6,7,8,9,10,11,12,13,14,15,16,17,18,19,20,21,22,23,24,25,26,27,28,29,30}-1)*LEN(Registro!$G94)+1,LEN(Registro!$G94)))&amp;"x")-1))),"Revisar formato")))</f>
        <v/>
      </c>
      <c r="I94" s="11" t="str">
        <f>IF(Registro!$G94="","",IF(ISERROR(FIND("x",LOWER(Registro!$G94))),N(Registro!$H94),IFERROR(SUMPRODUCT(--("0"&amp;LEFT(TRIM(MID(SUBSTITUTE(SUBSTITUTE(SUBSTITUTE(SUBSTITUTE(SUBSTITUTE(LOWER(Registro!$G94),"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",LEN(Registro!$G94))),({1,2,3,4,5,6,7,8,9,10,11,12,13,14,15,16,17,18,19,20,21,22,23,24,25,26,27,28,29,30}-1)*LEN(Registro!$G94)+1,LEN(Registro!$G94))),FIND("x",TRIM(MID(SUBSTITUTE(SUBSTITUTE(SUBSTITUTE(SUBSTITUTE(SUBSTITUTE(LOWER(Registro!$G94),"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",LEN(Registro!$G94))),({1,2,3,4,5,6,7,8,9,10,11,12,13,14,15,16,17,18,19,20,21,22,23,24,25,26,27,28,29,30}-1)*LEN(Registro!$G94)+1,LEN(Registro!$G94)))&amp;"x")-1)),--("0"&amp;MID(TRIM(MID(SUBSTITUTE(SUBSTITUTE(SUBSTITUTE(SUBSTITUTE(SUBSTITUTE(LOWER(Registro!$G94),"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",LEN(Registro!$G94))),({1,2,3,4,5,6,7,8,9,10,11,12,13,14,15,16,17,18,19,20,21,22,23,24,25,26,27,28,29,30}-1)*LEN(Registro!$G94)+1,LEN(Registro!$G94))),FIND("x",TRIM(MID(SUBSTITUTE(SUBSTITUTE(SUBSTITUTE(SUBSTITUTE(SUBSTITUTE(LOWER(Registro!$G94),"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",LEN(Registro!$G94))),({1,2,3,4,5,6,7,8,9,10,11,12,13,14,15,16,17,18,19,20,21,22,23,24,25,26,27,28,29,30}-1)*LEN(Registro!$G94)+1,LEN(Registro!$G94)))&amp;"x")+1,20))),"Revisar formato")))</f>
        <v/>
      </c>
      <c r="J94" s="9" t="str">
        <f>IF(AND(Registro!$E94="",Registro!$G94=""),"",IF(NOT(AND(ISNUMBER(I94),ISNUMBER(Registro!$H94))),"",IF(I94&lt;Registro!$H94,"FALTA BOLETOS",IF(I94=Registro!$H94,"CONFORME","DIFERENCIA"))))</f>
        <v/>
      </c>
      <c r="K94" s="11" t="str">
        <f>IF(Registro!$I94="","",IFERROR(SUMPRODUCT(--("0"&amp;TRIM(RIGHT(SUBSTITUTE(TRIM(MID(SUBSTITUTE(SUBSTITUTE(Registro!$I94,";",CHAR(10)),CHAR(10),REPT(" ",LEN(Registro!$I94))),({1,2,3,4,5,6,7,8,9,10,11,12,13,14,15,16,17,18,19,20,21,22,23,24,25,26,27,28,29,30}-1)*LEN(Registro!$I94)+1,LEN(Registro!$I94)))," ",REPT(" ",50)),50)))),"Revisar formato"))</f>
        <v/>
      </c>
      <c r="L94" s="11" t="str">
        <f>IF(Registro!$J94="","",IFERROR(SUMPRODUCT(--("0"&amp;TRIM(RIGHT(SUBSTITUTE(TRIM(MID(SUBSTITUTE(SUBSTITUTE(Registro!$J94,";",CHAR(10)),CHAR(10),REPT(" ",LEN(Registro!$J94))),({1,2,3,4,5,6,7,8,9,10,11,12,13,14,15,16,17,18,19,20,21,22,23,24,25,26,27,28,29,30}-1)*LEN(Registro!$J94)+1,LEN(Registro!$J94)))," ",REPT(" ",50)),50)))),"Revisar formato"))</f>
        <v/>
      </c>
      <c r="M94" s="11" t="str">
        <f>IF(AND(Registro!$H94="",Registro!$I94=""),"",IF(AND(ISTEXT(K94),K94&lt;&gt;""),"Revisar formato",N(Registro!$H94)-N(K94)))</f>
        <v/>
      </c>
      <c r="N94" s="11" t="str">
        <f t="shared" si="5"/>
        <v/>
      </c>
      <c r="O94" s="15" t="str">
        <f>IF(AND(A94=Consulta!$B$3,C94=Consulta!$H$3),B94*10000+ROW(),"")</f>
        <v/>
      </c>
    </row>
    <row r="95" spans="1:15" x14ac:dyDescent="0.25">
      <c r="A95" s="9" t="str">
        <f>IF(Registro!$A95="","",Registro!$A95)</f>
        <v/>
      </c>
      <c r="B95" s="8" t="str">
        <f>IF(Registro!$B95="","",Registro!$B95)</f>
        <v/>
      </c>
      <c r="C95" s="14" t="str">
        <f t="shared" si="3"/>
        <v/>
      </c>
      <c r="D95" s="10" t="str">
        <f>IF(Registro!$E95="","",IF(ISERROR(FIND("x",LOWER(Registro!$E95))),"-",IFERROR(SUMPRODUCT(--("0"&amp;LEFT(TRIM(MID(SUBSTITUTE(SUBSTITUTE(SUBSTITUTE(SUBSTITUTE(SUBSTITUTE(LOWER(Registro!$E95),"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",LEN(Registro!$E95))),({1,2,3,4,5,6,7,8,9,10,11,12,13,14,15,16,17,18,19,20,21,22,23,24,25,26,27,28,29,30}-1)*LEN(Registro!$E95)+1,LEN(Registro!$E95)))&amp;"x")-1))),"Revisar formato")))</f>
        <v/>
      </c>
      <c r="E95" s="11" t="str">
        <f>IF(Registro!$E95="","",IF(ISERROR(FIND("x",LOWER(Registro!$E95))),"-",IFERROR(SUMPRODUCT(--("0"&amp;LEFT(TRIM(MID(SUBSTITUTE(SUBSTITUTE(SUBSTITUTE(SUBSTITUTE(SUBSTITUTE(LOWER(Registro!$E95),"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",LEN(Registro!$E95))),({1,2,3,4,5,6,7,8,9,10,11,12,13,14,15,16,17,18,19,20,21,22,23,24,25,26,27,28,29,30}-1)*LEN(Registro!$E95)+1,LEN(Registro!$E95)))&amp;"x")-1)),--("0"&amp;MID(TRIM(MID(SUBSTITUTE(SUBSTITUTE(SUBSTITUTE(SUBSTITUTE(SUBSTITUTE(LOWER(Registro!$E95),"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",LEN(Registro!$E95))),({1,2,3,4,5,6,7,8,9,10,11,12,13,14,15,16,17,18,19,20,21,22,23,24,25,26,27,28,29,30}-1)*LEN(Registro!$E95)+1,LEN(Registro!$E95)))&amp;"x")+1,20))),"Revisar formato")))</f>
        <v/>
      </c>
      <c r="F95" s="11" t="str">
        <f>IF(Registro!$F95="","",N(Registro!$F95))</f>
        <v/>
      </c>
      <c r="G95" s="11" t="str">
        <f t="shared" si="4"/>
        <v/>
      </c>
      <c r="H95" s="10" t="str">
        <f>IF(Registro!$G95="","",IF(ISERROR(FIND("x",LOWER(Registro!$G95))),"-",IFERROR(SUMPRODUCT(--("0"&amp;LEFT(TRIM(MID(SUBSTITUTE(SUBSTITUTE(SUBSTITUTE(SUBSTITUTE(SUBSTITUTE(LOWER(Registro!$G95),"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",LEN(Registro!$G95))),({1,2,3,4,5,6,7,8,9,10,11,12,13,14,15,16,17,18,19,20,21,22,23,24,25,26,27,28,29,30}-1)*LEN(Registro!$G95)+1,LEN(Registro!$G95))),FIND("x",TRIM(MID(SUBSTITUTE(SUBSTITUTE(SUBSTITUTE(SUBSTITUTE(SUBSTITUTE(LOWER(Registro!$G95),"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",LEN(Registro!$G95))),({1,2,3,4,5,6,7,8,9,10,11,12,13,14,15,16,17,18,19,20,21,22,23,24,25,26,27,28,29,30}-1)*LEN(Registro!$G95)+1,LEN(Registro!$G95)))&amp;"x")-1))),"Revisar formato")))</f>
        <v/>
      </c>
      <c r="I95" s="11" t="str">
        <f>IF(Registro!$G95="","",IF(ISERROR(FIND("x",LOWER(Registro!$G95))),N(Registro!$H95),IFERROR(SUMPRODUCT(--("0"&amp;LEFT(TRIM(MID(SUBSTITUTE(SUBSTITUTE(SUBSTITUTE(SUBSTITUTE(SUBSTITUTE(LOWER(Registro!$G95),"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",LEN(Registro!$G95))),({1,2,3,4,5,6,7,8,9,10,11,12,13,14,15,16,17,18,19,20,21,22,23,24,25,26,27,28,29,30}-1)*LEN(Registro!$G95)+1,LEN(Registro!$G95))),FIND("x",TRIM(MID(SUBSTITUTE(SUBSTITUTE(SUBSTITUTE(SUBSTITUTE(SUBSTITUTE(LOWER(Registro!$G95),"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",LEN(Registro!$G95))),({1,2,3,4,5,6,7,8,9,10,11,12,13,14,15,16,17,18,19,20,21,22,23,24,25,26,27,28,29,30}-1)*LEN(Registro!$G95)+1,LEN(Registro!$G95)))&amp;"x")-1)),--("0"&amp;MID(TRIM(MID(SUBSTITUTE(SUBSTITUTE(SUBSTITUTE(SUBSTITUTE(SUBSTITUTE(LOWER(Registro!$G95),"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",LEN(Registro!$G95))),({1,2,3,4,5,6,7,8,9,10,11,12,13,14,15,16,17,18,19,20,21,22,23,24,25,26,27,28,29,30}-1)*LEN(Registro!$G95)+1,LEN(Registro!$G95))),FIND("x",TRIM(MID(SUBSTITUTE(SUBSTITUTE(SUBSTITUTE(SUBSTITUTE(SUBSTITUTE(LOWER(Registro!$G95),"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",LEN(Registro!$G95))),({1,2,3,4,5,6,7,8,9,10,11,12,13,14,15,16,17,18,19,20,21,22,23,24,25,26,27,28,29,30}-1)*LEN(Registro!$G95)+1,LEN(Registro!$G95)))&amp;"x")+1,20))),"Revisar formato")))</f>
        <v/>
      </c>
      <c r="J95" s="9" t="str">
        <f>IF(AND(Registro!$E95="",Registro!$G95=""),"",IF(NOT(AND(ISNUMBER(I95),ISNUMBER(Registro!$H95))),"",IF(I95&lt;Registro!$H95,"FALTA BOLETOS",IF(I95=Registro!$H95,"CONFORME","DIFERENCIA"))))</f>
        <v/>
      </c>
      <c r="K95" s="11" t="str">
        <f>IF(Registro!$I95="","",IFERROR(SUMPRODUCT(--("0"&amp;TRIM(RIGHT(SUBSTITUTE(TRIM(MID(SUBSTITUTE(SUBSTITUTE(Registro!$I95,";",CHAR(10)),CHAR(10),REPT(" ",LEN(Registro!$I95))),({1,2,3,4,5,6,7,8,9,10,11,12,13,14,15,16,17,18,19,20,21,22,23,24,25,26,27,28,29,30}-1)*LEN(Registro!$I95)+1,LEN(Registro!$I95)))," ",REPT(" ",50)),50)))),"Revisar formato"))</f>
        <v/>
      </c>
      <c r="L95" s="11" t="str">
        <f>IF(Registro!$J95="","",IFERROR(SUMPRODUCT(--("0"&amp;TRIM(RIGHT(SUBSTITUTE(TRIM(MID(SUBSTITUTE(SUBSTITUTE(Registro!$J95,";",CHAR(10)),CHAR(10),REPT(" ",LEN(Registro!$J95))),({1,2,3,4,5,6,7,8,9,10,11,12,13,14,15,16,17,18,19,20,21,22,23,24,25,26,27,28,29,30}-1)*LEN(Registro!$J95)+1,LEN(Registro!$J95)))," ",REPT(" ",50)),50)))),"Revisar formato"))</f>
        <v/>
      </c>
      <c r="M95" s="11" t="str">
        <f>IF(AND(Registro!$H95="",Registro!$I95=""),"",IF(AND(ISTEXT(K95),K95&lt;&gt;""),"Revisar formato",N(Registro!$H95)-N(K95)))</f>
        <v/>
      </c>
      <c r="N95" s="11" t="str">
        <f t="shared" si="5"/>
        <v/>
      </c>
      <c r="O95" s="15" t="str">
        <f>IF(AND(A95=Consulta!$B$3,C95=Consulta!$H$3),B95*10000+ROW(),"")</f>
        <v/>
      </c>
    </row>
    <row r="96" spans="1:15" x14ac:dyDescent="0.25">
      <c r="A96" s="9" t="str">
        <f>IF(Registro!$A96="","",Registro!$A96)</f>
        <v/>
      </c>
      <c r="B96" s="8" t="str">
        <f>IF(Registro!$B96="","",Registro!$B96)</f>
        <v/>
      </c>
      <c r="C96" s="14" t="str">
        <f t="shared" si="3"/>
        <v/>
      </c>
      <c r="D96" s="10" t="str">
        <f>IF(Registro!$E96="","",IF(ISERROR(FIND("x",LOWER(Registro!$E96))),"-",IFERROR(SUMPRODUCT(--("0"&amp;LEFT(TRIM(MID(SUBSTITUTE(SUBSTITUTE(SUBSTITUTE(SUBSTITUTE(SUBSTITUTE(LOWER(Registro!$E96),"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",LEN(Registro!$E96))),({1,2,3,4,5,6,7,8,9,10,11,12,13,14,15,16,17,18,19,20,21,22,23,24,25,26,27,28,29,30}-1)*LEN(Registro!$E96)+1,LEN(Registro!$E96)))&amp;"x")-1))),"Revisar formato")))</f>
        <v/>
      </c>
      <c r="E96" s="11" t="str">
        <f>IF(Registro!$E96="","",IF(ISERROR(FIND("x",LOWER(Registro!$E96))),"-",IFERROR(SUMPRODUCT(--("0"&amp;LEFT(TRIM(MID(SUBSTITUTE(SUBSTITUTE(SUBSTITUTE(SUBSTITUTE(SUBSTITUTE(LOWER(Registro!$E96),"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",LEN(Registro!$E96))),({1,2,3,4,5,6,7,8,9,10,11,12,13,14,15,16,17,18,19,20,21,22,23,24,25,26,27,28,29,30}-1)*LEN(Registro!$E96)+1,LEN(Registro!$E96)))&amp;"x")-1)),--("0"&amp;MID(TRIM(MID(SUBSTITUTE(SUBSTITUTE(SUBSTITUTE(SUBSTITUTE(SUBSTITUTE(LOWER(Registro!$E96),"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",LEN(Registro!$E96))),({1,2,3,4,5,6,7,8,9,10,11,12,13,14,15,16,17,18,19,20,21,22,23,24,25,26,27,28,29,30}-1)*LEN(Registro!$E96)+1,LEN(Registro!$E96)))&amp;"x")+1,20))),"Revisar formato")))</f>
        <v/>
      </c>
      <c r="F96" s="11" t="str">
        <f>IF(Registro!$F96="","",N(Registro!$F96))</f>
        <v/>
      </c>
      <c r="G96" s="11" t="str">
        <f t="shared" si="4"/>
        <v/>
      </c>
      <c r="H96" s="10" t="str">
        <f>IF(Registro!$G96="","",IF(ISERROR(FIND("x",LOWER(Registro!$G96))),"-",IFERROR(SUMPRODUCT(--("0"&amp;LEFT(TRIM(MID(SUBSTITUTE(SUBSTITUTE(SUBSTITUTE(SUBSTITUTE(SUBSTITUTE(LOWER(Registro!$G96),"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",LEN(Registro!$G96))),({1,2,3,4,5,6,7,8,9,10,11,12,13,14,15,16,17,18,19,20,21,22,23,24,25,26,27,28,29,30}-1)*LEN(Registro!$G96)+1,LEN(Registro!$G96))),FIND("x",TRIM(MID(SUBSTITUTE(SUBSTITUTE(SUBSTITUTE(SUBSTITUTE(SUBSTITUTE(LOWER(Registro!$G96),"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",LEN(Registro!$G96))),({1,2,3,4,5,6,7,8,9,10,11,12,13,14,15,16,17,18,19,20,21,22,23,24,25,26,27,28,29,30}-1)*LEN(Registro!$G96)+1,LEN(Registro!$G96)))&amp;"x")-1))),"Revisar formato")))</f>
        <v/>
      </c>
      <c r="I96" s="11" t="str">
        <f>IF(Registro!$G96="","",IF(ISERROR(FIND("x",LOWER(Registro!$G96))),N(Registro!$H96),IFERROR(SUMPRODUCT(--("0"&amp;LEFT(TRIM(MID(SUBSTITUTE(SUBSTITUTE(SUBSTITUTE(SUBSTITUTE(SUBSTITUTE(LOWER(Registro!$G96),"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",LEN(Registro!$G96))),({1,2,3,4,5,6,7,8,9,10,11,12,13,14,15,16,17,18,19,20,21,22,23,24,25,26,27,28,29,30}-1)*LEN(Registro!$G96)+1,LEN(Registro!$G96))),FIND("x",TRIM(MID(SUBSTITUTE(SUBSTITUTE(SUBSTITUTE(SUBSTITUTE(SUBSTITUTE(LOWER(Registro!$G96),"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",LEN(Registro!$G96))),({1,2,3,4,5,6,7,8,9,10,11,12,13,14,15,16,17,18,19,20,21,22,23,24,25,26,27,28,29,30}-1)*LEN(Registro!$G96)+1,LEN(Registro!$G96)))&amp;"x")-1)),--("0"&amp;MID(TRIM(MID(SUBSTITUTE(SUBSTITUTE(SUBSTITUTE(SUBSTITUTE(SUBSTITUTE(LOWER(Registro!$G96),"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",LEN(Registro!$G96))),({1,2,3,4,5,6,7,8,9,10,11,12,13,14,15,16,17,18,19,20,21,22,23,24,25,26,27,28,29,30}-1)*LEN(Registro!$G96)+1,LEN(Registro!$G96))),FIND("x",TRIM(MID(SUBSTITUTE(SUBSTITUTE(SUBSTITUTE(SUBSTITUTE(SUBSTITUTE(LOWER(Registro!$G96),"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",LEN(Registro!$G96))),({1,2,3,4,5,6,7,8,9,10,11,12,13,14,15,16,17,18,19,20,21,22,23,24,25,26,27,28,29,30}-1)*LEN(Registro!$G96)+1,LEN(Registro!$G96)))&amp;"x")+1,20))),"Revisar formato")))</f>
        <v/>
      </c>
      <c r="J96" s="9" t="str">
        <f>IF(AND(Registro!$E96="",Registro!$G96=""),"",IF(NOT(AND(ISNUMBER(I96),ISNUMBER(Registro!$H96))),"",IF(I96&lt;Registro!$H96,"FALTA BOLETOS",IF(I96=Registro!$H96,"CONFORME","DIFERENCIA"))))</f>
        <v/>
      </c>
      <c r="K96" s="11" t="str">
        <f>IF(Registro!$I96="","",IFERROR(SUMPRODUCT(--("0"&amp;TRIM(RIGHT(SUBSTITUTE(TRIM(MID(SUBSTITUTE(SUBSTITUTE(Registro!$I96,";",CHAR(10)),CHAR(10),REPT(" ",LEN(Registro!$I96))),({1,2,3,4,5,6,7,8,9,10,11,12,13,14,15,16,17,18,19,20,21,22,23,24,25,26,27,28,29,30}-1)*LEN(Registro!$I96)+1,LEN(Registro!$I96)))," ",REPT(" ",50)),50)))),"Revisar formato"))</f>
        <v/>
      </c>
      <c r="L96" s="11" t="str">
        <f>IF(Registro!$J96="","",IFERROR(SUMPRODUCT(--("0"&amp;TRIM(RIGHT(SUBSTITUTE(TRIM(MID(SUBSTITUTE(SUBSTITUTE(Registro!$J96,";",CHAR(10)),CHAR(10),REPT(" ",LEN(Registro!$J96))),({1,2,3,4,5,6,7,8,9,10,11,12,13,14,15,16,17,18,19,20,21,22,23,24,25,26,27,28,29,30}-1)*LEN(Registro!$J96)+1,LEN(Registro!$J96)))," ",REPT(" ",50)),50)))),"Revisar formato"))</f>
        <v/>
      </c>
      <c r="M96" s="11" t="str">
        <f>IF(AND(Registro!$H96="",Registro!$I96=""),"",IF(AND(ISTEXT(K96),K96&lt;&gt;""),"Revisar formato",N(Registro!$H96)-N(K96)))</f>
        <v/>
      </c>
      <c r="N96" s="11" t="str">
        <f t="shared" si="5"/>
        <v/>
      </c>
      <c r="O96" s="15" t="str">
        <f>IF(AND(A96=Consulta!$B$3,C96=Consulta!$H$3),B96*10000+ROW(),"")</f>
        <v/>
      </c>
    </row>
    <row r="97" spans="1:15" x14ac:dyDescent="0.25">
      <c r="A97" s="9" t="str">
        <f>IF(Registro!$A97="","",Registro!$A97)</f>
        <v/>
      </c>
      <c r="B97" s="8" t="str">
        <f>IF(Registro!$B97="","",Registro!$B97)</f>
        <v/>
      </c>
      <c r="C97" s="14" t="str">
        <f t="shared" si="3"/>
        <v/>
      </c>
      <c r="D97" s="10" t="str">
        <f>IF(Registro!$E97="","",IF(ISERROR(FIND("x",LOWER(Registro!$E97))),"-",IFERROR(SUMPRODUCT(--("0"&amp;LEFT(TRIM(MID(SUBSTITUTE(SUBSTITUTE(SUBSTITUTE(SUBSTITUTE(SUBSTITUTE(LOWER(Registro!$E97),"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",LEN(Registro!$E97))),({1,2,3,4,5,6,7,8,9,10,11,12,13,14,15,16,17,18,19,20,21,22,23,24,25,26,27,28,29,30}-1)*LEN(Registro!$E97)+1,LEN(Registro!$E97)))&amp;"x")-1))),"Revisar formato")))</f>
        <v/>
      </c>
      <c r="E97" s="11" t="str">
        <f>IF(Registro!$E97="","",IF(ISERROR(FIND("x",LOWER(Registro!$E97))),"-",IFERROR(SUMPRODUCT(--("0"&amp;LEFT(TRIM(MID(SUBSTITUTE(SUBSTITUTE(SUBSTITUTE(SUBSTITUTE(SUBSTITUTE(LOWER(Registro!$E97),"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",LEN(Registro!$E97))),({1,2,3,4,5,6,7,8,9,10,11,12,13,14,15,16,17,18,19,20,21,22,23,24,25,26,27,28,29,30}-1)*LEN(Registro!$E97)+1,LEN(Registro!$E97)))&amp;"x")-1)),--("0"&amp;MID(TRIM(MID(SUBSTITUTE(SUBSTITUTE(SUBSTITUTE(SUBSTITUTE(SUBSTITUTE(LOWER(Registro!$E97),"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",LEN(Registro!$E97))),({1,2,3,4,5,6,7,8,9,10,11,12,13,14,15,16,17,18,19,20,21,22,23,24,25,26,27,28,29,30}-1)*LEN(Registro!$E97)+1,LEN(Registro!$E97)))&amp;"x")+1,20))),"Revisar formato")))</f>
        <v/>
      </c>
      <c r="F97" s="11" t="str">
        <f>IF(Registro!$F97="","",N(Registro!$F97))</f>
        <v/>
      </c>
      <c r="G97" s="11" t="str">
        <f t="shared" si="4"/>
        <v/>
      </c>
      <c r="H97" s="10" t="str">
        <f>IF(Registro!$G97="","",IF(ISERROR(FIND("x",LOWER(Registro!$G97))),"-",IFERROR(SUMPRODUCT(--("0"&amp;LEFT(TRIM(MID(SUBSTITUTE(SUBSTITUTE(SUBSTITUTE(SUBSTITUTE(SUBSTITUTE(LOWER(Registro!$G97),"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",LEN(Registro!$G97))),({1,2,3,4,5,6,7,8,9,10,11,12,13,14,15,16,17,18,19,20,21,22,23,24,25,26,27,28,29,30}-1)*LEN(Registro!$G97)+1,LEN(Registro!$G97))),FIND("x",TRIM(MID(SUBSTITUTE(SUBSTITUTE(SUBSTITUTE(SUBSTITUTE(SUBSTITUTE(LOWER(Registro!$G97),"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",LEN(Registro!$G97))),({1,2,3,4,5,6,7,8,9,10,11,12,13,14,15,16,17,18,19,20,21,22,23,24,25,26,27,28,29,30}-1)*LEN(Registro!$G97)+1,LEN(Registro!$G97)))&amp;"x")-1))),"Revisar formato")))</f>
        <v/>
      </c>
      <c r="I97" s="11" t="str">
        <f>IF(Registro!$G97="","",IF(ISERROR(FIND("x",LOWER(Registro!$G97))),N(Registro!$H97),IFERROR(SUMPRODUCT(--("0"&amp;LEFT(TRIM(MID(SUBSTITUTE(SUBSTITUTE(SUBSTITUTE(SUBSTITUTE(SUBSTITUTE(LOWER(Registro!$G97),"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",LEN(Registro!$G97))),({1,2,3,4,5,6,7,8,9,10,11,12,13,14,15,16,17,18,19,20,21,22,23,24,25,26,27,28,29,30}-1)*LEN(Registro!$G97)+1,LEN(Registro!$G97))),FIND("x",TRIM(MID(SUBSTITUTE(SUBSTITUTE(SUBSTITUTE(SUBSTITUTE(SUBSTITUTE(LOWER(Registro!$G97),"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",LEN(Registro!$G97))),({1,2,3,4,5,6,7,8,9,10,11,12,13,14,15,16,17,18,19,20,21,22,23,24,25,26,27,28,29,30}-1)*LEN(Registro!$G97)+1,LEN(Registro!$G97)))&amp;"x")-1)),--("0"&amp;MID(TRIM(MID(SUBSTITUTE(SUBSTITUTE(SUBSTITUTE(SUBSTITUTE(SUBSTITUTE(LOWER(Registro!$G97),"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",LEN(Registro!$G97))),({1,2,3,4,5,6,7,8,9,10,11,12,13,14,15,16,17,18,19,20,21,22,23,24,25,26,27,28,29,30}-1)*LEN(Registro!$G97)+1,LEN(Registro!$G97))),FIND("x",TRIM(MID(SUBSTITUTE(SUBSTITUTE(SUBSTITUTE(SUBSTITUTE(SUBSTITUTE(LOWER(Registro!$G97),"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",LEN(Registro!$G97))),({1,2,3,4,5,6,7,8,9,10,11,12,13,14,15,16,17,18,19,20,21,22,23,24,25,26,27,28,29,30}-1)*LEN(Registro!$G97)+1,LEN(Registro!$G97)))&amp;"x")+1,20))),"Revisar formato")))</f>
        <v/>
      </c>
      <c r="J97" s="9" t="str">
        <f>IF(AND(Registro!$E97="",Registro!$G97=""),"",IF(NOT(AND(ISNUMBER(I97),ISNUMBER(Registro!$H97))),"",IF(I97&lt;Registro!$H97,"FALTA BOLETOS",IF(I97=Registro!$H97,"CONFORME","DIFERENCIA"))))</f>
        <v/>
      </c>
      <c r="K97" s="11" t="str">
        <f>IF(Registro!$I97="","",IFERROR(SUMPRODUCT(--("0"&amp;TRIM(RIGHT(SUBSTITUTE(TRIM(MID(SUBSTITUTE(SUBSTITUTE(Registro!$I97,";",CHAR(10)),CHAR(10),REPT(" ",LEN(Registro!$I97))),({1,2,3,4,5,6,7,8,9,10,11,12,13,14,15,16,17,18,19,20,21,22,23,24,25,26,27,28,29,30}-1)*LEN(Registro!$I97)+1,LEN(Registro!$I97)))," ",REPT(" ",50)),50)))),"Revisar formato"))</f>
        <v/>
      </c>
      <c r="L97" s="11" t="str">
        <f>IF(Registro!$J97="","",IFERROR(SUMPRODUCT(--("0"&amp;TRIM(RIGHT(SUBSTITUTE(TRIM(MID(SUBSTITUTE(SUBSTITUTE(Registro!$J97,";",CHAR(10)),CHAR(10),REPT(" ",LEN(Registro!$J97))),({1,2,3,4,5,6,7,8,9,10,11,12,13,14,15,16,17,18,19,20,21,22,23,24,25,26,27,28,29,30}-1)*LEN(Registro!$J97)+1,LEN(Registro!$J97)))," ",REPT(" ",50)),50)))),"Revisar formato"))</f>
        <v/>
      </c>
      <c r="M97" s="11" t="str">
        <f>IF(AND(Registro!$H97="",Registro!$I97=""),"",IF(AND(ISTEXT(K97),K97&lt;&gt;""),"Revisar formato",N(Registro!$H97)-N(K97)))</f>
        <v/>
      </c>
      <c r="N97" s="11" t="str">
        <f t="shared" si="5"/>
        <v/>
      </c>
      <c r="O97" s="15" t="str">
        <f>IF(AND(A97=Consulta!$B$3,C97=Consulta!$H$3),B97*10000+ROW(),"")</f>
        <v/>
      </c>
    </row>
    <row r="98" spans="1:15" x14ac:dyDescent="0.25">
      <c r="A98" s="9" t="str">
        <f>IF(Registro!$A98="","",Registro!$A98)</f>
        <v/>
      </c>
      <c r="B98" s="8" t="str">
        <f>IF(Registro!$B98="","",Registro!$B98)</f>
        <v/>
      </c>
      <c r="C98" s="14" t="str">
        <f t="shared" si="3"/>
        <v/>
      </c>
      <c r="D98" s="10" t="str">
        <f>IF(Registro!$E98="","",IF(ISERROR(FIND("x",LOWER(Registro!$E98))),"-",IFERROR(SUMPRODUCT(--("0"&amp;LEFT(TRIM(MID(SUBSTITUTE(SUBSTITUTE(SUBSTITUTE(SUBSTITUTE(SUBSTITUTE(LOWER(Registro!$E98),"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",LEN(Registro!$E98))),({1,2,3,4,5,6,7,8,9,10,11,12,13,14,15,16,17,18,19,20,21,22,23,24,25,26,27,28,29,30}-1)*LEN(Registro!$E98)+1,LEN(Registro!$E98)))&amp;"x")-1))),"Revisar formato")))</f>
        <v/>
      </c>
      <c r="E98" s="11" t="str">
        <f>IF(Registro!$E98="","",IF(ISERROR(FIND("x",LOWER(Registro!$E98))),"-",IFERROR(SUMPRODUCT(--("0"&amp;LEFT(TRIM(MID(SUBSTITUTE(SUBSTITUTE(SUBSTITUTE(SUBSTITUTE(SUBSTITUTE(LOWER(Registro!$E98),"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",LEN(Registro!$E98))),({1,2,3,4,5,6,7,8,9,10,11,12,13,14,15,16,17,18,19,20,21,22,23,24,25,26,27,28,29,30}-1)*LEN(Registro!$E98)+1,LEN(Registro!$E98)))&amp;"x")-1)),--("0"&amp;MID(TRIM(MID(SUBSTITUTE(SUBSTITUTE(SUBSTITUTE(SUBSTITUTE(SUBSTITUTE(LOWER(Registro!$E98),"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",LEN(Registro!$E98))),({1,2,3,4,5,6,7,8,9,10,11,12,13,14,15,16,17,18,19,20,21,22,23,24,25,26,27,28,29,30}-1)*LEN(Registro!$E98)+1,LEN(Registro!$E98)))&amp;"x")+1,20))),"Revisar formato")))</f>
        <v/>
      </c>
      <c r="F98" s="11" t="str">
        <f>IF(Registro!$F98="","",N(Registro!$F98))</f>
        <v/>
      </c>
      <c r="G98" s="11" t="str">
        <f t="shared" si="4"/>
        <v/>
      </c>
      <c r="H98" s="10" t="str">
        <f>IF(Registro!$G98="","",IF(ISERROR(FIND("x",LOWER(Registro!$G98))),"-",IFERROR(SUMPRODUCT(--("0"&amp;LEFT(TRIM(MID(SUBSTITUTE(SUBSTITUTE(SUBSTITUTE(SUBSTITUTE(SUBSTITUTE(LOWER(Registro!$G98),"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",LEN(Registro!$G98))),({1,2,3,4,5,6,7,8,9,10,11,12,13,14,15,16,17,18,19,20,21,22,23,24,25,26,27,28,29,30}-1)*LEN(Registro!$G98)+1,LEN(Registro!$G98))),FIND("x",TRIM(MID(SUBSTITUTE(SUBSTITUTE(SUBSTITUTE(SUBSTITUTE(SUBSTITUTE(LOWER(Registro!$G98),"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",LEN(Registro!$G98))),({1,2,3,4,5,6,7,8,9,10,11,12,13,14,15,16,17,18,19,20,21,22,23,24,25,26,27,28,29,30}-1)*LEN(Registro!$G98)+1,LEN(Registro!$G98)))&amp;"x")-1))),"Revisar formato")))</f>
        <v/>
      </c>
      <c r="I98" s="11" t="str">
        <f>IF(Registro!$G98="","",IF(ISERROR(FIND("x",LOWER(Registro!$G98))),N(Registro!$H98),IFERROR(SUMPRODUCT(--("0"&amp;LEFT(TRIM(MID(SUBSTITUTE(SUBSTITUTE(SUBSTITUTE(SUBSTITUTE(SUBSTITUTE(LOWER(Registro!$G98),"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",LEN(Registro!$G98))),({1,2,3,4,5,6,7,8,9,10,11,12,13,14,15,16,17,18,19,20,21,22,23,24,25,26,27,28,29,30}-1)*LEN(Registro!$G98)+1,LEN(Registro!$G98))),FIND("x",TRIM(MID(SUBSTITUTE(SUBSTITUTE(SUBSTITUTE(SUBSTITUTE(SUBSTITUTE(LOWER(Registro!$G98),"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",LEN(Registro!$G98))),({1,2,3,4,5,6,7,8,9,10,11,12,13,14,15,16,17,18,19,20,21,22,23,24,25,26,27,28,29,30}-1)*LEN(Registro!$G98)+1,LEN(Registro!$G98)))&amp;"x")-1)),--("0"&amp;MID(TRIM(MID(SUBSTITUTE(SUBSTITUTE(SUBSTITUTE(SUBSTITUTE(SUBSTITUTE(LOWER(Registro!$G98),"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",LEN(Registro!$G98))),({1,2,3,4,5,6,7,8,9,10,11,12,13,14,15,16,17,18,19,20,21,22,23,24,25,26,27,28,29,30}-1)*LEN(Registro!$G98)+1,LEN(Registro!$G98))),FIND("x",TRIM(MID(SUBSTITUTE(SUBSTITUTE(SUBSTITUTE(SUBSTITUTE(SUBSTITUTE(LOWER(Registro!$G98),"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",LEN(Registro!$G98))),({1,2,3,4,5,6,7,8,9,10,11,12,13,14,15,16,17,18,19,20,21,22,23,24,25,26,27,28,29,30}-1)*LEN(Registro!$G98)+1,LEN(Registro!$G98)))&amp;"x")+1,20))),"Revisar formato")))</f>
        <v/>
      </c>
      <c r="J98" s="9" t="str">
        <f>IF(AND(Registro!$E98="",Registro!$G98=""),"",IF(NOT(AND(ISNUMBER(I98),ISNUMBER(Registro!$H98))),"",IF(I98&lt;Registro!$H98,"FALTA BOLETOS",IF(I98=Registro!$H98,"CONFORME","DIFERENCIA"))))</f>
        <v/>
      </c>
      <c r="K98" s="11" t="str">
        <f>IF(Registro!$I98="","",IFERROR(SUMPRODUCT(--("0"&amp;TRIM(RIGHT(SUBSTITUTE(TRIM(MID(SUBSTITUTE(SUBSTITUTE(Registro!$I98,";",CHAR(10)),CHAR(10),REPT(" ",LEN(Registro!$I98))),({1,2,3,4,5,6,7,8,9,10,11,12,13,14,15,16,17,18,19,20,21,22,23,24,25,26,27,28,29,30}-1)*LEN(Registro!$I98)+1,LEN(Registro!$I98)))," ",REPT(" ",50)),50)))),"Revisar formato"))</f>
        <v/>
      </c>
      <c r="L98" s="11" t="str">
        <f>IF(Registro!$J98="","",IFERROR(SUMPRODUCT(--("0"&amp;TRIM(RIGHT(SUBSTITUTE(TRIM(MID(SUBSTITUTE(SUBSTITUTE(Registro!$J98,";",CHAR(10)),CHAR(10),REPT(" ",LEN(Registro!$J98))),({1,2,3,4,5,6,7,8,9,10,11,12,13,14,15,16,17,18,19,20,21,22,23,24,25,26,27,28,29,30}-1)*LEN(Registro!$J98)+1,LEN(Registro!$J98)))," ",REPT(" ",50)),50)))),"Revisar formato"))</f>
        <v/>
      </c>
      <c r="M98" s="11" t="str">
        <f>IF(AND(Registro!$H98="",Registro!$I98=""),"",IF(AND(ISTEXT(K98),K98&lt;&gt;""),"Revisar formato",N(Registro!$H98)-N(K98)))</f>
        <v/>
      </c>
      <c r="N98" s="11" t="str">
        <f t="shared" si="5"/>
        <v/>
      </c>
      <c r="O98" s="15" t="str">
        <f>IF(AND(A98=Consulta!$B$3,C98=Consulta!$H$3),B98*10000+ROW(),"")</f>
        <v/>
      </c>
    </row>
    <row r="99" spans="1:15" x14ac:dyDescent="0.25">
      <c r="A99" s="9" t="str">
        <f>IF(Registro!$A99="","",Registro!$A99)</f>
        <v/>
      </c>
      <c r="B99" s="8" t="str">
        <f>IF(Registro!$B99="","",Registro!$B99)</f>
        <v/>
      </c>
      <c r="C99" s="14" t="str">
        <f t="shared" si="3"/>
        <v/>
      </c>
      <c r="D99" s="10" t="str">
        <f>IF(Registro!$E99="","",IF(ISERROR(FIND("x",LOWER(Registro!$E99))),"-",IFERROR(SUMPRODUCT(--("0"&amp;LEFT(TRIM(MID(SUBSTITUTE(SUBSTITUTE(SUBSTITUTE(SUBSTITUTE(SUBSTITUTE(LOWER(Registro!$E99),"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",LEN(Registro!$E99))),({1,2,3,4,5,6,7,8,9,10,11,12,13,14,15,16,17,18,19,20,21,22,23,24,25,26,27,28,29,30}-1)*LEN(Registro!$E99)+1,LEN(Registro!$E99)))&amp;"x")-1))),"Revisar formato")))</f>
        <v/>
      </c>
      <c r="E99" s="11" t="str">
        <f>IF(Registro!$E99="","",IF(ISERROR(FIND("x",LOWER(Registro!$E99))),"-",IFERROR(SUMPRODUCT(--("0"&amp;LEFT(TRIM(MID(SUBSTITUTE(SUBSTITUTE(SUBSTITUTE(SUBSTITUTE(SUBSTITUTE(LOWER(Registro!$E99),"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",LEN(Registro!$E99))),({1,2,3,4,5,6,7,8,9,10,11,12,13,14,15,16,17,18,19,20,21,22,23,24,25,26,27,28,29,30}-1)*LEN(Registro!$E99)+1,LEN(Registro!$E99)))&amp;"x")-1)),--("0"&amp;MID(TRIM(MID(SUBSTITUTE(SUBSTITUTE(SUBSTITUTE(SUBSTITUTE(SUBSTITUTE(LOWER(Registro!$E99),"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",LEN(Registro!$E99))),({1,2,3,4,5,6,7,8,9,10,11,12,13,14,15,16,17,18,19,20,21,22,23,24,25,26,27,28,29,30}-1)*LEN(Registro!$E99)+1,LEN(Registro!$E99)))&amp;"x")+1,20))),"Revisar formato")))</f>
        <v/>
      </c>
      <c r="F99" s="11" t="str">
        <f>IF(Registro!$F99="","",N(Registro!$F99))</f>
        <v/>
      </c>
      <c r="G99" s="11" t="str">
        <f t="shared" si="4"/>
        <v/>
      </c>
      <c r="H99" s="10" t="str">
        <f>IF(Registro!$G99="","",IF(ISERROR(FIND("x",LOWER(Registro!$G99))),"-",IFERROR(SUMPRODUCT(--("0"&amp;LEFT(TRIM(MID(SUBSTITUTE(SUBSTITUTE(SUBSTITUTE(SUBSTITUTE(SUBSTITUTE(LOWER(Registro!$G99),"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",LEN(Registro!$G99))),({1,2,3,4,5,6,7,8,9,10,11,12,13,14,15,16,17,18,19,20,21,22,23,24,25,26,27,28,29,30}-1)*LEN(Registro!$G99)+1,LEN(Registro!$G99))),FIND("x",TRIM(MID(SUBSTITUTE(SUBSTITUTE(SUBSTITUTE(SUBSTITUTE(SUBSTITUTE(LOWER(Registro!$G99),"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",LEN(Registro!$G99))),({1,2,3,4,5,6,7,8,9,10,11,12,13,14,15,16,17,18,19,20,21,22,23,24,25,26,27,28,29,30}-1)*LEN(Registro!$G99)+1,LEN(Registro!$G99)))&amp;"x")-1))),"Revisar formato")))</f>
        <v/>
      </c>
      <c r="I99" s="11" t="str">
        <f>IF(Registro!$G99="","",IF(ISERROR(FIND("x",LOWER(Registro!$G99))),N(Registro!$H99),IFERROR(SUMPRODUCT(--("0"&amp;LEFT(TRIM(MID(SUBSTITUTE(SUBSTITUTE(SUBSTITUTE(SUBSTITUTE(SUBSTITUTE(LOWER(Registro!$G99),"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",LEN(Registro!$G99))),({1,2,3,4,5,6,7,8,9,10,11,12,13,14,15,16,17,18,19,20,21,22,23,24,25,26,27,28,29,30}-1)*LEN(Registro!$G99)+1,LEN(Registro!$G99))),FIND("x",TRIM(MID(SUBSTITUTE(SUBSTITUTE(SUBSTITUTE(SUBSTITUTE(SUBSTITUTE(LOWER(Registro!$G99),"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",LEN(Registro!$G99))),({1,2,3,4,5,6,7,8,9,10,11,12,13,14,15,16,17,18,19,20,21,22,23,24,25,26,27,28,29,30}-1)*LEN(Registro!$G99)+1,LEN(Registro!$G99)))&amp;"x")-1)),--("0"&amp;MID(TRIM(MID(SUBSTITUTE(SUBSTITUTE(SUBSTITUTE(SUBSTITUTE(SUBSTITUTE(LOWER(Registro!$G99),"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",LEN(Registro!$G99))),({1,2,3,4,5,6,7,8,9,10,11,12,13,14,15,16,17,18,19,20,21,22,23,24,25,26,27,28,29,30}-1)*LEN(Registro!$G99)+1,LEN(Registro!$G99))),FIND("x",TRIM(MID(SUBSTITUTE(SUBSTITUTE(SUBSTITUTE(SUBSTITUTE(SUBSTITUTE(LOWER(Registro!$G99),"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",LEN(Registro!$G99))),({1,2,3,4,5,6,7,8,9,10,11,12,13,14,15,16,17,18,19,20,21,22,23,24,25,26,27,28,29,30}-1)*LEN(Registro!$G99)+1,LEN(Registro!$G99)))&amp;"x")+1,20))),"Revisar formato")))</f>
        <v/>
      </c>
      <c r="J99" s="9" t="str">
        <f>IF(AND(Registro!$E99="",Registro!$G99=""),"",IF(NOT(AND(ISNUMBER(I99),ISNUMBER(Registro!$H99))),"",IF(I99&lt;Registro!$H99,"FALTA BOLETOS",IF(I99=Registro!$H99,"CONFORME","DIFERENCIA"))))</f>
        <v/>
      </c>
      <c r="K99" s="11" t="str">
        <f>IF(Registro!$I99="","",IFERROR(SUMPRODUCT(--("0"&amp;TRIM(RIGHT(SUBSTITUTE(TRIM(MID(SUBSTITUTE(SUBSTITUTE(Registro!$I99,";",CHAR(10)),CHAR(10),REPT(" ",LEN(Registro!$I99))),({1,2,3,4,5,6,7,8,9,10,11,12,13,14,15,16,17,18,19,20,21,22,23,24,25,26,27,28,29,30}-1)*LEN(Registro!$I99)+1,LEN(Registro!$I99)))," ",REPT(" ",50)),50)))),"Revisar formato"))</f>
        <v/>
      </c>
      <c r="L99" s="11" t="str">
        <f>IF(Registro!$J99="","",IFERROR(SUMPRODUCT(--("0"&amp;TRIM(RIGHT(SUBSTITUTE(TRIM(MID(SUBSTITUTE(SUBSTITUTE(Registro!$J99,";",CHAR(10)),CHAR(10),REPT(" ",LEN(Registro!$J99))),({1,2,3,4,5,6,7,8,9,10,11,12,13,14,15,16,17,18,19,20,21,22,23,24,25,26,27,28,29,30}-1)*LEN(Registro!$J99)+1,LEN(Registro!$J99)))," ",REPT(" ",50)),50)))),"Revisar formato"))</f>
        <v/>
      </c>
      <c r="M99" s="11" t="str">
        <f>IF(AND(Registro!$H99="",Registro!$I99=""),"",IF(AND(ISTEXT(K99),K99&lt;&gt;""),"Revisar formato",N(Registro!$H99)-N(K99)))</f>
        <v/>
      </c>
      <c r="N99" s="11" t="str">
        <f t="shared" si="5"/>
        <v/>
      </c>
      <c r="O99" s="15" t="str">
        <f>IF(AND(A99=Consulta!$B$3,C99=Consulta!$H$3),B99*10000+ROW(),"")</f>
        <v/>
      </c>
    </row>
    <row r="100" spans="1:15" x14ac:dyDescent="0.25">
      <c r="A100" s="9" t="str">
        <f>IF(Registro!$A100="","",Registro!$A100)</f>
        <v/>
      </c>
      <c r="B100" s="8" t="str">
        <f>IF(Registro!$B100="","",Registro!$B100)</f>
        <v/>
      </c>
      <c r="C100" s="14" t="str">
        <f t="shared" si="3"/>
        <v/>
      </c>
      <c r="D100" s="10" t="str">
        <f>IF(Registro!$E100="","",IF(ISERROR(FIND("x",LOWER(Registro!$E100))),"-",IFERROR(SUMPRODUCT(--("0"&amp;LEFT(TRIM(MID(SUBSTITUTE(SUBSTITUTE(SUBSTITUTE(SUBSTITUTE(SUBSTITUTE(LOWER(Registro!$E100),"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",LEN(Registro!$E100))),({1,2,3,4,5,6,7,8,9,10,11,12,13,14,15,16,17,18,19,20,21,22,23,24,25,26,27,28,29,30}-1)*LEN(Registro!$E100)+1,LEN(Registro!$E100)))&amp;"x")-1))),"Revisar formato")))</f>
        <v/>
      </c>
      <c r="E100" s="11" t="str">
        <f>IF(Registro!$E100="","",IF(ISERROR(FIND("x",LOWER(Registro!$E100))),"-",IFERROR(SUMPRODUCT(--("0"&amp;LEFT(TRIM(MID(SUBSTITUTE(SUBSTITUTE(SUBSTITUTE(SUBSTITUTE(SUBSTITUTE(LOWER(Registro!$E100),"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",LEN(Registro!$E100))),({1,2,3,4,5,6,7,8,9,10,11,12,13,14,15,16,17,18,19,20,21,22,23,24,25,26,27,28,29,30}-1)*LEN(Registro!$E100)+1,LEN(Registro!$E100)))&amp;"x")-1)),--("0"&amp;MID(TRIM(MID(SUBSTITUTE(SUBSTITUTE(SUBSTITUTE(SUBSTITUTE(SUBSTITUTE(LOWER(Registro!$E100),"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",LEN(Registro!$E100))),({1,2,3,4,5,6,7,8,9,10,11,12,13,14,15,16,17,18,19,20,21,22,23,24,25,26,27,28,29,30}-1)*LEN(Registro!$E100)+1,LEN(Registro!$E100)))&amp;"x")+1,20))),"Revisar formato")))</f>
        <v/>
      </c>
      <c r="F100" s="11" t="str">
        <f>IF(Registro!$F100="","",N(Registro!$F100))</f>
        <v/>
      </c>
      <c r="G100" s="11" t="str">
        <f t="shared" si="4"/>
        <v/>
      </c>
      <c r="H100" s="10" t="str">
        <f>IF(Registro!$G100="","",IF(ISERROR(FIND("x",LOWER(Registro!$G100))),"-",IFERROR(SUMPRODUCT(--("0"&amp;LEFT(TRIM(MID(SUBSTITUTE(SUBSTITUTE(SUBSTITUTE(SUBSTITUTE(SUBSTITUTE(LOWER(Registro!$G100),"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",LEN(Registro!$G100))),({1,2,3,4,5,6,7,8,9,10,11,12,13,14,15,16,17,18,19,20,21,22,23,24,25,26,27,28,29,30}-1)*LEN(Registro!$G100)+1,LEN(Registro!$G100))),FIND("x",TRIM(MID(SUBSTITUTE(SUBSTITUTE(SUBSTITUTE(SUBSTITUTE(SUBSTITUTE(LOWER(Registro!$G100),"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",LEN(Registro!$G100))),({1,2,3,4,5,6,7,8,9,10,11,12,13,14,15,16,17,18,19,20,21,22,23,24,25,26,27,28,29,30}-1)*LEN(Registro!$G100)+1,LEN(Registro!$G100)))&amp;"x")-1))),"Revisar formato")))</f>
        <v/>
      </c>
      <c r="I100" s="11" t="str">
        <f>IF(Registro!$G100="","",IF(ISERROR(FIND("x",LOWER(Registro!$G100))),N(Registro!$H100),IFERROR(SUMPRODUCT(--("0"&amp;LEFT(TRIM(MID(SUBSTITUTE(SUBSTITUTE(SUBSTITUTE(SUBSTITUTE(SUBSTITUTE(LOWER(Registro!$G100),"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",LEN(Registro!$G100))),({1,2,3,4,5,6,7,8,9,10,11,12,13,14,15,16,17,18,19,20,21,22,23,24,25,26,27,28,29,30}-1)*LEN(Registro!$G100)+1,LEN(Registro!$G100))),FIND("x",TRIM(MID(SUBSTITUTE(SUBSTITUTE(SUBSTITUTE(SUBSTITUTE(SUBSTITUTE(LOWER(Registro!$G100),"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",LEN(Registro!$G100))),({1,2,3,4,5,6,7,8,9,10,11,12,13,14,15,16,17,18,19,20,21,22,23,24,25,26,27,28,29,30}-1)*LEN(Registro!$G100)+1,LEN(Registro!$G100)))&amp;"x")-1)),--("0"&amp;MID(TRIM(MID(SUBSTITUTE(SUBSTITUTE(SUBSTITUTE(SUBSTITUTE(SUBSTITUTE(LOWER(Registro!$G100),"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",LEN(Registro!$G100))),({1,2,3,4,5,6,7,8,9,10,11,12,13,14,15,16,17,18,19,20,21,22,23,24,25,26,27,28,29,30}-1)*LEN(Registro!$G100)+1,LEN(Registro!$G100))),FIND("x",TRIM(MID(SUBSTITUTE(SUBSTITUTE(SUBSTITUTE(SUBSTITUTE(SUBSTITUTE(LOWER(Registro!$G100),"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",LEN(Registro!$G100))),({1,2,3,4,5,6,7,8,9,10,11,12,13,14,15,16,17,18,19,20,21,22,23,24,25,26,27,28,29,30}-1)*LEN(Registro!$G100)+1,LEN(Registro!$G100)))&amp;"x")+1,20))),"Revisar formato")))</f>
        <v/>
      </c>
      <c r="J100" s="9" t="str">
        <f>IF(AND(Registro!$E100="",Registro!$G100=""),"",IF(NOT(AND(ISNUMBER(I100),ISNUMBER(Registro!$H100))),"",IF(I100&lt;Registro!$H100,"FALTA BOLETOS",IF(I100=Registro!$H100,"CONFORME","DIFERENCIA"))))</f>
        <v/>
      </c>
      <c r="K100" s="11" t="str">
        <f>IF(Registro!$I100="","",IFERROR(SUMPRODUCT(--("0"&amp;TRIM(RIGHT(SUBSTITUTE(TRIM(MID(SUBSTITUTE(SUBSTITUTE(Registro!$I100,";",CHAR(10)),CHAR(10),REPT(" ",LEN(Registro!$I100))),({1,2,3,4,5,6,7,8,9,10,11,12,13,14,15,16,17,18,19,20,21,22,23,24,25,26,27,28,29,30}-1)*LEN(Registro!$I100)+1,LEN(Registro!$I100)))," ",REPT(" ",50)),50)))),"Revisar formato"))</f>
        <v/>
      </c>
      <c r="L100" s="11" t="str">
        <f>IF(Registro!$J100="","",IFERROR(SUMPRODUCT(--("0"&amp;TRIM(RIGHT(SUBSTITUTE(TRIM(MID(SUBSTITUTE(SUBSTITUTE(Registro!$J100,";",CHAR(10)),CHAR(10),REPT(" ",LEN(Registro!$J100))),({1,2,3,4,5,6,7,8,9,10,11,12,13,14,15,16,17,18,19,20,21,22,23,24,25,26,27,28,29,30}-1)*LEN(Registro!$J100)+1,LEN(Registro!$J100)))," ",REPT(" ",50)),50)))),"Revisar formato"))</f>
        <v/>
      </c>
      <c r="M100" s="11" t="str">
        <f>IF(AND(Registro!$H100="",Registro!$I100=""),"",IF(AND(ISTEXT(K100),K100&lt;&gt;""),"Revisar formato",N(Registro!$H100)-N(K100)))</f>
        <v/>
      </c>
      <c r="N100" s="11" t="str">
        <f t="shared" si="5"/>
        <v/>
      </c>
      <c r="O100" s="15" t="str">
        <f>IF(AND(A100=Consulta!$B$3,C100=Consulta!$H$3),B100*10000+ROW(),"")</f>
        <v/>
      </c>
    </row>
    <row r="101" spans="1:15" x14ac:dyDescent="0.25">
      <c r="A101" s="9" t="str">
        <f>IF(Registro!$A101="","",Registro!$A101)</f>
        <v/>
      </c>
      <c r="B101" s="8" t="str">
        <f>IF(Registro!$B101="","",Registro!$B101)</f>
        <v/>
      </c>
      <c r="C101" s="14" t="str">
        <f t="shared" si="3"/>
        <v/>
      </c>
      <c r="D101" s="10" t="str">
        <f>IF(Registro!$E101="","",IF(ISERROR(FIND("x",LOWER(Registro!$E101))),"-",IFERROR(SUMPRODUCT(--("0"&amp;LEFT(TRIM(MID(SUBSTITUTE(SUBSTITUTE(SUBSTITUTE(SUBSTITUTE(SUBSTITUTE(LOWER(Registro!$E101),"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",LEN(Registro!$E101))),({1,2,3,4,5,6,7,8,9,10,11,12,13,14,15,16,17,18,19,20,21,22,23,24,25,26,27,28,29,30}-1)*LEN(Registro!$E101)+1,LEN(Registro!$E101)))&amp;"x")-1))),"Revisar formato")))</f>
        <v/>
      </c>
      <c r="E101" s="11" t="str">
        <f>IF(Registro!$E101="","",IF(ISERROR(FIND("x",LOWER(Registro!$E101))),"-",IFERROR(SUMPRODUCT(--("0"&amp;LEFT(TRIM(MID(SUBSTITUTE(SUBSTITUTE(SUBSTITUTE(SUBSTITUTE(SUBSTITUTE(LOWER(Registro!$E101),"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",LEN(Registro!$E101))),({1,2,3,4,5,6,7,8,9,10,11,12,13,14,15,16,17,18,19,20,21,22,23,24,25,26,27,28,29,30}-1)*LEN(Registro!$E101)+1,LEN(Registro!$E101)))&amp;"x")-1)),--("0"&amp;MID(TRIM(MID(SUBSTITUTE(SUBSTITUTE(SUBSTITUTE(SUBSTITUTE(SUBSTITUTE(LOWER(Registro!$E101),"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",LEN(Registro!$E101))),({1,2,3,4,5,6,7,8,9,10,11,12,13,14,15,16,17,18,19,20,21,22,23,24,25,26,27,28,29,30}-1)*LEN(Registro!$E101)+1,LEN(Registro!$E101)))&amp;"x")+1,20))),"Revisar formato")))</f>
        <v/>
      </c>
      <c r="F101" s="11" t="str">
        <f>IF(Registro!$F101="","",N(Registro!$F101))</f>
        <v/>
      </c>
      <c r="G101" s="11" t="str">
        <f t="shared" si="4"/>
        <v/>
      </c>
      <c r="H101" s="10" t="str">
        <f>IF(Registro!$G101="","",IF(ISERROR(FIND("x",LOWER(Registro!$G101))),"-",IFERROR(SUMPRODUCT(--("0"&amp;LEFT(TRIM(MID(SUBSTITUTE(SUBSTITUTE(SUBSTITUTE(SUBSTITUTE(SUBSTITUTE(LOWER(Registro!$G101),"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",LEN(Registro!$G101))),({1,2,3,4,5,6,7,8,9,10,11,12,13,14,15,16,17,18,19,20,21,22,23,24,25,26,27,28,29,30}-1)*LEN(Registro!$G101)+1,LEN(Registro!$G101))),FIND("x",TRIM(MID(SUBSTITUTE(SUBSTITUTE(SUBSTITUTE(SUBSTITUTE(SUBSTITUTE(LOWER(Registro!$G101),"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",LEN(Registro!$G101))),({1,2,3,4,5,6,7,8,9,10,11,12,13,14,15,16,17,18,19,20,21,22,23,24,25,26,27,28,29,30}-1)*LEN(Registro!$G101)+1,LEN(Registro!$G101)))&amp;"x")-1))),"Revisar formato")))</f>
        <v/>
      </c>
      <c r="I101" s="11" t="str">
        <f>IF(Registro!$G101="","",IF(ISERROR(FIND("x",LOWER(Registro!$G101))),N(Registro!$H101),IFERROR(SUMPRODUCT(--("0"&amp;LEFT(TRIM(MID(SUBSTITUTE(SUBSTITUTE(SUBSTITUTE(SUBSTITUTE(SUBSTITUTE(LOWER(Registro!$G101),"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",LEN(Registro!$G101))),({1,2,3,4,5,6,7,8,9,10,11,12,13,14,15,16,17,18,19,20,21,22,23,24,25,26,27,28,29,30}-1)*LEN(Registro!$G101)+1,LEN(Registro!$G101))),FIND("x",TRIM(MID(SUBSTITUTE(SUBSTITUTE(SUBSTITUTE(SUBSTITUTE(SUBSTITUTE(LOWER(Registro!$G101),"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",LEN(Registro!$G101))),({1,2,3,4,5,6,7,8,9,10,11,12,13,14,15,16,17,18,19,20,21,22,23,24,25,26,27,28,29,30}-1)*LEN(Registro!$G101)+1,LEN(Registro!$G101)))&amp;"x")-1)),--("0"&amp;MID(TRIM(MID(SUBSTITUTE(SUBSTITUTE(SUBSTITUTE(SUBSTITUTE(SUBSTITUTE(LOWER(Registro!$G101),"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",LEN(Registro!$G101))),({1,2,3,4,5,6,7,8,9,10,11,12,13,14,15,16,17,18,19,20,21,22,23,24,25,26,27,28,29,30}-1)*LEN(Registro!$G101)+1,LEN(Registro!$G101))),FIND("x",TRIM(MID(SUBSTITUTE(SUBSTITUTE(SUBSTITUTE(SUBSTITUTE(SUBSTITUTE(LOWER(Registro!$G101),"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",LEN(Registro!$G101))),({1,2,3,4,5,6,7,8,9,10,11,12,13,14,15,16,17,18,19,20,21,22,23,24,25,26,27,28,29,30}-1)*LEN(Registro!$G101)+1,LEN(Registro!$G101)))&amp;"x")+1,20))),"Revisar formato")))</f>
        <v/>
      </c>
      <c r="J101" s="9" t="str">
        <f>IF(AND(Registro!$E101="",Registro!$G101=""),"",IF(NOT(AND(ISNUMBER(I101),ISNUMBER(Registro!$H101))),"",IF(I101&lt;Registro!$H101,"FALTA BOLETOS",IF(I101=Registro!$H101,"CONFORME","DIFERENCIA"))))</f>
        <v/>
      </c>
      <c r="K101" s="11" t="str">
        <f>IF(Registro!$I101="","",IFERROR(SUMPRODUCT(--("0"&amp;TRIM(RIGHT(SUBSTITUTE(TRIM(MID(SUBSTITUTE(SUBSTITUTE(Registro!$I101,";",CHAR(10)),CHAR(10),REPT(" ",LEN(Registro!$I101))),({1,2,3,4,5,6,7,8,9,10,11,12,13,14,15,16,17,18,19,20,21,22,23,24,25,26,27,28,29,30}-1)*LEN(Registro!$I101)+1,LEN(Registro!$I101)))," ",REPT(" ",50)),50)))),"Revisar formato"))</f>
        <v/>
      </c>
      <c r="L101" s="11" t="str">
        <f>IF(Registro!$J101="","",IFERROR(SUMPRODUCT(--("0"&amp;TRIM(RIGHT(SUBSTITUTE(TRIM(MID(SUBSTITUTE(SUBSTITUTE(Registro!$J101,";",CHAR(10)),CHAR(10),REPT(" ",LEN(Registro!$J101))),({1,2,3,4,5,6,7,8,9,10,11,12,13,14,15,16,17,18,19,20,21,22,23,24,25,26,27,28,29,30}-1)*LEN(Registro!$J101)+1,LEN(Registro!$J101)))," ",REPT(" ",50)),50)))),"Revisar formato"))</f>
        <v/>
      </c>
      <c r="M101" s="11" t="str">
        <f>IF(AND(Registro!$H101="",Registro!$I101=""),"",IF(AND(ISTEXT(K101),K101&lt;&gt;""),"Revisar formato",N(Registro!$H101)-N(K101)))</f>
        <v/>
      </c>
      <c r="N101" s="11" t="str">
        <f t="shared" si="5"/>
        <v/>
      </c>
      <c r="O101" s="15" t="str">
        <f>IF(AND(A101=Consulta!$B$3,C101=Consulta!$H$3),B101*10000+ROW(),"")</f>
        <v/>
      </c>
    </row>
    <row r="102" spans="1:15" x14ac:dyDescent="0.25">
      <c r="A102" s="9" t="str">
        <f>IF(Registro!$A102="","",Registro!$A102)</f>
        <v/>
      </c>
      <c r="B102" s="8" t="str">
        <f>IF(Registro!$B102="","",Registro!$B102)</f>
        <v/>
      </c>
      <c r="C102" s="14" t="str">
        <f t="shared" si="3"/>
        <v/>
      </c>
      <c r="D102" s="10" t="str">
        <f>IF(Registro!$E102="","",IF(ISERROR(FIND("x",LOWER(Registro!$E102))),"-",IFERROR(SUMPRODUCT(--("0"&amp;LEFT(TRIM(MID(SUBSTITUTE(SUBSTITUTE(SUBSTITUTE(SUBSTITUTE(SUBSTITUTE(LOWER(Registro!$E102),"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",LEN(Registro!$E102))),({1,2,3,4,5,6,7,8,9,10,11,12,13,14,15,16,17,18,19,20,21,22,23,24,25,26,27,28,29,30}-1)*LEN(Registro!$E102)+1,LEN(Registro!$E102)))&amp;"x")-1))),"Revisar formato")))</f>
        <v/>
      </c>
      <c r="E102" s="11" t="str">
        <f>IF(Registro!$E102="","",IF(ISERROR(FIND("x",LOWER(Registro!$E102))),"-",IFERROR(SUMPRODUCT(--("0"&amp;LEFT(TRIM(MID(SUBSTITUTE(SUBSTITUTE(SUBSTITUTE(SUBSTITUTE(SUBSTITUTE(LOWER(Registro!$E102),"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",LEN(Registro!$E102))),({1,2,3,4,5,6,7,8,9,10,11,12,13,14,15,16,17,18,19,20,21,22,23,24,25,26,27,28,29,30}-1)*LEN(Registro!$E102)+1,LEN(Registro!$E102)))&amp;"x")-1)),--("0"&amp;MID(TRIM(MID(SUBSTITUTE(SUBSTITUTE(SUBSTITUTE(SUBSTITUTE(SUBSTITUTE(LOWER(Registro!$E102),"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",LEN(Registro!$E102))),({1,2,3,4,5,6,7,8,9,10,11,12,13,14,15,16,17,18,19,20,21,22,23,24,25,26,27,28,29,30}-1)*LEN(Registro!$E102)+1,LEN(Registro!$E102)))&amp;"x")+1,20))),"Revisar formato")))</f>
        <v/>
      </c>
      <c r="F102" s="11" t="str">
        <f>IF(Registro!$F102="","",N(Registro!$F102))</f>
        <v/>
      </c>
      <c r="G102" s="11" t="str">
        <f t="shared" si="4"/>
        <v/>
      </c>
      <c r="H102" s="10" t="str">
        <f>IF(Registro!$G102="","",IF(ISERROR(FIND("x",LOWER(Registro!$G102))),"-",IFERROR(SUMPRODUCT(--("0"&amp;LEFT(TRIM(MID(SUBSTITUTE(SUBSTITUTE(SUBSTITUTE(SUBSTITUTE(SUBSTITUTE(LOWER(Registro!$G102),"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",LEN(Registro!$G102))),({1,2,3,4,5,6,7,8,9,10,11,12,13,14,15,16,17,18,19,20,21,22,23,24,25,26,27,28,29,30}-1)*LEN(Registro!$G102)+1,LEN(Registro!$G102))),FIND("x",TRIM(MID(SUBSTITUTE(SUBSTITUTE(SUBSTITUTE(SUBSTITUTE(SUBSTITUTE(LOWER(Registro!$G102),"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",LEN(Registro!$G102))),({1,2,3,4,5,6,7,8,9,10,11,12,13,14,15,16,17,18,19,20,21,22,23,24,25,26,27,28,29,30}-1)*LEN(Registro!$G102)+1,LEN(Registro!$G102)))&amp;"x")-1))),"Revisar formato")))</f>
        <v/>
      </c>
      <c r="I102" s="11" t="str">
        <f>IF(Registro!$G102="","",IF(ISERROR(FIND("x",LOWER(Registro!$G102))),N(Registro!$H102),IFERROR(SUMPRODUCT(--("0"&amp;LEFT(TRIM(MID(SUBSTITUTE(SUBSTITUTE(SUBSTITUTE(SUBSTITUTE(SUBSTITUTE(LOWER(Registro!$G102),"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",LEN(Registro!$G102))),({1,2,3,4,5,6,7,8,9,10,11,12,13,14,15,16,17,18,19,20,21,22,23,24,25,26,27,28,29,30}-1)*LEN(Registro!$G102)+1,LEN(Registro!$G102))),FIND("x",TRIM(MID(SUBSTITUTE(SUBSTITUTE(SUBSTITUTE(SUBSTITUTE(SUBSTITUTE(LOWER(Registro!$G102),"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",LEN(Registro!$G102))),({1,2,3,4,5,6,7,8,9,10,11,12,13,14,15,16,17,18,19,20,21,22,23,24,25,26,27,28,29,30}-1)*LEN(Registro!$G102)+1,LEN(Registro!$G102)))&amp;"x")-1)),--("0"&amp;MID(TRIM(MID(SUBSTITUTE(SUBSTITUTE(SUBSTITUTE(SUBSTITUTE(SUBSTITUTE(LOWER(Registro!$G102),"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",LEN(Registro!$G102))),({1,2,3,4,5,6,7,8,9,10,11,12,13,14,15,16,17,18,19,20,21,22,23,24,25,26,27,28,29,30}-1)*LEN(Registro!$G102)+1,LEN(Registro!$G102))),FIND("x",TRIM(MID(SUBSTITUTE(SUBSTITUTE(SUBSTITUTE(SUBSTITUTE(SUBSTITUTE(LOWER(Registro!$G102),"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",LEN(Registro!$G102))),({1,2,3,4,5,6,7,8,9,10,11,12,13,14,15,16,17,18,19,20,21,22,23,24,25,26,27,28,29,30}-1)*LEN(Registro!$G102)+1,LEN(Registro!$G102)))&amp;"x")+1,20))),"Revisar formato")))</f>
        <v/>
      </c>
      <c r="J102" s="9" t="str">
        <f>IF(AND(Registro!$E102="",Registro!$G102=""),"",IF(NOT(AND(ISNUMBER(I102),ISNUMBER(Registro!$H102))),"",IF(I102&lt;Registro!$H102,"FALTA BOLETOS",IF(I102=Registro!$H102,"CONFORME","DIFERENCIA"))))</f>
        <v/>
      </c>
      <c r="K102" s="11" t="str">
        <f>IF(Registro!$I102="","",IFERROR(SUMPRODUCT(--("0"&amp;TRIM(RIGHT(SUBSTITUTE(TRIM(MID(SUBSTITUTE(SUBSTITUTE(Registro!$I102,";",CHAR(10)),CHAR(10),REPT(" ",LEN(Registro!$I102))),({1,2,3,4,5,6,7,8,9,10,11,12,13,14,15,16,17,18,19,20,21,22,23,24,25,26,27,28,29,30}-1)*LEN(Registro!$I102)+1,LEN(Registro!$I102)))," ",REPT(" ",50)),50)))),"Revisar formato"))</f>
        <v/>
      </c>
      <c r="L102" s="11" t="str">
        <f>IF(Registro!$J102="","",IFERROR(SUMPRODUCT(--("0"&amp;TRIM(RIGHT(SUBSTITUTE(TRIM(MID(SUBSTITUTE(SUBSTITUTE(Registro!$J102,";",CHAR(10)),CHAR(10),REPT(" ",LEN(Registro!$J102))),({1,2,3,4,5,6,7,8,9,10,11,12,13,14,15,16,17,18,19,20,21,22,23,24,25,26,27,28,29,30}-1)*LEN(Registro!$J102)+1,LEN(Registro!$J102)))," ",REPT(" ",50)),50)))),"Revisar formato"))</f>
        <v/>
      </c>
      <c r="M102" s="11" t="str">
        <f>IF(AND(Registro!$H102="",Registro!$I102=""),"",IF(AND(ISTEXT(K102),K102&lt;&gt;""),"Revisar formato",N(Registro!$H102)-N(K102)))</f>
        <v/>
      </c>
      <c r="N102" s="11" t="str">
        <f t="shared" si="5"/>
        <v/>
      </c>
      <c r="O102" s="15" t="str">
        <f>IF(AND(A102=Consulta!$B$3,C102=Consulta!$H$3),B102*10000+ROW(),"")</f>
        <v/>
      </c>
    </row>
    <row r="103" spans="1:15" x14ac:dyDescent="0.25">
      <c r="A103" s="9" t="str">
        <f>IF(Registro!$A103="","",Registro!$A103)</f>
        <v/>
      </c>
      <c r="B103" s="8" t="str">
        <f>IF(Registro!$B103="","",Registro!$B103)</f>
        <v/>
      </c>
      <c r="C103" s="14" t="str">
        <f t="shared" si="3"/>
        <v/>
      </c>
      <c r="D103" s="10" t="str">
        <f>IF(Registro!$E103="","",IF(ISERROR(FIND("x",LOWER(Registro!$E103))),"-",IFERROR(SUMPRODUCT(--("0"&amp;LEFT(TRIM(MID(SUBSTITUTE(SUBSTITUTE(SUBSTITUTE(SUBSTITUTE(SUBSTITUTE(LOWER(Registro!$E103),"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",LEN(Registro!$E103))),({1,2,3,4,5,6,7,8,9,10,11,12,13,14,15,16,17,18,19,20,21,22,23,24,25,26,27,28,29,30}-1)*LEN(Registro!$E103)+1,LEN(Registro!$E103)))&amp;"x")-1))),"Revisar formato")))</f>
        <v/>
      </c>
      <c r="E103" s="11" t="str">
        <f>IF(Registro!$E103="","",IF(ISERROR(FIND("x",LOWER(Registro!$E103))),"-",IFERROR(SUMPRODUCT(--("0"&amp;LEFT(TRIM(MID(SUBSTITUTE(SUBSTITUTE(SUBSTITUTE(SUBSTITUTE(SUBSTITUTE(LOWER(Registro!$E103),"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",LEN(Registro!$E103))),({1,2,3,4,5,6,7,8,9,10,11,12,13,14,15,16,17,18,19,20,21,22,23,24,25,26,27,28,29,30}-1)*LEN(Registro!$E103)+1,LEN(Registro!$E103)))&amp;"x")-1)),--("0"&amp;MID(TRIM(MID(SUBSTITUTE(SUBSTITUTE(SUBSTITUTE(SUBSTITUTE(SUBSTITUTE(LOWER(Registro!$E103),"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",LEN(Registro!$E103))),({1,2,3,4,5,6,7,8,9,10,11,12,13,14,15,16,17,18,19,20,21,22,23,24,25,26,27,28,29,30}-1)*LEN(Registro!$E103)+1,LEN(Registro!$E103)))&amp;"x")+1,20))),"Revisar formato")))</f>
        <v/>
      </c>
      <c r="F103" s="11" t="str">
        <f>IF(Registro!$F103="","",N(Registro!$F103))</f>
        <v/>
      </c>
      <c r="G103" s="11" t="str">
        <f t="shared" si="4"/>
        <v/>
      </c>
      <c r="H103" s="10" t="str">
        <f>IF(Registro!$G103="","",IF(ISERROR(FIND("x",LOWER(Registro!$G103))),"-",IFERROR(SUMPRODUCT(--("0"&amp;LEFT(TRIM(MID(SUBSTITUTE(SUBSTITUTE(SUBSTITUTE(SUBSTITUTE(SUBSTITUTE(LOWER(Registro!$G103),"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",LEN(Registro!$G103))),({1,2,3,4,5,6,7,8,9,10,11,12,13,14,15,16,17,18,19,20,21,22,23,24,25,26,27,28,29,30}-1)*LEN(Registro!$G103)+1,LEN(Registro!$G103))),FIND("x",TRIM(MID(SUBSTITUTE(SUBSTITUTE(SUBSTITUTE(SUBSTITUTE(SUBSTITUTE(LOWER(Registro!$G103),"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",LEN(Registro!$G103))),({1,2,3,4,5,6,7,8,9,10,11,12,13,14,15,16,17,18,19,20,21,22,23,24,25,26,27,28,29,30}-1)*LEN(Registro!$G103)+1,LEN(Registro!$G103)))&amp;"x")-1))),"Revisar formato")))</f>
        <v/>
      </c>
      <c r="I103" s="11" t="str">
        <f>IF(Registro!$G103="","",IF(ISERROR(FIND("x",LOWER(Registro!$G103))),N(Registro!$H103),IFERROR(SUMPRODUCT(--("0"&amp;LEFT(TRIM(MID(SUBSTITUTE(SUBSTITUTE(SUBSTITUTE(SUBSTITUTE(SUBSTITUTE(LOWER(Registro!$G103),"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",LEN(Registro!$G103))),({1,2,3,4,5,6,7,8,9,10,11,12,13,14,15,16,17,18,19,20,21,22,23,24,25,26,27,28,29,30}-1)*LEN(Registro!$G103)+1,LEN(Registro!$G103))),FIND("x",TRIM(MID(SUBSTITUTE(SUBSTITUTE(SUBSTITUTE(SUBSTITUTE(SUBSTITUTE(LOWER(Registro!$G103),"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",LEN(Registro!$G103))),({1,2,3,4,5,6,7,8,9,10,11,12,13,14,15,16,17,18,19,20,21,22,23,24,25,26,27,28,29,30}-1)*LEN(Registro!$G103)+1,LEN(Registro!$G103)))&amp;"x")-1)),--("0"&amp;MID(TRIM(MID(SUBSTITUTE(SUBSTITUTE(SUBSTITUTE(SUBSTITUTE(SUBSTITUTE(LOWER(Registro!$G103),"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",LEN(Registro!$G103))),({1,2,3,4,5,6,7,8,9,10,11,12,13,14,15,16,17,18,19,20,21,22,23,24,25,26,27,28,29,30}-1)*LEN(Registro!$G103)+1,LEN(Registro!$G103))),FIND("x",TRIM(MID(SUBSTITUTE(SUBSTITUTE(SUBSTITUTE(SUBSTITUTE(SUBSTITUTE(LOWER(Registro!$G103),"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",LEN(Registro!$G103))),({1,2,3,4,5,6,7,8,9,10,11,12,13,14,15,16,17,18,19,20,21,22,23,24,25,26,27,28,29,30}-1)*LEN(Registro!$G103)+1,LEN(Registro!$G103)))&amp;"x")+1,20))),"Revisar formato")))</f>
        <v/>
      </c>
      <c r="J103" s="9" t="str">
        <f>IF(AND(Registro!$E103="",Registro!$G103=""),"",IF(NOT(AND(ISNUMBER(I103),ISNUMBER(Registro!$H103))),"",IF(I103&lt;Registro!$H103,"FALTA BOLETOS",IF(I103=Registro!$H103,"CONFORME","DIFERENCIA"))))</f>
        <v/>
      </c>
      <c r="K103" s="11" t="str">
        <f>IF(Registro!$I103="","",IFERROR(SUMPRODUCT(--("0"&amp;TRIM(RIGHT(SUBSTITUTE(TRIM(MID(SUBSTITUTE(SUBSTITUTE(Registro!$I103,";",CHAR(10)),CHAR(10),REPT(" ",LEN(Registro!$I103))),({1,2,3,4,5,6,7,8,9,10,11,12,13,14,15,16,17,18,19,20,21,22,23,24,25,26,27,28,29,30}-1)*LEN(Registro!$I103)+1,LEN(Registro!$I103)))," ",REPT(" ",50)),50)))),"Revisar formato"))</f>
        <v/>
      </c>
      <c r="L103" s="11" t="str">
        <f>IF(Registro!$J103="","",IFERROR(SUMPRODUCT(--("0"&amp;TRIM(RIGHT(SUBSTITUTE(TRIM(MID(SUBSTITUTE(SUBSTITUTE(Registro!$J103,";",CHAR(10)),CHAR(10),REPT(" ",LEN(Registro!$J103))),({1,2,3,4,5,6,7,8,9,10,11,12,13,14,15,16,17,18,19,20,21,22,23,24,25,26,27,28,29,30}-1)*LEN(Registro!$J103)+1,LEN(Registro!$J103)))," ",REPT(" ",50)),50)))),"Revisar formato"))</f>
        <v/>
      </c>
      <c r="M103" s="11" t="str">
        <f>IF(AND(Registro!$H103="",Registro!$I103=""),"",IF(AND(ISTEXT(K103),K103&lt;&gt;""),"Revisar formato",N(Registro!$H103)-N(K103)))</f>
        <v/>
      </c>
      <c r="N103" s="11" t="str">
        <f t="shared" si="5"/>
        <v/>
      </c>
      <c r="O103" s="15" t="str">
        <f>IF(AND(A103=Consulta!$B$3,C103=Consulta!$H$3),B103*10000+ROW(),"")</f>
        <v/>
      </c>
    </row>
    <row r="104" spans="1:15" x14ac:dyDescent="0.25">
      <c r="A104" s="9" t="str">
        <f>IF(Registro!$A104="","",Registro!$A104)</f>
        <v/>
      </c>
      <c r="B104" s="8" t="str">
        <f>IF(Registro!$B104="","",Registro!$B104)</f>
        <v/>
      </c>
      <c r="C104" s="14" t="str">
        <f t="shared" si="3"/>
        <v/>
      </c>
      <c r="D104" s="10" t="str">
        <f>IF(Registro!$E104="","",IF(ISERROR(FIND("x",LOWER(Registro!$E104))),"-",IFERROR(SUMPRODUCT(--("0"&amp;LEFT(TRIM(MID(SUBSTITUTE(SUBSTITUTE(SUBSTITUTE(SUBSTITUTE(SUBSTITUTE(LOWER(Registro!$E104),"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",LEN(Registro!$E104))),({1,2,3,4,5,6,7,8,9,10,11,12,13,14,15,16,17,18,19,20,21,22,23,24,25,26,27,28,29,30}-1)*LEN(Registro!$E104)+1,LEN(Registro!$E104)))&amp;"x")-1))),"Revisar formato")))</f>
        <v/>
      </c>
      <c r="E104" s="11" t="str">
        <f>IF(Registro!$E104="","",IF(ISERROR(FIND("x",LOWER(Registro!$E104))),"-",IFERROR(SUMPRODUCT(--("0"&amp;LEFT(TRIM(MID(SUBSTITUTE(SUBSTITUTE(SUBSTITUTE(SUBSTITUTE(SUBSTITUTE(LOWER(Registro!$E104),"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",LEN(Registro!$E104))),({1,2,3,4,5,6,7,8,9,10,11,12,13,14,15,16,17,18,19,20,21,22,23,24,25,26,27,28,29,30}-1)*LEN(Registro!$E104)+1,LEN(Registro!$E104)))&amp;"x")-1)),--("0"&amp;MID(TRIM(MID(SUBSTITUTE(SUBSTITUTE(SUBSTITUTE(SUBSTITUTE(SUBSTITUTE(LOWER(Registro!$E104),"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",LEN(Registro!$E104))),({1,2,3,4,5,6,7,8,9,10,11,12,13,14,15,16,17,18,19,20,21,22,23,24,25,26,27,28,29,30}-1)*LEN(Registro!$E104)+1,LEN(Registro!$E104)))&amp;"x")+1,20))),"Revisar formato")))</f>
        <v/>
      </c>
      <c r="F104" s="11" t="str">
        <f>IF(Registro!$F104="","",N(Registro!$F104))</f>
        <v/>
      </c>
      <c r="G104" s="11" t="str">
        <f t="shared" si="4"/>
        <v/>
      </c>
      <c r="H104" s="10" t="str">
        <f>IF(Registro!$G104="","",IF(ISERROR(FIND("x",LOWER(Registro!$G104))),"-",IFERROR(SUMPRODUCT(--("0"&amp;LEFT(TRIM(MID(SUBSTITUTE(SUBSTITUTE(SUBSTITUTE(SUBSTITUTE(SUBSTITUTE(LOWER(Registro!$G104),"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",LEN(Registro!$G104))),({1,2,3,4,5,6,7,8,9,10,11,12,13,14,15,16,17,18,19,20,21,22,23,24,25,26,27,28,29,30}-1)*LEN(Registro!$G104)+1,LEN(Registro!$G104))),FIND("x",TRIM(MID(SUBSTITUTE(SUBSTITUTE(SUBSTITUTE(SUBSTITUTE(SUBSTITUTE(LOWER(Registro!$G104),"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",LEN(Registro!$G104))),({1,2,3,4,5,6,7,8,9,10,11,12,13,14,15,16,17,18,19,20,21,22,23,24,25,26,27,28,29,30}-1)*LEN(Registro!$G104)+1,LEN(Registro!$G104)))&amp;"x")-1))),"Revisar formato")))</f>
        <v/>
      </c>
      <c r="I104" s="11" t="str">
        <f>IF(Registro!$G104="","",IF(ISERROR(FIND("x",LOWER(Registro!$G104))),N(Registro!$H104),IFERROR(SUMPRODUCT(--("0"&amp;LEFT(TRIM(MID(SUBSTITUTE(SUBSTITUTE(SUBSTITUTE(SUBSTITUTE(SUBSTITUTE(LOWER(Registro!$G104),"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",LEN(Registro!$G104))),({1,2,3,4,5,6,7,8,9,10,11,12,13,14,15,16,17,18,19,20,21,22,23,24,25,26,27,28,29,30}-1)*LEN(Registro!$G104)+1,LEN(Registro!$G104))),FIND("x",TRIM(MID(SUBSTITUTE(SUBSTITUTE(SUBSTITUTE(SUBSTITUTE(SUBSTITUTE(LOWER(Registro!$G104),"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",LEN(Registro!$G104))),({1,2,3,4,5,6,7,8,9,10,11,12,13,14,15,16,17,18,19,20,21,22,23,24,25,26,27,28,29,30}-1)*LEN(Registro!$G104)+1,LEN(Registro!$G104)))&amp;"x")-1)),--("0"&amp;MID(TRIM(MID(SUBSTITUTE(SUBSTITUTE(SUBSTITUTE(SUBSTITUTE(SUBSTITUTE(LOWER(Registro!$G104),"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",LEN(Registro!$G104))),({1,2,3,4,5,6,7,8,9,10,11,12,13,14,15,16,17,18,19,20,21,22,23,24,25,26,27,28,29,30}-1)*LEN(Registro!$G104)+1,LEN(Registro!$G104))),FIND("x",TRIM(MID(SUBSTITUTE(SUBSTITUTE(SUBSTITUTE(SUBSTITUTE(SUBSTITUTE(LOWER(Registro!$G104),"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",LEN(Registro!$G104))),({1,2,3,4,5,6,7,8,9,10,11,12,13,14,15,16,17,18,19,20,21,22,23,24,25,26,27,28,29,30}-1)*LEN(Registro!$G104)+1,LEN(Registro!$G104)))&amp;"x")+1,20))),"Revisar formato")))</f>
        <v/>
      </c>
      <c r="J104" s="9" t="str">
        <f>IF(AND(Registro!$E104="",Registro!$G104=""),"",IF(NOT(AND(ISNUMBER(I104),ISNUMBER(Registro!$H104))),"",IF(I104&lt;Registro!$H104,"FALTA BOLETOS",IF(I104=Registro!$H104,"CONFORME","DIFERENCIA"))))</f>
        <v/>
      </c>
      <c r="K104" s="11" t="str">
        <f>IF(Registro!$I104="","",IFERROR(SUMPRODUCT(--("0"&amp;TRIM(RIGHT(SUBSTITUTE(TRIM(MID(SUBSTITUTE(SUBSTITUTE(Registro!$I104,";",CHAR(10)),CHAR(10),REPT(" ",LEN(Registro!$I104))),({1,2,3,4,5,6,7,8,9,10,11,12,13,14,15,16,17,18,19,20,21,22,23,24,25,26,27,28,29,30}-1)*LEN(Registro!$I104)+1,LEN(Registro!$I104)))," ",REPT(" ",50)),50)))),"Revisar formato"))</f>
        <v/>
      </c>
      <c r="L104" s="11" t="str">
        <f>IF(Registro!$J104="","",IFERROR(SUMPRODUCT(--("0"&amp;TRIM(RIGHT(SUBSTITUTE(TRIM(MID(SUBSTITUTE(SUBSTITUTE(Registro!$J104,";",CHAR(10)),CHAR(10),REPT(" ",LEN(Registro!$J104))),({1,2,3,4,5,6,7,8,9,10,11,12,13,14,15,16,17,18,19,20,21,22,23,24,25,26,27,28,29,30}-1)*LEN(Registro!$J104)+1,LEN(Registro!$J104)))," ",REPT(" ",50)),50)))),"Revisar formato"))</f>
        <v/>
      </c>
      <c r="M104" s="11" t="str">
        <f>IF(AND(Registro!$H104="",Registro!$I104=""),"",IF(AND(ISTEXT(K104),K104&lt;&gt;""),"Revisar formato",N(Registro!$H104)-N(K104)))</f>
        <v/>
      </c>
      <c r="N104" s="11" t="str">
        <f t="shared" si="5"/>
        <v/>
      </c>
      <c r="O104" s="15" t="str">
        <f>IF(AND(A104=Consulta!$B$3,C104=Consulta!$H$3),B104*10000+ROW(),"")</f>
        <v/>
      </c>
    </row>
    <row r="105" spans="1:15" x14ac:dyDescent="0.25">
      <c r="A105" s="9" t="str">
        <f>IF(Registro!$A105="","",Registro!$A105)</f>
        <v/>
      </c>
      <c r="B105" s="8" t="str">
        <f>IF(Registro!$B105="","",Registro!$B105)</f>
        <v/>
      </c>
      <c r="C105" s="14" t="str">
        <f t="shared" si="3"/>
        <v/>
      </c>
      <c r="D105" s="10" t="str">
        <f>IF(Registro!$E105="","",IF(ISERROR(FIND("x",LOWER(Registro!$E105))),"-",IFERROR(SUMPRODUCT(--("0"&amp;LEFT(TRIM(MID(SUBSTITUTE(SUBSTITUTE(SUBSTITUTE(SUBSTITUTE(SUBSTITUTE(LOWER(Registro!$E105),"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",LEN(Registro!$E105))),({1,2,3,4,5,6,7,8,9,10,11,12,13,14,15,16,17,18,19,20,21,22,23,24,25,26,27,28,29,30}-1)*LEN(Registro!$E105)+1,LEN(Registro!$E105)))&amp;"x")-1))),"Revisar formato")))</f>
        <v/>
      </c>
      <c r="E105" s="11" t="str">
        <f>IF(Registro!$E105="","",IF(ISERROR(FIND("x",LOWER(Registro!$E105))),"-",IFERROR(SUMPRODUCT(--("0"&amp;LEFT(TRIM(MID(SUBSTITUTE(SUBSTITUTE(SUBSTITUTE(SUBSTITUTE(SUBSTITUTE(LOWER(Registro!$E105),"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",LEN(Registro!$E105))),({1,2,3,4,5,6,7,8,9,10,11,12,13,14,15,16,17,18,19,20,21,22,23,24,25,26,27,28,29,30}-1)*LEN(Registro!$E105)+1,LEN(Registro!$E105)))&amp;"x")-1)),--("0"&amp;MID(TRIM(MID(SUBSTITUTE(SUBSTITUTE(SUBSTITUTE(SUBSTITUTE(SUBSTITUTE(LOWER(Registro!$E105),"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",LEN(Registro!$E105))),({1,2,3,4,5,6,7,8,9,10,11,12,13,14,15,16,17,18,19,20,21,22,23,24,25,26,27,28,29,30}-1)*LEN(Registro!$E105)+1,LEN(Registro!$E105)))&amp;"x")+1,20))),"Revisar formato")))</f>
        <v/>
      </c>
      <c r="F105" s="11" t="str">
        <f>IF(Registro!$F105="","",N(Registro!$F105))</f>
        <v/>
      </c>
      <c r="G105" s="11" t="str">
        <f t="shared" si="4"/>
        <v/>
      </c>
      <c r="H105" s="10" t="str">
        <f>IF(Registro!$G105="","",IF(ISERROR(FIND("x",LOWER(Registro!$G105))),"-",IFERROR(SUMPRODUCT(--("0"&amp;LEFT(TRIM(MID(SUBSTITUTE(SUBSTITUTE(SUBSTITUTE(SUBSTITUTE(SUBSTITUTE(LOWER(Registro!$G105),"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",LEN(Registro!$G105))),({1,2,3,4,5,6,7,8,9,10,11,12,13,14,15,16,17,18,19,20,21,22,23,24,25,26,27,28,29,30}-1)*LEN(Registro!$G105)+1,LEN(Registro!$G105))),FIND("x",TRIM(MID(SUBSTITUTE(SUBSTITUTE(SUBSTITUTE(SUBSTITUTE(SUBSTITUTE(LOWER(Registro!$G105),"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",LEN(Registro!$G105))),({1,2,3,4,5,6,7,8,9,10,11,12,13,14,15,16,17,18,19,20,21,22,23,24,25,26,27,28,29,30}-1)*LEN(Registro!$G105)+1,LEN(Registro!$G105)))&amp;"x")-1))),"Revisar formato")))</f>
        <v/>
      </c>
      <c r="I105" s="11" t="str">
        <f>IF(Registro!$G105="","",IF(ISERROR(FIND("x",LOWER(Registro!$G105))),N(Registro!$H105),IFERROR(SUMPRODUCT(--("0"&amp;LEFT(TRIM(MID(SUBSTITUTE(SUBSTITUTE(SUBSTITUTE(SUBSTITUTE(SUBSTITUTE(LOWER(Registro!$G105),"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",LEN(Registro!$G105))),({1,2,3,4,5,6,7,8,9,10,11,12,13,14,15,16,17,18,19,20,21,22,23,24,25,26,27,28,29,30}-1)*LEN(Registro!$G105)+1,LEN(Registro!$G105))),FIND("x",TRIM(MID(SUBSTITUTE(SUBSTITUTE(SUBSTITUTE(SUBSTITUTE(SUBSTITUTE(LOWER(Registro!$G105),"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",LEN(Registro!$G105))),({1,2,3,4,5,6,7,8,9,10,11,12,13,14,15,16,17,18,19,20,21,22,23,24,25,26,27,28,29,30}-1)*LEN(Registro!$G105)+1,LEN(Registro!$G105)))&amp;"x")-1)),--("0"&amp;MID(TRIM(MID(SUBSTITUTE(SUBSTITUTE(SUBSTITUTE(SUBSTITUTE(SUBSTITUTE(LOWER(Registro!$G105),"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",LEN(Registro!$G105))),({1,2,3,4,5,6,7,8,9,10,11,12,13,14,15,16,17,18,19,20,21,22,23,24,25,26,27,28,29,30}-1)*LEN(Registro!$G105)+1,LEN(Registro!$G105))),FIND("x",TRIM(MID(SUBSTITUTE(SUBSTITUTE(SUBSTITUTE(SUBSTITUTE(SUBSTITUTE(LOWER(Registro!$G105),"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",LEN(Registro!$G105))),({1,2,3,4,5,6,7,8,9,10,11,12,13,14,15,16,17,18,19,20,21,22,23,24,25,26,27,28,29,30}-1)*LEN(Registro!$G105)+1,LEN(Registro!$G105)))&amp;"x")+1,20))),"Revisar formato")))</f>
        <v/>
      </c>
      <c r="J105" s="9" t="str">
        <f>IF(AND(Registro!$E105="",Registro!$G105=""),"",IF(NOT(AND(ISNUMBER(I105),ISNUMBER(Registro!$H105))),"",IF(I105&lt;Registro!$H105,"FALTA BOLETOS",IF(I105=Registro!$H105,"CONFORME","DIFERENCIA"))))</f>
        <v/>
      </c>
      <c r="K105" s="11" t="str">
        <f>IF(Registro!$I105="","",IFERROR(SUMPRODUCT(--("0"&amp;TRIM(RIGHT(SUBSTITUTE(TRIM(MID(SUBSTITUTE(SUBSTITUTE(Registro!$I105,";",CHAR(10)),CHAR(10),REPT(" ",LEN(Registro!$I105))),({1,2,3,4,5,6,7,8,9,10,11,12,13,14,15,16,17,18,19,20,21,22,23,24,25,26,27,28,29,30}-1)*LEN(Registro!$I105)+1,LEN(Registro!$I105)))," ",REPT(" ",50)),50)))),"Revisar formato"))</f>
        <v/>
      </c>
      <c r="L105" s="11" t="str">
        <f>IF(Registro!$J105="","",IFERROR(SUMPRODUCT(--("0"&amp;TRIM(RIGHT(SUBSTITUTE(TRIM(MID(SUBSTITUTE(SUBSTITUTE(Registro!$J105,";",CHAR(10)),CHAR(10),REPT(" ",LEN(Registro!$J105))),({1,2,3,4,5,6,7,8,9,10,11,12,13,14,15,16,17,18,19,20,21,22,23,24,25,26,27,28,29,30}-1)*LEN(Registro!$J105)+1,LEN(Registro!$J105)))," ",REPT(" ",50)),50)))),"Revisar formato"))</f>
        <v/>
      </c>
      <c r="M105" s="11" t="str">
        <f>IF(AND(Registro!$H105="",Registro!$I105=""),"",IF(AND(ISTEXT(K105),K105&lt;&gt;""),"Revisar formato",N(Registro!$H105)-N(K105)))</f>
        <v/>
      </c>
      <c r="N105" s="11" t="str">
        <f t="shared" si="5"/>
        <v/>
      </c>
      <c r="O105" s="15" t="str">
        <f>IF(AND(A105=Consulta!$B$3,C105=Consulta!$H$3),B105*10000+ROW(),"")</f>
        <v/>
      </c>
    </row>
    <row r="106" spans="1:15" x14ac:dyDescent="0.25">
      <c r="A106" s="9" t="str">
        <f>IF(Registro!$A106="","",Registro!$A106)</f>
        <v/>
      </c>
      <c r="B106" s="8" t="str">
        <f>IF(Registro!$B106="","",Registro!$B106)</f>
        <v/>
      </c>
      <c r="C106" s="14" t="str">
        <f t="shared" si="3"/>
        <v/>
      </c>
      <c r="D106" s="10" t="str">
        <f>IF(Registro!$E106="","",IF(ISERROR(FIND("x",LOWER(Registro!$E106))),"-",IFERROR(SUMPRODUCT(--("0"&amp;LEFT(TRIM(MID(SUBSTITUTE(SUBSTITUTE(SUBSTITUTE(SUBSTITUTE(SUBSTITUTE(LOWER(Registro!$E106),"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",LEN(Registro!$E106))),({1,2,3,4,5,6,7,8,9,10,11,12,13,14,15,16,17,18,19,20,21,22,23,24,25,26,27,28,29,30}-1)*LEN(Registro!$E106)+1,LEN(Registro!$E106)))&amp;"x")-1))),"Revisar formato")))</f>
        <v/>
      </c>
      <c r="E106" s="11" t="str">
        <f>IF(Registro!$E106="","",IF(ISERROR(FIND("x",LOWER(Registro!$E106))),"-",IFERROR(SUMPRODUCT(--("0"&amp;LEFT(TRIM(MID(SUBSTITUTE(SUBSTITUTE(SUBSTITUTE(SUBSTITUTE(SUBSTITUTE(LOWER(Registro!$E106),"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",LEN(Registro!$E106))),({1,2,3,4,5,6,7,8,9,10,11,12,13,14,15,16,17,18,19,20,21,22,23,24,25,26,27,28,29,30}-1)*LEN(Registro!$E106)+1,LEN(Registro!$E106)))&amp;"x")-1)),--("0"&amp;MID(TRIM(MID(SUBSTITUTE(SUBSTITUTE(SUBSTITUTE(SUBSTITUTE(SUBSTITUTE(LOWER(Registro!$E106),"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",LEN(Registro!$E106))),({1,2,3,4,5,6,7,8,9,10,11,12,13,14,15,16,17,18,19,20,21,22,23,24,25,26,27,28,29,30}-1)*LEN(Registro!$E106)+1,LEN(Registro!$E106)))&amp;"x")+1,20))),"Revisar formato")))</f>
        <v/>
      </c>
      <c r="F106" s="11" t="str">
        <f>IF(Registro!$F106="","",N(Registro!$F106))</f>
        <v/>
      </c>
      <c r="G106" s="11" t="str">
        <f t="shared" si="4"/>
        <v/>
      </c>
      <c r="H106" s="10" t="str">
        <f>IF(Registro!$G106="","",IF(ISERROR(FIND("x",LOWER(Registro!$G106))),"-",IFERROR(SUMPRODUCT(--("0"&amp;LEFT(TRIM(MID(SUBSTITUTE(SUBSTITUTE(SUBSTITUTE(SUBSTITUTE(SUBSTITUTE(LOWER(Registro!$G106),"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",LEN(Registro!$G106))),({1,2,3,4,5,6,7,8,9,10,11,12,13,14,15,16,17,18,19,20,21,22,23,24,25,26,27,28,29,30}-1)*LEN(Registro!$G106)+1,LEN(Registro!$G106))),FIND("x",TRIM(MID(SUBSTITUTE(SUBSTITUTE(SUBSTITUTE(SUBSTITUTE(SUBSTITUTE(LOWER(Registro!$G106),"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",LEN(Registro!$G106))),({1,2,3,4,5,6,7,8,9,10,11,12,13,14,15,16,17,18,19,20,21,22,23,24,25,26,27,28,29,30}-1)*LEN(Registro!$G106)+1,LEN(Registro!$G106)))&amp;"x")-1))),"Revisar formato")))</f>
        <v/>
      </c>
      <c r="I106" s="11" t="str">
        <f>IF(Registro!$G106="","",IF(ISERROR(FIND("x",LOWER(Registro!$G106))),N(Registro!$H106),IFERROR(SUMPRODUCT(--("0"&amp;LEFT(TRIM(MID(SUBSTITUTE(SUBSTITUTE(SUBSTITUTE(SUBSTITUTE(SUBSTITUTE(LOWER(Registro!$G106),"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",LEN(Registro!$G106))),({1,2,3,4,5,6,7,8,9,10,11,12,13,14,15,16,17,18,19,20,21,22,23,24,25,26,27,28,29,30}-1)*LEN(Registro!$G106)+1,LEN(Registro!$G106))),FIND("x",TRIM(MID(SUBSTITUTE(SUBSTITUTE(SUBSTITUTE(SUBSTITUTE(SUBSTITUTE(LOWER(Registro!$G106),"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",LEN(Registro!$G106))),({1,2,3,4,5,6,7,8,9,10,11,12,13,14,15,16,17,18,19,20,21,22,23,24,25,26,27,28,29,30}-1)*LEN(Registro!$G106)+1,LEN(Registro!$G106)))&amp;"x")-1)),--("0"&amp;MID(TRIM(MID(SUBSTITUTE(SUBSTITUTE(SUBSTITUTE(SUBSTITUTE(SUBSTITUTE(LOWER(Registro!$G106),"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",LEN(Registro!$G106))),({1,2,3,4,5,6,7,8,9,10,11,12,13,14,15,16,17,18,19,20,21,22,23,24,25,26,27,28,29,30}-1)*LEN(Registro!$G106)+1,LEN(Registro!$G106))),FIND("x",TRIM(MID(SUBSTITUTE(SUBSTITUTE(SUBSTITUTE(SUBSTITUTE(SUBSTITUTE(LOWER(Registro!$G106),"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",LEN(Registro!$G106))),({1,2,3,4,5,6,7,8,9,10,11,12,13,14,15,16,17,18,19,20,21,22,23,24,25,26,27,28,29,30}-1)*LEN(Registro!$G106)+1,LEN(Registro!$G106)))&amp;"x")+1,20))),"Revisar formato")))</f>
        <v/>
      </c>
      <c r="J106" s="9" t="str">
        <f>IF(AND(Registro!$E106="",Registro!$G106=""),"",IF(NOT(AND(ISNUMBER(I106),ISNUMBER(Registro!$H106))),"",IF(I106&lt;Registro!$H106,"FALTA BOLETOS",IF(I106=Registro!$H106,"CONFORME","DIFERENCIA"))))</f>
        <v/>
      </c>
      <c r="K106" s="11" t="str">
        <f>IF(Registro!$I106="","",IFERROR(SUMPRODUCT(--("0"&amp;TRIM(RIGHT(SUBSTITUTE(TRIM(MID(SUBSTITUTE(SUBSTITUTE(Registro!$I106,";",CHAR(10)),CHAR(10),REPT(" ",LEN(Registro!$I106))),({1,2,3,4,5,6,7,8,9,10,11,12,13,14,15,16,17,18,19,20,21,22,23,24,25,26,27,28,29,30}-1)*LEN(Registro!$I106)+1,LEN(Registro!$I106)))," ",REPT(" ",50)),50)))),"Revisar formato"))</f>
        <v/>
      </c>
      <c r="L106" s="11" t="str">
        <f>IF(Registro!$J106="","",IFERROR(SUMPRODUCT(--("0"&amp;TRIM(RIGHT(SUBSTITUTE(TRIM(MID(SUBSTITUTE(SUBSTITUTE(Registro!$J106,";",CHAR(10)),CHAR(10),REPT(" ",LEN(Registro!$J106))),({1,2,3,4,5,6,7,8,9,10,11,12,13,14,15,16,17,18,19,20,21,22,23,24,25,26,27,28,29,30}-1)*LEN(Registro!$J106)+1,LEN(Registro!$J106)))," ",REPT(" ",50)),50)))),"Revisar formato"))</f>
        <v/>
      </c>
      <c r="M106" s="11" t="str">
        <f>IF(AND(Registro!$H106="",Registro!$I106=""),"",IF(AND(ISTEXT(K106),K106&lt;&gt;""),"Revisar formato",N(Registro!$H106)-N(K106)))</f>
        <v/>
      </c>
      <c r="N106" s="11" t="str">
        <f t="shared" si="5"/>
        <v/>
      </c>
      <c r="O106" s="15" t="str">
        <f>IF(AND(A106=Consulta!$B$3,C106=Consulta!$H$3),B106*10000+ROW(),"")</f>
        <v/>
      </c>
    </row>
    <row r="107" spans="1:15" x14ac:dyDescent="0.25">
      <c r="A107" s="9" t="str">
        <f>IF(Registro!$A107="","",Registro!$A107)</f>
        <v/>
      </c>
      <c r="B107" s="8" t="str">
        <f>IF(Registro!$B107="","",Registro!$B107)</f>
        <v/>
      </c>
      <c r="C107" s="14" t="str">
        <f t="shared" si="3"/>
        <v/>
      </c>
      <c r="D107" s="10" t="str">
        <f>IF(Registro!$E107="","",IF(ISERROR(FIND("x",LOWER(Registro!$E107))),"-",IFERROR(SUMPRODUCT(--("0"&amp;LEFT(TRIM(MID(SUBSTITUTE(SUBSTITUTE(SUBSTITUTE(SUBSTITUTE(SUBSTITUTE(LOWER(Registro!$E107),"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",LEN(Registro!$E107))),({1,2,3,4,5,6,7,8,9,10,11,12,13,14,15,16,17,18,19,20,21,22,23,24,25,26,27,28,29,30}-1)*LEN(Registro!$E107)+1,LEN(Registro!$E107)))&amp;"x")-1))),"Revisar formato")))</f>
        <v/>
      </c>
      <c r="E107" s="11" t="str">
        <f>IF(Registro!$E107="","",IF(ISERROR(FIND("x",LOWER(Registro!$E107))),"-",IFERROR(SUMPRODUCT(--("0"&amp;LEFT(TRIM(MID(SUBSTITUTE(SUBSTITUTE(SUBSTITUTE(SUBSTITUTE(SUBSTITUTE(LOWER(Registro!$E107),"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",LEN(Registro!$E107))),({1,2,3,4,5,6,7,8,9,10,11,12,13,14,15,16,17,18,19,20,21,22,23,24,25,26,27,28,29,30}-1)*LEN(Registro!$E107)+1,LEN(Registro!$E107)))&amp;"x")-1)),--("0"&amp;MID(TRIM(MID(SUBSTITUTE(SUBSTITUTE(SUBSTITUTE(SUBSTITUTE(SUBSTITUTE(LOWER(Registro!$E107),"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",LEN(Registro!$E107))),({1,2,3,4,5,6,7,8,9,10,11,12,13,14,15,16,17,18,19,20,21,22,23,24,25,26,27,28,29,30}-1)*LEN(Registro!$E107)+1,LEN(Registro!$E107)))&amp;"x")+1,20))),"Revisar formato")))</f>
        <v/>
      </c>
      <c r="F107" s="11" t="str">
        <f>IF(Registro!$F107="","",N(Registro!$F107))</f>
        <v/>
      </c>
      <c r="G107" s="11" t="str">
        <f t="shared" si="4"/>
        <v/>
      </c>
      <c r="H107" s="10" t="str">
        <f>IF(Registro!$G107="","",IF(ISERROR(FIND("x",LOWER(Registro!$G107))),"-",IFERROR(SUMPRODUCT(--("0"&amp;LEFT(TRIM(MID(SUBSTITUTE(SUBSTITUTE(SUBSTITUTE(SUBSTITUTE(SUBSTITUTE(LOWER(Registro!$G107),"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",LEN(Registro!$G107))),({1,2,3,4,5,6,7,8,9,10,11,12,13,14,15,16,17,18,19,20,21,22,23,24,25,26,27,28,29,30}-1)*LEN(Registro!$G107)+1,LEN(Registro!$G107))),FIND("x",TRIM(MID(SUBSTITUTE(SUBSTITUTE(SUBSTITUTE(SUBSTITUTE(SUBSTITUTE(LOWER(Registro!$G107),"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",LEN(Registro!$G107))),({1,2,3,4,5,6,7,8,9,10,11,12,13,14,15,16,17,18,19,20,21,22,23,24,25,26,27,28,29,30}-1)*LEN(Registro!$G107)+1,LEN(Registro!$G107)))&amp;"x")-1))),"Revisar formato")))</f>
        <v/>
      </c>
      <c r="I107" s="11" t="str">
        <f>IF(Registro!$G107="","",IF(ISERROR(FIND("x",LOWER(Registro!$G107))),N(Registro!$H107),IFERROR(SUMPRODUCT(--("0"&amp;LEFT(TRIM(MID(SUBSTITUTE(SUBSTITUTE(SUBSTITUTE(SUBSTITUTE(SUBSTITUTE(LOWER(Registro!$G107),"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",LEN(Registro!$G107))),({1,2,3,4,5,6,7,8,9,10,11,12,13,14,15,16,17,18,19,20,21,22,23,24,25,26,27,28,29,30}-1)*LEN(Registro!$G107)+1,LEN(Registro!$G107))),FIND("x",TRIM(MID(SUBSTITUTE(SUBSTITUTE(SUBSTITUTE(SUBSTITUTE(SUBSTITUTE(LOWER(Registro!$G107),"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",LEN(Registro!$G107))),({1,2,3,4,5,6,7,8,9,10,11,12,13,14,15,16,17,18,19,20,21,22,23,24,25,26,27,28,29,30}-1)*LEN(Registro!$G107)+1,LEN(Registro!$G107)))&amp;"x")-1)),--("0"&amp;MID(TRIM(MID(SUBSTITUTE(SUBSTITUTE(SUBSTITUTE(SUBSTITUTE(SUBSTITUTE(LOWER(Registro!$G107),"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",LEN(Registro!$G107))),({1,2,3,4,5,6,7,8,9,10,11,12,13,14,15,16,17,18,19,20,21,22,23,24,25,26,27,28,29,30}-1)*LEN(Registro!$G107)+1,LEN(Registro!$G107))),FIND("x",TRIM(MID(SUBSTITUTE(SUBSTITUTE(SUBSTITUTE(SUBSTITUTE(SUBSTITUTE(LOWER(Registro!$G107),"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",LEN(Registro!$G107))),({1,2,3,4,5,6,7,8,9,10,11,12,13,14,15,16,17,18,19,20,21,22,23,24,25,26,27,28,29,30}-1)*LEN(Registro!$G107)+1,LEN(Registro!$G107)))&amp;"x")+1,20))),"Revisar formato")))</f>
        <v/>
      </c>
      <c r="J107" s="9" t="str">
        <f>IF(AND(Registro!$E107="",Registro!$G107=""),"",IF(NOT(AND(ISNUMBER(I107),ISNUMBER(Registro!$H107))),"",IF(I107&lt;Registro!$H107,"FALTA BOLETOS",IF(I107=Registro!$H107,"CONFORME","DIFERENCIA"))))</f>
        <v/>
      </c>
      <c r="K107" s="11" t="str">
        <f>IF(Registro!$I107="","",IFERROR(SUMPRODUCT(--("0"&amp;TRIM(RIGHT(SUBSTITUTE(TRIM(MID(SUBSTITUTE(SUBSTITUTE(Registro!$I107,";",CHAR(10)),CHAR(10),REPT(" ",LEN(Registro!$I107))),({1,2,3,4,5,6,7,8,9,10,11,12,13,14,15,16,17,18,19,20,21,22,23,24,25,26,27,28,29,30}-1)*LEN(Registro!$I107)+1,LEN(Registro!$I107)))," ",REPT(" ",50)),50)))),"Revisar formato"))</f>
        <v/>
      </c>
      <c r="L107" s="11" t="str">
        <f>IF(Registro!$J107="","",IFERROR(SUMPRODUCT(--("0"&amp;TRIM(RIGHT(SUBSTITUTE(TRIM(MID(SUBSTITUTE(SUBSTITUTE(Registro!$J107,";",CHAR(10)),CHAR(10),REPT(" ",LEN(Registro!$J107))),({1,2,3,4,5,6,7,8,9,10,11,12,13,14,15,16,17,18,19,20,21,22,23,24,25,26,27,28,29,30}-1)*LEN(Registro!$J107)+1,LEN(Registro!$J107)))," ",REPT(" ",50)),50)))),"Revisar formato"))</f>
        <v/>
      </c>
      <c r="M107" s="11" t="str">
        <f>IF(AND(Registro!$H107="",Registro!$I107=""),"",IF(AND(ISTEXT(K107),K107&lt;&gt;""),"Revisar formato",N(Registro!$H107)-N(K107)))</f>
        <v/>
      </c>
      <c r="N107" s="11" t="str">
        <f t="shared" si="5"/>
        <v/>
      </c>
      <c r="O107" s="15" t="str">
        <f>IF(AND(A107=Consulta!$B$3,C107=Consulta!$H$3),B107*10000+ROW(),"")</f>
        <v/>
      </c>
    </row>
    <row r="108" spans="1:15" x14ac:dyDescent="0.25">
      <c r="A108" s="9" t="str">
        <f>IF(Registro!$A108="","",Registro!$A108)</f>
        <v/>
      </c>
      <c r="B108" s="8" t="str">
        <f>IF(Registro!$B108="","",Registro!$B108)</f>
        <v/>
      </c>
      <c r="C108" s="14" t="str">
        <f t="shared" si="3"/>
        <v/>
      </c>
      <c r="D108" s="10" t="str">
        <f>IF(Registro!$E108="","",IF(ISERROR(FIND("x",LOWER(Registro!$E108))),"-",IFERROR(SUMPRODUCT(--("0"&amp;LEFT(TRIM(MID(SUBSTITUTE(SUBSTITUTE(SUBSTITUTE(SUBSTITUTE(SUBSTITUTE(LOWER(Registro!$E108),"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",LEN(Registro!$E108))),({1,2,3,4,5,6,7,8,9,10,11,12,13,14,15,16,17,18,19,20,21,22,23,24,25,26,27,28,29,30}-1)*LEN(Registro!$E108)+1,LEN(Registro!$E108)))&amp;"x")-1))),"Revisar formato")))</f>
        <v/>
      </c>
      <c r="E108" s="11" t="str">
        <f>IF(Registro!$E108="","",IF(ISERROR(FIND("x",LOWER(Registro!$E108))),"-",IFERROR(SUMPRODUCT(--("0"&amp;LEFT(TRIM(MID(SUBSTITUTE(SUBSTITUTE(SUBSTITUTE(SUBSTITUTE(SUBSTITUTE(LOWER(Registro!$E108),"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",LEN(Registro!$E108))),({1,2,3,4,5,6,7,8,9,10,11,12,13,14,15,16,17,18,19,20,21,22,23,24,25,26,27,28,29,30}-1)*LEN(Registro!$E108)+1,LEN(Registro!$E108)))&amp;"x")-1)),--("0"&amp;MID(TRIM(MID(SUBSTITUTE(SUBSTITUTE(SUBSTITUTE(SUBSTITUTE(SUBSTITUTE(LOWER(Registro!$E108),"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",LEN(Registro!$E108))),({1,2,3,4,5,6,7,8,9,10,11,12,13,14,15,16,17,18,19,20,21,22,23,24,25,26,27,28,29,30}-1)*LEN(Registro!$E108)+1,LEN(Registro!$E108)))&amp;"x")+1,20))),"Revisar formato")))</f>
        <v/>
      </c>
      <c r="F108" s="11" t="str">
        <f>IF(Registro!$F108="","",N(Registro!$F108))</f>
        <v/>
      </c>
      <c r="G108" s="11" t="str">
        <f t="shared" si="4"/>
        <v/>
      </c>
      <c r="H108" s="10" t="str">
        <f>IF(Registro!$G108="","",IF(ISERROR(FIND("x",LOWER(Registro!$G108))),"-",IFERROR(SUMPRODUCT(--("0"&amp;LEFT(TRIM(MID(SUBSTITUTE(SUBSTITUTE(SUBSTITUTE(SUBSTITUTE(SUBSTITUTE(LOWER(Registro!$G108),"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",LEN(Registro!$G108))),({1,2,3,4,5,6,7,8,9,10,11,12,13,14,15,16,17,18,19,20,21,22,23,24,25,26,27,28,29,30}-1)*LEN(Registro!$G108)+1,LEN(Registro!$G108))),FIND("x",TRIM(MID(SUBSTITUTE(SUBSTITUTE(SUBSTITUTE(SUBSTITUTE(SUBSTITUTE(LOWER(Registro!$G108),"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",LEN(Registro!$G108))),({1,2,3,4,5,6,7,8,9,10,11,12,13,14,15,16,17,18,19,20,21,22,23,24,25,26,27,28,29,30}-1)*LEN(Registro!$G108)+1,LEN(Registro!$G108)))&amp;"x")-1))),"Revisar formato")))</f>
        <v/>
      </c>
      <c r="I108" s="11" t="str">
        <f>IF(Registro!$G108="","",IF(ISERROR(FIND("x",LOWER(Registro!$G108))),N(Registro!$H108),IFERROR(SUMPRODUCT(--("0"&amp;LEFT(TRIM(MID(SUBSTITUTE(SUBSTITUTE(SUBSTITUTE(SUBSTITUTE(SUBSTITUTE(LOWER(Registro!$G108),"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",LEN(Registro!$G108))),({1,2,3,4,5,6,7,8,9,10,11,12,13,14,15,16,17,18,19,20,21,22,23,24,25,26,27,28,29,30}-1)*LEN(Registro!$G108)+1,LEN(Registro!$G108))),FIND("x",TRIM(MID(SUBSTITUTE(SUBSTITUTE(SUBSTITUTE(SUBSTITUTE(SUBSTITUTE(LOWER(Registro!$G108),"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",LEN(Registro!$G108))),({1,2,3,4,5,6,7,8,9,10,11,12,13,14,15,16,17,18,19,20,21,22,23,24,25,26,27,28,29,30}-1)*LEN(Registro!$G108)+1,LEN(Registro!$G108)))&amp;"x")-1)),--("0"&amp;MID(TRIM(MID(SUBSTITUTE(SUBSTITUTE(SUBSTITUTE(SUBSTITUTE(SUBSTITUTE(LOWER(Registro!$G108),"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",LEN(Registro!$G108))),({1,2,3,4,5,6,7,8,9,10,11,12,13,14,15,16,17,18,19,20,21,22,23,24,25,26,27,28,29,30}-1)*LEN(Registro!$G108)+1,LEN(Registro!$G108))),FIND("x",TRIM(MID(SUBSTITUTE(SUBSTITUTE(SUBSTITUTE(SUBSTITUTE(SUBSTITUTE(LOWER(Registro!$G108),"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",LEN(Registro!$G108))),({1,2,3,4,5,6,7,8,9,10,11,12,13,14,15,16,17,18,19,20,21,22,23,24,25,26,27,28,29,30}-1)*LEN(Registro!$G108)+1,LEN(Registro!$G108)))&amp;"x")+1,20))),"Revisar formato")))</f>
        <v/>
      </c>
      <c r="J108" s="9" t="str">
        <f>IF(AND(Registro!$E108="",Registro!$G108=""),"",IF(NOT(AND(ISNUMBER(I108),ISNUMBER(Registro!$H108))),"",IF(I108&lt;Registro!$H108,"FALTA BOLETOS",IF(I108=Registro!$H108,"CONFORME","DIFERENCIA"))))</f>
        <v/>
      </c>
      <c r="K108" s="11" t="str">
        <f>IF(Registro!$I108="","",IFERROR(SUMPRODUCT(--("0"&amp;TRIM(RIGHT(SUBSTITUTE(TRIM(MID(SUBSTITUTE(SUBSTITUTE(Registro!$I108,";",CHAR(10)),CHAR(10),REPT(" ",LEN(Registro!$I108))),({1,2,3,4,5,6,7,8,9,10,11,12,13,14,15,16,17,18,19,20,21,22,23,24,25,26,27,28,29,30}-1)*LEN(Registro!$I108)+1,LEN(Registro!$I108)))," ",REPT(" ",50)),50)))),"Revisar formato"))</f>
        <v/>
      </c>
      <c r="L108" s="11" t="str">
        <f>IF(Registro!$J108="","",IFERROR(SUMPRODUCT(--("0"&amp;TRIM(RIGHT(SUBSTITUTE(TRIM(MID(SUBSTITUTE(SUBSTITUTE(Registro!$J108,";",CHAR(10)),CHAR(10),REPT(" ",LEN(Registro!$J108))),({1,2,3,4,5,6,7,8,9,10,11,12,13,14,15,16,17,18,19,20,21,22,23,24,25,26,27,28,29,30}-1)*LEN(Registro!$J108)+1,LEN(Registro!$J108)))," ",REPT(" ",50)),50)))),"Revisar formato"))</f>
        <v/>
      </c>
      <c r="M108" s="11" t="str">
        <f>IF(AND(Registro!$H108="",Registro!$I108=""),"",IF(AND(ISTEXT(K108),K108&lt;&gt;""),"Revisar formato",N(Registro!$H108)-N(K108)))</f>
        <v/>
      </c>
      <c r="N108" s="11" t="str">
        <f t="shared" si="5"/>
        <v/>
      </c>
      <c r="O108" s="15" t="str">
        <f>IF(AND(A108=Consulta!$B$3,C108=Consulta!$H$3),B108*10000+ROW(),"")</f>
        <v/>
      </c>
    </row>
    <row r="109" spans="1:15" x14ac:dyDescent="0.25">
      <c r="A109" s="9" t="str">
        <f>IF(Registro!$A109="","",Registro!$A109)</f>
        <v/>
      </c>
      <c r="B109" s="8" t="str">
        <f>IF(Registro!$B109="","",Registro!$B109)</f>
        <v/>
      </c>
      <c r="C109" s="14" t="str">
        <f t="shared" si="3"/>
        <v/>
      </c>
      <c r="D109" s="10" t="str">
        <f>IF(Registro!$E109="","",IF(ISERROR(FIND("x",LOWER(Registro!$E109))),"-",IFERROR(SUMPRODUCT(--("0"&amp;LEFT(TRIM(MID(SUBSTITUTE(SUBSTITUTE(SUBSTITUTE(SUBSTITUTE(SUBSTITUTE(LOWER(Registro!$E109),"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",LEN(Registro!$E109))),({1,2,3,4,5,6,7,8,9,10,11,12,13,14,15,16,17,18,19,20,21,22,23,24,25,26,27,28,29,30}-1)*LEN(Registro!$E109)+1,LEN(Registro!$E109)))&amp;"x")-1))),"Revisar formato")))</f>
        <v/>
      </c>
      <c r="E109" s="11" t="str">
        <f>IF(Registro!$E109="","",IF(ISERROR(FIND("x",LOWER(Registro!$E109))),"-",IFERROR(SUMPRODUCT(--("0"&amp;LEFT(TRIM(MID(SUBSTITUTE(SUBSTITUTE(SUBSTITUTE(SUBSTITUTE(SUBSTITUTE(LOWER(Registro!$E109),"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",LEN(Registro!$E109))),({1,2,3,4,5,6,7,8,9,10,11,12,13,14,15,16,17,18,19,20,21,22,23,24,25,26,27,28,29,30}-1)*LEN(Registro!$E109)+1,LEN(Registro!$E109)))&amp;"x")-1)),--("0"&amp;MID(TRIM(MID(SUBSTITUTE(SUBSTITUTE(SUBSTITUTE(SUBSTITUTE(SUBSTITUTE(LOWER(Registro!$E109),"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",LEN(Registro!$E109))),({1,2,3,4,5,6,7,8,9,10,11,12,13,14,15,16,17,18,19,20,21,22,23,24,25,26,27,28,29,30}-1)*LEN(Registro!$E109)+1,LEN(Registro!$E109)))&amp;"x")+1,20))),"Revisar formato")))</f>
        <v/>
      </c>
      <c r="F109" s="11" t="str">
        <f>IF(Registro!$F109="","",N(Registro!$F109))</f>
        <v/>
      </c>
      <c r="G109" s="11" t="str">
        <f t="shared" si="4"/>
        <v/>
      </c>
      <c r="H109" s="10" t="str">
        <f>IF(Registro!$G109="","",IF(ISERROR(FIND("x",LOWER(Registro!$G109))),"-",IFERROR(SUMPRODUCT(--("0"&amp;LEFT(TRIM(MID(SUBSTITUTE(SUBSTITUTE(SUBSTITUTE(SUBSTITUTE(SUBSTITUTE(LOWER(Registro!$G109),"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",LEN(Registro!$G109))),({1,2,3,4,5,6,7,8,9,10,11,12,13,14,15,16,17,18,19,20,21,22,23,24,25,26,27,28,29,30}-1)*LEN(Registro!$G109)+1,LEN(Registro!$G109))),FIND("x",TRIM(MID(SUBSTITUTE(SUBSTITUTE(SUBSTITUTE(SUBSTITUTE(SUBSTITUTE(LOWER(Registro!$G109),"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",LEN(Registro!$G109))),({1,2,3,4,5,6,7,8,9,10,11,12,13,14,15,16,17,18,19,20,21,22,23,24,25,26,27,28,29,30}-1)*LEN(Registro!$G109)+1,LEN(Registro!$G109)))&amp;"x")-1))),"Revisar formato")))</f>
        <v/>
      </c>
      <c r="I109" s="11" t="str">
        <f>IF(Registro!$G109="","",IF(ISERROR(FIND("x",LOWER(Registro!$G109))),N(Registro!$H109),IFERROR(SUMPRODUCT(--("0"&amp;LEFT(TRIM(MID(SUBSTITUTE(SUBSTITUTE(SUBSTITUTE(SUBSTITUTE(SUBSTITUTE(LOWER(Registro!$G109),"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",LEN(Registro!$G109))),({1,2,3,4,5,6,7,8,9,10,11,12,13,14,15,16,17,18,19,20,21,22,23,24,25,26,27,28,29,30}-1)*LEN(Registro!$G109)+1,LEN(Registro!$G109))),FIND("x",TRIM(MID(SUBSTITUTE(SUBSTITUTE(SUBSTITUTE(SUBSTITUTE(SUBSTITUTE(LOWER(Registro!$G109),"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",LEN(Registro!$G109))),({1,2,3,4,5,6,7,8,9,10,11,12,13,14,15,16,17,18,19,20,21,22,23,24,25,26,27,28,29,30}-1)*LEN(Registro!$G109)+1,LEN(Registro!$G109)))&amp;"x")-1)),--("0"&amp;MID(TRIM(MID(SUBSTITUTE(SUBSTITUTE(SUBSTITUTE(SUBSTITUTE(SUBSTITUTE(LOWER(Registro!$G109),"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",LEN(Registro!$G109))),({1,2,3,4,5,6,7,8,9,10,11,12,13,14,15,16,17,18,19,20,21,22,23,24,25,26,27,28,29,30}-1)*LEN(Registro!$G109)+1,LEN(Registro!$G109))),FIND("x",TRIM(MID(SUBSTITUTE(SUBSTITUTE(SUBSTITUTE(SUBSTITUTE(SUBSTITUTE(LOWER(Registro!$G109),"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",LEN(Registro!$G109))),({1,2,3,4,5,6,7,8,9,10,11,12,13,14,15,16,17,18,19,20,21,22,23,24,25,26,27,28,29,30}-1)*LEN(Registro!$G109)+1,LEN(Registro!$G109)))&amp;"x")+1,20))),"Revisar formato")))</f>
        <v/>
      </c>
      <c r="J109" s="9" t="str">
        <f>IF(AND(Registro!$E109="",Registro!$G109=""),"",IF(NOT(AND(ISNUMBER(I109),ISNUMBER(Registro!$H109))),"",IF(I109&lt;Registro!$H109,"FALTA BOLETOS",IF(I109=Registro!$H109,"CONFORME","DIFERENCIA"))))</f>
        <v/>
      </c>
      <c r="K109" s="11" t="str">
        <f>IF(Registro!$I109="","",IFERROR(SUMPRODUCT(--("0"&amp;TRIM(RIGHT(SUBSTITUTE(TRIM(MID(SUBSTITUTE(SUBSTITUTE(Registro!$I109,";",CHAR(10)),CHAR(10),REPT(" ",LEN(Registro!$I109))),({1,2,3,4,5,6,7,8,9,10,11,12,13,14,15,16,17,18,19,20,21,22,23,24,25,26,27,28,29,30}-1)*LEN(Registro!$I109)+1,LEN(Registro!$I109)))," ",REPT(" ",50)),50)))),"Revisar formato"))</f>
        <v/>
      </c>
      <c r="L109" s="11" t="str">
        <f>IF(Registro!$J109="","",IFERROR(SUMPRODUCT(--("0"&amp;TRIM(RIGHT(SUBSTITUTE(TRIM(MID(SUBSTITUTE(SUBSTITUTE(Registro!$J109,";",CHAR(10)),CHAR(10),REPT(" ",LEN(Registro!$J109))),({1,2,3,4,5,6,7,8,9,10,11,12,13,14,15,16,17,18,19,20,21,22,23,24,25,26,27,28,29,30}-1)*LEN(Registro!$J109)+1,LEN(Registro!$J109)))," ",REPT(" ",50)),50)))),"Revisar formato"))</f>
        <v/>
      </c>
      <c r="M109" s="11" t="str">
        <f>IF(AND(Registro!$H109="",Registro!$I109=""),"",IF(AND(ISTEXT(K109),K109&lt;&gt;""),"Revisar formato",N(Registro!$H109)-N(K109)))</f>
        <v/>
      </c>
      <c r="N109" s="11" t="str">
        <f t="shared" si="5"/>
        <v/>
      </c>
      <c r="O109" s="15" t="str">
        <f>IF(AND(A109=Consulta!$B$3,C109=Consulta!$H$3),B109*10000+ROW(),"")</f>
        <v/>
      </c>
    </row>
    <row r="110" spans="1:15" x14ac:dyDescent="0.25">
      <c r="A110" s="9" t="str">
        <f>IF(Registro!$A110="","",Registro!$A110)</f>
        <v/>
      </c>
      <c r="B110" s="8" t="str">
        <f>IF(Registro!$B110="","",Registro!$B110)</f>
        <v/>
      </c>
      <c r="C110" s="14" t="str">
        <f t="shared" si="3"/>
        <v/>
      </c>
      <c r="D110" s="10" t="str">
        <f>IF(Registro!$E110="","",IF(ISERROR(FIND("x",LOWER(Registro!$E110))),"-",IFERROR(SUMPRODUCT(--("0"&amp;LEFT(TRIM(MID(SUBSTITUTE(SUBSTITUTE(SUBSTITUTE(SUBSTITUTE(SUBSTITUTE(LOWER(Registro!$E110),"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",LEN(Registro!$E110))),({1,2,3,4,5,6,7,8,9,10,11,12,13,14,15,16,17,18,19,20,21,22,23,24,25,26,27,28,29,30}-1)*LEN(Registro!$E110)+1,LEN(Registro!$E110)))&amp;"x")-1))),"Revisar formato")))</f>
        <v/>
      </c>
      <c r="E110" s="11" t="str">
        <f>IF(Registro!$E110="","",IF(ISERROR(FIND("x",LOWER(Registro!$E110))),"-",IFERROR(SUMPRODUCT(--("0"&amp;LEFT(TRIM(MID(SUBSTITUTE(SUBSTITUTE(SUBSTITUTE(SUBSTITUTE(SUBSTITUTE(LOWER(Registro!$E110),"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",LEN(Registro!$E110))),({1,2,3,4,5,6,7,8,9,10,11,12,13,14,15,16,17,18,19,20,21,22,23,24,25,26,27,28,29,30}-1)*LEN(Registro!$E110)+1,LEN(Registro!$E110)))&amp;"x")-1)),--("0"&amp;MID(TRIM(MID(SUBSTITUTE(SUBSTITUTE(SUBSTITUTE(SUBSTITUTE(SUBSTITUTE(LOWER(Registro!$E110),"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",LEN(Registro!$E110))),({1,2,3,4,5,6,7,8,9,10,11,12,13,14,15,16,17,18,19,20,21,22,23,24,25,26,27,28,29,30}-1)*LEN(Registro!$E110)+1,LEN(Registro!$E110)))&amp;"x")+1,20))),"Revisar formato")))</f>
        <v/>
      </c>
      <c r="F110" s="11" t="str">
        <f>IF(Registro!$F110="","",N(Registro!$F110))</f>
        <v/>
      </c>
      <c r="G110" s="11" t="str">
        <f t="shared" si="4"/>
        <v/>
      </c>
      <c r="H110" s="10" t="str">
        <f>IF(Registro!$G110="","",IF(ISERROR(FIND("x",LOWER(Registro!$G110))),"-",IFERROR(SUMPRODUCT(--("0"&amp;LEFT(TRIM(MID(SUBSTITUTE(SUBSTITUTE(SUBSTITUTE(SUBSTITUTE(SUBSTITUTE(LOWER(Registro!$G110),"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",LEN(Registro!$G110))),({1,2,3,4,5,6,7,8,9,10,11,12,13,14,15,16,17,18,19,20,21,22,23,24,25,26,27,28,29,30}-1)*LEN(Registro!$G110)+1,LEN(Registro!$G110))),FIND("x",TRIM(MID(SUBSTITUTE(SUBSTITUTE(SUBSTITUTE(SUBSTITUTE(SUBSTITUTE(LOWER(Registro!$G110),"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",LEN(Registro!$G110))),({1,2,3,4,5,6,7,8,9,10,11,12,13,14,15,16,17,18,19,20,21,22,23,24,25,26,27,28,29,30}-1)*LEN(Registro!$G110)+1,LEN(Registro!$G110)))&amp;"x")-1))),"Revisar formato")))</f>
        <v/>
      </c>
      <c r="I110" s="11" t="str">
        <f>IF(Registro!$G110="","",IF(ISERROR(FIND("x",LOWER(Registro!$G110))),N(Registro!$H110),IFERROR(SUMPRODUCT(--("0"&amp;LEFT(TRIM(MID(SUBSTITUTE(SUBSTITUTE(SUBSTITUTE(SUBSTITUTE(SUBSTITUTE(LOWER(Registro!$G110),"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",LEN(Registro!$G110))),({1,2,3,4,5,6,7,8,9,10,11,12,13,14,15,16,17,18,19,20,21,22,23,24,25,26,27,28,29,30}-1)*LEN(Registro!$G110)+1,LEN(Registro!$G110))),FIND("x",TRIM(MID(SUBSTITUTE(SUBSTITUTE(SUBSTITUTE(SUBSTITUTE(SUBSTITUTE(LOWER(Registro!$G110),"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",LEN(Registro!$G110))),({1,2,3,4,5,6,7,8,9,10,11,12,13,14,15,16,17,18,19,20,21,22,23,24,25,26,27,28,29,30}-1)*LEN(Registro!$G110)+1,LEN(Registro!$G110)))&amp;"x")-1)),--("0"&amp;MID(TRIM(MID(SUBSTITUTE(SUBSTITUTE(SUBSTITUTE(SUBSTITUTE(SUBSTITUTE(LOWER(Registro!$G110),"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",LEN(Registro!$G110))),({1,2,3,4,5,6,7,8,9,10,11,12,13,14,15,16,17,18,19,20,21,22,23,24,25,26,27,28,29,30}-1)*LEN(Registro!$G110)+1,LEN(Registro!$G110))),FIND("x",TRIM(MID(SUBSTITUTE(SUBSTITUTE(SUBSTITUTE(SUBSTITUTE(SUBSTITUTE(LOWER(Registro!$G110),"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",LEN(Registro!$G110))),({1,2,3,4,5,6,7,8,9,10,11,12,13,14,15,16,17,18,19,20,21,22,23,24,25,26,27,28,29,30}-1)*LEN(Registro!$G110)+1,LEN(Registro!$G110)))&amp;"x")+1,20))),"Revisar formato")))</f>
        <v/>
      </c>
      <c r="J110" s="9" t="str">
        <f>IF(AND(Registro!$E110="",Registro!$G110=""),"",IF(NOT(AND(ISNUMBER(I110),ISNUMBER(Registro!$H110))),"",IF(I110&lt;Registro!$H110,"FALTA BOLETOS",IF(I110=Registro!$H110,"CONFORME","DIFERENCIA"))))</f>
        <v/>
      </c>
      <c r="K110" s="11" t="str">
        <f>IF(Registro!$I110="","",IFERROR(SUMPRODUCT(--("0"&amp;TRIM(RIGHT(SUBSTITUTE(TRIM(MID(SUBSTITUTE(SUBSTITUTE(Registro!$I110,";",CHAR(10)),CHAR(10),REPT(" ",LEN(Registro!$I110))),({1,2,3,4,5,6,7,8,9,10,11,12,13,14,15,16,17,18,19,20,21,22,23,24,25,26,27,28,29,30}-1)*LEN(Registro!$I110)+1,LEN(Registro!$I110)))," ",REPT(" ",50)),50)))),"Revisar formato"))</f>
        <v/>
      </c>
      <c r="L110" s="11" t="str">
        <f>IF(Registro!$J110="","",IFERROR(SUMPRODUCT(--("0"&amp;TRIM(RIGHT(SUBSTITUTE(TRIM(MID(SUBSTITUTE(SUBSTITUTE(Registro!$J110,";",CHAR(10)),CHAR(10),REPT(" ",LEN(Registro!$J110))),({1,2,3,4,5,6,7,8,9,10,11,12,13,14,15,16,17,18,19,20,21,22,23,24,25,26,27,28,29,30}-1)*LEN(Registro!$J110)+1,LEN(Registro!$J110)))," ",REPT(" ",50)),50)))),"Revisar formato"))</f>
        <v/>
      </c>
      <c r="M110" s="11" t="str">
        <f>IF(AND(Registro!$H110="",Registro!$I110=""),"",IF(AND(ISTEXT(K110),K110&lt;&gt;""),"Revisar formato",N(Registro!$H110)-N(K110)))</f>
        <v/>
      </c>
      <c r="N110" s="11" t="str">
        <f t="shared" si="5"/>
        <v/>
      </c>
      <c r="O110" s="15" t="str">
        <f>IF(AND(A110=Consulta!$B$3,C110=Consulta!$H$3),B110*10000+ROW(),"")</f>
        <v/>
      </c>
    </row>
    <row r="111" spans="1:15" x14ac:dyDescent="0.25">
      <c r="A111" s="9" t="str">
        <f>IF(Registro!$A111="","",Registro!$A111)</f>
        <v/>
      </c>
      <c r="B111" s="8" t="str">
        <f>IF(Registro!$B111="","",Registro!$B111)</f>
        <v/>
      </c>
      <c r="C111" s="14" t="str">
        <f t="shared" si="3"/>
        <v/>
      </c>
      <c r="D111" s="10" t="str">
        <f>IF(Registro!$E111="","",IF(ISERROR(FIND("x",LOWER(Registro!$E111))),"-",IFERROR(SUMPRODUCT(--("0"&amp;LEFT(TRIM(MID(SUBSTITUTE(SUBSTITUTE(SUBSTITUTE(SUBSTITUTE(SUBSTITUTE(LOWER(Registro!$E111),"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",LEN(Registro!$E111))),({1,2,3,4,5,6,7,8,9,10,11,12,13,14,15,16,17,18,19,20,21,22,23,24,25,26,27,28,29,30}-1)*LEN(Registro!$E111)+1,LEN(Registro!$E111)))&amp;"x")-1))),"Revisar formato")))</f>
        <v/>
      </c>
      <c r="E111" s="11" t="str">
        <f>IF(Registro!$E111="","",IF(ISERROR(FIND("x",LOWER(Registro!$E111))),"-",IFERROR(SUMPRODUCT(--("0"&amp;LEFT(TRIM(MID(SUBSTITUTE(SUBSTITUTE(SUBSTITUTE(SUBSTITUTE(SUBSTITUTE(LOWER(Registro!$E111),"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",LEN(Registro!$E111))),({1,2,3,4,5,6,7,8,9,10,11,12,13,14,15,16,17,18,19,20,21,22,23,24,25,26,27,28,29,30}-1)*LEN(Registro!$E111)+1,LEN(Registro!$E111)))&amp;"x")-1)),--("0"&amp;MID(TRIM(MID(SUBSTITUTE(SUBSTITUTE(SUBSTITUTE(SUBSTITUTE(SUBSTITUTE(LOWER(Registro!$E111),"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",LEN(Registro!$E111))),({1,2,3,4,5,6,7,8,9,10,11,12,13,14,15,16,17,18,19,20,21,22,23,24,25,26,27,28,29,30}-1)*LEN(Registro!$E111)+1,LEN(Registro!$E111)))&amp;"x")+1,20))),"Revisar formato")))</f>
        <v/>
      </c>
      <c r="F111" s="11" t="str">
        <f>IF(Registro!$F111="","",N(Registro!$F111))</f>
        <v/>
      </c>
      <c r="G111" s="11" t="str">
        <f t="shared" si="4"/>
        <v/>
      </c>
      <c r="H111" s="10" t="str">
        <f>IF(Registro!$G111="","",IF(ISERROR(FIND("x",LOWER(Registro!$G111))),"-",IFERROR(SUMPRODUCT(--("0"&amp;LEFT(TRIM(MID(SUBSTITUTE(SUBSTITUTE(SUBSTITUTE(SUBSTITUTE(SUBSTITUTE(LOWER(Registro!$G111),"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",LEN(Registro!$G111))),({1,2,3,4,5,6,7,8,9,10,11,12,13,14,15,16,17,18,19,20,21,22,23,24,25,26,27,28,29,30}-1)*LEN(Registro!$G111)+1,LEN(Registro!$G111))),FIND("x",TRIM(MID(SUBSTITUTE(SUBSTITUTE(SUBSTITUTE(SUBSTITUTE(SUBSTITUTE(LOWER(Registro!$G111),"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",LEN(Registro!$G111))),({1,2,3,4,5,6,7,8,9,10,11,12,13,14,15,16,17,18,19,20,21,22,23,24,25,26,27,28,29,30}-1)*LEN(Registro!$G111)+1,LEN(Registro!$G111)))&amp;"x")-1))),"Revisar formato")))</f>
        <v/>
      </c>
      <c r="I111" s="11" t="str">
        <f>IF(Registro!$G111="","",IF(ISERROR(FIND("x",LOWER(Registro!$G111))),N(Registro!$H111),IFERROR(SUMPRODUCT(--("0"&amp;LEFT(TRIM(MID(SUBSTITUTE(SUBSTITUTE(SUBSTITUTE(SUBSTITUTE(SUBSTITUTE(LOWER(Registro!$G111),"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",LEN(Registro!$G111))),({1,2,3,4,5,6,7,8,9,10,11,12,13,14,15,16,17,18,19,20,21,22,23,24,25,26,27,28,29,30}-1)*LEN(Registro!$G111)+1,LEN(Registro!$G111))),FIND("x",TRIM(MID(SUBSTITUTE(SUBSTITUTE(SUBSTITUTE(SUBSTITUTE(SUBSTITUTE(LOWER(Registro!$G111),"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",LEN(Registro!$G111))),({1,2,3,4,5,6,7,8,9,10,11,12,13,14,15,16,17,18,19,20,21,22,23,24,25,26,27,28,29,30}-1)*LEN(Registro!$G111)+1,LEN(Registro!$G111)))&amp;"x")-1)),--("0"&amp;MID(TRIM(MID(SUBSTITUTE(SUBSTITUTE(SUBSTITUTE(SUBSTITUTE(SUBSTITUTE(LOWER(Registro!$G111),"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",LEN(Registro!$G111))),({1,2,3,4,5,6,7,8,9,10,11,12,13,14,15,16,17,18,19,20,21,22,23,24,25,26,27,28,29,30}-1)*LEN(Registro!$G111)+1,LEN(Registro!$G111))),FIND("x",TRIM(MID(SUBSTITUTE(SUBSTITUTE(SUBSTITUTE(SUBSTITUTE(SUBSTITUTE(LOWER(Registro!$G111),"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",LEN(Registro!$G111))),({1,2,3,4,5,6,7,8,9,10,11,12,13,14,15,16,17,18,19,20,21,22,23,24,25,26,27,28,29,30}-1)*LEN(Registro!$G111)+1,LEN(Registro!$G111)))&amp;"x")+1,20))),"Revisar formato")))</f>
        <v/>
      </c>
      <c r="J111" s="9" t="str">
        <f>IF(AND(Registro!$E111="",Registro!$G111=""),"",IF(NOT(AND(ISNUMBER(I111),ISNUMBER(Registro!$H111))),"",IF(I111&lt;Registro!$H111,"FALTA BOLETOS",IF(I111=Registro!$H111,"CONFORME","DIFERENCIA"))))</f>
        <v/>
      </c>
      <c r="K111" s="11" t="str">
        <f>IF(Registro!$I111="","",IFERROR(SUMPRODUCT(--("0"&amp;TRIM(RIGHT(SUBSTITUTE(TRIM(MID(SUBSTITUTE(SUBSTITUTE(Registro!$I111,";",CHAR(10)),CHAR(10),REPT(" ",LEN(Registro!$I111))),({1,2,3,4,5,6,7,8,9,10,11,12,13,14,15,16,17,18,19,20,21,22,23,24,25,26,27,28,29,30}-1)*LEN(Registro!$I111)+1,LEN(Registro!$I111)))," ",REPT(" ",50)),50)))),"Revisar formato"))</f>
        <v/>
      </c>
      <c r="L111" s="11" t="str">
        <f>IF(Registro!$J111="","",IFERROR(SUMPRODUCT(--("0"&amp;TRIM(RIGHT(SUBSTITUTE(TRIM(MID(SUBSTITUTE(SUBSTITUTE(Registro!$J111,";",CHAR(10)),CHAR(10),REPT(" ",LEN(Registro!$J111))),({1,2,3,4,5,6,7,8,9,10,11,12,13,14,15,16,17,18,19,20,21,22,23,24,25,26,27,28,29,30}-1)*LEN(Registro!$J111)+1,LEN(Registro!$J111)))," ",REPT(" ",50)),50)))),"Revisar formato"))</f>
        <v/>
      </c>
      <c r="M111" s="11" t="str">
        <f>IF(AND(Registro!$H111="",Registro!$I111=""),"",IF(AND(ISTEXT(K111),K111&lt;&gt;""),"Revisar formato",N(Registro!$H111)-N(K111)))</f>
        <v/>
      </c>
      <c r="N111" s="11" t="str">
        <f t="shared" si="5"/>
        <v/>
      </c>
      <c r="O111" s="15" t="str">
        <f>IF(AND(A111=Consulta!$B$3,C111=Consulta!$H$3),B111*10000+ROW(),"")</f>
        <v/>
      </c>
    </row>
    <row r="112" spans="1:15" x14ac:dyDescent="0.25">
      <c r="A112" s="9" t="str">
        <f>IF(Registro!$A112="","",Registro!$A112)</f>
        <v/>
      </c>
      <c r="B112" s="8" t="str">
        <f>IF(Registro!$B112="","",Registro!$B112)</f>
        <v/>
      </c>
      <c r="C112" s="14" t="str">
        <f t="shared" si="3"/>
        <v/>
      </c>
      <c r="D112" s="10" t="str">
        <f>IF(Registro!$E112="","",IF(ISERROR(FIND("x",LOWER(Registro!$E112))),"-",IFERROR(SUMPRODUCT(--("0"&amp;LEFT(TRIM(MID(SUBSTITUTE(SUBSTITUTE(SUBSTITUTE(SUBSTITUTE(SUBSTITUTE(LOWER(Registro!$E112),"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",LEN(Registro!$E112))),({1,2,3,4,5,6,7,8,9,10,11,12,13,14,15,16,17,18,19,20,21,22,23,24,25,26,27,28,29,30}-1)*LEN(Registro!$E112)+1,LEN(Registro!$E112)))&amp;"x")-1))),"Revisar formato")))</f>
        <v/>
      </c>
      <c r="E112" s="11" t="str">
        <f>IF(Registro!$E112="","",IF(ISERROR(FIND("x",LOWER(Registro!$E112))),"-",IFERROR(SUMPRODUCT(--("0"&amp;LEFT(TRIM(MID(SUBSTITUTE(SUBSTITUTE(SUBSTITUTE(SUBSTITUTE(SUBSTITUTE(LOWER(Registro!$E112),"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",LEN(Registro!$E112))),({1,2,3,4,5,6,7,8,9,10,11,12,13,14,15,16,17,18,19,20,21,22,23,24,25,26,27,28,29,30}-1)*LEN(Registro!$E112)+1,LEN(Registro!$E112)))&amp;"x")-1)),--("0"&amp;MID(TRIM(MID(SUBSTITUTE(SUBSTITUTE(SUBSTITUTE(SUBSTITUTE(SUBSTITUTE(LOWER(Registro!$E112),"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",LEN(Registro!$E112))),({1,2,3,4,5,6,7,8,9,10,11,12,13,14,15,16,17,18,19,20,21,22,23,24,25,26,27,28,29,30}-1)*LEN(Registro!$E112)+1,LEN(Registro!$E112)))&amp;"x")+1,20))),"Revisar formato")))</f>
        <v/>
      </c>
      <c r="F112" s="11" t="str">
        <f>IF(Registro!$F112="","",N(Registro!$F112))</f>
        <v/>
      </c>
      <c r="G112" s="11" t="str">
        <f t="shared" si="4"/>
        <v/>
      </c>
      <c r="H112" s="10" t="str">
        <f>IF(Registro!$G112="","",IF(ISERROR(FIND("x",LOWER(Registro!$G112))),"-",IFERROR(SUMPRODUCT(--("0"&amp;LEFT(TRIM(MID(SUBSTITUTE(SUBSTITUTE(SUBSTITUTE(SUBSTITUTE(SUBSTITUTE(LOWER(Registro!$G112),"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",LEN(Registro!$G112))),({1,2,3,4,5,6,7,8,9,10,11,12,13,14,15,16,17,18,19,20,21,22,23,24,25,26,27,28,29,30}-1)*LEN(Registro!$G112)+1,LEN(Registro!$G112))),FIND("x",TRIM(MID(SUBSTITUTE(SUBSTITUTE(SUBSTITUTE(SUBSTITUTE(SUBSTITUTE(LOWER(Registro!$G112),"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",LEN(Registro!$G112))),({1,2,3,4,5,6,7,8,9,10,11,12,13,14,15,16,17,18,19,20,21,22,23,24,25,26,27,28,29,30}-1)*LEN(Registro!$G112)+1,LEN(Registro!$G112)))&amp;"x")-1))),"Revisar formato")))</f>
        <v/>
      </c>
      <c r="I112" s="11" t="str">
        <f>IF(Registro!$G112="","",IF(ISERROR(FIND("x",LOWER(Registro!$G112))),N(Registro!$H112),IFERROR(SUMPRODUCT(--("0"&amp;LEFT(TRIM(MID(SUBSTITUTE(SUBSTITUTE(SUBSTITUTE(SUBSTITUTE(SUBSTITUTE(LOWER(Registro!$G112),"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",LEN(Registro!$G112))),({1,2,3,4,5,6,7,8,9,10,11,12,13,14,15,16,17,18,19,20,21,22,23,24,25,26,27,28,29,30}-1)*LEN(Registro!$G112)+1,LEN(Registro!$G112))),FIND("x",TRIM(MID(SUBSTITUTE(SUBSTITUTE(SUBSTITUTE(SUBSTITUTE(SUBSTITUTE(LOWER(Registro!$G112),"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",LEN(Registro!$G112))),({1,2,3,4,5,6,7,8,9,10,11,12,13,14,15,16,17,18,19,20,21,22,23,24,25,26,27,28,29,30}-1)*LEN(Registro!$G112)+1,LEN(Registro!$G112)))&amp;"x")-1)),--("0"&amp;MID(TRIM(MID(SUBSTITUTE(SUBSTITUTE(SUBSTITUTE(SUBSTITUTE(SUBSTITUTE(LOWER(Registro!$G112),"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",LEN(Registro!$G112))),({1,2,3,4,5,6,7,8,9,10,11,12,13,14,15,16,17,18,19,20,21,22,23,24,25,26,27,28,29,30}-1)*LEN(Registro!$G112)+1,LEN(Registro!$G112))),FIND("x",TRIM(MID(SUBSTITUTE(SUBSTITUTE(SUBSTITUTE(SUBSTITUTE(SUBSTITUTE(LOWER(Registro!$G112),"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",LEN(Registro!$G112))),({1,2,3,4,5,6,7,8,9,10,11,12,13,14,15,16,17,18,19,20,21,22,23,24,25,26,27,28,29,30}-1)*LEN(Registro!$G112)+1,LEN(Registro!$G112)))&amp;"x")+1,20))),"Revisar formato")))</f>
        <v/>
      </c>
      <c r="J112" s="9" t="str">
        <f>IF(AND(Registro!$E112="",Registro!$G112=""),"",IF(NOT(AND(ISNUMBER(I112),ISNUMBER(Registro!$H112))),"",IF(I112&lt;Registro!$H112,"FALTA BOLETOS",IF(I112=Registro!$H112,"CONFORME","DIFERENCIA"))))</f>
        <v/>
      </c>
      <c r="K112" s="11" t="str">
        <f>IF(Registro!$I112="","",IFERROR(SUMPRODUCT(--("0"&amp;TRIM(RIGHT(SUBSTITUTE(TRIM(MID(SUBSTITUTE(SUBSTITUTE(Registro!$I112,";",CHAR(10)),CHAR(10),REPT(" ",LEN(Registro!$I112))),({1,2,3,4,5,6,7,8,9,10,11,12,13,14,15,16,17,18,19,20,21,22,23,24,25,26,27,28,29,30}-1)*LEN(Registro!$I112)+1,LEN(Registro!$I112)))," ",REPT(" ",50)),50)))),"Revisar formato"))</f>
        <v/>
      </c>
      <c r="L112" s="11" t="str">
        <f>IF(Registro!$J112="","",IFERROR(SUMPRODUCT(--("0"&amp;TRIM(RIGHT(SUBSTITUTE(TRIM(MID(SUBSTITUTE(SUBSTITUTE(Registro!$J112,";",CHAR(10)),CHAR(10),REPT(" ",LEN(Registro!$J112))),({1,2,3,4,5,6,7,8,9,10,11,12,13,14,15,16,17,18,19,20,21,22,23,24,25,26,27,28,29,30}-1)*LEN(Registro!$J112)+1,LEN(Registro!$J112)))," ",REPT(" ",50)),50)))),"Revisar formato"))</f>
        <v/>
      </c>
      <c r="M112" s="11" t="str">
        <f>IF(AND(Registro!$H112="",Registro!$I112=""),"",IF(AND(ISTEXT(K112),K112&lt;&gt;""),"Revisar formato",N(Registro!$H112)-N(K112)))</f>
        <v/>
      </c>
      <c r="N112" s="11" t="str">
        <f t="shared" si="5"/>
        <v/>
      </c>
      <c r="O112" s="15" t="str">
        <f>IF(AND(A112=Consulta!$B$3,C112=Consulta!$H$3),B112*10000+ROW(),"")</f>
        <v/>
      </c>
    </row>
    <row r="113" spans="1:15" x14ac:dyDescent="0.25">
      <c r="A113" s="9" t="str">
        <f>IF(Registro!$A113="","",Registro!$A113)</f>
        <v/>
      </c>
      <c r="B113" s="8" t="str">
        <f>IF(Registro!$B113="","",Registro!$B113)</f>
        <v/>
      </c>
      <c r="C113" s="14" t="str">
        <f t="shared" si="3"/>
        <v/>
      </c>
      <c r="D113" s="10" t="str">
        <f>IF(Registro!$E113="","",IF(ISERROR(FIND("x",LOWER(Registro!$E113))),"-",IFERROR(SUMPRODUCT(--("0"&amp;LEFT(TRIM(MID(SUBSTITUTE(SUBSTITUTE(SUBSTITUTE(SUBSTITUTE(SUBSTITUTE(LOWER(Registro!$E113),"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",LEN(Registro!$E113))),({1,2,3,4,5,6,7,8,9,10,11,12,13,14,15,16,17,18,19,20,21,22,23,24,25,26,27,28,29,30}-1)*LEN(Registro!$E113)+1,LEN(Registro!$E113)))&amp;"x")-1))),"Revisar formato")))</f>
        <v/>
      </c>
      <c r="E113" s="11" t="str">
        <f>IF(Registro!$E113="","",IF(ISERROR(FIND("x",LOWER(Registro!$E113))),"-",IFERROR(SUMPRODUCT(--("0"&amp;LEFT(TRIM(MID(SUBSTITUTE(SUBSTITUTE(SUBSTITUTE(SUBSTITUTE(SUBSTITUTE(LOWER(Registro!$E113),"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",LEN(Registro!$E113))),({1,2,3,4,5,6,7,8,9,10,11,12,13,14,15,16,17,18,19,20,21,22,23,24,25,26,27,28,29,30}-1)*LEN(Registro!$E113)+1,LEN(Registro!$E113)))&amp;"x")-1)),--("0"&amp;MID(TRIM(MID(SUBSTITUTE(SUBSTITUTE(SUBSTITUTE(SUBSTITUTE(SUBSTITUTE(LOWER(Registro!$E113),"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",LEN(Registro!$E113))),({1,2,3,4,5,6,7,8,9,10,11,12,13,14,15,16,17,18,19,20,21,22,23,24,25,26,27,28,29,30}-1)*LEN(Registro!$E113)+1,LEN(Registro!$E113)))&amp;"x")+1,20))),"Revisar formato")))</f>
        <v/>
      </c>
      <c r="F113" s="11" t="str">
        <f>IF(Registro!$F113="","",N(Registro!$F113))</f>
        <v/>
      </c>
      <c r="G113" s="11" t="str">
        <f t="shared" si="4"/>
        <v/>
      </c>
      <c r="H113" s="10" t="str">
        <f>IF(Registro!$G113="","",IF(ISERROR(FIND("x",LOWER(Registro!$G113))),"-",IFERROR(SUMPRODUCT(--("0"&amp;LEFT(TRIM(MID(SUBSTITUTE(SUBSTITUTE(SUBSTITUTE(SUBSTITUTE(SUBSTITUTE(LOWER(Registro!$G113),"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",LEN(Registro!$G113))),({1,2,3,4,5,6,7,8,9,10,11,12,13,14,15,16,17,18,19,20,21,22,23,24,25,26,27,28,29,30}-1)*LEN(Registro!$G113)+1,LEN(Registro!$G113))),FIND("x",TRIM(MID(SUBSTITUTE(SUBSTITUTE(SUBSTITUTE(SUBSTITUTE(SUBSTITUTE(LOWER(Registro!$G113),"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",LEN(Registro!$G113))),({1,2,3,4,5,6,7,8,9,10,11,12,13,14,15,16,17,18,19,20,21,22,23,24,25,26,27,28,29,30}-1)*LEN(Registro!$G113)+1,LEN(Registro!$G113)))&amp;"x")-1))),"Revisar formato")))</f>
        <v/>
      </c>
      <c r="I113" s="11" t="str">
        <f>IF(Registro!$G113="","",IF(ISERROR(FIND("x",LOWER(Registro!$G113))),N(Registro!$H113),IFERROR(SUMPRODUCT(--("0"&amp;LEFT(TRIM(MID(SUBSTITUTE(SUBSTITUTE(SUBSTITUTE(SUBSTITUTE(SUBSTITUTE(LOWER(Registro!$G113),"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",LEN(Registro!$G113))),({1,2,3,4,5,6,7,8,9,10,11,12,13,14,15,16,17,18,19,20,21,22,23,24,25,26,27,28,29,30}-1)*LEN(Registro!$G113)+1,LEN(Registro!$G113))),FIND("x",TRIM(MID(SUBSTITUTE(SUBSTITUTE(SUBSTITUTE(SUBSTITUTE(SUBSTITUTE(LOWER(Registro!$G113),"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",LEN(Registro!$G113))),({1,2,3,4,5,6,7,8,9,10,11,12,13,14,15,16,17,18,19,20,21,22,23,24,25,26,27,28,29,30}-1)*LEN(Registro!$G113)+1,LEN(Registro!$G113)))&amp;"x")-1)),--("0"&amp;MID(TRIM(MID(SUBSTITUTE(SUBSTITUTE(SUBSTITUTE(SUBSTITUTE(SUBSTITUTE(LOWER(Registro!$G113),"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",LEN(Registro!$G113))),({1,2,3,4,5,6,7,8,9,10,11,12,13,14,15,16,17,18,19,20,21,22,23,24,25,26,27,28,29,30}-1)*LEN(Registro!$G113)+1,LEN(Registro!$G113))),FIND("x",TRIM(MID(SUBSTITUTE(SUBSTITUTE(SUBSTITUTE(SUBSTITUTE(SUBSTITUTE(LOWER(Registro!$G113),"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",LEN(Registro!$G113))),({1,2,3,4,5,6,7,8,9,10,11,12,13,14,15,16,17,18,19,20,21,22,23,24,25,26,27,28,29,30}-1)*LEN(Registro!$G113)+1,LEN(Registro!$G113)))&amp;"x")+1,20))),"Revisar formato")))</f>
        <v/>
      </c>
      <c r="J113" s="9" t="str">
        <f>IF(AND(Registro!$E113="",Registro!$G113=""),"",IF(NOT(AND(ISNUMBER(I113),ISNUMBER(Registro!$H113))),"",IF(I113&lt;Registro!$H113,"FALTA BOLETOS",IF(I113=Registro!$H113,"CONFORME","DIFERENCIA"))))</f>
        <v/>
      </c>
      <c r="K113" s="11" t="str">
        <f>IF(Registro!$I113="","",IFERROR(SUMPRODUCT(--("0"&amp;TRIM(RIGHT(SUBSTITUTE(TRIM(MID(SUBSTITUTE(SUBSTITUTE(Registro!$I113,";",CHAR(10)),CHAR(10),REPT(" ",LEN(Registro!$I113))),({1,2,3,4,5,6,7,8,9,10,11,12,13,14,15,16,17,18,19,20,21,22,23,24,25,26,27,28,29,30}-1)*LEN(Registro!$I113)+1,LEN(Registro!$I113)))," ",REPT(" ",50)),50)))),"Revisar formato"))</f>
        <v/>
      </c>
      <c r="L113" s="11" t="str">
        <f>IF(Registro!$J113="","",IFERROR(SUMPRODUCT(--("0"&amp;TRIM(RIGHT(SUBSTITUTE(TRIM(MID(SUBSTITUTE(SUBSTITUTE(Registro!$J113,";",CHAR(10)),CHAR(10),REPT(" ",LEN(Registro!$J113))),({1,2,3,4,5,6,7,8,9,10,11,12,13,14,15,16,17,18,19,20,21,22,23,24,25,26,27,28,29,30}-1)*LEN(Registro!$J113)+1,LEN(Registro!$J113)))," ",REPT(" ",50)),50)))),"Revisar formato"))</f>
        <v/>
      </c>
      <c r="M113" s="11" t="str">
        <f>IF(AND(Registro!$H113="",Registro!$I113=""),"",IF(AND(ISTEXT(K113),K113&lt;&gt;""),"Revisar formato",N(Registro!$H113)-N(K113)))</f>
        <v/>
      </c>
      <c r="N113" s="11" t="str">
        <f t="shared" si="5"/>
        <v/>
      </c>
      <c r="O113" s="15" t="str">
        <f>IF(AND(A113=Consulta!$B$3,C113=Consulta!$H$3),B113*10000+ROW(),"")</f>
        <v/>
      </c>
    </row>
    <row r="114" spans="1:15" x14ac:dyDescent="0.25">
      <c r="A114" s="9" t="str">
        <f>IF(Registro!$A114="","",Registro!$A114)</f>
        <v/>
      </c>
      <c r="B114" s="8" t="str">
        <f>IF(Registro!$B114="","",Registro!$B114)</f>
        <v/>
      </c>
      <c r="C114" s="14" t="str">
        <f t="shared" si="3"/>
        <v/>
      </c>
      <c r="D114" s="10" t="str">
        <f>IF(Registro!$E114="","",IF(ISERROR(FIND("x",LOWER(Registro!$E114))),"-",IFERROR(SUMPRODUCT(--("0"&amp;LEFT(TRIM(MID(SUBSTITUTE(SUBSTITUTE(SUBSTITUTE(SUBSTITUTE(SUBSTITUTE(LOWER(Registro!$E114),"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",LEN(Registro!$E114))),({1,2,3,4,5,6,7,8,9,10,11,12,13,14,15,16,17,18,19,20,21,22,23,24,25,26,27,28,29,30}-1)*LEN(Registro!$E114)+1,LEN(Registro!$E114)))&amp;"x")-1))),"Revisar formato")))</f>
        <v/>
      </c>
      <c r="E114" s="11" t="str">
        <f>IF(Registro!$E114="","",IF(ISERROR(FIND("x",LOWER(Registro!$E114))),"-",IFERROR(SUMPRODUCT(--("0"&amp;LEFT(TRIM(MID(SUBSTITUTE(SUBSTITUTE(SUBSTITUTE(SUBSTITUTE(SUBSTITUTE(LOWER(Registro!$E114),"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",LEN(Registro!$E114))),({1,2,3,4,5,6,7,8,9,10,11,12,13,14,15,16,17,18,19,20,21,22,23,24,25,26,27,28,29,30}-1)*LEN(Registro!$E114)+1,LEN(Registro!$E114)))&amp;"x")-1)),--("0"&amp;MID(TRIM(MID(SUBSTITUTE(SUBSTITUTE(SUBSTITUTE(SUBSTITUTE(SUBSTITUTE(LOWER(Registro!$E114),"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",LEN(Registro!$E114))),({1,2,3,4,5,6,7,8,9,10,11,12,13,14,15,16,17,18,19,20,21,22,23,24,25,26,27,28,29,30}-1)*LEN(Registro!$E114)+1,LEN(Registro!$E114)))&amp;"x")+1,20))),"Revisar formato")))</f>
        <v/>
      </c>
      <c r="F114" s="11" t="str">
        <f>IF(Registro!$F114="","",N(Registro!$F114))</f>
        <v/>
      </c>
      <c r="G114" s="11" t="str">
        <f t="shared" si="4"/>
        <v/>
      </c>
      <c r="H114" s="10" t="str">
        <f>IF(Registro!$G114="","",IF(ISERROR(FIND("x",LOWER(Registro!$G114))),"-",IFERROR(SUMPRODUCT(--("0"&amp;LEFT(TRIM(MID(SUBSTITUTE(SUBSTITUTE(SUBSTITUTE(SUBSTITUTE(SUBSTITUTE(LOWER(Registro!$G114),"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",LEN(Registro!$G114))),({1,2,3,4,5,6,7,8,9,10,11,12,13,14,15,16,17,18,19,20,21,22,23,24,25,26,27,28,29,30}-1)*LEN(Registro!$G114)+1,LEN(Registro!$G114))),FIND("x",TRIM(MID(SUBSTITUTE(SUBSTITUTE(SUBSTITUTE(SUBSTITUTE(SUBSTITUTE(LOWER(Registro!$G114),"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",LEN(Registro!$G114))),({1,2,3,4,5,6,7,8,9,10,11,12,13,14,15,16,17,18,19,20,21,22,23,24,25,26,27,28,29,30}-1)*LEN(Registro!$G114)+1,LEN(Registro!$G114)))&amp;"x")-1))),"Revisar formato")))</f>
        <v/>
      </c>
      <c r="I114" s="11" t="str">
        <f>IF(Registro!$G114="","",IF(ISERROR(FIND("x",LOWER(Registro!$G114))),N(Registro!$H114),IFERROR(SUMPRODUCT(--("0"&amp;LEFT(TRIM(MID(SUBSTITUTE(SUBSTITUTE(SUBSTITUTE(SUBSTITUTE(SUBSTITUTE(LOWER(Registro!$G114),"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",LEN(Registro!$G114))),({1,2,3,4,5,6,7,8,9,10,11,12,13,14,15,16,17,18,19,20,21,22,23,24,25,26,27,28,29,30}-1)*LEN(Registro!$G114)+1,LEN(Registro!$G114))),FIND("x",TRIM(MID(SUBSTITUTE(SUBSTITUTE(SUBSTITUTE(SUBSTITUTE(SUBSTITUTE(LOWER(Registro!$G114),"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",LEN(Registro!$G114))),({1,2,3,4,5,6,7,8,9,10,11,12,13,14,15,16,17,18,19,20,21,22,23,24,25,26,27,28,29,30}-1)*LEN(Registro!$G114)+1,LEN(Registro!$G114)))&amp;"x")-1)),--("0"&amp;MID(TRIM(MID(SUBSTITUTE(SUBSTITUTE(SUBSTITUTE(SUBSTITUTE(SUBSTITUTE(LOWER(Registro!$G114),"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",LEN(Registro!$G114))),({1,2,3,4,5,6,7,8,9,10,11,12,13,14,15,16,17,18,19,20,21,22,23,24,25,26,27,28,29,30}-1)*LEN(Registro!$G114)+1,LEN(Registro!$G114))),FIND("x",TRIM(MID(SUBSTITUTE(SUBSTITUTE(SUBSTITUTE(SUBSTITUTE(SUBSTITUTE(LOWER(Registro!$G114),"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",LEN(Registro!$G114))),({1,2,3,4,5,6,7,8,9,10,11,12,13,14,15,16,17,18,19,20,21,22,23,24,25,26,27,28,29,30}-1)*LEN(Registro!$G114)+1,LEN(Registro!$G114)))&amp;"x")+1,20))),"Revisar formato")))</f>
        <v/>
      </c>
      <c r="J114" s="9" t="str">
        <f>IF(AND(Registro!$E114="",Registro!$G114=""),"",IF(NOT(AND(ISNUMBER(I114),ISNUMBER(Registro!$H114))),"",IF(I114&lt;Registro!$H114,"FALTA BOLETOS",IF(I114=Registro!$H114,"CONFORME","DIFERENCIA"))))</f>
        <v/>
      </c>
      <c r="K114" s="11" t="str">
        <f>IF(Registro!$I114="","",IFERROR(SUMPRODUCT(--("0"&amp;TRIM(RIGHT(SUBSTITUTE(TRIM(MID(SUBSTITUTE(SUBSTITUTE(Registro!$I114,";",CHAR(10)),CHAR(10),REPT(" ",LEN(Registro!$I114))),({1,2,3,4,5,6,7,8,9,10,11,12,13,14,15,16,17,18,19,20,21,22,23,24,25,26,27,28,29,30}-1)*LEN(Registro!$I114)+1,LEN(Registro!$I114)))," ",REPT(" ",50)),50)))),"Revisar formato"))</f>
        <v/>
      </c>
      <c r="L114" s="11" t="str">
        <f>IF(Registro!$J114="","",IFERROR(SUMPRODUCT(--("0"&amp;TRIM(RIGHT(SUBSTITUTE(TRIM(MID(SUBSTITUTE(SUBSTITUTE(Registro!$J114,";",CHAR(10)),CHAR(10),REPT(" ",LEN(Registro!$J114))),({1,2,3,4,5,6,7,8,9,10,11,12,13,14,15,16,17,18,19,20,21,22,23,24,25,26,27,28,29,30}-1)*LEN(Registro!$J114)+1,LEN(Registro!$J114)))," ",REPT(" ",50)),50)))),"Revisar formato"))</f>
        <v/>
      </c>
      <c r="M114" s="11" t="str">
        <f>IF(AND(Registro!$H114="",Registro!$I114=""),"",IF(AND(ISTEXT(K114),K114&lt;&gt;""),"Revisar formato",N(Registro!$H114)-N(K114)))</f>
        <v/>
      </c>
      <c r="N114" s="11" t="str">
        <f t="shared" si="5"/>
        <v/>
      </c>
      <c r="O114" s="15" t="str">
        <f>IF(AND(A114=Consulta!$B$3,C114=Consulta!$H$3),B114*10000+ROW(),"")</f>
        <v/>
      </c>
    </row>
    <row r="115" spans="1:15" x14ac:dyDescent="0.25">
      <c r="A115" s="9" t="str">
        <f>IF(Registro!$A115="","",Registro!$A115)</f>
        <v/>
      </c>
      <c r="B115" s="8" t="str">
        <f>IF(Registro!$B115="","",Registro!$B115)</f>
        <v/>
      </c>
      <c r="C115" s="14" t="str">
        <f t="shared" si="3"/>
        <v/>
      </c>
      <c r="D115" s="10" t="str">
        <f>IF(Registro!$E115="","",IF(ISERROR(FIND("x",LOWER(Registro!$E115))),"-",IFERROR(SUMPRODUCT(--("0"&amp;LEFT(TRIM(MID(SUBSTITUTE(SUBSTITUTE(SUBSTITUTE(SUBSTITUTE(SUBSTITUTE(LOWER(Registro!$E115),"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",LEN(Registro!$E115))),({1,2,3,4,5,6,7,8,9,10,11,12,13,14,15,16,17,18,19,20,21,22,23,24,25,26,27,28,29,30}-1)*LEN(Registro!$E115)+1,LEN(Registro!$E115)))&amp;"x")-1))),"Revisar formato")))</f>
        <v/>
      </c>
      <c r="E115" s="11" t="str">
        <f>IF(Registro!$E115="","",IF(ISERROR(FIND("x",LOWER(Registro!$E115))),"-",IFERROR(SUMPRODUCT(--("0"&amp;LEFT(TRIM(MID(SUBSTITUTE(SUBSTITUTE(SUBSTITUTE(SUBSTITUTE(SUBSTITUTE(LOWER(Registro!$E115),"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",LEN(Registro!$E115))),({1,2,3,4,5,6,7,8,9,10,11,12,13,14,15,16,17,18,19,20,21,22,23,24,25,26,27,28,29,30}-1)*LEN(Registro!$E115)+1,LEN(Registro!$E115)))&amp;"x")-1)),--("0"&amp;MID(TRIM(MID(SUBSTITUTE(SUBSTITUTE(SUBSTITUTE(SUBSTITUTE(SUBSTITUTE(LOWER(Registro!$E115),"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",LEN(Registro!$E115))),({1,2,3,4,5,6,7,8,9,10,11,12,13,14,15,16,17,18,19,20,21,22,23,24,25,26,27,28,29,30}-1)*LEN(Registro!$E115)+1,LEN(Registro!$E115)))&amp;"x")+1,20))),"Revisar formato")))</f>
        <v/>
      </c>
      <c r="F115" s="11" t="str">
        <f>IF(Registro!$F115="","",N(Registro!$F115))</f>
        <v/>
      </c>
      <c r="G115" s="11" t="str">
        <f t="shared" si="4"/>
        <v/>
      </c>
      <c r="H115" s="10" t="str">
        <f>IF(Registro!$G115="","",IF(ISERROR(FIND("x",LOWER(Registro!$G115))),"-",IFERROR(SUMPRODUCT(--("0"&amp;LEFT(TRIM(MID(SUBSTITUTE(SUBSTITUTE(SUBSTITUTE(SUBSTITUTE(SUBSTITUTE(LOWER(Registro!$G115),"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",LEN(Registro!$G115))),({1,2,3,4,5,6,7,8,9,10,11,12,13,14,15,16,17,18,19,20,21,22,23,24,25,26,27,28,29,30}-1)*LEN(Registro!$G115)+1,LEN(Registro!$G115))),FIND("x",TRIM(MID(SUBSTITUTE(SUBSTITUTE(SUBSTITUTE(SUBSTITUTE(SUBSTITUTE(LOWER(Registro!$G115),"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",LEN(Registro!$G115))),({1,2,3,4,5,6,7,8,9,10,11,12,13,14,15,16,17,18,19,20,21,22,23,24,25,26,27,28,29,30}-1)*LEN(Registro!$G115)+1,LEN(Registro!$G115)))&amp;"x")-1))),"Revisar formato")))</f>
        <v/>
      </c>
      <c r="I115" s="11" t="str">
        <f>IF(Registro!$G115="","",IF(ISERROR(FIND("x",LOWER(Registro!$G115))),N(Registro!$H115),IFERROR(SUMPRODUCT(--("0"&amp;LEFT(TRIM(MID(SUBSTITUTE(SUBSTITUTE(SUBSTITUTE(SUBSTITUTE(SUBSTITUTE(LOWER(Registro!$G115),"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",LEN(Registro!$G115))),({1,2,3,4,5,6,7,8,9,10,11,12,13,14,15,16,17,18,19,20,21,22,23,24,25,26,27,28,29,30}-1)*LEN(Registro!$G115)+1,LEN(Registro!$G115))),FIND("x",TRIM(MID(SUBSTITUTE(SUBSTITUTE(SUBSTITUTE(SUBSTITUTE(SUBSTITUTE(LOWER(Registro!$G115),"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",LEN(Registro!$G115))),({1,2,3,4,5,6,7,8,9,10,11,12,13,14,15,16,17,18,19,20,21,22,23,24,25,26,27,28,29,30}-1)*LEN(Registro!$G115)+1,LEN(Registro!$G115)))&amp;"x")-1)),--("0"&amp;MID(TRIM(MID(SUBSTITUTE(SUBSTITUTE(SUBSTITUTE(SUBSTITUTE(SUBSTITUTE(LOWER(Registro!$G115),"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",LEN(Registro!$G115))),({1,2,3,4,5,6,7,8,9,10,11,12,13,14,15,16,17,18,19,20,21,22,23,24,25,26,27,28,29,30}-1)*LEN(Registro!$G115)+1,LEN(Registro!$G115))),FIND("x",TRIM(MID(SUBSTITUTE(SUBSTITUTE(SUBSTITUTE(SUBSTITUTE(SUBSTITUTE(LOWER(Registro!$G115),"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",LEN(Registro!$G115))),({1,2,3,4,5,6,7,8,9,10,11,12,13,14,15,16,17,18,19,20,21,22,23,24,25,26,27,28,29,30}-1)*LEN(Registro!$G115)+1,LEN(Registro!$G115)))&amp;"x")+1,20))),"Revisar formato")))</f>
        <v/>
      </c>
      <c r="J115" s="9" t="str">
        <f>IF(AND(Registro!$E115="",Registro!$G115=""),"",IF(NOT(AND(ISNUMBER(I115),ISNUMBER(Registro!$H115))),"",IF(I115&lt;Registro!$H115,"FALTA BOLETOS",IF(I115=Registro!$H115,"CONFORME","DIFERENCIA"))))</f>
        <v/>
      </c>
      <c r="K115" s="11" t="str">
        <f>IF(Registro!$I115="","",IFERROR(SUMPRODUCT(--("0"&amp;TRIM(RIGHT(SUBSTITUTE(TRIM(MID(SUBSTITUTE(SUBSTITUTE(Registro!$I115,";",CHAR(10)),CHAR(10),REPT(" ",LEN(Registro!$I115))),({1,2,3,4,5,6,7,8,9,10,11,12,13,14,15,16,17,18,19,20,21,22,23,24,25,26,27,28,29,30}-1)*LEN(Registro!$I115)+1,LEN(Registro!$I115)))," ",REPT(" ",50)),50)))),"Revisar formato"))</f>
        <v/>
      </c>
      <c r="L115" s="11" t="str">
        <f>IF(Registro!$J115="","",IFERROR(SUMPRODUCT(--("0"&amp;TRIM(RIGHT(SUBSTITUTE(TRIM(MID(SUBSTITUTE(SUBSTITUTE(Registro!$J115,";",CHAR(10)),CHAR(10),REPT(" ",LEN(Registro!$J115))),({1,2,3,4,5,6,7,8,9,10,11,12,13,14,15,16,17,18,19,20,21,22,23,24,25,26,27,28,29,30}-1)*LEN(Registro!$J115)+1,LEN(Registro!$J115)))," ",REPT(" ",50)),50)))),"Revisar formato"))</f>
        <v/>
      </c>
      <c r="M115" s="11" t="str">
        <f>IF(AND(Registro!$H115="",Registro!$I115=""),"",IF(AND(ISTEXT(K115),K115&lt;&gt;""),"Revisar formato",N(Registro!$H115)-N(K115)))</f>
        <v/>
      </c>
      <c r="N115" s="11" t="str">
        <f t="shared" si="5"/>
        <v/>
      </c>
      <c r="O115" s="15" t="str">
        <f>IF(AND(A115=Consulta!$B$3,C115=Consulta!$H$3),B115*10000+ROW(),"")</f>
        <v/>
      </c>
    </row>
    <row r="116" spans="1:15" x14ac:dyDescent="0.25">
      <c r="A116" s="9" t="str">
        <f>IF(Registro!$A116="","",Registro!$A116)</f>
        <v/>
      </c>
      <c r="B116" s="8" t="str">
        <f>IF(Registro!$B116="","",Registro!$B116)</f>
        <v/>
      </c>
      <c r="C116" s="14" t="str">
        <f t="shared" si="3"/>
        <v/>
      </c>
      <c r="D116" s="10" t="str">
        <f>IF(Registro!$E116="","",IF(ISERROR(FIND("x",LOWER(Registro!$E116))),"-",IFERROR(SUMPRODUCT(--("0"&amp;LEFT(TRIM(MID(SUBSTITUTE(SUBSTITUTE(SUBSTITUTE(SUBSTITUTE(SUBSTITUTE(LOWER(Registro!$E116),"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",LEN(Registro!$E116))),({1,2,3,4,5,6,7,8,9,10,11,12,13,14,15,16,17,18,19,20,21,22,23,24,25,26,27,28,29,30}-1)*LEN(Registro!$E116)+1,LEN(Registro!$E116)))&amp;"x")-1))),"Revisar formato")))</f>
        <v/>
      </c>
      <c r="E116" s="11" t="str">
        <f>IF(Registro!$E116="","",IF(ISERROR(FIND("x",LOWER(Registro!$E116))),"-",IFERROR(SUMPRODUCT(--("0"&amp;LEFT(TRIM(MID(SUBSTITUTE(SUBSTITUTE(SUBSTITUTE(SUBSTITUTE(SUBSTITUTE(LOWER(Registro!$E116),"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",LEN(Registro!$E116))),({1,2,3,4,5,6,7,8,9,10,11,12,13,14,15,16,17,18,19,20,21,22,23,24,25,26,27,28,29,30}-1)*LEN(Registro!$E116)+1,LEN(Registro!$E116)))&amp;"x")-1)),--("0"&amp;MID(TRIM(MID(SUBSTITUTE(SUBSTITUTE(SUBSTITUTE(SUBSTITUTE(SUBSTITUTE(LOWER(Registro!$E116),"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",LEN(Registro!$E116))),({1,2,3,4,5,6,7,8,9,10,11,12,13,14,15,16,17,18,19,20,21,22,23,24,25,26,27,28,29,30}-1)*LEN(Registro!$E116)+1,LEN(Registro!$E116)))&amp;"x")+1,20))),"Revisar formato")))</f>
        <v/>
      </c>
      <c r="F116" s="11" t="str">
        <f>IF(Registro!$F116="","",N(Registro!$F116))</f>
        <v/>
      </c>
      <c r="G116" s="11" t="str">
        <f t="shared" si="4"/>
        <v/>
      </c>
      <c r="H116" s="10" t="str">
        <f>IF(Registro!$G116="","",IF(ISERROR(FIND("x",LOWER(Registro!$G116))),"-",IFERROR(SUMPRODUCT(--("0"&amp;LEFT(TRIM(MID(SUBSTITUTE(SUBSTITUTE(SUBSTITUTE(SUBSTITUTE(SUBSTITUTE(LOWER(Registro!$G116),"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",LEN(Registro!$G116))),({1,2,3,4,5,6,7,8,9,10,11,12,13,14,15,16,17,18,19,20,21,22,23,24,25,26,27,28,29,30}-1)*LEN(Registro!$G116)+1,LEN(Registro!$G116))),FIND("x",TRIM(MID(SUBSTITUTE(SUBSTITUTE(SUBSTITUTE(SUBSTITUTE(SUBSTITUTE(LOWER(Registro!$G116),"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",LEN(Registro!$G116))),({1,2,3,4,5,6,7,8,9,10,11,12,13,14,15,16,17,18,19,20,21,22,23,24,25,26,27,28,29,30}-1)*LEN(Registro!$G116)+1,LEN(Registro!$G116)))&amp;"x")-1))),"Revisar formato")))</f>
        <v/>
      </c>
      <c r="I116" s="11" t="str">
        <f>IF(Registro!$G116="","",IF(ISERROR(FIND("x",LOWER(Registro!$G116))),N(Registro!$H116),IFERROR(SUMPRODUCT(--("0"&amp;LEFT(TRIM(MID(SUBSTITUTE(SUBSTITUTE(SUBSTITUTE(SUBSTITUTE(SUBSTITUTE(LOWER(Registro!$G116),"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",LEN(Registro!$G116))),({1,2,3,4,5,6,7,8,9,10,11,12,13,14,15,16,17,18,19,20,21,22,23,24,25,26,27,28,29,30}-1)*LEN(Registro!$G116)+1,LEN(Registro!$G116))),FIND("x",TRIM(MID(SUBSTITUTE(SUBSTITUTE(SUBSTITUTE(SUBSTITUTE(SUBSTITUTE(LOWER(Registro!$G116),"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",LEN(Registro!$G116))),({1,2,3,4,5,6,7,8,9,10,11,12,13,14,15,16,17,18,19,20,21,22,23,24,25,26,27,28,29,30}-1)*LEN(Registro!$G116)+1,LEN(Registro!$G116)))&amp;"x")-1)),--("0"&amp;MID(TRIM(MID(SUBSTITUTE(SUBSTITUTE(SUBSTITUTE(SUBSTITUTE(SUBSTITUTE(LOWER(Registro!$G116),"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",LEN(Registro!$G116))),({1,2,3,4,5,6,7,8,9,10,11,12,13,14,15,16,17,18,19,20,21,22,23,24,25,26,27,28,29,30}-1)*LEN(Registro!$G116)+1,LEN(Registro!$G116))),FIND("x",TRIM(MID(SUBSTITUTE(SUBSTITUTE(SUBSTITUTE(SUBSTITUTE(SUBSTITUTE(LOWER(Registro!$G116),"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",LEN(Registro!$G116))),({1,2,3,4,5,6,7,8,9,10,11,12,13,14,15,16,17,18,19,20,21,22,23,24,25,26,27,28,29,30}-1)*LEN(Registro!$G116)+1,LEN(Registro!$G116)))&amp;"x")+1,20))),"Revisar formato")))</f>
        <v/>
      </c>
      <c r="J116" s="9" t="str">
        <f>IF(AND(Registro!$E116="",Registro!$G116=""),"",IF(NOT(AND(ISNUMBER(I116),ISNUMBER(Registro!$H116))),"",IF(I116&lt;Registro!$H116,"FALTA BOLETOS",IF(I116=Registro!$H116,"CONFORME","DIFERENCIA"))))</f>
        <v/>
      </c>
      <c r="K116" s="11" t="str">
        <f>IF(Registro!$I116="","",IFERROR(SUMPRODUCT(--("0"&amp;TRIM(RIGHT(SUBSTITUTE(TRIM(MID(SUBSTITUTE(SUBSTITUTE(Registro!$I116,";",CHAR(10)),CHAR(10),REPT(" ",LEN(Registro!$I116))),({1,2,3,4,5,6,7,8,9,10,11,12,13,14,15,16,17,18,19,20,21,22,23,24,25,26,27,28,29,30}-1)*LEN(Registro!$I116)+1,LEN(Registro!$I116)))," ",REPT(" ",50)),50)))),"Revisar formato"))</f>
        <v/>
      </c>
      <c r="L116" s="11" t="str">
        <f>IF(Registro!$J116="","",IFERROR(SUMPRODUCT(--("0"&amp;TRIM(RIGHT(SUBSTITUTE(TRIM(MID(SUBSTITUTE(SUBSTITUTE(Registro!$J116,";",CHAR(10)),CHAR(10),REPT(" ",LEN(Registro!$J116))),({1,2,3,4,5,6,7,8,9,10,11,12,13,14,15,16,17,18,19,20,21,22,23,24,25,26,27,28,29,30}-1)*LEN(Registro!$J116)+1,LEN(Registro!$J116)))," ",REPT(" ",50)),50)))),"Revisar formato"))</f>
        <v/>
      </c>
      <c r="M116" s="11" t="str">
        <f>IF(AND(Registro!$H116="",Registro!$I116=""),"",IF(AND(ISTEXT(K116),K116&lt;&gt;""),"Revisar formato",N(Registro!$H116)-N(K116)))</f>
        <v/>
      </c>
      <c r="N116" s="11" t="str">
        <f t="shared" si="5"/>
        <v/>
      </c>
      <c r="O116" s="15" t="str">
        <f>IF(AND(A116=Consulta!$B$3,C116=Consulta!$H$3),B116*10000+ROW(),"")</f>
        <v/>
      </c>
    </row>
    <row r="117" spans="1:15" x14ac:dyDescent="0.25">
      <c r="A117" s="9" t="str">
        <f>IF(Registro!$A117="","",Registro!$A117)</f>
        <v/>
      </c>
      <c r="B117" s="8" t="str">
        <f>IF(Registro!$B117="","",Registro!$B117)</f>
        <v/>
      </c>
      <c r="C117" s="14" t="str">
        <f t="shared" si="3"/>
        <v/>
      </c>
      <c r="D117" s="10" t="str">
        <f>IF(Registro!$E117="","",IF(ISERROR(FIND("x",LOWER(Registro!$E117))),"-",IFERROR(SUMPRODUCT(--("0"&amp;LEFT(TRIM(MID(SUBSTITUTE(SUBSTITUTE(SUBSTITUTE(SUBSTITUTE(SUBSTITUTE(LOWER(Registro!$E117),"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",LEN(Registro!$E117))),({1,2,3,4,5,6,7,8,9,10,11,12,13,14,15,16,17,18,19,20,21,22,23,24,25,26,27,28,29,30}-1)*LEN(Registro!$E117)+1,LEN(Registro!$E117)))&amp;"x")-1))),"Revisar formato")))</f>
        <v/>
      </c>
      <c r="E117" s="11" t="str">
        <f>IF(Registro!$E117="","",IF(ISERROR(FIND("x",LOWER(Registro!$E117))),"-",IFERROR(SUMPRODUCT(--("0"&amp;LEFT(TRIM(MID(SUBSTITUTE(SUBSTITUTE(SUBSTITUTE(SUBSTITUTE(SUBSTITUTE(LOWER(Registro!$E117),"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",LEN(Registro!$E117))),({1,2,3,4,5,6,7,8,9,10,11,12,13,14,15,16,17,18,19,20,21,22,23,24,25,26,27,28,29,30}-1)*LEN(Registro!$E117)+1,LEN(Registro!$E117)))&amp;"x")-1)),--("0"&amp;MID(TRIM(MID(SUBSTITUTE(SUBSTITUTE(SUBSTITUTE(SUBSTITUTE(SUBSTITUTE(LOWER(Registro!$E117),"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",LEN(Registro!$E117))),({1,2,3,4,5,6,7,8,9,10,11,12,13,14,15,16,17,18,19,20,21,22,23,24,25,26,27,28,29,30}-1)*LEN(Registro!$E117)+1,LEN(Registro!$E117)))&amp;"x")+1,20))),"Revisar formato")))</f>
        <v/>
      </c>
      <c r="F117" s="11" t="str">
        <f>IF(Registro!$F117="","",N(Registro!$F117))</f>
        <v/>
      </c>
      <c r="G117" s="11" t="str">
        <f t="shared" si="4"/>
        <v/>
      </c>
      <c r="H117" s="10" t="str">
        <f>IF(Registro!$G117="","",IF(ISERROR(FIND("x",LOWER(Registro!$G117))),"-",IFERROR(SUMPRODUCT(--("0"&amp;LEFT(TRIM(MID(SUBSTITUTE(SUBSTITUTE(SUBSTITUTE(SUBSTITUTE(SUBSTITUTE(LOWER(Registro!$G117),"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",LEN(Registro!$G117))),({1,2,3,4,5,6,7,8,9,10,11,12,13,14,15,16,17,18,19,20,21,22,23,24,25,26,27,28,29,30}-1)*LEN(Registro!$G117)+1,LEN(Registro!$G117))),FIND("x",TRIM(MID(SUBSTITUTE(SUBSTITUTE(SUBSTITUTE(SUBSTITUTE(SUBSTITUTE(LOWER(Registro!$G117),"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",LEN(Registro!$G117))),({1,2,3,4,5,6,7,8,9,10,11,12,13,14,15,16,17,18,19,20,21,22,23,24,25,26,27,28,29,30}-1)*LEN(Registro!$G117)+1,LEN(Registro!$G117)))&amp;"x")-1))),"Revisar formato")))</f>
        <v/>
      </c>
      <c r="I117" s="11" t="str">
        <f>IF(Registro!$G117="","",IF(ISERROR(FIND("x",LOWER(Registro!$G117))),N(Registro!$H117),IFERROR(SUMPRODUCT(--("0"&amp;LEFT(TRIM(MID(SUBSTITUTE(SUBSTITUTE(SUBSTITUTE(SUBSTITUTE(SUBSTITUTE(LOWER(Registro!$G117),"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",LEN(Registro!$G117))),({1,2,3,4,5,6,7,8,9,10,11,12,13,14,15,16,17,18,19,20,21,22,23,24,25,26,27,28,29,30}-1)*LEN(Registro!$G117)+1,LEN(Registro!$G117))),FIND("x",TRIM(MID(SUBSTITUTE(SUBSTITUTE(SUBSTITUTE(SUBSTITUTE(SUBSTITUTE(LOWER(Registro!$G117),"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",LEN(Registro!$G117))),({1,2,3,4,5,6,7,8,9,10,11,12,13,14,15,16,17,18,19,20,21,22,23,24,25,26,27,28,29,30}-1)*LEN(Registro!$G117)+1,LEN(Registro!$G117)))&amp;"x")-1)),--("0"&amp;MID(TRIM(MID(SUBSTITUTE(SUBSTITUTE(SUBSTITUTE(SUBSTITUTE(SUBSTITUTE(LOWER(Registro!$G117),"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",LEN(Registro!$G117))),({1,2,3,4,5,6,7,8,9,10,11,12,13,14,15,16,17,18,19,20,21,22,23,24,25,26,27,28,29,30}-1)*LEN(Registro!$G117)+1,LEN(Registro!$G117))),FIND("x",TRIM(MID(SUBSTITUTE(SUBSTITUTE(SUBSTITUTE(SUBSTITUTE(SUBSTITUTE(LOWER(Registro!$G117),"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",LEN(Registro!$G117))),({1,2,3,4,5,6,7,8,9,10,11,12,13,14,15,16,17,18,19,20,21,22,23,24,25,26,27,28,29,30}-1)*LEN(Registro!$G117)+1,LEN(Registro!$G117)))&amp;"x")+1,20))),"Revisar formato")))</f>
        <v/>
      </c>
      <c r="J117" s="9" t="str">
        <f>IF(AND(Registro!$E117="",Registro!$G117=""),"",IF(NOT(AND(ISNUMBER(I117),ISNUMBER(Registro!$H117))),"",IF(I117&lt;Registro!$H117,"FALTA BOLETOS",IF(I117=Registro!$H117,"CONFORME","DIFERENCIA"))))</f>
        <v/>
      </c>
      <c r="K117" s="11" t="str">
        <f>IF(Registro!$I117="","",IFERROR(SUMPRODUCT(--("0"&amp;TRIM(RIGHT(SUBSTITUTE(TRIM(MID(SUBSTITUTE(SUBSTITUTE(Registro!$I117,";",CHAR(10)),CHAR(10),REPT(" ",LEN(Registro!$I117))),({1,2,3,4,5,6,7,8,9,10,11,12,13,14,15,16,17,18,19,20,21,22,23,24,25,26,27,28,29,30}-1)*LEN(Registro!$I117)+1,LEN(Registro!$I117)))," ",REPT(" ",50)),50)))),"Revisar formato"))</f>
        <v/>
      </c>
      <c r="L117" s="11" t="str">
        <f>IF(Registro!$J117="","",IFERROR(SUMPRODUCT(--("0"&amp;TRIM(RIGHT(SUBSTITUTE(TRIM(MID(SUBSTITUTE(SUBSTITUTE(Registro!$J117,";",CHAR(10)),CHAR(10),REPT(" ",LEN(Registro!$J117))),({1,2,3,4,5,6,7,8,9,10,11,12,13,14,15,16,17,18,19,20,21,22,23,24,25,26,27,28,29,30}-1)*LEN(Registro!$J117)+1,LEN(Registro!$J117)))," ",REPT(" ",50)),50)))),"Revisar formato"))</f>
        <v/>
      </c>
      <c r="M117" s="11" t="str">
        <f>IF(AND(Registro!$H117="",Registro!$I117=""),"",IF(AND(ISTEXT(K117),K117&lt;&gt;""),"Revisar formato",N(Registro!$H117)-N(K117)))</f>
        <v/>
      </c>
      <c r="N117" s="11" t="str">
        <f t="shared" si="5"/>
        <v/>
      </c>
      <c r="O117" s="15" t="str">
        <f>IF(AND(A117=Consulta!$B$3,C117=Consulta!$H$3),B117*10000+ROW(),"")</f>
        <v/>
      </c>
    </row>
    <row r="118" spans="1:15" x14ac:dyDescent="0.25">
      <c r="A118" s="9" t="str">
        <f>IF(Registro!$A118="","",Registro!$A118)</f>
        <v/>
      </c>
      <c r="B118" s="8" t="str">
        <f>IF(Registro!$B118="","",Registro!$B118)</f>
        <v/>
      </c>
      <c r="C118" s="14" t="str">
        <f t="shared" si="3"/>
        <v/>
      </c>
      <c r="D118" s="10" t="str">
        <f>IF(Registro!$E118="","",IF(ISERROR(FIND("x",LOWER(Registro!$E118))),"-",IFERROR(SUMPRODUCT(--("0"&amp;LEFT(TRIM(MID(SUBSTITUTE(SUBSTITUTE(SUBSTITUTE(SUBSTITUTE(SUBSTITUTE(LOWER(Registro!$E118),"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",LEN(Registro!$E118))),({1,2,3,4,5,6,7,8,9,10,11,12,13,14,15,16,17,18,19,20,21,22,23,24,25,26,27,28,29,30}-1)*LEN(Registro!$E118)+1,LEN(Registro!$E118)))&amp;"x")-1))),"Revisar formato")))</f>
        <v/>
      </c>
      <c r="E118" s="11" t="str">
        <f>IF(Registro!$E118="","",IF(ISERROR(FIND("x",LOWER(Registro!$E118))),"-",IFERROR(SUMPRODUCT(--("0"&amp;LEFT(TRIM(MID(SUBSTITUTE(SUBSTITUTE(SUBSTITUTE(SUBSTITUTE(SUBSTITUTE(LOWER(Registro!$E118),"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",LEN(Registro!$E118))),({1,2,3,4,5,6,7,8,9,10,11,12,13,14,15,16,17,18,19,20,21,22,23,24,25,26,27,28,29,30}-1)*LEN(Registro!$E118)+1,LEN(Registro!$E118)))&amp;"x")-1)),--("0"&amp;MID(TRIM(MID(SUBSTITUTE(SUBSTITUTE(SUBSTITUTE(SUBSTITUTE(SUBSTITUTE(LOWER(Registro!$E118),"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",LEN(Registro!$E118))),({1,2,3,4,5,6,7,8,9,10,11,12,13,14,15,16,17,18,19,20,21,22,23,24,25,26,27,28,29,30}-1)*LEN(Registro!$E118)+1,LEN(Registro!$E118)))&amp;"x")+1,20))),"Revisar formato")))</f>
        <v/>
      </c>
      <c r="F118" s="11" t="str">
        <f>IF(Registro!$F118="","",N(Registro!$F118))</f>
        <v/>
      </c>
      <c r="G118" s="11" t="str">
        <f t="shared" si="4"/>
        <v/>
      </c>
      <c r="H118" s="10" t="str">
        <f>IF(Registro!$G118="","",IF(ISERROR(FIND("x",LOWER(Registro!$G118))),"-",IFERROR(SUMPRODUCT(--("0"&amp;LEFT(TRIM(MID(SUBSTITUTE(SUBSTITUTE(SUBSTITUTE(SUBSTITUTE(SUBSTITUTE(LOWER(Registro!$G118),"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",LEN(Registro!$G118))),({1,2,3,4,5,6,7,8,9,10,11,12,13,14,15,16,17,18,19,20,21,22,23,24,25,26,27,28,29,30}-1)*LEN(Registro!$G118)+1,LEN(Registro!$G118))),FIND("x",TRIM(MID(SUBSTITUTE(SUBSTITUTE(SUBSTITUTE(SUBSTITUTE(SUBSTITUTE(LOWER(Registro!$G118),"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",LEN(Registro!$G118))),({1,2,3,4,5,6,7,8,9,10,11,12,13,14,15,16,17,18,19,20,21,22,23,24,25,26,27,28,29,30}-1)*LEN(Registro!$G118)+1,LEN(Registro!$G118)))&amp;"x")-1))),"Revisar formato")))</f>
        <v/>
      </c>
      <c r="I118" s="11" t="str">
        <f>IF(Registro!$G118="","",IF(ISERROR(FIND("x",LOWER(Registro!$G118))),N(Registro!$H118),IFERROR(SUMPRODUCT(--("0"&amp;LEFT(TRIM(MID(SUBSTITUTE(SUBSTITUTE(SUBSTITUTE(SUBSTITUTE(SUBSTITUTE(LOWER(Registro!$G118),"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",LEN(Registro!$G118))),({1,2,3,4,5,6,7,8,9,10,11,12,13,14,15,16,17,18,19,20,21,22,23,24,25,26,27,28,29,30}-1)*LEN(Registro!$G118)+1,LEN(Registro!$G118))),FIND("x",TRIM(MID(SUBSTITUTE(SUBSTITUTE(SUBSTITUTE(SUBSTITUTE(SUBSTITUTE(LOWER(Registro!$G118),"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",LEN(Registro!$G118))),({1,2,3,4,5,6,7,8,9,10,11,12,13,14,15,16,17,18,19,20,21,22,23,24,25,26,27,28,29,30}-1)*LEN(Registro!$G118)+1,LEN(Registro!$G118)))&amp;"x")-1)),--("0"&amp;MID(TRIM(MID(SUBSTITUTE(SUBSTITUTE(SUBSTITUTE(SUBSTITUTE(SUBSTITUTE(LOWER(Registro!$G118),"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",LEN(Registro!$G118))),({1,2,3,4,5,6,7,8,9,10,11,12,13,14,15,16,17,18,19,20,21,22,23,24,25,26,27,28,29,30}-1)*LEN(Registro!$G118)+1,LEN(Registro!$G118))),FIND("x",TRIM(MID(SUBSTITUTE(SUBSTITUTE(SUBSTITUTE(SUBSTITUTE(SUBSTITUTE(LOWER(Registro!$G118),"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",LEN(Registro!$G118))),({1,2,3,4,5,6,7,8,9,10,11,12,13,14,15,16,17,18,19,20,21,22,23,24,25,26,27,28,29,30}-1)*LEN(Registro!$G118)+1,LEN(Registro!$G118)))&amp;"x")+1,20))),"Revisar formato")))</f>
        <v/>
      </c>
      <c r="J118" s="9" t="str">
        <f>IF(AND(Registro!$E118="",Registro!$G118=""),"",IF(NOT(AND(ISNUMBER(I118),ISNUMBER(Registro!$H118))),"",IF(I118&lt;Registro!$H118,"FALTA BOLETOS",IF(I118=Registro!$H118,"CONFORME","DIFERENCIA"))))</f>
        <v/>
      </c>
      <c r="K118" s="11" t="str">
        <f>IF(Registro!$I118="","",IFERROR(SUMPRODUCT(--("0"&amp;TRIM(RIGHT(SUBSTITUTE(TRIM(MID(SUBSTITUTE(SUBSTITUTE(Registro!$I118,";",CHAR(10)),CHAR(10),REPT(" ",LEN(Registro!$I118))),({1,2,3,4,5,6,7,8,9,10,11,12,13,14,15,16,17,18,19,20,21,22,23,24,25,26,27,28,29,30}-1)*LEN(Registro!$I118)+1,LEN(Registro!$I118)))," ",REPT(" ",50)),50)))),"Revisar formato"))</f>
        <v/>
      </c>
      <c r="L118" s="11" t="str">
        <f>IF(Registro!$J118="","",IFERROR(SUMPRODUCT(--("0"&amp;TRIM(RIGHT(SUBSTITUTE(TRIM(MID(SUBSTITUTE(SUBSTITUTE(Registro!$J118,";",CHAR(10)),CHAR(10),REPT(" ",LEN(Registro!$J118))),({1,2,3,4,5,6,7,8,9,10,11,12,13,14,15,16,17,18,19,20,21,22,23,24,25,26,27,28,29,30}-1)*LEN(Registro!$J118)+1,LEN(Registro!$J118)))," ",REPT(" ",50)),50)))),"Revisar formato"))</f>
        <v/>
      </c>
      <c r="M118" s="11" t="str">
        <f>IF(AND(Registro!$H118="",Registro!$I118=""),"",IF(AND(ISTEXT(K118),K118&lt;&gt;""),"Revisar formato",N(Registro!$H118)-N(K118)))</f>
        <v/>
      </c>
      <c r="N118" s="11" t="str">
        <f t="shared" si="5"/>
        <v/>
      </c>
      <c r="O118" s="15" t="str">
        <f>IF(AND(A118=Consulta!$B$3,C118=Consulta!$H$3),B118*10000+ROW(),"")</f>
        <v/>
      </c>
    </row>
    <row r="119" spans="1:15" x14ac:dyDescent="0.25">
      <c r="A119" s="9" t="str">
        <f>IF(Registro!$A119="","",Registro!$A119)</f>
        <v/>
      </c>
      <c r="B119" s="8" t="str">
        <f>IF(Registro!$B119="","",Registro!$B119)</f>
        <v/>
      </c>
      <c r="C119" s="14" t="str">
        <f t="shared" si="3"/>
        <v/>
      </c>
      <c r="D119" s="10" t="str">
        <f>IF(Registro!$E119="","",IF(ISERROR(FIND("x",LOWER(Registro!$E119))),"-",IFERROR(SUMPRODUCT(--("0"&amp;LEFT(TRIM(MID(SUBSTITUTE(SUBSTITUTE(SUBSTITUTE(SUBSTITUTE(SUBSTITUTE(LOWER(Registro!$E119),"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",LEN(Registro!$E119))),({1,2,3,4,5,6,7,8,9,10,11,12,13,14,15,16,17,18,19,20,21,22,23,24,25,26,27,28,29,30}-1)*LEN(Registro!$E119)+1,LEN(Registro!$E119)))&amp;"x")-1))),"Revisar formato")))</f>
        <v/>
      </c>
      <c r="E119" s="11" t="str">
        <f>IF(Registro!$E119="","",IF(ISERROR(FIND("x",LOWER(Registro!$E119))),"-",IFERROR(SUMPRODUCT(--("0"&amp;LEFT(TRIM(MID(SUBSTITUTE(SUBSTITUTE(SUBSTITUTE(SUBSTITUTE(SUBSTITUTE(LOWER(Registro!$E119),"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",LEN(Registro!$E119))),({1,2,3,4,5,6,7,8,9,10,11,12,13,14,15,16,17,18,19,20,21,22,23,24,25,26,27,28,29,30}-1)*LEN(Registro!$E119)+1,LEN(Registro!$E119)))&amp;"x")-1)),--("0"&amp;MID(TRIM(MID(SUBSTITUTE(SUBSTITUTE(SUBSTITUTE(SUBSTITUTE(SUBSTITUTE(LOWER(Registro!$E119),"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",LEN(Registro!$E119))),({1,2,3,4,5,6,7,8,9,10,11,12,13,14,15,16,17,18,19,20,21,22,23,24,25,26,27,28,29,30}-1)*LEN(Registro!$E119)+1,LEN(Registro!$E119)))&amp;"x")+1,20))),"Revisar formato")))</f>
        <v/>
      </c>
      <c r="F119" s="11" t="str">
        <f>IF(Registro!$F119="","",N(Registro!$F119))</f>
        <v/>
      </c>
      <c r="G119" s="11" t="str">
        <f t="shared" si="4"/>
        <v/>
      </c>
      <c r="H119" s="10" t="str">
        <f>IF(Registro!$G119="","",IF(ISERROR(FIND("x",LOWER(Registro!$G119))),"-",IFERROR(SUMPRODUCT(--("0"&amp;LEFT(TRIM(MID(SUBSTITUTE(SUBSTITUTE(SUBSTITUTE(SUBSTITUTE(SUBSTITUTE(LOWER(Registro!$G119),"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",LEN(Registro!$G119))),({1,2,3,4,5,6,7,8,9,10,11,12,13,14,15,16,17,18,19,20,21,22,23,24,25,26,27,28,29,30}-1)*LEN(Registro!$G119)+1,LEN(Registro!$G119))),FIND("x",TRIM(MID(SUBSTITUTE(SUBSTITUTE(SUBSTITUTE(SUBSTITUTE(SUBSTITUTE(LOWER(Registro!$G119),"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",LEN(Registro!$G119))),({1,2,3,4,5,6,7,8,9,10,11,12,13,14,15,16,17,18,19,20,21,22,23,24,25,26,27,28,29,30}-1)*LEN(Registro!$G119)+1,LEN(Registro!$G119)))&amp;"x")-1))),"Revisar formato")))</f>
        <v/>
      </c>
      <c r="I119" s="11" t="str">
        <f>IF(Registro!$G119="","",IF(ISERROR(FIND("x",LOWER(Registro!$G119))),N(Registro!$H119),IFERROR(SUMPRODUCT(--("0"&amp;LEFT(TRIM(MID(SUBSTITUTE(SUBSTITUTE(SUBSTITUTE(SUBSTITUTE(SUBSTITUTE(LOWER(Registro!$G119),"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",LEN(Registro!$G119))),({1,2,3,4,5,6,7,8,9,10,11,12,13,14,15,16,17,18,19,20,21,22,23,24,25,26,27,28,29,30}-1)*LEN(Registro!$G119)+1,LEN(Registro!$G119))),FIND("x",TRIM(MID(SUBSTITUTE(SUBSTITUTE(SUBSTITUTE(SUBSTITUTE(SUBSTITUTE(LOWER(Registro!$G119),"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",LEN(Registro!$G119))),({1,2,3,4,5,6,7,8,9,10,11,12,13,14,15,16,17,18,19,20,21,22,23,24,25,26,27,28,29,30}-1)*LEN(Registro!$G119)+1,LEN(Registro!$G119)))&amp;"x")-1)),--("0"&amp;MID(TRIM(MID(SUBSTITUTE(SUBSTITUTE(SUBSTITUTE(SUBSTITUTE(SUBSTITUTE(LOWER(Registro!$G119),"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",LEN(Registro!$G119))),({1,2,3,4,5,6,7,8,9,10,11,12,13,14,15,16,17,18,19,20,21,22,23,24,25,26,27,28,29,30}-1)*LEN(Registro!$G119)+1,LEN(Registro!$G119))),FIND("x",TRIM(MID(SUBSTITUTE(SUBSTITUTE(SUBSTITUTE(SUBSTITUTE(SUBSTITUTE(LOWER(Registro!$G119),"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",LEN(Registro!$G119))),({1,2,3,4,5,6,7,8,9,10,11,12,13,14,15,16,17,18,19,20,21,22,23,24,25,26,27,28,29,30}-1)*LEN(Registro!$G119)+1,LEN(Registro!$G119)))&amp;"x")+1,20))),"Revisar formato")))</f>
        <v/>
      </c>
      <c r="J119" s="9" t="str">
        <f>IF(AND(Registro!$E119="",Registro!$G119=""),"",IF(NOT(AND(ISNUMBER(I119),ISNUMBER(Registro!$H119))),"",IF(I119&lt;Registro!$H119,"FALTA BOLETOS",IF(I119=Registro!$H119,"CONFORME","DIFERENCIA"))))</f>
        <v/>
      </c>
      <c r="K119" s="11" t="str">
        <f>IF(Registro!$I119="","",IFERROR(SUMPRODUCT(--("0"&amp;TRIM(RIGHT(SUBSTITUTE(TRIM(MID(SUBSTITUTE(SUBSTITUTE(Registro!$I119,";",CHAR(10)),CHAR(10),REPT(" ",LEN(Registro!$I119))),({1,2,3,4,5,6,7,8,9,10,11,12,13,14,15,16,17,18,19,20,21,22,23,24,25,26,27,28,29,30}-1)*LEN(Registro!$I119)+1,LEN(Registro!$I119)))," ",REPT(" ",50)),50)))),"Revisar formato"))</f>
        <v/>
      </c>
      <c r="L119" s="11" t="str">
        <f>IF(Registro!$J119="","",IFERROR(SUMPRODUCT(--("0"&amp;TRIM(RIGHT(SUBSTITUTE(TRIM(MID(SUBSTITUTE(SUBSTITUTE(Registro!$J119,";",CHAR(10)),CHAR(10),REPT(" ",LEN(Registro!$J119))),({1,2,3,4,5,6,7,8,9,10,11,12,13,14,15,16,17,18,19,20,21,22,23,24,25,26,27,28,29,30}-1)*LEN(Registro!$J119)+1,LEN(Registro!$J119)))," ",REPT(" ",50)),50)))),"Revisar formato"))</f>
        <v/>
      </c>
      <c r="M119" s="11" t="str">
        <f>IF(AND(Registro!$H119="",Registro!$I119=""),"",IF(AND(ISTEXT(K119),K119&lt;&gt;""),"Revisar formato",N(Registro!$H119)-N(K119)))</f>
        <v/>
      </c>
      <c r="N119" s="11" t="str">
        <f t="shared" si="5"/>
        <v/>
      </c>
      <c r="O119" s="15" t="str">
        <f>IF(AND(A119=Consulta!$B$3,C119=Consulta!$H$3),B119*10000+ROW(),"")</f>
        <v/>
      </c>
    </row>
    <row r="120" spans="1:15" x14ac:dyDescent="0.25">
      <c r="A120" s="9" t="str">
        <f>IF(Registro!$A120="","",Registro!$A120)</f>
        <v/>
      </c>
      <c r="B120" s="8" t="str">
        <f>IF(Registro!$B120="","",Registro!$B120)</f>
        <v/>
      </c>
      <c r="C120" s="14" t="str">
        <f t="shared" si="3"/>
        <v/>
      </c>
      <c r="D120" s="10" t="str">
        <f>IF(Registro!$E120="","",IF(ISERROR(FIND("x",LOWER(Registro!$E120))),"-",IFERROR(SUMPRODUCT(--("0"&amp;LEFT(TRIM(MID(SUBSTITUTE(SUBSTITUTE(SUBSTITUTE(SUBSTITUTE(SUBSTITUTE(LOWER(Registro!$E120),"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",LEN(Registro!$E120))),({1,2,3,4,5,6,7,8,9,10,11,12,13,14,15,16,17,18,19,20,21,22,23,24,25,26,27,28,29,30}-1)*LEN(Registro!$E120)+1,LEN(Registro!$E120)))&amp;"x")-1))),"Revisar formato")))</f>
        <v/>
      </c>
      <c r="E120" s="11" t="str">
        <f>IF(Registro!$E120="","",IF(ISERROR(FIND("x",LOWER(Registro!$E120))),"-",IFERROR(SUMPRODUCT(--("0"&amp;LEFT(TRIM(MID(SUBSTITUTE(SUBSTITUTE(SUBSTITUTE(SUBSTITUTE(SUBSTITUTE(LOWER(Registro!$E120),"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",LEN(Registro!$E120))),({1,2,3,4,5,6,7,8,9,10,11,12,13,14,15,16,17,18,19,20,21,22,23,24,25,26,27,28,29,30}-1)*LEN(Registro!$E120)+1,LEN(Registro!$E120)))&amp;"x")-1)),--("0"&amp;MID(TRIM(MID(SUBSTITUTE(SUBSTITUTE(SUBSTITUTE(SUBSTITUTE(SUBSTITUTE(LOWER(Registro!$E120),"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",LEN(Registro!$E120))),({1,2,3,4,5,6,7,8,9,10,11,12,13,14,15,16,17,18,19,20,21,22,23,24,25,26,27,28,29,30}-1)*LEN(Registro!$E120)+1,LEN(Registro!$E120)))&amp;"x")+1,20))),"Revisar formato")))</f>
        <v/>
      </c>
      <c r="F120" s="11" t="str">
        <f>IF(Registro!$F120="","",N(Registro!$F120))</f>
        <v/>
      </c>
      <c r="G120" s="11" t="str">
        <f t="shared" si="4"/>
        <v/>
      </c>
      <c r="H120" s="10" t="str">
        <f>IF(Registro!$G120="","",IF(ISERROR(FIND("x",LOWER(Registro!$G120))),"-",IFERROR(SUMPRODUCT(--("0"&amp;LEFT(TRIM(MID(SUBSTITUTE(SUBSTITUTE(SUBSTITUTE(SUBSTITUTE(SUBSTITUTE(LOWER(Registro!$G120),"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",LEN(Registro!$G120))),({1,2,3,4,5,6,7,8,9,10,11,12,13,14,15,16,17,18,19,20,21,22,23,24,25,26,27,28,29,30}-1)*LEN(Registro!$G120)+1,LEN(Registro!$G120))),FIND("x",TRIM(MID(SUBSTITUTE(SUBSTITUTE(SUBSTITUTE(SUBSTITUTE(SUBSTITUTE(LOWER(Registro!$G120),"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",LEN(Registro!$G120))),({1,2,3,4,5,6,7,8,9,10,11,12,13,14,15,16,17,18,19,20,21,22,23,24,25,26,27,28,29,30}-1)*LEN(Registro!$G120)+1,LEN(Registro!$G120)))&amp;"x")-1))),"Revisar formato")))</f>
        <v/>
      </c>
      <c r="I120" s="11" t="str">
        <f>IF(Registro!$G120="","",IF(ISERROR(FIND("x",LOWER(Registro!$G120))),N(Registro!$H120),IFERROR(SUMPRODUCT(--("0"&amp;LEFT(TRIM(MID(SUBSTITUTE(SUBSTITUTE(SUBSTITUTE(SUBSTITUTE(SUBSTITUTE(LOWER(Registro!$G120),"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",LEN(Registro!$G120))),({1,2,3,4,5,6,7,8,9,10,11,12,13,14,15,16,17,18,19,20,21,22,23,24,25,26,27,28,29,30}-1)*LEN(Registro!$G120)+1,LEN(Registro!$G120))),FIND("x",TRIM(MID(SUBSTITUTE(SUBSTITUTE(SUBSTITUTE(SUBSTITUTE(SUBSTITUTE(LOWER(Registro!$G120),"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",LEN(Registro!$G120))),({1,2,3,4,5,6,7,8,9,10,11,12,13,14,15,16,17,18,19,20,21,22,23,24,25,26,27,28,29,30}-1)*LEN(Registro!$G120)+1,LEN(Registro!$G120)))&amp;"x")-1)),--("0"&amp;MID(TRIM(MID(SUBSTITUTE(SUBSTITUTE(SUBSTITUTE(SUBSTITUTE(SUBSTITUTE(LOWER(Registro!$G120),"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",LEN(Registro!$G120))),({1,2,3,4,5,6,7,8,9,10,11,12,13,14,15,16,17,18,19,20,21,22,23,24,25,26,27,28,29,30}-1)*LEN(Registro!$G120)+1,LEN(Registro!$G120))),FIND("x",TRIM(MID(SUBSTITUTE(SUBSTITUTE(SUBSTITUTE(SUBSTITUTE(SUBSTITUTE(LOWER(Registro!$G120),"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",LEN(Registro!$G120))),({1,2,3,4,5,6,7,8,9,10,11,12,13,14,15,16,17,18,19,20,21,22,23,24,25,26,27,28,29,30}-1)*LEN(Registro!$G120)+1,LEN(Registro!$G120)))&amp;"x")+1,20))),"Revisar formato")))</f>
        <v/>
      </c>
      <c r="J120" s="9" t="str">
        <f>IF(AND(Registro!$E120="",Registro!$G120=""),"",IF(NOT(AND(ISNUMBER(I120),ISNUMBER(Registro!$H120))),"",IF(I120&lt;Registro!$H120,"FALTA BOLETOS",IF(I120=Registro!$H120,"CONFORME","DIFERENCIA"))))</f>
        <v/>
      </c>
      <c r="K120" s="11" t="str">
        <f>IF(Registro!$I120="","",IFERROR(SUMPRODUCT(--("0"&amp;TRIM(RIGHT(SUBSTITUTE(TRIM(MID(SUBSTITUTE(SUBSTITUTE(Registro!$I120,";",CHAR(10)),CHAR(10),REPT(" ",LEN(Registro!$I120))),({1,2,3,4,5,6,7,8,9,10,11,12,13,14,15,16,17,18,19,20,21,22,23,24,25,26,27,28,29,30}-1)*LEN(Registro!$I120)+1,LEN(Registro!$I120)))," ",REPT(" ",50)),50)))),"Revisar formato"))</f>
        <v/>
      </c>
      <c r="L120" s="11" t="str">
        <f>IF(Registro!$J120="","",IFERROR(SUMPRODUCT(--("0"&amp;TRIM(RIGHT(SUBSTITUTE(TRIM(MID(SUBSTITUTE(SUBSTITUTE(Registro!$J120,";",CHAR(10)),CHAR(10),REPT(" ",LEN(Registro!$J120))),({1,2,3,4,5,6,7,8,9,10,11,12,13,14,15,16,17,18,19,20,21,22,23,24,25,26,27,28,29,30}-1)*LEN(Registro!$J120)+1,LEN(Registro!$J120)))," ",REPT(" ",50)),50)))),"Revisar formato"))</f>
        <v/>
      </c>
      <c r="M120" s="11" t="str">
        <f>IF(AND(Registro!$H120="",Registro!$I120=""),"",IF(AND(ISTEXT(K120),K120&lt;&gt;""),"Revisar formato",N(Registro!$H120)-N(K120)))</f>
        <v/>
      </c>
      <c r="N120" s="11" t="str">
        <f t="shared" si="5"/>
        <v/>
      </c>
      <c r="O120" s="15" t="str">
        <f>IF(AND(A120=Consulta!$B$3,C120=Consulta!$H$3),B120*10000+ROW(),"")</f>
        <v/>
      </c>
    </row>
    <row r="121" spans="1:15" x14ac:dyDescent="0.25">
      <c r="A121" s="9" t="str">
        <f>IF(Registro!$A121="","",Registro!$A121)</f>
        <v/>
      </c>
      <c r="B121" s="8" t="str">
        <f>IF(Registro!$B121="","",Registro!$B121)</f>
        <v/>
      </c>
      <c r="C121" s="14" t="str">
        <f t="shared" si="3"/>
        <v/>
      </c>
      <c r="D121" s="10" t="str">
        <f>IF(Registro!$E121="","",IF(ISERROR(FIND("x",LOWER(Registro!$E121))),"-",IFERROR(SUMPRODUCT(--("0"&amp;LEFT(TRIM(MID(SUBSTITUTE(SUBSTITUTE(SUBSTITUTE(SUBSTITUTE(SUBSTITUTE(LOWER(Registro!$E121),"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",LEN(Registro!$E121))),({1,2,3,4,5,6,7,8,9,10,11,12,13,14,15,16,17,18,19,20,21,22,23,24,25,26,27,28,29,30}-1)*LEN(Registro!$E121)+1,LEN(Registro!$E121)))&amp;"x")-1))),"Revisar formato")))</f>
        <v/>
      </c>
      <c r="E121" s="11" t="str">
        <f>IF(Registro!$E121="","",IF(ISERROR(FIND("x",LOWER(Registro!$E121))),"-",IFERROR(SUMPRODUCT(--("0"&amp;LEFT(TRIM(MID(SUBSTITUTE(SUBSTITUTE(SUBSTITUTE(SUBSTITUTE(SUBSTITUTE(LOWER(Registro!$E121),"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",LEN(Registro!$E121))),({1,2,3,4,5,6,7,8,9,10,11,12,13,14,15,16,17,18,19,20,21,22,23,24,25,26,27,28,29,30}-1)*LEN(Registro!$E121)+1,LEN(Registro!$E121)))&amp;"x")-1)),--("0"&amp;MID(TRIM(MID(SUBSTITUTE(SUBSTITUTE(SUBSTITUTE(SUBSTITUTE(SUBSTITUTE(LOWER(Registro!$E121),"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",LEN(Registro!$E121))),({1,2,3,4,5,6,7,8,9,10,11,12,13,14,15,16,17,18,19,20,21,22,23,24,25,26,27,28,29,30}-1)*LEN(Registro!$E121)+1,LEN(Registro!$E121)))&amp;"x")+1,20))),"Revisar formato")))</f>
        <v/>
      </c>
      <c r="F121" s="11" t="str">
        <f>IF(Registro!$F121="","",N(Registro!$F121))</f>
        <v/>
      </c>
      <c r="G121" s="11" t="str">
        <f t="shared" si="4"/>
        <v/>
      </c>
      <c r="H121" s="10" t="str">
        <f>IF(Registro!$G121="","",IF(ISERROR(FIND("x",LOWER(Registro!$G121))),"-",IFERROR(SUMPRODUCT(--("0"&amp;LEFT(TRIM(MID(SUBSTITUTE(SUBSTITUTE(SUBSTITUTE(SUBSTITUTE(SUBSTITUTE(LOWER(Registro!$G121),"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",LEN(Registro!$G121))),({1,2,3,4,5,6,7,8,9,10,11,12,13,14,15,16,17,18,19,20,21,22,23,24,25,26,27,28,29,30}-1)*LEN(Registro!$G121)+1,LEN(Registro!$G121))),FIND("x",TRIM(MID(SUBSTITUTE(SUBSTITUTE(SUBSTITUTE(SUBSTITUTE(SUBSTITUTE(LOWER(Registro!$G121),"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",LEN(Registro!$G121))),({1,2,3,4,5,6,7,8,9,10,11,12,13,14,15,16,17,18,19,20,21,22,23,24,25,26,27,28,29,30}-1)*LEN(Registro!$G121)+1,LEN(Registro!$G121)))&amp;"x")-1))),"Revisar formato")))</f>
        <v/>
      </c>
      <c r="I121" s="11" t="str">
        <f>IF(Registro!$G121="","",IF(ISERROR(FIND("x",LOWER(Registro!$G121))),N(Registro!$H121),IFERROR(SUMPRODUCT(--("0"&amp;LEFT(TRIM(MID(SUBSTITUTE(SUBSTITUTE(SUBSTITUTE(SUBSTITUTE(SUBSTITUTE(LOWER(Registro!$G121),"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",LEN(Registro!$G121))),({1,2,3,4,5,6,7,8,9,10,11,12,13,14,15,16,17,18,19,20,21,22,23,24,25,26,27,28,29,30}-1)*LEN(Registro!$G121)+1,LEN(Registro!$G121))),FIND("x",TRIM(MID(SUBSTITUTE(SUBSTITUTE(SUBSTITUTE(SUBSTITUTE(SUBSTITUTE(LOWER(Registro!$G121),"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",LEN(Registro!$G121))),({1,2,3,4,5,6,7,8,9,10,11,12,13,14,15,16,17,18,19,20,21,22,23,24,25,26,27,28,29,30}-1)*LEN(Registro!$G121)+1,LEN(Registro!$G121)))&amp;"x")-1)),--("0"&amp;MID(TRIM(MID(SUBSTITUTE(SUBSTITUTE(SUBSTITUTE(SUBSTITUTE(SUBSTITUTE(LOWER(Registro!$G121),"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",LEN(Registro!$G121))),({1,2,3,4,5,6,7,8,9,10,11,12,13,14,15,16,17,18,19,20,21,22,23,24,25,26,27,28,29,30}-1)*LEN(Registro!$G121)+1,LEN(Registro!$G121))),FIND("x",TRIM(MID(SUBSTITUTE(SUBSTITUTE(SUBSTITUTE(SUBSTITUTE(SUBSTITUTE(LOWER(Registro!$G121),"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",LEN(Registro!$G121))),({1,2,3,4,5,6,7,8,9,10,11,12,13,14,15,16,17,18,19,20,21,22,23,24,25,26,27,28,29,30}-1)*LEN(Registro!$G121)+1,LEN(Registro!$G121)))&amp;"x")+1,20))),"Revisar formato")))</f>
        <v/>
      </c>
      <c r="J121" s="9" t="str">
        <f>IF(AND(Registro!$E121="",Registro!$G121=""),"",IF(NOT(AND(ISNUMBER(I121),ISNUMBER(Registro!$H121))),"",IF(I121&lt;Registro!$H121,"FALTA BOLETOS",IF(I121=Registro!$H121,"CONFORME","DIFERENCIA"))))</f>
        <v/>
      </c>
      <c r="K121" s="11" t="str">
        <f>IF(Registro!$I121="","",IFERROR(SUMPRODUCT(--("0"&amp;TRIM(RIGHT(SUBSTITUTE(TRIM(MID(SUBSTITUTE(SUBSTITUTE(Registro!$I121,";",CHAR(10)),CHAR(10),REPT(" ",LEN(Registro!$I121))),({1,2,3,4,5,6,7,8,9,10,11,12,13,14,15,16,17,18,19,20,21,22,23,24,25,26,27,28,29,30}-1)*LEN(Registro!$I121)+1,LEN(Registro!$I121)))," ",REPT(" ",50)),50)))),"Revisar formato"))</f>
        <v/>
      </c>
      <c r="L121" s="11" t="str">
        <f>IF(Registro!$J121="","",IFERROR(SUMPRODUCT(--("0"&amp;TRIM(RIGHT(SUBSTITUTE(TRIM(MID(SUBSTITUTE(SUBSTITUTE(Registro!$J121,";",CHAR(10)),CHAR(10),REPT(" ",LEN(Registro!$J121))),({1,2,3,4,5,6,7,8,9,10,11,12,13,14,15,16,17,18,19,20,21,22,23,24,25,26,27,28,29,30}-1)*LEN(Registro!$J121)+1,LEN(Registro!$J121)))," ",REPT(" ",50)),50)))),"Revisar formato"))</f>
        <v/>
      </c>
      <c r="M121" s="11" t="str">
        <f>IF(AND(Registro!$H121="",Registro!$I121=""),"",IF(AND(ISTEXT(K121),K121&lt;&gt;""),"Revisar formato",N(Registro!$H121)-N(K121)))</f>
        <v/>
      </c>
      <c r="N121" s="11" t="str">
        <f t="shared" si="5"/>
        <v/>
      </c>
      <c r="O121" s="15" t="str">
        <f>IF(AND(A121=Consulta!$B$3,C121=Consulta!$H$3),B121*10000+ROW(),"")</f>
        <v/>
      </c>
    </row>
    <row r="122" spans="1:15" x14ac:dyDescent="0.25">
      <c r="A122" s="9" t="str">
        <f>IF(Registro!$A122="","",Registro!$A122)</f>
        <v/>
      </c>
      <c r="B122" s="8" t="str">
        <f>IF(Registro!$B122="","",Registro!$B122)</f>
        <v/>
      </c>
      <c r="C122" s="14" t="str">
        <f t="shared" si="3"/>
        <v/>
      </c>
      <c r="D122" s="10" t="str">
        <f>IF(Registro!$E122="","",IF(ISERROR(FIND("x",LOWER(Registro!$E122))),"-",IFERROR(SUMPRODUCT(--("0"&amp;LEFT(TRIM(MID(SUBSTITUTE(SUBSTITUTE(SUBSTITUTE(SUBSTITUTE(SUBSTITUTE(LOWER(Registro!$E122),"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",LEN(Registro!$E122))),({1,2,3,4,5,6,7,8,9,10,11,12,13,14,15,16,17,18,19,20,21,22,23,24,25,26,27,28,29,30}-1)*LEN(Registro!$E122)+1,LEN(Registro!$E122)))&amp;"x")-1))),"Revisar formato")))</f>
        <v/>
      </c>
      <c r="E122" s="11" t="str">
        <f>IF(Registro!$E122="","",IF(ISERROR(FIND("x",LOWER(Registro!$E122))),"-",IFERROR(SUMPRODUCT(--("0"&amp;LEFT(TRIM(MID(SUBSTITUTE(SUBSTITUTE(SUBSTITUTE(SUBSTITUTE(SUBSTITUTE(LOWER(Registro!$E122),"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",LEN(Registro!$E122))),({1,2,3,4,5,6,7,8,9,10,11,12,13,14,15,16,17,18,19,20,21,22,23,24,25,26,27,28,29,30}-1)*LEN(Registro!$E122)+1,LEN(Registro!$E122)))&amp;"x")-1)),--("0"&amp;MID(TRIM(MID(SUBSTITUTE(SUBSTITUTE(SUBSTITUTE(SUBSTITUTE(SUBSTITUTE(LOWER(Registro!$E122),"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",LEN(Registro!$E122))),({1,2,3,4,5,6,7,8,9,10,11,12,13,14,15,16,17,18,19,20,21,22,23,24,25,26,27,28,29,30}-1)*LEN(Registro!$E122)+1,LEN(Registro!$E122)))&amp;"x")+1,20))),"Revisar formato")))</f>
        <v/>
      </c>
      <c r="F122" s="11" t="str">
        <f>IF(Registro!$F122="","",N(Registro!$F122))</f>
        <v/>
      </c>
      <c r="G122" s="11" t="str">
        <f t="shared" si="4"/>
        <v/>
      </c>
      <c r="H122" s="10" t="str">
        <f>IF(Registro!$G122="","",IF(ISERROR(FIND("x",LOWER(Registro!$G122))),"-",IFERROR(SUMPRODUCT(--("0"&amp;LEFT(TRIM(MID(SUBSTITUTE(SUBSTITUTE(SUBSTITUTE(SUBSTITUTE(SUBSTITUTE(LOWER(Registro!$G122),"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",LEN(Registro!$G122))),({1,2,3,4,5,6,7,8,9,10,11,12,13,14,15,16,17,18,19,20,21,22,23,24,25,26,27,28,29,30}-1)*LEN(Registro!$G122)+1,LEN(Registro!$G122))),FIND("x",TRIM(MID(SUBSTITUTE(SUBSTITUTE(SUBSTITUTE(SUBSTITUTE(SUBSTITUTE(LOWER(Registro!$G122),"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",LEN(Registro!$G122))),({1,2,3,4,5,6,7,8,9,10,11,12,13,14,15,16,17,18,19,20,21,22,23,24,25,26,27,28,29,30}-1)*LEN(Registro!$G122)+1,LEN(Registro!$G122)))&amp;"x")-1))),"Revisar formato")))</f>
        <v/>
      </c>
      <c r="I122" s="11" t="str">
        <f>IF(Registro!$G122="","",IF(ISERROR(FIND("x",LOWER(Registro!$G122))),N(Registro!$H122),IFERROR(SUMPRODUCT(--("0"&amp;LEFT(TRIM(MID(SUBSTITUTE(SUBSTITUTE(SUBSTITUTE(SUBSTITUTE(SUBSTITUTE(LOWER(Registro!$G122),"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",LEN(Registro!$G122))),({1,2,3,4,5,6,7,8,9,10,11,12,13,14,15,16,17,18,19,20,21,22,23,24,25,26,27,28,29,30}-1)*LEN(Registro!$G122)+1,LEN(Registro!$G122))),FIND("x",TRIM(MID(SUBSTITUTE(SUBSTITUTE(SUBSTITUTE(SUBSTITUTE(SUBSTITUTE(LOWER(Registro!$G122),"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",LEN(Registro!$G122))),({1,2,3,4,5,6,7,8,9,10,11,12,13,14,15,16,17,18,19,20,21,22,23,24,25,26,27,28,29,30}-1)*LEN(Registro!$G122)+1,LEN(Registro!$G122)))&amp;"x")-1)),--("0"&amp;MID(TRIM(MID(SUBSTITUTE(SUBSTITUTE(SUBSTITUTE(SUBSTITUTE(SUBSTITUTE(LOWER(Registro!$G122),"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",LEN(Registro!$G122))),({1,2,3,4,5,6,7,8,9,10,11,12,13,14,15,16,17,18,19,20,21,22,23,24,25,26,27,28,29,30}-1)*LEN(Registro!$G122)+1,LEN(Registro!$G122))),FIND("x",TRIM(MID(SUBSTITUTE(SUBSTITUTE(SUBSTITUTE(SUBSTITUTE(SUBSTITUTE(LOWER(Registro!$G122),"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",LEN(Registro!$G122))),({1,2,3,4,5,6,7,8,9,10,11,12,13,14,15,16,17,18,19,20,21,22,23,24,25,26,27,28,29,30}-1)*LEN(Registro!$G122)+1,LEN(Registro!$G122)))&amp;"x")+1,20))),"Revisar formato")))</f>
        <v/>
      </c>
      <c r="J122" s="9" t="str">
        <f>IF(AND(Registro!$E122="",Registro!$G122=""),"",IF(NOT(AND(ISNUMBER(I122),ISNUMBER(Registro!$H122))),"",IF(I122&lt;Registro!$H122,"FALTA BOLETOS",IF(I122=Registro!$H122,"CONFORME","DIFERENCIA"))))</f>
        <v/>
      </c>
      <c r="K122" s="11" t="str">
        <f>IF(Registro!$I122="","",IFERROR(SUMPRODUCT(--("0"&amp;TRIM(RIGHT(SUBSTITUTE(TRIM(MID(SUBSTITUTE(SUBSTITUTE(Registro!$I122,";",CHAR(10)),CHAR(10),REPT(" ",LEN(Registro!$I122))),({1,2,3,4,5,6,7,8,9,10,11,12,13,14,15,16,17,18,19,20,21,22,23,24,25,26,27,28,29,30}-1)*LEN(Registro!$I122)+1,LEN(Registro!$I122)))," ",REPT(" ",50)),50)))),"Revisar formato"))</f>
        <v/>
      </c>
      <c r="L122" s="11" t="str">
        <f>IF(Registro!$J122="","",IFERROR(SUMPRODUCT(--("0"&amp;TRIM(RIGHT(SUBSTITUTE(TRIM(MID(SUBSTITUTE(SUBSTITUTE(Registro!$J122,";",CHAR(10)),CHAR(10),REPT(" ",LEN(Registro!$J122))),({1,2,3,4,5,6,7,8,9,10,11,12,13,14,15,16,17,18,19,20,21,22,23,24,25,26,27,28,29,30}-1)*LEN(Registro!$J122)+1,LEN(Registro!$J122)))," ",REPT(" ",50)),50)))),"Revisar formato"))</f>
        <v/>
      </c>
      <c r="M122" s="11" t="str">
        <f>IF(AND(Registro!$H122="",Registro!$I122=""),"",IF(AND(ISTEXT(K122),K122&lt;&gt;""),"Revisar formato",N(Registro!$H122)-N(K122)))</f>
        <v/>
      </c>
      <c r="N122" s="11" t="str">
        <f t="shared" si="5"/>
        <v/>
      </c>
      <c r="O122" s="15" t="str">
        <f>IF(AND(A122=Consulta!$B$3,C122=Consulta!$H$3),B122*10000+ROW(),"")</f>
        <v/>
      </c>
    </row>
    <row r="123" spans="1:15" x14ac:dyDescent="0.25">
      <c r="A123" s="9" t="str">
        <f>IF(Registro!$A123="","",Registro!$A123)</f>
        <v/>
      </c>
      <c r="B123" s="8" t="str">
        <f>IF(Registro!$B123="","",Registro!$B123)</f>
        <v/>
      </c>
      <c r="C123" s="14" t="str">
        <f t="shared" si="3"/>
        <v/>
      </c>
      <c r="D123" s="10" t="str">
        <f>IF(Registro!$E123="","",IF(ISERROR(FIND("x",LOWER(Registro!$E123))),"-",IFERROR(SUMPRODUCT(--("0"&amp;LEFT(TRIM(MID(SUBSTITUTE(SUBSTITUTE(SUBSTITUTE(SUBSTITUTE(SUBSTITUTE(LOWER(Registro!$E123),"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",LEN(Registro!$E123))),({1,2,3,4,5,6,7,8,9,10,11,12,13,14,15,16,17,18,19,20,21,22,23,24,25,26,27,28,29,30}-1)*LEN(Registro!$E123)+1,LEN(Registro!$E123)))&amp;"x")-1))),"Revisar formato")))</f>
        <v/>
      </c>
      <c r="E123" s="11" t="str">
        <f>IF(Registro!$E123="","",IF(ISERROR(FIND("x",LOWER(Registro!$E123))),"-",IFERROR(SUMPRODUCT(--("0"&amp;LEFT(TRIM(MID(SUBSTITUTE(SUBSTITUTE(SUBSTITUTE(SUBSTITUTE(SUBSTITUTE(LOWER(Registro!$E123),"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",LEN(Registro!$E123))),({1,2,3,4,5,6,7,8,9,10,11,12,13,14,15,16,17,18,19,20,21,22,23,24,25,26,27,28,29,30}-1)*LEN(Registro!$E123)+1,LEN(Registro!$E123)))&amp;"x")-1)),--("0"&amp;MID(TRIM(MID(SUBSTITUTE(SUBSTITUTE(SUBSTITUTE(SUBSTITUTE(SUBSTITUTE(LOWER(Registro!$E123),"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",LEN(Registro!$E123))),({1,2,3,4,5,6,7,8,9,10,11,12,13,14,15,16,17,18,19,20,21,22,23,24,25,26,27,28,29,30}-1)*LEN(Registro!$E123)+1,LEN(Registro!$E123)))&amp;"x")+1,20))),"Revisar formato")))</f>
        <v/>
      </c>
      <c r="F123" s="11" t="str">
        <f>IF(Registro!$F123="","",N(Registro!$F123))</f>
        <v/>
      </c>
      <c r="G123" s="11" t="str">
        <f t="shared" si="4"/>
        <v/>
      </c>
      <c r="H123" s="10" t="str">
        <f>IF(Registro!$G123="","",IF(ISERROR(FIND("x",LOWER(Registro!$G123))),"-",IFERROR(SUMPRODUCT(--("0"&amp;LEFT(TRIM(MID(SUBSTITUTE(SUBSTITUTE(SUBSTITUTE(SUBSTITUTE(SUBSTITUTE(LOWER(Registro!$G123),"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",LEN(Registro!$G123))),({1,2,3,4,5,6,7,8,9,10,11,12,13,14,15,16,17,18,19,20,21,22,23,24,25,26,27,28,29,30}-1)*LEN(Registro!$G123)+1,LEN(Registro!$G123))),FIND("x",TRIM(MID(SUBSTITUTE(SUBSTITUTE(SUBSTITUTE(SUBSTITUTE(SUBSTITUTE(LOWER(Registro!$G123),"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",LEN(Registro!$G123))),({1,2,3,4,5,6,7,8,9,10,11,12,13,14,15,16,17,18,19,20,21,22,23,24,25,26,27,28,29,30}-1)*LEN(Registro!$G123)+1,LEN(Registro!$G123)))&amp;"x")-1))),"Revisar formato")))</f>
        <v/>
      </c>
      <c r="I123" s="11" t="str">
        <f>IF(Registro!$G123="","",IF(ISERROR(FIND("x",LOWER(Registro!$G123))),N(Registro!$H123),IFERROR(SUMPRODUCT(--("0"&amp;LEFT(TRIM(MID(SUBSTITUTE(SUBSTITUTE(SUBSTITUTE(SUBSTITUTE(SUBSTITUTE(LOWER(Registro!$G123),"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",LEN(Registro!$G123))),({1,2,3,4,5,6,7,8,9,10,11,12,13,14,15,16,17,18,19,20,21,22,23,24,25,26,27,28,29,30}-1)*LEN(Registro!$G123)+1,LEN(Registro!$G123))),FIND("x",TRIM(MID(SUBSTITUTE(SUBSTITUTE(SUBSTITUTE(SUBSTITUTE(SUBSTITUTE(LOWER(Registro!$G123),"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",LEN(Registro!$G123))),({1,2,3,4,5,6,7,8,9,10,11,12,13,14,15,16,17,18,19,20,21,22,23,24,25,26,27,28,29,30}-1)*LEN(Registro!$G123)+1,LEN(Registro!$G123)))&amp;"x")-1)),--("0"&amp;MID(TRIM(MID(SUBSTITUTE(SUBSTITUTE(SUBSTITUTE(SUBSTITUTE(SUBSTITUTE(LOWER(Registro!$G123),"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",LEN(Registro!$G123))),({1,2,3,4,5,6,7,8,9,10,11,12,13,14,15,16,17,18,19,20,21,22,23,24,25,26,27,28,29,30}-1)*LEN(Registro!$G123)+1,LEN(Registro!$G123))),FIND("x",TRIM(MID(SUBSTITUTE(SUBSTITUTE(SUBSTITUTE(SUBSTITUTE(SUBSTITUTE(LOWER(Registro!$G123),"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",LEN(Registro!$G123))),({1,2,3,4,5,6,7,8,9,10,11,12,13,14,15,16,17,18,19,20,21,22,23,24,25,26,27,28,29,30}-1)*LEN(Registro!$G123)+1,LEN(Registro!$G123)))&amp;"x")+1,20))),"Revisar formato")))</f>
        <v/>
      </c>
      <c r="J123" s="9" t="str">
        <f>IF(AND(Registro!$E123="",Registro!$G123=""),"",IF(NOT(AND(ISNUMBER(I123),ISNUMBER(Registro!$H123))),"",IF(I123&lt;Registro!$H123,"FALTA BOLETOS",IF(I123=Registro!$H123,"CONFORME","DIFERENCIA"))))</f>
        <v/>
      </c>
      <c r="K123" s="11" t="str">
        <f>IF(Registro!$I123="","",IFERROR(SUMPRODUCT(--("0"&amp;TRIM(RIGHT(SUBSTITUTE(TRIM(MID(SUBSTITUTE(SUBSTITUTE(Registro!$I123,";",CHAR(10)),CHAR(10),REPT(" ",LEN(Registro!$I123))),({1,2,3,4,5,6,7,8,9,10,11,12,13,14,15,16,17,18,19,20,21,22,23,24,25,26,27,28,29,30}-1)*LEN(Registro!$I123)+1,LEN(Registro!$I123)))," ",REPT(" ",50)),50)))),"Revisar formato"))</f>
        <v/>
      </c>
      <c r="L123" s="11" t="str">
        <f>IF(Registro!$J123="","",IFERROR(SUMPRODUCT(--("0"&amp;TRIM(RIGHT(SUBSTITUTE(TRIM(MID(SUBSTITUTE(SUBSTITUTE(Registro!$J123,";",CHAR(10)),CHAR(10),REPT(" ",LEN(Registro!$J123))),({1,2,3,4,5,6,7,8,9,10,11,12,13,14,15,16,17,18,19,20,21,22,23,24,25,26,27,28,29,30}-1)*LEN(Registro!$J123)+1,LEN(Registro!$J123)))," ",REPT(" ",50)),50)))),"Revisar formato"))</f>
        <v/>
      </c>
      <c r="M123" s="11" t="str">
        <f>IF(AND(Registro!$H123="",Registro!$I123=""),"",IF(AND(ISTEXT(K123),K123&lt;&gt;""),"Revisar formato",N(Registro!$H123)-N(K123)))</f>
        <v/>
      </c>
      <c r="N123" s="11" t="str">
        <f t="shared" si="5"/>
        <v/>
      </c>
      <c r="O123" s="15" t="str">
        <f>IF(AND(A123=Consulta!$B$3,C123=Consulta!$H$3),B123*10000+ROW(),"")</f>
        <v/>
      </c>
    </row>
    <row r="124" spans="1:15" x14ac:dyDescent="0.25">
      <c r="A124" s="9" t="str">
        <f>IF(Registro!$A124="","",Registro!$A124)</f>
        <v/>
      </c>
      <c r="B124" s="8" t="str">
        <f>IF(Registro!$B124="","",Registro!$B124)</f>
        <v/>
      </c>
      <c r="C124" s="14" t="str">
        <f t="shared" si="3"/>
        <v/>
      </c>
      <c r="D124" s="10" t="str">
        <f>IF(Registro!$E124="","",IF(ISERROR(FIND("x",LOWER(Registro!$E124))),"-",IFERROR(SUMPRODUCT(--("0"&amp;LEFT(TRIM(MID(SUBSTITUTE(SUBSTITUTE(SUBSTITUTE(SUBSTITUTE(SUBSTITUTE(LOWER(Registro!$E124),"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",LEN(Registro!$E124))),({1,2,3,4,5,6,7,8,9,10,11,12,13,14,15,16,17,18,19,20,21,22,23,24,25,26,27,28,29,30}-1)*LEN(Registro!$E124)+1,LEN(Registro!$E124)))&amp;"x")-1))),"Revisar formato")))</f>
        <v/>
      </c>
      <c r="E124" s="11" t="str">
        <f>IF(Registro!$E124="","",IF(ISERROR(FIND("x",LOWER(Registro!$E124))),"-",IFERROR(SUMPRODUCT(--("0"&amp;LEFT(TRIM(MID(SUBSTITUTE(SUBSTITUTE(SUBSTITUTE(SUBSTITUTE(SUBSTITUTE(LOWER(Registro!$E124),"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",LEN(Registro!$E124))),({1,2,3,4,5,6,7,8,9,10,11,12,13,14,15,16,17,18,19,20,21,22,23,24,25,26,27,28,29,30}-1)*LEN(Registro!$E124)+1,LEN(Registro!$E124)))&amp;"x")-1)),--("0"&amp;MID(TRIM(MID(SUBSTITUTE(SUBSTITUTE(SUBSTITUTE(SUBSTITUTE(SUBSTITUTE(LOWER(Registro!$E124),"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",LEN(Registro!$E124))),({1,2,3,4,5,6,7,8,9,10,11,12,13,14,15,16,17,18,19,20,21,22,23,24,25,26,27,28,29,30}-1)*LEN(Registro!$E124)+1,LEN(Registro!$E124)))&amp;"x")+1,20))),"Revisar formato")))</f>
        <v/>
      </c>
      <c r="F124" s="11" t="str">
        <f>IF(Registro!$F124="","",N(Registro!$F124))</f>
        <v/>
      </c>
      <c r="G124" s="11" t="str">
        <f t="shared" si="4"/>
        <v/>
      </c>
      <c r="H124" s="10" t="str">
        <f>IF(Registro!$G124="","",IF(ISERROR(FIND("x",LOWER(Registro!$G124))),"-",IFERROR(SUMPRODUCT(--("0"&amp;LEFT(TRIM(MID(SUBSTITUTE(SUBSTITUTE(SUBSTITUTE(SUBSTITUTE(SUBSTITUTE(LOWER(Registro!$G124),"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",LEN(Registro!$G124))),({1,2,3,4,5,6,7,8,9,10,11,12,13,14,15,16,17,18,19,20,21,22,23,24,25,26,27,28,29,30}-1)*LEN(Registro!$G124)+1,LEN(Registro!$G124))),FIND("x",TRIM(MID(SUBSTITUTE(SUBSTITUTE(SUBSTITUTE(SUBSTITUTE(SUBSTITUTE(LOWER(Registro!$G124),"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",LEN(Registro!$G124))),({1,2,3,4,5,6,7,8,9,10,11,12,13,14,15,16,17,18,19,20,21,22,23,24,25,26,27,28,29,30}-1)*LEN(Registro!$G124)+1,LEN(Registro!$G124)))&amp;"x")-1))),"Revisar formato")))</f>
        <v/>
      </c>
      <c r="I124" s="11" t="str">
        <f>IF(Registro!$G124="","",IF(ISERROR(FIND("x",LOWER(Registro!$G124))),N(Registro!$H124),IFERROR(SUMPRODUCT(--("0"&amp;LEFT(TRIM(MID(SUBSTITUTE(SUBSTITUTE(SUBSTITUTE(SUBSTITUTE(SUBSTITUTE(LOWER(Registro!$G124),"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",LEN(Registro!$G124))),({1,2,3,4,5,6,7,8,9,10,11,12,13,14,15,16,17,18,19,20,21,22,23,24,25,26,27,28,29,30}-1)*LEN(Registro!$G124)+1,LEN(Registro!$G124))),FIND("x",TRIM(MID(SUBSTITUTE(SUBSTITUTE(SUBSTITUTE(SUBSTITUTE(SUBSTITUTE(LOWER(Registro!$G124),"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",LEN(Registro!$G124))),({1,2,3,4,5,6,7,8,9,10,11,12,13,14,15,16,17,18,19,20,21,22,23,24,25,26,27,28,29,30}-1)*LEN(Registro!$G124)+1,LEN(Registro!$G124)))&amp;"x")-1)),--("0"&amp;MID(TRIM(MID(SUBSTITUTE(SUBSTITUTE(SUBSTITUTE(SUBSTITUTE(SUBSTITUTE(LOWER(Registro!$G124),"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",LEN(Registro!$G124))),({1,2,3,4,5,6,7,8,9,10,11,12,13,14,15,16,17,18,19,20,21,22,23,24,25,26,27,28,29,30}-1)*LEN(Registro!$G124)+1,LEN(Registro!$G124))),FIND("x",TRIM(MID(SUBSTITUTE(SUBSTITUTE(SUBSTITUTE(SUBSTITUTE(SUBSTITUTE(LOWER(Registro!$G124),"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",LEN(Registro!$G124))),({1,2,3,4,5,6,7,8,9,10,11,12,13,14,15,16,17,18,19,20,21,22,23,24,25,26,27,28,29,30}-1)*LEN(Registro!$G124)+1,LEN(Registro!$G124)))&amp;"x")+1,20))),"Revisar formato")))</f>
        <v/>
      </c>
      <c r="J124" s="9" t="str">
        <f>IF(AND(Registro!$E124="",Registro!$G124=""),"",IF(NOT(AND(ISNUMBER(I124),ISNUMBER(Registro!$H124))),"",IF(I124&lt;Registro!$H124,"FALTA BOLETOS",IF(I124=Registro!$H124,"CONFORME","DIFERENCIA"))))</f>
        <v/>
      </c>
      <c r="K124" s="11" t="str">
        <f>IF(Registro!$I124="","",IFERROR(SUMPRODUCT(--("0"&amp;TRIM(RIGHT(SUBSTITUTE(TRIM(MID(SUBSTITUTE(SUBSTITUTE(Registro!$I124,";",CHAR(10)),CHAR(10),REPT(" ",LEN(Registro!$I124))),({1,2,3,4,5,6,7,8,9,10,11,12,13,14,15,16,17,18,19,20,21,22,23,24,25,26,27,28,29,30}-1)*LEN(Registro!$I124)+1,LEN(Registro!$I124)))," ",REPT(" ",50)),50)))),"Revisar formato"))</f>
        <v/>
      </c>
      <c r="L124" s="11" t="str">
        <f>IF(Registro!$J124="","",IFERROR(SUMPRODUCT(--("0"&amp;TRIM(RIGHT(SUBSTITUTE(TRIM(MID(SUBSTITUTE(SUBSTITUTE(Registro!$J124,";",CHAR(10)),CHAR(10),REPT(" ",LEN(Registro!$J124))),({1,2,3,4,5,6,7,8,9,10,11,12,13,14,15,16,17,18,19,20,21,22,23,24,25,26,27,28,29,30}-1)*LEN(Registro!$J124)+1,LEN(Registro!$J124)))," ",REPT(" ",50)),50)))),"Revisar formato"))</f>
        <v/>
      </c>
      <c r="M124" s="11" t="str">
        <f>IF(AND(Registro!$H124="",Registro!$I124=""),"",IF(AND(ISTEXT(K124),K124&lt;&gt;""),"Revisar formato",N(Registro!$H124)-N(K124)))</f>
        <v/>
      </c>
      <c r="N124" s="11" t="str">
        <f t="shared" si="5"/>
        <v/>
      </c>
      <c r="O124" s="15" t="str">
        <f>IF(AND(A124=Consulta!$B$3,C124=Consulta!$H$3),B124*10000+ROW(),"")</f>
        <v/>
      </c>
    </row>
    <row r="125" spans="1:15" x14ac:dyDescent="0.25">
      <c r="A125" s="9" t="str">
        <f>IF(Registro!$A125="","",Registro!$A125)</f>
        <v/>
      </c>
      <c r="B125" s="8" t="str">
        <f>IF(Registro!$B125="","",Registro!$B125)</f>
        <v/>
      </c>
      <c r="C125" s="14" t="str">
        <f t="shared" si="3"/>
        <v/>
      </c>
      <c r="D125" s="10" t="str">
        <f>IF(Registro!$E125="","",IF(ISERROR(FIND("x",LOWER(Registro!$E125))),"-",IFERROR(SUMPRODUCT(--("0"&amp;LEFT(TRIM(MID(SUBSTITUTE(SUBSTITUTE(SUBSTITUTE(SUBSTITUTE(SUBSTITUTE(LOWER(Registro!$E125),"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",LEN(Registro!$E125))),({1,2,3,4,5,6,7,8,9,10,11,12,13,14,15,16,17,18,19,20,21,22,23,24,25,26,27,28,29,30}-1)*LEN(Registro!$E125)+1,LEN(Registro!$E125)))&amp;"x")-1))),"Revisar formato")))</f>
        <v/>
      </c>
      <c r="E125" s="11" t="str">
        <f>IF(Registro!$E125="","",IF(ISERROR(FIND("x",LOWER(Registro!$E125))),"-",IFERROR(SUMPRODUCT(--("0"&amp;LEFT(TRIM(MID(SUBSTITUTE(SUBSTITUTE(SUBSTITUTE(SUBSTITUTE(SUBSTITUTE(LOWER(Registro!$E125),"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",LEN(Registro!$E125))),({1,2,3,4,5,6,7,8,9,10,11,12,13,14,15,16,17,18,19,20,21,22,23,24,25,26,27,28,29,30}-1)*LEN(Registro!$E125)+1,LEN(Registro!$E125)))&amp;"x")-1)),--("0"&amp;MID(TRIM(MID(SUBSTITUTE(SUBSTITUTE(SUBSTITUTE(SUBSTITUTE(SUBSTITUTE(LOWER(Registro!$E125),"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",LEN(Registro!$E125))),({1,2,3,4,5,6,7,8,9,10,11,12,13,14,15,16,17,18,19,20,21,22,23,24,25,26,27,28,29,30}-1)*LEN(Registro!$E125)+1,LEN(Registro!$E125)))&amp;"x")+1,20))),"Revisar formato")))</f>
        <v/>
      </c>
      <c r="F125" s="11" t="str">
        <f>IF(Registro!$F125="","",N(Registro!$F125))</f>
        <v/>
      </c>
      <c r="G125" s="11" t="str">
        <f t="shared" si="4"/>
        <v/>
      </c>
      <c r="H125" s="10" t="str">
        <f>IF(Registro!$G125="","",IF(ISERROR(FIND("x",LOWER(Registro!$G125))),"-",IFERROR(SUMPRODUCT(--("0"&amp;LEFT(TRIM(MID(SUBSTITUTE(SUBSTITUTE(SUBSTITUTE(SUBSTITUTE(SUBSTITUTE(LOWER(Registro!$G125),"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",LEN(Registro!$G125))),({1,2,3,4,5,6,7,8,9,10,11,12,13,14,15,16,17,18,19,20,21,22,23,24,25,26,27,28,29,30}-1)*LEN(Registro!$G125)+1,LEN(Registro!$G125))),FIND("x",TRIM(MID(SUBSTITUTE(SUBSTITUTE(SUBSTITUTE(SUBSTITUTE(SUBSTITUTE(LOWER(Registro!$G125),"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",LEN(Registro!$G125))),({1,2,3,4,5,6,7,8,9,10,11,12,13,14,15,16,17,18,19,20,21,22,23,24,25,26,27,28,29,30}-1)*LEN(Registro!$G125)+1,LEN(Registro!$G125)))&amp;"x")-1))),"Revisar formato")))</f>
        <v/>
      </c>
      <c r="I125" s="11" t="str">
        <f>IF(Registro!$G125="","",IF(ISERROR(FIND("x",LOWER(Registro!$G125))),N(Registro!$H125),IFERROR(SUMPRODUCT(--("0"&amp;LEFT(TRIM(MID(SUBSTITUTE(SUBSTITUTE(SUBSTITUTE(SUBSTITUTE(SUBSTITUTE(LOWER(Registro!$G125),"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",LEN(Registro!$G125))),({1,2,3,4,5,6,7,8,9,10,11,12,13,14,15,16,17,18,19,20,21,22,23,24,25,26,27,28,29,30}-1)*LEN(Registro!$G125)+1,LEN(Registro!$G125))),FIND("x",TRIM(MID(SUBSTITUTE(SUBSTITUTE(SUBSTITUTE(SUBSTITUTE(SUBSTITUTE(LOWER(Registro!$G125),"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",LEN(Registro!$G125))),({1,2,3,4,5,6,7,8,9,10,11,12,13,14,15,16,17,18,19,20,21,22,23,24,25,26,27,28,29,30}-1)*LEN(Registro!$G125)+1,LEN(Registro!$G125)))&amp;"x")-1)),--("0"&amp;MID(TRIM(MID(SUBSTITUTE(SUBSTITUTE(SUBSTITUTE(SUBSTITUTE(SUBSTITUTE(LOWER(Registro!$G125),"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",LEN(Registro!$G125))),({1,2,3,4,5,6,7,8,9,10,11,12,13,14,15,16,17,18,19,20,21,22,23,24,25,26,27,28,29,30}-1)*LEN(Registro!$G125)+1,LEN(Registro!$G125))),FIND("x",TRIM(MID(SUBSTITUTE(SUBSTITUTE(SUBSTITUTE(SUBSTITUTE(SUBSTITUTE(LOWER(Registro!$G125),"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",LEN(Registro!$G125))),({1,2,3,4,5,6,7,8,9,10,11,12,13,14,15,16,17,18,19,20,21,22,23,24,25,26,27,28,29,30}-1)*LEN(Registro!$G125)+1,LEN(Registro!$G125)))&amp;"x")+1,20))),"Revisar formato")))</f>
        <v/>
      </c>
      <c r="J125" s="9" t="str">
        <f>IF(AND(Registro!$E125="",Registro!$G125=""),"",IF(NOT(AND(ISNUMBER(I125),ISNUMBER(Registro!$H125))),"",IF(I125&lt;Registro!$H125,"FALTA BOLETOS",IF(I125=Registro!$H125,"CONFORME","DIFERENCIA"))))</f>
        <v/>
      </c>
      <c r="K125" s="11" t="str">
        <f>IF(Registro!$I125="","",IFERROR(SUMPRODUCT(--("0"&amp;TRIM(RIGHT(SUBSTITUTE(TRIM(MID(SUBSTITUTE(SUBSTITUTE(Registro!$I125,";",CHAR(10)),CHAR(10),REPT(" ",LEN(Registro!$I125))),({1,2,3,4,5,6,7,8,9,10,11,12,13,14,15,16,17,18,19,20,21,22,23,24,25,26,27,28,29,30}-1)*LEN(Registro!$I125)+1,LEN(Registro!$I125)))," ",REPT(" ",50)),50)))),"Revisar formato"))</f>
        <v/>
      </c>
      <c r="L125" s="11" t="str">
        <f>IF(Registro!$J125="","",IFERROR(SUMPRODUCT(--("0"&amp;TRIM(RIGHT(SUBSTITUTE(TRIM(MID(SUBSTITUTE(SUBSTITUTE(Registro!$J125,";",CHAR(10)),CHAR(10),REPT(" ",LEN(Registro!$J125))),({1,2,3,4,5,6,7,8,9,10,11,12,13,14,15,16,17,18,19,20,21,22,23,24,25,26,27,28,29,30}-1)*LEN(Registro!$J125)+1,LEN(Registro!$J125)))," ",REPT(" ",50)),50)))),"Revisar formato"))</f>
        <v/>
      </c>
      <c r="M125" s="11" t="str">
        <f>IF(AND(Registro!$H125="",Registro!$I125=""),"",IF(AND(ISTEXT(K125),K125&lt;&gt;""),"Revisar formato",N(Registro!$H125)-N(K125)))</f>
        <v/>
      </c>
      <c r="N125" s="11" t="str">
        <f t="shared" si="5"/>
        <v/>
      </c>
      <c r="O125" s="15" t="str">
        <f>IF(AND(A125=Consulta!$B$3,C125=Consulta!$H$3),B125*10000+ROW(),"")</f>
        <v/>
      </c>
    </row>
    <row r="126" spans="1:15" x14ac:dyDescent="0.25">
      <c r="A126" s="9" t="str">
        <f>IF(Registro!$A126="","",Registro!$A126)</f>
        <v/>
      </c>
      <c r="B126" s="8" t="str">
        <f>IF(Registro!$B126="","",Registro!$B126)</f>
        <v/>
      </c>
      <c r="C126" s="14" t="str">
        <f t="shared" si="3"/>
        <v/>
      </c>
      <c r="D126" s="10" t="str">
        <f>IF(Registro!$E126="","",IF(ISERROR(FIND("x",LOWER(Registro!$E126))),"-",IFERROR(SUMPRODUCT(--("0"&amp;LEFT(TRIM(MID(SUBSTITUTE(SUBSTITUTE(SUBSTITUTE(SUBSTITUTE(SUBSTITUTE(LOWER(Registro!$E126),"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",LEN(Registro!$E126))),({1,2,3,4,5,6,7,8,9,10,11,12,13,14,15,16,17,18,19,20,21,22,23,24,25,26,27,28,29,30}-1)*LEN(Registro!$E126)+1,LEN(Registro!$E126)))&amp;"x")-1))),"Revisar formato")))</f>
        <v/>
      </c>
      <c r="E126" s="11" t="str">
        <f>IF(Registro!$E126="","",IF(ISERROR(FIND("x",LOWER(Registro!$E126))),"-",IFERROR(SUMPRODUCT(--("0"&amp;LEFT(TRIM(MID(SUBSTITUTE(SUBSTITUTE(SUBSTITUTE(SUBSTITUTE(SUBSTITUTE(LOWER(Registro!$E126),"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",LEN(Registro!$E126))),({1,2,3,4,5,6,7,8,9,10,11,12,13,14,15,16,17,18,19,20,21,22,23,24,25,26,27,28,29,30}-1)*LEN(Registro!$E126)+1,LEN(Registro!$E126)))&amp;"x")-1)),--("0"&amp;MID(TRIM(MID(SUBSTITUTE(SUBSTITUTE(SUBSTITUTE(SUBSTITUTE(SUBSTITUTE(LOWER(Registro!$E126),"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",LEN(Registro!$E126))),({1,2,3,4,5,6,7,8,9,10,11,12,13,14,15,16,17,18,19,20,21,22,23,24,25,26,27,28,29,30}-1)*LEN(Registro!$E126)+1,LEN(Registro!$E126)))&amp;"x")+1,20))),"Revisar formato")))</f>
        <v/>
      </c>
      <c r="F126" s="11" t="str">
        <f>IF(Registro!$F126="","",N(Registro!$F126))</f>
        <v/>
      </c>
      <c r="G126" s="11" t="str">
        <f t="shared" si="4"/>
        <v/>
      </c>
      <c r="H126" s="10" t="str">
        <f>IF(Registro!$G126="","",IF(ISERROR(FIND("x",LOWER(Registro!$G126))),"-",IFERROR(SUMPRODUCT(--("0"&amp;LEFT(TRIM(MID(SUBSTITUTE(SUBSTITUTE(SUBSTITUTE(SUBSTITUTE(SUBSTITUTE(LOWER(Registro!$G126),"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",LEN(Registro!$G126))),({1,2,3,4,5,6,7,8,9,10,11,12,13,14,15,16,17,18,19,20,21,22,23,24,25,26,27,28,29,30}-1)*LEN(Registro!$G126)+1,LEN(Registro!$G126))),FIND("x",TRIM(MID(SUBSTITUTE(SUBSTITUTE(SUBSTITUTE(SUBSTITUTE(SUBSTITUTE(LOWER(Registro!$G126),"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",LEN(Registro!$G126))),({1,2,3,4,5,6,7,8,9,10,11,12,13,14,15,16,17,18,19,20,21,22,23,24,25,26,27,28,29,30}-1)*LEN(Registro!$G126)+1,LEN(Registro!$G126)))&amp;"x")-1))),"Revisar formato")))</f>
        <v/>
      </c>
      <c r="I126" s="11" t="str">
        <f>IF(Registro!$G126="","",IF(ISERROR(FIND("x",LOWER(Registro!$G126))),N(Registro!$H126),IFERROR(SUMPRODUCT(--("0"&amp;LEFT(TRIM(MID(SUBSTITUTE(SUBSTITUTE(SUBSTITUTE(SUBSTITUTE(SUBSTITUTE(LOWER(Registro!$G126),"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",LEN(Registro!$G126))),({1,2,3,4,5,6,7,8,9,10,11,12,13,14,15,16,17,18,19,20,21,22,23,24,25,26,27,28,29,30}-1)*LEN(Registro!$G126)+1,LEN(Registro!$G126))),FIND("x",TRIM(MID(SUBSTITUTE(SUBSTITUTE(SUBSTITUTE(SUBSTITUTE(SUBSTITUTE(LOWER(Registro!$G126),"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",LEN(Registro!$G126))),({1,2,3,4,5,6,7,8,9,10,11,12,13,14,15,16,17,18,19,20,21,22,23,24,25,26,27,28,29,30}-1)*LEN(Registro!$G126)+1,LEN(Registro!$G126)))&amp;"x")-1)),--("0"&amp;MID(TRIM(MID(SUBSTITUTE(SUBSTITUTE(SUBSTITUTE(SUBSTITUTE(SUBSTITUTE(LOWER(Registro!$G126),"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",LEN(Registro!$G126))),({1,2,3,4,5,6,7,8,9,10,11,12,13,14,15,16,17,18,19,20,21,22,23,24,25,26,27,28,29,30}-1)*LEN(Registro!$G126)+1,LEN(Registro!$G126))),FIND("x",TRIM(MID(SUBSTITUTE(SUBSTITUTE(SUBSTITUTE(SUBSTITUTE(SUBSTITUTE(LOWER(Registro!$G126),"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",LEN(Registro!$G126))),({1,2,3,4,5,6,7,8,9,10,11,12,13,14,15,16,17,18,19,20,21,22,23,24,25,26,27,28,29,30}-1)*LEN(Registro!$G126)+1,LEN(Registro!$G126)))&amp;"x")+1,20))),"Revisar formato")))</f>
        <v/>
      </c>
      <c r="J126" s="9" t="str">
        <f>IF(AND(Registro!$E126="",Registro!$G126=""),"",IF(NOT(AND(ISNUMBER(I126),ISNUMBER(Registro!$H126))),"",IF(I126&lt;Registro!$H126,"FALTA BOLETOS",IF(I126=Registro!$H126,"CONFORME","DIFERENCIA"))))</f>
        <v/>
      </c>
      <c r="K126" s="11" t="str">
        <f>IF(Registro!$I126="","",IFERROR(SUMPRODUCT(--("0"&amp;TRIM(RIGHT(SUBSTITUTE(TRIM(MID(SUBSTITUTE(SUBSTITUTE(Registro!$I126,";",CHAR(10)),CHAR(10),REPT(" ",LEN(Registro!$I126))),({1,2,3,4,5,6,7,8,9,10,11,12,13,14,15,16,17,18,19,20,21,22,23,24,25,26,27,28,29,30}-1)*LEN(Registro!$I126)+1,LEN(Registro!$I126)))," ",REPT(" ",50)),50)))),"Revisar formato"))</f>
        <v/>
      </c>
      <c r="L126" s="11" t="str">
        <f>IF(Registro!$J126="","",IFERROR(SUMPRODUCT(--("0"&amp;TRIM(RIGHT(SUBSTITUTE(TRIM(MID(SUBSTITUTE(SUBSTITUTE(Registro!$J126,";",CHAR(10)),CHAR(10),REPT(" ",LEN(Registro!$J126))),({1,2,3,4,5,6,7,8,9,10,11,12,13,14,15,16,17,18,19,20,21,22,23,24,25,26,27,28,29,30}-1)*LEN(Registro!$J126)+1,LEN(Registro!$J126)))," ",REPT(" ",50)),50)))),"Revisar formato"))</f>
        <v/>
      </c>
      <c r="M126" s="11" t="str">
        <f>IF(AND(Registro!$H126="",Registro!$I126=""),"",IF(AND(ISTEXT(K126),K126&lt;&gt;""),"Revisar formato",N(Registro!$H126)-N(K126)))</f>
        <v/>
      </c>
      <c r="N126" s="11" t="str">
        <f t="shared" si="5"/>
        <v/>
      </c>
      <c r="O126" s="15" t="str">
        <f>IF(AND(A126=Consulta!$B$3,C126=Consulta!$H$3),B126*10000+ROW(),"")</f>
        <v/>
      </c>
    </row>
    <row r="127" spans="1:15" x14ac:dyDescent="0.25">
      <c r="A127" s="9" t="str">
        <f>IF(Registro!$A127="","",Registro!$A127)</f>
        <v/>
      </c>
      <c r="B127" s="8" t="str">
        <f>IF(Registro!$B127="","",Registro!$B127)</f>
        <v/>
      </c>
      <c r="C127" s="14" t="str">
        <f t="shared" si="3"/>
        <v/>
      </c>
      <c r="D127" s="10" t="str">
        <f>IF(Registro!$E127="","",IF(ISERROR(FIND("x",LOWER(Registro!$E127))),"-",IFERROR(SUMPRODUCT(--("0"&amp;LEFT(TRIM(MID(SUBSTITUTE(SUBSTITUTE(SUBSTITUTE(SUBSTITUTE(SUBSTITUTE(LOWER(Registro!$E127),"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",LEN(Registro!$E127))),({1,2,3,4,5,6,7,8,9,10,11,12,13,14,15,16,17,18,19,20,21,22,23,24,25,26,27,28,29,30}-1)*LEN(Registro!$E127)+1,LEN(Registro!$E127)))&amp;"x")-1))),"Revisar formato")))</f>
        <v/>
      </c>
      <c r="E127" s="11" t="str">
        <f>IF(Registro!$E127="","",IF(ISERROR(FIND("x",LOWER(Registro!$E127))),"-",IFERROR(SUMPRODUCT(--("0"&amp;LEFT(TRIM(MID(SUBSTITUTE(SUBSTITUTE(SUBSTITUTE(SUBSTITUTE(SUBSTITUTE(LOWER(Registro!$E127),"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",LEN(Registro!$E127))),({1,2,3,4,5,6,7,8,9,10,11,12,13,14,15,16,17,18,19,20,21,22,23,24,25,26,27,28,29,30}-1)*LEN(Registro!$E127)+1,LEN(Registro!$E127)))&amp;"x")-1)),--("0"&amp;MID(TRIM(MID(SUBSTITUTE(SUBSTITUTE(SUBSTITUTE(SUBSTITUTE(SUBSTITUTE(LOWER(Registro!$E127),"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",LEN(Registro!$E127))),({1,2,3,4,5,6,7,8,9,10,11,12,13,14,15,16,17,18,19,20,21,22,23,24,25,26,27,28,29,30}-1)*LEN(Registro!$E127)+1,LEN(Registro!$E127)))&amp;"x")+1,20))),"Revisar formato")))</f>
        <v/>
      </c>
      <c r="F127" s="11" t="str">
        <f>IF(Registro!$F127="","",N(Registro!$F127))</f>
        <v/>
      </c>
      <c r="G127" s="11" t="str">
        <f t="shared" si="4"/>
        <v/>
      </c>
      <c r="H127" s="10" t="str">
        <f>IF(Registro!$G127="","",IF(ISERROR(FIND("x",LOWER(Registro!$G127))),"-",IFERROR(SUMPRODUCT(--("0"&amp;LEFT(TRIM(MID(SUBSTITUTE(SUBSTITUTE(SUBSTITUTE(SUBSTITUTE(SUBSTITUTE(LOWER(Registro!$G127),"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",LEN(Registro!$G127))),({1,2,3,4,5,6,7,8,9,10,11,12,13,14,15,16,17,18,19,20,21,22,23,24,25,26,27,28,29,30}-1)*LEN(Registro!$G127)+1,LEN(Registro!$G127))),FIND("x",TRIM(MID(SUBSTITUTE(SUBSTITUTE(SUBSTITUTE(SUBSTITUTE(SUBSTITUTE(LOWER(Registro!$G127),"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",LEN(Registro!$G127))),({1,2,3,4,5,6,7,8,9,10,11,12,13,14,15,16,17,18,19,20,21,22,23,24,25,26,27,28,29,30}-1)*LEN(Registro!$G127)+1,LEN(Registro!$G127)))&amp;"x")-1))),"Revisar formato")))</f>
        <v/>
      </c>
      <c r="I127" s="11" t="str">
        <f>IF(Registro!$G127="","",IF(ISERROR(FIND("x",LOWER(Registro!$G127))),N(Registro!$H127),IFERROR(SUMPRODUCT(--("0"&amp;LEFT(TRIM(MID(SUBSTITUTE(SUBSTITUTE(SUBSTITUTE(SUBSTITUTE(SUBSTITUTE(LOWER(Registro!$G127),"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",LEN(Registro!$G127))),({1,2,3,4,5,6,7,8,9,10,11,12,13,14,15,16,17,18,19,20,21,22,23,24,25,26,27,28,29,30}-1)*LEN(Registro!$G127)+1,LEN(Registro!$G127))),FIND("x",TRIM(MID(SUBSTITUTE(SUBSTITUTE(SUBSTITUTE(SUBSTITUTE(SUBSTITUTE(LOWER(Registro!$G127),"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",LEN(Registro!$G127))),({1,2,3,4,5,6,7,8,9,10,11,12,13,14,15,16,17,18,19,20,21,22,23,24,25,26,27,28,29,30}-1)*LEN(Registro!$G127)+1,LEN(Registro!$G127)))&amp;"x")-1)),--("0"&amp;MID(TRIM(MID(SUBSTITUTE(SUBSTITUTE(SUBSTITUTE(SUBSTITUTE(SUBSTITUTE(LOWER(Registro!$G127),"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",LEN(Registro!$G127))),({1,2,3,4,5,6,7,8,9,10,11,12,13,14,15,16,17,18,19,20,21,22,23,24,25,26,27,28,29,30}-1)*LEN(Registro!$G127)+1,LEN(Registro!$G127))),FIND("x",TRIM(MID(SUBSTITUTE(SUBSTITUTE(SUBSTITUTE(SUBSTITUTE(SUBSTITUTE(LOWER(Registro!$G127),"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",LEN(Registro!$G127))),({1,2,3,4,5,6,7,8,9,10,11,12,13,14,15,16,17,18,19,20,21,22,23,24,25,26,27,28,29,30}-1)*LEN(Registro!$G127)+1,LEN(Registro!$G127)))&amp;"x")+1,20))),"Revisar formato")))</f>
        <v/>
      </c>
      <c r="J127" s="9" t="str">
        <f>IF(AND(Registro!$E127="",Registro!$G127=""),"",IF(NOT(AND(ISNUMBER(I127),ISNUMBER(Registro!$H127))),"",IF(I127&lt;Registro!$H127,"FALTA BOLETOS",IF(I127=Registro!$H127,"CONFORME","DIFERENCIA"))))</f>
        <v/>
      </c>
      <c r="K127" s="11" t="str">
        <f>IF(Registro!$I127="","",IFERROR(SUMPRODUCT(--("0"&amp;TRIM(RIGHT(SUBSTITUTE(TRIM(MID(SUBSTITUTE(SUBSTITUTE(Registro!$I127,";",CHAR(10)),CHAR(10),REPT(" ",LEN(Registro!$I127))),({1,2,3,4,5,6,7,8,9,10,11,12,13,14,15,16,17,18,19,20,21,22,23,24,25,26,27,28,29,30}-1)*LEN(Registro!$I127)+1,LEN(Registro!$I127)))," ",REPT(" ",50)),50)))),"Revisar formato"))</f>
        <v/>
      </c>
      <c r="L127" s="11" t="str">
        <f>IF(Registro!$J127="","",IFERROR(SUMPRODUCT(--("0"&amp;TRIM(RIGHT(SUBSTITUTE(TRIM(MID(SUBSTITUTE(SUBSTITUTE(Registro!$J127,";",CHAR(10)),CHAR(10),REPT(" ",LEN(Registro!$J127))),({1,2,3,4,5,6,7,8,9,10,11,12,13,14,15,16,17,18,19,20,21,22,23,24,25,26,27,28,29,30}-1)*LEN(Registro!$J127)+1,LEN(Registro!$J127)))," ",REPT(" ",50)),50)))),"Revisar formato"))</f>
        <v/>
      </c>
      <c r="M127" s="11" t="str">
        <f>IF(AND(Registro!$H127="",Registro!$I127=""),"",IF(AND(ISTEXT(K127),K127&lt;&gt;""),"Revisar formato",N(Registro!$H127)-N(K127)))</f>
        <v/>
      </c>
      <c r="N127" s="11" t="str">
        <f t="shared" si="5"/>
        <v/>
      </c>
      <c r="O127" s="15" t="str">
        <f>IF(AND(A127=Consulta!$B$3,C127=Consulta!$H$3),B127*10000+ROW(),"")</f>
        <v/>
      </c>
    </row>
    <row r="128" spans="1:15" x14ac:dyDescent="0.25">
      <c r="A128" s="9" t="str">
        <f>IF(Registro!$A128="","",Registro!$A128)</f>
        <v/>
      </c>
      <c r="B128" s="8" t="str">
        <f>IF(Registro!$B128="","",Registro!$B128)</f>
        <v/>
      </c>
      <c r="C128" s="14" t="str">
        <f t="shared" si="3"/>
        <v/>
      </c>
      <c r="D128" s="10" t="str">
        <f>IF(Registro!$E128="","",IF(ISERROR(FIND("x",LOWER(Registro!$E128))),"-",IFERROR(SUMPRODUCT(--("0"&amp;LEFT(TRIM(MID(SUBSTITUTE(SUBSTITUTE(SUBSTITUTE(SUBSTITUTE(SUBSTITUTE(LOWER(Registro!$E128),"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",LEN(Registro!$E128))),({1,2,3,4,5,6,7,8,9,10,11,12,13,14,15,16,17,18,19,20,21,22,23,24,25,26,27,28,29,30}-1)*LEN(Registro!$E128)+1,LEN(Registro!$E128)))&amp;"x")-1))),"Revisar formato")))</f>
        <v/>
      </c>
      <c r="E128" s="11" t="str">
        <f>IF(Registro!$E128="","",IF(ISERROR(FIND("x",LOWER(Registro!$E128))),"-",IFERROR(SUMPRODUCT(--("0"&amp;LEFT(TRIM(MID(SUBSTITUTE(SUBSTITUTE(SUBSTITUTE(SUBSTITUTE(SUBSTITUTE(LOWER(Registro!$E128),"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",LEN(Registro!$E128))),({1,2,3,4,5,6,7,8,9,10,11,12,13,14,15,16,17,18,19,20,21,22,23,24,25,26,27,28,29,30}-1)*LEN(Registro!$E128)+1,LEN(Registro!$E128)))&amp;"x")-1)),--("0"&amp;MID(TRIM(MID(SUBSTITUTE(SUBSTITUTE(SUBSTITUTE(SUBSTITUTE(SUBSTITUTE(LOWER(Registro!$E128),"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",LEN(Registro!$E128))),({1,2,3,4,5,6,7,8,9,10,11,12,13,14,15,16,17,18,19,20,21,22,23,24,25,26,27,28,29,30}-1)*LEN(Registro!$E128)+1,LEN(Registro!$E128)))&amp;"x")+1,20))),"Revisar formato")))</f>
        <v/>
      </c>
      <c r="F128" s="11" t="str">
        <f>IF(Registro!$F128="","",N(Registro!$F128))</f>
        <v/>
      </c>
      <c r="G128" s="11" t="str">
        <f t="shared" si="4"/>
        <v/>
      </c>
      <c r="H128" s="10" t="str">
        <f>IF(Registro!$G128="","",IF(ISERROR(FIND("x",LOWER(Registro!$G128))),"-",IFERROR(SUMPRODUCT(--("0"&amp;LEFT(TRIM(MID(SUBSTITUTE(SUBSTITUTE(SUBSTITUTE(SUBSTITUTE(SUBSTITUTE(LOWER(Registro!$G128),"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",LEN(Registro!$G128))),({1,2,3,4,5,6,7,8,9,10,11,12,13,14,15,16,17,18,19,20,21,22,23,24,25,26,27,28,29,30}-1)*LEN(Registro!$G128)+1,LEN(Registro!$G128))),FIND("x",TRIM(MID(SUBSTITUTE(SUBSTITUTE(SUBSTITUTE(SUBSTITUTE(SUBSTITUTE(LOWER(Registro!$G128),"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",LEN(Registro!$G128))),({1,2,3,4,5,6,7,8,9,10,11,12,13,14,15,16,17,18,19,20,21,22,23,24,25,26,27,28,29,30}-1)*LEN(Registro!$G128)+1,LEN(Registro!$G128)))&amp;"x")-1))),"Revisar formato")))</f>
        <v/>
      </c>
      <c r="I128" s="11" t="str">
        <f>IF(Registro!$G128="","",IF(ISERROR(FIND("x",LOWER(Registro!$G128))),N(Registro!$H128),IFERROR(SUMPRODUCT(--("0"&amp;LEFT(TRIM(MID(SUBSTITUTE(SUBSTITUTE(SUBSTITUTE(SUBSTITUTE(SUBSTITUTE(LOWER(Registro!$G128),"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",LEN(Registro!$G128))),({1,2,3,4,5,6,7,8,9,10,11,12,13,14,15,16,17,18,19,20,21,22,23,24,25,26,27,28,29,30}-1)*LEN(Registro!$G128)+1,LEN(Registro!$G128))),FIND("x",TRIM(MID(SUBSTITUTE(SUBSTITUTE(SUBSTITUTE(SUBSTITUTE(SUBSTITUTE(LOWER(Registro!$G128),"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",LEN(Registro!$G128))),({1,2,3,4,5,6,7,8,9,10,11,12,13,14,15,16,17,18,19,20,21,22,23,24,25,26,27,28,29,30}-1)*LEN(Registro!$G128)+1,LEN(Registro!$G128)))&amp;"x")-1)),--("0"&amp;MID(TRIM(MID(SUBSTITUTE(SUBSTITUTE(SUBSTITUTE(SUBSTITUTE(SUBSTITUTE(LOWER(Registro!$G128),"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",LEN(Registro!$G128))),({1,2,3,4,5,6,7,8,9,10,11,12,13,14,15,16,17,18,19,20,21,22,23,24,25,26,27,28,29,30}-1)*LEN(Registro!$G128)+1,LEN(Registro!$G128))),FIND("x",TRIM(MID(SUBSTITUTE(SUBSTITUTE(SUBSTITUTE(SUBSTITUTE(SUBSTITUTE(LOWER(Registro!$G128),"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",LEN(Registro!$G128))),({1,2,3,4,5,6,7,8,9,10,11,12,13,14,15,16,17,18,19,20,21,22,23,24,25,26,27,28,29,30}-1)*LEN(Registro!$G128)+1,LEN(Registro!$G128)))&amp;"x")+1,20))),"Revisar formato")))</f>
        <v/>
      </c>
      <c r="J128" s="9" t="str">
        <f>IF(AND(Registro!$E128="",Registro!$G128=""),"",IF(NOT(AND(ISNUMBER(I128),ISNUMBER(Registro!$H128))),"",IF(I128&lt;Registro!$H128,"FALTA BOLETOS",IF(I128=Registro!$H128,"CONFORME","DIFERENCIA"))))</f>
        <v/>
      </c>
      <c r="K128" s="11" t="str">
        <f>IF(Registro!$I128="","",IFERROR(SUMPRODUCT(--("0"&amp;TRIM(RIGHT(SUBSTITUTE(TRIM(MID(SUBSTITUTE(SUBSTITUTE(Registro!$I128,";",CHAR(10)),CHAR(10),REPT(" ",LEN(Registro!$I128))),({1,2,3,4,5,6,7,8,9,10,11,12,13,14,15,16,17,18,19,20,21,22,23,24,25,26,27,28,29,30}-1)*LEN(Registro!$I128)+1,LEN(Registro!$I128)))," ",REPT(" ",50)),50)))),"Revisar formato"))</f>
        <v/>
      </c>
      <c r="L128" s="11" t="str">
        <f>IF(Registro!$J128="","",IFERROR(SUMPRODUCT(--("0"&amp;TRIM(RIGHT(SUBSTITUTE(TRIM(MID(SUBSTITUTE(SUBSTITUTE(Registro!$J128,";",CHAR(10)),CHAR(10),REPT(" ",LEN(Registro!$J128))),({1,2,3,4,5,6,7,8,9,10,11,12,13,14,15,16,17,18,19,20,21,22,23,24,25,26,27,28,29,30}-1)*LEN(Registro!$J128)+1,LEN(Registro!$J128)))," ",REPT(" ",50)),50)))),"Revisar formato"))</f>
        <v/>
      </c>
      <c r="M128" s="11" t="str">
        <f>IF(AND(Registro!$H128="",Registro!$I128=""),"",IF(AND(ISTEXT(K128),K128&lt;&gt;""),"Revisar formato",N(Registro!$H128)-N(K128)))</f>
        <v/>
      </c>
      <c r="N128" s="11" t="str">
        <f t="shared" si="5"/>
        <v/>
      </c>
      <c r="O128" s="15" t="str">
        <f>IF(AND(A128=Consulta!$B$3,C128=Consulta!$H$3),B128*10000+ROW(),"")</f>
        <v/>
      </c>
    </row>
    <row r="129" spans="1:15" x14ac:dyDescent="0.25">
      <c r="A129" s="9" t="str">
        <f>IF(Registro!$A129="","",Registro!$A129)</f>
        <v/>
      </c>
      <c r="B129" s="8" t="str">
        <f>IF(Registro!$B129="","",Registro!$B129)</f>
        <v/>
      </c>
      <c r="C129" s="14" t="str">
        <f t="shared" si="3"/>
        <v/>
      </c>
      <c r="D129" s="10" t="str">
        <f>IF(Registro!$E129="","",IF(ISERROR(FIND("x",LOWER(Registro!$E129))),"-",IFERROR(SUMPRODUCT(--("0"&amp;LEFT(TRIM(MID(SUBSTITUTE(SUBSTITUTE(SUBSTITUTE(SUBSTITUTE(SUBSTITUTE(LOWER(Registro!$E129),"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",LEN(Registro!$E129))),({1,2,3,4,5,6,7,8,9,10,11,12,13,14,15,16,17,18,19,20,21,22,23,24,25,26,27,28,29,30}-1)*LEN(Registro!$E129)+1,LEN(Registro!$E129)))&amp;"x")-1))),"Revisar formato")))</f>
        <v/>
      </c>
      <c r="E129" s="11" t="str">
        <f>IF(Registro!$E129="","",IF(ISERROR(FIND("x",LOWER(Registro!$E129))),"-",IFERROR(SUMPRODUCT(--("0"&amp;LEFT(TRIM(MID(SUBSTITUTE(SUBSTITUTE(SUBSTITUTE(SUBSTITUTE(SUBSTITUTE(LOWER(Registro!$E129),"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",LEN(Registro!$E129))),({1,2,3,4,5,6,7,8,9,10,11,12,13,14,15,16,17,18,19,20,21,22,23,24,25,26,27,28,29,30}-1)*LEN(Registro!$E129)+1,LEN(Registro!$E129)))&amp;"x")-1)),--("0"&amp;MID(TRIM(MID(SUBSTITUTE(SUBSTITUTE(SUBSTITUTE(SUBSTITUTE(SUBSTITUTE(LOWER(Registro!$E129),"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",LEN(Registro!$E129))),({1,2,3,4,5,6,7,8,9,10,11,12,13,14,15,16,17,18,19,20,21,22,23,24,25,26,27,28,29,30}-1)*LEN(Registro!$E129)+1,LEN(Registro!$E129)))&amp;"x")+1,20))),"Revisar formato")))</f>
        <v/>
      </c>
      <c r="F129" s="11" t="str">
        <f>IF(Registro!$F129="","",N(Registro!$F129))</f>
        <v/>
      </c>
      <c r="G129" s="11" t="str">
        <f t="shared" si="4"/>
        <v/>
      </c>
      <c r="H129" s="10" t="str">
        <f>IF(Registro!$G129="","",IF(ISERROR(FIND("x",LOWER(Registro!$G129))),"-",IFERROR(SUMPRODUCT(--("0"&amp;LEFT(TRIM(MID(SUBSTITUTE(SUBSTITUTE(SUBSTITUTE(SUBSTITUTE(SUBSTITUTE(LOWER(Registro!$G129),"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",LEN(Registro!$G129))),({1,2,3,4,5,6,7,8,9,10,11,12,13,14,15,16,17,18,19,20,21,22,23,24,25,26,27,28,29,30}-1)*LEN(Registro!$G129)+1,LEN(Registro!$G129))),FIND("x",TRIM(MID(SUBSTITUTE(SUBSTITUTE(SUBSTITUTE(SUBSTITUTE(SUBSTITUTE(LOWER(Registro!$G129),"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",LEN(Registro!$G129))),({1,2,3,4,5,6,7,8,9,10,11,12,13,14,15,16,17,18,19,20,21,22,23,24,25,26,27,28,29,30}-1)*LEN(Registro!$G129)+1,LEN(Registro!$G129)))&amp;"x")-1))),"Revisar formato")))</f>
        <v/>
      </c>
      <c r="I129" s="11" t="str">
        <f>IF(Registro!$G129="","",IF(ISERROR(FIND("x",LOWER(Registro!$G129))),N(Registro!$H129),IFERROR(SUMPRODUCT(--("0"&amp;LEFT(TRIM(MID(SUBSTITUTE(SUBSTITUTE(SUBSTITUTE(SUBSTITUTE(SUBSTITUTE(LOWER(Registro!$G129),"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",LEN(Registro!$G129))),({1,2,3,4,5,6,7,8,9,10,11,12,13,14,15,16,17,18,19,20,21,22,23,24,25,26,27,28,29,30}-1)*LEN(Registro!$G129)+1,LEN(Registro!$G129))),FIND("x",TRIM(MID(SUBSTITUTE(SUBSTITUTE(SUBSTITUTE(SUBSTITUTE(SUBSTITUTE(LOWER(Registro!$G129),"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",LEN(Registro!$G129))),({1,2,3,4,5,6,7,8,9,10,11,12,13,14,15,16,17,18,19,20,21,22,23,24,25,26,27,28,29,30}-1)*LEN(Registro!$G129)+1,LEN(Registro!$G129)))&amp;"x")-1)),--("0"&amp;MID(TRIM(MID(SUBSTITUTE(SUBSTITUTE(SUBSTITUTE(SUBSTITUTE(SUBSTITUTE(LOWER(Registro!$G129),"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",LEN(Registro!$G129))),({1,2,3,4,5,6,7,8,9,10,11,12,13,14,15,16,17,18,19,20,21,22,23,24,25,26,27,28,29,30}-1)*LEN(Registro!$G129)+1,LEN(Registro!$G129))),FIND("x",TRIM(MID(SUBSTITUTE(SUBSTITUTE(SUBSTITUTE(SUBSTITUTE(SUBSTITUTE(LOWER(Registro!$G129),"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",LEN(Registro!$G129))),({1,2,3,4,5,6,7,8,9,10,11,12,13,14,15,16,17,18,19,20,21,22,23,24,25,26,27,28,29,30}-1)*LEN(Registro!$G129)+1,LEN(Registro!$G129)))&amp;"x")+1,20))),"Revisar formato")))</f>
        <v/>
      </c>
      <c r="J129" s="9" t="str">
        <f>IF(AND(Registro!$E129="",Registro!$G129=""),"",IF(NOT(AND(ISNUMBER(I129),ISNUMBER(Registro!$H129))),"",IF(I129&lt;Registro!$H129,"FALTA BOLETOS",IF(I129=Registro!$H129,"CONFORME","DIFERENCIA"))))</f>
        <v/>
      </c>
      <c r="K129" s="11" t="str">
        <f>IF(Registro!$I129="","",IFERROR(SUMPRODUCT(--("0"&amp;TRIM(RIGHT(SUBSTITUTE(TRIM(MID(SUBSTITUTE(SUBSTITUTE(Registro!$I129,";",CHAR(10)),CHAR(10),REPT(" ",LEN(Registro!$I129))),({1,2,3,4,5,6,7,8,9,10,11,12,13,14,15,16,17,18,19,20,21,22,23,24,25,26,27,28,29,30}-1)*LEN(Registro!$I129)+1,LEN(Registro!$I129)))," ",REPT(" ",50)),50)))),"Revisar formato"))</f>
        <v/>
      </c>
      <c r="L129" s="11" t="str">
        <f>IF(Registro!$J129="","",IFERROR(SUMPRODUCT(--("0"&amp;TRIM(RIGHT(SUBSTITUTE(TRIM(MID(SUBSTITUTE(SUBSTITUTE(Registro!$J129,";",CHAR(10)),CHAR(10),REPT(" ",LEN(Registro!$J129))),({1,2,3,4,5,6,7,8,9,10,11,12,13,14,15,16,17,18,19,20,21,22,23,24,25,26,27,28,29,30}-1)*LEN(Registro!$J129)+1,LEN(Registro!$J129)))," ",REPT(" ",50)),50)))),"Revisar formato"))</f>
        <v/>
      </c>
      <c r="M129" s="11" t="str">
        <f>IF(AND(Registro!$H129="",Registro!$I129=""),"",IF(AND(ISTEXT(K129),K129&lt;&gt;""),"Revisar formato",N(Registro!$H129)-N(K129)))</f>
        <v/>
      </c>
      <c r="N129" s="11" t="str">
        <f t="shared" si="5"/>
        <v/>
      </c>
      <c r="O129" s="15" t="str">
        <f>IF(AND(A129=Consulta!$B$3,C129=Consulta!$H$3),B129*10000+ROW(),"")</f>
        <v/>
      </c>
    </row>
    <row r="130" spans="1:15" x14ac:dyDescent="0.25">
      <c r="A130" s="9" t="str">
        <f>IF(Registro!$A130="","",Registro!$A130)</f>
        <v/>
      </c>
      <c r="B130" s="8" t="str">
        <f>IF(Registro!$B130="","",Registro!$B130)</f>
        <v/>
      </c>
      <c r="C130" s="14" t="str">
        <f t="shared" ref="C130:C193" si="6">IF(ISNUMBER(B130),YEAR(B130)*100+MONTH(B130),"")</f>
        <v/>
      </c>
      <c r="D130" s="10" t="str">
        <f>IF(Registro!$E130="","",IF(ISERROR(FIND("x",LOWER(Registro!$E130))),"-",IFERROR(SUMPRODUCT(--("0"&amp;LEFT(TRIM(MID(SUBSTITUTE(SUBSTITUTE(SUBSTITUTE(SUBSTITUTE(SUBSTITUTE(LOWER(Registro!$E130),"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",LEN(Registro!$E130))),({1,2,3,4,5,6,7,8,9,10,11,12,13,14,15,16,17,18,19,20,21,22,23,24,25,26,27,28,29,30}-1)*LEN(Registro!$E130)+1,LEN(Registro!$E130)))&amp;"x")-1))),"Revisar formato")))</f>
        <v/>
      </c>
      <c r="E130" s="11" t="str">
        <f>IF(Registro!$E130="","",IF(ISERROR(FIND("x",LOWER(Registro!$E130))),"-",IFERROR(SUMPRODUCT(--("0"&amp;LEFT(TRIM(MID(SUBSTITUTE(SUBSTITUTE(SUBSTITUTE(SUBSTITUTE(SUBSTITUTE(LOWER(Registro!$E130),"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",LEN(Registro!$E130))),({1,2,3,4,5,6,7,8,9,10,11,12,13,14,15,16,17,18,19,20,21,22,23,24,25,26,27,28,29,30}-1)*LEN(Registro!$E130)+1,LEN(Registro!$E130)))&amp;"x")-1)),--("0"&amp;MID(TRIM(MID(SUBSTITUTE(SUBSTITUTE(SUBSTITUTE(SUBSTITUTE(SUBSTITUTE(LOWER(Registro!$E130),"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",LEN(Registro!$E130))),({1,2,3,4,5,6,7,8,9,10,11,12,13,14,15,16,17,18,19,20,21,22,23,24,25,26,27,28,29,30}-1)*LEN(Registro!$E130)+1,LEN(Registro!$E130)))&amp;"x")+1,20))),"Revisar formato")))</f>
        <v/>
      </c>
      <c r="F130" s="11" t="str">
        <f>IF(Registro!$F130="","",N(Registro!$F130))</f>
        <v/>
      </c>
      <c r="G130" s="11" t="str">
        <f t="shared" ref="G130:G193" si="7">IF(AND(E130="",F130=""),"",IF(OR(E130="",ISNUMBER(E130)),N(E130)-N(F130),E130))</f>
        <v/>
      </c>
      <c r="H130" s="10" t="str">
        <f>IF(Registro!$G130="","",IF(ISERROR(FIND("x",LOWER(Registro!$G130))),"-",IFERROR(SUMPRODUCT(--("0"&amp;LEFT(TRIM(MID(SUBSTITUTE(SUBSTITUTE(SUBSTITUTE(SUBSTITUTE(SUBSTITUTE(LOWER(Registro!$G130),"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",LEN(Registro!$G130))),({1,2,3,4,5,6,7,8,9,10,11,12,13,14,15,16,17,18,19,20,21,22,23,24,25,26,27,28,29,30}-1)*LEN(Registro!$G130)+1,LEN(Registro!$G130))),FIND("x",TRIM(MID(SUBSTITUTE(SUBSTITUTE(SUBSTITUTE(SUBSTITUTE(SUBSTITUTE(LOWER(Registro!$G130),"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",LEN(Registro!$G130))),({1,2,3,4,5,6,7,8,9,10,11,12,13,14,15,16,17,18,19,20,21,22,23,24,25,26,27,28,29,30}-1)*LEN(Registro!$G130)+1,LEN(Registro!$G130)))&amp;"x")-1))),"Revisar formato")))</f>
        <v/>
      </c>
      <c r="I130" s="11" t="str">
        <f>IF(Registro!$G130="","",IF(ISERROR(FIND("x",LOWER(Registro!$G130))),N(Registro!$H130),IFERROR(SUMPRODUCT(--("0"&amp;LEFT(TRIM(MID(SUBSTITUTE(SUBSTITUTE(SUBSTITUTE(SUBSTITUTE(SUBSTITUTE(LOWER(Registro!$G130),"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",LEN(Registro!$G130))),({1,2,3,4,5,6,7,8,9,10,11,12,13,14,15,16,17,18,19,20,21,22,23,24,25,26,27,28,29,30}-1)*LEN(Registro!$G130)+1,LEN(Registro!$G130))),FIND("x",TRIM(MID(SUBSTITUTE(SUBSTITUTE(SUBSTITUTE(SUBSTITUTE(SUBSTITUTE(LOWER(Registro!$G130),"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",LEN(Registro!$G130))),({1,2,3,4,5,6,7,8,9,10,11,12,13,14,15,16,17,18,19,20,21,22,23,24,25,26,27,28,29,30}-1)*LEN(Registro!$G130)+1,LEN(Registro!$G130)))&amp;"x")-1)),--("0"&amp;MID(TRIM(MID(SUBSTITUTE(SUBSTITUTE(SUBSTITUTE(SUBSTITUTE(SUBSTITUTE(LOWER(Registro!$G130),"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",LEN(Registro!$G130))),({1,2,3,4,5,6,7,8,9,10,11,12,13,14,15,16,17,18,19,20,21,22,23,24,25,26,27,28,29,30}-1)*LEN(Registro!$G130)+1,LEN(Registro!$G130))),FIND("x",TRIM(MID(SUBSTITUTE(SUBSTITUTE(SUBSTITUTE(SUBSTITUTE(SUBSTITUTE(LOWER(Registro!$G130),"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",LEN(Registro!$G130))),({1,2,3,4,5,6,7,8,9,10,11,12,13,14,15,16,17,18,19,20,21,22,23,24,25,26,27,28,29,30}-1)*LEN(Registro!$G130)+1,LEN(Registro!$G130)))&amp;"x")+1,20))),"Revisar formato")))</f>
        <v/>
      </c>
      <c r="J130" s="9" t="str">
        <f>IF(AND(Registro!$E130="",Registro!$G130=""),"",IF(NOT(AND(ISNUMBER(I130),ISNUMBER(Registro!$H130))),"",IF(I130&lt;Registro!$H130,"FALTA BOLETOS",IF(I130=Registro!$H130,"CONFORME","DIFERENCIA"))))</f>
        <v/>
      </c>
      <c r="K130" s="11" t="str">
        <f>IF(Registro!$I130="","",IFERROR(SUMPRODUCT(--("0"&amp;TRIM(RIGHT(SUBSTITUTE(TRIM(MID(SUBSTITUTE(SUBSTITUTE(Registro!$I130,";",CHAR(10)),CHAR(10),REPT(" ",LEN(Registro!$I130))),({1,2,3,4,5,6,7,8,9,10,11,12,13,14,15,16,17,18,19,20,21,22,23,24,25,26,27,28,29,30}-1)*LEN(Registro!$I130)+1,LEN(Registro!$I130)))," ",REPT(" ",50)),50)))),"Revisar formato"))</f>
        <v/>
      </c>
      <c r="L130" s="11" t="str">
        <f>IF(Registro!$J130="","",IFERROR(SUMPRODUCT(--("0"&amp;TRIM(RIGHT(SUBSTITUTE(TRIM(MID(SUBSTITUTE(SUBSTITUTE(Registro!$J130,";",CHAR(10)),CHAR(10),REPT(" ",LEN(Registro!$J130))),({1,2,3,4,5,6,7,8,9,10,11,12,13,14,15,16,17,18,19,20,21,22,23,24,25,26,27,28,29,30}-1)*LEN(Registro!$J130)+1,LEN(Registro!$J130)))," ",REPT(" ",50)),50)))),"Revisar formato"))</f>
        <v/>
      </c>
      <c r="M130" s="11" t="str">
        <f>IF(AND(Registro!$H130="",Registro!$I130=""),"",IF(AND(ISTEXT(K130),K130&lt;&gt;""),"Revisar formato",N(Registro!$H130)-N(K130)))</f>
        <v/>
      </c>
      <c r="N130" s="11" t="str">
        <f t="shared" ref="N130:N193" si="8">IF(M130="","",IF(OR(M130="Revisar formato",AND(ISTEXT(L130),L130&lt;&gt;"")),"Revisar formato",M130-N(L130)))</f>
        <v/>
      </c>
      <c r="O130" s="15" t="str">
        <f>IF(AND(A130=Consulta!$B$3,C130=Consulta!$H$3),B130*10000+ROW(),"")</f>
        <v/>
      </c>
    </row>
    <row r="131" spans="1:15" x14ac:dyDescent="0.25">
      <c r="A131" s="9" t="str">
        <f>IF(Registro!$A131="","",Registro!$A131)</f>
        <v/>
      </c>
      <c r="B131" s="8" t="str">
        <f>IF(Registro!$B131="","",Registro!$B131)</f>
        <v/>
      </c>
      <c r="C131" s="14" t="str">
        <f t="shared" si="6"/>
        <v/>
      </c>
      <c r="D131" s="10" t="str">
        <f>IF(Registro!$E131="","",IF(ISERROR(FIND("x",LOWER(Registro!$E131))),"-",IFERROR(SUMPRODUCT(--("0"&amp;LEFT(TRIM(MID(SUBSTITUTE(SUBSTITUTE(SUBSTITUTE(SUBSTITUTE(SUBSTITUTE(LOWER(Registro!$E131),"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",LEN(Registro!$E131))),({1,2,3,4,5,6,7,8,9,10,11,12,13,14,15,16,17,18,19,20,21,22,23,24,25,26,27,28,29,30}-1)*LEN(Registro!$E131)+1,LEN(Registro!$E131)))&amp;"x")-1))),"Revisar formato")))</f>
        <v/>
      </c>
      <c r="E131" s="11" t="str">
        <f>IF(Registro!$E131="","",IF(ISERROR(FIND("x",LOWER(Registro!$E131))),"-",IFERROR(SUMPRODUCT(--("0"&amp;LEFT(TRIM(MID(SUBSTITUTE(SUBSTITUTE(SUBSTITUTE(SUBSTITUTE(SUBSTITUTE(LOWER(Registro!$E131),"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",LEN(Registro!$E131))),({1,2,3,4,5,6,7,8,9,10,11,12,13,14,15,16,17,18,19,20,21,22,23,24,25,26,27,28,29,30}-1)*LEN(Registro!$E131)+1,LEN(Registro!$E131)))&amp;"x")-1)),--("0"&amp;MID(TRIM(MID(SUBSTITUTE(SUBSTITUTE(SUBSTITUTE(SUBSTITUTE(SUBSTITUTE(LOWER(Registro!$E131),"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",LEN(Registro!$E131))),({1,2,3,4,5,6,7,8,9,10,11,12,13,14,15,16,17,18,19,20,21,22,23,24,25,26,27,28,29,30}-1)*LEN(Registro!$E131)+1,LEN(Registro!$E131)))&amp;"x")+1,20))),"Revisar formato")))</f>
        <v/>
      </c>
      <c r="F131" s="11" t="str">
        <f>IF(Registro!$F131="","",N(Registro!$F131))</f>
        <v/>
      </c>
      <c r="G131" s="11" t="str">
        <f t="shared" si="7"/>
        <v/>
      </c>
      <c r="H131" s="10" t="str">
        <f>IF(Registro!$G131="","",IF(ISERROR(FIND("x",LOWER(Registro!$G131))),"-",IFERROR(SUMPRODUCT(--("0"&amp;LEFT(TRIM(MID(SUBSTITUTE(SUBSTITUTE(SUBSTITUTE(SUBSTITUTE(SUBSTITUTE(LOWER(Registro!$G131),"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",LEN(Registro!$G131))),({1,2,3,4,5,6,7,8,9,10,11,12,13,14,15,16,17,18,19,20,21,22,23,24,25,26,27,28,29,30}-1)*LEN(Registro!$G131)+1,LEN(Registro!$G131))),FIND("x",TRIM(MID(SUBSTITUTE(SUBSTITUTE(SUBSTITUTE(SUBSTITUTE(SUBSTITUTE(LOWER(Registro!$G131),"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",LEN(Registro!$G131))),({1,2,3,4,5,6,7,8,9,10,11,12,13,14,15,16,17,18,19,20,21,22,23,24,25,26,27,28,29,30}-1)*LEN(Registro!$G131)+1,LEN(Registro!$G131)))&amp;"x")-1))),"Revisar formato")))</f>
        <v/>
      </c>
      <c r="I131" s="11" t="str">
        <f>IF(Registro!$G131="","",IF(ISERROR(FIND("x",LOWER(Registro!$G131))),N(Registro!$H131),IFERROR(SUMPRODUCT(--("0"&amp;LEFT(TRIM(MID(SUBSTITUTE(SUBSTITUTE(SUBSTITUTE(SUBSTITUTE(SUBSTITUTE(LOWER(Registro!$G131),"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",LEN(Registro!$G131))),({1,2,3,4,5,6,7,8,9,10,11,12,13,14,15,16,17,18,19,20,21,22,23,24,25,26,27,28,29,30}-1)*LEN(Registro!$G131)+1,LEN(Registro!$G131))),FIND("x",TRIM(MID(SUBSTITUTE(SUBSTITUTE(SUBSTITUTE(SUBSTITUTE(SUBSTITUTE(LOWER(Registro!$G131),"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",LEN(Registro!$G131))),({1,2,3,4,5,6,7,8,9,10,11,12,13,14,15,16,17,18,19,20,21,22,23,24,25,26,27,28,29,30}-1)*LEN(Registro!$G131)+1,LEN(Registro!$G131)))&amp;"x")-1)),--("0"&amp;MID(TRIM(MID(SUBSTITUTE(SUBSTITUTE(SUBSTITUTE(SUBSTITUTE(SUBSTITUTE(LOWER(Registro!$G131),"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",LEN(Registro!$G131))),({1,2,3,4,5,6,7,8,9,10,11,12,13,14,15,16,17,18,19,20,21,22,23,24,25,26,27,28,29,30}-1)*LEN(Registro!$G131)+1,LEN(Registro!$G131))),FIND("x",TRIM(MID(SUBSTITUTE(SUBSTITUTE(SUBSTITUTE(SUBSTITUTE(SUBSTITUTE(LOWER(Registro!$G131),"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",LEN(Registro!$G131))),({1,2,3,4,5,6,7,8,9,10,11,12,13,14,15,16,17,18,19,20,21,22,23,24,25,26,27,28,29,30}-1)*LEN(Registro!$G131)+1,LEN(Registro!$G131)))&amp;"x")+1,20))),"Revisar formato")))</f>
        <v/>
      </c>
      <c r="J131" s="9" t="str">
        <f>IF(AND(Registro!$E131="",Registro!$G131=""),"",IF(NOT(AND(ISNUMBER(I131),ISNUMBER(Registro!$H131))),"",IF(I131&lt;Registro!$H131,"FALTA BOLETOS",IF(I131=Registro!$H131,"CONFORME","DIFERENCIA"))))</f>
        <v/>
      </c>
      <c r="K131" s="11" t="str">
        <f>IF(Registro!$I131="","",IFERROR(SUMPRODUCT(--("0"&amp;TRIM(RIGHT(SUBSTITUTE(TRIM(MID(SUBSTITUTE(SUBSTITUTE(Registro!$I131,";",CHAR(10)),CHAR(10),REPT(" ",LEN(Registro!$I131))),({1,2,3,4,5,6,7,8,9,10,11,12,13,14,15,16,17,18,19,20,21,22,23,24,25,26,27,28,29,30}-1)*LEN(Registro!$I131)+1,LEN(Registro!$I131)))," ",REPT(" ",50)),50)))),"Revisar formato"))</f>
        <v/>
      </c>
      <c r="L131" s="11" t="str">
        <f>IF(Registro!$J131="","",IFERROR(SUMPRODUCT(--("0"&amp;TRIM(RIGHT(SUBSTITUTE(TRIM(MID(SUBSTITUTE(SUBSTITUTE(Registro!$J131,";",CHAR(10)),CHAR(10),REPT(" ",LEN(Registro!$J131))),({1,2,3,4,5,6,7,8,9,10,11,12,13,14,15,16,17,18,19,20,21,22,23,24,25,26,27,28,29,30}-1)*LEN(Registro!$J131)+1,LEN(Registro!$J131)))," ",REPT(" ",50)),50)))),"Revisar formato"))</f>
        <v/>
      </c>
      <c r="M131" s="11" t="str">
        <f>IF(AND(Registro!$H131="",Registro!$I131=""),"",IF(AND(ISTEXT(K131),K131&lt;&gt;""),"Revisar formato",N(Registro!$H131)-N(K131)))</f>
        <v/>
      </c>
      <c r="N131" s="11" t="str">
        <f t="shared" si="8"/>
        <v/>
      </c>
      <c r="O131" s="15" t="str">
        <f>IF(AND(A131=Consulta!$B$3,C131=Consulta!$H$3),B131*10000+ROW(),"")</f>
        <v/>
      </c>
    </row>
    <row r="132" spans="1:15" x14ac:dyDescent="0.25">
      <c r="A132" s="9" t="str">
        <f>IF(Registro!$A132="","",Registro!$A132)</f>
        <v/>
      </c>
      <c r="B132" s="8" t="str">
        <f>IF(Registro!$B132="","",Registro!$B132)</f>
        <v/>
      </c>
      <c r="C132" s="14" t="str">
        <f t="shared" si="6"/>
        <v/>
      </c>
      <c r="D132" s="10" t="str">
        <f>IF(Registro!$E132="","",IF(ISERROR(FIND("x",LOWER(Registro!$E132))),"-",IFERROR(SUMPRODUCT(--("0"&amp;LEFT(TRIM(MID(SUBSTITUTE(SUBSTITUTE(SUBSTITUTE(SUBSTITUTE(SUBSTITUTE(LOWER(Registro!$E132),"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",LEN(Registro!$E132))),({1,2,3,4,5,6,7,8,9,10,11,12,13,14,15,16,17,18,19,20,21,22,23,24,25,26,27,28,29,30}-1)*LEN(Registro!$E132)+1,LEN(Registro!$E132)))&amp;"x")-1))),"Revisar formato")))</f>
        <v/>
      </c>
      <c r="E132" s="11" t="str">
        <f>IF(Registro!$E132="","",IF(ISERROR(FIND("x",LOWER(Registro!$E132))),"-",IFERROR(SUMPRODUCT(--("0"&amp;LEFT(TRIM(MID(SUBSTITUTE(SUBSTITUTE(SUBSTITUTE(SUBSTITUTE(SUBSTITUTE(LOWER(Registro!$E132),"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",LEN(Registro!$E132))),({1,2,3,4,5,6,7,8,9,10,11,12,13,14,15,16,17,18,19,20,21,22,23,24,25,26,27,28,29,30}-1)*LEN(Registro!$E132)+1,LEN(Registro!$E132)))&amp;"x")-1)),--("0"&amp;MID(TRIM(MID(SUBSTITUTE(SUBSTITUTE(SUBSTITUTE(SUBSTITUTE(SUBSTITUTE(LOWER(Registro!$E132),"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",LEN(Registro!$E132))),({1,2,3,4,5,6,7,8,9,10,11,12,13,14,15,16,17,18,19,20,21,22,23,24,25,26,27,28,29,30}-1)*LEN(Registro!$E132)+1,LEN(Registro!$E132)))&amp;"x")+1,20))),"Revisar formato")))</f>
        <v/>
      </c>
      <c r="F132" s="11" t="str">
        <f>IF(Registro!$F132="","",N(Registro!$F132))</f>
        <v/>
      </c>
      <c r="G132" s="11" t="str">
        <f t="shared" si="7"/>
        <v/>
      </c>
      <c r="H132" s="10" t="str">
        <f>IF(Registro!$G132="","",IF(ISERROR(FIND("x",LOWER(Registro!$G132))),"-",IFERROR(SUMPRODUCT(--("0"&amp;LEFT(TRIM(MID(SUBSTITUTE(SUBSTITUTE(SUBSTITUTE(SUBSTITUTE(SUBSTITUTE(LOWER(Registro!$G132),"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",LEN(Registro!$G132))),({1,2,3,4,5,6,7,8,9,10,11,12,13,14,15,16,17,18,19,20,21,22,23,24,25,26,27,28,29,30}-1)*LEN(Registro!$G132)+1,LEN(Registro!$G132))),FIND("x",TRIM(MID(SUBSTITUTE(SUBSTITUTE(SUBSTITUTE(SUBSTITUTE(SUBSTITUTE(LOWER(Registro!$G132),"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",LEN(Registro!$G132))),({1,2,3,4,5,6,7,8,9,10,11,12,13,14,15,16,17,18,19,20,21,22,23,24,25,26,27,28,29,30}-1)*LEN(Registro!$G132)+1,LEN(Registro!$G132)))&amp;"x")-1))),"Revisar formato")))</f>
        <v/>
      </c>
      <c r="I132" s="11" t="str">
        <f>IF(Registro!$G132="","",IF(ISERROR(FIND("x",LOWER(Registro!$G132))),N(Registro!$H132),IFERROR(SUMPRODUCT(--("0"&amp;LEFT(TRIM(MID(SUBSTITUTE(SUBSTITUTE(SUBSTITUTE(SUBSTITUTE(SUBSTITUTE(LOWER(Registro!$G132),"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",LEN(Registro!$G132))),({1,2,3,4,5,6,7,8,9,10,11,12,13,14,15,16,17,18,19,20,21,22,23,24,25,26,27,28,29,30}-1)*LEN(Registro!$G132)+1,LEN(Registro!$G132))),FIND("x",TRIM(MID(SUBSTITUTE(SUBSTITUTE(SUBSTITUTE(SUBSTITUTE(SUBSTITUTE(LOWER(Registro!$G132),"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",LEN(Registro!$G132))),({1,2,3,4,5,6,7,8,9,10,11,12,13,14,15,16,17,18,19,20,21,22,23,24,25,26,27,28,29,30}-1)*LEN(Registro!$G132)+1,LEN(Registro!$G132)))&amp;"x")-1)),--("0"&amp;MID(TRIM(MID(SUBSTITUTE(SUBSTITUTE(SUBSTITUTE(SUBSTITUTE(SUBSTITUTE(LOWER(Registro!$G132),"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",LEN(Registro!$G132))),({1,2,3,4,5,6,7,8,9,10,11,12,13,14,15,16,17,18,19,20,21,22,23,24,25,26,27,28,29,30}-1)*LEN(Registro!$G132)+1,LEN(Registro!$G132))),FIND("x",TRIM(MID(SUBSTITUTE(SUBSTITUTE(SUBSTITUTE(SUBSTITUTE(SUBSTITUTE(LOWER(Registro!$G132),"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",LEN(Registro!$G132))),({1,2,3,4,5,6,7,8,9,10,11,12,13,14,15,16,17,18,19,20,21,22,23,24,25,26,27,28,29,30}-1)*LEN(Registro!$G132)+1,LEN(Registro!$G132)))&amp;"x")+1,20))),"Revisar formato")))</f>
        <v/>
      </c>
      <c r="J132" s="9" t="str">
        <f>IF(AND(Registro!$E132="",Registro!$G132=""),"",IF(NOT(AND(ISNUMBER(I132),ISNUMBER(Registro!$H132))),"",IF(I132&lt;Registro!$H132,"FALTA BOLETOS",IF(I132=Registro!$H132,"CONFORME","DIFERENCIA"))))</f>
        <v/>
      </c>
      <c r="K132" s="11" t="str">
        <f>IF(Registro!$I132="","",IFERROR(SUMPRODUCT(--("0"&amp;TRIM(RIGHT(SUBSTITUTE(TRIM(MID(SUBSTITUTE(SUBSTITUTE(Registro!$I132,";",CHAR(10)),CHAR(10),REPT(" ",LEN(Registro!$I132))),({1,2,3,4,5,6,7,8,9,10,11,12,13,14,15,16,17,18,19,20,21,22,23,24,25,26,27,28,29,30}-1)*LEN(Registro!$I132)+1,LEN(Registro!$I132)))," ",REPT(" ",50)),50)))),"Revisar formato"))</f>
        <v/>
      </c>
      <c r="L132" s="11" t="str">
        <f>IF(Registro!$J132="","",IFERROR(SUMPRODUCT(--("0"&amp;TRIM(RIGHT(SUBSTITUTE(TRIM(MID(SUBSTITUTE(SUBSTITUTE(Registro!$J132,";",CHAR(10)),CHAR(10),REPT(" ",LEN(Registro!$J132))),({1,2,3,4,5,6,7,8,9,10,11,12,13,14,15,16,17,18,19,20,21,22,23,24,25,26,27,28,29,30}-1)*LEN(Registro!$J132)+1,LEN(Registro!$J132)))," ",REPT(" ",50)),50)))),"Revisar formato"))</f>
        <v/>
      </c>
      <c r="M132" s="11" t="str">
        <f>IF(AND(Registro!$H132="",Registro!$I132=""),"",IF(AND(ISTEXT(K132),K132&lt;&gt;""),"Revisar formato",N(Registro!$H132)-N(K132)))</f>
        <v/>
      </c>
      <c r="N132" s="11" t="str">
        <f t="shared" si="8"/>
        <v/>
      </c>
      <c r="O132" s="15" t="str">
        <f>IF(AND(A132=Consulta!$B$3,C132=Consulta!$H$3),B132*10000+ROW(),"")</f>
        <v/>
      </c>
    </row>
    <row r="133" spans="1:15" x14ac:dyDescent="0.25">
      <c r="A133" s="9" t="str">
        <f>IF(Registro!$A133="","",Registro!$A133)</f>
        <v/>
      </c>
      <c r="B133" s="8" t="str">
        <f>IF(Registro!$B133="","",Registro!$B133)</f>
        <v/>
      </c>
      <c r="C133" s="14" t="str">
        <f t="shared" si="6"/>
        <v/>
      </c>
      <c r="D133" s="10" t="str">
        <f>IF(Registro!$E133="","",IF(ISERROR(FIND("x",LOWER(Registro!$E133))),"-",IFERROR(SUMPRODUCT(--("0"&amp;LEFT(TRIM(MID(SUBSTITUTE(SUBSTITUTE(SUBSTITUTE(SUBSTITUTE(SUBSTITUTE(LOWER(Registro!$E133),"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",LEN(Registro!$E133))),({1,2,3,4,5,6,7,8,9,10,11,12,13,14,15,16,17,18,19,20,21,22,23,24,25,26,27,28,29,30}-1)*LEN(Registro!$E133)+1,LEN(Registro!$E133)))&amp;"x")-1))),"Revisar formato")))</f>
        <v/>
      </c>
      <c r="E133" s="11" t="str">
        <f>IF(Registro!$E133="","",IF(ISERROR(FIND("x",LOWER(Registro!$E133))),"-",IFERROR(SUMPRODUCT(--("0"&amp;LEFT(TRIM(MID(SUBSTITUTE(SUBSTITUTE(SUBSTITUTE(SUBSTITUTE(SUBSTITUTE(LOWER(Registro!$E133),"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",LEN(Registro!$E133))),({1,2,3,4,5,6,7,8,9,10,11,12,13,14,15,16,17,18,19,20,21,22,23,24,25,26,27,28,29,30}-1)*LEN(Registro!$E133)+1,LEN(Registro!$E133)))&amp;"x")-1)),--("0"&amp;MID(TRIM(MID(SUBSTITUTE(SUBSTITUTE(SUBSTITUTE(SUBSTITUTE(SUBSTITUTE(LOWER(Registro!$E133),"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",LEN(Registro!$E133))),({1,2,3,4,5,6,7,8,9,10,11,12,13,14,15,16,17,18,19,20,21,22,23,24,25,26,27,28,29,30}-1)*LEN(Registro!$E133)+1,LEN(Registro!$E133)))&amp;"x")+1,20))),"Revisar formato")))</f>
        <v/>
      </c>
      <c r="F133" s="11" t="str">
        <f>IF(Registro!$F133="","",N(Registro!$F133))</f>
        <v/>
      </c>
      <c r="G133" s="11" t="str">
        <f t="shared" si="7"/>
        <v/>
      </c>
      <c r="H133" s="10" t="str">
        <f>IF(Registro!$G133="","",IF(ISERROR(FIND("x",LOWER(Registro!$G133))),"-",IFERROR(SUMPRODUCT(--("0"&amp;LEFT(TRIM(MID(SUBSTITUTE(SUBSTITUTE(SUBSTITUTE(SUBSTITUTE(SUBSTITUTE(LOWER(Registro!$G133),"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",LEN(Registro!$G133))),({1,2,3,4,5,6,7,8,9,10,11,12,13,14,15,16,17,18,19,20,21,22,23,24,25,26,27,28,29,30}-1)*LEN(Registro!$G133)+1,LEN(Registro!$G133))),FIND("x",TRIM(MID(SUBSTITUTE(SUBSTITUTE(SUBSTITUTE(SUBSTITUTE(SUBSTITUTE(LOWER(Registro!$G133),"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",LEN(Registro!$G133))),({1,2,3,4,5,6,7,8,9,10,11,12,13,14,15,16,17,18,19,20,21,22,23,24,25,26,27,28,29,30}-1)*LEN(Registro!$G133)+1,LEN(Registro!$G133)))&amp;"x")-1))),"Revisar formato")))</f>
        <v/>
      </c>
      <c r="I133" s="11" t="str">
        <f>IF(Registro!$G133="","",IF(ISERROR(FIND("x",LOWER(Registro!$G133))),N(Registro!$H133),IFERROR(SUMPRODUCT(--("0"&amp;LEFT(TRIM(MID(SUBSTITUTE(SUBSTITUTE(SUBSTITUTE(SUBSTITUTE(SUBSTITUTE(LOWER(Registro!$G133),"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",LEN(Registro!$G133))),({1,2,3,4,5,6,7,8,9,10,11,12,13,14,15,16,17,18,19,20,21,22,23,24,25,26,27,28,29,30}-1)*LEN(Registro!$G133)+1,LEN(Registro!$G133))),FIND("x",TRIM(MID(SUBSTITUTE(SUBSTITUTE(SUBSTITUTE(SUBSTITUTE(SUBSTITUTE(LOWER(Registro!$G133),"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",LEN(Registro!$G133))),({1,2,3,4,5,6,7,8,9,10,11,12,13,14,15,16,17,18,19,20,21,22,23,24,25,26,27,28,29,30}-1)*LEN(Registro!$G133)+1,LEN(Registro!$G133)))&amp;"x")-1)),--("0"&amp;MID(TRIM(MID(SUBSTITUTE(SUBSTITUTE(SUBSTITUTE(SUBSTITUTE(SUBSTITUTE(LOWER(Registro!$G133),"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",LEN(Registro!$G133))),({1,2,3,4,5,6,7,8,9,10,11,12,13,14,15,16,17,18,19,20,21,22,23,24,25,26,27,28,29,30}-1)*LEN(Registro!$G133)+1,LEN(Registro!$G133))),FIND("x",TRIM(MID(SUBSTITUTE(SUBSTITUTE(SUBSTITUTE(SUBSTITUTE(SUBSTITUTE(LOWER(Registro!$G133),"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",LEN(Registro!$G133))),({1,2,3,4,5,6,7,8,9,10,11,12,13,14,15,16,17,18,19,20,21,22,23,24,25,26,27,28,29,30}-1)*LEN(Registro!$G133)+1,LEN(Registro!$G133)))&amp;"x")+1,20))),"Revisar formato")))</f>
        <v/>
      </c>
      <c r="J133" s="9" t="str">
        <f>IF(AND(Registro!$E133="",Registro!$G133=""),"",IF(NOT(AND(ISNUMBER(I133),ISNUMBER(Registro!$H133))),"",IF(I133&lt;Registro!$H133,"FALTA BOLETOS",IF(I133=Registro!$H133,"CONFORME","DIFERENCIA"))))</f>
        <v/>
      </c>
      <c r="K133" s="11" t="str">
        <f>IF(Registro!$I133="","",IFERROR(SUMPRODUCT(--("0"&amp;TRIM(RIGHT(SUBSTITUTE(TRIM(MID(SUBSTITUTE(SUBSTITUTE(Registro!$I133,";",CHAR(10)),CHAR(10),REPT(" ",LEN(Registro!$I133))),({1,2,3,4,5,6,7,8,9,10,11,12,13,14,15,16,17,18,19,20,21,22,23,24,25,26,27,28,29,30}-1)*LEN(Registro!$I133)+1,LEN(Registro!$I133)))," ",REPT(" ",50)),50)))),"Revisar formato"))</f>
        <v/>
      </c>
      <c r="L133" s="11" t="str">
        <f>IF(Registro!$J133="","",IFERROR(SUMPRODUCT(--("0"&amp;TRIM(RIGHT(SUBSTITUTE(TRIM(MID(SUBSTITUTE(SUBSTITUTE(Registro!$J133,";",CHAR(10)),CHAR(10),REPT(" ",LEN(Registro!$J133))),({1,2,3,4,5,6,7,8,9,10,11,12,13,14,15,16,17,18,19,20,21,22,23,24,25,26,27,28,29,30}-1)*LEN(Registro!$J133)+1,LEN(Registro!$J133)))," ",REPT(" ",50)),50)))),"Revisar formato"))</f>
        <v/>
      </c>
      <c r="M133" s="11" t="str">
        <f>IF(AND(Registro!$H133="",Registro!$I133=""),"",IF(AND(ISTEXT(K133),K133&lt;&gt;""),"Revisar formato",N(Registro!$H133)-N(K133)))</f>
        <v/>
      </c>
      <c r="N133" s="11" t="str">
        <f t="shared" si="8"/>
        <v/>
      </c>
      <c r="O133" s="15" t="str">
        <f>IF(AND(A133=Consulta!$B$3,C133=Consulta!$H$3),B133*10000+ROW(),"")</f>
        <v/>
      </c>
    </row>
    <row r="134" spans="1:15" x14ac:dyDescent="0.25">
      <c r="A134" s="9" t="str">
        <f>IF(Registro!$A134="","",Registro!$A134)</f>
        <v/>
      </c>
      <c r="B134" s="8" t="str">
        <f>IF(Registro!$B134="","",Registro!$B134)</f>
        <v/>
      </c>
      <c r="C134" s="14" t="str">
        <f t="shared" si="6"/>
        <v/>
      </c>
      <c r="D134" s="10" t="str">
        <f>IF(Registro!$E134="","",IF(ISERROR(FIND("x",LOWER(Registro!$E134))),"-",IFERROR(SUMPRODUCT(--("0"&amp;LEFT(TRIM(MID(SUBSTITUTE(SUBSTITUTE(SUBSTITUTE(SUBSTITUTE(SUBSTITUTE(LOWER(Registro!$E134),"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",LEN(Registro!$E134))),({1,2,3,4,5,6,7,8,9,10,11,12,13,14,15,16,17,18,19,20,21,22,23,24,25,26,27,28,29,30}-1)*LEN(Registro!$E134)+1,LEN(Registro!$E134)))&amp;"x")-1))),"Revisar formato")))</f>
        <v/>
      </c>
      <c r="E134" s="11" t="str">
        <f>IF(Registro!$E134="","",IF(ISERROR(FIND("x",LOWER(Registro!$E134))),"-",IFERROR(SUMPRODUCT(--("0"&amp;LEFT(TRIM(MID(SUBSTITUTE(SUBSTITUTE(SUBSTITUTE(SUBSTITUTE(SUBSTITUTE(LOWER(Registro!$E134),"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",LEN(Registro!$E134))),({1,2,3,4,5,6,7,8,9,10,11,12,13,14,15,16,17,18,19,20,21,22,23,24,25,26,27,28,29,30}-1)*LEN(Registro!$E134)+1,LEN(Registro!$E134)))&amp;"x")-1)),--("0"&amp;MID(TRIM(MID(SUBSTITUTE(SUBSTITUTE(SUBSTITUTE(SUBSTITUTE(SUBSTITUTE(LOWER(Registro!$E134),"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",LEN(Registro!$E134))),({1,2,3,4,5,6,7,8,9,10,11,12,13,14,15,16,17,18,19,20,21,22,23,24,25,26,27,28,29,30}-1)*LEN(Registro!$E134)+1,LEN(Registro!$E134)))&amp;"x")+1,20))),"Revisar formato")))</f>
        <v/>
      </c>
      <c r="F134" s="11" t="str">
        <f>IF(Registro!$F134="","",N(Registro!$F134))</f>
        <v/>
      </c>
      <c r="G134" s="11" t="str">
        <f t="shared" si="7"/>
        <v/>
      </c>
      <c r="H134" s="10" t="str">
        <f>IF(Registro!$G134="","",IF(ISERROR(FIND("x",LOWER(Registro!$G134))),"-",IFERROR(SUMPRODUCT(--("0"&amp;LEFT(TRIM(MID(SUBSTITUTE(SUBSTITUTE(SUBSTITUTE(SUBSTITUTE(SUBSTITUTE(LOWER(Registro!$G134),"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",LEN(Registro!$G134))),({1,2,3,4,5,6,7,8,9,10,11,12,13,14,15,16,17,18,19,20,21,22,23,24,25,26,27,28,29,30}-1)*LEN(Registro!$G134)+1,LEN(Registro!$G134))),FIND("x",TRIM(MID(SUBSTITUTE(SUBSTITUTE(SUBSTITUTE(SUBSTITUTE(SUBSTITUTE(LOWER(Registro!$G134),"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",LEN(Registro!$G134))),({1,2,3,4,5,6,7,8,9,10,11,12,13,14,15,16,17,18,19,20,21,22,23,24,25,26,27,28,29,30}-1)*LEN(Registro!$G134)+1,LEN(Registro!$G134)))&amp;"x")-1))),"Revisar formato")))</f>
        <v/>
      </c>
      <c r="I134" s="11" t="str">
        <f>IF(Registro!$G134="","",IF(ISERROR(FIND("x",LOWER(Registro!$G134))),N(Registro!$H134),IFERROR(SUMPRODUCT(--("0"&amp;LEFT(TRIM(MID(SUBSTITUTE(SUBSTITUTE(SUBSTITUTE(SUBSTITUTE(SUBSTITUTE(LOWER(Registro!$G134),"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",LEN(Registro!$G134))),({1,2,3,4,5,6,7,8,9,10,11,12,13,14,15,16,17,18,19,20,21,22,23,24,25,26,27,28,29,30}-1)*LEN(Registro!$G134)+1,LEN(Registro!$G134))),FIND("x",TRIM(MID(SUBSTITUTE(SUBSTITUTE(SUBSTITUTE(SUBSTITUTE(SUBSTITUTE(LOWER(Registro!$G134),"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",LEN(Registro!$G134))),({1,2,3,4,5,6,7,8,9,10,11,12,13,14,15,16,17,18,19,20,21,22,23,24,25,26,27,28,29,30}-1)*LEN(Registro!$G134)+1,LEN(Registro!$G134)))&amp;"x")-1)),--("0"&amp;MID(TRIM(MID(SUBSTITUTE(SUBSTITUTE(SUBSTITUTE(SUBSTITUTE(SUBSTITUTE(LOWER(Registro!$G134),"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",LEN(Registro!$G134))),({1,2,3,4,5,6,7,8,9,10,11,12,13,14,15,16,17,18,19,20,21,22,23,24,25,26,27,28,29,30}-1)*LEN(Registro!$G134)+1,LEN(Registro!$G134))),FIND("x",TRIM(MID(SUBSTITUTE(SUBSTITUTE(SUBSTITUTE(SUBSTITUTE(SUBSTITUTE(LOWER(Registro!$G134),"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",LEN(Registro!$G134))),({1,2,3,4,5,6,7,8,9,10,11,12,13,14,15,16,17,18,19,20,21,22,23,24,25,26,27,28,29,30}-1)*LEN(Registro!$G134)+1,LEN(Registro!$G134)))&amp;"x")+1,20))),"Revisar formato")))</f>
        <v/>
      </c>
      <c r="J134" s="9" t="str">
        <f>IF(AND(Registro!$E134="",Registro!$G134=""),"",IF(NOT(AND(ISNUMBER(I134),ISNUMBER(Registro!$H134))),"",IF(I134&lt;Registro!$H134,"FALTA BOLETOS",IF(I134=Registro!$H134,"CONFORME","DIFERENCIA"))))</f>
        <v/>
      </c>
      <c r="K134" s="11" t="str">
        <f>IF(Registro!$I134="","",IFERROR(SUMPRODUCT(--("0"&amp;TRIM(RIGHT(SUBSTITUTE(TRIM(MID(SUBSTITUTE(SUBSTITUTE(Registro!$I134,";",CHAR(10)),CHAR(10),REPT(" ",LEN(Registro!$I134))),({1,2,3,4,5,6,7,8,9,10,11,12,13,14,15,16,17,18,19,20,21,22,23,24,25,26,27,28,29,30}-1)*LEN(Registro!$I134)+1,LEN(Registro!$I134)))," ",REPT(" ",50)),50)))),"Revisar formato"))</f>
        <v/>
      </c>
      <c r="L134" s="11" t="str">
        <f>IF(Registro!$J134="","",IFERROR(SUMPRODUCT(--("0"&amp;TRIM(RIGHT(SUBSTITUTE(TRIM(MID(SUBSTITUTE(SUBSTITUTE(Registro!$J134,";",CHAR(10)),CHAR(10),REPT(" ",LEN(Registro!$J134))),({1,2,3,4,5,6,7,8,9,10,11,12,13,14,15,16,17,18,19,20,21,22,23,24,25,26,27,28,29,30}-1)*LEN(Registro!$J134)+1,LEN(Registro!$J134)))," ",REPT(" ",50)),50)))),"Revisar formato"))</f>
        <v/>
      </c>
      <c r="M134" s="11" t="str">
        <f>IF(AND(Registro!$H134="",Registro!$I134=""),"",IF(AND(ISTEXT(K134),K134&lt;&gt;""),"Revisar formato",N(Registro!$H134)-N(K134)))</f>
        <v/>
      </c>
      <c r="N134" s="11" t="str">
        <f t="shared" si="8"/>
        <v/>
      </c>
      <c r="O134" s="15" t="str">
        <f>IF(AND(A134=Consulta!$B$3,C134=Consulta!$H$3),B134*10000+ROW(),"")</f>
        <v/>
      </c>
    </row>
    <row r="135" spans="1:15" x14ac:dyDescent="0.25">
      <c r="A135" s="9" t="str">
        <f>IF(Registro!$A135="","",Registro!$A135)</f>
        <v/>
      </c>
      <c r="B135" s="8" t="str">
        <f>IF(Registro!$B135="","",Registro!$B135)</f>
        <v/>
      </c>
      <c r="C135" s="14" t="str">
        <f t="shared" si="6"/>
        <v/>
      </c>
      <c r="D135" s="10" t="str">
        <f>IF(Registro!$E135="","",IF(ISERROR(FIND("x",LOWER(Registro!$E135))),"-",IFERROR(SUMPRODUCT(--("0"&amp;LEFT(TRIM(MID(SUBSTITUTE(SUBSTITUTE(SUBSTITUTE(SUBSTITUTE(SUBSTITUTE(LOWER(Registro!$E135),"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",LEN(Registro!$E135))),({1,2,3,4,5,6,7,8,9,10,11,12,13,14,15,16,17,18,19,20,21,22,23,24,25,26,27,28,29,30}-1)*LEN(Registro!$E135)+1,LEN(Registro!$E135)))&amp;"x")-1))),"Revisar formato")))</f>
        <v/>
      </c>
      <c r="E135" s="11" t="str">
        <f>IF(Registro!$E135="","",IF(ISERROR(FIND("x",LOWER(Registro!$E135))),"-",IFERROR(SUMPRODUCT(--("0"&amp;LEFT(TRIM(MID(SUBSTITUTE(SUBSTITUTE(SUBSTITUTE(SUBSTITUTE(SUBSTITUTE(LOWER(Registro!$E135),"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",LEN(Registro!$E135))),({1,2,3,4,5,6,7,8,9,10,11,12,13,14,15,16,17,18,19,20,21,22,23,24,25,26,27,28,29,30}-1)*LEN(Registro!$E135)+1,LEN(Registro!$E135)))&amp;"x")-1)),--("0"&amp;MID(TRIM(MID(SUBSTITUTE(SUBSTITUTE(SUBSTITUTE(SUBSTITUTE(SUBSTITUTE(LOWER(Registro!$E135),"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",LEN(Registro!$E135))),({1,2,3,4,5,6,7,8,9,10,11,12,13,14,15,16,17,18,19,20,21,22,23,24,25,26,27,28,29,30}-1)*LEN(Registro!$E135)+1,LEN(Registro!$E135)))&amp;"x")+1,20))),"Revisar formato")))</f>
        <v/>
      </c>
      <c r="F135" s="11" t="str">
        <f>IF(Registro!$F135="","",N(Registro!$F135))</f>
        <v/>
      </c>
      <c r="G135" s="11" t="str">
        <f t="shared" si="7"/>
        <v/>
      </c>
      <c r="H135" s="10" t="str">
        <f>IF(Registro!$G135="","",IF(ISERROR(FIND("x",LOWER(Registro!$G135))),"-",IFERROR(SUMPRODUCT(--("0"&amp;LEFT(TRIM(MID(SUBSTITUTE(SUBSTITUTE(SUBSTITUTE(SUBSTITUTE(SUBSTITUTE(LOWER(Registro!$G135),"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",LEN(Registro!$G135))),({1,2,3,4,5,6,7,8,9,10,11,12,13,14,15,16,17,18,19,20,21,22,23,24,25,26,27,28,29,30}-1)*LEN(Registro!$G135)+1,LEN(Registro!$G135))),FIND("x",TRIM(MID(SUBSTITUTE(SUBSTITUTE(SUBSTITUTE(SUBSTITUTE(SUBSTITUTE(LOWER(Registro!$G135),"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",LEN(Registro!$G135))),({1,2,3,4,5,6,7,8,9,10,11,12,13,14,15,16,17,18,19,20,21,22,23,24,25,26,27,28,29,30}-1)*LEN(Registro!$G135)+1,LEN(Registro!$G135)))&amp;"x")-1))),"Revisar formato")))</f>
        <v/>
      </c>
      <c r="I135" s="11" t="str">
        <f>IF(Registro!$G135="","",IF(ISERROR(FIND("x",LOWER(Registro!$G135))),N(Registro!$H135),IFERROR(SUMPRODUCT(--("0"&amp;LEFT(TRIM(MID(SUBSTITUTE(SUBSTITUTE(SUBSTITUTE(SUBSTITUTE(SUBSTITUTE(LOWER(Registro!$G135),"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",LEN(Registro!$G135))),({1,2,3,4,5,6,7,8,9,10,11,12,13,14,15,16,17,18,19,20,21,22,23,24,25,26,27,28,29,30}-1)*LEN(Registro!$G135)+1,LEN(Registro!$G135))),FIND("x",TRIM(MID(SUBSTITUTE(SUBSTITUTE(SUBSTITUTE(SUBSTITUTE(SUBSTITUTE(LOWER(Registro!$G135),"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",LEN(Registro!$G135))),({1,2,3,4,5,6,7,8,9,10,11,12,13,14,15,16,17,18,19,20,21,22,23,24,25,26,27,28,29,30}-1)*LEN(Registro!$G135)+1,LEN(Registro!$G135)))&amp;"x")-1)),--("0"&amp;MID(TRIM(MID(SUBSTITUTE(SUBSTITUTE(SUBSTITUTE(SUBSTITUTE(SUBSTITUTE(LOWER(Registro!$G135),"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",LEN(Registro!$G135))),({1,2,3,4,5,6,7,8,9,10,11,12,13,14,15,16,17,18,19,20,21,22,23,24,25,26,27,28,29,30}-1)*LEN(Registro!$G135)+1,LEN(Registro!$G135))),FIND("x",TRIM(MID(SUBSTITUTE(SUBSTITUTE(SUBSTITUTE(SUBSTITUTE(SUBSTITUTE(LOWER(Registro!$G135),"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",LEN(Registro!$G135))),({1,2,3,4,5,6,7,8,9,10,11,12,13,14,15,16,17,18,19,20,21,22,23,24,25,26,27,28,29,30}-1)*LEN(Registro!$G135)+1,LEN(Registro!$G135)))&amp;"x")+1,20))),"Revisar formato")))</f>
        <v/>
      </c>
      <c r="J135" s="9" t="str">
        <f>IF(AND(Registro!$E135="",Registro!$G135=""),"",IF(NOT(AND(ISNUMBER(I135),ISNUMBER(Registro!$H135))),"",IF(I135&lt;Registro!$H135,"FALTA BOLETOS",IF(I135=Registro!$H135,"CONFORME","DIFERENCIA"))))</f>
        <v/>
      </c>
      <c r="K135" s="11" t="str">
        <f>IF(Registro!$I135="","",IFERROR(SUMPRODUCT(--("0"&amp;TRIM(RIGHT(SUBSTITUTE(TRIM(MID(SUBSTITUTE(SUBSTITUTE(Registro!$I135,";",CHAR(10)),CHAR(10),REPT(" ",LEN(Registro!$I135))),({1,2,3,4,5,6,7,8,9,10,11,12,13,14,15,16,17,18,19,20,21,22,23,24,25,26,27,28,29,30}-1)*LEN(Registro!$I135)+1,LEN(Registro!$I135)))," ",REPT(" ",50)),50)))),"Revisar formato"))</f>
        <v/>
      </c>
      <c r="L135" s="11" t="str">
        <f>IF(Registro!$J135="","",IFERROR(SUMPRODUCT(--("0"&amp;TRIM(RIGHT(SUBSTITUTE(TRIM(MID(SUBSTITUTE(SUBSTITUTE(Registro!$J135,";",CHAR(10)),CHAR(10),REPT(" ",LEN(Registro!$J135))),({1,2,3,4,5,6,7,8,9,10,11,12,13,14,15,16,17,18,19,20,21,22,23,24,25,26,27,28,29,30}-1)*LEN(Registro!$J135)+1,LEN(Registro!$J135)))," ",REPT(" ",50)),50)))),"Revisar formato"))</f>
        <v/>
      </c>
      <c r="M135" s="11" t="str">
        <f>IF(AND(Registro!$H135="",Registro!$I135=""),"",IF(AND(ISTEXT(K135),K135&lt;&gt;""),"Revisar formato",N(Registro!$H135)-N(K135)))</f>
        <v/>
      </c>
      <c r="N135" s="11" t="str">
        <f t="shared" si="8"/>
        <v/>
      </c>
      <c r="O135" s="15" t="str">
        <f>IF(AND(A135=Consulta!$B$3,C135=Consulta!$H$3),B135*10000+ROW(),"")</f>
        <v/>
      </c>
    </row>
    <row r="136" spans="1:15" x14ac:dyDescent="0.25">
      <c r="A136" s="9" t="str">
        <f>IF(Registro!$A136="","",Registro!$A136)</f>
        <v/>
      </c>
      <c r="B136" s="8" t="str">
        <f>IF(Registro!$B136="","",Registro!$B136)</f>
        <v/>
      </c>
      <c r="C136" s="14" t="str">
        <f t="shared" si="6"/>
        <v/>
      </c>
      <c r="D136" s="10" t="str">
        <f>IF(Registro!$E136="","",IF(ISERROR(FIND("x",LOWER(Registro!$E136))),"-",IFERROR(SUMPRODUCT(--("0"&amp;LEFT(TRIM(MID(SUBSTITUTE(SUBSTITUTE(SUBSTITUTE(SUBSTITUTE(SUBSTITUTE(LOWER(Registro!$E136),"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",LEN(Registro!$E136))),({1,2,3,4,5,6,7,8,9,10,11,12,13,14,15,16,17,18,19,20,21,22,23,24,25,26,27,28,29,30}-1)*LEN(Registro!$E136)+1,LEN(Registro!$E136)))&amp;"x")-1))),"Revisar formato")))</f>
        <v/>
      </c>
      <c r="E136" s="11" t="str">
        <f>IF(Registro!$E136="","",IF(ISERROR(FIND("x",LOWER(Registro!$E136))),"-",IFERROR(SUMPRODUCT(--("0"&amp;LEFT(TRIM(MID(SUBSTITUTE(SUBSTITUTE(SUBSTITUTE(SUBSTITUTE(SUBSTITUTE(LOWER(Registro!$E136),"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",LEN(Registro!$E136))),({1,2,3,4,5,6,7,8,9,10,11,12,13,14,15,16,17,18,19,20,21,22,23,24,25,26,27,28,29,30}-1)*LEN(Registro!$E136)+1,LEN(Registro!$E136)))&amp;"x")-1)),--("0"&amp;MID(TRIM(MID(SUBSTITUTE(SUBSTITUTE(SUBSTITUTE(SUBSTITUTE(SUBSTITUTE(LOWER(Registro!$E136),"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",LEN(Registro!$E136))),({1,2,3,4,5,6,7,8,9,10,11,12,13,14,15,16,17,18,19,20,21,22,23,24,25,26,27,28,29,30}-1)*LEN(Registro!$E136)+1,LEN(Registro!$E136)))&amp;"x")+1,20))),"Revisar formato")))</f>
        <v/>
      </c>
      <c r="F136" s="11" t="str">
        <f>IF(Registro!$F136="","",N(Registro!$F136))</f>
        <v/>
      </c>
      <c r="G136" s="11" t="str">
        <f t="shared" si="7"/>
        <v/>
      </c>
      <c r="H136" s="10" t="str">
        <f>IF(Registro!$G136="","",IF(ISERROR(FIND("x",LOWER(Registro!$G136))),"-",IFERROR(SUMPRODUCT(--("0"&amp;LEFT(TRIM(MID(SUBSTITUTE(SUBSTITUTE(SUBSTITUTE(SUBSTITUTE(SUBSTITUTE(LOWER(Registro!$G136),"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",LEN(Registro!$G136))),({1,2,3,4,5,6,7,8,9,10,11,12,13,14,15,16,17,18,19,20,21,22,23,24,25,26,27,28,29,30}-1)*LEN(Registro!$G136)+1,LEN(Registro!$G136))),FIND("x",TRIM(MID(SUBSTITUTE(SUBSTITUTE(SUBSTITUTE(SUBSTITUTE(SUBSTITUTE(LOWER(Registro!$G136),"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",LEN(Registro!$G136))),({1,2,3,4,5,6,7,8,9,10,11,12,13,14,15,16,17,18,19,20,21,22,23,24,25,26,27,28,29,30}-1)*LEN(Registro!$G136)+1,LEN(Registro!$G136)))&amp;"x")-1))),"Revisar formato")))</f>
        <v/>
      </c>
      <c r="I136" s="11" t="str">
        <f>IF(Registro!$G136="","",IF(ISERROR(FIND("x",LOWER(Registro!$G136))),N(Registro!$H136),IFERROR(SUMPRODUCT(--("0"&amp;LEFT(TRIM(MID(SUBSTITUTE(SUBSTITUTE(SUBSTITUTE(SUBSTITUTE(SUBSTITUTE(LOWER(Registro!$G136),"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",LEN(Registro!$G136))),({1,2,3,4,5,6,7,8,9,10,11,12,13,14,15,16,17,18,19,20,21,22,23,24,25,26,27,28,29,30}-1)*LEN(Registro!$G136)+1,LEN(Registro!$G136))),FIND("x",TRIM(MID(SUBSTITUTE(SUBSTITUTE(SUBSTITUTE(SUBSTITUTE(SUBSTITUTE(LOWER(Registro!$G136),"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",LEN(Registro!$G136))),({1,2,3,4,5,6,7,8,9,10,11,12,13,14,15,16,17,18,19,20,21,22,23,24,25,26,27,28,29,30}-1)*LEN(Registro!$G136)+1,LEN(Registro!$G136)))&amp;"x")-1)),--("0"&amp;MID(TRIM(MID(SUBSTITUTE(SUBSTITUTE(SUBSTITUTE(SUBSTITUTE(SUBSTITUTE(LOWER(Registro!$G136),"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",LEN(Registro!$G136))),({1,2,3,4,5,6,7,8,9,10,11,12,13,14,15,16,17,18,19,20,21,22,23,24,25,26,27,28,29,30}-1)*LEN(Registro!$G136)+1,LEN(Registro!$G136))),FIND("x",TRIM(MID(SUBSTITUTE(SUBSTITUTE(SUBSTITUTE(SUBSTITUTE(SUBSTITUTE(LOWER(Registro!$G136),"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",LEN(Registro!$G136))),({1,2,3,4,5,6,7,8,9,10,11,12,13,14,15,16,17,18,19,20,21,22,23,24,25,26,27,28,29,30}-1)*LEN(Registro!$G136)+1,LEN(Registro!$G136)))&amp;"x")+1,20))),"Revisar formato")))</f>
        <v/>
      </c>
      <c r="J136" s="9" t="str">
        <f>IF(AND(Registro!$E136="",Registro!$G136=""),"",IF(NOT(AND(ISNUMBER(I136),ISNUMBER(Registro!$H136))),"",IF(I136&lt;Registro!$H136,"FALTA BOLETOS",IF(I136=Registro!$H136,"CONFORME","DIFERENCIA"))))</f>
        <v/>
      </c>
      <c r="K136" s="11" t="str">
        <f>IF(Registro!$I136="","",IFERROR(SUMPRODUCT(--("0"&amp;TRIM(RIGHT(SUBSTITUTE(TRIM(MID(SUBSTITUTE(SUBSTITUTE(Registro!$I136,";",CHAR(10)),CHAR(10),REPT(" ",LEN(Registro!$I136))),({1,2,3,4,5,6,7,8,9,10,11,12,13,14,15,16,17,18,19,20,21,22,23,24,25,26,27,28,29,30}-1)*LEN(Registro!$I136)+1,LEN(Registro!$I136)))," ",REPT(" ",50)),50)))),"Revisar formato"))</f>
        <v/>
      </c>
      <c r="L136" s="11" t="str">
        <f>IF(Registro!$J136="","",IFERROR(SUMPRODUCT(--("0"&amp;TRIM(RIGHT(SUBSTITUTE(TRIM(MID(SUBSTITUTE(SUBSTITUTE(Registro!$J136,";",CHAR(10)),CHAR(10),REPT(" ",LEN(Registro!$J136))),({1,2,3,4,5,6,7,8,9,10,11,12,13,14,15,16,17,18,19,20,21,22,23,24,25,26,27,28,29,30}-1)*LEN(Registro!$J136)+1,LEN(Registro!$J136)))," ",REPT(" ",50)),50)))),"Revisar formato"))</f>
        <v/>
      </c>
      <c r="M136" s="11" t="str">
        <f>IF(AND(Registro!$H136="",Registro!$I136=""),"",IF(AND(ISTEXT(K136),K136&lt;&gt;""),"Revisar formato",N(Registro!$H136)-N(K136)))</f>
        <v/>
      </c>
      <c r="N136" s="11" t="str">
        <f t="shared" si="8"/>
        <v/>
      </c>
      <c r="O136" s="15" t="str">
        <f>IF(AND(A136=Consulta!$B$3,C136=Consulta!$H$3),B136*10000+ROW(),"")</f>
        <v/>
      </c>
    </row>
    <row r="137" spans="1:15" x14ac:dyDescent="0.25">
      <c r="A137" s="9" t="str">
        <f>IF(Registro!$A137="","",Registro!$A137)</f>
        <v/>
      </c>
      <c r="B137" s="8" t="str">
        <f>IF(Registro!$B137="","",Registro!$B137)</f>
        <v/>
      </c>
      <c r="C137" s="14" t="str">
        <f t="shared" si="6"/>
        <v/>
      </c>
      <c r="D137" s="10" t="str">
        <f>IF(Registro!$E137="","",IF(ISERROR(FIND("x",LOWER(Registro!$E137))),"-",IFERROR(SUMPRODUCT(--("0"&amp;LEFT(TRIM(MID(SUBSTITUTE(SUBSTITUTE(SUBSTITUTE(SUBSTITUTE(SUBSTITUTE(LOWER(Registro!$E137),"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",LEN(Registro!$E137))),({1,2,3,4,5,6,7,8,9,10,11,12,13,14,15,16,17,18,19,20,21,22,23,24,25,26,27,28,29,30}-1)*LEN(Registro!$E137)+1,LEN(Registro!$E137)))&amp;"x")-1))),"Revisar formato")))</f>
        <v/>
      </c>
      <c r="E137" s="11" t="str">
        <f>IF(Registro!$E137="","",IF(ISERROR(FIND("x",LOWER(Registro!$E137))),"-",IFERROR(SUMPRODUCT(--("0"&amp;LEFT(TRIM(MID(SUBSTITUTE(SUBSTITUTE(SUBSTITUTE(SUBSTITUTE(SUBSTITUTE(LOWER(Registro!$E137),"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",LEN(Registro!$E137))),({1,2,3,4,5,6,7,8,9,10,11,12,13,14,15,16,17,18,19,20,21,22,23,24,25,26,27,28,29,30}-1)*LEN(Registro!$E137)+1,LEN(Registro!$E137)))&amp;"x")-1)),--("0"&amp;MID(TRIM(MID(SUBSTITUTE(SUBSTITUTE(SUBSTITUTE(SUBSTITUTE(SUBSTITUTE(LOWER(Registro!$E137),"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",LEN(Registro!$E137))),({1,2,3,4,5,6,7,8,9,10,11,12,13,14,15,16,17,18,19,20,21,22,23,24,25,26,27,28,29,30}-1)*LEN(Registro!$E137)+1,LEN(Registro!$E137)))&amp;"x")+1,20))),"Revisar formato")))</f>
        <v/>
      </c>
      <c r="F137" s="11" t="str">
        <f>IF(Registro!$F137="","",N(Registro!$F137))</f>
        <v/>
      </c>
      <c r="G137" s="11" t="str">
        <f t="shared" si="7"/>
        <v/>
      </c>
      <c r="H137" s="10" t="str">
        <f>IF(Registro!$G137="","",IF(ISERROR(FIND("x",LOWER(Registro!$G137))),"-",IFERROR(SUMPRODUCT(--("0"&amp;LEFT(TRIM(MID(SUBSTITUTE(SUBSTITUTE(SUBSTITUTE(SUBSTITUTE(SUBSTITUTE(LOWER(Registro!$G137),"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",LEN(Registro!$G137))),({1,2,3,4,5,6,7,8,9,10,11,12,13,14,15,16,17,18,19,20,21,22,23,24,25,26,27,28,29,30}-1)*LEN(Registro!$G137)+1,LEN(Registro!$G137))),FIND("x",TRIM(MID(SUBSTITUTE(SUBSTITUTE(SUBSTITUTE(SUBSTITUTE(SUBSTITUTE(LOWER(Registro!$G137),"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",LEN(Registro!$G137))),({1,2,3,4,5,6,7,8,9,10,11,12,13,14,15,16,17,18,19,20,21,22,23,24,25,26,27,28,29,30}-1)*LEN(Registro!$G137)+1,LEN(Registro!$G137)))&amp;"x")-1))),"Revisar formato")))</f>
        <v/>
      </c>
      <c r="I137" s="11" t="str">
        <f>IF(Registro!$G137="","",IF(ISERROR(FIND("x",LOWER(Registro!$G137))),N(Registro!$H137),IFERROR(SUMPRODUCT(--("0"&amp;LEFT(TRIM(MID(SUBSTITUTE(SUBSTITUTE(SUBSTITUTE(SUBSTITUTE(SUBSTITUTE(LOWER(Registro!$G137),"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",LEN(Registro!$G137))),({1,2,3,4,5,6,7,8,9,10,11,12,13,14,15,16,17,18,19,20,21,22,23,24,25,26,27,28,29,30}-1)*LEN(Registro!$G137)+1,LEN(Registro!$G137))),FIND("x",TRIM(MID(SUBSTITUTE(SUBSTITUTE(SUBSTITUTE(SUBSTITUTE(SUBSTITUTE(LOWER(Registro!$G137),"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",LEN(Registro!$G137))),({1,2,3,4,5,6,7,8,9,10,11,12,13,14,15,16,17,18,19,20,21,22,23,24,25,26,27,28,29,30}-1)*LEN(Registro!$G137)+1,LEN(Registro!$G137)))&amp;"x")-1)),--("0"&amp;MID(TRIM(MID(SUBSTITUTE(SUBSTITUTE(SUBSTITUTE(SUBSTITUTE(SUBSTITUTE(LOWER(Registro!$G137),"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",LEN(Registro!$G137))),({1,2,3,4,5,6,7,8,9,10,11,12,13,14,15,16,17,18,19,20,21,22,23,24,25,26,27,28,29,30}-1)*LEN(Registro!$G137)+1,LEN(Registro!$G137))),FIND("x",TRIM(MID(SUBSTITUTE(SUBSTITUTE(SUBSTITUTE(SUBSTITUTE(SUBSTITUTE(LOWER(Registro!$G137),"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",LEN(Registro!$G137))),({1,2,3,4,5,6,7,8,9,10,11,12,13,14,15,16,17,18,19,20,21,22,23,24,25,26,27,28,29,30}-1)*LEN(Registro!$G137)+1,LEN(Registro!$G137)))&amp;"x")+1,20))),"Revisar formato")))</f>
        <v/>
      </c>
      <c r="J137" s="9" t="str">
        <f>IF(AND(Registro!$E137="",Registro!$G137=""),"",IF(NOT(AND(ISNUMBER(I137),ISNUMBER(Registro!$H137))),"",IF(I137&lt;Registro!$H137,"FALTA BOLETOS",IF(I137=Registro!$H137,"CONFORME","DIFERENCIA"))))</f>
        <v/>
      </c>
      <c r="K137" s="11" t="str">
        <f>IF(Registro!$I137="","",IFERROR(SUMPRODUCT(--("0"&amp;TRIM(RIGHT(SUBSTITUTE(TRIM(MID(SUBSTITUTE(SUBSTITUTE(Registro!$I137,";",CHAR(10)),CHAR(10),REPT(" ",LEN(Registro!$I137))),({1,2,3,4,5,6,7,8,9,10,11,12,13,14,15,16,17,18,19,20,21,22,23,24,25,26,27,28,29,30}-1)*LEN(Registro!$I137)+1,LEN(Registro!$I137)))," ",REPT(" ",50)),50)))),"Revisar formato"))</f>
        <v/>
      </c>
      <c r="L137" s="11" t="str">
        <f>IF(Registro!$J137="","",IFERROR(SUMPRODUCT(--("0"&amp;TRIM(RIGHT(SUBSTITUTE(TRIM(MID(SUBSTITUTE(SUBSTITUTE(Registro!$J137,";",CHAR(10)),CHAR(10),REPT(" ",LEN(Registro!$J137))),({1,2,3,4,5,6,7,8,9,10,11,12,13,14,15,16,17,18,19,20,21,22,23,24,25,26,27,28,29,30}-1)*LEN(Registro!$J137)+1,LEN(Registro!$J137)))," ",REPT(" ",50)),50)))),"Revisar formato"))</f>
        <v/>
      </c>
      <c r="M137" s="11" t="str">
        <f>IF(AND(Registro!$H137="",Registro!$I137=""),"",IF(AND(ISTEXT(K137),K137&lt;&gt;""),"Revisar formato",N(Registro!$H137)-N(K137)))</f>
        <v/>
      </c>
      <c r="N137" s="11" t="str">
        <f t="shared" si="8"/>
        <v/>
      </c>
      <c r="O137" s="15" t="str">
        <f>IF(AND(A137=Consulta!$B$3,C137=Consulta!$H$3),B137*10000+ROW(),"")</f>
        <v/>
      </c>
    </row>
    <row r="138" spans="1:15" x14ac:dyDescent="0.25">
      <c r="A138" s="9" t="str">
        <f>IF(Registro!$A138="","",Registro!$A138)</f>
        <v/>
      </c>
      <c r="B138" s="8" t="str">
        <f>IF(Registro!$B138="","",Registro!$B138)</f>
        <v/>
      </c>
      <c r="C138" s="14" t="str">
        <f t="shared" si="6"/>
        <v/>
      </c>
      <c r="D138" s="10" t="str">
        <f>IF(Registro!$E138="","",IF(ISERROR(FIND("x",LOWER(Registro!$E138))),"-",IFERROR(SUMPRODUCT(--("0"&amp;LEFT(TRIM(MID(SUBSTITUTE(SUBSTITUTE(SUBSTITUTE(SUBSTITUTE(SUBSTITUTE(LOWER(Registro!$E138),"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",LEN(Registro!$E138))),({1,2,3,4,5,6,7,8,9,10,11,12,13,14,15,16,17,18,19,20,21,22,23,24,25,26,27,28,29,30}-1)*LEN(Registro!$E138)+1,LEN(Registro!$E138)))&amp;"x")-1))),"Revisar formato")))</f>
        <v/>
      </c>
      <c r="E138" s="11" t="str">
        <f>IF(Registro!$E138="","",IF(ISERROR(FIND("x",LOWER(Registro!$E138))),"-",IFERROR(SUMPRODUCT(--("0"&amp;LEFT(TRIM(MID(SUBSTITUTE(SUBSTITUTE(SUBSTITUTE(SUBSTITUTE(SUBSTITUTE(LOWER(Registro!$E138),"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",LEN(Registro!$E138))),({1,2,3,4,5,6,7,8,9,10,11,12,13,14,15,16,17,18,19,20,21,22,23,24,25,26,27,28,29,30}-1)*LEN(Registro!$E138)+1,LEN(Registro!$E138)))&amp;"x")-1)),--("0"&amp;MID(TRIM(MID(SUBSTITUTE(SUBSTITUTE(SUBSTITUTE(SUBSTITUTE(SUBSTITUTE(LOWER(Registro!$E138),"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",LEN(Registro!$E138))),({1,2,3,4,5,6,7,8,9,10,11,12,13,14,15,16,17,18,19,20,21,22,23,24,25,26,27,28,29,30}-1)*LEN(Registro!$E138)+1,LEN(Registro!$E138)))&amp;"x")+1,20))),"Revisar formato")))</f>
        <v/>
      </c>
      <c r="F138" s="11" t="str">
        <f>IF(Registro!$F138="","",N(Registro!$F138))</f>
        <v/>
      </c>
      <c r="G138" s="11" t="str">
        <f t="shared" si="7"/>
        <v/>
      </c>
      <c r="H138" s="10" t="str">
        <f>IF(Registro!$G138="","",IF(ISERROR(FIND("x",LOWER(Registro!$G138))),"-",IFERROR(SUMPRODUCT(--("0"&amp;LEFT(TRIM(MID(SUBSTITUTE(SUBSTITUTE(SUBSTITUTE(SUBSTITUTE(SUBSTITUTE(LOWER(Registro!$G138),"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",LEN(Registro!$G138))),({1,2,3,4,5,6,7,8,9,10,11,12,13,14,15,16,17,18,19,20,21,22,23,24,25,26,27,28,29,30}-1)*LEN(Registro!$G138)+1,LEN(Registro!$G138))),FIND("x",TRIM(MID(SUBSTITUTE(SUBSTITUTE(SUBSTITUTE(SUBSTITUTE(SUBSTITUTE(LOWER(Registro!$G138),"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",LEN(Registro!$G138))),({1,2,3,4,5,6,7,8,9,10,11,12,13,14,15,16,17,18,19,20,21,22,23,24,25,26,27,28,29,30}-1)*LEN(Registro!$G138)+1,LEN(Registro!$G138)))&amp;"x")-1))),"Revisar formato")))</f>
        <v/>
      </c>
      <c r="I138" s="11" t="str">
        <f>IF(Registro!$G138="","",IF(ISERROR(FIND("x",LOWER(Registro!$G138))),N(Registro!$H138),IFERROR(SUMPRODUCT(--("0"&amp;LEFT(TRIM(MID(SUBSTITUTE(SUBSTITUTE(SUBSTITUTE(SUBSTITUTE(SUBSTITUTE(LOWER(Registro!$G138),"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",LEN(Registro!$G138))),({1,2,3,4,5,6,7,8,9,10,11,12,13,14,15,16,17,18,19,20,21,22,23,24,25,26,27,28,29,30}-1)*LEN(Registro!$G138)+1,LEN(Registro!$G138))),FIND("x",TRIM(MID(SUBSTITUTE(SUBSTITUTE(SUBSTITUTE(SUBSTITUTE(SUBSTITUTE(LOWER(Registro!$G138),"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",LEN(Registro!$G138))),({1,2,3,4,5,6,7,8,9,10,11,12,13,14,15,16,17,18,19,20,21,22,23,24,25,26,27,28,29,30}-1)*LEN(Registro!$G138)+1,LEN(Registro!$G138)))&amp;"x")-1)),--("0"&amp;MID(TRIM(MID(SUBSTITUTE(SUBSTITUTE(SUBSTITUTE(SUBSTITUTE(SUBSTITUTE(LOWER(Registro!$G138),"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",LEN(Registro!$G138))),({1,2,3,4,5,6,7,8,9,10,11,12,13,14,15,16,17,18,19,20,21,22,23,24,25,26,27,28,29,30}-1)*LEN(Registro!$G138)+1,LEN(Registro!$G138))),FIND("x",TRIM(MID(SUBSTITUTE(SUBSTITUTE(SUBSTITUTE(SUBSTITUTE(SUBSTITUTE(LOWER(Registro!$G138),"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",LEN(Registro!$G138))),({1,2,3,4,5,6,7,8,9,10,11,12,13,14,15,16,17,18,19,20,21,22,23,24,25,26,27,28,29,30}-1)*LEN(Registro!$G138)+1,LEN(Registro!$G138)))&amp;"x")+1,20))),"Revisar formato")))</f>
        <v/>
      </c>
      <c r="J138" s="9" t="str">
        <f>IF(AND(Registro!$E138="",Registro!$G138=""),"",IF(NOT(AND(ISNUMBER(I138),ISNUMBER(Registro!$H138))),"",IF(I138&lt;Registro!$H138,"FALTA BOLETOS",IF(I138=Registro!$H138,"CONFORME","DIFERENCIA"))))</f>
        <v/>
      </c>
      <c r="K138" s="11" t="str">
        <f>IF(Registro!$I138="","",IFERROR(SUMPRODUCT(--("0"&amp;TRIM(RIGHT(SUBSTITUTE(TRIM(MID(SUBSTITUTE(SUBSTITUTE(Registro!$I138,";",CHAR(10)),CHAR(10),REPT(" ",LEN(Registro!$I138))),({1,2,3,4,5,6,7,8,9,10,11,12,13,14,15,16,17,18,19,20,21,22,23,24,25,26,27,28,29,30}-1)*LEN(Registro!$I138)+1,LEN(Registro!$I138)))," ",REPT(" ",50)),50)))),"Revisar formato"))</f>
        <v/>
      </c>
      <c r="L138" s="11" t="str">
        <f>IF(Registro!$J138="","",IFERROR(SUMPRODUCT(--("0"&amp;TRIM(RIGHT(SUBSTITUTE(TRIM(MID(SUBSTITUTE(SUBSTITUTE(Registro!$J138,";",CHAR(10)),CHAR(10),REPT(" ",LEN(Registro!$J138))),({1,2,3,4,5,6,7,8,9,10,11,12,13,14,15,16,17,18,19,20,21,22,23,24,25,26,27,28,29,30}-1)*LEN(Registro!$J138)+1,LEN(Registro!$J138)))," ",REPT(" ",50)),50)))),"Revisar formato"))</f>
        <v/>
      </c>
      <c r="M138" s="11" t="str">
        <f>IF(AND(Registro!$H138="",Registro!$I138=""),"",IF(AND(ISTEXT(K138),K138&lt;&gt;""),"Revisar formato",N(Registro!$H138)-N(K138)))</f>
        <v/>
      </c>
      <c r="N138" s="11" t="str">
        <f t="shared" si="8"/>
        <v/>
      </c>
      <c r="O138" s="15" t="str">
        <f>IF(AND(A138=Consulta!$B$3,C138=Consulta!$H$3),B138*10000+ROW(),"")</f>
        <v/>
      </c>
    </row>
    <row r="139" spans="1:15" x14ac:dyDescent="0.25">
      <c r="A139" s="9" t="str">
        <f>IF(Registro!$A139="","",Registro!$A139)</f>
        <v/>
      </c>
      <c r="B139" s="8" t="str">
        <f>IF(Registro!$B139="","",Registro!$B139)</f>
        <v/>
      </c>
      <c r="C139" s="14" t="str">
        <f t="shared" si="6"/>
        <v/>
      </c>
      <c r="D139" s="10" t="str">
        <f>IF(Registro!$E139="","",IF(ISERROR(FIND("x",LOWER(Registro!$E139))),"-",IFERROR(SUMPRODUCT(--("0"&amp;LEFT(TRIM(MID(SUBSTITUTE(SUBSTITUTE(SUBSTITUTE(SUBSTITUTE(SUBSTITUTE(LOWER(Registro!$E139),"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",LEN(Registro!$E139))),({1,2,3,4,5,6,7,8,9,10,11,12,13,14,15,16,17,18,19,20,21,22,23,24,25,26,27,28,29,30}-1)*LEN(Registro!$E139)+1,LEN(Registro!$E139)))&amp;"x")-1))),"Revisar formato")))</f>
        <v/>
      </c>
      <c r="E139" s="11" t="str">
        <f>IF(Registro!$E139="","",IF(ISERROR(FIND("x",LOWER(Registro!$E139))),"-",IFERROR(SUMPRODUCT(--("0"&amp;LEFT(TRIM(MID(SUBSTITUTE(SUBSTITUTE(SUBSTITUTE(SUBSTITUTE(SUBSTITUTE(LOWER(Registro!$E139),"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",LEN(Registro!$E139))),({1,2,3,4,5,6,7,8,9,10,11,12,13,14,15,16,17,18,19,20,21,22,23,24,25,26,27,28,29,30}-1)*LEN(Registro!$E139)+1,LEN(Registro!$E139)))&amp;"x")-1)),--("0"&amp;MID(TRIM(MID(SUBSTITUTE(SUBSTITUTE(SUBSTITUTE(SUBSTITUTE(SUBSTITUTE(LOWER(Registro!$E139),"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",LEN(Registro!$E139))),({1,2,3,4,5,6,7,8,9,10,11,12,13,14,15,16,17,18,19,20,21,22,23,24,25,26,27,28,29,30}-1)*LEN(Registro!$E139)+1,LEN(Registro!$E139)))&amp;"x")+1,20))),"Revisar formato")))</f>
        <v/>
      </c>
      <c r="F139" s="11" t="str">
        <f>IF(Registro!$F139="","",N(Registro!$F139))</f>
        <v/>
      </c>
      <c r="G139" s="11" t="str">
        <f t="shared" si="7"/>
        <v/>
      </c>
      <c r="H139" s="10" t="str">
        <f>IF(Registro!$G139="","",IF(ISERROR(FIND("x",LOWER(Registro!$G139))),"-",IFERROR(SUMPRODUCT(--("0"&amp;LEFT(TRIM(MID(SUBSTITUTE(SUBSTITUTE(SUBSTITUTE(SUBSTITUTE(SUBSTITUTE(LOWER(Registro!$G139),"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",LEN(Registro!$G139))),({1,2,3,4,5,6,7,8,9,10,11,12,13,14,15,16,17,18,19,20,21,22,23,24,25,26,27,28,29,30}-1)*LEN(Registro!$G139)+1,LEN(Registro!$G139))),FIND("x",TRIM(MID(SUBSTITUTE(SUBSTITUTE(SUBSTITUTE(SUBSTITUTE(SUBSTITUTE(LOWER(Registro!$G139),"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",LEN(Registro!$G139))),({1,2,3,4,5,6,7,8,9,10,11,12,13,14,15,16,17,18,19,20,21,22,23,24,25,26,27,28,29,30}-1)*LEN(Registro!$G139)+1,LEN(Registro!$G139)))&amp;"x")-1))),"Revisar formato")))</f>
        <v/>
      </c>
      <c r="I139" s="11" t="str">
        <f>IF(Registro!$G139="","",IF(ISERROR(FIND("x",LOWER(Registro!$G139))),N(Registro!$H139),IFERROR(SUMPRODUCT(--("0"&amp;LEFT(TRIM(MID(SUBSTITUTE(SUBSTITUTE(SUBSTITUTE(SUBSTITUTE(SUBSTITUTE(LOWER(Registro!$G139),"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",LEN(Registro!$G139))),({1,2,3,4,5,6,7,8,9,10,11,12,13,14,15,16,17,18,19,20,21,22,23,24,25,26,27,28,29,30}-1)*LEN(Registro!$G139)+1,LEN(Registro!$G139))),FIND("x",TRIM(MID(SUBSTITUTE(SUBSTITUTE(SUBSTITUTE(SUBSTITUTE(SUBSTITUTE(LOWER(Registro!$G139),"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",LEN(Registro!$G139))),({1,2,3,4,5,6,7,8,9,10,11,12,13,14,15,16,17,18,19,20,21,22,23,24,25,26,27,28,29,30}-1)*LEN(Registro!$G139)+1,LEN(Registro!$G139)))&amp;"x")-1)),--("0"&amp;MID(TRIM(MID(SUBSTITUTE(SUBSTITUTE(SUBSTITUTE(SUBSTITUTE(SUBSTITUTE(LOWER(Registro!$G139),"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",LEN(Registro!$G139))),({1,2,3,4,5,6,7,8,9,10,11,12,13,14,15,16,17,18,19,20,21,22,23,24,25,26,27,28,29,30}-1)*LEN(Registro!$G139)+1,LEN(Registro!$G139))),FIND("x",TRIM(MID(SUBSTITUTE(SUBSTITUTE(SUBSTITUTE(SUBSTITUTE(SUBSTITUTE(LOWER(Registro!$G139),"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",LEN(Registro!$G139))),({1,2,3,4,5,6,7,8,9,10,11,12,13,14,15,16,17,18,19,20,21,22,23,24,25,26,27,28,29,30}-1)*LEN(Registro!$G139)+1,LEN(Registro!$G139)))&amp;"x")+1,20))),"Revisar formato")))</f>
        <v/>
      </c>
      <c r="J139" s="9" t="str">
        <f>IF(AND(Registro!$E139="",Registro!$G139=""),"",IF(NOT(AND(ISNUMBER(I139),ISNUMBER(Registro!$H139))),"",IF(I139&lt;Registro!$H139,"FALTA BOLETOS",IF(I139=Registro!$H139,"CONFORME","DIFERENCIA"))))</f>
        <v/>
      </c>
      <c r="K139" s="11" t="str">
        <f>IF(Registro!$I139="","",IFERROR(SUMPRODUCT(--("0"&amp;TRIM(RIGHT(SUBSTITUTE(TRIM(MID(SUBSTITUTE(SUBSTITUTE(Registro!$I139,";",CHAR(10)),CHAR(10),REPT(" ",LEN(Registro!$I139))),({1,2,3,4,5,6,7,8,9,10,11,12,13,14,15,16,17,18,19,20,21,22,23,24,25,26,27,28,29,30}-1)*LEN(Registro!$I139)+1,LEN(Registro!$I139)))," ",REPT(" ",50)),50)))),"Revisar formato"))</f>
        <v/>
      </c>
      <c r="L139" s="11" t="str">
        <f>IF(Registro!$J139="","",IFERROR(SUMPRODUCT(--("0"&amp;TRIM(RIGHT(SUBSTITUTE(TRIM(MID(SUBSTITUTE(SUBSTITUTE(Registro!$J139,";",CHAR(10)),CHAR(10),REPT(" ",LEN(Registro!$J139))),({1,2,3,4,5,6,7,8,9,10,11,12,13,14,15,16,17,18,19,20,21,22,23,24,25,26,27,28,29,30}-1)*LEN(Registro!$J139)+1,LEN(Registro!$J139)))," ",REPT(" ",50)),50)))),"Revisar formato"))</f>
        <v/>
      </c>
      <c r="M139" s="11" t="str">
        <f>IF(AND(Registro!$H139="",Registro!$I139=""),"",IF(AND(ISTEXT(K139),K139&lt;&gt;""),"Revisar formato",N(Registro!$H139)-N(K139)))</f>
        <v/>
      </c>
      <c r="N139" s="11" t="str">
        <f t="shared" si="8"/>
        <v/>
      </c>
      <c r="O139" s="15" t="str">
        <f>IF(AND(A139=Consulta!$B$3,C139=Consulta!$H$3),B139*10000+ROW(),"")</f>
        <v/>
      </c>
    </row>
    <row r="140" spans="1:15" x14ac:dyDescent="0.25">
      <c r="A140" s="9" t="str">
        <f>IF(Registro!$A140="","",Registro!$A140)</f>
        <v/>
      </c>
      <c r="B140" s="8" t="str">
        <f>IF(Registro!$B140="","",Registro!$B140)</f>
        <v/>
      </c>
      <c r="C140" s="14" t="str">
        <f t="shared" si="6"/>
        <v/>
      </c>
      <c r="D140" s="10" t="str">
        <f>IF(Registro!$E140="","",IF(ISERROR(FIND("x",LOWER(Registro!$E140))),"-",IFERROR(SUMPRODUCT(--("0"&amp;LEFT(TRIM(MID(SUBSTITUTE(SUBSTITUTE(SUBSTITUTE(SUBSTITUTE(SUBSTITUTE(LOWER(Registro!$E140),"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",LEN(Registro!$E140))),({1,2,3,4,5,6,7,8,9,10,11,12,13,14,15,16,17,18,19,20,21,22,23,24,25,26,27,28,29,30}-1)*LEN(Registro!$E140)+1,LEN(Registro!$E140)))&amp;"x")-1))),"Revisar formato")))</f>
        <v/>
      </c>
      <c r="E140" s="11" t="str">
        <f>IF(Registro!$E140="","",IF(ISERROR(FIND("x",LOWER(Registro!$E140))),"-",IFERROR(SUMPRODUCT(--("0"&amp;LEFT(TRIM(MID(SUBSTITUTE(SUBSTITUTE(SUBSTITUTE(SUBSTITUTE(SUBSTITUTE(LOWER(Registro!$E140),"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",LEN(Registro!$E140))),({1,2,3,4,5,6,7,8,9,10,11,12,13,14,15,16,17,18,19,20,21,22,23,24,25,26,27,28,29,30}-1)*LEN(Registro!$E140)+1,LEN(Registro!$E140)))&amp;"x")-1)),--("0"&amp;MID(TRIM(MID(SUBSTITUTE(SUBSTITUTE(SUBSTITUTE(SUBSTITUTE(SUBSTITUTE(LOWER(Registro!$E140),"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",LEN(Registro!$E140))),({1,2,3,4,5,6,7,8,9,10,11,12,13,14,15,16,17,18,19,20,21,22,23,24,25,26,27,28,29,30}-1)*LEN(Registro!$E140)+1,LEN(Registro!$E140)))&amp;"x")+1,20))),"Revisar formato")))</f>
        <v/>
      </c>
      <c r="F140" s="11" t="str">
        <f>IF(Registro!$F140="","",N(Registro!$F140))</f>
        <v/>
      </c>
      <c r="G140" s="11" t="str">
        <f t="shared" si="7"/>
        <v/>
      </c>
      <c r="H140" s="10" t="str">
        <f>IF(Registro!$G140="","",IF(ISERROR(FIND("x",LOWER(Registro!$G140))),"-",IFERROR(SUMPRODUCT(--("0"&amp;LEFT(TRIM(MID(SUBSTITUTE(SUBSTITUTE(SUBSTITUTE(SUBSTITUTE(SUBSTITUTE(LOWER(Registro!$G140),"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",LEN(Registro!$G140))),({1,2,3,4,5,6,7,8,9,10,11,12,13,14,15,16,17,18,19,20,21,22,23,24,25,26,27,28,29,30}-1)*LEN(Registro!$G140)+1,LEN(Registro!$G140))),FIND("x",TRIM(MID(SUBSTITUTE(SUBSTITUTE(SUBSTITUTE(SUBSTITUTE(SUBSTITUTE(LOWER(Registro!$G140),"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",LEN(Registro!$G140))),({1,2,3,4,5,6,7,8,9,10,11,12,13,14,15,16,17,18,19,20,21,22,23,24,25,26,27,28,29,30}-1)*LEN(Registro!$G140)+1,LEN(Registro!$G140)))&amp;"x")-1))),"Revisar formato")))</f>
        <v/>
      </c>
      <c r="I140" s="11" t="str">
        <f>IF(Registro!$G140="","",IF(ISERROR(FIND("x",LOWER(Registro!$G140))),N(Registro!$H140),IFERROR(SUMPRODUCT(--("0"&amp;LEFT(TRIM(MID(SUBSTITUTE(SUBSTITUTE(SUBSTITUTE(SUBSTITUTE(SUBSTITUTE(LOWER(Registro!$G140),"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",LEN(Registro!$G140))),({1,2,3,4,5,6,7,8,9,10,11,12,13,14,15,16,17,18,19,20,21,22,23,24,25,26,27,28,29,30}-1)*LEN(Registro!$G140)+1,LEN(Registro!$G140))),FIND("x",TRIM(MID(SUBSTITUTE(SUBSTITUTE(SUBSTITUTE(SUBSTITUTE(SUBSTITUTE(LOWER(Registro!$G140),"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",LEN(Registro!$G140))),({1,2,3,4,5,6,7,8,9,10,11,12,13,14,15,16,17,18,19,20,21,22,23,24,25,26,27,28,29,30}-1)*LEN(Registro!$G140)+1,LEN(Registro!$G140)))&amp;"x")-1)),--("0"&amp;MID(TRIM(MID(SUBSTITUTE(SUBSTITUTE(SUBSTITUTE(SUBSTITUTE(SUBSTITUTE(LOWER(Registro!$G140),"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",LEN(Registro!$G140))),({1,2,3,4,5,6,7,8,9,10,11,12,13,14,15,16,17,18,19,20,21,22,23,24,25,26,27,28,29,30}-1)*LEN(Registro!$G140)+1,LEN(Registro!$G140))),FIND("x",TRIM(MID(SUBSTITUTE(SUBSTITUTE(SUBSTITUTE(SUBSTITUTE(SUBSTITUTE(LOWER(Registro!$G140),"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",LEN(Registro!$G140))),({1,2,3,4,5,6,7,8,9,10,11,12,13,14,15,16,17,18,19,20,21,22,23,24,25,26,27,28,29,30}-1)*LEN(Registro!$G140)+1,LEN(Registro!$G140)))&amp;"x")+1,20))),"Revisar formato")))</f>
        <v/>
      </c>
      <c r="J140" s="9" t="str">
        <f>IF(AND(Registro!$E140="",Registro!$G140=""),"",IF(NOT(AND(ISNUMBER(I140),ISNUMBER(Registro!$H140))),"",IF(I140&lt;Registro!$H140,"FALTA BOLETOS",IF(I140=Registro!$H140,"CONFORME","DIFERENCIA"))))</f>
        <v/>
      </c>
      <c r="K140" s="11" t="str">
        <f>IF(Registro!$I140="","",IFERROR(SUMPRODUCT(--("0"&amp;TRIM(RIGHT(SUBSTITUTE(TRIM(MID(SUBSTITUTE(SUBSTITUTE(Registro!$I140,";",CHAR(10)),CHAR(10),REPT(" ",LEN(Registro!$I140))),({1,2,3,4,5,6,7,8,9,10,11,12,13,14,15,16,17,18,19,20,21,22,23,24,25,26,27,28,29,30}-1)*LEN(Registro!$I140)+1,LEN(Registro!$I140)))," ",REPT(" ",50)),50)))),"Revisar formato"))</f>
        <v/>
      </c>
      <c r="L140" s="11" t="str">
        <f>IF(Registro!$J140="","",IFERROR(SUMPRODUCT(--("0"&amp;TRIM(RIGHT(SUBSTITUTE(TRIM(MID(SUBSTITUTE(SUBSTITUTE(Registro!$J140,";",CHAR(10)),CHAR(10),REPT(" ",LEN(Registro!$J140))),({1,2,3,4,5,6,7,8,9,10,11,12,13,14,15,16,17,18,19,20,21,22,23,24,25,26,27,28,29,30}-1)*LEN(Registro!$J140)+1,LEN(Registro!$J140)))," ",REPT(" ",50)),50)))),"Revisar formato"))</f>
        <v/>
      </c>
      <c r="M140" s="11" t="str">
        <f>IF(AND(Registro!$H140="",Registro!$I140=""),"",IF(AND(ISTEXT(K140),K140&lt;&gt;""),"Revisar formato",N(Registro!$H140)-N(K140)))</f>
        <v/>
      </c>
      <c r="N140" s="11" t="str">
        <f t="shared" si="8"/>
        <v/>
      </c>
      <c r="O140" s="15" t="str">
        <f>IF(AND(A140=Consulta!$B$3,C140=Consulta!$H$3),B140*10000+ROW(),"")</f>
        <v/>
      </c>
    </row>
    <row r="141" spans="1:15" x14ac:dyDescent="0.25">
      <c r="A141" s="9" t="str">
        <f>IF(Registro!$A141="","",Registro!$A141)</f>
        <v/>
      </c>
      <c r="B141" s="8" t="str">
        <f>IF(Registro!$B141="","",Registro!$B141)</f>
        <v/>
      </c>
      <c r="C141" s="14" t="str">
        <f t="shared" si="6"/>
        <v/>
      </c>
      <c r="D141" s="10" t="str">
        <f>IF(Registro!$E141="","",IF(ISERROR(FIND("x",LOWER(Registro!$E141))),"-",IFERROR(SUMPRODUCT(--("0"&amp;LEFT(TRIM(MID(SUBSTITUTE(SUBSTITUTE(SUBSTITUTE(SUBSTITUTE(SUBSTITUTE(LOWER(Registro!$E141),"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",LEN(Registro!$E141))),({1,2,3,4,5,6,7,8,9,10,11,12,13,14,15,16,17,18,19,20,21,22,23,24,25,26,27,28,29,30}-1)*LEN(Registro!$E141)+1,LEN(Registro!$E141)))&amp;"x")-1))),"Revisar formato")))</f>
        <v/>
      </c>
      <c r="E141" s="11" t="str">
        <f>IF(Registro!$E141="","",IF(ISERROR(FIND("x",LOWER(Registro!$E141))),"-",IFERROR(SUMPRODUCT(--("0"&amp;LEFT(TRIM(MID(SUBSTITUTE(SUBSTITUTE(SUBSTITUTE(SUBSTITUTE(SUBSTITUTE(LOWER(Registro!$E141),"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",LEN(Registro!$E141))),({1,2,3,4,5,6,7,8,9,10,11,12,13,14,15,16,17,18,19,20,21,22,23,24,25,26,27,28,29,30}-1)*LEN(Registro!$E141)+1,LEN(Registro!$E141)))&amp;"x")-1)),--("0"&amp;MID(TRIM(MID(SUBSTITUTE(SUBSTITUTE(SUBSTITUTE(SUBSTITUTE(SUBSTITUTE(LOWER(Registro!$E141),"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",LEN(Registro!$E141))),({1,2,3,4,5,6,7,8,9,10,11,12,13,14,15,16,17,18,19,20,21,22,23,24,25,26,27,28,29,30}-1)*LEN(Registro!$E141)+1,LEN(Registro!$E141)))&amp;"x")+1,20))),"Revisar formato")))</f>
        <v/>
      </c>
      <c r="F141" s="11" t="str">
        <f>IF(Registro!$F141="","",N(Registro!$F141))</f>
        <v/>
      </c>
      <c r="G141" s="11" t="str">
        <f t="shared" si="7"/>
        <v/>
      </c>
      <c r="H141" s="10" t="str">
        <f>IF(Registro!$G141="","",IF(ISERROR(FIND("x",LOWER(Registro!$G141))),"-",IFERROR(SUMPRODUCT(--("0"&amp;LEFT(TRIM(MID(SUBSTITUTE(SUBSTITUTE(SUBSTITUTE(SUBSTITUTE(SUBSTITUTE(LOWER(Registro!$G141),"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",LEN(Registro!$G141))),({1,2,3,4,5,6,7,8,9,10,11,12,13,14,15,16,17,18,19,20,21,22,23,24,25,26,27,28,29,30}-1)*LEN(Registro!$G141)+1,LEN(Registro!$G141))),FIND("x",TRIM(MID(SUBSTITUTE(SUBSTITUTE(SUBSTITUTE(SUBSTITUTE(SUBSTITUTE(LOWER(Registro!$G141),"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",LEN(Registro!$G141))),({1,2,3,4,5,6,7,8,9,10,11,12,13,14,15,16,17,18,19,20,21,22,23,24,25,26,27,28,29,30}-1)*LEN(Registro!$G141)+1,LEN(Registro!$G141)))&amp;"x")-1))),"Revisar formato")))</f>
        <v/>
      </c>
      <c r="I141" s="11" t="str">
        <f>IF(Registro!$G141="","",IF(ISERROR(FIND("x",LOWER(Registro!$G141))),N(Registro!$H141),IFERROR(SUMPRODUCT(--("0"&amp;LEFT(TRIM(MID(SUBSTITUTE(SUBSTITUTE(SUBSTITUTE(SUBSTITUTE(SUBSTITUTE(LOWER(Registro!$G141),"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",LEN(Registro!$G141))),({1,2,3,4,5,6,7,8,9,10,11,12,13,14,15,16,17,18,19,20,21,22,23,24,25,26,27,28,29,30}-1)*LEN(Registro!$G141)+1,LEN(Registro!$G141))),FIND("x",TRIM(MID(SUBSTITUTE(SUBSTITUTE(SUBSTITUTE(SUBSTITUTE(SUBSTITUTE(LOWER(Registro!$G141),"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",LEN(Registro!$G141))),({1,2,3,4,5,6,7,8,9,10,11,12,13,14,15,16,17,18,19,20,21,22,23,24,25,26,27,28,29,30}-1)*LEN(Registro!$G141)+1,LEN(Registro!$G141)))&amp;"x")-1)),--("0"&amp;MID(TRIM(MID(SUBSTITUTE(SUBSTITUTE(SUBSTITUTE(SUBSTITUTE(SUBSTITUTE(LOWER(Registro!$G141),"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",LEN(Registro!$G141))),({1,2,3,4,5,6,7,8,9,10,11,12,13,14,15,16,17,18,19,20,21,22,23,24,25,26,27,28,29,30}-1)*LEN(Registro!$G141)+1,LEN(Registro!$G141))),FIND("x",TRIM(MID(SUBSTITUTE(SUBSTITUTE(SUBSTITUTE(SUBSTITUTE(SUBSTITUTE(LOWER(Registro!$G141),"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",LEN(Registro!$G141))),({1,2,3,4,5,6,7,8,9,10,11,12,13,14,15,16,17,18,19,20,21,22,23,24,25,26,27,28,29,30}-1)*LEN(Registro!$G141)+1,LEN(Registro!$G141)))&amp;"x")+1,20))),"Revisar formato")))</f>
        <v/>
      </c>
      <c r="J141" s="9" t="str">
        <f>IF(AND(Registro!$E141="",Registro!$G141=""),"",IF(NOT(AND(ISNUMBER(I141),ISNUMBER(Registro!$H141))),"",IF(I141&lt;Registro!$H141,"FALTA BOLETOS",IF(I141=Registro!$H141,"CONFORME","DIFERENCIA"))))</f>
        <v/>
      </c>
      <c r="K141" s="11" t="str">
        <f>IF(Registro!$I141="","",IFERROR(SUMPRODUCT(--("0"&amp;TRIM(RIGHT(SUBSTITUTE(TRIM(MID(SUBSTITUTE(SUBSTITUTE(Registro!$I141,";",CHAR(10)),CHAR(10),REPT(" ",LEN(Registro!$I141))),({1,2,3,4,5,6,7,8,9,10,11,12,13,14,15,16,17,18,19,20,21,22,23,24,25,26,27,28,29,30}-1)*LEN(Registro!$I141)+1,LEN(Registro!$I141)))," ",REPT(" ",50)),50)))),"Revisar formato"))</f>
        <v/>
      </c>
      <c r="L141" s="11" t="str">
        <f>IF(Registro!$J141="","",IFERROR(SUMPRODUCT(--("0"&amp;TRIM(RIGHT(SUBSTITUTE(TRIM(MID(SUBSTITUTE(SUBSTITUTE(Registro!$J141,";",CHAR(10)),CHAR(10),REPT(" ",LEN(Registro!$J141))),({1,2,3,4,5,6,7,8,9,10,11,12,13,14,15,16,17,18,19,20,21,22,23,24,25,26,27,28,29,30}-1)*LEN(Registro!$J141)+1,LEN(Registro!$J141)))," ",REPT(" ",50)),50)))),"Revisar formato"))</f>
        <v/>
      </c>
      <c r="M141" s="11" t="str">
        <f>IF(AND(Registro!$H141="",Registro!$I141=""),"",IF(AND(ISTEXT(K141),K141&lt;&gt;""),"Revisar formato",N(Registro!$H141)-N(K141)))</f>
        <v/>
      </c>
      <c r="N141" s="11" t="str">
        <f t="shared" si="8"/>
        <v/>
      </c>
      <c r="O141" s="15" t="str">
        <f>IF(AND(A141=Consulta!$B$3,C141=Consulta!$H$3),B141*10000+ROW(),"")</f>
        <v/>
      </c>
    </row>
    <row r="142" spans="1:15" x14ac:dyDescent="0.25">
      <c r="A142" s="9" t="str">
        <f>IF(Registro!$A142="","",Registro!$A142)</f>
        <v/>
      </c>
      <c r="B142" s="8" t="str">
        <f>IF(Registro!$B142="","",Registro!$B142)</f>
        <v/>
      </c>
      <c r="C142" s="14" t="str">
        <f t="shared" si="6"/>
        <v/>
      </c>
      <c r="D142" s="10" t="str">
        <f>IF(Registro!$E142="","",IF(ISERROR(FIND("x",LOWER(Registro!$E142))),"-",IFERROR(SUMPRODUCT(--("0"&amp;LEFT(TRIM(MID(SUBSTITUTE(SUBSTITUTE(SUBSTITUTE(SUBSTITUTE(SUBSTITUTE(LOWER(Registro!$E142),"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",LEN(Registro!$E142))),({1,2,3,4,5,6,7,8,9,10,11,12,13,14,15,16,17,18,19,20,21,22,23,24,25,26,27,28,29,30}-1)*LEN(Registro!$E142)+1,LEN(Registro!$E142)))&amp;"x")-1))),"Revisar formato")))</f>
        <v/>
      </c>
      <c r="E142" s="11" t="str">
        <f>IF(Registro!$E142="","",IF(ISERROR(FIND("x",LOWER(Registro!$E142))),"-",IFERROR(SUMPRODUCT(--("0"&amp;LEFT(TRIM(MID(SUBSTITUTE(SUBSTITUTE(SUBSTITUTE(SUBSTITUTE(SUBSTITUTE(LOWER(Registro!$E142),"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",LEN(Registro!$E142))),({1,2,3,4,5,6,7,8,9,10,11,12,13,14,15,16,17,18,19,20,21,22,23,24,25,26,27,28,29,30}-1)*LEN(Registro!$E142)+1,LEN(Registro!$E142)))&amp;"x")-1)),--("0"&amp;MID(TRIM(MID(SUBSTITUTE(SUBSTITUTE(SUBSTITUTE(SUBSTITUTE(SUBSTITUTE(LOWER(Registro!$E142),"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",LEN(Registro!$E142))),({1,2,3,4,5,6,7,8,9,10,11,12,13,14,15,16,17,18,19,20,21,22,23,24,25,26,27,28,29,30}-1)*LEN(Registro!$E142)+1,LEN(Registro!$E142)))&amp;"x")+1,20))),"Revisar formato")))</f>
        <v/>
      </c>
      <c r="F142" s="11" t="str">
        <f>IF(Registro!$F142="","",N(Registro!$F142))</f>
        <v/>
      </c>
      <c r="G142" s="11" t="str">
        <f t="shared" si="7"/>
        <v/>
      </c>
      <c r="H142" s="10" t="str">
        <f>IF(Registro!$G142="","",IF(ISERROR(FIND("x",LOWER(Registro!$G142))),"-",IFERROR(SUMPRODUCT(--("0"&amp;LEFT(TRIM(MID(SUBSTITUTE(SUBSTITUTE(SUBSTITUTE(SUBSTITUTE(SUBSTITUTE(LOWER(Registro!$G142),"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",LEN(Registro!$G142))),({1,2,3,4,5,6,7,8,9,10,11,12,13,14,15,16,17,18,19,20,21,22,23,24,25,26,27,28,29,30}-1)*LEN(Registro!$G142)+1,LEN(Registro!$G142))),FIND("x",TRIM(MID(SUBSTITUTE(SUBSTITUTE(SUBSTITUTE(SUBSTITUTE(SUBSTITUTE(LOWER(Registro!$G142),"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",LEN(Registro!$G142))),({1,2,3,4,5,6,7,8,9,10,11,12,13,14,15,16,17,18,19,20,21,22,23,24,25,26,27,28,29,30}-1)*LEN(Registro!$G142)+1,LEN(Registro!$G142)))&amp;"x")-1))),"Revisar formato")))</f>
        <v/>
      </c>
      <c r="I142" s="11" t="str">
        <f>IF(Registro!$G142="","",IF(ISERROR(FIND("x",LOWER(Registro!$G142))),N(Registro!$H142),IFERROR(SUMPRODUCT(--("0"&amp;LEFT(TRIM(MID(SUBSTITUTE(SUBSTITUTE(SUBSTITUTE(SUBSTITUTE(SUBSTITUTE(LOWER(Registro!$G142),"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",LEN(Registro!$G142))),({1,2,3,4,5,6,7,8,9,10,11,12,13,14,15,16,17,18,19,20,21,22,23,24,25,26,27,28,29,30}-1)*LEN(Registro!$G142)+1,LEN(Registro!$G142))),FIND("x",TRIM(MID(SUBSTITUTE(SUBSTITUTE(SUBSTITUTE(SUBSTITUTE(SUBSTITUTE(LOWER(Registro!$G142),"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",LEN(Registro!$G142))),({1,2,3,4,5,6,7,8,9,10,11,12,13,14,15,16,17,18,19,20,21,22,23,24,25,26,27,28,29,30}-1)*LEN(Registro!$G142)+1,LEN(Registro!$G142)))&amp;"x")-1)),--("0"&amp;MID(TRIM(MID(SUBSTITUTE(SUBSTITUTE(SUBSTITUTE(SUBSTITUTE(SUBSTITUTE(LOWER(Registro!$G142),"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",LEN(Registro!$G142))),({1,2,3,4,5,6,7,8,9,10,11,12,13,14,15,16,17,18,19,20,21,22,23,24,25,26,27,28,29,30}-1)*LEN(Registro!$G142)+1,LEN(Registro!$G142))),FIND("x",TRIM(MID(SUBSTITUTE(SUBSTITUTE(SUBSTITUTE(SUBSTITUTE(SUBSTITUTE(LOWER(Registro!$G142),"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",LEN(Registro!$G142))),({1,2,3,4,5,6,7,8,9,10,11,12,13,14,15,16,17,18,19,20,21,22,23,24,25,26,27,28,29,30}-1)*LEN(Registro!$G142)+1,LEN(Registro!$G142)))&amp;"x")+1,20))),"Revisar formato")))</f>
        <v/>
      </c>
      <c r="J142" s="9" t="str">
        <f>IF(AND(Registro!$E142="",Registro!$G142=""),"",IF(NOT(AND(ISNUMBER(I142),ISNUMBER(Registro!$H142))),"",IF(I142&lt;Registro!$H142,"FALTA BOLETOS",IF(I142=Registro!$H142,"CONFORME","DIFERENCIA"))))</f>
        <v/>
      </c>
      <c r="K142" s="11" t="str">
        <f>IF(Registro!$I142="","",IFERROR(SUMPRODUCT(--("0"&amp;TRIM(RIGHT(SUBSTITUTE(TRIM(MID(SUBSTITUTE(SUBSTITUTE(Registro!$I142,";",CHAR(10)),CHAR(10),REPT(" ",LEN(Registro!$I142))),({1,2,3,4,5,6,7,8,9,10,11,12,13,14,15,16,17,18,19,20,21,22,23,24,25,26,27,28,29,30}-1)*LEN(Registro!$I142)+1,LEN(Registro!$I142)))," ",REPT(" ",50)),50)))),"Revisar formato"))</f>
        <v/>
      </c>
      <c r="L142" s="11" t="str">
        <f>IF(Registro!$J142="","",IFERROR(SUMPRODUCT(--("0"&amp;TRIM(RIGHT(SUBSTITUTE(TRIM(MID(SUBSTITUTE(SUBSTITUTE(Registro!$J142,";",CHAR(10)),CHAR(10),REPT(" ",LEN(Registro!$J142))),({1,2,3,4,5,6,7,8,9,10,11,12,13,14,15,16,17,18,19,20,21,22,23,24,25,26,27,28,29,30}-1)*LEN(Registro!$J142)+1,LEN(Registro!$J142)))," ",REPT(" ",50)),50)))),"Revisar formato"))</f>
        <v/>
      </c>
      <c r="M142" s="11" t="str">
        <f>IF(AND(Registro!$H142="",Registro!$I142=""),"",IF(AND(ISTEXT(K142),K142&lt;&gt;""),"Revisar formato",N(Registro!$H142)-N(K142)))</f>
        <v/>
      </c>
      <c r="N142" s="11" t="str">
        <f t="shared" si="8"/>
        <v/>
      </c>
      <c r="O142" s="15" t="str">
        <f>IF(AND(A142=Consulta!$B$3,C142=Consulta!$H$3),B142*10000+ROW(),"")</f>
        <v/>
      </c>
    </row>
    <row r="143" spans="1:15" x14ac:dyDescent="0.25">
      <c r="A143" s="9" t="str">
        <f>IF(Registro!$A143="","",Registro!$A143)</f>
        <v/>
      </c>
      <c r="B143" s="8" t="str">
        <f>IF(Registro!$B143="","",Registro!$B143)</f>
        <v/>
      </c>
      <c r="C143" s="14" t="str">
        <f t="shared" si="6"/>
        <v/>
      </c>
      <c r="D143" s="10" t="str">
        <f>IF(Registro!$E143="","",IF(ISERROR(FIND("x",LOWER(Registro!$E143))),"-",IFERROR(SUMPRODUCT(--("0"&amp;LEFT(TRIM(MID(SUBSTITUTE(SUBSTITUTE(SUBSTITUTE(SUBSTITUTE(SUBSTITUTE(LOWER(Registro!$E143),"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",LEN(Registro!$E143))),({1,2,3,4,5,6,7,8,9,10,11,12,13,14,15,16,17,18,19,20,21,22,23,24,25,26,27,28,29,30}-1)*LEN(Registro!$E143)+1,LEN(Registro!$E143)))&amp;"x")-1))),"Revisar formato")))</f>
        <v/>
      </c>
      <c r="E143" s="11" t="str">
        <f>IF(Registro!$E143="","",IF(ISERROR(FIND("x",LOWER(Registro!$E143))),"-",IFERROR(SUMPRODUCT(--("0"&amp;LEFT(TRIM(MID(SUBSTITUTE(SUBSTITUTE(SUBSTITUTE(SUBSTITUTE(SUBSTITUTE(LOWER(Registro!$E143),"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",LEN(Registro!$E143))),({1,2,3,4,5,6,7,8,9,10,11,12,13,14,15,16,17,18,19,20,21,22,23,24,25,26,27,28,29,30}-1)*LEN(Registro!$E143)+1,LEN(Registro!$E143)))&amp;"x")-1)),--("0"&amp;MID(TRIM(MID(SUBSTITUTE(SUBSTITUTE(SUBSTITUTE(SUBSTITUTE(SUBSTITUTE(LOWER(Registro!$E143),"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",LEN(Registro!$E143))),({1,2,3,4,5,6,7,8,9,10,11,12,13,14,15,16,17,18,19,20,21,22,23,24,25,26,27,28,29,30}-1)*LEN(Registro!$E143)+1,LEN(Registro!$E143)))&amp;"x")+1,20))),"Revisar formato")))</f>
        <v/>
      </c>
      <c r="F143" s="11" t="str">
        <f>IF(Registro!$F143="","",N(Registro!$F143))</f>
        <v/>
      </c>
      <c r="G143" s="11" t="str">
        <f t="shared" si="7"/>
        <v/>
      </c>
      <c r="H143" s="10" t="str">
        <f>IF(Registro!$G143="","",IF(ISERROR(FIND("x",LOWER(Registro!$G143))),"-",IFERROR(SUMPRODUCT(--("0"&amp;LEFT(TRIM(MID(SUBSTITUTE(SUBSTITUTE(SUBSTITUTE(SUBSTITUTE(SUBSTITUTE(LOWER(Registro!$G143),"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",LEN(Registro!$G143))),({1,2,3,4,5,6,7,8,9,10,11,12,13,14,15,16,17,18,19,20,21,22,23,24,25,26,27,28,29,30}-1)*LEN(Registro!$G143)+1,LEN(Registro!$G143))),FIND("x",TRIM(MID(SUBSTITUTE(SUBSTITUTE(SUBSTITUTE(SUBSTITUTE(SUBSTITUTE(LOWER(Registro!$G143),"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",LEN(Registro!$G143))),({1,2,3,4,5,6,7,8,9,10,11,12,13,14,15,16,17,18,19,20,21,22,23,24,25,26,27,28,29,30}-1)*LEN(Registro!$G143)+1,LEN(Registro!$G143)))&amp;"x")-1))),"Revisar formato")))</f>
        <v/>
      </c>
      <c r="I143" s="11" t="str">
        <f>IF(Registro!$G143="","",IF(ISERROR(FIND("x",LOWER(Registro!$G143))),N(Registro!$H143),IFERROR(SUMPRODUCT(--("0"&amp;LEFT(TRIM(MID(SUBSTITUTE(SUBSTITUTE(SUBSTITUTE(SUBSTITUTE(SUBSTITUTE(LOWER(Registro!$G143),"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",LEN(Registro!$G143))),({1,2,3,4,5,6,7,8,9,10,11,12,13,14,15,16,17,18,19,20,21,22,23,24,25,26,27,28,29,30}-1)*LEN(Registro!$G143)+1,LEN(Registro!$G143))),FIND("x",TRIM(MID(SUBSTITUTE(SUBSTITUTE(SUBSTITUTE(SUBSTITUTE(SUBSTITUTE(LOWER(Registro!$G143),"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",LEN(Registro!$G143))),({1,2,3,4,5,6,7,8,9,10,11,12,13,14,15,16,17,18,19,20,21,22,23,24,25,26,27,28,29,30}-1)*LEN(Registro!$G143)+1,LEN(Registro!$G143)))&amp;"x")-1)),--("0"&amp;MID(TRIM(MID(SUBSTITUTE(SUBSTITUTE(SUBSTITUTE(SUBSTITUTE(SUBSTITUTE(LOWER(Registro!$G143),"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",LEN(Registro!$G143))),({1,2,3,4,5,6,7,8,9,10,11,12,13,14,15,16,17,18,19,20,21,22,23,24,25,26,27,28,29,30}-1)*LEN(Registro!$G143)+1,LEN(Registro!$G143))),FIND("x",TRIM(MID(SUBSTITUTE(SUBSTITUTE(SUBSTITUTE(SUBSTITUTE(SUBSTITUTE(LOWER(Registro!$G143),"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",LEN(Registro!$G143))),({1,2,3,4,5,6,7,8,9,10,11,12,13,14,15,16,17,18,19,20,21,22,23,24,25,26,27,28,29,30}-1)*LEN(Registro!$G143)+1,LEN(Registro!$G143)))&amp;"x")+1,20))),"Revisar formato")))</f>
        <v/>
      </c>
      <c r="J143" s="9" t="str">
        <f>IF(AND(Registro!$E143="",Registro!$G143=""),"",IF(NOT(AND(ISNUMBER(I143),ISNUMBER(Registro!$H143))),"",IF(I143&lt;Registro!$H143,"FALTA BOLETOS",IF(I143=Registro!$H143,"CONFORME","DIFERENCIA"))))</f>
        <v/>
      </c>
      <c r="K143" s="11" t="str">
        <f>IF(Registro!$I143="","",IFERROR(SUMPRODUCT(--("0"&amp;TRIM(RIGHT(SUBSTITUTE(TRIM(MID(SUBSTITUTE(SUBSTITUTE(Registro!$I143,";",CHAR(10)),CHAR(10),REPT(" ",LEN(Registro!$I143))),({1,2,3,4,5,6,7,8,9,10,11,12,13,14,15,16,17,18,19,20,21,22,23,24,25,26,27,28,29,30}-1)*LEN(Registro!$I143)+1,LEN(Registro!$I143)))," ",REPT(" ",50)),50)))),"Revisar formato"))</f>
        <v/>
      </c>
      <c r="L143" s="11" t="str">
        <f>IF(Registro!$J143="","",IFERROR(SUMPRODUCT(--("0"&amp;TRIM(RIGHT(SUBSTITUTE(TRIM(MID(SUBSTITUTE(SUBSTITUTE(Registro!$J143,";",CHAR(10)),CHAR(10),REPT(" ",LEN(Registro!$J143))),({1,2,3,4,5,6,7,8,9,10,11,12,13,14,15,16,17,18,19,20,21,22,23,24,25,26,27,28,29,30}-1)*LEN(Registro!$J143)+1,LEN(Registro!$J143)))," ",REPT(" ",50)),50)))),"Revisar formato"))</f>
        <v/>
      </c>
      <c r="M143" s="11" t="str">
        <f>IF(AND(Registro!$H143="",Registro!$I143=""),"",IF(AND(ISTEXT(K143),K143&lt;&gt;""),"Revisar formato",N(Registro!$H143)-N(K143)))</f>
        <v/>
      </c>
      <c r="N143" s="11" t="str">
        <f t="shared" si="8"/>
        <v/>
      </c>
      <c r="O143" s="15" t="str">
        <f>IF(AND(A143=Consulta!$B$3,C143=Consulta!$H$3),B143*10000+ROW(),"")</f>
        <v/>
      </c>
    </row>
    <row r="144" spans="1:15" x14ac:dyDescent="0.25">
      <c r="A144" s="9" t="str">
        <f>IF(Registro!$A144="","",Registro!$A144)</f>
        <v/>
      </c>
      <c r="B144" s="8" t="str">
        <f>IF(Registro!$B144="","",Registro!$B144)</f>
        <v/>
      </c>
      <c r="C144" s="14" t="str">
        <f t="shared" si="6"/>
        <v/>
      </c>
      <c r="D144" s="10" t="str">
        <f>IF(Registro!$E144="","",IF(ISERROR(FIND("x",LOWER(Registro!$E144))),"-",IFERROR(SUMPRODUCT(--("0"&amp;LEFT(TRIM(MID(SUBSTITUTE(SUBSTITUTE(SUBSTITUTE(SUBSTITUTE(SUBSTITUTE(LOWER(Registro!$E144),"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",LEN(Registro!$E144))),({1,2,3,4,5,6,7,8,9,10,11,12,13,14,15,16,17,18,19,20,21,22,23,24,25,26,27,28,29,30}-1)*LEN(Registro!$E144)+1,LEN(Registro!$E144)))&amp;"x")-1))),"Revisar formato")))</f>
        <v/>
      </c>
      <c r="E144" s="11" t="str">
        <f>IF(Registro!$E144="","",IF(ISERROR(FIND("x",LOWER(Registro!$E144))),"-",IFERROR(SUMPRODUCT(--("0"&amp;LEFT(TRIM(MID(SUBSTITUTE(SUBSTITUTE(SUBSTITUTE(SUBSTITUTE(SUBSTITUTE(LOWER(Registro!$E144),"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",LEN(Registro!$E144))),({1,2,3,4,5,6,7,8,9,10,11,12,13,14,15,16,17,18,19,20,21,22,23,24,25,26,27,28,29,30}-1)*LEN(Registro!$E144)+1,LEN(Registro!$E144)))&amp;"x")-1)),--("0"&amp;MID(TRIM(MID(SUBSTITUTE(SUBSTITUTE(SUBSTITUTE(SUBSTITUTE(SUBSTITUTE(LOWER(Registro!$E144),"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",LEN(Registro!$E144))),({1,2,3,4,5,6,7,8,9,10,11,12,13,14,15,16,17,18,19,20,21,22,23,24,25,26,27,28,29,30}-1)*LEN(Registro!$E144)+1,LEN(Registro!$E144)))&amp;"x")+1,20))),"Revisar formato")))</f>
        <v/>
      </c>
      <c r="F144" s="11" t="str">
        <f>IF(Registro!$F144="","",N(Registro!$F144))</f>
        <v/>
      </c>
      <c r="G144" s="11" t="str">
        <f t="shared" si="7"/>
        <v/>
      </c>
      <c r="H144" s="10" t="str">
        <f>IF(Registro!$G144="","",IF(ISERROR(FIND("x",LOWER(Registro!$G144))),"-",IFERROR(SUMPRODUCT(--("0"&amp;LEFT(TRIM(MID(SUBSTITUTE(SUBSTITUTE(SUBSTITUTE(SUBSTITUTE(SUBSTITUTE(LOWER(Registro!$G144),"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",LEN(Registro!$G144))),({1,2,3,4,5,6,7,8,9,10,11,12,13,14,15,16,17,18,19,20,21,22,23,24,25,26,27,28,29,30}-1)*LEN(Registro!$G144)+1,LEN(Registro!$G144))),FIND("x",TRIM(MID(SUBSTITUTE(SUBSTITUTE(SUBSTITUTE(SUBSTITUTE(SUBSTITUTE(LOWER(Registro!$G144),"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",LEN(Registro!$G144))),({1,2,3,4,5,6,7,8,9,10,11,12,13,14,15,16,17,18,19,20,21,22,23,24,25,26,27,28,29,30}-1)*LEN(Registro!$G144)+1,LEN(Registro!$G144)))&amp;"x")-1))),"Revisar formato")))</f>
        <v/>
      </c>
      <c r="I144" s="11" t="str">
        <f>IF(Registro!$G144="","",IF(ISERROR(FIND("x",LOWER(Registro!$G144))),N(Registro!$H144),IFERROR(SUMPRODUCT(--("0"&amp;LEFT(TRIM(MID(SUBSTITUTE(SUBSTITUTE(SUBSTITUTE(SUBSTITUTE(SUBSTITUTE(LOWER(Registro!$G144),"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",LEN(Registro!$G144))),({1,2,3,4,5,6,7,8,9,10,11,12,13,14,15,16,17,18,19,20,21,22,23,24,25,26,27,28,29,30}-1)*LEN(Registro!$G144)+1,LEN(Registro!$G144))),FIND("x",TRIM(MID(SUBSTITUTE(SUBSTITUTE(SUBSTITUTE(SUBSTITUTE(SUBSTITUTE(LOWER(Registro!$G144),"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",LEN(Registro!$G144))),({1,2,3,4,5,6,7,8,9,10,11,12,13,14,15,16,17,18,19,20,21,22,23,24,25,26,27,28,29,30}-1)*LEN(Registro!$G144)+1,LEN(Registro!$G144)))&amp;"x")-1)),--("0"&amp;MID(TRIM(MID(SUBSTITUTE(SUBSTITUTE(SUBSTITUTE(SUBSTITUTE(SUBSTITUTE(LOWER(Registro!$G144),"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",LEN(Registro!$G144))),({1,2,3,4,5,6,7,8,9,10,11,12,13,14,15,16,17,18,19,20,21,22,23,24,25,26,27,28,29,30}-1)*LEN(Registro!$G144)+1,LEN(Registro!$G144))),FIND("x",TRIM(MID(SUBSTITUTE(SUBSTITUTE(SUBSTITUTE(SUBSTITUTE(SUBSTITUTE(LOWER(Registro!$G144),"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",LEN(Registro!$G144))),({1,2,3,4,5,6,7,8,9,10,11,12,13,14,15,16,17,18,19,20,21,22,23,24,25,26,27,28,29,30}-1)*LEN(Registro!$G144)+1,LEN(Registro!$G144)))&amp;"x")+1,20))),"Revisar formato")))</f>
        <v/>
      </c>
      <c r="J144" s="9" t="str">
        <f>IF(AND(Registro!$E144="",Registro!$G144=""),"",IF(NOT(AND(ISNUMBER(I144),ISNUMBER(Registro!$H144))),"",IF(I144&lt;Registro!$H144,"FALTA BOLETOS",IF(I144=Registro!$H144,"CONFORME","DIFERENCIA"))))</f>
        <v/>
      </c>
      <c r="K144" s="11" t="str">
        <f>IF(Registro!$I144="","",IFERROR(SUMPRODUCT(--("0"&amp;TRIM(RIGHT(SUBSTITUTE(TRIM(MID(SUBSTITUTE(SUBSTITUTE(Registro!$I144,";",CHAR(10)),CHAR(10),REPT(" ",LEN(Registro!$I144))),({1,2,3,4,5,6,7,8,9,10,11,12,13,14,15,16,17,18,19,20,21,22,23,24,25,26,27,28,29,30}-1)*LEN(Registro!$I144)+1,LEN(Registro!$I144)))," ",REPT(" ",50)),50)))),"Revisar formato"))</f>
        <v/>
      </c>
      <c r="L144" s="11" t="str">
        <f>IF(Registro!$J144="","",IFERROR(SUMPRODUCT(--("0"&amp;TRIM(RIGHT(SUBSTITUTE(TRIM(MID(SUBSTITUTE(SUBSTITUTE(Registro!$J144,";",CHAR(10)),CHAR(10),REPT(" ",LEN(Registro!$J144))),({1,2,3,4,5,6,7,8,9,10,11,12,13,14,15,16,17,18,19,20,21,22,23,24,25,26,27,28,29,30}-1)*LEN(Registro!$J144)+1,LEN(Registro!$J144)))," ",REPT(" ",50)),50)))),"Revisar formato"))</f>
        <v/>
      </c>
      <c r="M144" s="11" t="str">
        <f>IF(AND(Registro!$H144="",Registro!$I144=""),"",IF(AND(ISTEXT(K144),K144&lt;&gt;""),"Revisar formato",N(Registro!$H144)-N(K144)))</f>
        <v/>
      </c>
      <c r="N144" s="11" t="str">
        <f t="shared" si="8"/>
        <v/>
      </c>
      <c r="O144" s="15" t="str">
        <f>IF(AND(A144=Consulta!$B$3,C144=Consulta!$H$3),B144*10000+ROW(),"")</f>
        <v/>
      </c>
    </row>
    <row r="145" spans="1:15" x14ac:dyDescent="0.25">
      <c r="A145" s="9" t="str">
        <f>IF(Registro!$A145="","",Registro!$A145)</f>
        <v/>
      </c>
      <c r="B145" s="8" t="str">
        <f>IF(Registro!$B145="","",Registro!$B145)</f>
        <v/>
      </c>
      <c r="C145" s="14" t="str">
        <f t="shared" si="6"/>
        <v/>
      </c>
      <c r="D145" s="10" t="str">
        <f>IF(Registro!$E145="","",IF(ISERROR(FIND("x",LOWER(Registro!$E145))),"-",IFERROR(SUMPRODUCT(--("0"&amp;LEFT(TRIM(MID(SUBSTITUTE(SUBSTITUTE(SUBSTITUTE(SUBSTITUTE(SUBSTITUTE(LOWER(Registro!$E145),"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",LEN(Registro!$E145))),({1,2,3,4,5,6,7,8,9,10,11,12,13,14,15,16,17,18,19,20,21,22,23,24,25,26,27,28,29,30}-1)*LEN(Registro!$E145)+1,LEN(Registro!$E145)))&amp;"x")-1))),"Revisar formato")))</f>
        <v/>
      </c>
      <c r="E145" s="11" t="str">
        <f>IF(Registro!$E145="","",IF(ISERROR(FIND("x",LOWER(Registro!$E145))),"-",IFERROR(SUMPRODUCT(--("0"&amp;LEFT(TRIM(MID(SUBSTITUTE(SUBSTITUTE(SUBSTITUTE(SUBSTITUTE(SUBSTITUTE(LOWER(Registro!$E145),"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",LEN(Registro!$E145))),({1,2,3,4,5,6,7,8,9,10,11,12,13,14,15,16,17,18,19,20,21,22,23,24,25,26,27,28,29,30}-1)*LEN(Registro!$E145)+1,LEN(Registro!$E145)))&amp;"x")-1)),--("0"&amp;MID(TRIM(MID(SUBSTITUTE(SUBSTITUTE(SUBSTITUTE(SUBSTITUTE(SUBSTITUTE(LOWER(Registro!$E145),"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",LEN(Registro!$E145))),({1,2,3,4,5,6,7,8,9,10,11,12,13,14,15,16,17,18,19,20,21,22,23,24,25,26,27,28,29,30}-1)*LEN(Registro!$E145)+1,LEN(Registro!$E145)))&amp;"x")+1,20))),"Revisar formato")))</f>
        <v/>
      </c>
      <c r="F145" s="11" t="str">
        <f>IF(Registro!$F145="","",N(Registro!$F145))</f>
        <v/>
      </c>
      <c r="G145" s="11" t="str">
        <f t="shared" si="7"/>
        <v/>
      </c>
      <c r="H145" s="10" t="str">
        <f>IF(Registro!$G145="","",IF(ISERROR(FIND("x",LOWER(Registro!$G145))),"-",IFERROR(SUMPRODUCT(--("0"&amp;LEFT(TRIM(MID(SUBSTITUTE(SUBSTITUTE(SUBSTITUTE(SUBSTITUTE(SUBSTITUTE(LOWER(Registro!$G145),"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",LEN(Registro!$G145))),({1,2,3,4,5,6,7,8,9,10,11,12,13,14,15,16,17,18,19,20,21,22,23,24,25,26,27,28,29,30}-1)*LEN(Registro!$G145)+1,LEN(Registro!$G145))),FIND("x",TRIM(MID(SUBSTITUTE(SUBSTITUTE(SUBSTITUTE(SUBSTITUTE(SUBSTITUTE(LOWER(Registro!$G145),"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",LEN(Registro!$G145))),({1,2,3,4,5,6,7,8,9,10,11,12,13,14,15,16,17,18,19,20,21,22,23,24,25,26,27,28,29,30}-1)*LEN(Registro!$G145)+1,LEN(Registro!$G145)))&amp;"x")-1))),"Revisar formato")))</f>
        <v/>
      </c>
      <c r="I145" s="11" t="str">
        <f>IF(Registro!$G145="","",IF(ISERROR(FIND("x",LOWER(Registro!$G145))),N(Registro!$H145),IFERROR(SUMPRODUCT(--("0"&amp;LEFT(TRIM(MID(SUBSTITUTE(SUBSTITUTE(SUBSTITUTE(SUBSTITUTE(SUBSTITUTE(LOWER(Registro!$G145),"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",LEN(Registro!$G145))),({1,2,3,4,5,6,7,8,9,10,11,12,13,14,15,16,17,18,19,20,21,22,23,24,25,26,27,28,29,30}-1)*LEN(Registro!$G145)+1,LEN(Registro!$G145))),FIND("x",TRIM(MID(SUBSTITUTE(SUBSTITUTE(SUBSTITUTE(SUBSTITUTE(SUBSTITUTE(LOWER(Registro!$G145),"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",LEN(Registro!$G145))),({1,2,3,4,5,6,7,8,9,10,11,12,13,14,15,16,17,18,19,20,21,22,23,24,25,26,27,28,29,30}-1)*LEN(Registro!$G145)+1,LEN(Registro!$G145)))&amp;"x")-1)),--("0"&amp;MID(TRIM(MID(SUBSTITUTE(SUBSTITUTE(SUBSTITUTE(SUBSTITUTE(SUBSTITUTE(LOWER(Registro!$G145),"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",LEN(Registro!$G145))),({1,2,3,4,5,6,7,8,9,10,11,12,13,14,15,16,17,18,19,20,21,22,23,24,25,26,27,28,29,30}-1)*LEN(Registro!$G145)+1,LEN(Registro!$G145))),FIND("x",TRIM(MID(SUBSTITUTE(SUBSTITUTE(SUBSTITUTE(SUBSTITUTE(SUBSTITUTE(LOWER(Registro!$G145),"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",LEN(Registro!$G145))),({1,2,3,4,5,6,7,8,9,10,11,12,13,14,15,16,17,18,19,20,21,22,23,24,25,26,27,28,29,30}-1)*LEN(Registro!$G145)+1,LEN(Registro!$G145)))&amp;"x")+1,20))),"Revisar formato")))</f>
        <v/>
      </c>
      <c r="J145" s="9" t="str">
        <f>IF(AND(Registro!$E145="",Registro!$G145=""),"",IF(NOT(AND(ISNUMBER(I145),ISNUMBER(Registro!$H145))),"",IF(I145&lt;Registro!$H145,"FALTA BOLETOS",IF(I145=Registro!$H145,"CONFORME","DIFERENCIA"))))</f>
        <v/>
      </c>
      <c r="K145" s="11" t="str">
        <f>IF(Registro!$I145="","",IFERROR(SUMPRODUCT(--("0"&amp;TRIM(RIGHT(SUBSTITUTE(TRIM(MID(SUBSTITUTE(SUBSTITUTE(Registro!$I145,";",CHAR(10)),CHAR(10),REPT(" ",LEN(Registro!$I145))),({1,2,3,4,5,6,7,8,9,10,11,12,13,14,15,16,17,18,19,20,21,22,23,24,25,26,27,28,29,30}-1)*LEN(Registro!$I145)+1,LEN(Registro!$I145)))," ",REPT(" ",50)),50)))),"Revisar formato"))</f>
        <v/>
      </c>
      <c r="L145" s="11" t="str">
        <f>IF(Registro!$J145="","",IFERROR(SUMPRODUCT(--("0"&amp;TRIM(RIGHT(SUBSTITUTE(TRIM(MID(SUBSTITUTE(SUBSTITUTE(Registro!$J145,";",CHAR(10)),CHAR(10),REPT(" ",LEN(Registro!$J145))),({1,2,3,4,5,6,7,8,9,10,11,12,13,14,15,16,17,18,19,20,21,22,23,24,25,26,27,28,29,30}-1)*LEN(Registro!$J145)+1,LEN(Registro!$J145)))," ",REPT(" ",50)),50)))),"Revisar formato"))</f>
        <v/>
      </c>
      <c r="M145" s="11" t="str">
        <f>IF(AND(Registro!$H145="",Registro!$I145=""),"",IF(AND(ISTEXT(K145),K145&lt;&gt;""),"Revisar formato",N(Registro!$H145)-N(K145)))</f>
        <v/>
      </c>
      <c r="N145" s="11" t="str">
        <f t="shared" si="8"/>
        <v/>
      </c>
      <c r="O145" s="15" t="str">
        <f>IF(AND(A145=Consulta!$B$3,C145=Consulta!$H$3),B145*10000+ROW(),"")</f>
        <v/>
      </c>
    </row>
    <row r="146" spans="1:15" x14ac:dyDescent="0.25">
      <c r="A146" s="9" t="str">
        <f>IF(Registro!$A146="","",Registro!$A146)</f>
        <v/>
      </c>
      <c r="B146" s="8" t="str">
        <f>IF(Registro!$B146="","",Registro!$B146)</f>
        <v/>
      </c>
      <c r="C146" s="14" t="str">
        <f t="shared" si="6"/>
        <v/>
      </c>
      <c r="D146" s="10" t="str">
        <f>IF(Registro!$E146="","",IF(ISERROR(FIND("x",LOWER(Registro!$E146))),"-",IFERROR(SUMPRODUCT(--("0"&amp;LEFT(TRIM(MID(SUBSTITUTE(SUBSTITUTE(SUBSTITUTE(SUBSTITUTE(SUBSTITUTE(LOWER(Registro!$E146),"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",LEN(Registro!$E146))),({1,2,3,4,5,6,7,8,9,10,11,12,13,14,15,16,17,18,19,20,21,22,23,24,25,26,27,28,29,30}-1)*LEN(Registro!$E146)+1,LEN(Registro!$E146)))&amp;"x")-1))),"Revisar formato")))</f>
        <v/>
      </c>
      <c r="E146" s="11" t="str">
        <f>IF(Registro!$E146="","",IF(ISERROR(FIND("x",LOWER(Registro!$E146))),"-",IFERROR(SUMPRODUCT(--("0"&amp;LEFT(TRIM(MID(SUBSTITUTE(SUBSTITUTE(SUBSTITUTE(SUBSTITUTE(SUBSTITUTE(LOWER(Registro!$E146),"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",LEN(Registro!$E146))),({1,2,3,4,5,6,7,8,9,10,11,12,13,14,15,16,17,18,19,20,21,22,23,24,25,26,27,28,29,30}-1)*LEN(Registro!$E146)+1,LEN(Registro!$E146)))&amp;"x")-1)),--("0"&amp;MID(TRIM(MID(SUBSTITUTE(SUBSTITUTE(SUBSTITUTE(SUBSTITUTE(SUBSTITUTE(LOWER(Registro!$E146),"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",LEN(Registro!$E146))),({1,2,3,4,5,6,7,8,9,10,11,12,13,14,15,16,17,18,19,20,21,22,23,24,25,26,27,28,29,30}-1)*LEN(Registro!$E146)+1,LEN(Registro!$E146)))&amp;"x")+1,20))),"Revisar formato")))</f>
        <v/>
      </c>
      <c r="F146" s="11" t="str">
        <f>IF(Registro!$F146="","",N(Registro!$F146))</f>
        <v/>
      </c>
      <c r="G146" s="11" t="str">
        <f t="shared" si="7"/>
        <v/>
      </c>
      <c r="H146" s="10" t="str">
        <f>IF(Registro!$G146="","",IF(ISERROR(FIND("x",LOWER(Registro!$G146))),"-",IFERROR(SUMPRODUCT(--("0"&amp;LEFT(TRIM(MID(SUBSTITUTE(SUBSTITUTE(SUBSTITUTE(SUBSTITUTE(SUBSTITUTE(LOWER(Registro!$G146),"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",LEN(Registro!$G146))),({1,2,3,4,5,6,7,8,9,10,11,12,13,14,15,16,17,18,19,20,21,22,23,24,25,26,27,28,29,30}-1)*LEN(Registro!$G146)+1,LEN(Registro!$G146))),FIND("x",TRIM(MID(SUBSTITUTE(SUBSTITUTE(SUBSTITUTE(SUBSTITUTE(SUBSTITUTE(LOWER(Registro!$G146),"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",LEN(Registro!$G146))),({1,2,3,4,5,6,7,8,9,10,11,12,13,14,15,16,17,18,19,20,21,22,23,24,25,26,27,28,29,30}-1)*LEN(Registro!$G146)+1,LEN(Registro!$G146)))&amp;"x")-1))),"Revisar formato")))</f>
        <v/>
      </c>
      <c r="I146" s="11" t="str">
        <f>IF(Registro!$G146="","",IF(ISERROR(FIND("x",LOWER(Registro!$G146))),N(Registro!$H146),IFERROR(SUMPRODUCT(--("0"&amp;LEFT(TRIM(MID(SUBSTITUTE(SUBSTITUTE(SUBSTITUTE(SUBSTITUTE(SUBSTITUTE(LOWER(Registro!$G146),"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",LEN(Registro!$G146))),({1,2,3,4,5,6,7,8,9,10,11,12,13,14,15,16,17,18,19,20,21,22,23,24,25,26,27,28,29,30}-1)*LEN(Registro!$G146)+1,LEN(Registro!$G146))),FIND("x",TRIM(MID(SUBSTITUTE(SUBSTITUTE(SUBSTITUTE(SUBSTITUTE(SUBSTITUTE(LOWER(Registro!$G146),"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",LEN(Registro!$G146))),({1,2,3,4,5,6,7,8,9,10,11,12,13,14,15,16,17,18,19,20,21,22,23,24,25,26,27,28,29,30}-1)*LEN(Registro!$G146)+1,LEN(Registro!$G146)))&amp;"x")-1)),--("0"&amp;MID(TRIM(MID(SUBSTITUTE(SUBSTITUTE(SUBSTITUTE(SUBSTITUTE(SUBSTITUTE(LOWER(Registro!$G146),"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",LEN(Registro!$G146))),({1,2,3,4,5,6,7,8,9,10,11,12,13,14,15,16,17,18,19,20,21,22,23,24,25,26,27,28,29,30}-1)*LEN(Registro!$G146)+1,LEN(Registro!$G146))),FIND("x",TRIM(MID(SUBSTITUTE(SUBSTITUTE(SUBSTITUTE(SUBSTITUTE(SUBSTITUTE(LOWER(Registro!$G146),"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",LEN(Registro!$G146))),({1,2,3,4,5,6,7,8,9,10,11,12,13,14,15,16,17,18,19,20,21,22,23,24,25,26,27,28,29,30}-1)*LEN(Registro!$G146)+1,LEN(Registro!$G146)))&amp;"x")+1,20))),"Revisar formato")))</f>
        <v/>
      </c>
      <c r="J146" s="9" t="str">
        <f>IF(AND(Registro!$E146="",Registro!$G146=""),"",IF(NOT(AND(ISNUMBER(I146),ISNUMBER(Registro!$H146))),"",IF(I146&lt;Registro!$H146,"FALTA BOLETOS",IF(I146=Registro!$H146,"CONFORME","DIFERENCIA"))))</f>
        <v/>
      </c>
      <c r="K146" s="11" t="str">
        <f>IF(Registro!$I146="","",IFERROR(SUMPRODUCT(--("0"&amp;TRIM(RIGHT(SUBSTITUTE(TRIM(MID(SUBSTITUTE(SUBSTITUTE(Registro!$I146,";",CHAR(10)),CHAR(10),REPT(" ",LEN(Registro!$I146))),({1,2,3,4,5,6,7,8,9,10,11,12,13,14,15,16,17,18,19,20,21,22,23,24,25,26,27,28,29,30}-1)*LEN(Registro!$I146)+1,LEN(Registro!$I146)))," ",REPT(" ",50)),50)))),"Revisar formato"))</f>
        <v/>
      </c>
      <c r="L146" s="11" t="str">
        <f>IF(Registro!$J146="","",IFERROR(SUMPRODUCT(--("0"&amp;TRIM(RIGHT(SUBSTITUTE(TRIM(MID(SUBSTITUTE(SUBSTITUTE(Registro!$J146,";",CHAR(10)),CHAR(10),REPT(" ",LEN(Registro!$J146))),({1,2,3,4,5,6,7,8,9,10,11,12,13,14,15,16,17,18,19,20,21,22,23,24,25,26,27,28,29,30}-1)*LEN(Registro!$J146)+1,LEN(Registro!$J146)))," ",REPT(" ",50)),50)))),"Revisar formato"))</f>
        <v/>
      </c>
      <c r="M146" s="11" t="str">
        <f>IF(AND(Registro!$H146="",Registro!$I146=""),"",IF(AND(ISTEXT(K146),K146&lt;&gt;""),"Revisar formato",N(Registro!$H146)-N(K146)))</f>
        <v/>
      </c>
      <c r="N146" s="11" t="str">
        <f t="shared" si="8"/>
        <v/>
      </c>
      <c r="O146" s="15" t="str">
        <f>IF(AND(A146=Consulta!$B$3,C146=Consulta!$H$3),B146*10000+ROW(),"")</f>
        <v/>
      </c>
    </row>
    <row r="147" spans="1:15" x14ac:dyDescent="0.25">
      <c r="A147" s="9" t="str">
        <f>IF(Registro!$A147="","",Registro!$A147)</f>
        <v/>
      </c>
      <c r="B147" s="8" t="str">
        <f>IF(Registro!$B147="","",Registro!$B147)</f>
        <v/>
      </c>
      <c r="C147" s="14" t="str">
        <f t="shared" si="6"/>
        <v/>
      </c>
      <c r="D147" s="10" t="str">
        <f>IF(Registro!$E147="","",IF(ISERROR(FIND("x",LOWER(Registro!$E147))),"-",IFERROR(SUMPRODUCT(--("0"&amp;LEFT(TRIM(MID(SUBSTITUTE(SUBSTITUTE(SUBSTITUTE(SUBSTITUTE(SUBSTITUTE(LOWER(Registro!$E147),"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",LEN(Registro!$E147))),({1,2,3,4,5,6,7,8,9,10,11,12,13,14,15,16,17,18,19,20,21,22,23,24,25,26,27,28,29,30}-1)*LEN(Registro!$E147)+1,LEN(Registro!$E147)))&amp;"x")-1))),"Revisar formato")))</f>
        <v/>
      </c>
      <c r="E147" s="11" t="str">
        <f>IF(Registro!$E147="","",IF(ISERROR(FIND("x",LOWER(Registro!$E147))),"-",IFERROR(SUMPRODUCT(--("0"&amp;LEFT(TRIM(MID(SUBSTITUTE(SUBSTITUTE(SUBSTITUTE(SUBSTITUTE(SUBSTITUTE(LOWER(Registro!$E147),"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",LEN(Registro!$E147))),({1,2,3,4,5,6,7,8,9,10,11,12,13,14,15,16,17,18,19,20,21,22,23,24,25,26,27,28,29,30}-1)*LEN(Registro!$E147)+1,LEN(Registro!$E147)))&amp;"x")-1)),--("0"&amp;MID(TRIM(MID(SUBSTITUTE(SUBSTITUTE(SUBSTITUTE(SUBSTITUTE(SUBSTITUTE(LOWER(Registro!$E147),"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",LEN(Registro!$E147))),({1,2,3,4,5,6,7,8,9,10,11,12,13,14,15,16,17,18,19,20,21,22,23,24,25,26,27,28,29,30}-1)*LEN(Registro!$E147)+1,LEN(Registro!$E147)))&amp;"x")+1,20))),"Revisar formato")))</f>
        <v/>
      </c>
      <c r="F147" s="11" t="str">
        <f>IF(Registro!$F147="","",N(Registro!$F147))</f>
        <v/>
      </c>
      <c r="G147" s="11" t="str">
        <f t="shared" si="7"/>
        <v/>
      </c>
      <c r="H147" s="10" t="str">
        <f>IF(Registro!$G147="","",IF(ISERROR(FIND("x",LOWER(Registro!$G147))),"-",IFERROR(SUMPRODUCT(--("0"&amp;LEFT(TRIM(MID(SUBSTITUTE(SUBSTITUTE(SUBSTITUTE(SUBSTITUTE(SUBSTITUTE(LOWER(Registro!$G147),"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",LEN(Registro!$G147))),({1,2,3,4,5,6,7,8,9,10,11,12,13,14,15,16,17,18,19,20,21,22,23,24,25,26,27,28,29,30}-1)*LEN(Registro!$G147)+1,LEN(Registro!$G147))),FIND("x",TRIM(MID(SUBSTITUTE(SUBSTITUTE(SUBSTITUTE(SUBSTITUTE(SUBSTITUTE(LOWER(Registro!$G147),"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",LEN(Registro!$G147))),({1,2,3,4,5,6,7,8,9,10,11,12,13,14,15,16,17,18,19,20,21,22,23,24,25,26,27,28,29,30}-1)*LEN(Registro!$G147)+1,LEN(Registro!$G147)))&amp;"x")-1))),"Revisar formato")))</f>
        <v/>
      </c>
      <c r="I147" s="11" t="str">
        <f>IF(Registro!$G147="","",IF(ISERROR(FIND("x",LOWER(Registro!$G147))),N(Registro!$H147),IFERROR(SUMPRODUCT(--("0"&amp;LEFT(TRIM(MID(SUBSTITUTE(SUBSTITUTE(SUBSTITUTE(SUBSTITUTE(SUBSTITUTE(LOWER(Registro!$G147),"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",LEN(Registro!$G147))),({1,2,3,4,5,6,7,8,9,10,11,12,13,14,15,16,17,18,19,20,21,22,23,24,25,26,27,28,29,30}-1)*LEN(Registro!$G147)+1,LEN(Registro!$G147))),FIND("x",TRIM(MID(SUBSTITUTE(SUBSTITUTE(SUBSTITUTE(SUBSTITUTE(SUBSTITUTE(LOWER(Registro!$G147),"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",LEN(Registro!$G147))),({1,2,3,4,5,6,7,8,9,10,11,12,13,14,15,16,17,18,19,20,21,22,23,24,25,26,27,28,29,30}-1)*LEN(Registro!$G147)+1,LEN(Registro!$G147)))&amp;"x")-1)),--("0"&amp;MID(TRIM(MID(SUBSTITUTE(SUBSTITUTE(SUBSTITUTE(SUBSTITUTE(SUBSTITUTE(LOWER(Registro!$G147),"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",LEN(Registro!$G147))),({1,2,3,4,5,6,7,8,9,10,11,12,13,14,15,16,17,18,19,20,21,22,23,24,25,26,27,28,29,30}-1)*LEN(Registro!$G147)+1,LEN(Registro!$G147))),FIND("x",TRIM(MID(SUBSTITUTE(SUBSTITUTE(SUBSTITUTE(SUBSTITUTE(SUBSTITUTE(LOWER(Registro!$G147),"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",LEN(Registro!$G147))),({1,2,3,4,5,6,7,8,9,10,11,12,13,14,15,16,17,18,19,20,21,22,23,24,25,26,27,28,29,30}-1)*LEN(Registro!$G147)+1,LEN(Registro!$G147)))&amp;"x")+1,20))),"Revisar formato")))</f>
        <v/>
      </c>
      <c r="J147" s="9" t="str">
        <f>IF(AND(Registro!$E147="",Registro!$G147=""),"",IF(NOT(AND(ISNUMBER(I147),ISNUMBER(Registro!$H147))),"",IF(I147&lt;Registro!$H147,"FALTA BOLETOS",IF(I147=Registro!$H147,"CONFORME","DIFERENCIA"))))</f>
        <v/>
      </c>
      <c r="K147" s="11" t="str">
        <f>IF(Registro!$I147="","",IFERROR(SUMPRODUCT(--("0"&amp;TRIM(RIGHT(SUBSTITUTE(TRIM(MID(SUBSTITUTE(SUBSTITUTE(Registro!$I147,";",CHAR(10)),CHAR(10),REPT(" ",LEN(Registro!$I147))),({1,2,3,4,5,6,7,8,9,10,11,12,13,14,15,16,17,18,19,20,21,22,23,24,25,26,27,28,29,30}-1)*LEN(Registro!$I147)+1,LEN(Registro!$I147)))," ",REPT(" ",50)),50)))),"Revisar formato"))</f>
        <v/>
      </c>
      <c r="L147" s="11" t="str">
        <f>IF(Registro!$J147="","",IFERROR(SUMPRODUCT(--("0"&amp;TRIM(RIGHT(SUBSTITUTE(TRIM(MID(SUBSTITUTE(SUBSTITUTE(Registro!$J147,";",CHAR(10)),CHAR(10),REPT(" ",LEN(Registro!$J147))),({1,2,3,4,5,6,7,8,9,10,11,12,13,14,15,16,17,18,19,20,21,22,23,24,25,26,27,28,29,30}-1)*LEN(Registro!$J147)+1,LEN(Registro!$J147)))," ",REPT(" ",50)),50)))),"Revisar formato"))</f>
        <v/>
      </c>
      <c r="M147" s="11" t="str">
        <f>IF(AND(Registro!$H147="",Registro!$I147=""),"",IF(AND(ISTEXT(K147),K147&lt;&gt;""),"Revisar formato",N(Registro!$H147)-N(K147)))</f>
        <v/>
      </c>
      <c r="N147" s="11" t="str">
        <f t="shared" si="8"/>
        <v/>
      </c>
      <c r="O147" s="15" t="str">
        <f>IF(AND(A147=Consulta!$B$3,C147=Consulta!$H$3),B147*10000+ROW(),"")</f>
        <v/>
      </c>
    </row>
    <row r="148" spans="1:15" x14ac:dyDescent="0.25">
      <c r="A148" s="9" t="str">
        <f>IF(Registro!$A148="","",Registro!$A148)</f>
        <v/>
      </c>
      <c r="B148" s="8" t="str">
        <f>IF(Registro!$B148="","",Registro!$B148)</f>
        <v/>
      </c>
      <c r="C148" s="14" t="str">
        <f t="shared" si="6"/>
        <v/>
      </c>
      <c r="D148" s="10" t="str">
        <f>IF(Registro!$E148="","",IF(ISERROR(FIND("x",LOWER(Registro!$E148))),"-",IFERROR(SUMPRODUCT(--("0"&amp;LEFT(TRIM(MID(SUBSTITUTE(SUBSTITUTE(SUBSTITUTE(SUBSTITUTE(SUBSTITUTE(LOWER(Registro!$E148),"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",LEN(Registro!$E148))),({1,2,3,4,5,6,7,8,9,10,11,12,13,14,15,16,17,18,19,20,21,22,23,24,25,26,27,28,29,30}-1)*LEN(Registro!$E148)+1,LEN(Registro!$E148)))&amp;"x")-1))),"Revisar formato")))</f>
        <v/>
      </c>
      <c r="E148" s="11" t="str">
        <f>IF(Registro!$E148="","",IF(ISERROR(FIND("x",LOWER(Registro!$E148))),"-",IFERROR(SUMPRODUCT(--("0"&amp;LEFT(TRIM(MID(SUBSTITUTE(SUBSTITUTE(SUBSTITUTE(SUBSTITUTE(SUBSTITUTE(LOWER(Registro!$E148),"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",LEN(Registro!$E148))),({1,2,3,4,5,6,7,8,9,10,11,12,13,14,15,16,17,18,19,20,21,22,23,24,25,26,27,28,29,30}-1)*LEN(Registro!$E148)+1,LEN(Registro!$E148)))&amp;"x")-1)),--("0"&amp;MID(TRIM(MID(SUBSTITUTE(SUBSTITUTE(SUBSTITUTE(SUBSTITUTE(SUBSTITUTE(LOWER(Registro!$E148),"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",LEN(Registro!$E148))),({1,2,3,4,5,6,7,8,9,10,11,12,13,14,15,16,17,18,19,20,21,22,23,24,25,26,27,28,29,30}-1)*LEN(Registro!$E148)+1,LEN(Registro!$E148)))&amp;"x")+1,20))),"Revisar formato")))</f>
        <v/>
      </c>
      <c r="F148" s="11" t="str">
        <f>IF(Registro!$F148="","",N(Registro!$F148))</f>
        <v/>
      </c>
      <c r="G148" s="11" t="str">
        <f t="shared" si="7"/>
        <v/>
      </c>
      <c r="H148" s="10" t="str">
        <f>IF(Registro!$G148="","",IF(ISERROR(FIND("x",LOWER(Registro!$G148))),"-",IFERROR(SUMPRODUCT(--("0"&amp;LEFT(TRIM(MID(SUBSTITUTE(SUBSTITUTE(SUBSTITUTE(SUBSTITUTE(SUBSTITUTE(LOWER(Registro!$G148),"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",LEN(Registro!$G148))),({1,2,3,4,5,6,7,8,9,10,11,12,13,14,15,16,17,18,19,20,21,22,23,24,25,26,27,28,29,30}-1)*LEN(Registro!$G148)+1,LEN(Registro!$G148))),FIND("x",TRIM(MID(SUBSTITUTE(SUBSTITUTE(SUBSTITUTE(SUBSTITUTE(SUBSTITUTE(LOWER(Registro!$G148),"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",LEN(Registro!$G148))),({1,2,3,4,5,6,7,8,9,10,11,12,13,14,15,16,17,18,19,20,21,22,23,24,25,26,27,28,29,30}-1)*LEN(Registro!$G148)+1,LEN(Registro!$G148)))&amp;"x")-1))),"Revisar formato")))</f>
        <v/>
      </c>
      <c r="I148" s="11" t="str">
        <f>IF(Registro!$G148="","",IF(ISERROR(FIND("x",LOWER(Registro!$G148))),N(Registro!$H148),IFERROR(SUMPRODUCT(--("0"&amp;LEFT(TRIM(MID(SUBSTITUTE(SUBSTITUTE(SUBSTITUTE(SUBSTITUTE(SUBSTITUTE(LOWER(Registro!$G148),"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",LEN(Registro!$G148))),({1,2,3,4,5,6,7,8,9,10,11,12,13,14,15,16,17,18,19,20,21,22,23,24,25,26,27,28,29,30}-1)*LEN(Registro!$G148)+1,LEN(Registro!$G148))),FIND("x",TRIM(MID(SUBSTITUTE(SUBSTITUTE(SUBSTITUTE(SUBSTITUTE(SUBSTITUTE(LOWER(Registro!$G148),"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",LEN(Registro!$G148))),({1,2,3,4,5,6,7,8,9,10,11,12,13,14,15,16,17,18,19,20,21,22,23,24,25,26,27,28,29,30}-1)*LEN(Registro!$G148)+1,LEN(Registro!$G148)))&amp;"x")-1)),--("0"&amp;MID(TRIM(MID(SUBSTITUTE(SUBSTITUTE(SUBSTITUTE(SUBSTITUTE(SUBSTITUTE(LOWER(Registro!$G148),"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",LEN(Registro!$G148))),({1,2,3,4,5,6,7,8,9,10,11,12,13,14,15,16,17,18,19,20,21,22,23,24,25,26,27,28,29,30}-1)*LEN(Registro!$G148)+1,LEN(Registro!$G148))),FIND("x",TRIM(MID(SUBSTITUTE(SUBSTITUTE(SUBSTITUTE(SUBSTITUTE(SUBSTITUTE(LOWER(Registro!$G148),"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",LEN(Registro!$G148))),({1,2,3,4,5,6,7,8,9,10,11,12,13,14,15,16,17,18,19,20,21,22,23,24,25,26,27,28,29,30}-1)*LEN(Registro!$G148)+1,LEN(Registro!$G148)))&amp;"x")+1,20))),"Revisar formato")))</f>
        <v/>
      </c>
      <c r="J148" s="9" t="str">
        <f>IF(AND(Registro!$E148="",Registro!$G148=""),"",IF(NOT(AND(ISNUMBER(I148),ISNUMBER(Registro!$H148))),"",IF(I148&lt;Registro!$H148,"FALTA BOLETOS",IF(I148=Registro!$H148,"CONFORME","DIFERENCIA"))))</f>
        <v/>
      </c>
      <c r="K148" s="11" t="str">
        <f>IF(Registro!$I148="","",IFERROR(SUMPRODUCT(--("0"&amp;TRIM(RIGHT(SUBSTITUTE(TRIM(MID(SUBSTITUTE(SUBSTITUTE(Registro!$I148,";",CHAR(10)),CHAR(10),REPT(" ",LEN(Registro!$I148))),({1,2,3,4,5,6,7,8,9,10,11,12,13,14,15,16,17,18,19,20,21,22,23,24,25,26,27,28,29,30}-1)*LEN(Registro!$I148)+1,LEN(Registro!$I148)))," ",REPT(" ",50)),50)))),"Revisar formato"))</f>
        <v/>
      </c>
      <c r="L148" s="11" t="str">
        <f>IF(Registro!$J148="","",IFERROR(SUMPRODUCT(--("0"&amp;TRIM(RIGHT(SUBSTITUTE(TRIM(MID(SUBSTITUTE(SUBSTITUTE(Registro!$J148,";",CHAR(10)),CHAR(10),REPT(" ",LEN(Registro!$J148))),({1,2,3,4,5,6,7,8,9,10,11,12,13,14,15,16,17,18,19,20,21,22,23,24,25,26,27,28,29,30}-1)*LEN(Registro!$J148)+1,LEN(Registro!$J148)))," ",REPT(" ",50)),50)))),"Revisar formato"))</f>
        <v/>
      </c>
      <c r="M148" s="11" t="str">
        <f>IF(AND(Registro!$H148="",Registro!$I148=""),"",IF(AND(ISTEXT(K148),K148&lt;&gt;""),"Revisar formato",N(Registro!$H148)-N(K148)))</f>
        <v/>
      </c>
      <c r="N148" s="11" t="str">
        <f t="shared" si="8"/>
        <v/>
      </c>
      <c r="O148" s="15" t="str">
        <f>IF(AND(A148=Consulta!$B$3,C148=Consulta!$H$3),B148*10000+ROW(),"")</f>
        <v/>
      </c>
    </row>
    <row r="149" spans="1:15" x14ac:dyDescent="0.25">
      <c r="A149" s="9" t="str">
        <f>IF(Registro!$A149="","",Registro!$A149)</f>
        <v/>
      </c>
      <c r="B149" s="8" t="str">
        <f>IF(Registro!$B149="","",Registro!$B149)</f>
        <v/>
      </c>
      <c r="C149" s="14" t="str">
        <f t="shared" si="6"/>
        <v/>
      </c>
      <c r="D149" s="10" t="str">
        <f>IF(Registro!$E149="","",IF(ISERROR(FIND("x",LOWER(Registro!$E149))),"-",IFERROR(SUMPRODUCT(--("0"&amp;LEFT(TRIM(MID(SUBSTITUTE(SUBSTITUTE(SUBSTITUTE(SUBSTITUTE(SUBSTITUTE(LOWER(Registro!$E149),"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",LEN(Registro!$E149))),({1,2,3,4,5,6,7,8,9,10,11,12,13,14,15,16,17,18,19,20,21,22,23,24,25,26,27,28,29,30}-1)*LEN(Registro!$E149)+1,LEN(Registro!$E149)))&amp;"x")-1))),"Revisar formato")))</f>
        <v/>
      </c>
      <c r="E149" s="11" t="str">
        <f>IF(Registro!$E149="","",IF(ISERROR(FIND("x",LOWER(Registro!$E149))),"-",IFERROR(SUMPRODUCT(--("0"&amp;LEFT(TRIM(MID(SUBSTITUTE(SUBSTITUTE(SUBSTITUTE(SUBSTITUTE(SUBSTITUTE(LOWER(Registro!$E149),"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",LEN(Registro!$E149))),({1,2,3,4,5,6,7,8,9,10,11,12,13,14,15,16,17,18,19,20,21,22,23,24,25,26,27,28,29,30}-1)*LEN(Registro!$E149)+1,LEN(Registro!$E149)))&amp;"x")-1)),--("0"&amp;MID(TRIM(MID(SUBSTITUTE(SUBSTITUTE(SUBSTITUTE(SUBSTITUTE(SUBSTITUTE(LOWER(Registro!$E149),"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",LEN(Registro!$E149))),({1,2,3,4,5,6,7,8,9,10,11,12,13,14,15,16,17,18,19,20,21,22,23,24,25,26,27,28,29,30}-1)*LEN(Registro!$E149)+1,LEN(Registro!$E149)))&amp;"x")+1,20))),"Revisar formato")))</f>
        <v/>
      </c>
      <c r="F149" s="11" t="str">
        <f>IF(Registro!$F149="","",N(Registro!$F149))</f>
        <v/>
      </c>
      <c r="G149" s="11" t="str">
        <f t="shared" si="7"/>
        <v/>
      </c>
      <c r="H149" s="10" t="str">
        <f>IF(Registro!$G149="","",IF(ISERROR(FIND("x",LOWER(Registro!$G149))),"-",IFERROR(SUMPRODUCT(--("0"&amp;LEFT(TRIM(MID(SUBSTITUTE(SUBSTITUTE(SUBSTITUTE(SUBSTITUTE(SUBSTITUTE(LOWER(Registro!$G149),"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",LEN(Registro!$G149))),({1,2,3,4,5,6,7,8,9,10,11,12,13,14,15,16,17,18,19,20,21,22,23,24,25,26,27,28,29,30}-1)*LEN(Registro!$G149)+1,LEN(Registro!$G149))),FIND("x",TRIM(MID(SUBSTITUTE(SUBSTITUTE(SUBSTITUTE(SUBSTITUTE(SUBSTITUTE(LOWER(Registro!$G149),"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",LEN(Registro!$G149))),({1,2,3,4,5,6,7,8,9,10,11,12,13,14,15,16,17,18,19,20,21,22,23,24,25,26,27,28,29,30}-1)*LEN(Registro!$G149)+1,LEN(Registro!$G149)))&amp;"x")-1))),"Revisar formato")))</f>
        <v/>
      </c>
      <c r="I149" s="11" t="str">
        <f>IF(Registro!$G149="","",IF(ISERROR(FIND("x",LOWER(Registro!$G149))),N(Registro!$H149),IFERROR(SUMPRODUCT(--("0"&amp;LEFT(TRIM(MID(SUBSTITUTE(SUBSTITUTE(SUBSTITUTE(SUBSTITUTE(SUBSTITUTE(LOWER(Registro!$G149),"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",LEN(Registro!$G149))),({1,2,3,4,5,6,7,8,9,10,11,12,13,14,15,16,17,18,19,20,21,22,23,24,25,26,27,28,29,30}-1)*LEN(Registro!$G149)+1,LEN(Registro!$G149))),FIND("x",TRIM(MID(SUBSTITUTE(SUBSTITUTE(SUBSTITUTE(SUBSTITUTE(SUBSTITUTE(LOWER(Registro!$G149),"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",LEN(Registro!$G149))),({1,2,3,4,5,6,7,8,9,10,11,12,13,14,15,16,17,18,19,20,21,22,23,24,25,26,27,28,29,30}-1)*LEN(Registro!$G149)+1,LEN(Registro!$G149)))&amp;"x")-1)),--("0"&amp;MID(TRIM(MID(SUBSTITUTE(SUBSTITUTE(SUBSTITUTE(SUBSTITUTE(SUBSTITUTE(LOWER(Registro!$G149),"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",LEN(Registro!$G149))),({1,2,3,4,5,6,7,8,9,10,11,12,13,14,15,16,17,18,19,20,21,22,23,24,25,26,27,28,29,30}-1)*LEN(Registro!$G149)+1,LEN(Registro!$G149))),FIND("x",TRIM(MID(SUBSTITUTE(SUBSTITUTE(SUBSTITUTE(SUBSTITUTE(SUBSTITUTE(LOWER(Registro!$G149),"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",LEN(Registro!$G149))),({1,2,3,4,5,6,7,8,9,10,11,12,13,14,15,16,17,18,19,20,21,22,23,24,25,26,27,28,29,30}-1)*LEN(Registro!$G149)+1,LEN(Registro!$G149)))&amp;"x")+1,20))),"Revisar formato")))</f>
        <v/>
      </c>
      <c r="J149" s="9" t="str">
        <f>IF(AND(Registro!$E149="",Registro!$G149=""),"",IF(NOT(AND(ISNUMBER(I149),ISNUMBER(Registro!$H149))),"",IF(I149&lt;Registro!$H149,"FALTA BOLETOS",IF(I149=Registro!$H149,"CONFORME","DIFERENCIA"))))</f>
        <v/>
      </c>
      <c r="K149" s="11" t="str">
        <f>IF(Registro!$I149="","",IFERROR(SUMPRODUCT(--("0"&amp;TRIM(RIGHT(SUBSTITUTE(TRIM(MID(SUBSTITUTE(SUBSTITUTE(Registro!$I149,";",CHAR(10)),CHAR(10),REPT(" ",LEN(Registro!$I149))),({1,2,3,4,5,6,7,8,9,10,11,12,13,14,15,16,17,18,19,20,21,22,23,24,25,26,27,28,29,30}-1)*LEN(Registro!$I149)+1,LEN(Registro!$I149)))," ",REPT(" ",50)),50)))),"Revisar formato"))</f>
        <v/>
      </c>
      <c r="L149" s="11" t="str">
        <f>IF(Registro!$J149="","",IFERROR(SUMPRODUCT(--("0"&amp;TRIM(RIGHT(SUBSTITUTE(TRIM(MID(SUBSTITUTE(SUBSTITUTE(Registro!$J149,";",CHAR(10)),CHAR(10),REPT(" ",LEN(Registro!$J149))),({1,2,3,4,5,6,7,8,9,10,11,12,13,14,15,16,17,18,19,20,21,22,23,24,25,26,27,28,29,30}-1)*LEN(Registro!$J149)+1,LEN(Registro!$J149)))," ",REPT(" ",50)),50)))),"Revisar formato"))</f>
        <v/>
      </c>
      <c r="M149" s="11" t="str">
        <f>IF(AND(Registro!$H149="",Registro!$I149=""),"",IF(AND(ISTEXT(K149),K149&lt;&gt;""),"Revisar formato",N(Registro!$H149)-N(K149)))</f>
        <v/>
      </c>
      <c r="N149" s="11" t="str">
        <f t="shared" si="8"/>
        <v/>
      </c>
      <c r="O149" s="15" t="str">
        <f>IF(AND(A149=Consulta!$B$3,C149=Consulta!$H$3),B149*10000+ROW(),"")</f>
        <v/>
      </c>
    </row>
    <row r="150" spans="1:15" x14ac:dyDescent="0.25">
      <c r="A150" s="9" t="str">
        <f>IF(Registro!$A150="","",Registro!$A150)</f>
        <v/>
      </c>
      <c r="B150" s="8" t="str">
        <f>IF(Registro!$B150="","",Registro!$B150)</f>
        <v/>
      </c>
      <c r="C150" s="14" t="str">
        <f t="shared" si="6"/>
        <v/>
      </c>
      <c r="D150" s="10" t="str">
        <f>IF(Registro!$E150="","",IF(ISERROR(FIND("x",LOWER(Registro!$E150))),"-",IFERROR(SUMPRODUCT(--("0"&amp;LEFT(TRIM(MID(SUBSTITUTE(SUBSTITUTE(SUBSTITUTE(SUBSTITUTE(SUBSTITUTE(LOWER(Registro!$E150),"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",LEN(Registro!$E150))),({1,2,3,4,5,6,7,8,9,10,11,12,13,14,15,16,17,18,19,20,21,22,23,24,25,26,27,28,29,30}-1)*LEN(Registro!$E150)+1,LEN(Registro!$E150)))&amp;"x")-1))),"Revisar formato")))</f>
        <v/>
      </c>
      <c r="E150" s="11" t="str">
        <f>IF(Registro!$E150="","",IF(ISERROR(FIND("x",LOWER(Registro!$E150))),"-",IFERROR(SUMPRODUCT(--("0"&amp;LEFT(TRIM(MID(SUBSTITUTE(SUBSTITUTE(SUBSTITUTE(SUBSTITUTE(SUBSTITUTE(LOWER(Registro!$E150),"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",LEN(Registro!$E150))),({1,2,3,4,5,6,7,8,9,10,11,12,13,14,15,16,17,18,19,20,21,22,23,24,25,26,27,28,29,30}-1)*LEN(Registro!$E150)+1,LEN(Registro!$E150)))&amp;"x")-1)),--("0"&amp;MID(TRIM(MID(SUBSTITUTE(SUBSTITUTE(SUBSTITUTE(SUBSTITUTE(SUBSTITUTE(LOWER(Registro!$E150),"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",LEN(Registro!$E150))),({1,2,3,4,5,6,7,8,9,10,11,12,13,14,15,16,17,18,19,20,21,22,23,24,25,26,27,28,29,30}-1)*LEN(Registro!$E150)+1,LEN(Registro!$E150)))&amp;"x")+1,20))),"Revisar formato")))</f>
        <v/>
      </c>
      <c r="F150" s="11" t="str">
        <f>IF(Registro!$F150="","",N(Registro!$F150))</f>
        <v/>
      </c>
      <c r="G150" s="11" t="str">
        <f t="shared" si="7"/>
        <v/>
      </c>
      <c r="H150" s="10" t="str">
        <f>IF(Registro!$G150="","",IF(ISERROR(FIND("x",LOWER(Registro!$G150))),"-",IFERROR(SUMPRODUCT(--("0"&amp;LEFT(TRIM(MID(SUBSTITUTE(SUBSTITUTE(SUBSTITUTE(SUBSTITUTE(SUBSTITUTE(LOWER(Registro!$G150),"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",LEN(Registro!$G150))),({1,2,3,4,5,6,7,8,9,10,11,12,13,14,15,16,17,18,19,20,21,22,23,24,25,26,27,28,29,30}-1)*LEN(Registro!$G150)+1,LEN(Registro!$G150))),FIND("x",TRIM(MID(SUBSTITUTE(SUBSTITUTE(SUBSTITUTE(SUBSTITUTE(SUBSTITUTE(LOWER(Registro!$G150),"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",LEN(Registro!$G150))),({1,2,3,4,5,6,7,8,9,10,11,12,13,14,15,16,17,18,19,20,21,22,23,24,25,26,27,28,29,30}-1)*LEN(Registro!$G150)+1,LEN(Registro!$G150)))&amp;"x")-1))),"Revisar formato")))</f>
        <v/>
      </c>
      <c r="I150" s="11" t="str">
        <f>IF(Registro!$G150="","",IF(ISERROR(FIND("x",LOWER(Registro!$G150))),N(Registro!$H150),IFERROR(SUMPRODUCT(--("0"&amp;LEFT(TRIM(MID(SUBSTITUTE(SUBSTITUTE(SUBSTITUTE(SUBSTITUTE(SUBSTITUTE(LOWER(Registro!$G150),"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",LEN(Registro!$G150))),({1,2,3,4,5,6,7,8,9,10,11,12,13,14,15,16,17,18,19,20,21,22,23,24,25,26,27,28,29,30}-1)*LEN(Registro!$G150)+1,LEN(Registro!$G150))),FIND("x",TRIM(MID(SUBSTITUTE(SUBSTITUTE(SUBSTITUTE(SUBSTITUTE(SUBSTITUTE(LOWER(Registro!$G150),"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",LEN(Registro!$G150))),({1,2,3,4,5,6,7,8,9,10,11,12,13,14,15,16,17,18,19,20,21,22,23,24,25,26,27,28,29,30}-1)*LEN(Registro!$G150)+1,LEN(Registro!$G150)))&amp;"x")-1)),--("0"&amp;MID(TRIM(MID(SUBSTITUTE(SUBSTITUTE(SUBSTITUTE(SUBSTITUTE(SUBSTITUTE(LOWER(Registro!$G150),"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",LEN(Registro!$G150))),({1,2,3,4,5,6,7,8,9,10,11,12,13,14,15,16,17,18,19,20,21,22,23,24,25,26,27,28,29,30}-1)*LEN(Registro!$G150)+1,LEN(Registro!$G150))),FIND("x",TRIM(MID(SUBSTITUTE(SUBSTITUTE(SUBSTITUTE(SUBSTITUTE(SUBSTITUTE(LOWER(Registro!$G150),"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",LEN(Registro!$G150))),({1,2,3,4,5,6,7,8,9,10,11,12,13,14,15,16,17,18,19,20,21,22,23,24,25,26,27,28,29,30}-1)*LEN(Registro!$G150)+1,LEN(Registro!$G150)))&amp;"x")+1,20))),"Revisar formato")))</f>
        <v/>
      </c>
      <c r="J150" s="9" t="str">
        <f>IF(AND(Registro!$E150="",Registro!$G150=""),"",IF(NOT(AND(ISNUMBER(I150),ISNUMBER(Registro!$H150))),"",IF(I150&lt;Registro!$H150,"FALTA BOLETOS",IF(I150=Registro!$H150,"CONFORME","DIFERENCIA"))))</f>
        <v/>
      </c>
      <c r="K150" s="11" t="str">
        <f>IF(Registro!$I150="","",IFERROR(SUMPRODUCT(--("0"&amp;TRIM(RIGHT(SUBSTITUTE(TRIM(MID(SUBSTITUTE(SUBSTITUTE(Registro!$I150,";",CHAR(10)),CHAR(10),REPT(" ",LEN(Registro!$I150))),({1,2,3,4,5,6,7,8,9,10,11,12,13,14,15,16,17,18,19,20,21,22,23,24,25,26,27,28,29,30}-1)*LEN(Registro!$I150)+1,LEN(Registro!$I150)))," ",REPT(" ",50)),50)))),"Revisar formato"))</f>
        <v/>
      </c>
      <c r="L150" s="11" t="str">
        <f>IF(Registro!$J150="","",IFERROR(SUMPRODUCT(--("0"&amp;TRIM(RIGHT(SUBSTITUTE(TRIM(MID(SUBSTITUTE(SUBSTITUTE(Registro!$J150,";",CHAR(10)),CHAR(10),REPT(" ",LEN(Registro!$J150))),({1,2,3,4,5,6,7,8,9,10,11,12,13,14,15,16,17,18,19,20,21,22,23,24,25,26,27,28,29,30}-1)*LEN(Registro!$J150)+1,LEN(Registro!$J150)))," ",REPT(" ",50)),50)))),"Revisar formato"))</f>
        <v/>
      </c>
      <c r="M150" s="11" t="str">
        <f>IF(AND(Registro!$H150="",Registro!$I150=""),"",IF(AND(ISTEXT(K150),K150&lt;&gt;""),"Revisar formato",N(Registro!$H150)-N(K150)))</f>
        <v/>
      </c>
      <c r="N150" s="11" t="str">
        <f t="shared" si="8"/>
        <v/>
      </c>
      <c r="O150" s="15" t="str">
        <f>IF(AND(A150=Consulta!$B$3,C150=Consulta!$H$3),B150*10000+ROW(),"")</f>
        <v/>
      </c>
    </row>
    <row r="151" spans="1:15" x14ac:dyDescent="0.25">
      <c r="A151" s="9" t="str">
        <f>IF(Registro!$A151="","",Registro!$A151)</f>
        <v/>
      </c>
      <c r="B151" s="8" t="str">
        <f>IF(Registro!$B151="","",Registro!$B151)</f>
        <v/>
      </c>
      <c r="C151" s="14" t="str">
        <f t="shared" si="6"/>
        <v/>
      </c>
      <c r="D151" s="10" t="str">
        <f>IF(Registro!$E151="","",IF(ISERROR(FIND("x",LOWER(Registro!$E151))),"-",IFERROR(SUMPRODUCT(--("0"&amp;LEFT(TRIM(MID(SUBSTITUTE(SUBSTITUTE(SUBSTITUTE(SUBSTITUTE(SUBSTITUTE(LOWER(Registro!$E151),"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",LEN(Registro!$E151))),({1,2,3,4,5,6,7,8,9,10,11,12,13,14,15,16,17,18,19,20,21,22,23,24,25,26,27,28,29,30}-1)*LEN(Registro!$E151)+1,LEN(Registro!$E151)))&amp;"x")-1))),"Revisar formato")))</f>
        <v/>
      </c>
      <c r="E151" s="11" t="str">
        <f>IF(Registro!$E151="","",IF(ISERROR(FIND("x",LOWER(Registro!$E151))),"-",IFERROR(SUMPRODUCT(--("0"&amp;LEFT(TRIM(MID(SUBSTITUTE(SUBSTITUTE(SUBSTITUTE(SUBSTITUTE(SUBSTITUTE(LOWER(Registro!$E151),"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",LEN(Registro!$E151))),({1,2,3,4,5,6,7,8,9,10,11,12,13,14,15,16,17,18,19,20,21,22,23,24,25,26,27,28,29,30}-1)*LEN(Registro!$E151)+1,LEN(Registro!$E151)))&amp;"x")-1)),--("0"&amp;MID(TRIM(MID(SUBSTITUTE(SUBSTITUTE(SUBSTITUTE(SUBSTITUTE(SUBSTITUTE(LOWER(Registro!$E151),"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",LEN(Registro!$E151))),({1,2,3,4,5,6,7,8,9,10,11,12,13,14,15,16,17,18,19,20,21,22,23,24,25,26,27,28,29,30}-1)*LEN(Registro!$E151)+1,LEN(Registro!$E151)))&amp;"x")+1,20))),"Revisar formato")))</f>
        <v/>
      </c>
      <c r="F151" s="11" t="str">
        <f>IF(Registro!$F151="","",N(Registro!$F151))</f>
        <v/>
      </c>
      <c r="G151" s="11" t="str">
        <f t="shared" si="7"/>
        <v/>
      </c>
      <c r="H151" s="10" t="str">
        <f>IF(Registro!$G151="","",IF(ISERROR(FIND("x",LOWER(Registro!$G151))),"-",IFERROR(SUMPRODUCT(--("0"&amp;LEFT(TRIM(MID(SUBSTITUTE(SUBSTITUTE(SUBSTITUTE(SUBSTITUTE(SUBSTITUTE(LOWER(Registro!$G151),"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",LEN(Registro!$G151))),({1,2,3,4,5,6,7,8,9,10,11,12,13,14,15,16,17,18,19,20,21,22,23,24,25,26,27,28,29,30}-1)*LEN(Registro!$G151)+1,LEN(Registro!$G151))),FIND("x",TRIM(MID(SUBSTITUTE(SUBSTITUTE(SUBSTITUTE(SUBSTITUTE(SUBSTITUTE(LOWER(Registro!$G151),"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",LEN(Registro!$G151))),({1,2,3,4,5,6,7,8,9,10,11,12,13,14,15,16,17,18,19,20,21,22,23,24,25,26,27,28,29,30}-1)*LEN(Registro!$G151)+1,LEN(Registro!$G151)))&amp;"x")-1))),"Revisar formato")))</f>
        <v/>
      </c>
      <c r="I151" s="11" t="str">
        <f>IF(Registro!$G151="","",IF(ISERROR(FIND("x",LOWER(Registro!$G151))),N(Registro!$H151),IFERROR(SUMPRODUCT(--("0"&amp;LEFT(TRIM(MID(SUBSTITUTE(SUBSTITUTE(SUBSTITUTE(SUBSTITUTE(SUBSTITUTE(LOWER(Registro!$G151),"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",LEN(Registro!$G151))),({1,2,3,4,5,6,7,8,9,10,11,12,13,14,15,16,17,18,19,20,21,22,23,24,25,26,27,28,29,30}-1)*LEN(Registro!$G151)+1,LEN(Registro!$G151))),FIND("x",TRIM(MID(SUBSTITUTE(SUBSTITUTE(SUBSTITUTE(SUBSTITUTE(SUBSTITUTE(LOWER(Registro!$G151),"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",LEN(Registro!$G151))),({1,2,3,4,5,6,7,8,9,10,11,12,13,14,15,16,17,18,19,20,21,22,23,24,25,26,27,28,29,30}-1)*LEN(Registro!$G151)+1,LEN(Registro!$G151)))&amp;"x")-1)),--("0"&amp;MID(TRIM(MID(SUBSTITUTE(SUBSTITUTE(SUBSTITUTE(SUBSTITUTE(SUBSTITUTE(LOWER(Registro!$G151),"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",LEN(Registro!$G151))),({1,2,3,4,5,6,7,8,9,10,11,12,13,14,15,16,17,18,19,20,21,22,23,24,25,26,27,28,29,30}-1)*LEN(Registro!$G151)+1,LEN(Registro!$G151))),FIND("x",TRIM(MID(SUBSTITUTE(SUBSTITUTE(SUBSTITUTE(SUBSTITUTE(SUBSTITUTE(LOWER(Registro!$G151),"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",LEN(Registro!$G151))),({1,2,3,4,5,6,7,8,9,10,11,12,13,14,15,16,17,18,19,20,21,22,23,24,25,26,27,28,29,30}-1)*LEN(Registro!$G151)+1,LEN(Registro!$G151)))&amp;"x")+1,20))),"Revisar formato")))</f>
        <v/>
      </c>
      <c r="J151" s="9" t="str">
        <f>IF(AND(Registro!$E151="",Registro!$G151=""),"",IF(NOT(AND(ISNUMBER(I151),ISNUMBER(Registro!$H151))),"",IF(I151&lt;Registro!$H151,"FALTA BOLETOS",IF(I151=Registro!$H151,"CONFORME","DIFERENCIA"))))</f>
        <v/>
      </c>
      <c r="K151" s="11" t="str">
        <f>IF(Registro!$I151="","",IFERROR(SUMPRODUCT(--("0"&amp;TRIM(RIGHT(SUBSTITUTE(TRIM(MID(SUBSTITUTE(SUBSTITUTE(Registro!$I151,";",CHAR(10)),CHAR(10),REPT(" ",LEN(Registro!$I151))),({1,2,3,4,5,6,7,8,9,10,11,12,13,14,15,16,17,18,19,20,21,22,23,24,25,26,27,28,29,30}-1)*LEN(Registro!$I151)+1,LEN(Registro!$I151)))," ",REPT(" ",50)),50)))),"Revisar formato"))</f>
        <v/>
      </c>
      <c r="L151" s="11" t="str">
        <f>IF(Registro!$J151="","",IFERROR(SUMPRODUCT(--("0"&amp;TRIM(RIGHT(SUBSTITUTE(TRIM(MID(SUBSTITUTE(SUBSTITUTE(Registro!$J151,";",CHAR(10)),CHAR(10),REPT(" ",LEN(Registro!$J151))),({1,2,3,4,5,6,7,8,9,10,11,12,13,14,15,16,17,18,19,20,21,22,23,24,25,26,27,28,29,30}-1)*LEN(Registro!$J151)+1,LEN(Registro!$J151)))," ",REPT(" ",50)),50)))),"Revisar formato"))</f>
        <v/>
      </c>
      <c r="M151" s="11" t="str">
        <f>IF(AND(Registro!$H151="",Registro!$I151=""),"",IF(AND(ISTEXT(K151),K151&lt;&gt;""),"Revisar formato",N(Registro!$H151)-N(K151)))</f>
        <v/>
      </c>
      <c r="N151" s="11" t="str">
        <f t="shared" si="8"/>
        <v/>
      </c>
      <c r="O151" s="15" t="str">
        <f>IF(AND(A151=Consulta!$B$3,C151=Consulta!$H$3),B151*10000+ROW(),"")</f>
        <v/>
      </c>
    </row>
    <row r="152" spans="1:15" x14ac:dyDescent="0.25">
      <c r="A152" s="9" t="str">
        <f>IF(Registro!$A152="","",Registro!$A152)</f>
        <v/>
      </c>
      <c r="B152" s="8" t="str">
        <f>IF(Registro!$B152="","",Registro!$B152)</f>
        <v/>
      </c>
      <c r="C152" s="14" t="str">
        <f t="shared" si="6"/>
        <v/>
      </c>
      <c r="D152" s="10" t="str">
        <f>IF(Registro!$E152="","",IF(ISERROR(FIND("x",LOWER(Registro!$E152))),"-",IFERROR(SUMPRODUCT(--("0"&amp;LEFT(TRIM(MID(SUBSTITUTE(SUBSTITUTE(SUBSTITUTE(SUBSTITUTE(SUBSTITUTE(LOWER(Registro!$E152),"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",LEN(Registro!$E152))),({1,2,3,4,5,6,7,8,9,10,11,12,13,14,15,16,17,18,19,20,21,22,23,24,25,26,27,28,29,30}-1)*LEN(Registro!$E152)+1,LEN(Registro!$E152)))&amp;"x")-1))),"Revisar formato")))</f>
        <v/>
      </c>
      <c r="E152" s="11" t="str">
        <f>IF(Registro!$E152="","",IF(ISERROR(FIND("x",LOWER(Registro!$E152))),"-",IFERROR(SUMPRODUCT(--("0"&amp;LEFT(TRIM(MID(SUBSTITUTE(SUBSTITUTE(SUBSTITUTE(SUBSTITUTE(SUBSTITUTE(LOWER(Registro!$E152),"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",LEN(Registro!$E152))),({1,2,3,4,5,6,7,8,9,10,11,12,13,14,15,16,17,18,19,20,21,22,23,24,25,26,27,28,29,30}-1)*LEN(Registro!$E152)+1,LEN(Registro!$E152)))&amp;"x")-1)),--("0"&amp;MID(TRIM(MID(SUBSTITUTE(SUBSTITUTE(SUBSTITUTE(SUBSTITUTE(SUBSTITUTE(LOWER(Registro!$E152),"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",LEN(Registro!$E152))),({1,2,3,4,5,6,7,8,9,10,11,12,13,14,15,16,17,18,19,20,21,22,23,24,25,26,27,28,29,30}-1)*LEN(Registro!$E152)+1,LEN(Registro!$E152)))&amp;"x")+1,20))),"Revisar formato")))</f>
        <v/>
      </c>
      <c r="F152" s="11" t="str">
        <f>IF(Registro!$F152="","",N(Registro!$F152))</f>
        <v/>
      </c>
      <c r="G152" s="11" t="str">
        <f t="shared" si="7"/>
        <v/>
      </c>
      <c r="H152" s="10" t="str">
        <f>IF(Registro!$G152="","",IF(ISERROR(FIND("x",LOWER(Registro!$G152))),"-",IFERROR(SUMPRODUCT(--("0"&amp;LEFT(TRIM(MID(SUBSTITUTE(SUBSTITUTE(SUBSTITUTE(SUBSTITUTE(SUBSTITUTE(LOWER(Registro!$G152),"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",LEN(Registro!$G152))),({1,2,3,4,5,6,7,8,9,10,11,12,13,14,15,16,17,18,19,20,21,22,23,24,25,26,27,28,29,30}-1)*LEN(Registro!$G152)+1,LEN(Registro!$G152))),FIND("x",TRIM(MID(SUBSTITUTE(SUBSTITUTE(SUBSTITUTE(SUBSTITUTE(SUBSTITUTE(LOWER(Registro!$G152),"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",LEN(Registro!$G152))),({1,2,3,4,5,6,7,8,9,10,11,12,13,14,15,16,17,18,19,20,21,22,23,24,25,26,27,28,29,30}-1)*LEN(Registro!$G152)+1,LEN(Registro!$G152)))&amp;"x")-1))),"Revisar formato")))</f>
        <v/>
      </c>
      <c r="I152" s="11" t="str">
        <f>IF(Registro!$G152="","",IF(ISERROR(FIND("x",LOWER(Registro!$G152))),N(Registro!$H152),IFERROR(SUMPRODUCT(--("0"&amp;LEFT(TRIM(MID(SUBSTITUTE(SUBSTITUTE(SUBSTITUTE(SUBSTITUTE(SUBSTITUTE(LOWER(Registro!$G152),"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",LEN(Registro!$G152))),({1,2,3,4,5,6,7,8,9,10,11,12,13,14,15,16,17,18,19,20,21,22,23,24,25,26,27,28,29,30}-1)*LEN(Registro!$G152)+1,LEN(Registro!$G152))),FIND("x",TRIM(MID(SUBSTITUTE(SUBSTITUTE(SUBSTITUTE(SUBSTITUTE(SUBSTITUTE(LOWER(Registro!$G152),"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",LEN(Registro!$G152))),({1,2,3,4,5,6,7,8,9,10,11,12,13,14,15,16,17,18,19,20,21,22,23,24,25,26,27,28,29,30}-1)*LEN(Registro!$G152)+1,LEN(Registro!$G152)))&amp;"x")-1)),--("0"&amp;MID(TRIM(MID(SUBSTITUTE(SUBSTITUTE(SUBSTITUTE(SUBSTITUTE(SUBSTITUTE(LOWER(Registro!$G152),"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",LEN(Registro!$G152))),({1,2,3,4,5,6,7,8,9,10,11,12,13,14,15,16,17,18,19,20,21,22,23,24,25,26,27,28,29,30}-1)*LEN(Registro!$G152)+1,LEN(Registro!$G152))),FIND("x",TRIM(MID(SUBSTITUTE(SUBSTITUTE(SUBSTITUTE(SUBSTITUTE(SUBSTITUTE(LOWER(Registro!$G152),"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",LEN(Registro!$G152))),({1,2,3,4,5,6,7,8,9,10,11,12,13,14,15,16,17,18,19,20,21,22,23,24,25,26,27,28,29,30}-1)*LEN(Registro!$G152)+1,LEN(Registro!$G152)))&amp;"x")+1,20))),"Revisar formato")))</f>
        <v/>
      </c>
      <c r="J152" s="9" t="str">
        <f>IF(AND(Registro!$E152="",Registro!$G152=""),"",IF(NOT(AND(ISNUMBER(I152),ISNUMBER(Registro!$H152))),"",IF(I152&lt;Registro!$H152,"FALTA BOLETOS",IF(I152=Registro!$H152,"CONFORME","DIFERENCIA"))))</f>
        <v/>
      </c>
      <c r="K152" s="11" t="str">
        <f>IF(Registro!$I152="","",IFERROR(SUMPRODUCT(--("0"&amp;TRIM(RIGHT(SUBSTITUTE(TRIM(MID(SUBSTITUTE(SUBSTITUTE(Registro!$I152,";",CHAR(10)),CHAR(10),REPT(" ",LEN(Registro!$I152))),({1,2,3,4,5,6,7,8,9,10,11,12,13,14,15,16,17,18,19,20,21,22,23,24,25,26,27,28,29,30}-1)*LEN(Registro!$I152)+1,LEN(Registro!$I152)))," ",REPT(" ",50)),50)))),"Revisar formato"))</f>
        <v/>
      </c>
      <c r="L152" s="11" t="str">
        <f>IF(Registro!$J152="","",IFERROR(SUMPRODUCT(--("0"&amp;TRIM(RIGHT(SUBSTITUTE(TRIM(MID(SUBSTITUTE(SUBSTITUTE(Registro!$J152,";",CHAR(10)),CHAR(10),REPT(" ",LEN(Registro!$J152))),({1,2,3,4,5,6,7,8,9,10,11,12,13,14,15,16,17,18,19,20,21,22,23,24,25,26,27,28,29,30}-1)*LEN(Registro!$J152)+1,LEN(Registro!$J152)))," ",REPT(" ",50)),50)))),"Revisar formato"))</f>
        <v/>
      </c>
      <c r="M152" s="11" t="str">
        <f>IF(AND(Registro!$H152="",Registro!$I152=""),"",IF(AND(ISTEXT(K152),K152&lt;&gt;""),"Revisar formato",N(Registro!$H152)-N(K152)))</f>
        <v/>
      </c>
      <c r="N152" s="11" t="str">
        <f t="shared" si="8"/>
        <v/>
      </c>
      <c r="O152" s="15" t="str">
        <f>IF(AND(A152=Consulta!$B$3,C152=Consulta!$H$3),B152*10000+ROW(),"")</f>
        <v/>
      </c>
    </row>
    <row r="153" spans="1:15" x14ac:dyDescent="0.25">
      <c r="A153" s="9" t="str">
        <f>IF(Registro!$A153="","",Registro!$A153)</f>
        <v/>
      </c>
      <c r="B153" s="8" t="str">
        <f>IF(Registro!$B153="","",Registro!$B153)</f>
        <v/>
      </c>
      <c r="C153" s="14" t="str">
        <f t="shared" si="6"/>
        <v/>
      </c>
      <c r="D153" s="10" t="str">
        <f>IF(Registro!$E153="","",IF(ISERROR(FIND("x",LOWER(Registro!$E153))),"-",IFERROR(SUMPRODUCT(--("0"&amp;LEFT(TRIM(MID(SUBSTITUTE(SUBSTITUTE(SUBSTITUTE(SUBSTITUTE(SUBSTITUTE(LOWER(Registro!$E153),"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",LEN(Registro!$E153))),({1,2,3,4,5,6,7,8,9,10,11,12,13,14,15,16,17,18,19,20,21,22,23,24,25,26,27,28,29,30}-1)*LEN(Registro!$E153)+1,LEN(Registro!$E153)))&amp;"x")-1))),"Revisar formato")))</f>
        <v/>
      </c>
      <c r="E153" s="11" t="str">
        <f>IF(Registro!$E153="","",IF(ISERROR(FIND("x",LOWER(Registro!$E153))),"-",IFERROR(SUMPRODUCT(--("0"&amp;LEFT(TRIM(MID(SUBSTITUTE(SUBSTITUTE(SUBSTITUTE(SUBSTITUTE(SUBSTITUTE(LOWER(Registro!$E153),"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",LEN(Registro!$E153))),({1,2,3,4,5,6,7,8,9,10,11,12,13,14,15,16,17,18,19,20,21,22,23,24,25,26,27,28,29,30}-1)*LEN(Registro!$E153)+1,LEN(Registro!$E153)))&amp;"x")-1)),--("0"&amp;MID(TRIM(MID(SUBSTITUTE(SUBSTITUTE(SUBSTITUTE(SUBSTITUTE(SUBSTITUTE(LOWER(Registro!$E153),"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",LEN(Registro!$E153))),({1,2,3,4,5,6,7,8,9,10,11,12,13,14,15,16,17,18,19,20,21,22,23,24,25,26,27,28,29,30}-1)*LEN(Registro!$E153)+1,LEN(Registro!$E153)))&amp;"x")+1,20))),"Revisar formato")))</f>
        <v/>
      </c>
      <c r="F153" s="11" t="str">
        <f>IF(Registro!$F153="","",N(Registro!$F153))</f>
        <v/>
      </c>
      <c r="G153" s="11" t="str">
        <f t="shared" si="7"/>
        <v/>
      </c>
      <c r="H153" s="10" t="str">
        <f>IF(Registro!$G153="","",IF(ISERROR(FIND("x",LOWER(Registro!$G153))),"-",IFERROR(SUMPRODUCT(--("0"&amp;LEFT(TRIM(MID(SUBSTITUTE(SUBSTITUTE(SUBSTITUTE(SUBSTITUTE(SUBSTITUTE(LOWER(Registro!$G153),"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",LEN(Registro!$G153))),({1,2,3,4,5,6,7,8,9,10,11,12,13,14,15,16,17,18,19,20,21,22,23,24,25,26,27,28,29,30}-1)*LEN(Registro!$G153)+1,LEN(Registro!$G153))),FIND("x",TRIM(MID(SUBSTITUTE(SUBSTITUTE(SUBSTITUTE(SUBSTITUTE(SUBSTITUTE(LOWER(Registro!$G153),"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",LEN(Registro!$G153))),({1,2,3,4,5,6,7,8,9,10,11,12,13,14,15,16,17,18,19,20,21,22,23,24,25,26,27,28,29,30}-1)*LEN(Registro!$G153)+1,LEN(Registro!$G153)))&amp;"x")-1))),"Revisar formato")))</f>
        <v/>
      </c>
      <c r="I153" s="11" t="str">
        <f>IF(Registro!$G153="","",IF(ISERROR(FIND("x",LOWER(Registro!$G153))),N(Registro!$H153),IFERROR(SUMPRODUCT(--("0"&amp;LEFT(TRIM(MID(SUBSTITUTE(SUBSTITUTE(SUBSTITUTE(SUBSTITUTE(SUBSTITUTE(LOWER(Registro!$G153),"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",LEN(Registro!$G153))),({1,2,3,4,5,6,7,8,9,10,11,12,13,14,15,16,17,18,19,20,21,22,23,24,25,26,27,28,29,30}-1)*LEN(Registro!$G153)+1,LEN(Registro!$G153))),FIND("x",TRIM(MID(SUBSTITUTE(SUBSTITUTE(SUBSTITUTE(SUBSTITUTE(SUBSTITUTE(LOWER(Registro!$G153),"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",LEN(Registro!$G153))),({1,2,3,4,5,6,7,8,9,10,11,12,13,14,15,16,17,18,19,20,21,22,23,24,25,26,27,28,29,30}-1)*LEN(Registro!$G153)+1,LEN(Registro!$G153)))&amp;"x")-1)),--("0"&amp;MID(TRIM(MID(SUBSTITUTE(SUBSTITUTE(SUBSTITUTE(SUBSTITUTE(SUBSTITUTE(LOWER(Registro!$G153),"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",LEN(Registro!$G153))),({1,2,3,4,5,6,7,8,9,10,11,12,13,14,15,16,17,18,19,20,21,22,23,24,25,26,27,28,29,30}-1)*LEN(Registro!$G153)+1,LEN(Registro!$G153))),FIND("x",TRIM(MID(SUBSTITUTE(SUBSTITUTE(SUBSTITUTE(SUBSTITUTE(SUBSTITUTE(LOWER(Registro!$G153),"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",LEN(Registro!$G153))),({1,2,3,4,5,6,7,8,9,10,11,12,13,14,15,16,17,18,19,20,21,22,23,24,25,26,27,28,29,30}-1)*LEN(Registro!$G153)+1,LEN(Registro!$G153)))&amp;"x")+1,20))),"Revisar formato")))</f>
        <v/>
      </c>
      <c r="J153" s="9" t="str">
        <f>IF(AND(Registro!$E153="",Registro!$G153=""),"",IF(NOT(AND(ISNUMBER(I153),ISNUMBER(Registro!$H153))),"",IF(I153&lt;Registro!$H153,"FALTA BOLETOS",IF(I153=Registro!$H153,"CONFORME","DIFERENCIA"))))</f>
        <v/>
      </c>
      <c r="K153" s="11" t="str">
        <f>IF(Registro!$I153="","",IFERROR(SUMPRODUCT(--("0"&amp;TRIM(RIGHT(SUBSTITUTE(TRIM(MID(SUBSTITUTE(SUBSTITUTE(Registro!$I153,";",CHAR(10)),CHAR(10),REPT(" ",LEN(Registro!$I153))),({1,2,3,4,5,6,7,8,9,10,11,12,13,14,15,16,17,18,19,20,21,22,23,24,25,26,27,28,29,30}-1)*LEN(Registro!$I153)+1,LEN(Registro!$I153)))," ",REPT(" ",50)),50)))),"Revisar formato"))</f>
        <v/>
      </c>
      <c r="L153" s="11" t="str">
        <f>IF(Registro!$J153="","",IFERROR(SUMPRODUCT(--("0"&amp;TRIM(RIGHT(SUBSTITUTE(TRIM(MID(SUBSTITUTE(SUBSTITUTE(Registro!$J153,";",CHAR(10)),CHAR(10),REPT(" ",LEN(Registro!$J153))),({1,2,3,4,5,6,7,8,9,10,11,12,13,14,15,16,17,18,19,20,21,22,23,24,25,26,27,28,29,30}-1)*LEN(Registro!$J153)+1,LEN(Registro!$J153)))," ",REPT(" ",50)),50)))),"Revisar formato"))</f>
        <v/>
      </c>
      <c r="M153" s="11" t="str">
        <f>IF(AND(Registro!$H153="",Registro!$I153=""),"",IF(AND(ISTEXT(K153),K153&lt;&gt;""),"Revisar formato",N(Registro!$H153)-N(K153)))</f>
        <v/>
      </c>
      <c r="N153" s="11" t="str">
        <f t="shared" si="8"/>
        <v/>
      </c>
      <c r="O153" s="15" t="str">
        <f>IF(AND(A153=Consulta!$B$3,C153=Consulta!$H$3),B153*10000+ROW(),"")</f>
        <v/>
      </c>
    </row>
    <row r="154" spans="1:15" x14ac:dyDescent="0.25">
      <c r="A154" s="9" t="str">
        <f>IF(Registro!$A154="","",Registro!$A154)</f>
        <v/>
      </c>
      <c r="B154" s="8" t="str">
        <f>IF(Registro!$B154="","",Registro!$B154)</f>
        <v/>
      </c>
      <c r="C154" s="14" t="str">
        <f t="shared" si="6"/>
        <v/>
      </c>
      <c r="D154" s="10" t="str">
        <f>IF(Registro!$E154="","",IF(ISERROR(FIND("x",LOWER(Registro!$E154))),"-",IFERROR(SUMPRODUCT(--("0"&amp;LEFT(TRIM(MID(SUBSTITUTE(SUBSTITUTE(SUBSTITUTE(SUBSTITUTE(SUBSTITUTE(LOWER(Registro!$E154),"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",LEN(Registro!$E154))),({1,2,3,4,5,6,7,8,9,10,11,12,13,14,15,16,17,18,19,20,21,22,23,24,25,26,27,28,29,30}-1)*LEN(Registro!$E154)+1,LEN(Registro!$E154)))&amp;"x")-1))),"Revisar formato")))</f>
        <v/>
      </c>
      <c r="E154" s="11" t="str">
        <f>IF(Registro!$E154="","",IF(ISERROR(FIND("x",LOWER(Registro!$E154))),"-",IFERROR(SUMPRODUCT(--("0"&amp;LEFT(TRIM(MID(SUBSTITUTE(SUBSTITUTE(SUBSTITUTE(SUBSTITUTE(SUBSTITUTE(LOWER(Registro!$E154),"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",LEN(Registro!$E154))),({1,2,3,4,5,6,7,8,9,10,11,12,13,14,15,16,17,18,19,20,21,22,23,24,25,26,27,28,29,30}-1)*LEN(Registro!$E154)+1,LEN(Registro!$E154)))&amp;"x")-1)),--("0"&amp;MID(TRIM(MID(SUBSTITUTE(SUBSTITUTE(SUBSTITUTE(SUBSTITUTE(SUBSTITUTE(LOWER(Registro!$E154),"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",LEN(Registro!$E154))),({1,2,3,4,5,6,7,8,9,10,11,12,13,14,15,16,17,18,19,20,21,22,23,24,25,26,27,28,29,30}-1)*LEN(Registro!$E154)+1,LEN(Registro!$E154)))&amp;"x")+1,20))),"Revisar formato")))</f>
        <v/>
      </c>
      <c r="F154" s="11" t="str">
        <f>IF(Registro!$F154="","",N(Registro!$F154))</f>
        <v/>
      </c>
      <c r="G154" s="11" t="str">
        <f t="shared" si="7"/>
        <v/>
      </c>
      <c r="H154" s="10" t="str">
        <f>IF(Registro!$G154="","",IF(ISERROR(FIND("x",LOWER(Registro!$G154))),"-",IFERROR(SUMPRODUCT(--("0"&amp;LEFT(TRIM(MID(SUBSTITUTE(SUBSTITUTE(SUBSTITUTE(SUBSTITUTE(SUBSTITUTE(LOWER(Registro!$G154),"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",LEN(Registro!$G154))),({1,2,3,4,5,6,7,8,9,10,11,12,13,14,15,16,17,18,19,20,21,22,23,24,25,26,27,28,29,30}-1)*LEN(Registro!$G154)+1,LEN(Registro!$G154))),FIND("x",TRIM(MID(SUBSTITUTE(SUBSTITUTE(SUBSTITUTE(SUBSTITUTE(SUBSTITUTE(LOWER(Registro!$G154),"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",LEN(Registro!$G154))),({1,2,3,4,5,6,7,8,9,10,11,12,13,14,15,16,17,18,19,20,21,22,23,24,25,26,27,28,29,30}-1)*LEN(Registro!$G154)+1,LEN(Registro!$G154)))&amp;"x")-1))),"Revisar formato")))</f>
        <v/>
      </c>
      <c r="I154" s="11" t="str">
        <f>IF(Registro!$G154="","",IF(ISERROR(FIND("x",LOWER(Registro!$G154))),N(Registro!$H154),IFERROR(SUMPRODUCT(--("0"&amp;LEFT(TRIM(MID(SUBSTITUTE(SUBSTITUTE(SUBSTITUTE(SUBSTITUTE(SUBSTITUTE(LOWER(Registro!$G154),"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",LEN(Registro!$G154))),({1,2,3,4,5,6,7,8,9,10,11,12,13,14,15,16,17,18,19,20,21,22,23,24,25,26,27,28,29,30}-1)*LEN(Registro!$G154)+1,LEN(Registro!$G154))),FIND("x",TRIM(MID(SUBSTITUTE(SUBSTITUTE(SUBSTITUTE(SUBSTITUTE(SUBSTITUTE(LOWER(Registro!$G154),"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",LEN(Registro!$G154))),({1,2,3,4,5,6,7,8,9,10,11,12,13,14,15,16,17,18,19,20,21,22,23,24,25,26,27,28,29,30}-1)*LEN(Registro!$G154)+1,LEN(Registro!$G154)))&amp;"x")-1)),--("0"&amp;MID(TRIM(MID(SUBSTITUTE(SUBSTITUTE(SUBSTITUTE(SUBSTITUTE(SUBSTITUTE(LOWER(Registro!$G154),"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",LEN(Registro!$G154))),({1,2,3,4,5,6,7,8,9,10,11,12,13,14,15,16,17,18,19,20,21,22,23,24,25,26,27,28,29,30}-1)*LEN(Registro!$G154)+1,LEN(Registro!$G154))),FIND("x",TRIM(MID(SUBSTITUTE(SUBSTITUTE(SUBSTITUTE(SUBSTITUTE(SUBSTITUTE(LOWER(Registro!$G154),"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",LEN(Registro!$G154))),({1,2,3,4,5,6,7,8,9,10,11,12,13,14,15,16,17,18,19,20,21,22,23,24,25,26,27,28,29,30}-1)*LEN(Registro!$G154)+1,LEN(Registro!$G154)))&amp;"x")+1,20))),"Revisar formato")))</f>
        <v/>
      </c>
      <c r="J154" s="9" t="str">
        <f>IF(AND(Registro!$E154="",Registro!$G154=""),"",IF(NOT(AND(ISNUMBER(I154),ISNUMBER(Registro!$H154))),"",IF(I154&lt;Registro!$H154,"FALTA BOLETOS",IF(I154=Registro!$H154,"CONFORME","DIFERENCIA"))))</f>
        <v/>
      </c>
      <c r="K154" s="11" t="str">
        <f>IF(Registro!$I154="","",IFERROR(SUMPRODUCT(--("0"&amp;TRIM(RIGHT(SUBSTITUTE(TRIM(MID(SUBSTITUTE(SUBSTITUTE(Registro!$I154,";",CHAR(10)),CHAR(10),REPT(" ",LEN(Registro!$I154))),({1,2,3,4,5,6,7,8,9,10,11,12,13,14,15,16,17,18,19,20,21,22,23,24,25,26,27,28,29,30}-1)*LEN(Registro!$I154)+1,LEN(Registro!$I154)))," ",REPT(" ",50)),50)))),"Revisar formato"))</f>
        <v/>
      </c>
      <c r="L154" s="11" t="str">
        <f>IF(Registro!$J154="","",IFERROR(SUMPRODUCT(--("0"&amp;TRIM(RIGHT(SUBSTITUTE(TRIM(MID(SUBSTITUTE(SUBSTITUTE(Registro!$J154,";",CHAR(10)),CHAR(10),REPT(" ",LEN(Registro!$J154))),({1,2,3,4,5,6,7,8,9,10,11,12,13,14,15,16,17,18,19,20,21,22,23,24,25,26,27,28,29,30}-1)*LEN(Registro!$J154)+1,LEN(Registro!$J154)))," ",REPT(" ",50)),50)))),"Revisar formato"))</f>
        <v/>
      </c>
      <c r="M154" s="11" t="str">
        <f>IF(AND(Registro!$H154="",Registro!$I154=""),"",IF(AND(ISTEXT(K154),K154&lt;&gt;""),"Revisar formato",N(Registro!$H154)-N(K154)))</f>
        <v/>
      </c>
      <c r="N154" s="11" t="str">
        <f t="shared" si="8"/>
        <v/>
      </c>
      <c r="O154" s="15" t="str">
        <f>IF(AND(A154=Consulta!$B$3,C154=Consulta!$H$3),B154*10000+ROW(),"")</f>
        <v/>
      </c>
    </row>
    <row r="155" spans="1:15" x14ac:dyDescent="0.25">
      <c r="A155" s="9" t="str">
        <f>IF(Registro!$A155="","",Registro!$A155)</f>
        <v/>
      </c>
      <c r="B155" s="8" t="str">
        <f>IF(Registro!$B155="","",Registro!$B155)</f>
        <v/>
      </c>
      <c r="C155" s="14" t="str">
        <f t="shared" si="6"/>
        <v/>
      </c>
      <c r="D155" s="10" t="str">
        <f>IF(Registro!$E155="","",IF(ISERROR(FIND("x",LOWER(Registro!$E155))),"-",IFERROR(SUMPRODUCT(--("0"&amp;LEFT(TRIM(MID(SUBSTITUTE(SUBSTITUTE(SUBSTITUTE(SUBSTITUTE(SUBSTITUTE(LOWER(Registro!$E155),"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",LEN(Registro!$E155))),({1,2,3,4,5,6,7,8,9,10,11,12,13,14,15,16,17,18,19,20,21,22,23,24,25,26,27,28,29,30}-1)*LEN(Registro!$E155)+1,LEN(Registro!$E155)))&amp;"x")-1))),"Revisar formato")))</f>
        <v/>
      </c>
      <c r="E155" s="11" t="str">
        <f>IF(Registro!$E155="","",IF(ISERROR(FIND("x",LOWER(Registro!$E155))),"-",IFERROR(SUMPRODUCT(--("0"&amp;LEFT(TRIM(MID(SUBSTITUTE(SUBSTITUTE(SUBSTITUTE(SUBSTITUTE(SUBSTITUTE(LOWER(Registro!$E155),"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",LEN(Registro!$E155))),({1,2,3,4,5,6,7,8,9,10,11,12,13,14,15,16,17,18,19,20,21,22,23,24,25,26,27,28,29,30}-1)*LEN(Registro!$E155)+1,LEN(Registro!$E155)))&amp;"x")-1)),--("0"&amp;MID(TRIM(MID(SUBSTITUTE(SUBSTITUTE(SUBSTITUTE(SUBSTITUTE(SUBSTITUTE(LOWER(Registro!$E155),"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",LEN(Registro!$E155))),({1,2,3,4,5,6,7,8,9,10,11,12,13,14,15,16,17,18,19,20,21,22,23,24,25,26,27,28,29,30}-1)*LEN(Registro!$E155)+1,LEN(Registro!$E155)))&amp;"x")+1,20))),"Revisar formato")))</f>
        <v/>
      </c>
      <c r="F155" s="11" t="str">
        <f>IF(Registro!$F155="","",N(Registro!$F155))</f>
        <v/>
      </c>
      <c r="G155" s="11" t="str">
        <f t="shared" si="7"/>
        <v/>
      </c>
      <c r="H155" s="10" t="str">
        <f>IF(Registro!$G155="","",IF(ISERROR(FIND("x",LOWER(Registro!$G155))),"-",IFERROR(SUMPRODUCT(--("0"&amp;LEFT(TRIM(MID(SUBSTITUTE(SUBSTITUTE(SUBSTITUTE(SUBSTITUTE(SUBSTITUTE(LOWER(Registro!$G155),"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",LEN(Registro!$G155))),({1,2,3,4,5,6,7,8,9,10,11,12,13,14,15,16,17,18,19,20,21,22,23,24,25,26,27,28,29,30}-1)*LEN(Registro!$G155)+1,LEN(Registro!$G155))),FIND("x",TRIM(MID(SUBSTITUTE(SUBSTITUTE(SUBSTITUTE(SUBSTITUTE(SUBSTITUTE(LOWER(Registro!$G155),"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",LEN(Registro!$G155))),({1,2,3,4,5,6,7,8,9,10,11,12,13,14,15,16,17,18,19,20,21,22,23,24,25,26,27,28,29,30}-1)*LEN(Registro!$G155)+1,LEN(Registro!$G155)))&amp;"x")-1))),"Revisar formato")))</f>
        <v/>
      </c>
      <c r="I155" s="11" t="str">
        <f>IF(Registro!$G155="","",IF(ISERROR(FIND("x",LOWER(Registro!$G155))),N(Registro!$H155),IFERROR(SUMPRODUCT(--("0"&amp;LEFT(TRIM(MID(SUBSTITUTE(SUBSTITUTE(SUBSTITUTE(SUBSTITUTE(SUBSTITUTE(LOWER(Registro!$G155),"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",LEN(Registro!$G155))),({1,2,3,4,5,6,7,8,9,10,11,12,13,14,15,16,17,18,19,20,21,22,23,24,25,26,27,28,29,30}-1)*LEN(Registro!$G155)+1,LEN(Registro!$G155))),FIND("x",TRIM(MID(SUBSTITUTE(SUBSTITUTE(SUBSTITUTE(SUBSTITUTE(SUBSTITUTE(LOWER(Registro!$G155),"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",LEN(Registro!$G155))),({1,2,3,4,5,6,7,8,9,10,11,12,13,14,15,16,17,18,19,20,21,22,23,24,25,26,27,28,29,30}-1)*LEN(Registro!$G155)+1,LEN(Registro!$G155)))&amp;"x")-1)),--("0"&amp;MID(TRIM(MID(SUBSTITUTE(SUBSTITUTE(SUBSTITUTE(SUBSTITUTE(SUBSTITUTE(LOWER(Registro!$G155),"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",LEN(Registro!$G155))),({1,2,3,4,5,6,7,8,9,10,11,12,13,14,15,16,17,18,19,20,21,22,23,24,25,26,27,28,29,30}-1)*LEN(Registro!$G155)+1,LEN(Registro!$G155))),FIND("x",TRIM(MID(SUBSTITUTE(SUBSTITUTE(SUBSTITUTE(SUBSTITUTE(SUBSTITUTE(LOWER(Registro!$G155),"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",LEN(Registro!$G155))),({1,2,3,4,5,6,7,8,9,10,11,12,13,14,15,16,17,18,19,20,21,22,23,24,25,26,27,28,29,30}-1)*LEN(Registro!$G155)+1,LEN(Registro!$G155)))&amp;"x")+1,20))),"Revisar formato")))</f>
        <v/>
      </c>
      <c r="J155" s="9" t="str">
        <f>IF(AND(Registro!$E155="",Registro!$G155=""),"",IF(NOT(AND(ISNUMBER(I155),ISNUMBER(Registro!$H155))),"",IF(I155&lt;Registro!$H155,"FALTA BOLETOS",IF(I155=Registro!$H155,"CONFORME","DIFERENCIA"))))</f>
        <v/>
      </c>
      <c r="K155" s="11" t="str">
        <f>IF(Registro!$I155="","",IFERROR(SUMPRODUCT(--("0"&amp;TRIM(RIGHT(SUBSTITUTE(TRIM(MID(SUBSTITUTE(SUBSTITUTE(Registro!$I155,";",CHAR(10)),CHAR(10),REPT(" ",LEN(Registro!$I155))),({1,2,3,4,5,6,7,8,9,10,11,12,13,14,15,16,17,18,19,20,21,22,23,24,25,26,27,28,29,30}-1)*LEN(Registro!$I155)+1,LEN(Registro!$I155)))," ",REPT(" ",50)),50)))),"Revisar formato"))</f>
        <v/>
      </c>
      <c r="L155" s="11" t="str">
        <f>IF(Registro!$J155="","",IFERROR(SUMPRODUCT(--("0"&amp;TRIM(RIGHT(SUBSTITUTE(TRIM(MID(SUBSTITUTE(SUBSTITUTE(Registro!$J155,";",CHAR(10)),CHAR(10),REPT(" ",LEN(Registro!$J155))),({1,2,3,4,5,6,7,8,9,10,11,12,13,14,15,16,17,18,19,20,21,22,23,24,25,26,27,28,29,30}-1)*LEN(Registro!$J155)+1,LEN(Registro!$J155)))," ",REPT(" ",50)),50)))),"Revisar formato"))</f>
        <v/>
      </c>
      <c r="M155" s="11" t="str">
        <f>IF(AND(Registro!$H155="",Registro!$I155=""),"",IF(AND(ISTEXT(K155),K155&lt;&gt;""),"Revisar formato",N(Registro!$H155)-N(K155)))</f>
        <v/>
      </c>
      <c r="N155" s="11" t="str">
        <f t="shared" si="8"/>
        <v/>
      </c>
      <c r="O155" s="15" t="str">
        <f>IF(AND(A155=Consulta!$B$3,C155=Consulta!$H$3),B155*10000+ROW(),"")</f>
        <v/>
      </c>
    </row>
    <row r="156" spans="1:15" x14ac:dyDescent="0.25">
      <c r="A156" s="9" t="str">
        <f>IF(Registro!$A156="","",Registro!$A156)</f>
        <v/>
      </c>
      <c r="B156" s="8" t="str">
        <f>IF(Registro!$B156="","",Registro!$B156)</f>
        <v/>
      </c>
      <c r="C156" s="14" t="str">
        <f t="shared" si="6"/>
        <v/>
      </c>
      <c r="D156" s="10" t="str">
        <f>IF(Registro!$E156="","",IF(ISERROR(FIND("x",LOWER(Registro!$E156))),"-",IFERROR(SUMPRODUCT(--("0"&amp;LEFT(TRIM(MID(SUBSTITUTE(SUBSTITUTE(SUBSTITUTE(SUBSTITUTE(SUBSTITUTE(LOWER(Registro!$E156),"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",LEN(Registro!$E156))),({1,2,3,4,5,6,7,8,9,10,11,12,13,14,15,16,17,18,19,20,21,22,23,24,25,26,27,28,29,30}-1)*LEN(Registro!$E156)+1,LEN(Registro!$E156)))&amp;"x")-1))),"Revisar formato")))</f>
        <v/>
      </c>
      <c r="E156" s="11" t="str">
        <f>IF(Registro!$E156="","",IF(ISERROR(FIND("x",LOWER(Registro!$E156))),"-",IFERROR(SUMPRODUCT(--("0"&amp;LEFT(TRIM(MID(SUBSTITUTE(SUBSTITUTE(SUBSTITUTE(SUBSTITUTE(SUBSTITUTE(LOWER(Registro!$E156),"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",LEN(Registro!$E156))),({1,2,3,4,5,6,7,8,9,10,11,12,13,14,15,16,17,18,19,20,21,22,23,24,25,26,27,28,29,30}-1)*LEN(Registro!$E156)+1,LEN(Registro!$E156)))&amp;"x")-1)),--("0"&amp;MID(TRIM(MID(SUBSTITUTE(SUBSTITUTE(SUBSTITUTE(SUBSTITUTE(SUBSTITUTE(LOWER(Registro!$E156),"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",LEN(Registro!$E156))),({1,2,3,4,5,6,7,8,9,10,11,12,13,14,15,16,17,18,19,20,21,22,23,24,25,26,27,28,29,30}-1)*LEN(Registro!$E156)+1,LEN(Registro!$E156)))&amp;"x")+1,20))),"Revisar formato")))</f>
        <v/>
      </c>
      <c r="F156" s="11" t="str">
        <f>IF(Registro!$F156="","",N(Registro!$F156))</f>
        <v/>
      </c>
      <c r="G156" s="11" t="str">
        <f t="shared" si="7"/>
        <v/>
      </c>
      <c r="H156" s="10" t="str">
        <f>IF(Registro!$G156="","",IF(ISERROR(FIND("x",LOWER(Registro!$G156))),"-",IFERROR(SUMPRODUCT(--("0"&amp;LEFT(TRIM(MID(SUBSTITUTE(SUBSTITUTE(SUBSTITUTE(SUBSTITUTE(SUBSTITUTE(LOWER(Registro!$G156),"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",LEN(Registro!$G156))),({1,2,3,4,5,6,7,8,9,10,11,12,13,14,15,16,17,18,19,20,21,22,23,24,25,26,27,28,29,30}-1)*LEN(Registro!$G156)+1,LEN(Registro!$G156))),FIND("x",TRIM(MID(SUBSTITUTE(SUBSTITUTE(SUBSTITUTE(SUBSTITUTE(SUBSTITUTE(LOWER(Registro!$G156),"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",LEN(Registro!$G156))),({1,2,3,4,5,6,7,8,9,10,11,12,13,14,15,16,17,18,19,20,21,22,23,24,25,26,27,28,29,30}-1)*LEN(Registro!$G156)+1,LEN(Registro!$G156)))&amp;"x")-1))),"Revisar formato")))</f>
        <v/>
      </c>
      <c r="I156" s="11" t="str">
        <f>IF(Registro!$G156="","",IF(ISERROR(FIND("x",LOWER(Registro!$G156))),N(Registro!$H156),IFERROR(SUMPRODUCT(--("0"&amp;LEFT(TRIM(MID(SUBSTITUTE(SUBSTITUTE(SUBSTITUTE(SUBSTITUTE(SUBSTITUTE(LOWER(Registro!$G156),"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",LEN(Registro!$G156))),({1,2,3,4,5,6,7,8,9,10,11,12,13,14,15,16,17,18,19,20,21,22,23,24,25,26,27,28,29,30}-1)*LEN(Registro!$G156)+1,LEN(Registro!$G156))),FIND("x",TRIM(MID(SUBSTITUTE(SUBSTITUTE(SUBSTITUTE(SUBSTITUTE(SUBSTITUTE(LOWER(Registro!$G156),"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",LEN(Registro!$G156))),({1,2,3,4,5,6,7,8,9,10,11,12,13,14,15,16,17,18,19,20,21,22,23,24,25,26,27,28,29,30}-1)*LEN(Registro!$G156)+1,LEN(Registro!$G156)))&amp;"x")-1)),--("0"&amp;MID(TRIM(MID(SUBSTITUTE(SUBSTITUTE(SUBSTITUTE(SUBSTITUTE(SUBSTITUTE(LOWER(Registro!$G156),"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",LEN(Registro!$G156))),({1,2,3,4,5,6,7,8,9,10,11,12,13,14,15,16,17,18,19,20,21,22,23,24,25,26,27,28,29,30}-1)*LEN(Registro!$G156)+1,LEN(Registro!$G156))),FIND("x",TRIM(MID(SUBSTITUTE(SUBSTITUTE(SUBSTITUTE(SUBSTITUTE(SUBSTITUTE(LOWER(Registro!$G156),"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",LEN(Registro!$G156))),({1,2,3,4,5,6,7,8,9,10,11,12,13,14,15,16,17,18,19,20,21,22,23,24,25,26,27,28,29,30}-1)*LEN(Registro!$G156)+1,LEN(Registro!$G156)))&amp;"x")+1,20))),"Revisar formato")))</f>
        <v/>
      </c>
      <c r="J156" s="9" t="str">
        <f>IF(AND(Registro!$E156="",Registro!$G156=""),"",IF(NOT(AND(ISNUMBER(I156),ISNUMBER(Registro!$H156))),"",IF(I156&lt;Registro!$H156,"FALTA BOLETOS",IF(I156=Registro!$H156,"CONFORME","DIFERENCIA"))))</f>
        <v/>
      </c>
      <c r="K156" s="11" t="str">
        <f>IF(Registro!$I156="","",IFERROR(SUMPRODUCT(--("0"&amp;TRIM(RIGHT(SUBSTITUTE(TRIM(MID(SUBSTITUTE(SUBSTITUTE(Registro!$I156,";",CHAR(10)),CHAR(10),REPT(" ",LEN(Registro!$I156))),({1,2,3,4,5,6,7,8,9,10,11,12,13,14,15,16,17,18,19,20,21,22,23,24,25,26,27,28,29,30}-1)*LEN(Registro!$I156)+1,LEN(Registro!$I156)))," ",REPT(" ",50)),50)))),"Revisar formato"))</f>
        <v/>
      </c>
      <c r="L156" s="11" t="str">
        <f>IF(Registro!$J156="","",IFERROR(SUMPRODUCT(--("0"&amp;TRIM(RIGHT(SUBSTITUTE(TRIM(MID(SUBSTITUTE(SUBSTITUTE(Registro!$J156,";",CHAR(10)),CHAR(10),REPT(" ",LEN(Registro!$J156))),({1,2,3,4,5,6,7,8,9,10,11,12,13,14,15,16,17,18,19,20,21,22,23,24,25,26,27,28,29,30}-1)*LEN(Registro!$J156)+1,LEN(Registro!$J156)))," ",REPT(" ",50)),50)))),"Revisar formato"))</f>
        <v/>
      </c>
      <c r="M156" s="11" t="str">
        <f>IF(AND(Registro!$H156="",Registro!$I156=""),"",IF(AND(ISTEXT(K156),K156&lt;&gt;""),"Revisar formato",N(Registro!$H156)-N(K156)))</f>
        <v/>
      </c>
      <c r="N156" s="11" t="str">
        <f t="shared" si="8"/>
        <v/>
      </c>
      <c r="O156" s="15" t="str">
        <f>IF(AND(A156=Consulta!$B$3,C156=Consulta!$H$3),B156*10000+ROW(),"")</f>
        <v/>
      </c>
    </row>
    <row r="157" spans="1:15" x14ac:dyDescent="0.25">
      <c r="A157" s="9" t="str">
        <f>IF(Registro!$A157="","",Registro!$A157)</f>
        <v/>
      </c>
      <c r="B157" s="8" t="str">
        <f>IF(Registro!$B157="","",Registro!$B157)</f>
        <v/>
      </c>
      <c r="C157" s="14" t="str">
        <f t="shared" si="6"/>
        <v/>
      </c>
      <c r="D157" s="10" t="str">
        <f>IF(Registro!$E157="","",IF(ISERROR(FIND("x",LOWER(Registro!$E157))),"-",IFERROR(SUMPRODUCT(--("0"&amp;LEFT(TRIM(MID(SUBSTITUTE(SUBSTITUTE(SUBSTITUTE(SUBSTITUTE(SUBSTITUTE(LOWER(Registro!$E157),"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",LEN(Registro!$E157))),({1,2,3,4,5,6,7,8,9,10,11,12,13,14,15,16,17,18,19,20,21,22,23,24,25,26,27,28,29,30}-1)*LEN(Registro!$E157)+1,LEN(Registro!$E157)))&amp;"x")-1))),"Revisar formato")))</f>
        <v/>
      </c>
      <c r="E157" s="11" t="str">
        <f>IF(Registro!$E157="","",IF(ISERROR(FIND("x",LOWER(Registro!$E157))),"-",IFERROR(SUMPRODUCT(--("0"&amp;LEFT(TRIM(MID(SUBSTITUTE(SUBSTITUTE(SUBSTITUTE(SUBSTITUTE(SUBSTITUTE(LOWER(Registro!$E157),"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",LEN(Registro!$E157))),({1,2,3,4,5,6,7,8,9,10,11,12,13,14,15,16,17,18,19,20,21,22,23,24,25,26,27,28,29,30}-1)*LEN(Registro!$E157)+1,LEN(Registro!$E157)))&amp;"x")-1)),--("0"&amp;MID(TRIM(MID(SUBSTITUTE(SUBSTITUTE(SUBSTITUTE(SUBSTITUTE(SUBSTITUTE(LOWER(Registro!$E157),"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",LEN(Registro!$E157))),({1,2,3,4,5,6,7,8,9,10,11,12,13,14,15,16,17,18,19,20,21,22,23,24,25,26,27,28,29,30}-1)*LEN(Registro!$E157)+1,LEN(Registro!$E157)))&amp;"x")+1,20))),"Revisar formato")))</f>
        <v/>
      </c>
      <c r="F157" s="11" t="str">
        <f>IF(Registro!$F157="","",N(Registro!$F157))</f>
        <v/>
      </c>
      <c r="G157" s="11" t="str">
        <f t="shared" si="7"/>
        <v/>
      </c>
      <c r="H157" s="10" t="str">
        <f>IF(Registro!$G157="","",IF(ISERROR(FIND("x",LOWER(Registro!$G157))),"-",IFERROR(SUMPRODUCT(--("0"&amp;LEFT(TRIM(MID(SUBSTITUTE(SUBSTITUTE(SUBSTITUTE(SUBSTITUTE(SUBSTITUTE(LOWER(Registro!$G157),"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",LEN(Registro!$G157))),({1,2,3,4,5,6,7,8,9,10,11,12,13,14,15,16,17,18,19,20,21,22,23,24,25,26,27,28,29,30}-1)*LEN(Registro!$G157)+1,LEN(Registro!$G157))),FIND("x",TRIM(MID(SUBSTITUTE(SUBSTITUTE(SUBSTITUTE(SUBSTITUTE(SUBSTITUTE(LOWER(Registro!$G157),"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",LEN(Registro!$G157))),({1,2,3,4,5,6,7,8,9,10,11,12,13,14,15,16,17,18,19,20,21,22,23,24,25,26,27,28,29,30}-1)*LEN(Registro!$G157)+1,LEN(Registro!$G157)))&amp;"x")-1))),"Revisar formato")))</f>
        <v/>
      </c>
      <c r="I157" s="11" t="str">
        <f>IF(Registro!$G157="","",IF(ISERROR(FIND("x",LOWER(Registro!$G157))),N(Registro!$H157),IFERROR(SUMPRODUCT(--("0"&amp;LEFT(TRIM(MID(SUBSTITUTE(SUBSTITUTE(SUBSTITUTE(SUBSTITUTE(SUBSTITUTE(LOWER(Registro!$G157),"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",LEN(Registro!$G157))),({1,2,3,4,5,6,7,8,9,10,11,12,13,14,15,16,17,18,19,20,21,22,23,24,25,26,27,28,29,30}-1)*LEN(Registro!$G157)+1,LEN(Registro!$G157))),FIND("x",TRIM(MID(SUBSTITUTE(SUBSTITUTE(SUBSTITUTE(SUBSTITUTE(SUBSTITUTE(LOWER(Registro!$G157),"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",LEN(Registro!$G157))),({1,2,3,4,5,6,7,8,9,10,11,12,13,14,15,16,17,18,19,20,21,22,23,24,25,26,27,28,29,30}-1)*LEN(Registro!$G157)+1,LEN(Registro!$G157)))&amp;"x")-1)),--("0"&amp;MID(TRIM(MID(SUBSTITUTE(SUBSTITUTE(SUBSTITUTE(SUBSTITUTE(SUBSTITUTE(LOWER(Registro!$G157),"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",LEN(Registro!$G157))),({1,2,3,4,5,6,7,8,9,10,11,12,13,14,15,16,17,18,19,20,21,22,23,24,25,26,27,28,29,30}-1)*LEN(Registro!$G157)+1,LEN(Registro!$G157))),FIND("x",TRIM(MID(SUBSTITUTE(SUBSTITUTE(SUBSTITUTE(SUBSTITUTE(SUBSTITUTE(LOWER(Registro!$G157),"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",LEN(Registro!$G157))),({1,2,3,4,5,6,7,8,9,10,11,12,13,14,15,16,17,18,19,20,21,22,23,24,25,26,27,28,29,30}-1)*LEN(Registro!$G157)+1,LEN(Registro!$G157)))&amp;"x")+1,20))),"Revisar formato")))</f>
        <v/>
      </c>
      <c r="J157" s="9" t="str">
        <f>IF(AND(Registro!$E157="",Registro!$G157=""),"",IF(NOT(AND(ISNUMBER(I157),ISNUMBER(Registro!$H157))),"",IF(I157&lt;Registro!$H157,"FALTA BOLETOS",IF(I157=Registro!$H157,"CONFORME","DIFERENCIA"))))</f>
        <v/>
      </c>
      <c r="K157" s="11" t="str">
        <f>IF(Registro!$I157="","",IFERROR(SUMPRODUCT(--("0"&amp;TRIM(RIGHT(SUBSTITUTE(TRIM(MID(SUBSTITUTE(SUBSTITUTE(Registro!$I157,";",CHAR(10)),CHAR(10),REPT(" ",LEN(Registro!$I157))),({1,2,3,4,5,6,7,8,9,10,11,12,13,14,15,16,17,18,19,20,21,22,23,24,25,26,27,28,29,30}-1)*LEN(Registro!$I157)+1,LEN(Registro!$I157)))," ",REPT(" ",50)),50)))),"Revisar formato"))</f>
        <v/>
      </c>
      <c r="L157" s="11" t="str">
        <f>IF(Registro!$J157="","",IFERROR(SUMPRODUCT(--("0"&amp;TRIM(RIGHT(SUBSTITUTE(TRIM(MID(SUBSTITUTE(SUBSTITUTE(Registro!$J157,";",CHAR(10)),CHAR(10),REPT(" ",LEN(Registro!$J157))),({1,2,3,4,5,6,7,8,9,10,11,12,13,14,15,16,17,18,19,20,21,22,23,24,25,26,27,28,29,30}-1)*LEN(Registro!$J157)+1,LEN(Registro!$J157)))," ",REPT(" ",50)),50)))),"Revisar formato"))</f>
        <v/>
      </c>
      <c r="M157" s="11" t="str">
        <f>IF(AND(Registro!$H157="",Registro!$I157=""),"",IF(AND(ISTEXT(K157),K157&lt;&gt;""),"Revisar formato",N(Registro!$H157)-N(K157)))</f>
        <v/>
      </c>
      <c r="N157" s="11" t="str">
        <f t="shared" si="8"/>
        <v/>
      </c>
      <c r="O157" s="15" t="str">
        <f>IF(AND(A157=Consulta!$B$3,C157=Consulta!$H$3),B157*10000+ROW(),"")</f>
        <v/>
      </c>
    </row>
    <row r="158" spans="1:15" x14ac:dyDescent="0.25">
      <c r="A158" s="9" t="str">
        <f>IF(Registro!$A158="","",Registro!$A158)</f>
        <v/>
      </c>
      <c r="B158" s="8" t="str">
        <f>IF(Registro!$B158="","",Registro!$B158)</f>
        <v/>
      </c>
      <c r="C158" s="14" t="str">
        <f t="shared" si="6"/>
        <v/>
      </c>
      <c r="D158" s="10" t="str">
        <f>IF(Registro!$E158="","",IF(ISERROR(FIND("x",LOWER(Registro!$E158))),"-",IFERROR(SUMPRODUCT(--("0"&amp;LEFT(TRIM(MID(SUBSTITUTE(SUBSTITUTE(SUBSTITUTE(SUBSTITUTE(SUBSTITUTE(LOWER(Registro!$E158),"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",LEN(Registro!$E158))),({1,2,3,4,5,6,7,8,9,10,11,12,13,14,15,16,17,18,19,20,21,22,23,24,25,26,27,28,29,30}-1)*LEN(Registro!$E158)+1,LEN(Registro!$E158)))&amp;"x")-1))),"Revisar formato")))</f>
        <v/>
      </c>
      <c r="E158" s="11" t="str">
        <f>IF(Registro!$E158="","",IF(ISERROR(FIND("x",LOWER(Registro!$E158))),"-",IFERROR(SUMPRODUCT(--("0"&amp;LEFT(TRIM(MID(SUBSTITUTE(SUBSTITUTE(SUBSTITUTE(SUBSTITUTE(SUBSTITUTE(LOWER(Registro!$E158),"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",LEN(Registro!$E158))),({1,2,3,4,5,6,7,8,9,10,11,12,13,14,15,16,17,18,19,20,21,22,23,24,25,26,27,28,29,30}-1)*LEN(Registro!$E158)+1,LEN(Registro!$E158)))&amp;"x")-1)),--("0"&amp;MID(TRIM(MID(SUBSTITUTE(SUBSTITUTE(SUBSTITUTE(SUBSTITUTE(SUBSTITUTE(LOWER(Registro!$E158),"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",LEN(Registro!$E158))),({1,2,3,4,5,6,7,8,9,10,11,12,13,14,15,16,17,18,19,20,21,22,23,24,25,26,27,28,29,30}-1)*LEN(Registro!$E158)+1,LEN(Registro!$E158)))&amp;"x")+1,20))),"Revisar formato")))</f>
        <v/>
      </c>
      <c r="F158" s="11" t="str">
        <f>IF(Registro!$F158="","",N(Registro!$F158))</f>
        <v/>
      </c>
      <c r="G158" s="11" t="str">
        <f t="shared" si="7"/>
        <v/>
      </c>
      <c r="H158" s="10" t="str">
        <f>IF(Registro!$G158="","",IF(ISERROR(FIND("x",LOWER(Registro!$G158))),"-",IFERROR(SUMPRODUCT(--("0"&amp;LEFT(TRIM(MID(SUBSTITUTE(SUBSTITUTE(SUBSTITUTE(SUBSTITUTE(SUBSTITUTE(LOWER(Registro!$G158),"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",LEN(Registro!$G158))),({1,2,3,4,5,6,7,8,9,10,11,12,13,14,15,16,17,18,19,20,21,22,23,24,25,26,27,28,29,30}-1)*LEN(Registro!$G158)+1,LEN(Registro!$G158))),FIND("x",TRIM(MID(SUBSTITUTE(SUBSTITUTE(SUBSTITUTE(SUBSTITUTE(SUBSTITUTE(LOWER(Registro!$G158),"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",LEN(Registro!$G158))),({1,2,3,4,5,6,7,8,9,10,11,12,13,14,15,16,17,18,19,20,21,22,23,24,25,26,27,28,29,30}-1)*LEN(Registro!$G158)+1,LEN(Registro!$G158)))&amp;"x")-1))),"Revisar formato")))</f>
        <v/>
      </c>
      <c r="I158" s="11" t="str">
        <f>IF(Registro!$G158="","",IF(ISERROR(FIND("x",LOWER(Registro!$G158))),N(Registro!$H158),IFERROR(SUMPRODUCT(--("0"&amp;LEFT(TRIM(MID(SUBSTITUTE(SUBSTITUTE(SUBSTITUTE(SUBSTITUTE(SUBSTITUTE(LOWER(Registro!$G158),"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",LEN(Registro!$G158))),({1,2,3,4,5,6,7,8,9,10,11,12,13,14,15,16,17,18,19,20,21,22,23,24,25,26,27,28,29,30}-1)*LEN(Registro!$G158)+1,LEN(Registro!$G158))),FIND("x",TRIM(MID(SUBSTITUTE(SUBSTITUTE(SUBSTITUTE(SUBSTITUTE(SUBSTITUTE(LOWER(Registro!$G158),"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",LEN(Registro!$G158))),({1,2,3,4,5,6,7,8,9,10,11,12,13,14,15,16,17,18,19,20,21,22,23,24,25,26,27,28,29,30}-1)*LEN(Registro!$G158)+1,LEN(Registro!$G158)))&amp;"x")-1)),--("0"&amp;MID(TRIM(MID(SUBSTITUTE(SUBSTITUTE(SUBSTITUTE(SUBSTITUTE(SUBSTITUTE(LOWER(Registro!$G158),"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",LEN(Registro!$G158))),({1,2,3,4,5,6,7,8,9,10,11,12,13,14,15,16,17,18,19,20,21,22,23,24,25,26,27,28,29,30}-1)*LEN(Registro!$G158)+1,LEN(Registro!$G158))),FIND("x",TRIM(MID(SUBSTITUTE(SUBSTITUTE(SUBSTITUTE(SUBSTITUTE(SUBSTITUTE(LOWER(Registro!$G158),"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",LEN(Registro!$G158))),({1,2,3,4,5,6,7,8,9,10,11,12,13,14,15,16,17,18,19,20,21,22,23,24,25,26,27,28,29,30}-1)*LEN(Registro!$G158)+1,LEN(Registro!$G158)))&amp;"x")+1,20))),"Revisar formato")))</f>
        <v/>
      </c>
      <c r="J158" s="9" t="str">
        <f>IF(AND(Registro!$E158="",Registro!$G158=""),"",IF(NOT(AND(ISNUMBER(I158),ISNUMBER(Registro!$H158))),"",IF(I158&lt;Registro!$H158,"FALTA BOLETOS",IF(I158=Registro!$H158,"CONFORME","DIFERENCIA"))))</f>
        <v/>
      </c>
      <c r="K158" s="11" t="str">
        <f>IF(Registro!$I158="","",IFERROR(SUMPRODUCT(--("0"&amp;TRIM(RIGHT(SUBSTITUTE(TRIM(MID(SUBSTITUTE(SUBSTITUTE(Registro!$I158,";",CHAR(10)),CHAR(10),REPT(" ",LEN(Registro!$I158))),({1,2,3,4,5,6,7,8,9,10,11,12,13,14,15,16,17,18,19,20,21,22,23,24,25,26,27,28,29,30}-1)*LEN(Registro!$I158)+1,LEN(Registro!$I158)))," ",REPT(" ",50)),50)))),"Revisar formato"))</f>
        <v/>
      </c>
      <c r="L158" s="11" t="str">
        <f>IF(Registro!$J158="","",IFERROR(SUMPRODUCT(--("0"&amp;TRIM(RIGHT(SUBSTITUTE(TRIM(MID(SUBSTITUTE(SUBSTITUTE(Registro!$J158,";",CHAR(10)),CHAR(10),REPT(" ",LEN(Registro!$J158))),({1,2,3,4,5,6,7,8,9,10,11,12,13,14,15,16,17,18,19,20,21,22,23,24,25,26,27,28,29,30}-1)*LEN(Registro!$J158)+1,LEN(Registro!$J158)))," ",REPT(" ",50)),50)))),"Revisar formato"))</f>
        <v/>
      </c>
      <c r="M158" s="11" t="str">
        <f>IF(AND(Registro!$H158="",Registro!$I158=""),"",IF(AND(ISTEXT(K158),K158&lt;&gt;""),"Revisar formato",N(Registro!$H158)-N(K158)))</f>
        <v/>
      </c>
      <c r="N158" s="11" t="str">
        <f t="shared" si="8"/>
        <v/>
      </c>
      <c r="O158" s="15" t="str">
        <f>IF(AND(A158=Consulta!$B$3,C158=Consulta!$H$3),B158*10000+ROW(),"")</f>
        <v/>
      </c>
    </row>
    <row r="159" spans="1:15" x14ac:dyDescent="0.25">
      <c r="A159" s="9" t="str">
        <f>IF(Registro!$A159="","",Registro!$A159)</f>
        <v/>
      </c>
      <c r="B159" s="8" t="str">
        <f>IF(Registro!$B159="","",Registro!$B159)</f>
        <v/>
      </c>
      <c r="C159" s="14" t="str">
        <f t="shared" si="6"/>
        <v/>
      </c>
      <c r="D159" s="10" t="str">
        <f>IF(Registro!$E159="","",IF(ISERROR(FIND("x",LOWER(Registro!$E159))),"-",IFERROR(SUMPRODUCT(--("0"&amp;LEFT(TRIM(MID(SUBSTITUTE(SUBSTITUTE(SUBSTITUTE(SUBSTITUTE(SUBSTITUTE(LOWER(Registro!$E159),"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",LEN(Registro!$E159))),({1,2,3,4,5,6,7,8,9,10,11,12,13,14,15,16,17,18,19,20,21,22,23,24,25,26,27,28,29,30}-1)*LEN(Registro!$E159)+1,LEN(Registro!$E159)))&amp;"x")-1))),"Revisar formato")))</f>
        <v/>
      </c>
      <c r="E159" s="11" t="str">
        <f>IF(Registro!$E159="","",IF(ISERROR(FIND("x",LOWER(Registro!$E159))),"-",IFERROR(SUMPRODUCT(--("0"&amp;LEFT(TRIM(MID(SUBSTITUTE(SUBSTITUTE(SUBSTITUTE(SUBSTITUTE(SUBSTITUTE(LOWER(Registro!$E159),"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",LEN(Registro!$E159))),({1,2,3,4,5,6,7,8,9,10,11,12,13,14,15,16,17,18,19,20,21,22,23,24,25,26,27,28,29,30}-1)*LEN(Registro!$E159)+1,LEN(Registro!$E159)))&amp;"x")-1)),--("0"&amp;MID(TRIM(MID(SUBSTITUTE(SUBSTITUTE(SUBSTITUTE(SUBSTITUTE(SUBSTITUTE(LOWER(Registro!$E159),"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",LEN(Registro!$E159))),({1,2,3,4,5,6,7,8,9,10,11,12,13,14,15,16,17,18,19,20,21,22,23,24,25,26,27,28,29,30}-1)*LEN(Registro!$E159)+1,LEN(Registro!$E159)))&amp;"x")+1,20))),"Revisar formato")))</f>
        <v/>
      </c>
      <c r="F159" s="11" t="str">
        <f>IF(Registro!$F159="","",N(Registro!$F159))</f>
        <v/>
      </c>
      <c r="G159" s="11" t="str">
        <f t="shared" si="7"/>
        <v/>
      </c>
      <c r="H159" s="10" t="str">
        <f>IF(Registro!$G159="","",IF(ISERROR(FIND("x",LOWER(Registro!$G159))),"-",IFERROR(SUMPRODUCT(--("0"&amp;LEFT(TRIM(MID(SUBSTITUTE(SUBSTITUTE(SUBSTITUTE(SUBSTITUTE(SUBSTITUTE(LOWER(Registro!$G159),"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",LEN(Registro!$G159))),({1,2,3,4,5,6,7,8,9,10,11,12,13,14,15,16,17,18,19,20,21,22,23,24,25,26,27,28,29,30}-1)*LEN(Registro!$G159)+1,LEN(Registro!$G159))),FIND("x",TRIM(MID(SUBSTITUTE(SUBSTITUTE(SUBSTITUTE(SUBSTITUTE(SUBSTITUTE(LOWER(Registro!$G159),"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",LEN(Registro!$G159))),({1,2,3,4,5,6,7,8,9,10,11,12,13,14,15,16,17,18,19,20,21,22,23,24,25,26,27,28,29,30}-1)*LEN(Registro!$G159)+1,LEN(Registro!$G159)))&amp;"x")-1))),"Revisar formato")))</f>
        <v/>
      </c>
      <c r="I159" s="11" t="str">
        <f>IF(Registro!$G159="","",IF(ISERROR(FIND("x",LOWER(Registro!$G159))),N(Registro!$H159),IFERROR(SUMPRODUCT(--("0"&amp;LEFT(TRIM(MID(SUBSTITUTE(SUBSTITUTE(SUBSTITUTE(SUBSTITUTE(SUBSTITUTE(LOWER(Registro!$G159),"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",LEN(Registro!$G159))),({1,2,3,4,5,6,7,8,9,10,11,12,13,14,15,16,17,18,19,20,21,22,23,24,25,26,27,28,29,30}-1)*LEN(Registro!$G159)+1,LEN(Registro!$G159))),FIND("x",TRIM(MID(SUBSTITUTE(SUBSTITUTE(SUBSTITUTE(SUBSTITUTE(SUBSTITUTE(LOWER(Registro!$G159),"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",LEN(Registro!$G159))),({1,2,3,4,5,6,7,8,9,10,11,12,13,14,15,16,17,18,19,20,21,22,23,24,25,26,27,28,29,30}-1)*LEN(Registro!$G159)+1,LEN(Registro!$G159)))&amp;"x")-1)),--("0"&amp;MID(TRIM(MID(SUBSTITUTE(SUBSTITUTE(SUBSTITUTE(SUBSTITUTE(SUBSTITUTE(LOWER(Registro!$G159),"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",LEN(Registro!$G159))),({1,2,3,4,5,6,7,8,9,10,11,12,13,14,15,16,17,18,19,20,21,22,23,24,25,26,27,28,29,30}-1)*LEN(Registro!$G159)+1,LEN(Registro!$G159))),FIND("x",TRIM(MID(SUBSTITUTE(SUBSTITUTE(SUBSTITUTE(SUBSTITUTE(SUBSTITUTE(LOWER(Registro!$G159),"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",LEN(Registro!$G159))),({1,2,3,4,5,6,7,8,9,10,11,12,13,14,15,16,17,18,19,20,21,22,23,24,25,26,27,28,29,30}-1)*LEN(Registro!$G159)+1,LEN(Registro!$G159)))&amp;"x")+1,20))),"Revisar formato")))</f>
        <v/>
      </c>
      <c r="J159" s="9" t="str">
        <f>IF(AND(Registro!$E159="",Registro!$G159=""),"",IF(NOT(AND(ISNUMBER(I159),ISNUMBER(Registro!$H159))),"",IF(I159&lt;Registro!$H159,"FALTA BOLETOS",IF(I159=Registro!$H159,"CONFORME","DIFERENCIA"))))</f>
        <v/>
      </c>
      <c r="K159" s="11" t="str">
        <f>IF(Registro!$I159="","",IFERROR(SUMPRODUCT(--("0"&amp;TRIM(RIGHT(SUBSTITUTE(TRIM(MID(SUBSTITUTE(SUBSTITUTE(Registro!$I159,";",CHAR(10)),CHAR(10),REPT(" ",LEN(Registro!$I159))),({1,2,3,4,5,6,7,8,9,10,11,12,13,14,15,16,17,18,19,20,21,22,23,24,25,26,27,28,29,30}-1)*LEN(Registro!$I159)+1,LEN(Registro!$I159)))," ",REPT(" ",50)),50)))),"Revisar formato"))</f>
        <v/>
      </c>
      <c r="L159" s="11" t="str">
        <f>IF(Registro!$J159="","",IFERROR(SUMPRODUCT(--("0"&amp;TRIM(RIGHT(SUBSTITUTE(TRIM(MID(SUBSTITUTE(SUBSTITUTE(Registro!$J159,";",CHAR(10)),CHAR(10),REPT(" ",LEN(Registro!$J159))),({1,2,3,4,5,6,7,8,9,10,11,12,13,14,15,16,17,18,19,20,21,22,23,24,25,26,27,28,29,30}-1)*LEN(Registro!$J159)+1,LEN(Registro!$J159)))," ",REPT(" ",50)),50)))),"Revisar formato"))</f>
        <v/>
      </c>
      <c r="M159" s="11" t="str">
        <f>IF(AND(Registro!$H159="",Registro!$I159=""),"",IF(AND(ISTEXT(K159),K159&lt;&gt;""),"Revisar formato",N(Registro!$H159)-N(K159)))</f>
        <v/>
      </c>
      <c r="N159" s="11" t="str">
        <f t="shared" si="8"/>
        <v/>
      </c>
      <c r="O159" s="15" t="str">
        <f>IF(AND(A159=Consulta!$B$3,C159=Consulta!$H$3),B159*10000+ROW(),"")</f>
        <v/>
      </c>
    </row>
    <row r="160" spans="1:15" x14ac:dyDescent="0.25">
      <c r="A160" s="9" t="str">
        <f>IF(Registro!$A160="","",Registro!$A160)</f>
        <v/>
      </c>
      <c r="B160" s="8" t="str">
        <f>IF(Registro!$B160="","",Registro!$B160)</f>
        <v/>
      </c>
      <c r="C160" s="14" t="str">
        <f t="shared" si="6"/>
        <v/>
      </c>
      <c r="D160" s="10" t="str">
        <f>IF(Registro!$E160="","",IF(ISERROR(FIND("x",LOWER(Registro!$E160))),"-",IFERROR(SUMPRODUCT(--("0"&amp;LEFT(TRIM(MID(SUBSTITUTE(SUBSTITUTE(SUBSTITUTE(SUBSTITUTE(SUBSTITUTE(LOWER(Registro!$E160),"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",LEN(Registro!$E160))),({1,2,3,4,5,6,7,8,9,10,11,12,13,14,15,16,17,18,19,20,21,22,23,24,25,26,27,28,29,30}-1)*LEN(Registro!$E160)+1,LEN(Registro!$E160)))&amp;"x")-1))),"Revisar formato")))</f>
        <v/>
      </c>
      <c r="E160" s="11" t="str">
        <f>IF(Registro!$E160="","",IF(ISERROR(FIND("x",LOWER(Registro!$E160))),"-",IFERROR(SUMPRODUCT(--("0"&amp;LEFT(TRIM(MID(SUBSTITUTE(SUBSTITUTE(SUBSTITUTE(SUBSTITUTE(SUBSTITUTE(LOWER(Registro!$E160),"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",LEN(Registro!$E160))),({1,2,3,4,5,6,7,8,9,10,11,12,13,14,15,16,17,18,19,20,21,22,23,24,25,26,27,28,29,30}-1)*LEN(Registro!$E160)+1,LEN(Registro!$E160)))&amp;"x")-1)),--("0"&amp;MID(TRIM(MID(SUBSTITUTE(SUBSTITUTE(SUBSTITUTE(SUBSTITUTE(SUBSTITUTE(LOWER(Registro!$E160),"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",LEN(Registro!$E160))),({1,2,3,4,5,6,7,8,9,10,11,12,13,14,15,16,17,18,19,20,21,22,23,24,25,26,27,28,29,30}-1)*LEN(Registro!$E160)+1,LEN(Registro!$E160)))&amp;"x")+1,20))),"Revisar formato")))</f>
        <v/>
      </c>
      <c r="F160" s="11" t="str">
        <f>IF(Registro!$F160="","",N(Registro!$F160))</f>
        <v/>
      </c>
      <c r="G160" s="11" t="str">
        <f t="shared" si="7"/>
        <v/>
      </c>
      <c r="H160" s="10" t="str">
        <f>IF(Registro!$G160="","",IF(ISERROR(FIND("x",LOWER(Registro!$G160))),"-",IFERROR(SUMPRODUCT(--("0"&amp;LEFT(TRIM(MID(SUBSTITUTE(SUBSTITUTE(SUBSTITUTE(SUBSTITUTE(SUBSTITUTE(LOWER(Registro!$G160),"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",LEN(Registro!$G160))),({1,2,3,4,5,6,7,8,9,10,11,12,13,14,15,16,17,18,19,20,21,22,23,24,25,26,27,28,29,30}-1)*LEN(Registro!$G160)+1,LEN(Registro!$G160))),FIND("x",TRIM(MID(SUBSTITUTE(SUBSTITUTE(SUBSTITUTE(SUBSTITUTE(SUBSTITUTE(LOWER(Registro!$G160),"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",LEN(Registro!$G160))),({1,2,3,4,5,6,7,8,9,10,11,12,13,14,15,16,17,18,19,20,21,22,23,24,25,26,27,28,29,30}-1)*LEN(Registro!$G160)+1,LEN(Registro!$G160)))&amp;"x")-1))),"Revisar formato")))</f>
        <v/>
      </c>
      <c r="I160" s="11" t="str">
        <f>IF(Registro!$G160="","",IF(ISERROR(FIND("x",LOWER(Registro!$G160))),N(Registro!$H160),IFERROR(SUMPRODUCT(--("0"&amp;LEFT(TRIM(MID(SUBSTITUTE(SUBSTITUTE(SUBSTITUTE(SUBSTITUTE(SUBSTITUTE(LOWER(Registro!$G160),"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",LEN(Registro!$G160))),({1,2,3,4,5,6,7,8,9,10,11,12,13,14,15,16,17,18,19,20,21,22,23,24,25,26,27,28,29,30}-1)*LEN(Registro!$G160)+1,LEN(Registro!$G160))),FIND("x",TRIM(MID(SUBSTITUTE(SUBSTITUTE(SUBSTITUTE(SUBSTITUTE(SUBSTITUTE(LOWER(Registro!$G160),"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",LEN(Registro!$G160))),({1,2,3,4,5,6,7,8,9,10,11,12,13,14,15,16,17,18,19,20,21,22,23,24,25,26,27,28,29,30}-1)*LEN(Registro!$G160)+1,LEN(Registro!$G160)))&amp;"x")-1)),--("0"&amp;MID(TRIM(MID(SUBSTITUTE(SUBSTITUTE(SUBSTITUTE(SUBSTITUTE(SUBSTITUTE(LOWER(Registro!$G160),"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",LEN(Registro!$G160))),({1,2,3,4,5,6,7,8,9,10,11,12,13,14,15,16,17,18,19,20,21,22,23,24,25,26,27,28,29,30}-1)*LEN(Registro!$G160)+1,LEN(Registro!$G160))),FIND("x",TRIM(MID(SUBSTITUTE(SUBSTITUTE(SUBSTITUTE(SUBSTITUTE(SUBSTITUTE(LOWER(Registro!$G160),"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",LEN(Registro!$G160))),({1,2,3,4,5,6,7,8,9,10,11,12,13,14,15,16,17,18,19,20,21,22,23,24,25,26,27,28,29,30}-1)*LEN(Registro!$G160)+1,LEN(Registro!$G160)))&amp;"x")+1,20))),"Revisar formato")))</f>
        <v/>
      </c>
      <c r="J160" s="9" t="str">
        <f>IF(AND(Registro!$E160="",Registro!$G160=""),"",IF(NOT(AND(ISNUMBER(I160),ISNUMBER(Registro!$H160))),"",IF(I160&lt;Registro!$H160,"FALTA BOLETOS",IF(I160=Registro!$H160,"CONFORME","DIFERENCIA"))))</f>
        <v/>
      </c>
      <c r="K160" s="11" t="str">
        <f>IF(Registro!$I160="","",IFERROR(SUMPRODUCT(--("0"&amp;TRIM(RIGHT(SUBSTITUTE(TRIM(MID(SUBSTITUTE(SUBSTITUTE(Registro!$I160,";",CHAR(10)),CHAR(10),REPT(" ",LEN(Registro!$I160))),({1,2,3,4,5,6,7,8,9,10,11,12,13,14,15,16,17,18,19,20,21,22,23,24,25,26,27,28,29,30}-1)*LEN(Registro!$I160)+1,LEN(Registro!$I160)))," ",REPT(" ",50)),50)))),"Revisar formato"))</f>
        <v/>
      </c>
      <c r="L160" s="11" t="str">
        <f>IF(Registro!$J160="","",IFERROR(SUMPRODUCT(--("0"&amp;TRIM(RIGHT(SUBSTITUTE(TRIM(MID(SUBSTITUTE(SUBSTITUTE(Registro!$J160,";",CHAR(10)),CHAR(10),REPT(" ",LEN(Registro!$J160))),({1,2,3,4,5,6,7,8,9,10,11,12,13,14,15,16,17,18,19,20,21,22,23,24,25,26,27,28,29,30}-1)*LEN(Registro!$J160)+1,LEN(Registro!$J160)))," ",REPT(" ",50)),50)))),"Revisar formato"))</f>
        <v/>
      </c>
      <c r="M160" s="11" t="str">
        <f>IF(AND(Registro!$H160="",Registro!$I160=""),"",IF(AND(ISTEXT(K160),K160&lt;&gt;""),"Revisar formato",N(Registro!$H160)-N(K160)))</f>
        <v/>
      </c>
      <c r="N160" s="11" t="str">
        <f t="shared" si="8"/>
        <v/>
      </c>
      <c r="O160" s="15" t="str">
        <f>IF(AND(A160=Consulta!$B$3,C160=Consulta!$H$3),B160*10000+ROW(),"")</f>
        <v/>
      </c>
    </row>
    <row r="161" spans="1:15" x14ac:dyDescent="0.25">
      <c r="A161" s="9" t="str">
        <f>IF(Registro!$A161="","",Registro!$A161)</f>
        <v/>
      </c>
      <c r="B161" s="8" t="str">
        <f>IF(Registro!$B161="","",Registro!$B161)</f>
        <v/>
      </c>
      <c r="C161" s="14" t="str">
        <f t="shared" si="6"/>
        <v/>
      </c>
      <c r="D161" s="10" t="str">
        <f>IF(Registro!$E161="","",IF(ISERROR(FIND("x",LOWER(Registro!$E161))),"-",IFERROR(SUMPRODUCT(--("0"&amp;LEFT(TRIM(MID(SUBSTITUTE(SUBSTITUTE(SUBSTITUTE(SUBSTITUTE(SUBSTITUTE(LOWER(Registro!$E161),"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",LEN(Registro!$E161))),({1,2,3,4,5,6,7,8,9,10,11,12,13,14,15,16,17,18,19,20,21,22,23,24,25,26,27,28,29,30}-1)*LEN(Registro!$E161)+1,LEN(Registro!$E161)))&amp;"x")-1))),"Revisar formato")))</f>
        <v/>
      </c>
      <c r="E161" s="11" t="str">
        <f>IF(Registro!$E161="","",IF(ISERROR(FIND("x",LOWER(Registro!$E161))),"-",IFERROR(SUMPRODUCT(--("0"&amp;LEFT(TRIM(MID(SUBSTITUTE(SUBSTITUTE(SUBSTITUTE(SUBSTITUTE(SUBSTITUTE(LOWER(Registro!$E161),"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",LEN(Registro!$E161))),({1,2,3,4,5,6,7,8,9,10,11,12,13,14,15,16,17,18,19,20,21,22,23,24,25,26,27,28,29,30}-1)*LEN(Registro!$E161)+1,LEN(Registro!$E161)))&amp;"x")-1)),--("0"&amp;MID(TRIM(MID(SUBSTITUTE(SUBSTITUTE(SUBSTITUTE(SUBSTITUTE(SUBSTITUTE(LOWER(Registro!$E161),"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",LEN(Registro!$E161))),({1,2,3,4,5,6,7,8,9,10,11,12,13,14,15,16,17,18,19,20,21,22,23,24,25,26,27,28,29,30}-1)*LEN(Registro!$E161)+1,LEN(Registro!$E161)))&amp;"x")+1,20))),"Revisar formato")))</f>
        <v/>
      </c>
      <c r="F161" s="11" t="str">
        <f>IF(Registro!$F161="","",N(Registro!$F161))</f>
        <v/>
      </c>
      <c r="G161" s="11" t="str">
        <f t="shared" si="7"/>
        <v/>
      </c>
      <c r="H161" s="10" t="str">
        <f>IF(Registro!$G161="","",IF(ISERROR(FIND("x",LOWER(Registro!$G161))),"-",IFERROR(SUMPRODUCT(--("0"&amp;LEFT(TRIM(MID(SUBSTITUTE(SUBSTITUTE(SUBSTITUTE(SUBSTITUTE(SUBSTITUTE(LOWER(Registro!$G161),"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",LEN(Registro!$G161))),({1,2,3,4,5,6,7,8,9,10,11,12,13,14,15,16,17,18,19,20,21,22,23,24,25,26,27,28,29,30}-1)*LEN(Registro!$G161)+1,LEN(Registro!$G161))),FIND("x",TRIM(MID(SUBSTITUTE(SUBSTITUTE(SUBSTITUTE(SUBSTITUTE(SUBSTITUTE(LOWER(Registro!$G161),"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",LEN(Registro!$G161))),({1,2,3,4,5,6,7,8,9,10,11,12,13,14,15,16,17,18,19,20,21,22,23,24,25,26,27,28,29,30}-1)*LEN(Registro!$G161)+1,LEN(Registro!$G161)))&amp;"x")-1))),"Revisar formato")))</f>
        <v/>
      </c>
      <c r="I161" s="11" t="str">
        <f>IF(Registro!$G161="","",IF(ISERROR(FIND("x",LOWER(Registro!$G161))),N(Registro!$H161),IFERROR(SUMPRODUCT(--("0"&amp;LEFT(TRIM(MID(SUBSTITUTE(SUBSTITUTE(SUBSTITUTE(SUBSTITUTE(SUBSTITUTE(LOWER(Registro!$G161),"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",LEN(Registro!$G161))),({1,2,3,4,5,6,7,8,9,10,11,12,13,14,15,16,17,18,19,20,21,22,23,24,25,26,27,28,29,30}-1)*LEN(Registro!$G161)+1,LEN(Registro!$G161))),FIND("x",TRIM(MID(SUBSTITUTE(SUBSTITUTE(SUBSTITUTE(SUBSTITUTE(SUBSTITUTE(LOWER(Registro!$G161),"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",LEN(Registro!$G161))),({1,2,3,4,5,6,7,8,9,10,11,12,13,14,15,16,17,18,19,20,21,22,23,24,25,26,27,28,29,30}-1)*LEN(Registro!$G161)+1,LEN(Registro!$G161)))&amp;"x")-1)),--("0"&amp;MID(TRIM(MID(SUBSTITUTE(SUBSTITUTE(SUBSTITUTE(SUBSTITUTE(SUBSTITUTE(LOWER(Registro!$G161),"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",LEN(Registro!$G161))),({1,2,3,4,5,6,7,8,9,10,11,12,13,14,15,16,17,18,19,20,21,22,23,24,25,26,27,28,29,30}-1)*LEN(Registro!$G161)+1,LEN(Registro!$G161))),FIND("x",TRIM(MID(SUBSTITUTE(SUBSTITUTE(SUBSTITUTE(SUBSTITUTE(SUBSTITUTE(LOWER(Registro!$G161),"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",LEN(Registro!$G161))),({1,2,3,4,5,6,7,8,9,10,11,12,13,14,15,16,17,18,19,20,21,22,23,24,25,26,27,28,29,30}-1)*LEN(Registro!$G161)+1,LEN(Registro!$G161)))&amp;"x")+1,20))),"Revisar formato")))</f>
        <v/>
      </c>
      <c r="J161" s="9" t="str">
        <f>IF(AND(Registro!$E161="",Registro!$G161=""),"",IF(NOT(AND(ISNUMBER(I161),ISNUMBER(Registro!$H161))),"",IF(I161&lt;Registro!$H161,"FALTA BOLETOS",IF(I161=Registro!$H161,"CONFORME","DIFERENCIA"))))</f>
        <v/>
      </c>
      <c r="K161" s="11" t="str">
        <f>IF(Registro!$I161="","",IFERROR(SUMPRODUCT(--("0"&amp;TRIM(RIGHT(SUBSTITUTE(TRIM(MID(SUBSTITUTE(SUBSTITUTE(Registro!$I161,";",CHAR(10)),CHAR(10),REPT(" ",LEN(Registro!$I161))),({1,2,3,4,5,6,7,8,9,10,11,12,13,14,15,16,17,18,19,20,21,22,23,24,25,26,27,28,29,30}-1)*LEN(Registro!$I161)+1,LEN(Registro!$I161)))," ",REPT(" ",50)),50)))),"Revisar formato"))</f>
        <v/>
      </c>
      <c r="L161" s="11" t="str">
        <f>IF(Registro!$J161="","",IFERROR(SUMPRODUCT(--("0"&amp;TRIM(RIGHT(SUBSTITUTE(TRIM(MID(SUBSTITUTE(SUBSTITUTE(Registro!$J161,";",CHAR(10)),CHAR(10),REPT(" ",LEN(Registro!$J161))),({1,2,3,4,5,6,7,8,9,10,11,12,13,14,15,16,17,18,19,20,21,22,23,24,25,26,27,28,29,30}-1)*LEN(Registro!$J161)+1,LEN(Registro!$J161)))," ",REPT(" ",50)),50)))),"Revisar formato"))</f>
        <v/>
      </c>
      <c r="M161" s="11" t="str">
        <f>IF(AND(Registro!$H161="",Registro!$I161=""),"",IF(AND(ISTEXT(K161),K161&lt;&gt;""),"Revisar formato",N(Registro!$H161)-N(K161)))</f>
        <v/>
      </c>
      <c r="N161" s="11" t="str">
        <f t="shared" si="8"/>
        <v/>
      </c>
      <c r="O161" s="15" t="str">
        <f>IF(AND(A161=Consulta!$B$3,C161=Consulta!$H$3),B161*10000+ROW(),"")</f>
        <v/>
      </c>
    </row>
    <row r="162" spans="1:15" x14ac:dyDescent="0.25">
      <c r="A162" s="9" t="str">
        <f>IF(Registro!$A162="","",Registro!$A162)</f>
        <v/>
      </c>
      <c r="B162" s="8" t="str">
        <f>IF(Registro!$B162="","",Registro!$B162)</f>
        <v/>
      </c>
      <c r="C162" s="14" t="str">
        <f t="shared" si="6"/>
        <v/>
      </c>
      <c r="D162" s="10" t="str">
        <f>IF(Registro!$E162="","",IF(ISERROR(FIND("x",LOWER(Registro!$E162))),"-",IFERROR(SUMPRODUCT(--("0"&amp;LEFT(TRIM(MID(SUBSTITUTE(SUBSTITUTE(SUBSTITUTE(SUBSTITUTE(SUBSTITUTE(LOWER(Registro!$E162),"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",LEN(Registro!$E162))),({1,2,3,4,5,6,7,8,9,10,11,12,13,14,15,16,17,18,19,20,21,22,23,24,25,26,27,28,29,30}-1)*LEN(Registro!$E162)+1,LEN(Registro!$E162)))&amp;"x")-1))),"Revisar formato")))</f>
        <v/>
      </c>
      <c r="E162" s="11" t="str">
        <f>IF(Registro!$E162="","",IF(ISERROR(FIND("x",LOWER(Registro!$E162))),"-",IFERROR(SUMPRODUCT(--("0"&amp;LEFT(TRIM(MID(SUBSTITUTE(SUBSTITUTE(SUBSTITUTE(SUBSTITUTE(SUBSTITUTE(LOWER(Registro!$E162),"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",LEN(Registro!$E162))),({1,2,3,4,5,6,7,8,9,10,11,12,13,14,15,16,17,18,19,20,21,22,23,24,25,26,27,28,29,30}-1)*LEN(Registro!$E162)+1,LEN(Registro!$E162)))&amp;"x")-1)),--("0"&amp;MID(TRIM(MID(SUBSTITUTE(SUBSTITUTE(SUBSTITUTE(SUBSTITUTE(SUBSTITUTE(LOWER(Registro!$E162),"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",LEN(Registro!$E162))),({1,2,3,4,5,6,7,8,9,10,11,12,13,14,15,16,17,18,19,20,21,22,23,24,25,26,27,28,29,30}-1)*LEN(Registro!$E162)+1,LEN(Registro!$E162)))&amp;"x")+1,20))),"Revisar formato")))</f>
        <v/>
      </c>
      <c r="F162" s="11" t="str">
        <f>IF(Registro!$F162="","",N(Registro!$F162))</f>
        <v/>
      </c>
      <c r="G162" s="11" t="str">
        <f t="shared" si="7"/>
        <v/>
      </c>
      <c r="H162" s="10" t="str">
        <f>IF(Registro!$G162="","",IF(ISERROR(FIND("x",LOWER(Registro!$G162))),"-",IFERROR(SUMPRODUCT(--("0"&amp;LEFT(TRIM(MID(SUBSTITUTE(SUBSTITUTE(SUBSTITUTE(SUBSTITUTE(SUBSTITUTE(LOWER(Registro!$G162),"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",LEN(Registro!$G162))),({1,2,3,4,5,6,7,8,9,10,11,12,13,14,15,16,17,18,19,20,21,22,23,24,25,26,27,28,29,30}-1)*LEN(Registro!$G162)+1,LEN(Registro!$G162))),FIND("x",TRIM(MID(SUBSTITUTE(SUBSTITUTE(SUBSTITUTE(SUBSTITUTE(SUBSTITUTE(LOWER(Registro!$G162),"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",LEN(Registro!$G162))),({1,2,3,4,5,6,7,8,9,10,11,12,13,14,15,16,17,18,19,20,21,22,23,24,25,26,27,28,29,30}-1)*LEN(Registro!$G162)+1,LEN(Registro!$G162)))&amp;"x")-1))),"Revisar formato")))</f>
        <v/>
      </c>
      <c r="I162" s="11" t="str">
        <f>IF(Registro!$G162="","",IF(ISERROR(FIND("x",LOWER(Registro!$G162))),N(Registro!$H162),IFERROR(SUMPRODUCT(--("0"&amp;LEFT(TRIM(MID(SUBSTITUTE(SUBSTITUTE(SUBSTITUTE(SUBSTITUTE(SUBSTITUTE(LOWER(Registro!$G162),"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",LEN(Registro!$G162))),({1,2,3,4,5,6,7,8,9,10,11,12,13,14,15,16,17,18,19,20,21,22,23,24,25,26,27,28,29,30}-1)*LEN(Registro!$G162)+1,LEN(Registro!$G162))),FIND("x",TRIM(MID(SUBSTITUTE(SUBSTITUTE(SUBSTITUTE(SUBSTITUTE(SUBSTITUTE(LOWER(Registro!$G162),"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",LEN(Registro!$G162))),({1,2,3,4,5,6,7,8,9,10,11,12,13,14,15,16,17,18,19,20,21,22,23,24,25,26,27,28,29,30}-1)*LEN(Registro!$G162)+1,LEN(Registro!$G162)))&amp;"x")-1)),--("0"&amp;MID(TRIM(MID(SUBSTITUTE(SUBSTITUTE(SUBSTITUTE(SUBSTITUTE(SUBSTITUTE(LOWER(Registro!$G162),"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",LEN(Registro!$G162))),({1,2,3,4,5,6,7,8,9,10,11,12,13,14,15,16,17,18,19,20,21,22,23,24,25,26,27,28,29,30}-1)*LEN(Registro!$G162)+1,LEN(Registro!$G162))),FIND("x",TRIM(MID(SUBSTITUTE(SUBSTITUTE(SUBSTITUTE(SUBSTITUTE(SUBSTITUTE(LOWER(Registro!$G162),"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",LEN(Registro!$G162))),({1,2,3,4,5,6,7,8,9,10,11,12,13,14,15,16,17,18,19,20,21,22,23,24,25,26,27,28,29,30}-1)*LEN(Registro!$G162)+1,LEN(Registro!$G162)))&amp;"x")+1,20))),"Revisar formato")))</f>
        <v/>
      </c>
      <c r="J162" s="9" t="str">
        <f>IF(AND(Registro!$E162="",Registro!$G162=""),"",IF(NOT(AND(ISNUMBER(I162),ISNUMBER(Registro!$H162))),"",IF(I162&lt;Registro!$H162,"FALTA BOLETOS",IF(I162=Registro!$H162,"CONFORME","DIFERENCIA"))))</f>
        <v/>
      </c>
      <c r="K162" s="11" t="str">
        <f>IF(Registro!$I162="","",IFERROR(SUMPRODUCT(--("0"&amp;TRIM(RIGHT(SUBSTITUTE(TRIM(MID(SUBSTITUTE(SUBSTITUTE(Registro!$I162,";",CHAR(10)),CHAR(10),REPT(" ",LEN(Registro!$I162))),({1,2,3,4,5,6,7,8,9,10,11,12,13,14,15,16,17,18,19,20,21,22,23,24,25,26,27,28,29,30}-1)*LEN(Registro!$I162)+1,LEN(Registro!$I162)))," ",REPT(" ",50)),50)))),"Revisar formato"))</f>
        <v/>
      </c>
      <c r="L162" s="11" t="str">
        <f>IF(Registro!$J162="","",IFERROR(SUMPRODUCT(--("0"&amp;TRIM(RIGHT(SUBSTITUTE(TRIM(MID(SUBSTITUTE(SUBSTITUTE(Registro!$J162,";",CHAR(10)),CHAR(10),REPT(" ",LEN(Registro!$J162))),({1,2,3,4,5,6,7,8,9,10,11,12,13,14,15,16,17,18,19,20,21,22,23,24,25,26,27,28,29,30}-1)*LEN(Registro!$J162)+1,LEN(Registro!$J162)))," ",REPT(" ",50)),50)))),"Revisar formato"))</f>
        <v/>
      </c>
      <c r="M162" s="11" t="str">
        <f>IF(AND(Registro!$H162="",Registro!$I162=""),"",IF(AND(ISTEXT(K162),K162&lt;&gt;""),"Revisar formato",N(Registro!$H162)-N(K162)))</f>
        <v/>
      </c>
      <c r="N162" s="11" t="str">
        <f t="shared" si="8"/>
        <v/>
      </c>
      <c r="O162" s="15" t="str">
        <f>IF(AND(A162=Consulta!$B$3,C162=Consulta!$H$3),B162*10000+ROW(),"")</f>
        <v/>
      </c>
    </row>
    <row r="163" spans="1:15" x14ac:dyDescent="0.25">
      <c r="A163" s="9" t="str">
        <f>IF(Registro!$A163="","",Registro!$A163)</f>
        <v/>
      </c>
      <c r="B163" s="8" t="str">
        <f>IF(Registro!$B163="","",Registro!$B163)</f>
        <v/>
      </c>
      <c r="C163" s="14" t="str">
        <f t="shared" si="6"/>
        <v/>
      </c>
      <c r="D163" s="10" t="str">
        <f>IF(Registro!$E163="","",IF(ISERROR(FIND("x",LOWER(Registro!$E163))),"-",IFERROR(SUMPRODUCT(--("0"&amp;LEFT(TRIM(MID(SUBSTITUTE(SUBSTITUTE(SUBSTITUTE(SUBSTITUTE(SUBSTITUTE(LOWER(Registro!$E163),"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",LEN(Registro!$E163))),({1,2,3,4,5,6,7,8,9,10,11,12,13,14,15,16,17,18,19,20,21,22,23,24,25,26,27,28,29,30}-1)*LEN(Registro!$E163)+1,LEN(Registro!$E163)))&amp;"x")-1))),"Revisar formato")))</f>
        <v/>
      </c>
      <c r="E163" s="11" t="str">
        <f>IF(Registro!$E163="","",IF(ISERROR(FIND("x",LOWER(Registro!$E163))),"-",IFERROR(SUMPRODUCT(--("0"&amp;LEFT(TRIM(MID(SUBSTITUTE(SUBSTITUTE(SUBSTITUTE(SUBSTITUTE(SUBSTITUTE(LOWER(Registro!$E163),"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",LEN(Registro!$E163))),({1,2,3,4,5,6,7,8,9,10,11,12,13,14,15,16,17,18,19,20,21,22,23,24,25,26,27,28,29,30}-1)*LEN(Registro!$E163)+1,LEN(Registro!$E163)))&amp;"x")-1)),--("0"&amp;MID(TRIM(MID(SUBSTITUTE(SUBSTITUTE(SUBSTITUTE(SUBSTITUTE(SUBSTITUTE(LOWER(Registro!$E163),"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",LEN(Registro!$E163))),({1,2,3,4,5,6,7,8,9,10,11,12,13,14,15,16,17,18,19,20,21,22,23,24,25,26,27,28,29,30}-1)*LEN(Registro!$E163)+1,LEN(Registro!$E163)))&amp;"x")+1,20))),"Revisar formato")))</f>
        <v/>
      </c>
      <c r="F163" s="11" t="str">
        <f>IF(Registro!$F163="","",N(Registro!$F163))</f>
        <v/>
      </c>
      <c r="G163" s="11" t="str">
        <f t="shared" si="7"/>
        <v/>
      </c>
      <c r="H163" s="10" t="str">
        <f>IF(Registro!$G163="","",IF(ISERROR(FIND("x",LOWER(Registro!$G163))),"-",IFERROR(SUMPRODUCT(--("0"&amp;LEFT(TRIM(MID(SUBSTITUTE(SUBSTITUTE(SUBSTITUTE(SUBSTITUTE(SUBSTITUTE(LOWER(Registro!$G163),"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",LEN(Registro!$G163))),({1,2,3,4,5,6,7,8,9,10,11,12,13,14,15,16,17,18,19,20,21,22,23,24,25,26,27,28,29,30}-1)*LEN(Registro!$G163)+1,LEN(Registro!$G163))),FIND("x",TRIM(MID(SUBSTITUTE(SUBSTITUTE(SUBSTITUTE(SUBSTITUTE(SUBSTITUTE(LOWER(Registro!$G163),"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",LEN(Registro!$G163))),({1,2,3,4,5,6,7,8,9,10,11,12,13,14,15,16,17,18,19,20,21,22,23,24,25,26,27,28,29,30}-1)*LEN(Registro!$G163)+1,LEN(Registro!$G163)))&amp;"x")-1))),"Revisar formato")))</f>
        <v/>
      </c>
      <c r="I163" s="11" t="str">
        <f>IF(Registro!$G163="","",IF(ISERROR(FIND("x",LOWER(Registro!$G163))),N(Registro!$H163),IFERROR(SUMPRODUCT(--("0"&amp;LEFT(TRIM(MID(SUBSTITUTE(SUBSTITUTE(SUBSTITUTE(SUBSTITUTE(SUBSTITUTE(LOWER(Registro!$G163),"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",LEN(Registro!$G163))),({1,2,3,4,5,6,7,8,9,10,11,12,13,14,15,16,17,18,19,20,21,22,23,24,25,26,27,28,29,30}-1)*LEN(Registro!$G163)+1,LEN(Registro!$G163))),FIND("x",TRIM(MID(SUBSTITUTE(SUBSTITUTE(SUBSTITUTE(SUBSTITUTE(SUBSTITUTE(LOWER(Registro!$G163),"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",LEN(Registro!$G163))),({1,2,3,4,5,6,7,8,9,10,11,12,13,14,15,16,17,18,19,20,21,22,23,24,25,26,27,28,29,30}-1)*LEN(Registro!$G163)+1,LEN(Registro!$G163)))&amp;"x")-1)),--("0"&amp;MID(TRIM(MID(SUBSTITUTE(SUBSTITUTE(SUBSTITUTE(SUBSTITUTE(SUBSTITUTE(LOWER(Registro!$G163),"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",LEN(Registro!$G163))),({1,2,3,4,5,6,7,8,9,10,11,12,13,14,15,16,17,18,19,20,21,22,23,24,25,26,27,28,29,30}-1)*LEN(Registro!$G163)+1,LEN(Registro!$G163))),FIND("x",TRIM(MID(SUBSTITUTE(SUBSTITUTE(SUBSTITUTE(SUBSTITUTE(SUBSTITUTE(LOWER(Registro!$G163),"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",LEN(Registro!$G163))),({1,2,3,4,5,6,7,8,9,10,11,12,13,14,15,16,17,18,19,20,21,22,23,24,25,26,27,28,29,30}-1)*LEN(Registro!$G163)+1,LEN(Registro!$G163)))&amp;"x")+1,20))),"Revisar formato")))</f>
        <v/>
      </c>
      <c r="J163" s="9" t="str">
        <f>IF(AND(Registro!$E163="",Registro!$G163=""),"",IF(NOT(AND(ISNUMBER(I163),ISNUMBER(Registro!$H163))),"",IF(I163&lt;Registro!$H163,"FALTA BOLETOS",IF(I163=Registro!$H163,"CONFORME","DIFERENCIA"))))</f>
        <v/>
      </c>
      <c r="K163" s="11" t="str">
        <f>IF(Registro!$I163="","",IFERROR(SUMPRODUCT(--("0"&amp;TRIM(RIGHT(SUBSTITUTE(TRIM(MID(SUBSTITUTE(SUBSTITUTE(Registro!$I163,";",CHAR(10)),CHAR(10),REPT(" ",LEN(Registro!$I163))),({1,2,3,4,5,6,7,8,9,10,11,12,13,14,15,16,17,18,19,20,21,22,23,24,25,26,27,28,29,30}-1)*LEN(Registro!$I163)+1,LEN(Registro!$I163)))," ",REPT(" ",50)),50)))),"Revisar formato"))</f>
        <v/>
      </c>
      <c r="L163" s="11" t="str">
        <f>IF(Registro!$J163="","",IFERROR(SUMPRODUCT(--("0"&amp;TRIM(RIGHT(SUBSTITUTE(TRIM(MID(SUBSTITUTE(SUBSTITUTE(Registro!$J163,";",CHAR(10)),CHAR(10),REPT(" ",LEN(Registro!$J163))),({1,2,3,4,5,6,7,8,9,10,11,12,13,14,15,16,17,18,19,20,21,22,23,24,25,26,27,28,29,30}-1)*LEN(Registro!$J163)+1,LEN(Registro!$J163)))," ",REPT(" ",50)),50)))),"Revisar formato"))</f>
        <v/>
      </c>
      <c r="M163" s="11" t="str">
        <f>IF(AND(Registro!$H163="",Registro!$I163=""),"",IF(AND(ISTEXT(K163),K163&lt;&gt;""),"Revisar formato",N(Registro!$H163)-N(K163)))</f>
        <v/>
      </c>
      <c r="N163" s="11" t="str">
        <f t="shared" si="8"/>
        <v/>
      </c>
      <c r="O163" s="15" t="str">
        <f>IF(AND(A163=Consulta!$B$3,C163=Consulta!$H$3),B163*10000+ROW(),"")</f>
        <v/>
      </c>
    </row>
    <row r="164" spans="1:15" x14ac:dyDescent="0.25">
      <c r="A164" s="9" t="str">
        <f>IF(Registro!$A164="","",Registro!$A164)</f>
        <v/>
      </c>
      <c r="B164" s="8" t="str">
        <f>IF(Registro!$B164="","",Registro!$B164)</f>
        <v/>
      </c>
      <c r="C164" s="14" t="str">
        <f t="shared" si="6"/>
        <v/>
      </c>
      <c r="D164" s="10" t="str">
        <f>IF(Registro!$E164="","",IF(ISERROR(FIND("x",LOWER(Registro!$E164))),"-",IFERROR(SUMPRODUCT(--("0"&amp;LEFT(TRIM(MID(SUBSTITUTE(SUBSTITUTE(SUBSTITUTE(SUBSTITUTE(SUBSTITUTE(LOWER(Registro!$E164),"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",LEN(Registro!$E164))),({1,2,3,4,5,6,7,8,9,10,11,12,13,14,15,16,17,18,19,20,21,22,23,24,25,26,27,28,29,30}-1)*LEN(Registro!$E164)+1,LEN(Registro!$E164)))&amp;"x")-1))),"Revisar formato")))</f>
        <v/>
      </c>
      <c r="E164" s="11" t="str">
        <f>IF(Registro!$E164="","",IF(ISERROR(FIND("x",LOWER(Registro!$E164))),"-",IFERROR(SUMPRODUCT(--("0"&amp;LEFT(TRIM(MID(SUBSTITUTE(SUBSTITUTE(SUBSTITUTE(SUBSTITUTE(SUBSTITUTE(LOWER(Registro!$E164),"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",LEN(Registro!$E164))),({1,2,3,4,5,6,7,8,9,10,11,12,13,14,15,16,17,18,19,20,21,22,23,24,25,26,27,28,29,30}-1)*LEN(Registro!$E164)+1,LEN(Registro!$E164)))&amp;"x")-1)),--("0"&amp;MID(TRIM(MID(SUBSTITUTE(SUBSTITUTE(SUBSTITUTE(SUBSTITUTE(SUBSTITUTE(LOWER(Registro!$E164),"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",LEN(Registro!$E164))),({1,2,3,4,5,6,7,8,9,10,11,12,13,14,15,16,17,18,19,20,21,22,23,24,25,26,27,28,29,30}-1)*LEN(Registro!$E164)+1,LEN(Registro!$E164)))&amp;"x")+1,20))),"Revisar formato")))</f>
        <v/>
      </c>
      <c r="F164" s="11" t="str">
        <f>IF(Registro!$F164="","",N(Registro!$F164))</f>
        <v/>
      </c>
      <c r="G164" s="11" t="str">
        <f t="shared" si="7"/>
        <v/>
      </c>
      <c r="H164" s="10" t="str">
        <f>IF(Registro!$G164="","",IF(ISERROR(FIND("x",LOWER(Registro!$G164))),"-",IFERROR(SUMPRODUCT(--("0"&amp;LEFT(TRIM(MID(SUBSTITUTE(SUBSTITUTE(SUBSTITUTE(SUBSTITUTE(SUBSTITUTE(LOWER(Registro!$G164),"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",LEN(Registro!$G164))),({1,2,3,4,5,6,7,8,9,10,11,12,13,14,15,16,17,18,19,20,21,22,23,24,25,26,27,28,29,30}-1)*LEN(Registro!$G164)+1,LEN(Registro!$G164))),FIND("x",TRIM(MID(SUBSTITUTE(SUBSTITUTE(SUBSTITUTE(SUBSTITUTE(SUBSTITUTE(LOWER(Registro!$G164),"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",LEN(Registro!$G164))),({1,2,3,4,5,6,7,8,9,10,11,12,13,14,15,16,17,18,19,20,21,22,23,24,25,26,27,28,29,30}-1)*LEN(Registro!$G164)+1,LEN(Registro!$G164)))&amp;"x")-1))),"Revisar formato")))</f>
        <v/>
      </c>
      <c r="I164" s="11" t="str">
        <f>IF(Registro!$G164="","",IF(ISERROR(FIND("x",LOWER(Registro!$G164))),N(Registro!$H164),IFERROR(SUMPRODUCT(--("0"&amp;LEFT(TRIM(MID(SUBSTITUTE(SUBSTITUTE(SUBSTITUTE(SUBSTITUTE(SUBSTITUTE(LOWER(Registro!$G164),"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",LEN(Registro!$G164))),({1,2,3,4,5,6,7,8,9,10,11,12,13,14,15,16,17,18,19,20,21,22,23,24,25,26,27,28,29,30}-1)*LEN(Registro!$G164)+1,LEN(Registro!$G164))),FIND("x",TRIM(MID(SUBSTITUTE(SUBSTITUTE(SUBSTITUTE(SUBSTITUTE(SUBSTITUTE(LOWER(Registro!$G164),"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",LEN(Registro!$G164))),({1,2,3,4,5,6,7,8,9,10,11,12,13,14,15,16,17,18,19,20,21,22,23,24,25,26,27,28,29,30}-1)*LEN(Registro!$G164)+1,LEN(Registro!$G164)))&amp;"x")-1)),--("0"&amp;MID(TRIM(MID(SUBSTITUTE(SUBSTITUTE(SUBSTITUTE(SUBSTITUTE(SUBSTITUTE(LOWER(Registro!$G164),"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",LEN(Registro!$G164))),({1,2,3,4,5,6,7,8,9,10,11,12,13,14,15,16,17,18,19,20,21,22,23,24,25,26,27,28,29,30}-1)*LEN(Registro!$G164)+1,LEN(Registro!$G164))),FIND("x",TRIM(MID(SUBSTITUTE(SUBSTITUTE(SUBSTITUTE(SUBSTITUTE(SUBSTITUTE(LOWER(Registro!$G164),"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",LEN(Registro!$G164))),({1,2,3,4,5,6,7,8,9,10,11,12,13,14,15,16,17,18,19,20,21,22,23,24,25,26,27,28,29,30}-1)*LEN(Registro!$G164)+1,LEN(Registro!$G164)))&amp;"x")+1,20))),"Revisar formato")))</f>
        <v/>
      </c>
      <c r="J164" s="9" t="str">
        <f>IF(AND(Registro!$E164="",Registro!$G164=""),"",IF(NOT(AND(ISNUMBER(I164),ISNUMBER(Registro!$H164))),"",IF(I164&lt;Registro!$H164,"FALTA BOLETOS",IF(I164=Registro!$H164,"CONFORME","DIFERENCIA"))))</f>
        <v/>
      </c>
      <c r="K164" s="11" t="str">
        <f>IF(Registro!$I164="","",IFERROR(SUMPRODUCT(--("0"&amp;TRIM(RIGHT(SUBSTITUTE(TRIM(MID(SUBSTITUTE(SUBSTITUTE(Registro!$I164,";",CHAR(10)),CHAR(10),REPT(" ",LEN(Registro!$I164))),({1,2,3,4,5,6,7,8,9,10,11,12,13,14,15,16,17,18,19,20,21,22,23,24,25,26,27,28,29,30}-1)*LEN(Registro!$I164)+1,LEN(Registro!$I164)))," ",REPT(" ",50)),50)))),"Revisar formato"))</f>
        <v/>
      </c>
      <c r="L164" s="11" t="str">
        <f>IF(Registro!$J164="","",IFERROR(SUMPRODUCT(--("0"&amp;TRIM(RIGHT(SUBSTITUTE(TRIM(MID(SUBSTITUTE(SUBSTITUTE(Registro!$J164,";",CHAR(10)),CHAR(10),REPT(" ",LEN(Registro!$J164))),({1,2,3,4,5,6,7,8,9,10,11,12,13,14,15,16,17,18,19,20,21,22,23,24,25,26,27,28,29,30}-1)*LEN(Registro!$J164)+1,LEN(Registro!$J164)))," ",REPT(" ",50)),50)))),"Revisar formato"))</f>
        <v/>
      </c>
      <c r="M164" s="11" t="str">
        <f>IF(AND(Registro!$H164="",Registro!$I164=""),"",IF(AND(ISTEXT(K164),K164&lt;&gt;""),"Revisar formato",N(Registro!$H164)-N(K164)))</f>
        <v/>
      </c>
      <c r="N164" s="11" t="str">
        <f t="shared" si="8"/>
        <v/>
      </c>
      <c r="O164" s="15" t="str">
        <f>IF(AND(A164=Consulta!$B$3,C164=Consulta!$H$3),B164*10000+ROW(),"")</f>
        <v/>
      </c>
    </row>
    <row r="165" spans="1:15" x14ac:dyDescent="0.25">
      <c r="A165" s="9" t="str">
        <f>IF(Registro!$A165="","",Registro!$A165)</f>
        <v/>
      </c>
      <c r="B165" s="8" t="str">
        <f>IF(Registro!$B165="","",Registro!$B165)</f>
        <v/>
      </c>
      <c r="C165" s="14" t="str">
        <f t="shared" si="6"/>
        <v/>
      </c>
      <c r="D165" s="10" t="str">
        <f>IF(Registro!$E165="","",IF(ISERROR(FIND("x",LOWER(Registro!$E165))),"-",IFERROR(SUMPRODUCT(--("0"&amp;LEFT(TRIM(MID(SUBSTITUTE(SUBSTITUTE(SUBSTITUTE(SUBSTITUTE(SUBSTITUTE(LOWER(Registro!$E165),"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",LEN(Registro!$E165))),({1,2,3,4,5,6,7,8,9,10,11,12,13,14,15,16,17,18,19,20,21,22,23,24,25,26,27,28,29,30}-1)*LEN(Registro!$E165)+1,LEN(Registro!$E165)))&amp;"x")-1))),"Revisar formato")))</f>
        <v/>
      </c>
      <c r="E165" s="11" t="str">
        <f>IF(Registro!$E165="","",IF(ISERROR(FIND("x",LOWER(Registro!$E165))),"-",IFERROR(SUMPRODUCT(--("0"&amp;LEFT(TRIM(MID(SUBSTITUTE(SUBSTITUTE(SUBSTITUTE(SUBSTITUTE(SUBSTITUTE(LOWER(Registro!$E165),"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",LEN(Registro!$E165))),({1,2,3,4,5,6,7,8,9,10,11,12,13,14,15,16,17,18,19,20,21,22,23,24,25,26,27,28,29,30}-1)*LEN(Registro!$E165)+1,LEN(Registro!$E165)))&amp;"x")-1)),--("0"&amp;MID(TRIM(MID(SUBSTITUTE(SUBSTITUTE(SUBSTITUTE(SUBSTITUTE(SUBSTITUTE(LOWER(Registro!$E165),"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",LEN(Registro!$E165))),({1,2,3,4,5,6,7,8,9,10,11,12,13,14,15,16,17,18,19,20,21,22,23,24,25,26,27,28,29,30}-1)*LEN(Registro!$E165)+1,LEN(Registro!$E165)))&amp;"x")+1,20))),"Revisar formato")))</f>
        <v/>
      </c>
      <c r="F165" s="11" t="str">
        <f>IF(Registro!$F165="","",N(Registro!$F165))</f>
        <v/>
      </c>
      <c r="G165" s="11" t="str">
        <f t="shared" si="7"/>
        <v/>
      </c>
      <c r="H165" s="10" t="str">
        <f>IF(Registro!$G165="","",IF(ISERROR(FIND("x",LOWER(Registro!$G165))),"-",IFERROR(SUMPRODUCT(--("0"&amp;LEFT(TRIM(MID(SUBSTITUTE(SUBSTITUTE(SUBSTITUTE(SUBSTITUTE(SUBSTITUTE(LOWER(Registro!$G165),"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",LEN(Registro!$G165))),({1,2,3,4,5,6,7,8,9,10,11,12,13,14,15,16,17,18,19,20,21,22,23,24,25,26,27,28,29,30}-1)*LEN(Registro!$G165)+1,LEN(Registro!$G165))),FIND("x",TRIM(MID(SUBSTITUTE(SUBSTITUTE(SUBSTITUTE(SUBSTITUTE(SUBSTITUTE(LOWER(Registro!$G165),"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",LEN(Registro!$G165))),({1,2,3,4,5,6,7,8,9,10,11,12,13,14,15,16,17,18,19,20,21,22,23,24,25,26,27,28,29,30}-1)*LEN(Registro!$G165)+1,LEN(Registro!$G165)))&amp;"x")-1))),"Revisar formato")))</f>
        <v/>
      </c>
      <c r="I165" s="11" t="str">
        <f>IF(Registro!$G165="","",IF(ISERROR(FIND("x",LOWER(Registro!$G165))),N(Registro!$H165),IFERROR(SUMPRODUCT(--("0"&amp;LEFT(TRIM(MID(SUBSTITUTE(SUBSTITUTE(SUBSTITUTE(SUBSTITUTE(SUBSTITUTE(LOWER(Registro!$G165),"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",LEN(Registro!$G165))),({1,2,3,4,5,6,7,8,9,10,11,12,13,14,15,16,17,18,19,20,21,22,23,24,25,26,27,28,29,30}-1)*LEN(Registro!$G165)+1,LEN(Registro!$G165))),FIND("x",TRIM(MID(SUBSTITUTE(SUBSTITUTE(SUBSTITUTE(SUBSTITUTE(SUBSTITUTE(LOWER(Registro!$G165),"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",LEN(Registro!$G165))),({1,2,3,4,5,6,7,8,9,10,11,12,13,14,15,16,17,18,19,20,21,22,23,24,25,26,27,28,29,30}-1)*LEN(Registro!$G165)+1,LEN(Registro!$G165)))&amp;"x")-1)),--("0"&amp;MID(TRIM(MID(SUBSTITUTE(SUBSTITUTE(SUBSTITUTE(SUBSTITUTE(SUBSTITUTE(LOWER(Registro!$G165),"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",LEN(Registro!$G165))),({1,2,3,4,5,6,7,8,9,10,11,12,13,14,15,16,17,18,19,20,21,22,23,24,25,26,27,28,29,30}-1)*LEN(Registro!$G165)+1,LEN(Registro!$G165))),FIND("x",TRIM(MID(SUBSTITUTE(SUBSTITUTE(SUBSTITUTE(SUBSTITUTE(SUBSTITUTE(LOWER(Registro!$G165),"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",LEN(Registro!$G165))),({1,2,3,4,5,6,7,8,9,10,11,12,13,14,15,16,17,18,19,20,21,22,23,24,25,26,27,28,29,30}-1)*LEN(Registro!$G165)+1,LEN(Registro!$G165)))&amp;"x")+1,20))),"Revisar formato")))</f>
        <v/>
      </c>
      <c r="J165" s="9" t="str">
        <f>IF(AND(Registro!$E165="",Registro!$G165=""),"",IF(NOT(AND(ISNUMBER(I165),ISNUMBER(Registro!$H165))),"",IF(I165&lt;Registro!$H165,"FALTA BOLETOS",IF(I165=Registro!$H165,"CONFORME","DIFERENCIA"))))</f>
        <v/>
      </c>
      <c r="K165" s="11" t="str">
        <f>IF(Registro!$I165="","",IFERROR(SUMPRODUCT(--("0"&amp;TRIM(RIGHT(SUBSTITUTE(TRIM(MID(SUBSTITUTE(SUBSTITUTE(Registro!$I165,";",CHAR(10)),CHAR(10),REPT(" ",LEN(Registro!$I165))),({1,2,3,4,5,6,7,8,9,10,11,12,13,14,15,16,17,18,19,20,21,22,23,24,25,26,27,28,29,30}-1)*LEN(Registro!$I165)+1,LEN(Registro!$I165)))," ",REPT(" ",50)),50)))),"Revisar formato"))</f>
        <v/>
      </c>
      <c r="L165" s="11" t="str">
        <f>IF(Registro!$J165="","",IFERROR(SUMPRODUCT(--("0"&amp;TRIM(RIGHT(SUBSTITUTE(TRIM(MID(SUBSTITUTE(SUBSTITUTE(Registro!$J165,";",CHAR(10)),CHAR(10),REPT(" ",LEN(Registro!$J165))),({1,2,3,4,5,6,7,8,9,10,11,12,13,14,15,16,17,18,19,20,21,22,23,24,25,26,27,28,29,30}-1)*LEN(Registro!$J165)+1,LEN(Registro!$J165)))," ",REPT(" ",50)),50)))),"Revisar formato"))</f>
        <v/>
      </c>
      <c r="M165" s="11" t="str">
        <f>IF(AND(Registro!$H165="",Registro!$I165=""),"",IF(AND(ISTEXT(K165),K165&lt;&gt;""),"Revisar formato",N(Registro!$H165)-N(K165)))</f>
        <v/>
      </c>
      <c r="N165" s="11" t="str">
        <f t="shared" si="8"/>
        <v/>
      </c>
      <c r="O165" s="15" t="str">
        <f>IF(AND(A165=Consulta!$B$3,C165=Consulta!$H$3),B165*10000+ROW(),"")</f>
        <v/>
      </c>
    </row>
    <row r="166" spans="1:15" x14ac:dyDescent="0.25">
      <c r="A166" s="9" t="str">
        <f>IF(Registro!$A166="","",Registro!$A166)</f>
        <v/>
      </c>
      <c r="B166" s="8" t="str">
        <f>IF(Registro!$B166="","",Registro!$B166)</f>
        <v/>
      </c>
      <c r="C166" s="14" t="str">
        <f t="shared" si="6"/>
        <v/>
      </c>
      <c r="D166" s="10" t="str">
        <f>IF(Registro!$E166="","",IF(ISERROR(FIND("x",LOWER(Registro!$E166))),"-",IFERROR(SUMPRODUCT(--("0"&amp;LEFT(TRIM(MID(SUBSTITUTE(SUBSTITUTE(SUBSTITUTE(SUBSTITUTE(SUBSTITUTE(LOWER(Registro!$E166),"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",LEN(Registro!$E166))),({1,2,3,4,5,6,7,8,9,10,11,12,13,14,15,16,17,18,19,20,21,22,23,24,25,26,27,28,29,30}-1)*LEN(Registro!$E166)+1,LEN(Registro!$E166)))&amp;"x")-1))),"Revisar formato")))</f>
        <v/>
      </c>
      <c r="E166" s="11" t="str">
        <f>IF(Registro!$E166="","",IF(ISERROR(FIND("x",LOWER(Registro!$E166))),"-",IFERROR(SUMPRODUCT(--("0"&amp;LEFT(TRIM(MID(SUBSTITUTE(SUBSTITUTE(SUBSTITUTE(SUBSTITUTE(SUBSTITUTE(LOWER(Registro!$E166),"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",LEN(Registro!$E166))),({1,2,3,4,5,6,7,8,9,10,11,12,13,14,15,16,17,18,19,20,21,22,23,24,25,26,27,28,29,30}-1)*LEN(Registro!$E166)+1,LEN(Registro!$E166)))&amp;"x")-1)),--("0"&amp;MID(TRIM(MID(SUBSTITUTE(SUBSTITUTE(SUBSTITUTE(SUBSTITUTE(SUBSTITUTE(LOWER(Registro!$E166),"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",LEN(Registro!$E166))),({1,2,3,4,5,6,7,8,9,10,11,12,13,14,15,16,17,18,19,20,21,22,23,24,25,26,27,28,29,30}-1)*LEN(Registro!$E166)+1,LEN(Registro!$E166)))&amp;"x")+1,20))),"Revisar formato")))</f>
        <v/>
      </c>
      <c r="F166" s="11" t="str">
        <f>IF(Registro!$F166="","",N(Registro!$F166))</f>
        <v/>
      </c>
      <c r="G166" s="11" t="str">
        <f t="shared" si="7"/>
        <v/>
      </c>
      <c r="H166" s="10" t="str">
        <f>IF(Registro!$G166="","",IF(ISERROR(FIND("x",LOWER(Registro!$G166))),"-",IFERROR(SUMPRODUCT(--("0"&amp;LEFT(TRIM(MID(SUBSTITUTE(SUBSTITUTE(SUBSTITUTE(SUBSTITUTE(SUBSTITUTE(LOWER(Registro!$G166),"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",LEN(Registro!$G166))),({1,2,3,4,5,6,7,8,9,10,11,12,13,14,15,16,17,18,19,20,21,22,23,24,25,26,27,28,29,30}-1)*LEN(Registro!$G166)+1,LEN(Registro!$G166))),FIND("x",TRIM(MID(SUBSTITUTE(SUBSTITUTE(SUBSTITUTE(SUBSTITUTE(SUBSTITUTE(LOWER(Registro!$G166),"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",LEN(Registro!$G166))),({1,2,3,4,5,6,7,8,9,10,11,12,13,14,15,16,17,18,19,20,21,22,23,24,25,26,27,28,29,30}-1)*LEN(Registro!$G166)+1,LEN(Registro!$G166)))&amp;"x")-1))),"Revisar formato")))</f>
        <v/>
      </c>
      <c r="I166" s="11" t="str">
        <f>IF(Registro!$G166="","",IF(ISERROR(FIND("x",LOWER(Registro!$G166))),N(Registro!$H166),IFERROR(SUMPRODUCT(--("0"&amp;LEFT(TRIM(MID(SUBSTITUTE(SUBSTITUTE(SUBSTITUTE(SUBSTITUTE(SUBSTITUTE(LOWER(Registro!$G166),"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",LEN(Registro!$G166))),({1,2,3,4,5,6,7,8,9,10,11,12,13,14,15,16,17,18,19,20,21,22,23,24,25,26,27,28,29,30}-1)*LEN(Registro!$G166)+1,LEN(Registro!$G166))),FIND("x",TRIM(MID(SUBSTITUTE(SUBSTITUTE(SUBSTITUTE(SUBSTITUTE(SUBSTITUTE(LOWER(Registro!$G166),"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",LEN(Registro!$G166))),({1,2,3,4,5,6,7,8,9,10,11,12,13,14,15,16,17,18,19,20,21,22,23,24,25,26,27,28,29,30}-1)*LEN(Registro!$G166)+1,LEN(Registro!$G166)))&amp;"x")-1)),--("0"&amp;MID(TRIM(MID(SUBSTITUTE(SUBSTITUTE(SUBSTITUTE(SUBSTITUTE(SUBSTITUTE(LOWER(Registro!$G166),"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",LEN(Registro!$G166))),({1,2,3,4,5,6,7,8,9,10,11,12,13,14,15,16,17,18,19,20,21,22,23,24,25,26,27,28,29,30}-1)*LEN(Registro!$G166)+1,LEN(Registro!$G166))),FIND("x",TRIM(MID(SUBSTITUTE(SUBSTITUTE(SUBSTITUTE(SUBSTITUTE(SUBSTITUTE(LOWER(Registro!$G166),"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",LEN(Registro!$G166))),({1,2,3,4,5,6,7,8,9,10,11,12,13,14,15,16,17,18,19,20,21,22,23,24,25,26,27,28,29,30}-1)*LEN(Registro!$G166)+1,LEN(Registro!$G166)))&amp;"x")+1,20))),"Revisar formato")))</f>
        <v/>
      </c>
      <c r="J166" s="9" t="str">
        <f>IF(AND(Registro!$E166="",Registro!$G166=""),"",IF(NOT(AND(ISNUMBER(I166),ISNUMBER(Registro!$H166))),"",IF(I166&lt;Registro!$H166,"FALTA BOLETOS",IF(I166=Registro!$H166,"CONFORME","DIFERENCIA"))))</f>
        <v/>
      </c>
      <c r="K166" s="11" t="str">
        <f>IF(Registro!$I166="","",IFERROR(SUMPRODUCT(--("0"&amp;TRIM(RIGHT(SUBSTITUTE(TRIM(MID(SUBSTITUTE(SUBSTITUTE(Registro!$I166,";",CHAR(10)),CHAR(10),REPT(" ",LEN(Registro!$I166))),({1,2,3,4,5,6,7,8,9,10,11,12,13,14,15,16,17,18,19,20,21,22,23,24,25,26,27,28,29,30}-1)*LEN(Registro!$I166)+1,LEN(Registro!$I166)))," ",REPT(" ",50)),50)))),"Revisar formato"))</f>
        <v/>
      </c>
      <c r="L166" s="11" t="str">
        <f>IF(Registro!$J166="","",IFERROR(SUMPRODUCT(--("0"&amp;TRIM(RIGHT(SUBSTITUTE(TRIM(MID(SUBSTITUTE(SUBSTITUTE(Registro!$J166,";",CHAR(10)),CHAR(10),REPT(" ",LEN(Registro!$J166))),({1,2,3,4,5,6,7,8,9,10,11,12,13,14,15,16,17,18,19,20,21,22,23,24,25,26,27,28,29,30}-1)*LEN(Registro!$J166)+1,LEN(Registro!$J166)))," ",REPT(" ",50)),50)))),"Revisar formato"))</f>
        <v/>
      </c>
      <c r="M166" s="11" t="str">
        <f>IF(AND(Registro!$H166="",Registro!$I166=""),"",IF(AND(ISTEXT(K166),K166&lt;&gt;""),"Revisar formato",N(Registro!$H166)-N(K166)))</f>
        <v/>
      </c>
      <c r="N166" s="11" t="str">
        <f t="shared" si="8"/>
        <v/>
      </c>
      <c r="O166" s="15" t="str">
        <f>IF(AND(A166=Consulta!$B$3,C166=Consulta!$H$3),B166*10000+ROW(),"")</f>
        <v/>
      </c>
    </row>
    <row r="167" spans="1:15" x14ac:dyDescent="0.25">
      <c r="A167" s="9" t="str">
        <f>IF(Registro!$A167="","",Registro!$A167)</f>
        <v/>
      </c>
      <c r="B167" s="8" t="str">
        <f>IF(Registro!$B167="","",Registro!$B167)</f>
        <v/>
      </c>
      <c r="C167" s="14" t="str">
        <f t="shared" si="6"/>
        <v/>
      </c>
      <c r="D167" s="10" t="str">
        <f>IF(Registro!$E167="","",IF(ISERROR(FIND("x",LOWER(Registro!$E167))),"-",IFERROR(SUMPRODUCT(--("0"&amp;LEFT(TRIM(MID(SUBSTITUTE(SUBSTITUTE(SUBSTITUTE(SUBSTITUTE(SUBSTITUTE(LOWER(Registro!$E167),"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",LEN(Registro!$E167))),({1,2,3,4,5,6,7,8,9,10,11,12,13,14,15,16,17,18,19,20,21,22,23,24,25,26,27,28,29,30}-1)*LEN(Registro!$E167)+1,LEN(Registro!$E167)))&amp;"x")-1))),"Revisar formato")))</f>
        <v/>
      </c>
      <c r="E167" s="11" t="str">
        <f>IF(Registro!$E167="","",IF(ISERROR(FIND("x",LOWER(Registro!$E167))),"-",IFERROR(SUMPRODUCT(--("0"&amp;LEFT(TRIM(MID(SUBSTITUTE(SUBSTITUTE(SUBSTITUTE(SUBSTITUTE(SUBSTITUTE(LOWER(Registro!$E167),"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",LEN(Registro!$E167))),({1,2,3,4,5,6,7,8,9,10,11,12,13,14,15,16,17,18,19,20,21,22,23,24,25,26,27,28,29,30}-1)*LEN(Registro!$E167)+1,LEN(Registro!$E167)))&amp;"x")-1)),--("0"&amp;MID(TRIM(MID(SUBSTITUTE(SUBSTITUTE(SUBSTITUTE(SUBSTITUTE(SUBSTITUTE(LOWER(Registro!$E167),"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",LEN(Registro!$E167))),({1,2,3,4,5,6,7,8,9,10,11,12,13,14,15,16,17,18,19,20,21,22,23,24,25,26,27,28,29,30}-1)*LEN(Registro!$E167)+1,LEN(Registro!$E167)))&amp;"x")+1,20))),"Revisar formato")))</f>
        <v/>
      </c>
      <c r="F167" s="11" t="str">
        <f>IF(Registro!$F167="","",N(Registro!$F167))</f>
        <v/>
      </c>
      <c r="G167" s="11" t="str">
        <f t="shared" si="7"/>
        <v/>
      </c>
      <c r="H167" s="10" t="str">
        <f>IF(Registro!$G167="","",IF(ISERROR(FIND("x",LOWER(Registro!$G167))),"-",IFERROR(SUMPRODUCT(--("0"&amp;LEFT(TRIM(MID(SUBSTITUTE(SUBSTITUTE(SUBSTITUTE(SUBSTITUTE(SUBSTITUTE(LOWER(Registro!$G167),"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",LEN(Registro!$G167))),({1,2,3,4,5,6,7,8,9,10,11,12,13,14,15,16,17,18,19,20,21,22,23,24,25,26,27,28,29,30}-1)*LEN(Registro!$G167)+1,LEN(Registro!$G167))),FIND("x",TRIM(MID(SUBSTITUTE(SUBSTITUTE(SUBSTITUTE(SUBSTITUTE(SUBSTITUTE(LOWER(Registro!$G167),"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",LEN(Registro!$G167))),({1,2,3,4,5,6,7,8,9,10,11,12,13,14,15,16,17,18,19,20,21,22,23,24,25,26,27,28,29,30}-1)*LEN(Registro!$G167)+1,LEN(Registro!$G167)))&amp;"x")-1))),"Revisar formato")))</f>
        <v/>
      </c>
      <c r="I167" s="11" t="str">
        <f>IF(Registro!$G167="","",IF(ISERROR(FIND("x",LOWER(Registro!$G167))),N(Registro!$H167),IFERROR(SUMPRODUCT(--("0"&amp;LEFT(TRIM(MID(SUBSTITUTE(SUBSTITUTE(SUBSTITUTE(SUBSTITUTE(SUBSTITUTE(LOWER(Registro!$G167),"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",LEN(Registro!$G167))),({1,2,3,4,5,6,7,8,9,10,11,12,13,14,15,16,17,18,19,20,21,22,23,24,25,26,27,28,29,30}-1)*LEN(Registro!$G167)+1,LEN(Registro!$G167))),FIND("x",TRIM(MID(SUBSTITUTE(SUBSTITUTE(SUBSTITUTE(SUBSTITUTE(SUBSTITUTE(LOWER(Registro!$G167),"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",LEN(Registro!$G167))),({1,2,3,4,5,6,7,8,9,10,11,12,13,14,15,16,17,18,19,20,21,22,23,24,25,26,27,28,29,30}-1)*LEN(Registro!$G167)+1,LEN(Registro!$G167)))&amp;"x")-1)),--("0"&amp;MID(TRIM(MID(SUBSTITUTE(SUBSTITUTE(SUBSTITUTE(SUBSTITUTE(SUBSTITUTE(LOWER(Registro!$G167),"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",LEN(Registro!$G167))),({1,2,3,4,5,6,7,8,9,10,11,12,13,14,15,16,17,18,19,20,21,22,23,24,25,26,27,28,29,30}-1)*LEN(Registro!$G167)+1,LEN(Registro!$G167))),FIND("x",TRIM(MID(SUBSTITUTE(SUBSTITUTE(SUBSTITUTE(SUBSTITUTE(SUBSTITUTE(LOWER(Registro!$G167),"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",LEN(Registro!$G167))),({1,2,3,4,5,6,7,8,9,10,11,12,13,14,15,16,17,18,19,20,21,22,23,24,25,26,27,28,29,30}-1)*LEN(Registro!$G167)+1,LEN(Registro!$G167)))&amp;"x")+1,20))),"Revisar formato")))</f>
        <v/>
      </c>
      <c r="J167" s="9" t="str">
        <f>IF(AND(Registro!$E167="",Registro!$G167=""),"",IF(NOT(AND(ISNUMBER(I167),ISNUMBER(Registro!$H167))),"",IF(I167&lt;Registro!$H167,"FALTA BOLETOS",IF(I167=Registro!$H167,"CONFORME","DIFERENCIA"))))</f>
        <v/>
      </c>
      <c r="K167" s="11" t="str">
        <f>IF(Registro!$I167="","",IFERROR(SUMPRODUCT(--("0"&amp;TRIM(RIGHT(SUBSTITUTE(TRIM(MID(SUBSTITUTE(SUBSTITUTE(Registro!$I167,";",CHAR(10)),CHAR(10),REPT(" ",LEN(Registro!$I167))),({1,2,3,4,5,6,7,8,9,10,11,12,13,14,15,16,17,18,19,20,21,22,23,24,25,26,27,28,29,30}-1)*LEN(Registro!$I167)+1,LEN(Registro!$I167)))," ",REPT(" ",50)),50)))),"Revisar formato"))</f>
        <v/>
      </c>
      <c r="L167" s="11" t="str">
        <f>IF(Registro!$J167="","",IFERROR(SUMPRODUCT(--("0"&amp;TRIM(RIGHT(SUBSTITUTE(TRIM(MID(SUBSTITUTE(SUBSTITUTE(Registro!$J167,";",CHAR(10)),CHAR(10),REPT(" ",LEN(Registro!$J167))),({1,2,3,4,5,6,7,8,9,10,11,12,13,14,15,16,17,18,19,20,21,22,23,24,25,26,27,28,29,30}-1)*LEN(Registro!$J167)+1,LEN(Registro!$J167)))," ",REPT(" ",50)),50)))),"Revisar formato"))</f>
        <v/>
      </c>
      <c r="M167" s="11" t="str">
        <f>IF(AND(Registro!$H167="",Registro!$I167=""),"",IF(AND(ISTEXT(K167),K167&lt;&gt;""),"Revisar formato",N(Registro!$H167)-N(K167)))</f>
        <v/>
      </c>
      <c r="N167" s="11" t="str">
        <f t="shared" si="8"/>
        <v/>
      </c>
      <c r="O167" s="15" t="str">
        <f>IF(AND(A167=Consulta!$B$3,C167=Consulta!$H$3),B167*10000+ROW(),"")</f>
        <v/>
      </c>
    </row>
    <row r="168" spans="1:15" x14ac:dyDescent="0.25">
      <c r="A168" s="9" t="str">
        <f>IF(Registro!$A168="","",Registro!$A168)</f>
        <v/>
      </c>
      <c r="B168" s="8" t="str">
        <f>IF(Registro!$B168="","",Registro!$B168)</f>
        <v/>
      </c>
      <c r="C168" s="14" t="str">
        <f t="shared" si="6"/>
        <v/>
      </c>
      <c r="D168" s="10" t="str">
        <f>IF(Registro!$E168="","",IF(ISERROR(FIND("x",LOWER(Registro!$E168))),"-",IFERROR(SUMPRODUCT(--("0"&amp;LEFT(TRIM(MID(SUBSTITUTE(SUBSTITUTE(SUBSTITUTE(SUBSTITUTE(SUBSTITUTE(LOWER(Registro!$E168),"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",LEN(Registro!$E168))),({1,2,3,4,5,6,7,8,9,10,11,12,13,14,15,16,17,18,19,20,21,22,23,24,25,26,27,28,29,30}-1)*LEN(Registro!$E168)+1,LEN(Registro!$E168)))&amp;"x")-1))),"Revisar formato")))</f>
        <v/>
      </c>
      <c r="E168" s="11" t="str">
        <f>IF(Registro!$E168="","",IF(ISERROR(FIND("x",LOWER(Registro!$E168))),"-",IFERROR(SUMPRODUCT(--("0"&amp;LEFT(TRIM(MID(SUBSTITUTE(SUBSTITUTE(SUBSTITUTE(SUBSTITUTE(SUBSTITUTE(LOWER(Registro!$E168),"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",LEN(Registro!$E168))),({1,2,3,4,5,6,7,8,9,10,11,12,13,14,15,16,17,18,19,20,21,22,23,24,25,26,27,28,29,30}-1)*LEN(Registro!$E168)+1,LEN(Registro!$E168)))&amp;"x")-1)),--("0"&amp;MID(TRIM(MID(SUBSTITUTE(SUBSTITUTE(SUBSTITUTE(SUBSTITUTE(SUBSTITUTE(LOWER(Registro!$E168),"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",LEN(Registro!$E168))),({1,2,3,4,5,6,7,8,9,10,11,12,13,14,15,16,17,18,19,20,21,22,23,24,25,26,27,28,29,30}-1)*LEN(Registro!$E168)+1,LEN(Registro!$E168)))&amp;"x")+1,20))),"Revisar formato")))</f>
        <v/>
      </c>
      <c r="F168" s="11" t="str">
        <f>IF(Registro!$F168="","",N(Registro!$F168))</f>
        <v/>
      </c>
      <c r="G168" s="11" t="str">
        <f t="shared" si="7"/>
        <v/>
      </c>
      <c r="H168" s="10" t="str">
        <f>IF(Registro!$G168="","",IF(ISERROR(FIND("x",LOWER(Registro!$G168))),"-",IFERROR(SUMPRODUCT(--("0"&amp;LEFT(TRIM(MID(SUBSTITUTE(SUBSTITUTE(SUBSTITUTE(SUBSTITUTE(SUBSTITUTE(LOWER(Registro!$G168),"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",LEN(Registro!$G168))),({1,2,3,4,5,6,7,8,9,10,11,12,13,14,15,16,17,18,19,20,21,22,23,24,25,26,27,28,29,30}-1)*LEN(Registro!$G168)+1,LEN(Registro!$G168))),FIND("x",TRIM(MID(SUBSTITUTE(SUBSTITUTE(SUBSTITUTE(SUBSTITUTE(SUBSTITUTE(LOWER(Registro!$G168),"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",LEN(Registro!$G168))),({1,2,3,4,5,6,7,8,9,10,11,12,13,14,15,16,17,18,19,20,21,22,23,24,25,26,27,28,29,30}-1)*LEN(Registro!$G168)+1,LEN(Registro!$G168)))&amp;"x")-1))),"Revisar formato")))</f>
        <v/>
      </c>
      <c r="I168" s="11" t="str">
        <f>IF(Registro!$G168="","",IF(ISERROR(FIND("x",LOWER(Registro!$G168))),N(Registro!$H168),IFERROR(SUMPRODUCT(--("0"&amp;LEFT(TRIM(MID(SUBSTITUTE(SUBSTITUTE(SUBSTITUTE(SUBSTITUTE(SUBSTITUTE(LOWER(Registro!$G168),"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",LEN(Registro!$G168))),({1,2,3,4,5,6,7,8,9,10,11,12,13,14,15,16,17,18,19,20,21,22,23,24,25,26,27,28,29,30}-1)*LEN(Registro!$G168)+1,LEN(Registro!$G168))),FIND("x",TRIM(MID(SUBSTITUTE(SUBSTITUTE(SUBSTITUTE(SUBSTITUTE(SUBSTITUTE(LOWER(Registro!$G168),"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",LEN(Registro!$G168))),({1,2,3,4,5,6,7,8,9,10,11,12,13,14,15,16,17,18,19,20,21,22,23,24,25,26,27,28,29,30}-1)*LEN(Registro!$G168)+1,LEN(Registro!$G168)))&amp;"x")-1)),--("0"&amp;MID(TRIM(MID(SUBSTITUTE(SUBSTITUTE(SUBSTITUTE(SUBSTITUTE(SUBSTITUTE(LOWER(Registro!$G168),"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",LEN(Registro!$G168))),({1,2,3,4,5,6,7,8,9,10,11,12,13,14,15,16,17,18,19,20,21,22,23,24,25,26,27,28,29,30}-1)*LEN(Registro!$G168)+1,LEN(Registro!$G168))),FIND("x",TRIM(MID(SUBSTITUTE(SUBSTITUTE(SUBSTITUTE(SUBSTITUTE(SUBSTITUTE(LOWER(Registro!$G168),"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",LEN(Registro!$G168))),({1,2,3,4,5,6,7,8,9,10,11,12,13,14,15,16,17,18,19,20,21,22,23,24,25,26,27,28,29,30}-1)*LEN(Registro!$G168)+1,LEN(Registro!$G168)))&amp;"x")+1,20))),"Revisar formato")))</f>
        <v/>
      </c>
      <c r="J168" s="9" t="str">
        <f>IF(AND(Registro!$E168="",Registro!$G168=""),"",IF(NOT(AND(ISNUMBER(I168),ISNUMBER(Registro!$H168))),"",IF(I168&lt;Registro!$H168,"FALTA BOLETOS",IF(I168=Registro!$H168,"CONFORME","DIFERENCIA"))))</f>
        <v/>
      </c>
      <c r="K168" s="11" t="str">
        <f>IF(Registro!$I168="","",IFERROR(SUMPRODUCT(--("0"&amp;TRIM(RIGHT(SUBSTITUTE(TRIM(MID(SUBSTITUTE(SUBSTITUTE(Registro!$I168,";",CHAR(10)),CHAR(10),REPT(" ",LEN(Registro!$I168))),({1,2,3,4,5,6,7,8,9,10,11,12,13,14,15,16,17,18,19,20,21,22,23,24,25,26,27,28,29,30}-1)*LEN(Registro!$I168)+1,LEN(Registro!$I168)))," ",REPT(" ",50)),50)))),"Revisar formato"))</f>
        <v/>
      </c>
      <c r="L168" s="11" t="str">
        <f>IF(Registro!$J168="","",IFERROR(SUMPRODUCT(--("0"&amp;TRIM(RIGHT(SUBSTITUTE(TRIM(MID(SUBSTITUTE(SUBSTITUTE(Registro!$J168,";",CHAR(10)),CHAR(10),REPT(" ",LEN(Registro!$J168))),({1,2,3,4,5,6,7,8,9,10,11,12,13,14,15,16,17,18,19,20,21,22,23,24,25,26,27,28,29,30}-1)*LEN(Registro!$J168)+1,LEN(Registro!$J168)))," ",REPT(" ",50)),50)))),"Revisar formato"))</f>
        <v/>
      </c>
      <c r="M168" s="11" t="str">
        <f>IF(AND(Registro!$H168="",Registro!$I168=""),"",IF(AND(ISTEXT(K168),K168&lt;&gt;""),"Revisar formato",N(Registro!$H168)-N(K168)))</f>
        <v/>
      </c>
      <c r="N168" s="11" t="str">
        <f t="shared" si="8"/>
        <v/>
      </c>
      <c r="O168" s="15" t="str">
        <f>IF(AND(A168=Consulta!$B$3,C168=Consulta!$H$3),B168*10000+ROW(),"")</f>
        <v/>
      </c>
    </row>
    <row r="169" spans="1:15" x14ac:dyDescent="0.25">
      <c r="A169" s="9" t="str">
        <f>IF(Registro!$A169="","",Registro!$A169)</f>
        <v/>
      </c>
      <c r="B169" s="8" t="str">
        <f>IF(Registro!$B169="","",Registro!$B169)</f>
        <v/>
      </c>
      <c r="C169" s="14" t="str">
        <f t="shared" si="6"/>
        <v/>
      </c>
      <c r="D169" s="10" t="str">
        <f>IF(Registro!$E169="","",IF(ISERROR(FIND("x",LOWER(Registro!$E169))),"-",IFERROR(SUMPRODUCT(--("0"&amp;LEFT(TRIM(MID(SUBSTITUTE(SUBSTITUTE(SUBSTITUTE(SUBSTITUTE(SUBSTITUTE(LOWER(Registro!$E169),"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",LEN(Registro!$E169))),({1,2,3,4,5,6,7,8,9,10,11,12,13,14,15,16,17,18,19,20,21,22,23,24,25,26,27,28,29,30}-1)*LEN(Registro!$E169)+1,LEN(Registro!$E169)))&amp;"x")-1))),"Revisar formato")))</f>
        <v/>
      </c>
      <c r="E169" s="11" t="str">
        <f>IF(Registro!$E169="","",IF(ISERROR(FIND("x",LOWER(Registro!$E169))),"-",IFERROR(SUMPRODUCT(--("0"&amp;LEFT(TRIM(MID(SUBSTITUTE(SUBSTITUTE(SUBSTITUTE(SUBSTITUTE(SUBSTITUTE(LOWER(Registro!$E169),"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",LEN(Registro!$E169))),({1,2,3,4,5,6,7,8,9,10,11,12,13,14,15,16,17,18,19,20,21,22,23,24,25,26,27,28,29,30}-1)*LEN(Registro!$E169)+1,LEN(Registro!$E169)))&amp;"x")-1)),--("0"&amp;MID(TRIM(MID(SUBSTITUTE(SUBSTITUTE(SUBSTITUTE(SUBSTITUTE(SUBSTITUTE(LOWER(Registro!$E169),"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",LEN(Registro!$E169))),({1,2,3,4,5,6,7,8,9,10,11,12,13,14,15,16,17,18,19,20,21,22,23,24,25,26,27,28,29,30}-1)*LEN(Registro!$E169)+1,LEN(Registro!$E169)))&amp;"x")+1,20))),"Revisar formato")))</f>
        <v/>
      </c>
      <c r="F169" s="11" t="str">
        <f>IF(Registro!$F169="","",N(Registro!$F169))</f>
        <v/>
      </c>
      <c r="G169" s="11" t="str">
        <f t="shared" si="7"/>
        <v/>
      </c>
      <c r="H169" s="10" t="str">
        <f>IF(Registro!$G169="","",IF(ISERROR(FIND("x",LOWER(Registro!$G169))),"-",IFERROR(SUMPRODUCT(--("0"&amp;LEFT(TRIM(MID(SUBSTITUTE(SUBSTITUTE(SUBSTITUTE(SUBSTITUTE(SUBSTITUTE(LOWER(Registro!$G169),"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",LEN(Registro!$G169))),({1,2,3,4,5,6,7,8,9,10,11,12,13,14,15,16,17,18,19,20,21,22,23,24,25,26,27,28,29,30}-1)*LEN(Registro!$G169)+1,LEN(Registro!$G169))),FIND("x",TRIM(MID(SUBSTITUTE(SUBSTITUTE(SUBSTITUTE(SUBSTITUTE(SUBSTITUTE(LOWER(Registro!$G169),"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",LEN(Registro!$G169))),({1,2,3,4,5,6,7,8,9,10,11,12,13,14,15,16,17,18,19,20,21,22,23,24,25,26,27,28,29,30}-1)*LEN(Registro!$G169)+1,LEN(Registro!$G169)))&amp;"x")-1))),"Revisar formato")))</f>
        <v/>
      </c>
      <c r="I169" s="11" t="str">
        <f>IF(Registro!$G169="","",IF(ISERROR(FIND("x",LOWER(Registro!$G169))),N(Registro!$H169),IFERROR(SUMPRODUCT(--("0"&amp;LEFT(TRIM(MID(SUBSTITUTE(SUBSTITUTE(SUBSTITUTE(SUBSTITUTE(SUBSTITUTE(LOWER(Registro!$G169),"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",LEN(Registro!$G169))),({1,2,3,4,5,6,7,8,9,10,11,12,13,14,15,16,17,18,19,20,21,22,23,24,25,26,27,28,29,30}-1)*LEN(Registro!$G169)+1,LEN(Registro!$G169))),FIND("x",TRIM(MID(SUBSTITUTE(SUBSTITUTE(SUBSTITUTE(SUBSTITUTE(SUBSTITUTE(LOWER(Registro!$G169),"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",LEN(Registro!$G169))),({1,2,3,4,5,6,7,8,9,10,11,12,13,14,15,16,17,18,19,20,21,22,23,24,25,26,27,28,29,30}-1)*LEN(Registro!$G169)+1,LEN(Registro!$G169)))&amp;"x")-1)),--("0"&amp;MID(TRIM(MID(SUBSTITUTE(SUBSTITUTE(SUBSTITUTE(SUBSTITUTE(SUBSTITUTE(LOWER(Registro!$G169),"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",LEN(Registro!$G169))),({1,2,3,4,5,6,7,8,9,10,11,12,13,14,15,16,17,18,19,20,21,22,23,24,25,26,27,28,29,30}-1)*LEN(Registro!$G169)+1,LEN(Registro!$G169))),FIND("x",TRIM(MID(SUBSTITUTE(SUBSTITUTE(SUBSTITUTE(SUBSTITUTE(SUBSTITUTE(LOWER(Registro!$G169),"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",LEN(Registro!$G169))),({1,2,3,4,5,6,7,8,9,10,11,12,13,14,15,16,17,18,19,20,21,22,23,24,25,26,27,28,29,30}-1)*LEN(Registro!$G169)+1,LEN(Registro!$G169)))&amp;"x")+1,20))),"Revisar formato")))</f>
        <v/>
      </c>
      <c r="J169" s="9" t="str">
        <f>IF(AND(Registro!$E169="",Registro!$G169=""),"",IF(NOT(AND(ISNUMBER(I169),ISNUMBER(Registro!$H169))),"",IF(I169&lt;Registro!$H169,"FALTA BOLETOS",IF(I169=Registro!$H169,"CONFORME","DIFERENCIA"))))</f>
        <v/>
      </c>
      <c r="K169" s="11" t="str">
        <f>IF(Registro!$I169="","",IFERROR(SUMPRODUCT(--("0"&amp;TRIM(RIGHT(SUBSTITUTE(TRIM(MID(SUBSTITUTE(SUBSTITUTE(Registro!$I169,";",CHAR(10)),CHAR(10),REPT(" ",LEN(Registro!$I169))),({1,2,3,4,5,6,7,8,9,10,11,12,13,14,15,16,17,18,19,20,21,22,23,24,25,26,27,28,29,30}-1)*LEN(Registro!$I169)+1,LEN(Registro!$I169)))," ",REPT(" ",50)),50)))),"Revisar formato"))</f>
        <v/>
      </c>
      <c r="L169" s="11" t="str">
        <f>IF(Registro!$J169="","",IFERROR(SUMPRODUCT(--("0"&amp;TRIM(RIGHT(SUBSTITUTE(TRIM(MID(SUBSTITUTE(SUBSTITUTE(Registro!$J169,";",CHAR(10)),CHAR(10),REPT(" ",LEN(Registro!$J169))),({1,2,3,4,5,6,7,8,9,10,11,12,13,14,15,16,17,18,19,20,21,22,23,24,25,26,27,28,29,30}-1)*LEN(Registro!$J169)+1,LEN(Registro!$J169)))," ",REPT(" ",50)),50)))),"Revisar formato"))</f>
        <v/>
      </c>
      <c r="M169" s="11" t="str">
        <f>IF(AND(Registro!$H169="",Registro!$I169=""),"",IF(AND(ISTEXT(K169),K169&lt;&gt;""),"Revisar formato",N(Registro!$H169)-N(K169)))</f>
        <v/>
      </c>
      <c r="N169" s="11" t="str">
        <f t="shared" si="8"/>
        <v/>
      </c>
      <c r="O169" s="15" t="str">
        <f>IF(AND(A169=Consulta!$B$3,C169=Consulta!$H$3),B169*10000+ROW(),"")</f>
        <v/>
      </c>
    </row>
    <row r="170" spans="1:15" x14ac:dyDescent="0.25">
      <c r="A170" s="9" t="str">
        <f>IF(Registro!$A170="","",Registro!$A170)</f>
        <v/>
      </c>
      <c r="B170" s="8" t="str">
        <f>IF(Registro!$B170="","",Registro!$B170)</f>
        <v/>
      </c>
      <c r="C170" s="14" t="str">
        <f t="shared" si="6"/>
        <v/>
      </c>
      <c r="D170" s="10" t="str">
        <f>IF(Registro!$E170="","",IF(ISERROR(FIND("x",LOWER(Registro!$E170))),"-",IFERROR(SUMPRODUCT(--("0"&amp;LEFT(TRIM(MID(SUBSTITUTE(SUBSTITUTE(SUBSTITUTE(SUBSTITUTE(SUBSTITUTE(LOWER(Registro!$E170),"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",LEN(Registro!$E170))),({1,2,3,4,5,6,7,8,9,10,11,12,13,14,15,16,17,18,19,20,21,22,23,24,25,26,27,28,29,30}-1)*LEN(Registro!$E170)+1,LEN(Registro!$E170)))&amp;"x")-1))),"Revisar formato")))</f>
        <v/>
      </c>
      <c r="E170" s="11" t="str">
        <f>IF(Registro!$E170="","",IF(ISERROR(FIND("x",LOWER(Registro!$E170))),"-",IFERROR(SUMPRODUCT(--("0"&amp;LEFT(TRIM(MID(SUBSTITUTE(SUBSTITUTE(SUBSTITUTE(SUBSTITUTE(SUBSTITUTE(LOWER(Registro!$E170),"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",LEN(Registro!$E170))),({1,2,3,4,5,6,7,8,9,10,11,12,13,14,15,16,17,18,19,20,21,22,23,24,25,26,27,28,29,30}-1)*LEN(Registro!$E170)+1,LEN(Registro!$E170)))&amp;"x")-1)),--("0"&amp;MID(TRIM(MID(SUBSTITUTE(SUBSTITUTE(SUBSTITUTE(SUBSTITUTE(SUBSTITUTE(LOWER(Registro!$E170),"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",LEN(Registro!$E170))),({1,2,3,4,5,6,7,8,9,10,11,12,13,14,15,16,17,18,19,20,21,22,23,24,25,26,27,28,29,30}-1)*LEN(Registro!$E170)+1,LEN(Registro!$E170)))&amp;"x")+1,20))),"Revisar formato")))</f>
        <v/>
      </c>
      <c r="F170" s="11" t="str">
        <f>IF(Registro!$F170="","",N(Registro!$F170))</f>
        <v/>
      </c>
      <c r="G170" s="11" t="str">
        <f t="shared" si="7"/>
        <v/>
      </c>
      <c r="H170" s="10" t="str">
        <f>IF(Registro!$G170="","",IF(ISERROR(FIND("x",LOWER(Registro!$G170))),"-",IFERROR(SUMPRODUCT(--("0"&amp;LEFT(TRIM(MID(SUBSTITUTE(SUBSTITUTE(SUBSTITUTE(SUBSTITUTE(SUBSTITUTE(LOWER(Registro!$G170),"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",LEN(Registro!$G170))),({1,2,3,4,5,6,7,8,9,10,11,12,13,14,15,16,17,18,19,20,21,22,23,24,25,26,27,28,29,30}-1)*LEN(Registro!$G170)+1,LEN(Registro!$G170))),FIND("x",TRIM(MID(SUBSTITUTE(SUBSTITUTE(SUBSTITUTE(SUBSTITUTE(SUBSTITUTE(LOWER(Registro!$G170),"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",LEN(Registro!$G170))),({1,2,3,4,5,6,7,8,9,10,11,12,13,14,15,16,17,18,19,20,21,22,23,24,25,26,27,28,29,30}-1)*LEN(Registro!$G170)+1,LEN(Registro!$G170)))&amp;"x")-1))),"Revisar formato")))</f>
        <v/>
      </c>
      <c r="I170" s="11" t="str">
        <f>IF(Registro!$G170="","",IF(ISERROR(FIND("x",LOWER(Registro!$G170))),N(Registro!$H170),IFERROR(SUMPRODUCT(--("0"&amp;LEFT(TRIM(MID(SUBSTITUTE(SUBSTITUTE(SUBSTITUTE(SUBSTITUTE(SUBSTITUTE(LOWER(Registro!$G170),"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",LEN(Registro!$G170))),({1,2,3,4,5,6,7,8,9,10,11,12,13,14,15,16,17,18,19,20,21,22,23,24,25,26,27,28,29,30}-1)*LEN(Registro!$G170)+1,LEN(Registro!$G170))),FIND("x",TRIM(MID(SUBSTITUTE(SUBSTITUTE(SUBSTITUTE(SUBSTITUTE(SUBSTITUTE(LOWER(Registro!$G170),"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",LEN(Registro!$G170))),({1,2,3,4,5,6,7,8,9,10,11,12,13,14,15,16,17,18,19,20,21,22,23,24,25,26,27,28,29,30}-1)*LEN(Registro!$G170)+1,LEN(Registro!$G170)))&amp;"x")-1)),--("0"&amp;MID(TRIM(MID(SUBSTITUTE(SUBSTITUTE(SUBSTITUTE(SUBSTITUTE(SUBSTITUTE(LOWER(Registro!$G170),"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",LEN(Registro!$G170))),({1,2,3,4,5,6,7,8,9,10,11,12,13,14,15,16,17,18,19,20,21,22,23,24,25,26,27,28,29,30}-1)*LEN(Registro!$G170)+1,LEN(Registro!$G170))),FIND("x",TRIM(MID(SUBSTITUTE(SUBSTITUTE(SUBSTITUTE(SUBSTITUTE(SUBSTITUTE(LOWER(Registro!$G170),"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",LEN(Registro!$G170))),({1,2,3,4,5,6,7,8,9,10,11,12,13,14,15,16,17,18,19,20,21,22,23,24,25,26,27,28,29,30}-1)*LEN(Registro!$G170)+1,LEN(Registro!$G170)))&amp;"x")+1,20))),"Revisar formato")))</f>
        <v/>
      </c>
      <c r="J170" s="9" t="str">
        <f>IF(AND(Registro!$E170="",Registro!$G170=""),"",IF(NOT(AND(ISNUMBER(I170),ISNUMBER(Registro!$H170))),"",IF(I170&lt;Registro!$H170,"FALTA BOLETOS",IF(I170=Registro!$H170,"CONFORME","DIFERENCIA"))))</f>
        <v/>
      </c>
      <c r="K170" s="11" t="str">
        <f>IF(Registro!$I170="","",IFERROR(SUMPRODUCT(--("0"&amp;TRIM(RIGHT(SUBSTITUTE(TRIM(MID(SUBSTITUTE(SUBSTITUTE(Registro!$I170,";",CHAR(10)),CHAR(10),REPT(" ",LEN(Registro!$I170))),({1,2,3,4,5,6,7,8,9,10,11,12,13,14,15,16,17,18,19,20,21,22,23,24,25,26,27,28,29,30}-1)*LEN(Registro!$I170)+1,LEN(Registro!$I170)))," ",REPT(" ",50)),50)))),"Revisar formato"))</f>
        <v/>
      </c>
      <c r="L170" s="11" t="str">
        <f>IF(Registro!$J170="","",IFERROR(SUMPRODUCT(--("0"&amp;TRIM(RIGHT(SUBSTITUTE(TRIM(MID(SUBSTITUTE(SUBSTITUTE(Registro!$J170,";",CHAR(10)),CHAR(10),REPT(" ",LEN(Registro!$J170))),({1,2,3,4,5,6,7,8,9,10,11,12,13,14,15,16,17,18,19,20,21,22,23,24,25,26,27,28,29,30}-1)*LEN(Registro!$J170)+1,LEN(Registro!$J170)))," ",REPT(" ",50)),50)))),"Revisar formato"))</f>
        <v/>
      </c>
      <c r="M170" s="11" t="str">
        <f>IF(AND(Registro!$H170="",Registro!$I170=""),"",IF(AND(ISTEXT(K170),K170&lt;&gt;""),"Revisar formato",N(Registro!$H170)-N(K170)))</f>
        <v/>
      </c>
      <c r="N170" s="11" t="str">
        <f t="shared" si="8"/>
        <v/>
      </c>
      <c r="O170" s="15" t="str">
        <f>IF(AND(A170=Consulta!$B$3,C170=Consulta!$H$3),B170*10000+ROW(),"")</f>
        <v/>
      </c>
    </row>
    <row r="171" spans="1:15" x14ac:dyDescent="0.25">
      <c r="A171" s="9" t="str">
        <f>IF(Registro!$A171="","",Registro!$A171)</f>
        <v/>
      </c>
      <c r="B171" s="8" t="str">
        <f>IF(Registro!$B171="","",Registro!$B171)</f>
        <v/>
      </c>
      <c r="C171" s="14" t="str">
        <f t="shared" si="6"/>
        <v/>
      </c>
      <c r="D171" s="10" t="str">
        <f>IF(Registro!$E171="","",IF(ISERROR(FIND("x",LOWER(Registro!$E171))),"-",IFERROR(SUMPRODUCT(--("0"&amp;LEFT(TRIM(MID(SUBSTITUTE(SUBSTITUTE(SUBSTITUTE(SUBSTITUTE(SUBSTITUTE(LOWER(Registro!$E171),"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",LEN(Registro!$E171))),({1,2,3,4,5,6,7,8,9,10,11,12,13,14,15,16,17,18,19,20,21,22,23,24,25,26,27,28,29,30}-1)*LEN(Registro!$E171)+1,LEN(Registro!$E171)))&amp;"x")-1))),"Revisar formato")))</f>
        <v/>
      </c>
      <c r="E171" s="11" t="str">
        <f>IF(Registro!$E171="","",IF(ISERROR(FIND("x",LOWER(Registro!$E171))),"-",IFERROR(SUMPRODUCT(--("0"&amp;LEFT(TRIM(MID(SUBSTITUTE(SUBSTITUTE(SUBSTITUTE(SUBSTITUTE(SUBSTITUTE(LOWER(Registro!$E171),"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",LEN(Registro!$E171))),({1,2,3,4,5,6,7,8,9,10,11,12,13,14,15,16,17,18,19,20,21,22,23,24,25,26,27,28,29,30}-1)*LEN(Registro!$E171)+1,LEN(Registro!$E171)))&amp;"x")-1)),--("0"&amp;MID(TRIM(MID(SUBSTITUTE(SUBSTITUTE(SUBSTITUTE(SUBSTITUTE(SUBSTITUTE(LOWER(Registro!$E171),"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",LEN(Registro!$E171))),({1,2,3,4,5,6,7,8,9,10,11,12,13,14,15,16,17,18,19,20,21,22,23,24,25,26,27,28,29,30}-1)*LEN(Registro!$E171)+1,LEN(Registro!$E171)))&amp;"x")+1,20))),"Revisar formato")))</f>
        <v/>
      </c>
      <c r="F171" s="11" t="str">
        <f>IF(Registro!$F171="","",N(Registro!$F171))</f>
        <v/>
      </c>
      <c r="G171" s="11" t="str">
        <f t="shared" si="7"/>
        <v/>
      </c>
      <c r="H171" s="10" t="str">
        <f>IF(Registro!$G171="","",IF(ISERROR(FIND("x",LOWER(Registro!$G171))),"-",IFERROR(SUMPRODUCT(--("0"&amp;LEFT(TRIM(MID(SUBSTITUTE(SUBSTITUTE(SUBSTITUTE(SUBSTITUTE(SUBSTITUTE(LOWER(Registro!$G171),"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",LEN(Registro!$G171))),({1,2,3,4,5,6,7,8,9,10,11,12,13,14,15,16,17,18,19,20,21,22,23,24,25,26,27,28,29,30}-1)*LEN(Registro!$G171)+1,LEN(Registro!$G171))),FIND("x",TRIM(MID(SUBSTITUTE(SUBSTITUTE(SUBSTITUTE(SUBSTITUTE(SUBSTITUTE(LOWER(Registro!$G171),"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",LEN(Registro!$G171))),({1,2,3,4,5,6,7,8,9,10,11,12,13,14,15,16,17,18,19,20,21,22,23,24,25,26,27,28,29,30}-1)*LEN(Registro!$G171)+1,LEN(Registro!$G171)))&amp;"x")-1))),"Revisar formato")))</f>
        <v/>
      </c>
      <c r="I171" s="11" t="str">
        <f>IF(Registro!$G171="","",IF(ISERROR(FIND("x",LOWER(Registro!$G171))),N(Registro!$H171),IFERROR(SUMPRODUCT(--("0"&amp;LEFT(TRIM(MID(SUBSTITUTE(SUBSTITUTE(SUBSTITUTE(SUBSTITUTE(SUBSTITUTE(LOWER(Registro!$G171),"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",LEN(Registro!$G171))),({1,2,3,4,5,6,7,8,9,10,11,12,13,14,15,16,17,18,19,20,21,22,23,24,25,26,27,28,29,30}-1)*LEN(Registro!$G171)+1,LEN(Registro!$G171))),FIND("x",TRIM(MID(SUBSTITUTE(SUBSTITUTE(SUBSTITUTE(SUBSTITUTE(SUBSTITUTE(LOWER(Registro!$G171),"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",LEN(Registro!$G171))),({1,2,3,4,5,6,7,8,9,10,11,12,13,14,15,16,17,18,19,20,21,22,23,24,25,26,27,28,29,30}-1)*LEN(Registro!$G171)+1,LEN(Registro!$G171)))&amp;"x")-1)),--("0"&amp;MID(TRIM(MID(SUBSTITUTE(SUBSTITUTE(SUBSTITUTE(SUBSTITUTE(SUBSTITUTE(LOWER(Registro!$G171),"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",LEN(Registro!$G171))),({1,2,3,4,5,6,7,8,9,10,11,12,13,14,15,16,17,18,19,20,21,22,23,24,25,26,27,28,29,30}-1)*LEN(Registro!$G171)+1,LEN(Registro!$G171))),FIND("x",TRIM(MID(SUBSTITUTE(SUBSTITUTE(SUBSTITUTE(SUBSTITUTE(SUBSTITUTE(LOWER(Registro!$G171),"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",LEN(Registro!$G171))),({1,2,3,4,5,6,7,8,9,10,11,12,13,14,15,16,17,18,19,20,21,22,23,24,25,26,27,28,29,30}-1)*LEN(Registro!$G171)+1,LEN(Registro!$G171)))&amp;"x")+1,20))),"Revisar formato")))</f>
        <v/>
      </c>
      <c r="J171" s="9" t="str">
        <f>IF(AND(Registro!$E171="",Registro!$G171=""),"",IF(NOT(AND(ISNUMBER(I171),ISNUMBER(Registro!$H171))),"",IF(I171&lt;Registro!$H171,"FALTA BOLETOS",IF(I171=Registro!$H171,"CONFORME","DIFERENCIA"))))</f>
        <v/>
      </c>
      <c r="K171" s="11" t="str">
        <f>IF(Registro!$I171="","",IFERROR(SUMPRODUCT(--("0"&amp;TRIM(RIGHT(SUBSTITUTE(TRIM(MID(SUBSTITUTE(SUBSTITUTE(Registro!$I171,";",CHAR(10)),CHAR(10),REPT(" ",LEN(Registro!$I171))),({1,2,3,4,5,6,7,8,9,10,11,12,13,14,15,16,17,18,19,20,21,22,23,24,25,26,27,28,29,30}-1)*LEN(Registro!$I171)+1,LEN(Registro!$I171)))," ",REPT(" ",50)),50)))),"Revisar formato"))</f>
        <v/>
      </c>
      <c r="L171" s="11" t="str">
        <f>IF(Registro!$J171="","",IFERROR(SUMPRODUCT(--("0"&amp;TRIM(RIGHT(SUBSTITUTE(TRIM(MID(SUBSTITUTE(SUBSTITUTE(Registro!$J171,";",CHAR(10)),CHAR(10),REPT(" ",LEN(Registro!$J171))),({1,2,3,4,5,6,7,8,9,10,11,12,13,14,15,16,17,18,19,20,21,22,23,24,25,26,27,28,29,30}-1)*LEN(Registro!$J171)+1,LEN(Registro!$J171)))," ",REPT(" ",50)),50)))),"Revisar formato"))</f>
        <v/>
      </c>
      <c r="M171" s="11" t="str">
        <f>IF(AND(Registro!$H171="",Registro!$I171=""),"",IF(AND(ISTEXT(K171),K171&lt;&gt;""),"Revisar formato",N(Registro!$H171)-N(K171)))</f>
        <v/>
      </c>
      <c r="N171" s="11" t="str">
        <f t="shared" si="8"/>
        <v/>
      </c>
      <c r="O171" s="15" t="str">
        <f>IF(AND(A171=Consulta!$B$3,C171=Consulta!$H$3),B171*10000+ROW(),"")</f>
        <v/>
      </c>
    </row>
    <row r="172" spans="1:15" x14ac:dyDescent="0.25">
      <c r="A172" s="9" t="str">
        <f>IF(Registro!$A172="","",Registro!$A172)</f>
        <v/>
      </c>
      <c r="B172" s="8" t="str">
        <f>IF(Registro!$B172="","",Registro!$B172)</f>
        <v/>
      </c>
      <c r="C172" s="14" t="str">
        <f t="shared" si="6"/>
        <v/>
      </c>
      <c r="D172" s="10" t="str">
        <f>IF(Registro!$E172="","",IF(ISERROR(FIND("x",LOWER(Registro!$E172))),"-",IFERROR(SUMPRODUCT(--("0"&amp;LEFT(TRIM(MID(SUBSTITUTE(SUBSTITUTE(SUBSTITUTE(SUBSTITUTE(SUBSTITUTE(LOWER(Registro!$E172),"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",LEN(Registro!$E172))),({1,2,3,4,5,6,7,8,9,10,11,12,13,14,15,16,17,18,19,20,21,22,23,24,25,26,27,28,29,30}-1)*LEN(Registro!$E172)+1,LEN(Registro!$E172)))&amp;"x")-1))),"Revisar formato")))</f>
        <v/>
      </c>
      <c r="E172" s="11" t="str">
        <f>IF(Registro!$E172="","",IF(ISERROR(FIND("x",LOWER(Registro!$E172))),"-",IFERROR(SUMPRODUCT(--("0"&amp;LEFT(TRIM(MID(SUBSTITUTE(SUBSTITUTE(SUBSTITUTE(SUBSTITUTE(SUBSTITUTE(LOWER(Registro!$E172),"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",LEN(Registro!$E172))),({1,2,3,4,5,6,7,8,9,10,11,12,13,14,15,16,17,18,19,20,21,22,23,24,25,26,27,28,29,30}-1)*LEN(Registro!$E172)+1,LEN(Registro!$E172)))&amp;"x")-1)),--("0"&amp;MID(TRIM(MID(SUBSTITUTE(SUBSTITUTE(SUBSTITUTE(SUBSTITUTE(SUBSTITUTE(LOWER(Registro!$E172),"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",LEN(Registro!$E172))),({1,2,3,4,5,6,7,8,9,10,11,12,13,14,15,16,17,18,19,20,21,22,23,24,25,26,27,28,29,30}-1)*LEN(Registro!$E172)+1,LEN(Registro!$E172)))&amp;"x")+1,20))),"Revisar formato")))</f>
        <v/>
      </c>
      <c r="F172" s="11" t="str">
        <f>IF(Registro!$F172="","",N(Registro!$F172))</f>
        <v/>
      </c>
      <c r="G172" s="11" t="str">
        <f t="shared" si="7"/>
        <v/>
      </c>
      <c r="H172" s="10" t="str">
        <f>IF(Registro!$G172="","",IF(ISERROR(FIND("x",LOWER(Registro!$G172))),"-",IFERROR(SUMPRODUCT(--("0"&amp;LEFT(TRIM(MID(SUBSTITUTE(SUBSTITUTE(SUBSTITUTE(SUBSTITUTE(SUBSTITUTE(LOWER(Registro!$G172),"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",LEN(Registro!$G172))),({1,2,3,4,5,6,7,8,9,10,11,12,13,14,15,16,17,18,19,20,21,22,23,24,25,26,27,28,29,30}-1)*LEN(Registro!$G172)+1,LEN(Registro!$G172))),FIND("x",TRIM(MID(SUBSTITUTE(SUBSTITUTE(SUBSTITUTE(SUBSTITUTE(SUBSTITUTE(LOWER(Registro!$G172),"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",LEN(Registro!$G172))),({1,2,3,4,5,6,7,8,9,10,11,12,13,14,15,16,17,18,19,20,21,22,23,24,25,26,27,28,29,30}-1)*LEN(Registro!$G172)+1,LEN(Registro!$G172)))&amp;"x")-1))),"Revisar formato")))</f>
        <v/>
      </c>
      <c r="I172" s="11" t="str">
        <f>IF(Registro!$G172="","",IF(ISERROR(FIND("x",LOWER(Registro!$G172))),N(Registro!$H172),IFERROR(SUMPRODUCT(--("0"&amp;LEFT(TRIM(MID(SUBSTITUTE(SUBSTITUTE(SUBSTITUTE(SUBSTITUTE(SUBSTITUTE(LOWER(Registro!$G172),"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",LEN(Registro!$G172))),({1,2,3,4,5,6,7,8,9,10,11,12,13,14,15,16,17,18,19,20,21,22,23,24,25,26,27,28,29,30}-1)*LEN(Registro!$G172)+1,LEN(Registro!$G172))),FIND("x",TRIM(MID(SUBSTITUTE(SUBSTITUTE(SUBSTITUTE(SUBSTITUTE(SUBSTITUTE(LOWER(Registro!$G172),"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",LEN(Registro!$G172))),({1,2,3,4,5,6,7,8,9,10,11,12,13,14,15,16,17,18,19,20,21,22,23,24,25,26,27,28,29,30}-1)*LEN(Registro!$G172)+1,LEN(Registro!$G172)))&amp;"x")-1)),--("0"&amp;MID(TRIM(MID(SUBSTITUTE(SUBSTITUTE(SUBSTITUTE(SUBSTITUTE(SUBSTITUTE(LOWER(Registro!$G172),"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",LEN(Registro!$G172))),({1,2,3,4,5,6,7,8,9,10,11,12,13,14,15,16,17,18,19,20,21,22,23,24,25,26,27,28,29,30}-1)*LEN(Registro!$G172)+1,LEN(Registro!$G172))),FIND("x",TRIM(MID(SUBSTITUTE(SUBSTITUTE(SUBSTITUTE(SUBSTITUTE(SUBSTITUTE(LOWER(Registro!$G172),"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",LEN(Registro!$G172))),({1,2,3,4,5,6,7,8,9,10,11,12,13,14,15,16,17,18,19,20,21,22,23,24,25,26,27,28,29,30}-1)*LEN(Registro!$G172)+1,LEN(Registro!$G172)))&amp;"x")+1,20))),"Revisar formato")))</f>
        <v/>
      </c>
      <c r="J172" s="9" t="str">
        <f>IF(AND(Registro!$E172="",Registro!$G172=""),"",IF(NOT(AND(ISNUMBER(I172),ISNUMBER(Registro!$H172))),"",IF(I172&lt;Registro!$H172,"FALTA BOLETOS",IF(I172=Registro!$H172,"CONFORME","DIFERENCIA"))))</f>
        <v/>
      </c>
      <c r="K172" s="11" t="str">
        <f>IF(Registro!$I172="","",IFERROR(SUMPRODUCT(--("0"&amp;TRIM(RIGHT(SUBSTITUTE(TRIM(MID(SUBSTITUTE(SUBSTITUTE(Registro!$I172,";",CHAR(10)),CHAR(10),REPT(" ",LEN(Registro!$I172))),({1,2,3,4,5,6,7,8,9,10,11,12,13,14,15,16,17,18,19,20,21,22,23,24,25,26,27,28,29,30}-1)*LEN(Registro!$I172)+1,LEN(Registro!$I172)))," ",REPT(" ",50)),50)))),"Revisar formato"))</f>
        <v/>
      </c>
      <c r="L172" s="11" t="str">
        <f>IF(Registro!$J172="","",IFERROR(SUMPRODUCT(--("0"&amp;TRIM(RIGHT(SUBSTITUTE(TRIM(MID(SUBSTITUTE(SUBSTITUTE(Registro!$J172,";",CHAR(10)),CHAR(10),REPT(" ",LEN(Registro!$J172))),({1,2,3,4,5,6,7,8,9,10,11,12,13,14,15,16,17,18,19,20,21,22,23,24,25,26,27,28,29,30}-1)*LEN(Registro!$J172)+1,LEN(Registro!$J172)))," ",REPT(" ",50)),50)))),"Revisar formato"))</f>
        <v/>
      </c>
      <c r="M172" s="11" t="str">
        <f>IF(AND(Registro!$H172="",Registro!$I172=""),"",IF(AND(ISTEXT(K172),K172&lt;&gt;""),"Revisar formato",N(Registro!$H172)-N(K172)))</f>
        <v/>
      </c>
      <c r="N172" s="11" t="str">
        <f t="shared" si="8"/>
        <v/>
      </c>
      <c r="O172" s="15" t="str">
        <f>IF(AND(A172=Consulta!$B$3,C172=Consulta!$H$3),B172*10000+ROW(),"")</f>
        <v/>
      </c>
    </row>
    <row r="173" spans="1:15" x14ac:dyDescent="0.25">
      <c r="A173" s="9" t="str">
        <f>IF(Registro!$A173="","",Registro!$A173)</f>
        <v/>
      </c>
      <c r="B173" s="8" t="str">
        <f>IF(Registro!$B173="","",Registro!$B173)</f>
        <v/>
      </c>
      <c r="C173" s="14" t="str">
        <f t="shared" si="6"/>
        <v/>
      </c>
      <c r="D173" s="10" t="str">
        <f>IF(Registro!$E173="","",IF(ISERROR(FIND("x",LOWER(Registro!$E173))),"-",IFERROR(SUMPRODUCT(--("0"&amp;LEFT(TRIM(MID(SUBSTITUTE(SUBSTITUTE(SUBSTITUTE(SUBSTITUTE(SUBSTITUTE(LOWER(Registro!$E173),"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",LEN(Registro!$E173))),({1,2,3,4,5,6,7,8,9,10,11,12,13,14,15,16,17,18,19,20,21,22,23,24,25,26,27,28,29,30}-1)*LEN(Registro!$E173)+1,LEN(Registro!$E173)))&amp;"x")-1))),"Revisar formato")))</f>
        <v/>
      </c>
      <c r="E173" s="11" t="str">
        <f>IF(Registro!$E173="","",IF(ISERROR(FIND("x",LOWER(Registro!$E173))),"-",IFERROR(SUMPRODUCT(--("0"&amp;LEFT(TRIM(MID(SUBSTITUTE(SUBSTITUTE(SUBSTITUTE(SUBSTITUTE(SUBSTITUTE(LOWER(Registro!$E173),"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",LEN(Registro!$E173))),({1,2,3,4,5,6,7,8,9,10,11,12,13,14,15,16,17,18,19,20,21,22,23,24,25,26,27,28,29,30}-1)*LEN(Registro!$E173)+1,LEN(Registro!$E173)))&amp;"x")-1)),--("0"&amp;MID(TRIM(MID(SUBSTITUTE(SUBSTITUTE(SUBSTITUTE(SUBSTITUTE(SUBSTITUTE(LOWER(Registro!$E173),"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",LEN(Registro!$E173))),({1,2,3,4,5,6,7,8,9,10,11,12,13,14,15,16,17,18,19,20,21,22,23,24,25,26,27,28,29,30}-1)*LEN(Registro!$E173)+1,LEN(Registro!$E173)))&amp;"x")+1,20))),"Revisar formato")))</f>
        <v/>
      </c>
      <c r="F173" s="11" t="str">
        <f>IF(Registro!$F173="","",N(Registro!$F173))</f>
        <v/>
      </c>
      <c r="G173" s="11" t="str">
        <f t="shared" si="7"/>
        <v/>
      </c>
      <c r="H173" s="10" t="str">
        <f>IF(Registro!$G173="","",IF(ISERROR(FIND("x",LOWER(Registro!$G173))),"-",IFERROR(SUMPRODUCT(--("0"&amp;LEFT(TRIM(MID(SUBSTITUTE(SUBSTITUTE(SUBSTITUTE(SUBSTITUTE(SUBSTITUTE(LOWER(Registro!$G173),"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",LEN(Registro!$G173))),({1,2,3,4,5,6,7,8,9,10,11,12,13,14,15,16,17,18,19,20,21,22,23,24,25,26,27,28,29,30}-1)*LEN(Registro!$G173)+1,LEN(Registro!$G173))),FIND("x",TRIM(MID(SUBSTITUTE(SUBSTITUTE(SUBSTITUTE(SUBSTITUTE(SUBSTITUTE(LOWER(Registro!$G173),"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",LEN(Registro!$G173))),({1,2,3,4,5,6,7,8,9,10,11,12,13,14,15,16,17,18,19,20,21,22,23,24,25,26,27,28,29,30}-1)*LEN(Registro!$G173)+1,LEN(Registro!$G173)))&amp;"x")-1))),"Revisar formato")))</f>
        <v/>
      </c>
      <c r="I173" s="11" t="str">
        <f>IF(Registro!$G173="","",IF(ISERROR(FIND("x",LOWER(Registro!$G173))),N(Registro!$H173),IFERROR(SUMPRODUCT(--("0"&amp;LEFT(TRIM(MID(SUBSTITUTE(SUBSTITUTE(SUBSTITUTE(SUBSTITUTE(SUBSTITUTE(LOWER(Registro!$G173),"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",LEN(Registro!$G173))),({1,2,3,4,5,6,7,8,9,10,11,12,13,14,15,16,17,18,19,20,21,22,23,24,25,26,27,28,29,30}-1)*LEN(Registro!$G173)+1,LEN(Registro!$G173))),FIND("x",TRIM(MID(SUBSTITUTE(SUBSTITUTE(SUBSTITUTE(SUBSTITUTE(SUBSTITUTE(LOWER(Registro!$G173),"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",LEN(Registro!$G173))),({1,2,3,4,5,6,7,8,9,10,11,12,13,14,15,16,17,18,19,20,21,22,23,24,25,26,27,28,29,30}-1)*LEN(Registro!$G173)+1,LEN(Registro!$G173)))&amp;"x")-1)),--("0"&amp;MID(TRIM(MID(SUBSTITUTE(SUBSTITUTE(SUBSTITUTE(SUBSTITUTE(SUBSTITUTE(LOWER(Registro!$G173),"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",LEN(Registro!$G173))),({1,2,3,4,5,6,7,8,9,10,11,12,13,14,15,16,17,18,19,20,21,22,23,24,25,26,27,28,29,30}-1)*LEN(Registro!$G173)+1,LEN(Registro!$G173))),FIND("x",TRIM(MID(SUBSTITUTE(SUBSTITUTE(SUBSTITUTE(SUBSTITUTE(SUBSTITUTE(LOWER(Registro!$G173),"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",LEN(Registro!$G173))),({1,2,3,4,5,6,7,8,9,10,11,12,13,14,15,16,17,18,19,20,21,22,23,24,25,26,27,28,29,30}-1)*LEN(Registro!$G173)+1,LEN(Registro!$G173)))&amp;"x")+1,20))),"Revisar formato")))</f>
        <v/>
      </c>
      <c r="J173" s="9" t="str">
        <f>IF(AND(Registro!$E173="",Registro!$G173=""),"",IF(NOT(AND(ISNUMBER(I173),ISNUMBER(Registro!$H173))),"",IF(I173&lt;Registro!$H173,"FALTA BOLETOS",IF(I173=Registro!$H173,"CONFORME","DIFERENCIA"))))</f>
        <v/>
      </c>
      <c r="K173" s="11" t="str">
        <f>IF(Registro!$I173="","",IFERROR(SUMPRODUCT(--("0"&amp;TRIM(RIGHT(SUBSTITUTE(TRIM(MID(SUBSTITUTE(SUBSTITUTE(Registro!$I173,";",CHAR(10)),CHAR(10),REPT(" ",LEN(Registro!$I173))),({1,2,3,4,5,6,7,8,9,10,11,12,13,14,15,16,17,18,19,20,21,22,23,24,25,26,27,28,29,30}-1)*LEN(Registro!$I173)+1,LEN(Registro!$I173)))," ",REPT(" ",50)),50)))),"Revisar formato"))</f>
        <v/>
      </c>
      <c r="L173" s="11" t="str">
        <f>IF(Registro!$J173="","",IFERROR(SUMPRODUCT(--("0"&amp;TRIM(RIGHT(SUBSTITUTE(TRIM(MID(SUBSTITUTE(SUBSTITUTE(Registro!$J173,";",CHAR(10)),CHAR(10),REPT(" ",LEN(Registro!$J173))),({1,2,3,4,5,6,7,8,9,10,11,12,13,14,15,16,17,18,19,20,21,22,23,24,25,26,27,28,29,30}-1)*LEN(Registro!$J173)+1,LEN(Registro!$J173)))," ",REPT(" ",50)),50)))),"Revisar formato"))</f>
        <v/>
      </c>
      <c r="M173" s="11" t="str">
        <f>IF(AND(Registro!$H173="",Registro!$I173=""),"",IF(AND(ISTEXT(K173),K173&lt;&gt;""),"Revisar formato",N(Registro!$H173)-N(K173)))</f>
        <v/>
      </c>
      <c r="N173" s="11" t="str">
        <f t="shared" si="8"/>
        <v/>
      </c>
      <c r="O173" s="15" t="str">
        <f>IF(AND(A173=Consulta!$B$3,C173=Consulta!$H$3),B173*10000+ROW(),"")</f>
        <v/>
      </c>
    </row>
    <row r="174" spans="1:15" x14ac:dyDescent="0.25">
      <c r="A174" s="9" t="str">
        <f>IF(Registro!$A174="","",Registro!$A174)</f>
        <v/>
      </c>
      <c r="B174" s="8" t="str">
        <f>IF(Registro!$B174="","",Registro!$B174)</f>
        <v/>
      </c>
      <c r="C174" s="14" t="str">
        <f t="shared" si="6"/>
        <v/>
      </c>
      <c r="D174" s="10" t="str">
        <f>IF(Registro!$E174="","",IF(ISERROR(FIND("x",LOWER(Registro!$E174))),"-",IFERROR(SUMPRODUCT(--("0"&amp;LEFT(TRIM(MID(SUBSTITUTE(SUBSTITUTE(SUBSTITUTE(SUBSTITUTE(SUBSTITUTE(LOWER(Registro!$E174),"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",LEN(Registro!$E174))),({1,2,3,4,5,6,7,8,9,10,11,12,13,14,15,16,17,18,19,20,21,22,23,24,25,26,27,28,29,30}-1)*LEN(Registro!$E174)+1,LEN(Registro!$E174)))&amp;"x")-1))),"Revisar formato")))</f>
        <v/>
      </c>
      <c r="E174" s="11" t="str">
        <f>IF(Registro!$E174="","",IF(ISERROR(FIND("x",LOWER(Registro!$E174))),"-",IFERROR(SUMPRODUCT(--("0"&amp;LEFT(TRIM(MID(SUBSTITUTE(SUBSTITUTE(SUBSTITUTE(SUBSTITUTE(SUBSTITUTE(LOWER(Registro!$E174),"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",LEN(Registro!$E174))),({1,2,3,4,5,6,7,8,9,10,11,12,13,14,15,16,17,18,19,20,21,22,23,24,25,26,27,28,29,30}-1)*LEN(Registro!$E174)+1,LEN(Registro!$E174)))&amp;"x")-1)),--("0"&amp;MID(TRIM(MID(SUBSTITUTE(SUBSTITUTE(SUBSTITUTE(SUBSTITUTE(SUBSTITUTE(LOWER(Registro!$E174),"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",LEN(Registro!$E174))),({1,2,3,4,5,6,7,8,9,10,11,12,13,14,15,16,17,18,19,20,21,22,23,24,25,26,27,28,29,30}-1)*LEN(Registro!$E174)+1,LEN(Registro!$E174)))&amp;"x")+1,20))),"Revisar formato")))</f>
        <v/>
      </c>
      <c r="F174" s="11" t="str">
        <f>IF(Registro!$F174="","",N(Registro!$F174))</f>
        <v/>
      </c>
      <c r="G174" s="11" t="str">
        <f t="shared" si="7"/>
        <v/>
      </c>
      <c r="H174" s="10" t="str">
        <f>IF(Registro!$G174="","",IF(ISERROR(FIND("x",LOWER(Registro!$G174))),"-",IFERROR(SUMPRODUCT(--("0"&amp;LEFT(TRIM(MID(SUBSTITUTE(SUBSTITUTE(SUBSTITUTE(SUBSTITUTE(SUBSTITUTE(LOWER(Registro!$G174),"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",LEN(Registro!$G174))),({1,2,3,4,5,6,7,8,9,10,11,12,13,14,15,16,17,18,19,20,21,22,23,24,25,26,27,28,29,30}-1)*LEN(Registro!$G174)+1,LEN(Registro!$G174))),FIND("x",TRIM(MID(SUBSTITUTE(SUBSTITUTE(SUBSTITUTE(SUBSTITUTE(SUBSTITUTE(LOWER(Registro!$G174),"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",LEN(Registro!$G174))),({1,2,3,4,5,6,7,8,9,10,11,12,13,14,15,16,17,18,19,20,21,22,23,24,25,26,27,28,29,30}-1)*LEN(Registro!$G174)+1,LEN(Registro!$G174)))&amp;"x")-1))),"Revisar formato")))</f>
        <v/>
      </c>
      <c r="I174" s="11" t="str">
        <f>IF(Registro!$G174="","",IF(ISERROR(FIND("x",LOWER(Registro!$G174))),N(Registro!$H174),IFERROR(SUMPRODUCT(--("0"&amp;LEFT(TRIM(MID(SUBSTITUTE(SUBSTITUTE(SUBSTITUTE(SUBSTITUTE(SUBSTITUTE(LOWER(Registro!$G174),"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",LEN(Registro!$G174))),({1,2,3,4,5,6,7,8,9,10,11,12,13,14,15,16,17,18,19,20,21,22,23,24,25,26,27,28,29,30}-1)*LEN(Registro!$G174)+1,LEN(Registro!$G174))),FIND("x",TRIM(MID(SUBSTITUTE(SUBSTITUTE(SUBSTITUTE(SUBSTITUTE(SUBSTITUTE(LOWER(Registro!$G174),"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",LEN(Registro!$G174))),({1,2,3,4,5,6,7,8,9,10,11,12,13,14,15,16,17,18,19,20,21,22,23,24,25,26,27,28,29,30}-1)*LEN(Registro!$G174)+1,LEN(Registro!$G174)))&amp;"x")-1)),--("0"&amp;MID(TRIM(MID(SUBSTITUTE(SUBSTITUTE(SUBSTITUTE(SUBSTITUTE(SUBSTITUTE(LOWER(Registro!$G174),"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",LEN(Registro!$G174))),({1,2,3,4,5,6,7,8,9,10,11,12,13,14,15,16,17,18,19,20,21,22,23,24,25,26,27,28,29,30}-1)*LEN(Registro!$G174)+1,LEN(Registro!$G174))),FIND("x",TRIM(MID(SUBSTITUTE(SUBSTITUTE(SUBSTITUTE(SUBSTITUTE(SUBSTITUTE(LOWER(Registro!$G174),"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",LEN(Registro!$G174))),({1,2,3,4,5,6,7,8,9,10,11,12,13,14,15,16,17,18,19,20,21,22,23,24,25,26,27,28,29,30}-1)*LEN(Registro!$G174)+1,LEN(Registro!$G174)))&amp;"x")+1,20))),"Revisar formato")))</f>
        <v/>
      </c>
      <c r="J174" s="9" t="str">
        <f>IF(AND(Registro!$E174="",Registro!$G174=""),"",IF(NOT(AND(ISNUMBER(I174),ISNUMBER(Registro!$H174))),"",IF(I174&lt;Registro!$H174,"FALTA BOLETOS",IF(I174=Registro!$H174,"CONFORME","DIFERENCIA"))))</f>
        <v/>
      </c>
      <c r="K174" s="11" t="str">
        <f>IF(Registro!$I174="","",IFERROR(SUMPRODUCT(--("0"&amp;TRIM(RIGHT(SUBSTITUTE(TRIM(MID(SUBSTITUTE(SUBSTITUTE(Registro!$I174,";",CHAR(10)),CHAR(10),REPT(" ",LEN(Registro!$I174))),({1,2,3,4,5,6,7,8,9,10,11,12,13,14,15,16,17,18,19,20,21,22,23,24,25,26,27,28,29,30}-1)*LEN(Registro!$I174)+1,LEN(Registro!$I174)))," ",REPT(" ",50)),50)))),"Revisar formato"))</f>
        <v/>
      </c>
      <c r="L174" s="11" t="str">
        <f>IF(Registro!$J174="","",IFERROR(SUMPRODUCT(--("0"&amp;TRIM(RIGHT(SUBSTITUTE(TRIM(MID(SUBSTITUTE(SUBSTITUTE(Registro!$J174,";",CHAR(10)),CHAR(10),REPT(" ",LEN(Registro!$J174))),({1,2,3,4,5,6,7,8,9,10,11,12,13,14,15,16,17,18,19,20,21,22,23,24,25,26,27,28,29,30}-1)*LEN(Registro!$J174)+1,LEN(Registro!$J174)))," ",REPT(" ",50)),50)))),"Revisar formato"))</f>
        <v/>
      </c>
      <c r="M174" s="11" t="str">
        <f>IF(AND(Registro!$H174="",Registro!$I174=""),"",IF(AND(ISTEXT(K174),K174&lt;&gt;""),"Revisar formato",N(Registro!$H174)-N(K174)))</f>
        <v/>
      </c>
      <c r="N174" s="11" t="str">
        <f t="shared" si="8"/>
        <v/>
      </c>
      <c r="O174" s="15" t="str">
        <f>IF(AND(A174=Consulta!$B$3,C174=Consulta!$H$3),B174*10000+ROW(),"")</f>
        <v/>
      </c>
    </row>
    <row r="175" spans="1:15" x14ac:dyDescent="0.25">
      <c r="A175" s="9" t="str">
        <f>IF(Registro!$A175="","",Registro!$A175)</f>
        <v/>
      </c>
      <c r="B175" s="8" t="str">
        <f>IF(Registro!$B175="","",Registro!$B175)</f>
        <v/>
      </c>
      <c r="C175" s="14" t="str">
        <f t="shared" si="6"/>
        <v/>
      </c>
      <c r="D175" s="10" t="str">
        <f>IF(Registro!$E175="","",IF(ISERROR(FIND("x",LOWER(Registro!$E175))),"-",IFERROR(SUMPRODUCT(--("0"&amp;LEFT(TRIM(MID(SUBSTITUTE(SUBSTITUTE(SUBSTITUTE(SUBSTITUTE(SUBSTITUTE(LOWER(Registro!$E175),"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",LEN(Registro!$E175))),({1,2,3,4,5,6,7,8,9,10,11,12,13,14,15,16,17,18,19,20,21,22,23,24,25,26,27,28,29,30}-1)*LEN(Registro!$E175)+1,LEN(Registro!$E175)))&amp;"x")-1))),"Revisar formato")))</f>
        <v/>
      </c>
      <c r="E175" s="11" t="str">
        <f>IF(Registro!$E175="","",IF(ISERROR(FIND("x",LOWER(Registro!$E175))),"-",IFERROR(SUMPRODUCT(--("0"&amp;LEFT(TRIM(MID(SUBSTITUTE(SUBSTITUTE(SUBSTITUTE(SUBSTITUTE(SUBSTITUTE(LOWER(Registro!$E175),"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",LEN(Registro!$E175))),({1,2,3,4,5,6,7,8,9,10,11,12,13,14,15,16,17,18,19,20,21,22,23,24,25,26,27,28,29,30}-1)*LEN(Registro!$E175)+1,LEN(Registro!$E175)))&amp;"x")-1)),--("0"&amp;MID(TRIM(MID(SUBSTITUTE(SUBSTITUTE(SUBSTITUTE(SUBSTITUTE(SUBSTITUTE(LOWER(Registro!$E175),"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",LEN(Registro!$E175))),({1,2,3,4,5,6,7,8,9,10,11,12,13,14,15,16,17,18,19,20,21,22,23,24,25,26,27,28,29,30}-1)*LEN(Registro!$E175)+1,LEN(Registro!$E175)))&amp;"x")+1,20))),"Revisar formato")))</f>
        <v/>
      </c>
      <c r="F175" s="11" t="str">
        <f>IF(Registro!$F175="","",N(Registro!$F175))</f>
        <v/>
      </c>
      <c r="G175" s="11" t="str">
        <f t="shared" si="7"/>
        <v/>
      </c>
      <c r="H175" s="10" t="str">
        <f>IF(Registro!$G175="","",IF(ISERROR(FIND("x",LOWER(Registro!$G175))),"-",IFERROR(SUMPRODUCT(--("0"&amp;LEFT(TRIM(MID(SUBSTITUTE(SUBSTITUTE(SUBSTITUTE(SUBSTITUTE(SUBSTITUTE(LOWER(Registro!$G175),"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",LEN(Registro!$G175))),({1,2,3,4,5,6,7,8,9,10,11,12,13,14,15,16,17,18,19,20,21,22,23,24,25,26,27,28,29,30}-1)*LEN(Registro!$G175)+1,LEN(Registro!$G175))),FIND("x",TRIM(MID(SUBSTITUTE(SUBSTITUTE(SUBSTITUTE(SUBSTITUTE(SUBSTITUTE(LOWER(Registro!$G175),"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",LEN(Registro!$G175))),({1,2,3,4,5,6,7,8,9,10,11,12,13,14,15,16,17,18,19,20,21,22,23,24,25,26,27,28,29,30}-1)*LEN(Registro!$G175)+1,LEN(Registro!$G175)))&amp;"x")-1))),"Revisar formato")))</f>
        <v/>
      </c>
      <c r="I175" s="11" t="str">
        <f>IF(Registro!$G175="","",IF(ISERROR(FIND("x",LOWER(Registro!$G175))),N(Registro!$H175),IFERROR(SUMPRODUCT(--("0"&amp;LEFT(TRIM(MID(SUBSTITUTE(SUBSTITUTE(SUBSTITUTE(SUBSTITUTE(SUBSTITUTE(LOWER(Registro!$G175),"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",LEN(Registro!$G175))),({1,2,3,4,5,6,7,8,9,10,11,12,13,14,15,16,17,18,19,20,21,22,23,24,25,26,27,28,29,30}-1)*LEN(Registro!$G175)+1,LEN(Registro!$G175))),FIND("x",TRIM(MID(SUBSTITUTE(SUBSTITUTE(SUBSTITUTE(SUBSTITUTE(SUBSTITUTE(LOWER(Registro!$G175),"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",LEN(Registro!$G175))),({1,2,3,4,5,6,7,8,9,10,11,12,13,14,15,16,17,18,19,20,21,22,23,24,25,26,27,28,29,30}-1)*LEN(Registro!$G175)+1,LEN(Registro!$G175)))&amp;"x")-1)),--("0"&amp;MID(TRIM(MID(SUBSTITUTE(SUBSTITUTE(SUBSTITUTE(SUBSTITUTE(SUBSTITUTE(LOWER(Registro!$G175),"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",LEN(Registro!$G175))),({1,2,3,4,5,6,7,8,9,10,11,12,13,14,15,16,17,18,19,20,21,22,23,24,25,26,27,28,29,30}-1)*LEN(Registro!$G175)+1,LEN(Registro!$G175))),FIND("x",TRIM(MID(SUBSTITUTE(SUBSTITUTE(SUBSTITUTE(SUBSTITUTE(SUBSTITUTE(LOWER(Registro!$G175),"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",LEN(Registro!$G175))),({1,2,3,4,5,6,7,8,9,10,11,12,13,14,15,16,17,18,19,20,21,22,23,24,25,26,27,28,29,30}-1)*LEN(Registro!$G175)+1,LEN(Registro!$G175)))&amp;"x")+1,20))),"Revisar formato")))</f>
        <v/>
      </c>
      <c r="J175" s="9" t="str">
        <f>IF(AND(Registro!$E175="",Registro!$G175=""),"",IF(NOT(AND(ISNUMBER(I175),ISNUMBER(Registro!$H175))),"",IF(I175&lt;Registro!$H175,"FALTA BOLETOS",IF(I175=Registro!$H175,"CONFORME","DIFERENCIA"))))</f>
        <v/>
      </c>
      <c r="K175" s="11" t="str">
        <f>IF(Registro!$I175="","",IFERROR(SUMPRODUCT(--("0"&amp;TRIM(RIGHT(SUBSTITUTE(TRIM(MID(SUBSTITUTE(SUBSTITUTE(Registro!$I175,";",CHAR(10)),CHAR(10),REPT(" ",LEN(Registro!$I175))),({1,2,3,4,5,6,7,8,9,10,11,12,13,14,15,16,17,18,19,20,21,22,23,24,25,26,27,28,29,30}-1)*LEN(Registro!$I175)+1,LEN(Registro!$I175)))," ",REPT(" ",50)),50)))),"Revisar formato"))</f>
        <v/>
      </c>
      <c r="L175" s="11" t="str">
        <f>IF(Registro!$J175="","",IFERROR(SUMPRODUCT(--("0"&amp;TRIM(RIGHT(SUBSTITUTE(TRIM(MID(SUBSTITUTE(SUBSTITUTE(Registro!$J175,";",CHAR(10)),CHAR(10),REPT(" ",LEN(Registro!$J175))),({1,2,3,4,5,6,7,8,9,10,11,12,13,14,15,16,17,18,19,20,21,22,23,24,25,26,27,28,29,30}-1)*LEN(Registro!$J175)+1,LEN(Registro!$J175)))," ",REPT(" ",50)),50)))),"Revisar formato"))</f>
        <v/>
      </c>
      <c r="M175" s="11" t="str">
        <f>IF(AND(Registro!$H175="",Registro!$I175=""),"",IF(AND(ISTEXT(K175),K175&lt;&gt;""),"Revisar formato",N(Registro!$H175)-N(K175)))</f>
        <v/>
      </c>
      <c r="N175" s="11" t="str">
        <f t="shared" si="8"/>
        <v/>
      </c>
      <c r="O175" s="15" t="str">
        <f>IF(AND(A175=Consulta!$B$3,C175=Consulta!$H$3),B175*10000+ROW(),"")</f>
        <v/>
      </c>
    </row>
    <row r="176" spans="1:15" x14ac:dyDescent="0.25">
      <c r="A176" s="9" t="str">
        <f>IF(Registro!$A176="","",Registro!$A176)</f>
        <v/>
      </c>
      <c r="B176" s="8" t="str">
        <f>IF(Registro!$B176="","",Registro!$B176)</f>
        <v/>
      </c>
      <c r="C176" s="14" t="str">
        <f t="shared" si="6"/>
        <v/>
      </c>
      <c r="D176" s="10" t="str">
        <f>IF(Registro!$E176="","",IF(ISERROR(FIND("x",LOWER(Registro!$E176))),"-",IFERROR(SUMPRODUCT(--("0"&amp;LEFT(TRIM(MID(SUBSTITUTE(SUBSTITUTE(SUBSTITUTE(SUBSTITUTE(SUBSTITUTE(LOWER(Registro!$E176),"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",LEN(Registro!$E176))),({1,2,3,4,5,6,7,8,9,10,11,12,13,14,15,16,17,18,19,20,21,22,23,24,25,26,27,28,29,30}-1)*LEN(Registro!$E176)+1,LEN(Registro!$E176)))&amp;"x")-1))),"Revisar formato")))</f>
        <v/>
      </c>
      <c r="E176" s="11" t="str">
        <f>IF(Registro!$E176="","",IF(ISERROR(FIND("x",LOWER(Registro!$E176))),"-",IFERROR(SUMPRODUCT(--("0"&amp;LEFT(TRIM(MID(SUBSTITUTE(SUBSTITUTE(SUBSTITUTE(SUBSTITUTE(SUBSTITUTE(LOWER(Registro!$E176),"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",LEN(Registro!$E176))),({1,2,3,4,5,6,7,8,9,10,11,12,13,14,15,16,17,18,19,20,21,22,23,24,25,26,27,28,29,30}-1)*LEN(Registro!$E176)+1,LEN(Registro!$E176)))&amp;"x")-1)),--("0"&amp;MID(TRIM(MID(SUBSTITUTE(SUBSTITUTE(SUBSTITUTE(SUBSTITUTE(SUBSTITUTE(LOWER(Registro!$E176),"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",LEN(Registro!$E176))),({1,2,3,4,5,6,7,8,9,10,11,12,13,14,15,16,17,18,19,20,21,22,23,24,25,26,27,28,29,30}-1)*LEN(Registro!$E176)+1,LEN(Registro!$E176)))&amp;"x")+1,20))),"Revisar formato")))</f>
        <v/>
      </c>
      <c r="F176" s="11" t="str">
        <f>IF(Registro!$F176="","",N(Registro!$F176))</f>
        <v/>
      </c>
      <c r="G176" s="11" t="str">
        <f t="shared" si="7"/>
        <v/>
      </c>
      <c r="H176" s="10" t="str">
        <f>IF(Registro!$G176="","",IF(ISERROR(FIND("x",LOWER(Registro!$G176))),"-",IFERROR(SUMPRODUCT(--("0"&amp;LEFT(TRIM(MID(SUBSTITUTE(SUBSTITUTE(SUBSTITUTE(SUBSTITUTE(SUBSTITUTE(LOWER(Registro!$G176),"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",LEN(Registro!$G176))),({1,2,3,4,5,6,7,8,9,10,11,12,13,14,15,16,17,18,19,20,21,22,23,24,25,26,27,28,29,30}-1)*LEN(Registro!$G176)+1,LEN(Registro!$G176))),FIND("x",TRIM(MID(SUBSTITUTE(SUBSTITUTE(SUBSTITUTE(SUBSTITUTE(SUBSTITUTE(LOWER(Registro!$G176),"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",LEN(Registro!$G176))),({1,2,3,4,5,6,7,8,9,10,11,12,13,14,15,16,17,18,19,20,21,22,23,24,25,26,27,28,29,30}-1)*LEN(Registro!$G176)+1,LEN(Registro!$G176)))&amp;"x")-1))),"Revisar formato")))</f>
        <v/>
      </c>
      <c r="I176" s="11" t="str">
        <f>IF(Registro!$G176="","",IF(ISERROR(FIND("x",LOWER(Registro!$G176))),N(Registro!$H176),IFERROR(SUMPRODUCT(--("0"&amp;LEFT(TRIM(MID(SUBSTITUTE(SUBSTITUTE(SUBSTITUTE(SUBSTITUTE(SUBSTITUTE(LOWER(Registro!$G176),"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",LEN(Registro!$G176))),({1,2,3,4,5,6,7,8,9,10,11,12,13,14,15,16,17,18,19,20,21,22,23,24,25,26,27,28,29,30}-1)*LEN(Registro!$G176)+1,LEN(Registro!$G176))),FIND("x",TRIM(MID(SUBSTITUTE(SUBSTITUTE(SUBSTITUTE(SUBSTITUTE(SUBSTITUTE(LOWER(Registro!$G176),"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",LEN(Registro!$G176))),({1,2,3,4,5,6,7,8,9,10,11,12,13,14,15,16,17,18,19,20,21,22,23,24,25,26,27,28,29,30}-1)*LEN(Registro!$G176)+1,LEN(Registro!$G176)))&amp;"x")-1)),--("0"&amp;MID(TRIM(MID(SUBSTITUTE(SUBSTITUTE(SUBSTITUTE(SUBSTITUTE(SUBSTITUTE(LOWER(Registro!$G176),"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",LEN(Registro!$G176))),({1,2,3,4,5,6,7,8,9,10,11,12,13,14,15,16,17,18,19,20,21,22,23,24,25,26,27,28,29,30}-1)*LEN(Registro!$G176)+1,LEN(Registro!$G176))),FIND("x",TRIM(MID(SUBSTITUTE(SUBSTITUTE(SUBSTITUTE(SUBSTITUTE(SUBSTITUTE(LOWER(Registro!$G176),"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",LEN(Registro!$G176))),({1,2,3,4,5,6,7,8,9,10,11,12,13,14,15,16,17,18,19,20,21,22,23,24,25,26,27,28,29,30}-1)*LEN(Registro!$G176)+1,LEN(Registro!$G176)))&amp;"x")+1,20))),"Revisar formato")))</f>
        <v/>
      </c>
      <c r="J176" s="9" t="str">
        <f>IF(AND(Registro!$E176="",Registro!$G176=""),"",IF(NOT(AND(ISNUMBER(I176),ISNUMBER(Registro!$H176))),"",IF(I176&lt;Registro!$H176,"FALTA BOLETOS",IF(I176=Registro!$H176,"CONFORME","DIFERENCIA"))))</f>
        <v/>
      </c>
      <c r="K176" s="11" t="str">
        <f>IF(Registro!$I176="","",IFERROR(SUMPRODUCT(--("0"&amp;TRIM(RIGHT(SUBSTITUTE(TRIM(MID(SUBSTITUTE(SUBSTITUTE(Registro!$I176,";",CHAR(10)),CHAR(10),REPT(" ",LEN(Registro!$I176))),({1,2,3,4,5,6,7,8,9,10,11,12,13,14,15,16,17,18,19,20,21,22,23,24,25,26,27,28,29,30}-1)*LEN(Registro!$I176)+1,LEN(Registro!$I176)))," ",REPT(" ",50)),50)))),"Revisar formato"))</f>
        <v/>
      </c>
      <c r="L176" s="11" t="str">
        <f>IF(Registro!$J176="","",IFERROR(SUMPRODUCT(--("0"&amp;TRIM(RIGHT(SUBSTITUTE(TRIM(MID(SUBSTITUTE(SUBSTITUTE(Registro!$J176,";",CHAR(10)),CHAR(10),REPT(" ",LEN(Registro!$J176))),({1,2,3,4,5,6,7,8,9,10,11,12,13,14,15,16,17,18,19,20,21,22,23,24,25,26,27,28,29,30}-1)*LEN(Registro!$J176)+1,LEN(Registro!$J176)))," ",REPT(" ",50)),50)))),"Revisar formato"))</f>
        <v/>
      </c>
      <c r="M176" s="11" t="str">
        <f>IF(AND(Registro!$H176="",Registro!$I176=""),"",IF(AND(ISTEXT(K176),K176&lt;&gt;""),"Revisar formato",N(Registro!$H176)-N(K176)))</f>
        <v/>
      </c>
      <c r="N176" s="11" t="str">
        <f t="shared" si="8"/>
        <v/>
      </c>
      <c r="O176" s="15" t="str">
        <f>IF(AND(A176=Consulta!$B$3,C176=Consulta!$H$3),B176*10000+ROW(),"")</f>
        <v/>
      </c>
    </row>
    <row r="177" spans="1:15" x14ac:dyDescent="0.25">
      <c r="A177" s="9" t="str">
        <f>IF(Registro!$A177="","",Registro!$A177)</f>
        <v/>
      </c>
      <c r="B177" s="8" t="str">
        <f>IF(Registro!$B177="","",Registro!$B177)</f>
        <v/>
      </c>
      <c r="C177" s="14" t="str">
        <f t="shared" si="6"/>
        <v/>
      </c>
      <c r="D177" s="10" t="str">
        <f>IF(Registro!$E177="","",IF(ISERROR(FIND("x",LOWER(Registro!$E177))),"-",IFERROR(SUMPRODUCT(--("0"&amp;LEFT(TRIM(MID(SUBSTITUTE(SUBSTITUTE(SUBSTITUTE(SUBSTITUTE(SUBSTITUTE(LOWER(Registro!$E177),"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",LEN(Registro!$E177))),({1,2,3,4,5,6,7,8,9,10,11,12,13,14,15,16,17,18,19,20,21,22,23,24,25,26,27,28,29,30}-1)*LEN(Registro!$E177)+1,LEN(Registro!$E177)))&amp;"x")-1))),"Revisar formato")))</f>
        <v/>
      </c>
      <c r="E177" s="11" t="str">
        <f>IF(Registro!$E177="","",IF(ISERROR(FIND("x",LOWER(Registro!$E177))),"-",IFERROR(SUMPRODUCT(--("0"&amp;LEFT(TRIM(MID(SUBSTITUTE(SUBSTITUTE(SUBSTITUTE(SUBSTITUTE(SUBSTITUTE(LOWER(Registro!$E177),"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",LEN(Registro!$E177))),({1,2,3,4,5,6,7,8,9,10,11,12,13,14,15,16,17,18,19,20,21,22,23,24,25,26,27,28,29,30}-1)*LEN(Registro!$E177)+1,LEN(Registro!$E177)))&amp;"x")-1)),--("0"&amp;MID(TRIM(MID(SUBSTITUTE(SUBSTITUTE(SUBSTITUTE(SUBSTITUTE(SUBSTITUTE(LOWER(Registro!$E177),"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",LEN(Registro!$E177))),({1,2,3,4,5,6,7,8,9,10,11,12,13,14,15,16,17,18,19,20,21,22,23,24,25,26,27,28,29,30}-1)*LEN(Registro!$E177)+1,LEN(Registro!$E177)))&amp;"x")+1,20))),"Revisar formato")))</f>
        <v/>
      </c>
      <c r="F177" s="11" t="str">
        <f>IF(Registro!$F177="","",N(Registro!$F177))</f>
        <v/>
      </c>
      <c r="G177" s="11" t="str">
        <f t="shared" si="7"/>
        <v/>
      </c>
      <c r="H177" s="10" t="str">
        <f>IF(Registro!$G177="","",IF(ISERROR(FIND("x",LOWER(Registro!$G177))),"-",IFERROR(SUMPRODUCT(--("0"&amp;LEFT(TRIM(MID(SUBSTITUTE(SUBSTITUTE(SUBSTITUTE(SUBSTITUTE(SUBSTITUTE(LOWER(Registro!$G177),"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",LEN(Registro!$G177))),({1,2,3,4,5,6,7,8,9,10,11,12,13,14,15,16,17,18,19,20,21,22,23,24,25,26,27,28,29,30}-1)*LEN(Registro!$G177)+1,LEN(Registro!$G177))),FIND("x",TRIM(MID(SUBSTITUTE(SUBSTITUTE(SUBSTITUTE(SUBSTITUTE(SUBSTITUTE(LOWER(Registro!$G177),"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",LEN(Registro!$G177))),({1,2,3,4,5,6,7,8,9,10,11,12,13,14,15,16,17,18,19,20,21,22,23,24,25,26,27,28,29,30}-1)*LEN(Registro!$G177)+1,LEN(Registro!$G177)))&amp;"x")-1))),"Revisar formato")))</f>
        <v/>
      </c>
      <c r="I177" s="11" t="str">
        <f>IF(Registro!$G177="","",IF(ISERROR(FIND("x",LOWER(Registro!$G177))),N(Registro!$H177),IFERROR(SUMPRODUCT(--("0"&amp;LEFT(TRIM(MID(SUBSTITUTE(SUBSTITUTE(SUBSTITUTE(SUBSTITUTE(SUBSTITUTE(LOWER(Registro!$G177),"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",LEN(Registro!$G177))),({1,2,3,4,5,6,7,8,9,10,11,12,13,14,15,16,17,18,19,20,21,22,23,24,25,26,27,28,29,30}-1)*LEN(Registro!$G177)+1,LEN(Registro!$G177))),FIND("x",TRIM(MID(SUBSTITUTE(SUBSTITUTE(SUBSTITUTE(SUBSTITUTE(SUBSTITUTE(LOWER(Registro!$G177),"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",LEN(Registro!$G177))),({1,2,3,4,5,6,7,8,9,10,11,12,13,14,15,16,17,18,19,20,21,22,23,24,25,26,27,28,29,30}-1)*LEN(Registro!$G177)+1,LEN(Registro!$G177)))&amp;"x")-1)),--("0"&amp;MID(TRIM(MID(SUBSTITUTE(SUBSTITUTE(SUBSTITUTE(SUBSTITUTE(SUBSTITUTE(LOWER(Registro!$G177),"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",LEN(Registro!$G177))),({1,2,3,4,5,6,7,8,9,10,11,12,13,14,15,16,17,18,19,20,21,22,23,24,25,26,27,28,29,30}-1)*LEN(Registro!$G177)+1,LEN(Registro!$G177))),FIND("x",TRIM(MID(SUBSTITUTE(SUBSTITUTE(SUBSTITUTE(SUBSTITUTE(SUBSTITUTE(LOWER(Registro!$G177),"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",LEN(Registro!$G177))),({1,2,3,4,5,6,7,8,9,10,11,12,13,14,15,16,17,18,19,20,21,22,23,24,25,26,27,28,29,30}-1)*LEN(Registro!$G177)+1,LEN(Registro!$G177)))&amp;"x")+1,20))),"Revisar formato")))</f>
        <v/>
      </c>
      <c r="J177" s="9" t="str">
        <f>IF(AND(Registro!$E177="",Registro!$G177=""),"",IF(NOT(AND(ISNUMBER(I177),ISNUMBER(Registro!$H177))),"",IF(I177&lt;Registro!$H177,"FALTA BOLETOS",IF(I177=Registro!$H177,"CONFORME","DIFERENCIA"))))</f>
        <v/>
      </c>
      <c r="K177" s="11" t="str">
        <f>IF(Registro!$I177="","",IFERROR(SUMPRODUCT(--("0"&amp;TRIM(RIGHT(SUBSTITUTE(TRIM(MID(SUBSTITUTE(SUBSTITUTE(Registro!$I177,";",CHAR(10)),CHAR(10),REPT(" ",LEN(Registro!$I177))),({1,2,3,4,5,6,7,8,9,10,11,12,13,14,15,16,17,18,19,20,21,22,23,24,25,26,27,28,29,30}-1)*LEN(Registro!$I177)+1,LEN(Registro!$I177)))," ",REPT(" ",50)),50)))),"Revisar formato"))</f>
        <v/>
      </c>
      <c r="L177" s="11" t="str">
        <f>IF(Registro!$J177="","",IFERROR(SUMPRODUCT(--("0"&amp;TRIM(RIGHT(SUBSTITUTE(TRIM(MID(SUBSTITUTE(SUBSTITUTE(Registro!$J177,";",CHAR(10)),CHAR(10),REPT(" ",LEN(Registro!$J177))),({1,2,3,4,5,6,7,8,9,10,11,12,13,14,15,16,17,18,19,20,21,22,23,24,25,26,27,28,29,30}-1)*LEN(Registro!$J177)+1,LEN(Registro!$J177)))," ",REPT(" ",50)),50)))),"Revisar formato"))</f>
        <v/>
      </c>
      <c r="M177" s="11" t="str">
        <f>IF(AND(Registro!$H177="",Registro!$I177=""),"",IF(AND(ISTEXT(K177),K177&lt;&gt;""),"Revisar formato",N(Registro!$H177)-N(K177)))</f>
        <v/>
      </c>
      <c r="N177" s="11" t="str">
        <f t="shared" si="8"/>
        <v/>
      </c>
      <c r="O177" s="15" t="str">
        <f>IF(AND(A177=Consulta!$B$3,C177=Consulta!$H$3),B177*10000+ROW(),"")</f>
        <v/>
      </c>
    </row>
    <row r="178" spans="1:15" x14ac:dyDescent="0.25">
      <c r="A178" s="9" t="str">
        <f>IF(Registro!$A178="","",Registro!$A178)</f>
        <v/>
      </c>
      <c r="B178" s="8" t="str">
        <f>IF(Registro!$B178="","",Registro!$B178)</f>
        <v/>
      </c>
      <c r="C178" s="14" t="str">
        <f t="shared" si="6"/>
        <v/>
      </c>
      <c r="D178" s="10" t="str">
        <f>IF(Registro!$E178="","",IF(ISERROR(FIND("x",LOWER(Registro!$E178))),"-",IFERROR(SUMPRODUCT(--("0"&amp;LEFT(TRIM(MID(SUBSTITUTE(SUBSTITUTE(SUBSTITUTE(SUBSTITUTE(SUBSTITUTE(LOWER(Registro!$E178),"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",LEN(Registro!$E178))),({1,2,3,4,5,6,7,8,9,10,11,12,13,14,15,16,17,18,19,20,21,22,23,24,25,26,27,28,29,30}-1)*LEN(Registro!$E178)+1,LEN(Registro!$E178)))&amp;"x")-1))),"Revisar formato")))</f>
        <v/>
      </c>
      <c r="E178" s="11" t="str">
        <f>IF(Registro!$E178="","",IF(ISERROR(FIND("x",LOWER(Registro!$E178))),"-",IFERROR(SUMPRODUCT(--("0"&amp;LEFT(TRIM(MID(SUBSTITUTE(SUBSTITUTE(SUBSTITUTE(SUBSTITUTE(SUBSTITUTE(LOWER(Registro!$E178),"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",LEN(Registro!$E178))),({1,2,3,4,5,6,7,8,9,10,11,12,13,14,15,16,17,18,19,20,21,22,23,24,25,26,27,28,29,30}-1)*LEN(Registro!$E178)+1,LEN(Registro!$E178)))&amp;"x")-1)),--("0"&amp;MID(TRIM(MID(SUBSTITUTE(SUBSTITUTE(SUBSTITUTE(SUBSTITUTE(SUBSTITUTE(LOWER(Registro!$E178),"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",LEN(Registro!$E178))),({1,2,3,4,5,6,7,8,9,10,11,12,13,14,15,16,17,18,19,20,21,22,23,24,25,26,27,28,29,30}-1)*LEN(Registro!$E178)+1,LEN(Registro!$E178)))&amp;"x")+1,20))),"Revisar formato")))</f>
        <v/>
      </c>
      <c r="F178" s="11" t="str">
        <f>IF(Registro!$F178="","",N(Registro!$F178))</f>
        <v/>
      </c>
      <c r="G178" s="11" t="str">
        <f t="shared" si="7"/>
        <v/>
      </c>
      <c r="H178" s="10" t="str">
        <f>IF(Registro!$G178="","",IF(ISERROR(FIND("x",LOWER(Registro!$G178))),"-",IFERROR(SUMPRODUCT(--("0"&amp;LEFT(TRIM(MID(SUBSTITUTE(SUBSTITUTE(SUBSTITUTE(SUBSTITUTE(SUBSTITUTE(LOWER(Registro!$G178),"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",LEN(Registro!$G178))),({1,2,3,4,5,6,7,8,9,10,11,12,13,14,15,16,17,18,19,20,21,22,23,24,25,26,27,28,29,30}-1)*LEN(Registro!$G178)+1,LEN(Registro!$G178))),FIND("x",TRIM(MID(SUBSTITUTE(SUBSTITUTE(SUBSTITUTE(SUBSTITUTE(SUBSTITUTE(LOWER(Registro!$G178),"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",LEN(Registro!$G178))),({1,2,3,4,5,6,7,8,9,10,11,12,13,14,15,16,17,18,19,20,21,22,23,24,25,26,27,28,29,30}-1)*LEN(Registro!$G178)+1,LEN(Registro!$G178)))&amp;"x")-1))),"Revisar formato")))</f>
        <v/>
      </c>
      <c r="I178" s="11" t="str">
        <f>IF(Registro!$G178="","",IF(ISERROR(FIND("x",LOWER(Registro!$G178))),N(Registro!$H178),IFERROR(SUMPRODUCT(--("0"&amp;LEFT(TRIM(MID(SUBSTITUTE(SUBSTITUTE(SUBSTITUTE(SUBSTITUTE(SUBSTITUTE(LOWER(Registro!$G178),"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",LEN(Registro!$G178))),({1,2,3,4,5,6,7,8,9,10,11,12,13,14,15,16,17,18,19,20,21,22,23,24,25,26,27,28,29,30}-1)*LEN(Registro!$G178)+1,LEN(Registro!$G178))),FIND("x",TRIM(MID(SUBSTITUTE(SUBSTITUTE(SUBSTITUTE(SUBSTITUTE(SUBSTITUTE(LOWER(Registro!$G178),"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",LEN(Registro!$G178))),({1,2,3,4,5,6,7,8,9,10,11,12,13,14,15,16,17,18,19,20,21,22,23,24,25,26,27,28,29,30}-1)*LEN(Registro!$G178)+1,LEN(Registro!$G178)))&amp;"x")-1)),--("0"&amp;MID(TRIM(MID(SUBSTITUTE(SUBSTITUTE(SUBSTITUTE(SUBSTITUTE(SUBSTITUTE(LOWER(Registro!$G178),"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",LEN(Registro!$G178))),({1,2,3,4,5,6,7,8,9,10,11,12,13,14,15,16,17,18,19,20,21,22,23,24,25,26,27,28,29,30}-1)*LEN(Registro!$G178)+1,LEN(Registro!$G178))),FIND("x",TRIM(MID(SUBSTITUTE(SUBSTITUTE(SUBSTITUTE(SUBSTITUTE(SUBSTITUTE(LOWER(Registro!$G178),"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",LEN(Registro!$G178))),({1,2,3,4,5,6,7,8,9,10,11,12,13,14,15,16,17,18,19,20,21,22,23,24,25,26,27,28,29,30}-1)*LEN(Registro!$G178)+1,LEN(Registro!$G178)))&amp;"x")+1,20))),"Revisar formato")))</f>
        <v/>
      </c>
      <c r="J178" s="9" t="str">
        <f>IF(AND(Registro!$E178="",Registro!$G178=""),"",IF(NOT(AND(ISNUMBER(I178),ISNUMBER(Registro!$H178))),"",IF(I178&lt;Registro!$H178,"FALTA BOLETOS",IF(I178=Registro!$H178,"CONFORME","DIFERENCIA"))))</f>
        <v/>
      </c>
      <c r="K178" s="11" t="str">
        <f>IF(Registro!$I178="","",IFERROR(SUMPRODUCT(--("0"&amp;TRIM(RIGHT(SUBSTITUTE(TRIM(MID(SUBSTITUTE(SUBSTITUTE(Registro!$I178,";",CHAR(10)),CHAR(10),REPT(" ",LEN(Registro!$I178))),({1,2,3,4,5,6,7,8,9,10,11,12,13,14,15,16,17,18,19,20,21,22,23,24,25,26,27,28,29,30}-1)*LEN(Registro!$I178)+1,LEN(Registro!$I178)))," ",REPT(" ",50)),50)))),"Revisar formato"))</f>
        <v/>
      </c>
      <c r="L178" s="11" t="str">
        <f>IF(Registro!$J178="","",IFERROR(SUMPRODUCT(--("0"&amp;TRIM(RIGHT(SUBSTITUTE(TRIM(MID(SUBSTITUTE(SUBSTITUTE(Registro!$J178,";",CHAR(10)),CHAR(10),REPT(" ",LEN(Registro!$J178))),({1,2,3,4,5,6,7,8,9,10,11,12,13,14,15,16,17,18,19,20,21,22,23,24,25,26,27,28,29,30}-1)*LEN(Registro!$J178)+1,LEN(Registro!$J178)))," ",REPT(" ",50)),50)))),"Revisar formato"))</f>
        <v/>
      </c>
      <c r="M178" s="11" t="str">
        <f>IF(AND(Registro!$H178="",Registro!$I178=""),"",IF(AND(ISTEXT(K178),K178&lt;&gt;""),"Revisar formato",N(Registro!$H178)-N(K178)))</f>
        <v/>
      </c>
      <c r="N178" s="11" t="str">
        <f t="shared" si="8"/>
        <v/>
      </c>
      <c r="O178" s="15" t="str">
        <f>IF(AND(A178=Consulta!$B$3,C178=Consulta!$H$3),B178*10000+ROW(),"")</f>
        <v/>
      </c>
    </row>
    <row r="179" spans="1:15" x14ac:dyDescent="0.25">
      <c r="A179" s="9" t="str">
        <f>IF(Registro!$A179="","",Registro!$A179)</f>
        <v/>
      </c>
      <c r="B179" s="8" t="str">
        <f>IF(Registro!$B179="","",Registro!$B179)</f>
        <v/>
      </c>
      <c r="C179" s="14" t="str">
        <f t="shared" si="6"/>
        <v/>
      </c>
      <c r="D179" s="10" t="str">
        <f>IF(Registro!$E179="","",IF(ISERROR(FIND("x",LOWER(Registro!$E179))),"-",IFERROR(SUMPRODUCT(--("0"&amp;LEFT(TRIM(MID(SUBSTITUTE(SUBSTITUTE(SUBSTITUTE(SUBSTITUTE(SUBSTITUTE(LOWER(Registro!$E179),"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",LEN(Registro!$E179))),({1,2,3,4,5,6,7,8,9,10,11,12,13,14,15,16,17,18,19,20,21,22,23,24,25,26,27,28,29,30}-1)*LEN(Registro!$E179)+1,LEN(Registro!$E179)))&amp;"x")-1))),"Revisar formato")))</f>
        <v/>
      </c>
      <c r="E179" s="11" t="str">
        <f>IF(Registro!$E179="","",IF(ISERROR(FIND("x",LOWER(Registro!$E179))),"-",IFERROR(SUMPRODUCT(--("0"&amp;LEFT(TRIM(MID(SUBSTITUTE(SUBSTITUTE(SUBSTITUTE(SUBSTITUTE(SUBSTITUTE(LOWER(Registro!$E179),"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",LEN(Registro!$E179))),({1,2,3,4,5,6,7,8,9,10,11,12,13,14,15,16,17,18,19,20,21,22,23,24,25,26,27,28,29,30}-1)*LEN(Registro!$E179)+1,LEN(Registro!$E179)))&amp;"x")-1)),--("0"&amp;MID(TRIM(MID(SUBSTITUTE(SUBSTITUTE(SUBSTITUTE(SUBSTITUTE(SUBSTITUTE(LOWER(Registro!$E179),"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",LEN(Registro!$E179))),({1,2,3,4,5,6,7,8,9,10,11,12,13,14,15,16,17,18,19,20,21,22,23,24,25,26,27,28,29,30}-1)*LEN(Registro!$E179)+1,LEN(Registro!$E179)))&amp;"x")+1,20))),"Revisar formato")))</f>
        <v/>
      </c>
      <c r="F179" s="11" t="str">
        <f>IF(Registro!$F179="","",N(Registro!$F179))</f>
        <v/>
      </c>
      <c r="G179" s="11" t="str">
        <f t="shared" si="7"/>
        <v/>
      </c>
      <c r="H179" s="10" t="str">
        <f>IF(Registro!$G179="","",IF(ISERROR(FIND("x",LOWER(Registro!$G179))),"-",IFERROR(SUMPRODUCT(--("0"&amp;LEFT(TRIM(MID(SUBSTITUTE(SUBSTITUTE(SUBSTITUTE(SUBSTITUTE(SUBSTITUTE(LOWER(Registro!$G179),"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",LEN(Registro!$G179))),({1,2,3,4,5,6,7,8,9,10,11,12,13,14,15,16,17,18,19,20,21,22,23,24,25,26,27,28,29,30}-1)*LEN(Registro!$G179)+1,LEN(Registro!$G179))),FIND("x",TRIM(MID(SUBSTITUTE(SUBSTITUTE(SUBSTITUTE(SUBSTITUTE(SUBSTITUTE(LOWER(Registro!$G179),"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",LEN(Registro!$G179))),({1,2,3,4,5,6,7,8,9,10,11,12,13,14,15,16,17,18,19,20,21,22,23,24,25,26,27,28,29,30}-1)*LEN(Registro!$G179)+1,LEN(Registro!$G179)))&amp;"x")-1))),"Revisar formato")))</f>
        <v/>
      </c>
      <c r="I179" s="11" t="str">
        <f>IF(Registro!$G179="","",IF(ISERROR(FIND("x",LOWER(Registro!$G179))),N(Registro!$H179),IFERROR(SUMPRODUCT(--("0"&amp;LEFT(TRIM(MID(SUBSTITUTE(SUBSTITUTE(SUBSTITUTE(SUBSTITUTE(SUBSTITUTE(LOWER(Registro!$G179),"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",LEN(Registro!$G179))),({1,2,3,4,5,6,7,8,9,10,11,12,13,14,15,16,17,18,19,20,21,22,23,24,25,26,27,28,29,30}-1)*LEN(Registro!$G179)+1,LEN(Registro!$G179))),FIND("x",TRIM(MID(SUBSTITUTE(SUBSTITUTE(SUBSTITUTE(SUBSTITUTE(SUBSTITUTE(LOWER(Registro!$G179),"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",LEN(Registro!$G179))),({1,2,3,4,5,6,7,8,9,10,11,12,13,14,15,16,17,18,19,20,21,22,23,24,25,26,27,28,29,30}-1)*LEN(Registro!$G179)+1,LEN(Registro!$G179)))&amp;"x")-1)),--("0"&amp;MID(TRIM(MID(SUBSTITUTE(SUBSTITUTE(SUBSTITUTE(SUBSTITUTE(SUBSTITUTE(LOWER(Registro!$G179),"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",LEN(Registro!$G179))),({1,2,3,4,5,6,7,8,9,10,11,12,13,14,15,16,17,18,19,20,21,22,23,24,25,26,27,28,29,30}-1)*LEN(Registro!$G179)+1,LEN(Registro!$G179))),FIND("x",TRIM(MID(SUBSTITUTE(SUBSTITUTE(SUBSTITUTE(SUBSTITUTE(SUBSTITUTE(LOWER(Registro!$G179),"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",LEN(Registro!$G179))),({1,2,3,4,5,6,7,8,9,10,11,12,13,14,15,16,17,18,19,20,21,22,23,24,25,26,27,28,29,30}-1)*LEN(Registro!$G179)+1,LEN(Registro!$G179)))&amp;"x")+1,20))),"Revisar formato")))</f>
        <v/>
      </c>
      <c r="J179" s="9" t="str">
        <f>IF(AND(Registro!$E179="",Registro!$G179=""),"",IF(NOT(AND(ISNUMBER(I179),ISNUMBER(Registro!$H179))),"",IF(I179&lt;Registro!$H179,"FALTA BOLETOS",IF(I179=Registro!$H179,"CONFORME","DIFERENCIA"))))</f>
        <v/>
      </c>
      <c r="K179" s="11" t="str">
        <f>IF(Registro!$I179="","",IFERROR(SUMPRODUCT(--("0"&amp;TRIM(RIGHT(SUBSTITUTE(TRIM(MID(SUBSTITUTE(SUBSTITUTE(Registro!$I179,";",CHAR(10)),CHAR(10),REPT(" ",LEN(Registro!$I179))),({1,2,3,4,5,6,7,8,9,10,11,12,13,14,15,16,17,18,19,20,21,22,23,24,25,26,27,28,29,30}-1)*LEN(Registro!$I179)+1,LEN(Registro!$I179)))," ",REPT(" ",50)),50)))),"Revisar formato"))</f>
        <v/>
      </c>
      <c r="L179" s="11" t="str">
        <f>IF(Registro!$J179="","",IFERROR(SUMPRODUCT(--("0"&amp;TRIM(RIGHT(SUBSTITUTE(TRIM(MID(SUBSTITUTE(SUBSTITUTE(Registro!$J179,";",CHAR(10)),CHAR(10),REPT(" ",LEN(Registro!$J179))),({1,2,3,4,5,6,7,8,9,10,11,12,13,14,15,16,17,18,19,20,21,22,23,24,25,26,27,28,29,30}-1)*LEN(Registro!$J179)+1,LEN(Registro!$J179)))," ",REPT(" ",50)),50)))),"Revisar formato"))</f>
        <v/>
      </c>
      <c r="M179" s="11" t="str">
        <f>IF(AND(Registro!$H179="",Registro!$I179=""),"",IF(AND(ISTEXT(K179),K179&lt;&gt;""),"Revisar formato",N(Registro!$H179)-N(K179)))</f>
        <v/>
      </c>
      <c r="N179" s="11" t="str">
        <f t="shared" si="8"/>
        <v/>
      </c>
      <c r="O179" s="15" t="str">
        <f>IF(AND(A179=Consulta!$B$3,C179=Consulta!$H$3),B179*10000+ROW(),"")</f>
        <v/>
      </c>
    </row>
    <row r="180" spans="1:15" x14ac:dyDescent="0.25">
      <c r="A180" s="9" t="str">
        <f>IF(Registro!$A180="","",Registro!$A180)</f>
        <v/>
      </c>
      <c r="B180" s="8" t="str">
        <f>IF(Registro!$B180="","",Registro!$B180)</f>
        <v/>
      </c>
      <c r="C180" s="14" t="str">
        <f t="shared" si="6"/>
        <v/>
      </c>
      <c r="D180" s="10" t="str">
        <f>IF(Registro!$E180="","",IF(ISERROR(FIND("x",LOWER(Registro!$E180))),"-",IFERROR(SUMPRODUCT(--("0"&amp;LEFT(TRIM(MID(SUBSTITUTE(SUBSTITUTE(SUBSTITUTE(SUBSTITUTE(SUBSTITUTE(LOWER(Registro!$E180),"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",LEN(Registro!$E180))),({1,2,3,4,5,6,7,8,9,10,11,12,13,14,15,16,17,18,19,20,21,22,23,24,25,26,27,28,29,30}-1)*LEN(Registro!$E180)+1,LEN(Registro!$E180)))&amp;"x")-1))),"Revisar formato")))</f>
        <v/>
      </c>
      <c r="E180" s="11" t="str">
        <f>IF(Registro!$E180="","",IF(ISERROR(FIND("x",LOWER(Registro!$E180))),"-",IFERROR(SUMPRODUCT(--("0"&amp;LEFT(TRIM(MID(SUBSTITUTE(SUBSTITUTE(SUBSTITUTE(SUBSTITUTE(SUBSTITUTE(LOWER(Registro!$E180),"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",LEN(Registro!$E180))),({1,2,3,4,5,6,7,8,9,10,11,12,13,14,15,16,17,18,19,20,21,22,23,24,25,26,27,28,29,30}-1)*LEN(Registro!$E180)+1,LEN(Registro!$E180)))&amp;"x")-1)),--("0"&amp;MID(TRIM(MID(SUBSTITUTE(SUBSTITUTE(SUBSTITUTE(SUBSTITUTE(SUBSTITUTE(LOWER(Registro!$E180),"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",LEN(Registro!$E180))),({1,2,3,4,5,6,7,8,9,10,11,12,13,14,15,16,17,18,19,20,21,22,23,24,25,26,27,28,29,30}-1)*LEN(Registro!$E180)+1,LEN(Registro!$E180)))&amp;"x")+1,20))),"Revisar formato")))</f>
        <v/>
      </c>
      <c r="F180" s="11" t="str">
        <f>IF(Registro!$F180="","",N(Registro!$F180))</f>
        <v/>
      </c>
      <c r="G180" s="11" t="str">
        <f t="shared" si="7"/>
        <v/>
      </c>
      <c r="H180" s="10" t="str">
        <f>IF(Registro!$G180="","",IF(ISERROR(FIND("x",LOWER(Registro!$G180))),"-",IFERROR(SUMPRODUCT(--("0"&amp;LEFT(TRIM(MID(SUBSTITUTE(SUBSTITUTE(SUBSTITUTE(SUBSTITUTE(SUBSTITUTE(LOWER(Registro!$G180),"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",LEN(Registro!$G180))),({1,2,3,4,5,6,7,8,9,10,11,12,13,14,15,16,17,18,19,20,21,22,23,24,25,26,27,28,29,30}-1)*LEN(Registro!$G180)+1,LEN(Registro!$G180))),FIND("x",TRIM(MID(SUBSTITUTE(SUBSTITUTE(SUBSTITUTE(SUBSTITUTE(SUBSTITUTE(LOWER(Registro!$G180),"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",LEN(Registro!$G180))),({1,2,3,4,5,6,7,8,9,10,11,12,13,14,15,16,17,18,19,20,21,22,23,24,25,26,27,28,29,30}-1)*LEN(Registro!$G180)+1,LEN(Registro!$G180)))&amp;"x")-1))),"Revisar formato")))</f>
        <v/>
      </c>
      <c r="I180" s="11" t="str">
        <f>IF(Registro!$G180="","",IF(ISERROR(FIND("x",LOWER(Registro!$G180))),N(Registro!$H180),IFERROR(SUMPRODUCT(--("0"&amp;LEFT(TRIM(MID(SUBSTITUTE(SUBSTITUTE(SUBSTITUTE(SUBSTITUTE(SUBSTITUTE(LOWER(Registro!$G180),"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",LEN(Registro!$G180))),({1,2,3,4,5,6,7,8,9,10,11,12,13,14,15,16,17,18,19,20,21,22,23,24,25,26,27,28,29,30}-1)*LEN(Registro!$G180)+1,LEN(Registro!$G180))),FIND("x",TRIM(MID(SUBSTITUTE(SUBSTITUTE(SUBSTITUTE(SUBSTITUTE(SUBSTITUTE(LOWER(Registro!$G180),"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",LEN(Registro!$G180))),({1,2,3,4,5,6,7,8,9,10,11,12,13,14,15,16,17,18,19,20,21,22,23,24,25,26,27,28,29,30}-1)*LEN(Registro!$G180)+1,LEN(Registro!$G180)))&amp;"x")-1)),--("0"&amp;MID(TRIM(MID(SUBSTITUTE(SUBSTITUTE(SUBSTITUTE(SUBSTITUTE(SUBSTITUTE(LOWER(Registro!$G180),"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",LEN(Registro!$G180))),({1,2,3,4,5,6,7,8,9,10,11,12,13,14,15,16,17,18,19,20,21,22,23,24,25,26,27,28,29,30}-1)*LEN(Registro!$G180)+1,LEN(Registro!$G180))),FIND("x",TRIM(MID(SUBSTITUTE(SUBSTITUTE(SUBSTITUTE(SUBSTITUTE(SUBSTITUTE(LOWER(Registro!$G180),"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",LEN(Registro!$G180))),({1,2,3,4,5,6,7,8,9,10,11,12,13,14,15,16,17,18,19,20,21,22,23,24,25,26,27,28,29,30}-1)*LEN(Registro!$G180)+1,LEN(Registro!$G180)))&amp;"x")+1,20))),"Revisar formato")))</f>
        <v/>
      </c>
      <c r="J180" s="9" t="str">
        <f>IF(AND(Registro!$E180="",Registro!$G180=""),"",IF(NOT(AND(ISNUMBER(I180),ISNUMBER(Registro!$H180))),"",IF(I180&lt;Registro!$H180,"FALTA BOLETOS",IF(I180=Registro!$H180,"CONFORME","DIFERENCIA"))))</f>
        <v/>
      </c>
      <c r="K180" s="11" t="str">
        <f>IF(Registro!$I180="","",IFERROR(SUMPRODUCT(--("0"&amp;TRIM(RIGHT(SUBSTITUTE(TRIM(MID(SUBSTITUTE(SUBSTITUTE(Registro!$I180,";",CHAR(10)),CHAR(10),REPT(" ",LEN(Registro!$I180))),({1,2,3,4,5,6,7,8,9,10,11,12,13,14,15,16,17,18,19,20,21,22,23,24,25,26,27,28,29,30}-1)*LEN(Registro!$I180)+1,LEN(Registro!$I180)))," ",REPT(" ",50)),50)))),"Revisar formato"))</f>
        <v/>
      </c>
      <c r="L180" s="11" t="str">
        <f>IF(Registro!$J180="","",IFERROR(SUMPRODUCT(--("0"&amp;TRIM(RIGHT(SUBSTITUTE(TRIM(MID(SUBSTITUTE(SUBSTITUTE(Registro!$J180,";",CHAR(10)),CHAR(10),REPT(" ",LEN(Registro!$J180))),({1,2,3,4,5,6,7,8,9,10,11,12,13,14,15,16,17,18,19,20,21,22,23,24,25,26,27,28,29,30}-1)*LEN(Registro!$J180)+1,LEN(Registro!$J180)))," ",REPT(" ",50)),50)))),"Revisar formato"))</f>
        <v/>
      </c>
      <c r="M180" s="11" t="str">
        <f>IF(AND(Registro!$H180="",Registro!$I180=""),"",IF(AND(ISTEXT(K180),K180&lt;&gt;""),"Revisar formato",N(Registro!$H180)-N(K180)))</f>
        <v/>
      </c>
      <c r="N180" s="11" t="str">
        <f t="shared" si="8"/>
        <v/>
      </c>
      <c r="O180" s="15" t="str">
        <f>IF(AND(A180=Consulta!$B$3,C180=Consulta!$H$3),B180*10000+ROW(),"")</f>
        <v/>
      </c>
    </row>
    <row r="181" spans="1:15" x14ac:dyDescent="0.25">
      <c r="A181" s="9" t="str">
        <f>IF(Registro!$A181="","",Registro!$A181)</f>
        <v/>
      </c>
      <c r="B181" s="8" t="str">
        <f>IF(Registro!$B181="","",Registro!$B181)</f>
        <v/>
      </c>
      <c r="C181" s="14" t="str">
        <f t="shared" si="6"/>
        <v/>
      </c>
      <c r="D181" s="10" t="str">
        <f>IF(Registro!$E181="","",IF(ISERROR(FIND("x",LOWER(Registro!$E181))),"-",IFERROR(SUMPRODUCT(--("0"&amp;LEFT(TRIM(MID(SUBSTITUTE(SUBSTITUTE(SUBSTITUTE(SUBSTITUTE(SUBSTITUTE(LOWER(Registro!$E181),"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",LEN(Registro!$E181))),({1,2,3,4,5,6,7,8,9,10,11,12,13,14,15,16,17,18,19,20,21,22,23,24,25,26,27,28,29,30}-1)*LEN(Registro!$E181)+1,LEN(Registro!$E181)))&amp;"x")-1))),"Revisar formato")))</f>
        <v/>
      </c>
      <c r="E181" s="11" t="str">
        <f>IF(Registro!$E181="","",IF(ISERROR(FIND("x",LOWER(Registro!$E181))),"-",IFERROR(SUMPRODUCT(--("0"&amp;LEFT(TRIM(MID(SUBSTITUTE(SUBSTITUTE(SUBSTITUTE(SUBSTITUTE(SUBSTITUTE(LOWER(Registro!$E181),"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",LEN(Registro!$E181))),({1,2,3,4,5,6,7,8,9,10,11,12,13,14,15,16,17,18,19,20,21,22,23,24,25,26,27,28,29,30}-1)*LEN(Registro!$E181)+1,LEN(Registro!$E181)))&amp;"x")-1)),--("0"&amp;MID(TRIM(MID(SUBSTITUTE(SUBSTITUTE(SUBSTITUTE(SUBSTITUTE(SUBSTITUTE(LOWER(Registro!$E181),"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",LEN(Registro!$E181))),({1,2,3,4,5,6,7,8,9,10,11,12,13,14,15,16,17,18,19,20,21,22,23,24,25,26,27,28,29,30}-1)*LEN(Registro!$E181)+1,LEN(Registro!$E181)))&amp;"x")+1,20))),"Revisar formato")))</f>
        <v/>
      </c>
      <c r="F181" s="11" t="str">
        <f>IF(Registro!$F181="","",N(Registro!$F181))</f>
        <v/>
      </c>
      <c r="G181" s="11" t="str">
        <f t="shared" si="7"/>
        <v/>
      </c>
      <c r="H181" s="10" t="str">
        <f>IF(Registro!$G181="","",IF(ISERROR(FIND("x",LOWER(Registro!$G181))),"-",IFERROR(SUMPRODUCT(--("0"&amp;LEFT(TRIM(MID(SUBSTITUTE(SUBSTITUTE(SUBSTITUTE(SUBSTITUTE(SUBSTITUTE(LOWER(Registro!$G181),"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",LEN(Registro!$G181))),({1,2,3,4,5,6,7,8,9,10,11,12,13,14,15,16,17,18,19,20,21,22,23,24,25,26,27,28,29,30}-1)*LEN(Registro!$G181)+1,LEN(Registro!$G181))),FIND("x",TRIM(MID(SUBSTITUTE(SUBSTITUTE(SUBSTITUTE(SUBSTITUTE(SUBSTITUTE(LOWER(Registro!$G181),"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",LEN(Registro!$G181))),({1,2,3,4,5,6,7,8,9,10,11,12,13,14,15,16,17,18,19,20,21,22,23,24,25,26,27,28,29,30}-1)*LEN(Registro!$G181)+1,LEN(Registro!$G181)))&amp;"x")-1))),"Revisar formato")))</f>
        <v/>
      </c>
      <c r="I181" s="11" t="str">
        <f>IF(Registro!$G181="","",IF(ISERROR(FIND("x",LOWER(Registro!$G181))),N(Registro!$H181),IFERROR(SUMPRODUCT(--("0"&amp;LEFT(TRIM(MID(SUBSTITUTE(SUBSTITUTE(SUBSTITUTE(SUBSTITUTE(SUBSTITUTE(LOWER(Registro!$G181),"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",LEN(Registro!$G181))),({1,2,3,4,5,6,7,8,9,10,11,12,13,14,15,16,17,18,19,20,21,22,23,24,25,26,27,28,29,30}-1)*LEN(Registro!$G181)+1,LEN(Registro!$G181))),FIND("x",TRIM(MID(SUBSTITUTE(SUBSTITUTE(SUBSTITUTE(SUBSTITUTE(SUBSTITUTE(LOWER(Registro!$G181),"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",LEN(Registro!$G181))),({1,2,3,4,5,6,7,8,9,10,11,12,13,14,15,16,17,18,19,20,21,22,23,24,25,26,27,28,29,30}-1)*LEN(Registro!$G181)+1,LEN(Registro!$G181)))&amp;"x")-1)),--("0"&amp;MID(TRIM(MID(SUBSTITUTE(SUBSTITUTE(SUBSTITUTE(SUBSTITUTE(SUBSTITUTE(LOWER(Registro!$G181),"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",LEN(Registro!$G181))),({1,2,3,4,5,6,7,8,9,10,11,12,13,14,15,16,17,18,19,20,21,22,23,24,25,26,27,28,29,30}-1)*LEN(Registro!$G181)+1,LEN(Registro!$G181))),FIND("x",TRIM(MID(SUBSTITUTE(SUBSTITUTE(SUBSTITUTE(SUBSTITUTE(SUBSTITUTE(LOWER(Registro!$G181),"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",LEN(Registro!$G181))),({1,2,3,4,5,6,7,8,9,10,11,12,13,14,15,16,17,18,19,20,21,22,23,24,25,26,27,28,29,30}-1)*LEN(Registro!$G181)+1,LEN(Registro!$G181)))&amp;"x")+1,20))),"Revisar formato")))</f>
        <v/>
      </c>
      <c r="J181" s="9" t="str">
        <f>IF(AND(Registro!$E181="",Registro!$G181=""),"",IF(NOT(AND(ISNUMBER(I181),ISNUMBER(Registro!$H181))),"",IF(I181&lt;Registro!$H181,"FALTA BOLETOS",IF(I181=Registro!$H181,"CONFORME","DIFERENCIA"))))</f>
        <v/>
      </c>
      <c r="K181" s="11" t="str">
        <f>IF(Registro!$I181="","",IFERROR(SUMPRODUCT(--("0"&amp;TRIM(RIGHT(SUBSTITUTE(TRIM(MID(SUBSTITUTE(SUBSTITUTE(Registro!$I181,";",CHAR(10)),CHAR(10),REPT(" ",LEN(Registro!$I181))),({1,2,3,4,5,6,7,8,9,10,11,12,13,14,15,16,17,18,19,20,21,22,23,24,25,26,27,28,29,30}-1)*LEN(Registro!$I181)+1,LEN(Registro!$I181)))," ",REPT(" ",50)),50)))),"Revisar formato"))</f>
        <v/>
      </c>
      <c r="L181" s="11" t="str">
        <f>IF(Registro!$J181="","",IFERROR(SUMPRODUCT(--("0"&amp;TRIM(RIGHT(SUBSTITUTE(TRIM(MID(SUBSTITUTE(SUBSTITUTE(Registro!$J181,";",CHAR(10)),CHAR(10),REPT(" ",LEN(Registro!$J181))),({1,2,3,4,5,6,7,8,9,10,11,12,13,14,15,16,17,18,19,20,21,22,23,24,25,26,27,28,29,30}-1)*LEN(Registro!$J181)+1,LEN(Registro!$J181)))," ",REPT(" ",50)),50)))),"Revisar formato"))</f>
        <v/>
      </c>
      <c r="M181" s="11" t="str">
        <f>IF(AND(Registro!$H181="",Registro!$I181=""),"",IF(AND(ISTEXT(K181),K181&lt;&gt;""),"Revisar formato",N(Registro!$H181)-N(K181)))</f>
        <v/>
      </c>
      <c r="N181" s="11" t="str">
        <f t="shared" si="8"/>
        <v/>
      </c>
      <c r="O181" s="15" t="str">
        <f>IF(AND(A181=Consulta!$B$3,C181=Consulta!$H$3),B181*10000+ROW(),"")</f>
        <v/>
      </c>
    </row>
    <row r="182" spans="1:15" x14ac:dyDescent="0.25">
      <c r="A182" s="9" t="str">
        <f>IF(Registro!$A182="","",Registro!$A182)</f>
        <v/>
      </c>
      <c r="B182" s="8" t="str">
        <f>IF(Registro!$B182="","",Registro!$B182)</f>
        <v/>
      </c>
      <c r="C182" s="14" t="str">
        <f t="shared" si="6"/>
        <v/>
      </c>
      <c r="D182" s="10" t="str">
        <f>IF(Registro!$E182="","",IF(ISERROR(FIND("x",LOWER(Registro!$E182))),"-",IFERROR(SUMPRODUCT(--("0"&amp;LEFT(TRIM(MID(SUBSTITUTE(SUBSTITUTE(SUBSTITUTE(SUBSTITUTE(SUBSTITUTE(LOWER(Registro!$E182),"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",LEN(Registro!$E182))),({1,2,3,4,5,6,7,8,9,10,11,12,13,14,15,16,17,18,19,20,21,22,23,24,25,26,27,28,29,30}-1)*LEN(Registro!$E182)+1,LEN(Registro!$E182)))&amp;"x")-1))),"Revisar formato")))</f>
        <v/>
      </c>
      <c r="E182" s="11" t="str">
        <f>IF(Registro!$E182="","",IF(ISERROR(FIND("x",LOWER(Registro!$E182))),"-",IFERROR(SUMPRODUCT(--("0"&amp;LEFT(TRIM(MID(SUBSTITUTE(SUBSTITUTE(SUBSTITUTE(SUBSTITUTE(SUBSTITUTE(LOWER(Registro!$E182),"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",LEN(Registro!$E182))),({1,2,3,4,5,6,7,8,9,10,11,12,13,14,15,16,17,18,19,20,21,22,23,24,25,26,27,28,29,30}-1)*LEN(Registro!$E182)+1,LEN(Registro!$E182)))&amp;"x")-1)),--("0"&amp;MID(TRIM(MID(SUBSTITUTE(SUBSTITUTE(SUBSTITUTE(SUBSTITUTE(SUBSTITUTE(LOWER(Registro!$E182),"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",LEN(Registro!$E182))),({1,2,3,4,5,6,7,8,9,10,11,12,13,14,15,16,17,18,19,20,21,22,23,24,25,26,27,28,29,30}-1)*LEN(Registro!$E182)+1,LEN(Registro!$E182)))&amp;"x")+1,20))),"Revisar formato")))</f>
        <v/>
      </c>
      <c r="F182" s="11" t="str">
        <f>IF(Registro!$F182="","",N(Registro!$F182))</f>
        <v/>
      </c>
      <c r="G182" s="11" t="str">
        <f t="shared" si="7"/>
        <v/>
      </c>
      <c r="H182" s="10" t="str">
        <f>IF(Registro!$G182="","",IF(ISERROR(FIND("x",LOWER(Registro!$G182))),"-",IFERROR(SUMPRODUCT(--("0"&amp;LEFT(TRIM(MID(SUBSTITUTE(SUBSTITUTE(SUBSTITUTE(SUBSTITUTE(SUBSTITUTE(LOWER(Registro!$G182),"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",LEN(Registro!$G182))),({1,2,3,4,5,6,7,8,9,10,11,12,13,14,15,16,17,18,19,20,21,22,23,24,25,26,27,28,29,30}-1)*LEN(Registro!$G182)+1,LEN(Registro!$G182))),FIND("x",TRIM(MID(SUBSTITUTE(SUBSTITUTE(SUBSTITUTE(SUBSTITUTE(SUBSTITUTE(LOWER(Registro!$G182),"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",LEN(Registro!$G182))),({1,2,3,4,5,6,7,8,9,10,11,12,13,14,15,16,17,18,19,20,21,22,23,24,25,26,27,28,29,30}-1)*LEN(Registro!$G182)+1,LEN(Registro!$G182)))&amp;"x")-1))),"Revisar formato")))</f>
        <v/>
      </c>
      <c r="I182" s="11" t="str">
        <f>IF(Registro!$G182="","",IF(ISERROR(FIND("x",LOWER(Registro!$G182))),N(Registro!$H182),IFERROR(SUMPRODUCT(--("0"&amp;LEFT(TRIM(MID(SUBSTITUTE(SUBSTITUTE(SUBSTITUTE(SUBSTITUTE(SUBSTITUTE(LOWER(Registro!$G182),"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",LEN(Registro!$G182))),({1,2,3,4,5,6,7,8,9,10,11,12,13,14,15,16,17,18,19,20,21,22,23,24,25,26,27,28,29,30}-1)*LEN(Registro!$G182)+1,LEN(Registro!$G182))),FIND("x",TRIM(MID(SUBSTITUTE(SUBSTITUTE(SUBSTITUTE(SUBSTITUTE(SUBSTITUTE(LOWER(Registro!$G182),"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",LEN(Registro!$G182))),({1,2,3,4,5,6,7,8,9,10,11,12,13,14,15,16,17,18,19,20,21,22,23,24,25,26,27,28,29,30}-1)*LEN(Registro!$G182)+1,LEN(Registro!$G182)))&amp;"x")-1)),--("0"&amp;MID(TRIM(MID(SUBSTITUTE(SUBSTITUTE(SUBSTITUTE(SUBSTITUTE(SUBSTITUTE(LOWER(Registro!$G182),"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",LEN(Registro!$G182))),({1,2,3,4,5,6,7,8,9,10,11,12,13,14,15,16,17,18,19,20,21,22,23,24,25,26,27,28,29,30}-1)*LEN(Registro!$G182)+1,LEN(Registro!$G182))),FIND("x",TRIM(MID(SUBSTITUTE(SUBSTITUTE(SUBSTITUTE(SUBSTITUTE(SUBSTITUTE(LOWER(Registro!$G182),"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",LEN(Registro!$G182))),({1,2,3,4,5,6,7,8,9,10,11,12,13,14,15,16,17,18,19,20,21,22,23,24,25,26,27,28,29,30}-1)*LEN(Registro!$G182)+1,LEN(Registro!$G182)))&amp;"x")+1,20))),"Revisar formato")))</f>
        <v/>
      </c>
      <c r="J182" s="9" t="str">
        <f>IF(AND(Registro!$E182="",Registro!$G182=""),"",IF(NOT(AND(ISNUMBER(I182),ISNUMBER(Registro!$H182))),"",IF(I182&lt;Registro!$H182,"FALTA BOLETOS",IF(I182=Registro!$H182,"CONFORME","DIFERENCIA"))))</f>
        <v/>
      </c>
      <c r="K182" s="11" t="str">
        <f>IF(Registro!$I182="","",IFERROR(SUMPRODUCT(--("0"&amp;TRIM(RIGHT(SUBSTITUTE(TRIM(MID(SUBSTITUTE(SUBSTITUTE(Registro!$I182,";",CHAR(10)),CHAR(10),REPT(" ",LEN(Registro!$I182))),({1,2,3,4,5,6,7,8,9,10,11,12,13,14,15,16,17,18,19,20,21,22,23,24,25,26,27,28,29,30}-1)*LEN(Registro!$I182)+1,LEN(Registro!$I182)))," ",REPT(" ",50)),50)))),"Revisar formato"))</f>
        <v/>
      </c>
      <c r="L182" s="11" t="str">
        <f>IF(Registro!$J182="","",IFERROR(SUMPRODUCT(--("0"&amp;TRIM(RIGHT(SUBSTITUTE(TRIM(MID(SUBSTITUTE(SUBSTITUTE(Registro!$J182,";",CHAR(10)),CHAR(10),REPT(" ",LEN(Registro!$J182))),({1,2,3,4,5,6,7,8,9,10,11,12,13,14,15,16,17,18,19,20,21,22,23,24,25,26,27,28,29,30}-1)*LEN(Registro!$J182)+1,LEN(Registro!$J182)))," ",REPT(" ",50)),50)))),"Revisar formato"))</f>
        <v/>
      </c>
      <c r="M182" s="11" t="str">
        <f>IF(AND(Registro!$H182="",Registro!$I182=""),"",IF(AND(ISTEXT(K182),K182&lt;&gt;""),"Revisar formato",N(Registro!$H182)-N(K182)))</f>
        <v/>
      </c>
      <c r="N182" s="11" t="str">
        <f t="shared" si="8"/>
        <v/>
      </c>
      <c r="O182" s="15" t="str">
        <f>IF(AND(A182=Consulta!$B$3,C182=Consulta!$H$3),B182*10000+ROW(),"")</f>
        <v/>
      </c>
    </row>
    <row r="183" spans="1:15" x14ac:dyDescent="0.25">
      <c r="A183" s="9" t="str">
        <f>IF(Registro!$A183="","",Registro!$A183)</f>
        <v/>
      </c>
      <c r="B183" s="8" t="str">
        <f>IF(Registro!$B183="","",Registro!$B183)</f>
        <v/>
      </c>
      <c r="C183" s="14" t="str">
        <f t="shared" si="6"/>
        <v/>
      </c>
      <c r="D183" s="10" t="str">
        <f>IF(Registro!$E183="","",IF(ISERROR(FIND("x",LOWER(Registro!$E183))),"-",IFERROR(SUMPRODUCT(--("0"&amp;LEFT(TRIM(MID(SUBSTITUTE(SUBSTITUTE(SUBSTITUTE(SUBSTITUTE(SUBSTITUTE(LOWER(Registro!$E183),"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",LEN(Registro!$E183))),({1,2,3,4,5,6,7,8,9,10,11,12,13,14,15,16,17,18,19,20,21,22,23,24,25,26,27,28,29,30}-1)*LEN(Registro!$E183)+1,LEN(Registro!$E183)))&amp;"x")-1))),"Revisar formato")))</f>
        <v/>
      </c>
      <c r="E183" s="11" t="str">
        <f>IF(Registro!$E183="","",IF(ISERROR(FIND("x",LOWER(Registro!$E183))),"-",IFERROR(SUMPRODUCT(--("0"&amp;LEFT(TRIM(MID(SUBSTITUTE(SUBSTITUTE(SUBSTITUTE(SUBSTITUTE(SUBSTITUTE(LOWER(Registro!$E183),"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",LEN(Registro!$E183))),({1,2,3,4,5,6,7,8,9,10,11,12,13,14,15,16,17,18,19,20,21,22,23,24,25,26,27,28,29,30}-1)*LEN(Registro!$E183)+1,LEN(Registro!$E183)))&amp;"x")-1)),--("0"&amp;MID(TRIM(MID(SUBSTITUTE(SUBSTITUTE(SUBSTITUTE(SUBSTITUTE(SUBSTITUTE(LOWER(Registro!$E183),"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",LEN(Registro!$E183))),({1,2,3,4,5,6,7,8,9,10,11,12,13,14,15,16,17,18,19,20,21,22,23,24,25,26,27,28,29,30}-1)*LEN(Registro!$E183)+1,LEN(Registro!$E183)))&amp;"x")+1,20))),"Revisar formato")))</f>
        <v/>
      </c>
      <c r="F183" s="11" t="str">
        <f>IF(Registro!$F183="","",N(Registro!$F183))</f>
        <v/>
      </c>
      <c r="G183" s="11" t="str">
        <f t="shared" si="7"/>
        <v/>
      </c>
      <c r="H183" s="10" t="str">
        <f>IF(Registro!$G183="","",IF(ISERROR(FIND("x",LOWER(Registro!$G183))),"-",IFERROR(SUMPRODUCT(--("0"&amp;LEFT(TRIM(MID(SUBSTITUTE(SUBSTITUTE(SUBSTITUTE(SUBSTITUTE(SUBSTITUTE(LOWER(Registro!$G183),"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",LEN(Registro!$G183))),({1,2,3,4,5,6,7,8,9,10,11,12,13,14,15,16,17,18,19,20,21,22,23,24,25,26,27,28,29,30}-1)*LEN(Registro!$G183)+1,LEN(Registro!$G183))),FIND("x",TRIM(MID(SUBSTITUTE(SUBSTITUTE(SUBSTITUTE(SUBSTITUTE(SUBSTITUTE(LOWER(Registro!$G183),"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",LEN(Registro!$G183))),({1,2,3,4,5,6,7,8,9,10,11,12,13,14,15,16,17,18,19,20,21,22,23,24,25,26,27,28,29,30}-1)*LEN(Registro!$G183)+1,LEN(Registro!$G183)))&amp;"x")-1))),"Revisar formato")))</f>
        <v/>
      </c>
      <c r="I183" s="11" t="str">
        <f>IF(Registro!$G183="","",IF(ISERROR(FIND("x",LOWER(Registro!$G183))),N(Registro!$H183),IFERROR(SUMPRODUCT(--("0"&amp;LEFT(TRIM(MID(SUBSTITUTE(SUBSTITUTE(SUBSTITUTE(SUBSTITUTE(SUBSTITUTE(LOWER(Registro!$G183),"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",LEN(Registro!$G183))),({1,2,3,4,5,6,7,8,9,10,11,12,13,14,15,16,17,18,19,20,21,22,23,24,25,26,27,28,29,30}-1)*LEN(Registro!$G183)+1,LEN(Registro!$G183))),FIND("x",TRIM(MID(SUBSTITUTE(SUBSTITUTE(SUBSTITUTE(SUBSTITUTE(SUBSTITUTE(LOWER(Registro!$G183),"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",LEN(Registro!$G183))),({1,2,3,4,5,6,7,8,9,10,11,12,13,14,15,16,17,18,19,20,21,22,23,24,25,26,27,28,29,30}-1)*LEN(Registro!$G183)+1,LEN(Registro!$G183)))&amp;"x")-1)),--("0"&amp;MID(TRIM(MID(SUBSTITUTE(SUBSTITUTE(SUBSTITUTE(SUBSTITUTE(SUBSTITUTE(LOWER(Registro!$G183),"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",LEN(Registro!$G183))),({1,2,3,4,5,6,7,8,9,10,11,12,13,14,15,16,17,18,19,20,21,22,23,24,25,26,27,28,29,30}-1)*LEN(Registro!$G183)+1,LEN(Registro!$G183))),FIND("x",TRIM(MID(SUBSTITUTE(SUBSTITUTE(SUBSTITUTE(SUBSTITUTE(SUBSTITUTE(LOWER(Registro!$G183),"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",LEN(Registro!$G183))),({1,2,3,4,5,6,7,8,9,10,11,12,13,14,15,16,17,18,19,20,21,22,23,24,25,26,27,28,29,30}-1)*LEN(Registro!$G183)+1,LEN(Registro!$G183)))&amp;"x")+1,20))),"Revisar formato")))</f>
        <v/>
      </c>
      <c r="J183" s="9" t="str">
        <f>IF(AND(Registro!$E183="",Registro!$G183=""),"",IF(NOT(AND(ISNUMBER(I183),ISNUMBER(Registro!$H183))),"",IF(I183&lt;Registro!$H183,"FALTA BOLETOS",IF(I183=Registro!$H183,"CONFORME","DIFERENCIA"))))</f>
        <v/>
      </c>
      <c r="K183" s="11" t="str">
        <f>IF(Registro!$I183="","",IFERROR(SUMPRODUCT(--("0"&amp;TRIM(RIGHT(SUBSTITUTE(TRIM(MID(SUBSTITUTE(SUBSTITUTE(Registro!$I183,";",CHAR(10)),CHAR(10),REPT(" ",LEN(Registro!$I183))),({1,2,3,4,5,6,7,8,9,10,11,12,13,14,15,16,17,18,19,20,21,22,23,24,25,26,27,28,29,30}-1)*LEN(Registro!$I183)+1,LEN(Registro!$I183)))," ",REPT(" ",50)),50)))),"Revisar formato"))</f>
        <v/>
      </c>
      <c r="L183" s="11" t="str">
        <f>IF(Registro!$J183="","",IFERROR(SUMPRODUCT(--("0"&amp;TRIM(RIGHT(SUBSTITUTE(TRIM(MID(SUBSTITUTE(SUBSTITUTE(Registro!$J183,";",CHAR(10)),CHAR(10),REPT(" ",LEN(Registro!$J183))),({1,2,3,4,5,6,7,8,9,10,11,12,13,14,15,16,17,18,19,20,21,22,23,24,25,26,27,28,29,30}-1)*LEN(Registro!$J183)+1,LEN(Registro!$J183)))," ",REPT(" ",50)),50)))),"Revisar formato"))</f>
        <v/>
      </c>
      <c r="M183" s="11" t="str">
        <f>IF(AND(Registro!$H183="",Registro!$I183=""),"",IF(AND(ISTEXT(K183),K183&lt;&gt;""),"Revisar formato",N(Registro!$H183)-N(K183)))</f>
        <v/>
      </c>
      <c r="N183" s="11" t="str">
        <f t="shared" si="8"/>
        <v/>
      </c>
      <c r="O183" s="15" t="str">
        <f>IF(AND(A183=Consulta!$B$3,C183=Consulta!$H$3),B183*10000+ROW(),"")</f>
        <v/>
      </c>
    </row>
    <row r="184" spans="1:15" x14ac:dyDescent="0.25">
      <c r="A184" s="9" t="str">
        <f>IF(Registro!$A184="","",Registro!$A184)</f>
        <v/>
      </c>
      <c r="B184" s="8" t="str">
        <f>IF(Registro!$B184="","",Registro!$B184)</f>
        <v/>
      </c>
      <c r="C184" s="14" t="str">
        <f t="shared" si="6"/>
        <v/>
      </c>
      <c r="D184" s="10" t="str">
        <f>IF(Registro!$E184="","",IF(ISERROR(FIND("x",LOWER(Registro!$E184))),"-",IFERROR(SUMPRODUCT(--("0"&amp;LEFT(TRIM(MID(SUBSTITUTE(SUBSTITUTE(SUBSTITUTE(SUBSTITUTE(SUBSTITUTE(LOWER(Registro!$E184),"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",LEN(Registro!$E184))),({1,2,3,4,5,6,7,8,9,10,11,12,13,14,15,16,17,18,19,20,21,22,23,24,25,26,27,28,29,30}-1)*LEN(Registro!$E184)+1,LEN(Registro!$E184)))&amp;"x")-1))),"Revisar formato")))</f>
        <v/>
      </c>
      <c r="E184" s="11" t="str">
        <f>IF(Registro!$E184="","",IF(ISERROR(FIND("x",LOWER(Registro!$E184))),"-",IFERROR(SUMPRODUCT(--("0"&amp;LEFT(TRIM(MID(SUBSTITUTE(SUBSTITUTE(SUBSTITUTE(SUBSTITUTE(SUBSTITUTE(LOWER(Registro!$E184),"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",LEN(Registro!$E184))),({1,2,3,4,5,6,7,8,9,10,11,12,13,14,15,16,17,18,19,20,21,22,23,24,25,26,27,28,29,30}-1)*LEN(Registro!$E184)+1,LEN(Registro!$E184)))&amp;"x")-1)),--("0"&amp;MID(TRIM(MID(SUBSTITUTE(SUBSTITUTE(SUBSTITUTE(SUBSTITUTE(SUBSTITUTE(LOWER(Registro!$E184),"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",LEN(Registro!$E184))),({1,2,3,4,5,6,7,8,9,10,11,12,13,14,15,16,17,18,19,20,21,22,23,24,25,26,27,28,29,30}-1)*LEN(Registro!$E184)+1,LEN(Registro!$E184)))&amp;"x")+1,20))),"Revisar formato")))</f>
        <v/>
      </c>
      <c r="F184" s="11" t="str">
        <f>IF(Registro!$F184="","",N(Registro!$F184))</f>
        <v/>
      </c>
      <c r="G184" s="11" t="str">
        <f t="shared" si="7"/>
        <v/>
      </c>
      <c r="H184" s="10" t="str">
        <f>IF(Registro!$G184="","",IF(ISERROR(FIND("x",LOWER(Registro!$G184))),"-",IFERROR(SUMPRODUCT(--("0"&amp;LEFT(TRIM(MID(SUBSTITUTE(SUBSTITUTE(SUBSTITUTE(SUBSTITUTE(SUBSTITUTE(LOWER(Registro!$G184),"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",LEN(Registro!$G184))),({1,2,3,4,5,6,7,8,9,10,11,12,13,14,15,16,17,18,19,20,21,22,23,24,25,26,27,28,29,30}-1)*LEN(Registro!$G184)+1,LEN(Registro!$G184))),FIND("x",TRIM(MID(SUBSTITUTE(SUBSTITUTE(SUBSTITUTE(SUBSTITUTE(SUBSTITUTE(LOWER(Registro!$G184),"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",LEN(Registro!$G184))),({1,2,3,4,5,6,7,8,9,10,11,12,13,14,15,16,17,18,19,20,21,22,23,24,25,26,27,28,29,30}-1)*LEN(Registro!$G184)+1,LEN(Registro!$G184)))&amp;"x")-1))),"Revisar formato")))</f>
        <v/>
      </c>
      <c r="I184" s="11" t="str">
        <f>IF(Registro!$G184="","",IF(ISERROR(FIND("x",LOWER(Registro!$G184))),N(Registro!$H184),IFERROR(SUMPRODUCT(--("0"&amp;LEFT(TRIM(MID(SUBSTITUTE(SUBSTITUTE(SUBSTITUTE(SUBSTITUTE(SUBSTITUTE(LOWER(Registro!$G184),"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",LEN(Registro!$G184))),({1,2,3,4,5,6,7,8,9,10,11,12,13,14,15,16,17,18,19,20,21,22,23,24,25,26,27,28,29,30}-1)*LEN(Registro!$G184)+1,LEN(Registro!$G184))),FIND("x",TRIM(MID(SUBSTITUTE(SUBSTITUTE(SUBSTITUTE(SUBSTITUTE(SUBSTITUTE(LOWER(Registro!$G184),"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",LEN(Registro!$G184))),({1,2,3,4,5,6,7,8,9,10,11,12,13,14,15,16,17,18,19,20,21,22,23,24,25,26,27,28,29,30}-1)*LEN(Registro!$G184)+1,LEN(Registro!$G184)))&amp;"x")-1)),--("0"&amp;MID(TRIM(MID(SUBSTITUTE(SUBSTITUTE(SUBSTITUTE(SUBSTITUTE(SUBSTITUTE(LOWER(Registro!$G184),"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",LEN(Registro!$G184))),({1,2,3,4,5,6,7,8,9,10,11,12,13,14,15,16,17,18,19,20,21,22,23,24,25,26,27,28,29,30}-1)*LEN(Registro!$G184)+1,LEN(Registro!$G184))),FIND("x",TRIM(MID(SUBSTITUTE(SUBSTITUTE(SUBSTITUTE(SUBSTITUTE(SUBSTITUTE(LOWER(Registro!$G184),"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",LEN(Registro!$G184))),({1,2,3,4,5,6,7,8,9,10,11,12,13,14,15,16,17,18,19,20,21,22,23,24,25,26,27,28,29,30}-1)*LEN(Registro!$G184)+1,LEN(Registro!$G184)))&amp;"x")+1,20))),"Revisar formato")))</f>
        <v/>
      </c>
      <c r="J184" s="9" t="str">
        <f>IF(AND(Registro!$E184="",Registro!$G184=""),"",IF(NOT(AND(ISNUMBER(I184),ISNUMBER(Registro!$H184))),"",IF(I184&lt;Registro!$H184,"FALTA BOLETOS",IF(I184=Registro!$H184,"CONFORME","DIFERENCIA"))))</f>
        <v/>
      </c>
      <c r="K184" s="11" t="str">
        <f>IF(Registro!$I184="","",IFERROR(SUMPRODUCT(--("0"&amp;TRIM(RIGHT(SUBSTITUTE(TRIM(MID(SUBSTITUTE(SUBSTITUTE(Registro!$I184,";",CHAR(10)),CHAR(10),REPT(" ",LEN(Registro!$I184))),({1,2,3,4,5,6,7,8,9,10,11,12,13,14,15,16,17,18,19,20,21,22,23,24,25,26,27,28,29,30}-1)*LEN(Registro!$I184)+1,LEN(Registro!$I184)))," ",REPT(" ",50)),50)))),"Revisar formato"))</f>
        <v/>
      </c>
      <c r="L184" s="11" t="str">
        <f>IF(Registro!$J184="","",IFERROR(SUMPRODUCT(--("0"&amp;TRIM(RIGHT(SUBSTITUTE(TRIM(MID(SUBSTITUTE(SUBSTITUTE(Registro!$J184,";",CHAR(10)),CHAR(10),REPT(" ",LEN(Registro!$J184))),({1,2,3,4,5,6,7,8,9,10,11,12,13,14,15,16,17,18,19,20,21,22,23,24,25,26,27,28,29,30}-1)*LEN(Registro!$J184)+1,LEN(Registro!$J184)))," ",REPT(" ",50)),50)))),"Revisar formato"))</f>
        <v/>
      </c>
      <c r="M184" s="11" t="str">
        <f>IF(AND(Registro!$H184="",Registro!$I184=""),"",IF(AND(ISTEXT(K184),K184&lt;&gt;""),"Revisar formato",N(Registro!$H184)-N(K184)))</f>
        <v/>
      </c>
      <c r="N184" s="11" t="str">
        <f t="shared" si="8"/>
        <v/>
      </c>
      <c r="O184" s="15" t="str">
        <f>IF(AND(A184=Consulta!$B$3,C184=Consulta!$H$3),B184*10000+ROW(),"")</f>
        <v/>
      </c>
    </row>
    <row r="185" spans="1:15" x14ac:dyDescent="0.25">
      <c r="A185" s="9" t="str">
        <f>IF(Registro!$A185="","",Registro!$A185)</f>
        <v/>
      </c>
      <c r="B185" s="8" t="str">
        <f>IF(Registro!$B185="","",Registro!$B185)</f>
        <v/>
      </c>
      <c r="C185" s="14" t="str">
        <f t="shared" si="6"/>
        <v/>
      </c>
      <c r="D185" s="10" t="str">
        <f>IF(Registro!$E185="","",IF(ISERROR(FIND("x",LOWER(Registro!$E185))),"-",IFERROR(SUMPRODUCT(--("0"&amp;LEFT(TRIM(MID(SUBSTITUTE(SUBSTITUTE(SUBSTITUTE(SUBSTITUTE(SUBSTITUTE(LOWER(Registro!$E185),"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",LEN(Registro!$E185))),({1,2,3,4,5,6,7,8,9,10,11,12,13,14,15,16,17,18,19,20,21,22,23,24,25,26,27,28,29,30}-1)*LEN(Registro!$E185)+1,LEN(Registro!$E185)))&amp;"x")-1))),"Revisar formato")))</f>
        <v/>
      </c>
      <c r="E185" s="11" t="str">
        <f>IF(Registro!$E185="","",IF(ISERROR(FIND("x",LOWER(Registro!$E185))),"-",IFERROR(SUMPRODUCT(--("0"&amp;LEFT(TRIM(MID(SUBSTITUTE(SUBSTITUTE(SUBSTITUTE(SUBSTITUTE(SUBSTITUTE(LOWER(Registro!$E185),"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",LEN(Registro!$E185))),({1,2,3,4,5,6,7,8,9,10,11,12,13,14,15,16,17,18,19,20,21,22,23,24,25,26,27,28,29,30}-1)*LEN(Registro!$E185)+1,LEN(Registro!$E185)))&amp;"x")-1)),--("0"&amp;MID(TRIM(MID(SUBSTITUTE(SUBSTITUTE(SUBSTITUTE(SUBSTITUTE(SUBSTITUTE(LOWER(Registro!$E185),"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",LEN(Registro!$E185))),({1,2,3,4,5,6,7,8,9,10,11,12,13,14,15,16,17,18,19,20,21,22,23,24,25,26,27,28,29,30}-1)*LEN(Registro!$E185)+1,LEN(Registro!$E185)))&amp;"x")+1,20))),"Revisar formato")))</f>
        <v/>
      </c>
      <c r="F185" s="11" t="str">
        <f>IF(Registro!$F185="","",N(Registro!$F185))</f>
        <v/>
      </c>
      <c r="G185" s="11" t="str">
        <f t="shared" si="7"/>
        <v/>
      </c>
      <c r="H185" s="10" t="str">
        <f>IF(Registro!$G185="","",IF(ISERROR(FIND("x",LOWER(Registro!$G185))),"-",IFERROR(SUMPRODUCT(--("0"&amp;LEFT(TRIM(MID(SUBSTITUTE(SUBSTITUTE(SUBSTITUTE(SUBSTITUTE(SUBSTITUTE(LOWER(Registro!$G185),"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",LEN(Registro!$G185))),({1,2,3,4,5,6,7,8,9,10,11,12,13,14,15,16,17,18,19,20,21,22,23,24,25,26,27,28,29,30}-1)*LEN(Registro!$G185)+1,LEN(Registro!$G185))),FIND("x",TRIM(MID(SUBSTITUTE(SUBSTITUTE(SUBSTITUTE(SUBSTITUTE(SUBSTITUTE(LOWER(Registro!$G185),"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",LEN(Registro!$G185))),({1,2,3,4,5,6,7,8,9,10,11,12,13,14,15,16,17,18,19,20,21,22,23,24,25,26,27,28,29,30}-1)*LEN(Registro!$G185)+1,LEN(Registro!$G185)))&amp;"x")-1))),"Revisar formato")))</f>
        <v/>
      </c>
      <c r="I185" s="11" t="str">
        <f>IF(Registro!$G185="","",IF(ISERROR(FIND("x",LOWER(Registro!$G185))),N(Registro!$H185),IFERROR(SUMPRODUCT(--("0"&amp;LEFT(TRIM(MID(SUBSTITUTE(SUBSTITUTE(SUBSTITUTE(SUBSTITUTE(SUBSTITUTE(LOWER(Registro!$G185),"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",LEN(Registro!$G185))),({1,2,3,4,5,6,7,8,9,10,11,12,13,14,15,16,17,18,19,20,21,22,23,24,25,26,27,28,29,30}-1)*LEN(Registro!$G185)+1,LEN(Registro!$G185))),FIND("x",TRIM(MID(SUBSTITUTE(SUBSTITUTE(SUBSTITUTE(SUBSTITUTE(SUBSTITUTE(LOWER(Registro!$G185),"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",LEN(Registro!$G185))),({1,2,3,4,5,6,7,8,9,10,11,12,13,14,15,16,17,18,19,20,21,22,23,24,25,26,27,28,29,30}-1)*LEN(Registro!$G185)+1,LEN(Registro!$G185)))&amp;"x")-1)),--("0"&amp;MID(TRIM(MID(SUBSTITUTE(SUBSTITUTE(SUBSTITUTE(SUBSTITUTE(SUBSTITUTE(LOWER(Registro!$G185),"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",LEN(Registro!$G185))),({1,2,3,4,5,6,7,8,9,10,11,12,13,14,15,16,17,18,19,20,21,22,23,24,25,26,27,28,29,30}-1)*LEN(Registro!$G185)+1,LEN(Registro!$G185))),FIND("x",TRIM(MID(SUBSTITUTE(SUBSTITUTE(SUBSTITUTE(SUBSTITUTE(SUBSTITUTE(LOWER(Registro!$G185),"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",LEN(Registro!$G185))),({1,2,3,4,5,6,7,8,9,10,11,12,13,14,15,16,17,18,19,20,21,22,23,24,25,26,27,28,29,30}-1)*LEN(Registro!$G185)+1,LEN(Registro!$G185)))&amp;"x")+1,20))),"Revisar formato")))</f>
        <v/>
      </c>
      <c r="J185" s="9" t="str">
        <f>IF(AND(Registro!$E185="",Registro!$G185=""),"",IF(NOT(AND(ISNUMBER(I185),ISNUMBER(Registro!$H185))),"",IF(I185&lt;Registro!$H185,"FALTA BOLETOS",IF(I185=Registro!$H185,"CONFORME","DIFERENCIA"))))</f>
        <v/>
      </c>
      <c r="K185" s="11" t="str">
        <f>IF(Registro!$I185="","",IFERROR(SUMPRODUCT(--("0"&amp;TRIM(RIGHT(SUBSTITUTE(TRIM(MID(SUBSTITUTE(SUBSTITUTE(Registro!$I185,";",CHAR(10)),CHAR(10),REPT(" ",LEN(Registro!$I185))),({1,2,3,4,5,6,7,8,9,10,11,12,13,14,15,16,17,18,19,20,21,22,23,24,25,26,27,28,29,30}-1)*LEN(Registro!$I185)+1,LEN(Registro!$I185)))," ",REPT(" ",50)),50)))),"Revisar formato"))</f>
        <v/>
      </c>
      <c r="L185" s="11" t="str">
        <f>IF(Registro!$J185="","",IFERROR(SUMPRODUCT(--("0"&amp;TRIM(RIGHT(SUBSTITUTE(TRIM(MID(SUBSTITUTE(SUBSTITUTE(Registro!$J185,";",CHAR(10)),CHAR(10),REPT(" ",LEN(Registro!$J185))),({1,2,3,4,5,6,7,8,9,10,11,12,13,14,15,16,17,18,19,20,21,22,23,24,25,26,27,28,29,30}-1)*LEN(Registro!$J185)+1,LEN(Registro!$J185)))," ",REPT(" ",50)),50)))),"Revisar formato"))</f>
        <v/>
      </c>
      <c r="M185" s="11" t="str">
        <f>IF(AND(Registro!$H185="",Registro!$I185=""),"",IF(AND(ISTEXT(K185),K185&lt;&gt;""),"Revisar formato",N(Registro!$H185)-N(K185)))</f>
        <v/>
      </c>
      <c r="N185" s="11" t="str">
        <f t="shared" si="8"/>
        <v/>
      </c>
      <c r="O185" s="15" t="str">
        <f>IF(AND(A185=Consulta!$B$3,C185=Consulta!$H$3),B185*10000+ROW(),"")</f>
        <v/>
      </c>
    </row>
    <row r="186" spans="1:15" x14ac:dyDescent="0.25">
      <c r="A186" s="9" t="str">
        <f>IF(Registro!$A186="","",Registro!$A186)</f>
        <v/>
      </c>
      <c r="B186" s="8" t="str">
        <f>IF(Registro!$B186="","",Registro!$B186)</f>
        <v/>
      </c>
      <c r="C186" s="14" t="str">
        <f t="shared" si="6"/>
        <v/>
      </c>
      <c r="D186" s="10" t="str">
        <f>IF(Registro!$E186="","",IF(ISERROR(FIND("x",LOWER(Registro!$E186))),"-",IFERROR(SUMPRODUCT(--("0"&amp;LEFT(TRIM(MID(SUBSTITUTE(SUBSTITUTE(SUBSTITUTE(SUBSTITUTE(SUBSTITUTE(LOWER(Registro!$E186),"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",LEN(Registro!$E186))),({1,2,3,4,5,6,7,8,9,10,11,12,13,14,15,16,17,18,19,20,21,22,23,24,25,26,27,28,29,30}-1)*LEN(Registro!$E186)+1,LEN(Registro!$E186)))&amp;"x")-1))),"Revisar formato")))</f>
        <v/>
      </c>
      <c r="E186" s="11" t="str">
        <f>IF(Registro!$E186="","",IF(ISERROR(FIND("x",LOWER(Registro!$E186))),"-",IFERROR(SUMPRODUCT(--("0"&amp;LEFT(TRIM(MID(SUBSTITUTE(SUBSTITUTE(SUBSTITUTE(SUBSTITUTE(SUBSTITUTE(LOWER(Registro!$E186),"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",LEN(Registro!$E186))),({1,2,3,4,5,6,7,8,9,10,11,12,13,14,15,16,17,18,19,20,21,22,23,24,25,26,27,28,29,30}-1)*LEN(Registro!$E186)+1,LEN(Registro!$E186)))&amp;"x")-1)),--("0"&amp;MID(TRIM(MID(SUBSTITUTE(SUBSTITUTE(SUBSTITUTE(SUBSTITUTE(SUBSTITUTE(LOWER(Registro!$E186),"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",LEN(Registro!$E186))),({1,2,3,4,5,6,7,8,9,10,11,12,13,14,15,16,17,18,19,20,21,22,23,24,25,26,27,28,29,30}-1)*LEN(Registro!$E186)+1,LEN(Registro!$E186)))&amp;"x")+1,20))),"Revisar formato")))</f>
        <v/>
      </c>
      <c r="F186" s="11" t="str">
        <f>IF(Registro!$F186="","",N(Registro!$F186))</f>
        <v/>
      </c>
      <c r="G186" s="11" t="str">
        <f t="shared" si="7"/>
        <v/>
      </c>
      <c r="H186" s="10" t="str">
        <f>IF(Registro!$G186="","",IF(ISERROR(FIND("x",LOWER(Registro!$G186))),"-",IFERROR(SUMPRODUCT(--("0"&amp;LEFT(TRIM(MID(SUBSTITUTE(SUBSTITUTE(SUBSTITUTE(SUBSTITUTE(SUBSTITUTE(LOWER(Registro!$G186),"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",LEN(Registro!$G186))),({1,2,3,4,5,6,7,8,9,10,11,12,13,14,15,16,17,18,19,20,21,22,23,24,25,26,27,28,29,30}-1)*LEN(Registro!$G186)+1,LEN(Registro!$G186))),FIND("x",TRIM(MID(SUBSTITUTE(SUBSTITUTE(SUBSTITUTE(SUBSTITUTE(SUBSTITUTE(LOWER(Registro!$G186),"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",LEN(Registro!$G186))),({1,2,3,4,5,6,7,8,9,10,11,12,13,14,15,16,17,18,19,20,21,22,23,24,25,26,27,28,29,30}-1)*LEN(Registro!$G186)+1,LEN(Registro!$G186)))&amp;"x")-1))),"Revisar formato")))</f>
        <v/>
      </c>
      <c r="I186" s="11" t="str">
        <f>IF(Registro!$G186="","",IF(ISERROR(FIND("x",LOWER(Registro!$G186))),N(Registro!$H186),IFERROR(SUMPRODUCT(--("0"&amp;LEFT(TRIM(MID(SUBSTITUTE(SUBSTITUTE(SUBSTITUTE(SUBSTITUTE(SUBSTITUTE(LOWER(Registro!$G186),"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",LEN(Registro!$G186))),({1,2,3,4,5,6,7,8,9,10,11,12,13,14,15,16,17,18,19,20,21,22,23,24,25,26,27,28,29,30}-1)*LEN(Registro!$G186)+1,LEN(Registro!$G186))),FIND("x",TRIM(MID(SUBSTITUTE(SUBSTITUTE(SUBSTITUTE(SUBSTITUTE(SUBSTITUTE(LOWER(Registro!$G186),"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",LEN(Registro!$G186))),({1,2,3,4,5,6,7,8,9,10,11,12,13,14,15,16,17,18,19,20,21,22,23,24,25,26,27,28,29,30}-1)*LEN(Registro!$G186)+1,LEN(Registro!$G186)))&amp;"x")-1)),--("0"&amp;MID(TRIM(MID(SUBSTITUTE(SUBSTITUTE(SUBSTITUTE(SUBSTITUTE(SUBSTITUTE(LOWER(Registro!$G186),"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",LEN(Registro!$G186))),({1,2,3,4,5,6,7,8,9,10,11,12,13,14,15,16,17,18,19,20,21,22,23,24,25,26,27,28,29,30}-1)*LEN(Registro!$G186)+1,LEN(Registro!$G186))),FIND("x",TRIM(MID(SUBSTITUTE(SUBSTITUTE(SUBSTITUTE(SUBSTITUTE(SUBSTITUTE(LOWER(Registro!$G186),"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",LEN(Registro!$G186))),({1,2,3,4,5,6,7,8,9,10,11,12,13,14,15,16,17,18,19,20,21,22,23,24,25,26,27,28,29,30}-1)*LEN(Registro!$G186)+1,LEN(Registro!$G186)))&amp;"x")+1,20))),"Revisar formato")))</f>
        <v/>
      </c>
      <c r="J186" s="9" t="str">
        <f>IF(AND(Registro!$E186="",Registro!$G186=""),"",IF(NOT(AND(ISNUMBER(I186),ISNUMBER(Registro!$H186))),"",IF(I186&lt;Registro!$H186,"FALTA BOLETOS",IF(I186=Registro!$H186,"CONFORME","DIFERENCIA"))))</f>
        <v/>
      </c>
      <c r="K186" s="11" t="str">
        <f>IF(Registro!$I186="","",IFERROR(SUMPRODUCT(--("0"&amp;TRIM(RIGHT(SUBSTITUTE(TRIM(MID(SUBSTITUTE(SUBSTITUTE(Registro!$I186,";",CHAR(10)),CHAR(10),REPT(" ",LEN(Registro!$I186))),({1,2,3,4,5,6,7,8,9,10,11,12,13,14,15,16,17,18,19,20,21,22,23,24,25,26,27,28,29,30}-1)*LEN(Registro!$I186)+1,LEN(Registro!$I186)))," ",REPT(" ",50)),50)))),"Revisar formato"))</f>
        <v/>
      </c>
      <c r="L186" s="11" t="str">
        <f>IF(Registro!$J186="","",IFERROR(SUMPRODUCT(--("0"&amp;TRIM(RIGHT(SUBSTITUTE(TRIM(MID(SUBSTITUTE(SUBSTITUTE(Registro!$J186,";",CHAR(10)),CHAR(10),REPT(" ",LEN(Registro!$J186))),({1,2,3,4,5,6,7,8,9,10,11,12,13,14,15,16,17,18,19,20,21,22,23,24,25,26,27,28,29,30}-1)*LEN(Registro!$J186)+1,LEN(Registro!$J186)))," ",REPT(" ",50)),50)))),"Revisar formato"))</f>
        <v/>
      </c>
      <c r="M186" s="11" t="str">
        <f>IF(AND(Registro!$H186="",Registro!$I186=""),"",IF(AND(ISTEXT(K186),K186&lt;&gt;""),"Revisar formato",N(Registro!$H186)-N(K186)))</f>
        <v/>
      </c>
      <c r="N186" s="11" t="str">
        <f t="shared" si="8"/>
        <v/>
      </c>
      <c r="O186" s="15" t="str">
        <f>IF(AND(A186=Consulta!$B$3,C186=Consulta!$H$3),B186*10000+ROW(),"")</f>
        <v/>
      </c>
    </row>
    <row r="187" spans="1:15" x14ac:dyDescent="0.25">
      <c r="A187" s="9" t="str">
        <f>IF(Registro!$A187="","",Registro!$A187)</f>
        <v/>
      </c>
      <c r="B187" s="8" t="str">
        <f>IF(Registro!$B187="","",Registro!$B187)</f>
        <v/>
      </c>
      <c r="C187" s="14" t="str">
        <f t="shared" si="6"/>
        <v/>
      </c>
      <c r="D187" s="10" t="str">
        <f>IF(Registro!$E187="","",IF(ISERROR(FIND("x",LOWER(Registro!$E187))),"-",IFERROR(SUMPRODUCT(--("0"&amp;LEFT(TRIM(MID(SUBSTITUTE(SUBSTITUTE(SUBSTITUTE(SUBSTITUTE(SUBSTITUTE(LOWER(Registro!$E187),"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",LEN(Registro!$E187))),({1,2,3,4,5,6,7,8,9,10,11,12,13,14,15,16,17,18,19,20,21,22,23,24,25,26,27,28,29,30}-1)*LEN(Registro!$E187)+1,LEN(Registro!$E187)))&amp;"x")-1))),"Revisar formato")))</f>
        <v/>
      </c>
      <c r="E187" s="11" t="str">
        <f>IF(Registro!$E187="","",IF(ISERROR(FIND("x",LOWER(Registro!$E187))),"-",IFERROR(SUMPRODUCT(--("0"&amp;LEFT(TRIM(MID(SUBSTITUTE(SUBSTITUTE(SUBSTITUTE(SUBSTITUTE(SUBSTITUTE(LOWER(Registro!$E187),"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",LEN(Registro!$E187))),({1,2,3,4,5,6,7,8,9,10,11,12,13,14,15,16,17,18,19,20,21,22,23,24,25,26,27,28,29,30}-1)*LEN(Registro!$E187)+1,LEN(Registro!$E187)))&amp;"x")-1)),--("0"&amp;MID(TRIM(MID(SUBSTITUTE(SUBSTITUTE(SUBSTITUTE(SUBSTITUTE(SUBSTITUTE(LOWER(Registro!$E187),"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",LEN(Registro!$E187))),({1,2,3,4,5,6,7,8,9,10,11,12,13,14,15,16,17,18,19,20,21,22,23,24,25,26,27,28,29,30}-1)*LEN(Registro!$E187)+1,LEN(Registro!$E187)))&amp;"x")+1,20))),"Revisar formato")))</f>
        <v/>
      </c>
      <c r="F187" s="11" t="str">
        <f>IF(Registro!$F187="","",N(Registro!$F187))</f>
        <v/>
      </c>
      <c r="G187" s="11" t="str">
        <f t="shared" si="7"/>
        <v/>
      </c>
      <c r="H187" s="10" t="str">
        <f>IF(Registro!$G187="","",IF(ISERROR(FIND("x",LOWER(Registro!$G187))),"-",IFERROR(SUMPRODUCT(--("0"&amp;LEFT(TRIM(MID(SUBSTITUTE(SUBSTITUTE(SUBSTITUTE(SUBSTITUTE(SUBSTITUTE(LOWER(Registro!$G187),"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",LEN(Registro!$G187))),({1,2,3,4,5,6,7,8,9,10,11,12,13,14,15,16,17,18,19,20,21,22,23,24,25,26,27,28,29,30}-1)*LEN(Registro!$G187)+1,LEN(Registro!$G187))),FIND("x",TRIM(MID(SUBSTITUTE(SUBSTITUTE(SUBSTITUTE(SUBSTITUTE(SUBSTITUTE(LOWER(Registro!$G187),"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",LEN(Registro!$G187))),({1,2,3,4,5,6,7,8,9,10,11,12,13,14,15,16,17,18,19,20,21,22,23,24,25,26,27,28,29,30}-1)*LEN(Registro!$G187)+1,LEN(Registro!$G187)))&amp;"x")-1))),"Revisar formato")))</f>
        <v/>
      </c>
      <c r="I187" s="11" t="str">
        <f>IF(Registro!$G187="","",IF(ISERROR(FIND("x",LOWER(Registro!$G187))),N(Registro!$H187),IFERROR(SUMPRODUCT(--("0"&amp;LEFT(TRIM(MID(SUBSTITUTE(SUBSTITUTE(SUBSTITUTE(SUBSTITUTE(SUBSTITUTE(LOWER(Registro!$G187),"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",LEN(Registro!$G187))),({1,2,3,4,5,6,7,8,9,10,11,12,13,14,15,16,17,18,19,20,21,22,23,24,25,26,27,28,29,30}-1)*LEN(Registro!$G187)+1,LEN(Registro!$G187))),FIND("x",TRIM(MID(SUBSTITUTE(SUBSTITUTE(SUBSTITUTE(SUBSTITUTE(SUBSTITUTE(LOWER(Registro!$G187),"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",LEN(Registro!$G187))),({1,2,3,4,5,6,7,8,9,10,11,12,13,14,15,16,17,18,19,20,21,22,23,24,25,26,27,28,29,30}-1)*LEN(Registro!$G187)+1,LEN(Registro!$G187)))&amp;"x")-1)),--("0"&amp;MID(TRIM(MID(SUBSTITUTE(SUBSTITUTE(SUBSTITUTE(SUBSTITUTE(SUBSTITUTE(LOWER(Registro!$G187),"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",LEN(Registro!$G187))),({1,2,3,4,5,6,7,8,9,10,11,12,13,14,15,16,17,18,19,20,21,22,23,24,25,26,27,28,29,30}-1)*LEN(Registro!$G187)+1,LEN(Registro!$G187))),FIND("x",TRIM(MID(SUBSTITUTE(SUBSTITUTE(SUBSTITUTE(SUBSTITUTE(SUBSTITUTE(LOWER(Registro!$G187),"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",LEN(Registro!$G187))),({1,2,3,4,5,6,7,8,9,10,11,12,13,14,15,16,17,18,19,20,21,22,23,24,25,26,27,28,29,30}-1)*LEN(Registro!$G187)+1,LEN(Registro!$G187)))&amp;"x")+1,20))),"Revisar formato")))</f>
        <v/>
      </c>
      <c r="J187" s="9" t="str">
        <f>IF(AND(Registro!$E187="",Registro!$G187=""),"",IF(NOT(AND(ISNUMBER(I187),ISNUMBER(Registro!$H187))),"",IF(I187&lt;Registro!$H187,"FALTA BOLETOS",IF(I187=Registro!$H187,"CONFORME","DIFERENCIA"))))</f>
        <v/>
      </c>
      <c r="K187" s="11" t="str">
        <f>IF(Registro!$I187="","",IFERROR(SUMPRODUCT(--("0"&amp;TRIM(RIGHT(SUBSTITUTE(TRIM(MID(SUBSTITUTE(SUBSTITUTE(Registro!$I187,";",CHAR(10)),CHAR(10),REPT(" ",LEN(Registro!$I187))),({1,2,3,4,5,6,7,8,9,10,11,12,13,14,15,16,17,18,19,20,21,22,23,24,25,26,27,28,29,30}-1)*LEN(Registro!$I187)+1,LEN(Registro!$I187)))," ",REPT(" ",50)),50)))),"Revisar formato"))</f>
        <v/>
      </c>
      <c r="L187" s="11" t="str">
        <f>IF(Registro!$J187="","",IFERROR(SUMPRODUCT(--("0"&amp;TRIM(RIGHT(SUBSTITUTE(TRIM(MID(SUBSTITUTE(SUBSTITUTE(Registro!$J187,";",CHAR(10)),CHAR(10),REPT(" ",LEN(Registro!$J187))),({1,2,3,4,5,6,7,8,9,10,11,12,13,14,15,16,17,18,19,20,21,22,23,24,25,26,27,28,29,30}-1)*LEN(Registro!$J187)+1,LEN(Registro!$J187)))," ",REPT(" ",50)),50)))),"Revisar formato"))</f>
        <v/>
      </c>
      <c r="M187" s="11" t="str">
        <f>IF(AND(Registro!$H187="",Registro!$I187=""),"",IF(AND(ISTEXT(K187),K187&lt;&gt;""),"Revisar formato",N(Registro!$H187)-N(K187)))</f>
        <v/>
      </c>
      <c r="N187" s="11" t="str">
        <f t="shared" si="8"/>
        <v/>
      </c>
      <c r="O187" s="15" t="str">
        <f>IF(AND(A187=Consulta!$B$3,C187=Consulta!$H$3),B187*10000+ROW(),"")</f>
        <v/>
      </c>
    </row>
    <row r="188" spans="1:15" x14ac:dyDescent="0.25">
      <c r="A188" s="9" t="str">
        <f>IF(Registro!$A188="","",Registro!$A188)</f>
        <v/>
      </c>
      <c r="B188" s="8" t="str">
        <f>IF(Registro!$B188="","",Registro!$B188)</f>
        <v/>
      </c>
      <c r="C188" s="14" t="str">
        <f t="shared" si="6"/>
        <v/>
      </c>
      <c r="D188" s="10" t="str">
        <f>IF(Registro!$E188="","",IF(ISERROR(FIND("x",LOWER(Registro!$E188))),"-",IFERROR(SUMPRODUCT(--("0"&amp;LEFT(TRIM(MID(SUBSTITUTE(SUBSTITUTE(SUBSTITUTE(SUBSTITUTE(SUBSTITUTE(LOWER(Registro!$E188),"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",LEN(Registro!$E188))),({1,2,3,4,5,6,7,8,9,10,11,12,13,14,15,16,17,18,19,20,21,22,23,24,25,26,27,28,29,30}-1)*LEN(Registro!$E188)+1,LEN(Registro!$E188)))&amp;"x")-1))),"Revisar formato")))</f>
        <v/>
      </c>
      <c r="E188" s="11" t="str">
        <f>IF(Registro!$E188="","",IF(ISERROR(FIND("x",LOWER(Registro!$E188))),"-",IFERROR(SUMPRODUCT(--("0"&amp;LEFT(TRIM(MID(SUBSTITUTE(SUBSTITUTE(SUBSTITUTE(SUBSTITUTE(SUBSTITUTE(LOWER(Registro!$E188),"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",LEN(Registro!$E188))),({1,2,3,4,5,6,7,8,9,10,11,12,13,14,15,16,17,18,19,20,21,22,23,24,25,26,27,28,29,30}-1)*LEN(Registro!$E188)+1,LEN(Registro!$E188)))&amp;"x")-1)),--("0"&amp;MID(TRIM(MID(SUBSTITUTE(SUBSTITUTE(SUBSTITUTE(SUBSTITUTE(SUBSTITUTE(LOWER(Registro!$E188),"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",LEN(Registro!$E188))),({1,2,3,4,5,6,7,8,9,10,11,12,13,14,15,16,17,18,19,20,21,22,23,24,25,26,27,28,29,30}-1)*LEN(Registro!$E188)+1,LEN(Registro!$E188)))&amp;"x")+1,20))),"Revisar formato")))</f>
        <v/>
      </c>
      <c r="F188" s="11" t="str">
        <f>IF(Registro!$F188="","",N(Registro!$F188))</f>
        <v/>
      </c>
      <c r="G188" s="11" t="str">
        <f t="shared" si="7"/>
        <v/>
      </c>
      <c r="H188" s="10" t="str">
        <f>IF(Registro!$G188="","",IF(ISERROR(FIND("x",LOWER(Registro!$G188))),"-",IFERROR(SUMPRODUCT(--("0"&amp;LEFT(TRIM(MID(SUBSTITUTE(SUBSTITUTE(SUBSTITUTE(SUBSTITUTE(SUBSTITUTE(LOWER(Registro!$G188),"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",LEN(Registro!$G188))),({1,2,3,4,5,6,7,8,9,10,11,12,13,14,15,16,17,18,19,20,21,22,23,24,25,26,27,28,29,30}-1)*LEN(Registro!$G188)+1,LEN(Registro!$G188))),FIND("x",TRIM(MID(SUBSTITUTE(SUBSTITUTE(SUBSTITUTE(SUBSTITUTE(SUBSTITUTE(LOWER(Registro!$G188),"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",LEN(Registro!$G188))),({1,2,3,4,5,6,7,8,9,10,11,12,13,14,15,16,17,18,19,20,21,22,23,24,25,26,27,28,29,30}-1)*LEN(Registro!$G188)+1,LEN(Registro!$G188)))&amp;"x")-1))),"Revisar formato")))</f>
        <v/>
      </c>
      <c r="I188" s="11" t="str">
        <f>IF(Registro!$G188="","",IF(ISERROR(FIND("x",LOWER(Registro!$G188))),N(Registro!$H188),IFERROR(SUMPRODUCT(--("0"&amp;LEFT(TRIM(MID(SUBSTITUTE(SUBSTITUTE(SUBSTITUTE(SUBSTITUTE(SUBSTITUTE(LOWER(Registro!$G188),"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",LEN(Registro!$G188))),({1,2,3,4,5,6,7,8,9,10,11,12,13,14,15,16,17,18,19,20,21,22,23,24,25,26,27,28,29,30}-1)*LEN(Registro!$G188)+1,LEN(Registro!$G188))),FIND("x",TRIM(MID(SUBSTITUTE(SUBSTITUTE(SUBSTITUTE(SUBSTITUTE(SUBSTITUTE(LOWER(Registro!$G188),"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",LEN(Registro!$G188))),({1,2,3,4,5,6,7,8,9,10,11,12,13,14,15,16,17,18,19,20,21,22,23,24,25,26,27,28,29,30}-1)*LEN(Registro!$G188)+1,LEN(Registro!$G188)))&amp;"x")-1)),--("0"&amp;MID(TRIM(MID(SUBSTITUTE(SUBSTITUTE(SUBSTITUTE(SUBSTITUTE(SUBSTITUTE(LOWER(Registro!$G188),"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",LEN(Registro!$G188))),({1,2,3,4,5,6,7,8,9,10,11,12,13,14,15,16,17,18,19,20,21,22,23,24,25,26,27,28,29,30}-1)*LEN(Registro!$G188)+1,LEN(Registro!$G188))),FIND("x",TRIM(MID(SUBSTITUTE(SUBSTITUTE(SUBSTITUTE(SUBSTITUTE(SUBSTITUTE(LOWER(Registro!$G188),"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",LEN(Registro!$G188))),({1,2,3,4,5,6,7,8,9,10,11,12,13,14,15,16,17,18,19,20,21,22,23,24,25,26,27,28,29,30}-1)*LEN(Registro!$G188)+1,LEN(Registro!$G188)))&amp;"x")+1,20))),"Revisar formato")))</f>
        <v/>
      </c>
      <c r="J188" s="9" t="str">
        <f>IF(AND(Registro!$E188="",Registro!$G188=""),"",IF(NOT(AND(ISNUMBER(I188),ISNUMBER(Registro!$H188))),"",IF(I188&lt;Registro!$H188,"FALTA BOLETOS",IF(I188=Registro!$H188,"CONFORME","DIFERENCIA"))))</f>
        <v/>
      </c>
      <c r="K188" s="11" t="str">
        <f>IF(Registro!$I188="","",IFERROR(SUMPRODUCT(--("0"&amp;TRIM(RIGHT(SUBSTITUTE(TRIM(MID(SUBSTITUTE(SUBSTITUTE(Registro!$I188,";",CHAR(10)),CHAR(10),REPT(" ",LEN(Registro!$I188))),({1,2,3,4,5,6,7,8,9,10,11,12,13,14,15,16,17,18,19,20,21,22,23,24,25,26,27,28,29,30}-1)*LEN(Registro!$I188)+1,LEN(Registro!$I188)))," ",REPT(" ",50)),50)))),"Revisar formato"))</f>
        <v/>
      </c>
      <c r="L188" s="11" t="str">
        <f>IF(Registro!$J188="","",IFERROR(SUMPRODUCT(--("0"&amp;TRIM(RIGHT(SUBSTITUTE(TRIM(MID(SUBSTITUTE(SUBSTITUTE(Registro!$J188,";",CHAR(10)),CHAR(10),REPT(" ",LEN(Registro!$J188))),({1,2,3,4,5,6,7,8,9,10,11,12,13,14,15,16,17,18,19,20,21,22,23,24,25,26,27,28,29,30}-1)*LEN(Registro!$J188)+1,LEN(Registro!$J188)))," ",REPT(" ",50)),50)))),"Revisar formato"))</f>
        <v/>
      </c>
      <c r="M188" s="11" t="str">
        <f>IF(AND(Registro!$H188="",Registro!$I188=""),"",IF(AND(ISTEXT(K188),K188&lt;&gt;""),"Revisar formato",N(Registro!$H188)-N(K188)))</f>
        <v/>
      </c>
      <c r="N188" s="11" t="str">
        <f t="shared" si="8"/>
        <v/>
      </c>
      <c r="O188" s="15" t="str">
        <f>IF(AND(A188=Consulta!$B$3,C188=Consulta!$H$3),B188*10000+ROW(),"")</f>
        <v/>
      </c>
    </row>
    <row r="189" spans="1:15" x14ac:dyDescent="0.25">
      <c r="A189" s="9" t="str">
        <f>IF(Registro!$A189="","",Registro!$A189)</f>
        <v/>
      </c>
      <c r="B189" s="8" t="str">
        <f>IF(Registro!$B189="","",Registro!$B189)</f>
        <v/>
      </c>
      <c r="C189" s="14" t="str">
        <f t="shared" si="6"/>
        <v/>
      </c>
      <c r="D189" s="10" t="str">
        <f>IF(Registro!$E189="","",IF(ISERROR(FIND("x",LOWER(Registro!$E189))),"-",IFERROR(SUMPRODUCT(--("0"&amp;LEFT(TRIM(MID(SUBSTITUTE(SUBSTITUTE(SUBSTITUTE(SUBSTITUTE(SUBSTITUTE(LOWER(Registro!$E189),"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",LEN(Registro!$E189))),({1,2,3,4,5,6,7,8,9,10,11,12,13,14,15,16,17,18,19,20,21,22,23,24,25,26,27,28,29,30}-1)*LEN(Registro!$E189)+1,LEN(Registro!$E189)))&amp;"x")-1))),"Revisar formato")))</f>
        <v/>
      </c>
      <c r="E189" s="11" t="str">
        <f>IF(Registro!$E189="","",IF(ISERROR(FIND("x",LOWER(Registro!$E189))),"-",IFERROR(SUMPRODUCT(--("0"&amp;LEFT(TRIM(MID(SUBSTITUTE(SUBSTITUTE(SUBSTITUTE(SUBSTITUTE(SUBSTITUTE(LOWER(Registro!$E189),"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",LEN(Registro!$E189))),({1,2,3,4,5,6,7,8,9,10,11,12,13,14,15,16,17,18,19,20,21,22,23,24,25,26,27,28,29,30}-1)*LEN(Registro!$E189)+1,LEN(Registro!$E189)))&amp;"x")-1)),--("0"&amp;MID(TRIM(MID(SUBSTITUTE(SUBSTITUTE(SUBSTITUTE(SUBSTITUTE(SUBSTITUTE(LOWER(Registro!$E189),"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",LEN(Registro!$E189))),({1,2,3,4,5,6,7,8,9,10,11,12,13,14,15,16,17,18,19,20,21,22,23,24,25,26,27,28,29,30}-1)*LEN(Registro!$E189)+1,LEN(Registro!$E189)))&amp;"x")+1,20))),"Revisar formato")))</f>
        <v/>
      </c>
      <c r="F189" s="11" t="str">
        <f>IF(Registro!$F189="","",N(Registro!$F189))</f>
        <v/>
      </c>
      <c r="G189" s="11" t="str">
        <f t="shared" si="7"/>
        <v/>
      </c>
      <c r="H189" s="10" t="str">
        <f>IF(Registro!$G189="","",IF(ISERROR(FIND("x",LOWER(Registro!$G189))),"-",IFERROR(SUMPRODUCT(--("0"&amp;LEFT(TRIM(MID(SUBSTITUTE(SUBSTITUTE(SUBSTITUTE(SUBSTITUTE(SUBSTITUTE(LOWER(Registro!$G189),"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",LEN(Registro!$G189))),({1,2,3,4,5,6,7,8,9,10,11,12,13,14,15,16,17,18,19,20,21,22,23,24,25,26,27,28,29,30}-1)*LEN(Registro!$G189)+1,LEN(Registro!$G189))),FIND("x",TRIM(MID(SUBSTITUTE(SUBSTITUTE(SUBSTITUTE(SUBSTITUTE(SUBSTITUTE(LOWER(Registro!$G189),"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",LEN(Registro!$G189))),({1,2,3,4,5,6,7,8,9,10,11,12,13,14,15,16,17,18,19,20,21,22,23,24,25,26,27,28,29,30}-1)*LEN(Registro!$G189)+1,LEN(Registro!$G189)))&amp;"x")-1))),"Revisar formato")))</f>
        <v/>
      </c>
      <c r="I189" s="11" t="str">
        <f>IF(Registro!$G189="","",IF(ISERROR(FIND("x",LOWER(Registro!$G189))),N(Registro!$H189),IFERROR(SUMPRODUCT(--("0"&amp;LEFT(TRIM(MID(SUBSTITUTE(SUBSTITUTE(SUBSTITUTE(SUBSTITUTE(SUBSTITUTE(LOWER(Registro!$G189),"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",LEN(Registro!$G189))),({1,2,3,4,5,6,7,8,9,10,11,12,13,14,15,16,17,18,19,20,21,22,23,24,25,26,27,28,29,30}-1)*LEN(Registro!$G189)+1,LEN(Registro!$G189))),FIND("x",TRIM(MID(SUBSTITUTE(SUBSTITUTE(SUBSTITUTE(SUBSTITUTE(SUBSTITUTE(LOWER(Registro!$G189),"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",LEN(Registro!$G189))),({1,2,3,4,5,6,7,8,9,10,11,12,13,14,15,16,17,18,19,20,21,22,23,24,25,26,27,28,29,30}-1)*LEN(Registro!$G189)+1,LEN(Registro!$G189)))&amp;"x")-1)),--("0"&amp;MID(TRIM(MID(SUBSTITUTE(SUBSTITUTE(SUBSTITUTE(SUBSTITUTE(SUBSTITUTE(LOWER(Registro!$G189),"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",LEN(Registro!$G189))),({1,2,3,4,5,6,7,8,9,10,11,12,13,14,15,16,17,18,19,20,21,22,23,24,25,26,27,28,29,30}-1)*LEN(Registro!$G189)+1,LEN(Registro!$G189))),FIND("x",TRIM(MID(SUBSTITUTE(SUBSTITUTE(SUBSTITUTE(SUBSTITUTE(SUBSTITUTE(LOWER(Registro!$G189),"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",LEN(Registro!$G189))),({1,2,3,4,5,6,7,8,9,10,11,12,13,14,15,16,17,18,19,20,21,22,23,24,25,26,27,28,29,30}-1)*LEN(Registro!$G189)+1,LEN(Registro!$G189)))&amp;"x")+1,20))),"Revisar formato")))</f>
        <v/>
      </c>
      <c r="J189" s="9" t="str">
        <f>IF(AND(Registro!$E189="",Registro!$G189=""),"",IF(NOT(AND(ISNUMBER(I189),ISNUMBER(Registro!$H189))),"",IF(I189&lt;Registro!$H189,"FALTA BOLETOS",IF(I189=Registro!$H189,"CONFORME","DIFERENCIA"))))</f>
        <v/>
      </c>
      <c r="K189" s="11" t="str">
        <f>IF(Registro!$I189="","",IFERROR(SUMPRODUCT(--("0"&amp;TRIM(RIGHT(SUBSTITUTE(TRIM(MID(SUBSTITUTE(SUBSTITUTE(Registro!$I189,";",CHAR(10)),CHAR(10),REPT(" ",LEN(Registro!$I189))),({1,2,3,4,5,6,7,8,9,10,11,12,13,14,15,16,17,18,19,20,21,22,23,24,25,26,27,28,29,30}-1)*LEN(Registro!$I189)+1,LEN(Registro!$I189)))," ",REPT(" ",50)),50)))),"Revisar formato"))</f>
        <v/>
      </c>
      <c r="L189" s="11" t="str">
        <f>IF(Registro!$J189="","",IFERROR(SUMPRODUCT(--("0"&amp;TRIM(RIGHT(SUBSTITUTE(TRIM(MID(SUBSTITUTE(SUBSTITUTE(Registro!$J189,";",CHAR(10)),CHAR(10),REPT(" ",LEN(Registro!$J189))),({1,2,3,4,5,6,7,8,9,10,11,12,13,14,15,16,17,18,19,20,21,22,23,24,25,26,27,28,29,30}-1)*LEN(Registro!$J189)+1,LEN(Registro!$J189)))," ",REPT(" ",50)),50)))),"Revisar formato"))</f>
        <v/>
      </c>
      <c r="M189" s="11" t="str">
        <f>IF(AND(Registro!$H189="",Registro!$I189=""),"",IF(AND(ISTEXT(K189),K189&lt;&gt;""),"Revisar formato",N(Registro!$H189)-N(K189)))</f>
        <v/>
      </c>
      <c r="N189" s="11" t="str">
        <f t="shared" si="8"/>
        <v/>
      </c>
      <c r="O189" s="15" t="str">
        <f>IF(AND(A189=Consulta!$B$3,C189=Consulta!$H$3),B189*10000+ROW(),"")</f>
        <v/>
      </c>
    </row>
    <row r="190" spans="1:15" x14ac:dyDescent="0.25">
      <c r="A190" s="9" t="str">
        <f>IF(Registro!$A190="","",Registro!$A190)</f>
        <v/>
      </c>
      <c r="B190" s="8" t="str">
        <f>IF(Registro!$B190="","",Registro!$B190)</f>
        <v/>
      </c>
      <c r="C190" s="14" t="str">
        <f t="shared" si="6"/>
        <v/>
      </c>
      <c r="D190" s="10" t="str">
        <f>IF(Registro!$E190="","",IF(ISERROR(FIND("x",LOWER(Registro!$E190))),"-",IFERROR(SUMPRODUCT(--("0"&amp;LEFT(TRIM(MID(SUBSTITUTE(SUBSTITUTE(SUBSTITUTE(SUBSTITUTE(SUBSTITUTE(LOWER(Registro!$E190),"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",LEN(Registro!$E190))),({1,2,3,4,5,6,7,8,9,10,11,12,13,14,15,16,17,18,19,20,21,22,23,24,25,26,27,28,29,30}-1)*LEN(Registro!$E190)+1,LEN(Registro!$E190)))&amp;"x")-1))),"Revisar formato")))</f>
        <v/>
      </c>
      <c r="E190" s="11" t="str">
        <f>IF(Registro!$E190="","",IF(ISERROR(FIND("x",LOWER(Registro!$E190))),"-",IFERROR(SUMPRODUCT(--("0"&amp;LEFT(TRIM(MID(SUBSTITUTE(SUBSTITUTE(SUBSTITUTE(SUBSTITUTE(SUBSTITUTE(LOWER(Registro!$E190),"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",LEN(Registro!$E190))),({1,2,3,4,5,6,7,8,9,10,11,12,13,14,15,16,17,18,19,20,21,22,23,24,25,26,27,28,29,30}-1)*LEN(Registro!$E190)+1,LEN(Registro!$E190)))&amp;"x")-1)),--("0"&amp;MID(TRIM(MID(SUBSTITUTE(SUBSTITUTE(SUBSTITUTE(SUBSTITUTE(SUBSTITUTE(LOWER(Registro!$E190),"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",LEN(Registro!$E190))),({1,2,3,4,5,6,7,8,9,10,11,12,13,14,15,16,17,18,19,20,21,22,23,24,25,26,27,28,29,30}-1)*LEN(Registro!$E190)+1,LEN(Registro!$E190)))&amp;"x")+1,20))),"Revisar formato")))</f>
        <v/>
      </c>
      <c r="F190" s="11" t="str">
        <f>IF(Registro!$F190="","",N(Registro!$F190))</f>
        <v/>
      </c>
      <c r="G190" s="11" t="str">
        <f t="shared" si="7"/>
        <v/>
      </c>
      <c r="H190" s="10" t="str">
        <f>IF(Registro!$G190="","",IF(ISERROR(FIND("x",LOWER(Registro!$G190))),"-",IFERROR(SUMPRODUCT(--("0"&amp;LEFT(TRIM(MID(SUBSTITUTE(SUBSTITUTE(SUBSTITUTE(SUBSTITUTE(SUBSTITUTE(LOWER(Registro!$G190),"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",LEN(Registro!$G190))),({1,2,3,4,5,6,7,8,9,10,11,12,13,14,15,16,17,18,19,20,21,22,23,24,25,26,27,28,29,30}-1)*LEN(Registro!$G190)+1,LEN(Registro!$G190))),FIND("x",TRIM(MID(SUBSTITUTE(SUBSTITUTE(SUBSTITUTE(SUBSTITUTE(SUBSTITUTE(LOWER(Registro!$G190),"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",LEN(Registro!$G190))),({1,2,3,4,5,6,7,8,9,10,11,12,13,14,15,16,17,18,19,20,21,22,23,24,25,26,27,28,29,30}-1)*LEN(Registro!$G190)+1,LEN(Registro!$G190)))&amp;"x")-1))),"Revisar formato")))</f>
        <v/>
      </c>
      <c r="I190" s="11" t="str">
        <f>IF(Registro!$G190="","",IF(ISERROR(FIND("x",LOWER(Registro!$G190))),N(Registro!$H190),IFERROR(SUMPRODUCT(--("0"&amp;LEFT(TRIM(MID(SUBSTITUTE(SUBSTITUTE(SUBSTITUTE(SUBSTITUTE(SUBSTITUTE(LOWER(Registro!$G190),"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",LEN(Registro!$G190))),({1,2,3,4,5,6,7,8,9,10,11,12,13,14,15,16,17,18,19,20,21,22,23,24,25,26,27,28,29,30}-1)*LEN(Registro!$G190)+1,LEN(Registro!$G190))),FIND("x",TRIM(MID(SUBSTITUTE(SUBSTITUTE(SUBSTITUTE(SUBSTITUTE(SUBSTITUTE(LOWER(Registro!$G190),"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",LEN(Registro!$G190))),({1,2,3,4,5,6,7,8,9,10,11,12,13,14,15,16,17,18,19,20,21,22,23,24,25,26,27,28,29,30}-1)*LEN(Registro!$G190)+1,LEN(Registro!$G190)))&amp;"x")-1)),--("0"&amp;MID(TRIM(MID(SUBSTITUTE(SUBSTITUTE(SUBSTITUTE(SUBSTITUTE(SUBSTITUTE(LOWER(Registro!$G190),"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",LEN(Registro!$G190))),({1,2,3,4,5,6,7,8,9,10,11,12,13,14,15,16,17,18,19,20,21,22,23,24,25,26,27,28,29,30}-1)*LEN(Registro!$G190)+1,LEN(Registro!$G190))),FIND("x",TRIM(MID(SUBSTITUTE(SUBSTITUTE(SUBSTITUTE(SUBSTITUTE(SUBSTITUTE(LOWER(Registro!$G190),"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",LEN(Registro!$G190))),({1,2,3,4,5,6,7,8,9,10,11,12,13,14,15,16,17,18,19,20,21,22,23,24,25,26,27,28,29,30}-1)*LEN(Registro!$G190)+1,LEN(Registro!$G190)))&amp;"x")+1,20))),"Revisar formato")))</f>
        <v/>
      </c>
      <c r="J190" s="9" t="str">
        <f>IF(AND(Registro!$E190="",Registro!$G190=""),"",IF(NOT(AND(ISNUMBER(I190),ISNUMBER(Registro!$H190))),"",IF(I190&lt;Registro!$H190,"FALTA BOLETOS",IF(I190=Registro!$H190,"CONFORME","DIFERENCIA"))))</f>
        <v/>
      </c>
      <c r="K190" s="11" t="str">
        <f>IF(Registro!$I190="","",IFERROR(SUMPRODUCT(--("0"&amp;TRIM(RIGHT(SUBSTITUTE(TRIM(MID(SUBSTITUTE(SUBSTITUTE(Registro!$I190,";",CHAR(10)),CHAR(10),REPT(" ",LEN(Registro!$I190))),({1,2,3,4,5,6,7,8,9,10,11,12,13,14,15,16,17,18,19,20,21,22,23,24,25,26,27,28,29,30}-1)*LEN(Registro!$I190)+1,LEN(Registro!$I190)))," ",REPT(" ",50)),50)))),"Revisar formato"))</f>
        <v/>
      </c>
      <c r="L190" s="11" t="str">
        <f>IF(Registro!$J190="","",IFERROR(SUMPRODUCT(--("0"&amp;TRIM(RIGHT(SUBSTITUTE(TRIM(MID(SUBSTITUTE(SUBSTITUTE(Registro!$J190,";",CHAR(10)),CHAR(10),REPT(" ",LEN(Registro!$J190))),({1,2,3,4,5,6,7,8,9,10,11,12,13,14,15,16,17,18,19,20,21,22,23,24,25,26,27,28,29,30}-1)*LEN(Registro!$J190)+1,LEN(Registro!$J190)))," ",REPT(" ",50)),50)))),"Revisar formato"))</f>
        <v/>
      </c>
      <c r="M190" s="11" t="str">
        <f>IF(AND(Registro!$H190="",Registro!$I190=""),"",IF(AND(ISTEXT(K190),K190&lt;&gt;""),"Revisar formato",N(Registro!$H190)-N(K190)))</f>
        <v/>
      </c>
      <c r="N190" s="11" t="str">
        <f t="shared" si="8"/>
        <v/>
      </c>
      <c r="O190" s="15" t="str">
        <f>IF(AND(A190=Consulta!$B$3,C190=Consulta!$H$3),B190*10000+ROW(),"")</f>
        <v/>
      </c>
    </row>
    <row r="191" spans="1:15" x14ac:dyDescent="0.25">
      <c r="A191" s="9" t="str">
        <f>IF(Registro!$A191="","",Registro!$A191)</f>
        <v/>
      </c>
      <c r="B191" s="8" t="str">
        <f>IF(Registro!$B191="","",Registro!$B191)</f>
        <v/>
      </c>
      <c r="C191" s="14" t="str">
        <f t="shared" si="6"/>
        <v/>
      </c>
      <c r="D191" s="10" t="str">
        <f>IF(Registro!$E191="","",IF(ISERROR(FIND("x",LOWER(Registro!$E191))),"-",IFERROR(SUMPRODUCT(--("0"&amp;LEFT(TRIM(MID(SUBSTITUTE(SUBSTITUTE(SUBSTITUTE(SUBSTITUTE(SUBSTITUTE(LOWER(Registro!$E191),"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",LEN(Registro!$E191))),({1,2,3,4,5,6,7,8,9,10,11,12,13,14,15,16,17,18,19,20,21,22,23,24,25,26,27,28,29,30}-1)*LEN(Registro!$E191)+1,LEN(Registro!$E191)))&amp;"x")-1))),"Revisar formato")))</f>
        <v/>
      </c>
      <c r="E191" s="11" t="str">
        <f>IF(Registro!$E191="","",IF(ISERROR(FIND("x",LOWER(Registro!$E191))),"-",IFERROR(SUMPRODUCT(--("0"&amp;LEFT(TRIM(MID(SUBSTITUTE(SUBSTITUTE(SUBSTITUTE(SUBSTITUTE(SUBSTITUTE(LOWER(Registro!$E191),"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",LEN(Registro!$E191))),({1,2,3,4,5,6,7,8,9,10,11,12,13,14,15,16,17,18,19,20,21,22,23,24,25,26,27,28,29,30}-1)*LEN(Registro!$E191)+1,LEN(Registro!$E191)))&amp;"x")-1)),--("0"&amp;MID(TRIM(MID(SUBSTITUTE(SUBSTITUTE(SUBSTITUTE(SUBSTITUTE(SUBSTITUTE(LOWER(Registro!$E191),"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",LEN(Registro!$E191))),({1,2,3,4,5,6,7,8,9,10,11,12,13,14,15,16,17,18,19,20,21,22,23,24,25,26,27,28,29,30}-1)*LEN(Registro!$E191)+1,LEN(Registro!$E191)))&amp;"x")+1,20))),"Revisar formato")))</f>
        <v/>
      </c>
      <c r="F191" s="11" t="str">
        <f>IF(Registro!$F191="","",N(Registro!$F191))</f>
        <v/>
      </c>
      <c r="G191" s="11" t="str">
        <f t="shared" si="7"/>
        <v/>
      </c>
      <c r="H191" s="10" t="str">
        <f>IF(Registro!$G191="","",IF(ISERROR(FIND("x",LOWER(Registro!$G191))),"-",IFERROR(SUMPRODUCT(--("0"&amp;LEFT(TRIM(MID(SUBSTITUTE(SUBSTITUTE(SUBSTITUTE(SUBSTITUTE(SUBSTITUTE(LOWER(Registro!$G191),"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",LEN(Registro!$G191))),({1,2,3,4,5,6,7,8,9,10,11,12,13,14,15,16,17,18,19,20,21,22,23,24,25,26,27,28,29,30}-1)*LEN(Registro!$G191)+1,LEN(Registro!$G191))),FIND("x",TRIM(MID(SUBSTITUTE(SUBSTITUTE(SUBSTITUTE(SUBSTITUTE(SUBSTITUTE(LOWER(Registro!$G191),"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",LEN(Registro!$G191))),({1,2,3,4,5,6,7,8,9,10,11,12,13,14,15,16,17,18,19,20,21,22,23,24,25,26,27,28,29,30}-1)*LEN(Registro!$G191)+1,LEN(Registro!$G191)))&amp;"x")-1))),"Revisar formato")))</f>
        <v/>
      </c>
      <c r="I191" s="11" t="str">
        <f>IF(Registro!$G191="","",IF(ISERROR(FIND("x",LOWER(Registro!$G191))),N(Registro!$H191),IFERROR(SUMPRODUCT(--("0"&amp;LEFT(TRIM(MID(SUBSTITUTE(SUBSTITUTE(SUBSTITUTE(SUBSTITUTE(SUBSTITUTE(LOWER(Registro!$G191),"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",LEN(Registro!$G191))),({1,2,3,4,5,6,7,8,9,10,11,12,13,14,15,16,17,18,19,20,21,22,23,24,25,26,27,28,29,30}-1)*LEN(Registro!$G191)+1,LEN(Registro!$G191))),FIND("x",TRIM(MID(SUBSTITUTE(SUBSTITUTE(SUBSTITUTE(SUBSTITUTE(SUBSTITUTE(LOWER(Registro!$G191),"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",LEN(Registro!$G191))),({1,2,3,4,5,6,7,8,9,10,11,12,13,14,15,16,17,18,19,20,21,22,23,24,25,26,27,28,29,30}-1)*LEN(Registro!$G191)+1,LEN(Registro!$G191)))&amp;"x")-1)),--("0"&amp;MID(TRIM(MID(SUBSTITUTE(SUBSTITUTE(SUBSTITUTE(SUBSTITUTE(SUBSTITUTE(LOWER(Registro!$G191),"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",LEN(Registro!$G191))),({1,2,3,4,5,6,7,8,9,10,11,12,13,14,15,16,17,18,19,20,21,22,23,24,25,26,27,28,29,30}-1)*LEN(Registro!$G191)+1,LEN(Registro!$G191))),FIND("x",TRIM(MID(SUBSTITUTE(SUBSTITUTE(SUBSTITUTE(SUBSTITUTE(SUBSTITUTE(LOWER(Registro!$G191),"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",LEN(Registro!$G191))),({1,2,3,4,5,6,7,8,9,10,11,12,13,14,15,16,17,18,19,20,21,22,23,24,25,26,27,28,29,30}-1)*LEN(Registro!$G191)+1,LEN(Registro!$G191)))&amp;"x")+1,20))),"Revisar formato")))</f>
        <v/>
      </c>
      <c r="J191" s="9" t="str">
        <f>IF(AND(Registro!$E191="",Registro!$G191=""),"",IF(NOT(AND(ISNUMBER(I191),ISNUMBER(Registro!$H191))),"",IF(I191&lt;Registro!$H191,"FALTA BOLETOS",IF(I191=Registro!$H191,"CONFORME","DIFERENCIA"))))</f>
        <v/>
      </c>
      <c r="K191" s="11" t="str">
        <f>IF(Registro!$I191="","",IFERROR(SUMPRODUCT(--("0"&amp;TRIM(RIGHT(SUBSTITUTE(TRIM(MID(SUBSTITUTE(SUBSTITUTE(Registro!$I191,";",CHAR(10)),CHAR(10),REPT(" ",LEN(Registro!$I191))),({1,2,3,4,5,6,7,8,9,10,11,12,13,14,15,16,17,18,19,20,21,22,23,24,25,26,27,28,29,30}-1)*LEN(Registro!$I191)+1,LEN(Registro!$I191)))," ",REPT(" ",50)),50)))),"Revisar formato"))</f>
        <v/>
      </c>
      <c r="L191" s="11" t="str">
        <f>IF(Registro!$J191="","",IFERROR(SUMPRODUCT(--("0"&amp;TRIM(RIGHT(SUBSTITUTE(TRIM(MID(SUBSTITUTE(SUBSTITUTE(Registro!$J191,";",CHAR(10)),CHAR(10),REPT(" ",LEN(Registro!$J191))),({1,2,3,4,5,6,7,8,9,10,11,12,13,14,15,16,17,18,19,20,21,22,23,24,25,26,27,28,29,30}-1)*LEN(Registro!$J191)+1,LEN(Registro!$J191)))," ",REPT(" ",50)),50)))),"Revisar formato"))</f>
        <v/>
      </c>
      <c r="M191" s="11" t="str">
        <f>IF(AND(Registro!$H191="",Registro!$I191=""),"",IF(AND(ISTEXT(K191),K191&lt;&gt;""),"Revisar formato",N(Registro!$H191)-N(K191)))</f>
        <v/>
      </c>
      <c r="N191" s="11" t="str">
        <f t="shared" si="8"/>
        <v/>
      </c>
      <c r="O191" s="15" t="str">
        <f>IF(AND(A191=Consulta!$B$3,C191=Consulta!$H$3),B191*10000+ROW(),"")</f>
        <v/>
      </c>
    </row>
    <row r="192" spans="1:15" x14ac:dyDescent="0.25">
      <c r="A192" s="9" t="str">
        <f>IF(Registro!$A192="","",Registro!$A192)</f>
        <v/>
      </c>
      <c r="B192" s="8" t="str">
        <f>IF(Registro!$B192="","",Registro!$B192)</f>
        <v/>
      </c>
      <c r="C192" s="14" t="str">
        <f t="shared" si="6"/>
        <v/>
      </c>
      <c r="D192" s="10" t="str">
        <f>IF(Registro!$E192="","",IF(ISERROR(FIND("x",LOWER(Registro!$E192))),"-",IFERROR(SUMPRODUCT(--("0"&amp;LEFT(TRIM(MID(SUBSTITUTE(SUBSTITUTE(SUBSTITUTE(SUBSTITUTE(SUBSTITUTE(LOWER(Registro!$E192),"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",LEN(Registro!$E192))),({1,2,3,4,5,6,7,8,9,10,11,12,13,14,15,16,17,18,19,20,21,22,23,24,25,26,27,28,29,30}-1)*LEN(Registro!$E192)+1,LEN(Registro!$E192)))&amp;"x")-1))),"Revisar formato")))</f>
        <v/>
      </c>
      <c r="E192" s="11" t="str">
        <f>IF(Registro!$E192="","",IF(ISERROR(FIND("x",LOWER(Registro!$E192))),"-",IFERROR(SUMPRODUCT(--("0"&amp;LEFT(TRIM(MID(SUBSTITUTE(SUBSTITUTE(SUBSTITUTE(SUBSTITUTE(SUBSTITUTE(LOWER(Registro!$E192),"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",LEN(Registro!$E192))),({1,2,3,4,5,6,7,8,9,10,11,12,13,14,15,16,17,18,19,20,21,22,23,24,25,26,27,28,29,30}-1)*LEN(Registro!$E192)+1,LEN(Registro!$E192)))&amp;"x")-1)),--("0"&amp;MID(TRIM(MID(SUBSTITUTE(SUBSTITUTE(SUBSTITUTE(SUBSTITUTE(SUBSTITUTE(LOWER(Registro!$E192),"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",LEN(Registro!$E192))),({1,2,3,4,5,6,7,8,9,10,11,12,13,14,15,16,17,18,19,20,21,22,23,24,25,26,27,28,29,30}-1)*LEN(Registro!$E192)+1,LEN(Registro!$E192)))&amp;"x")+1,20))),"Revisar formato")))</f>
        <v/>
      </c>
      <c r="F192" s="11" t="str">
        <f>IF(Registro!$F192="","",N(Registro!$F192))</f>
        <v/>
      </c>
      <c r="G192" s="11" t="str">
        <f t="shared" si="7"/>
        <v/>
      </c>
      <c r="H192" s="10" t="str">
        <f>IF(Registro!$G192="","",IF(ISERROR(FIND("x",LOWER(Registro!$G192))),"-",IFERROR(SUMPRODUCT(--("0"&amp;LEFT(TRIM(MID(SUBSTITUTE(SUBSTITUTE(SUBSTITUTE(SUBSTITUTE(SUBSTITUTE(LOWER(Registro!$G192),"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",LEN(Registro!$G192))),({1,2,3,4,5,6,7,8,9,10,11,12,13,14,15,16,17,18,19,20,21,22,23,24,25,26,27,28,29,30}-1)*LEN(Registro!$G192)+1,LEN(Registro!$G192))),FIND("x",TRIM(MID(SUBSTITUTE(SUBSTITUTE(SUBSTITUTE(SUBSTITUTE(SUBSTITUTE(LOWER(Registro!$G192),"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",LEN(Registro!$G192))),({1,2,3,4,5,6,7,8,9,10,11,12,13,14,15,16,17,18,19,20,21,22,23,24,25,26,27,28,29,30}-1)*LEN(Registro!$G192)+1,LEN(Registro!$G192)))&amp;"x")-1))),"Revisar formato")))</f>
        <v/>
      </c>
      <c r="I192" s="11" t="str">
        <f>IF(Registro!$G192="","",IF(ISERROR(FIND("x",LOWER(Registro!$G192))),N(Registro!$H192),IFERROR(SUMPRODUCT(--("0"&amp;LEFT(TRIM(MID(SUBSTITUTE(SUBSTITUTE(SUBSTITUTE(SUBSTITUTE(SUBSTITUTE(LOWER(Registro!$G192),"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",LEN(Registro!$G192))),({1,2,3,4,5,6,7,8,9,10,11,12,13,14,15,16,17,18,19,20,21,22,23,24,25,26,27,28,29,30}-1)*LEN(Registro!$G192)+1,LEN(Registro!$G192))),FIND("x",TRIM(MID(SUBSTITUTE(SUBSTITUTE(SUBSTITUTE(SUBSTITUTE(SUBSTITUTE(LOWER(Registro!$G192),"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",LEN(Registro!$G192))),({1,2,3,4,5,6,7,8,9,10,11,12,13,14,15,16,17,18,19,20,21,22,23,24,25,26,27,28,29,30}-1)*LEN(Registro!$G192)+1,LEN(Registro!$G192)))&amp;"x")-1)),--("0"&amp;MID(TRIM(MID(SUBSTITUTE(SUBSTITUTE(SUBSTITUTE(SUBSTITUTE(SUBSTITUTE(LOWER(Registro!$G192),"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",LEN(Registro!$G192))),({1,2,3,4,5,6,7,8,9,10,11,12,13,14,15,16,17,18,19,20,21,22,23,24,25,26,27,28,29,30}-1)*LEN(Registro!$G192)+1,LEN(Registro!$G192))),FIND("x",TRIM(MID(SUBSTITUTE(SUBSTITUTE(SUBSTITUTE(SUBSTITUTE(SUBSTITUTE(LOWER(Registro!$G192),"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",LEN(Registro!$G192))),({1,2,3,4,5,6,7,8,9,10,11,12,13,14,15,16,17,18,19,20,21,22,23,24,25,26,27,28,29,30}-1)*LEN(Registro!$G192)+1,LEN(Registro!$G192)))&amp;"x")+1,20))),"Revisar formato")))</f>
        <v/>
      </c>
      <c r="J192" s="9" t="str">
        <f>IF(AND(Registro!$E192="",Registro!$G192=""),"",IF(NOT(AND(ISNUMBER(I192),ISNUMBER(Registro!$H192))),"",IF(I192&lt;Registro!$H192,"FALTA BOLETOS",IF(I192=Registro!$H192,"CONFORME","DIFERENCIA"))))</f>
        <v/>
      </c>
      <c r="K192" s="11" t="str">
        <f>IF(Registro!$I192="","",IFERROR(SUMPRODUCT(--("0"&amp;TRIM(RIGHT(SUBSTITUTE(TRIM(MID(SUBSTITUTE(SUBSTITUTE(Registro!$I192,";",CHAR(10)),CHAR(10),REPT(" ",LEN(Registro!$I192))),({1,2,3,4,5,6,7,8,9,10,11,12,13,14,15,16,17,18,19,20,21,22,23,24,25,26,27,28,29,30}-1)*LEN(Registro!$I192)+1,LEN(Registro!$I192)))," ",REPT(" ",50)),50)))),"Revisar formato"))</f>
        <v/>
      </c>
      <c r="L192" s="11" t="str">
        <f>IF(Registro!$J192="","",IFERROR(SUMPRODUCT(--("0"&amp;TRIM(RIGHT(SUBSTITUTE(TRIM(MID(SUBSTITUTE(SUBSTITUTE(Registro!$J192,";",CHAR(10)),CHAR(10),REPT(" ",LEN(Registro!$J192))),({1,2,3,4,5,6,7,8,9,10,11,12,13,14,15,16,17,18,19,20,21,22,23,24,25,26,27,28,29,30}-1)*LEN(Registro!$J192)+1,LEN(Registro!$J192)))," ",REPT(" ",50)),50)))),"Revisar formato"))</f>
        <v/>
      </c>
      <c r="M192" s="11" t="str">
        <f>IF(AND(Registro!$H192="",Registro!$I192=""),"",IF(AND(ISTEXT(K192),K192&lt;&gt;""),"Revisar formato",N(Registro!$H192)-N(K192)))</f>
        <v/>
      </c>
      <c r="N192" s="11" t="str">
        <f t="shared" si="8"/>
        <v/>
      </c>
      <c r="O192" s="15" t="str">
        <f>IF(AND(A192=Consulta!$B$3,C192=Consulta!$H$3),B192*10000+ROW(),"")</f>
        <v/>
      </c>
    </row>
    <row r="193" spans="1:15" x14ac:dyDescent="0.25">
      <c r="A193" s="9" t="str">
        <f>IF(Registro!$A193="","",Registro!$A193)</f>
        <v/>
      </c>
      <c r="B193" s="8" t="str">
        <f>IF(Registro!$B193="","",Registro!$B193)</f>
        <v/>
      </c>
      <c r="C193" s="14" t="str">
        <f t="shared" si="6"/>
        <v/>
      </c>
      <c r="D193" s="10" t="str">
        <f>IF(Registro!$E193="","",IF(ISERROR(FIND("x",LOWER(Registro!$E193))),"-",IFERROR(SUMPRODUCT(--("0"&amp;LEFT(TRIM(MID(SUBSTITUTE(SUBSTITUTE(SUBSTITUTE(SUBSTITUTE(SUBSTITUTE(LOWER(Registro!$E193),"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",LEN(Registro!$E193))),({1,2,3,4,5,6,7,8,9,10,11,12,13,14,15,16,17,18,19,20,21,22,23,24,25,26,27,28,29,30}-1)*LEN(Registro!$E193)+1,LEN(Registro!$E193)))&amp;"x")-1))),"Revisar formato")))</f>
        <v/>
      </c>
      <c r="E193" s="11" t="str">
        <f>IF(Registro!$E193="","",IF(ISERROR(FIND("x",LOWER(Registro!$E193))),"-",IFERROR(SUMPRODUCT(--("0"&amp;LEFT(TRIM(MID(SUBSTITUTE(SUBSTITUTE(SUBSTITUTE(SUBSTITUTE(SUBSTITUTE(LOWER(Registro!$E193),"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",LEN(Registro!$E193))),({1,2,3,4,5,6,7,8,9,10,11,12,13,14,15,16,17,18,19,20,21,22,23,24,25,26,27,28,29,30}-1)*LEN(Registro!$E193)+1,LEN(Registro!$E193)))&amp;"x")-1)),--("0"&amp;MID(TRIM(MID(SUBSTITUTE(SUBSTITUTE(SUBSTITUTE(SUBSTITUTE(SUBSTITUTE(LOWER(Registro!$E193),"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",LEN(Registro!$E193))),({1,2,3,4,5,6,7,8,9,10,11,12,13,14,15,16,17,18,19,20,21,22,23,24,25,26,27,28,29,30}-1)*LEN(Registro!$E193)+1,LEN(Registro!$E193)))&amp;"x")+1,20))),"Revisar formato")))</f>
        <v/>
      </c>
      <c r="F193" s="11" t="str">
        <f>IF(Registro!$F193="","",N(Registro!$F193))</f>
        <v/>
      </c>
      <c r="G193" s="11" t="str">
        <f t="shared" si="7"/>
        <v/>
      </c>
      <c r="H193" s="10" t="str">
        <f>IF(Registro!$G193="","",IF(ISERROR(FIND("x",LOWER(Registro!$G193))),"-",IFERROR(SUMPRODUCT(--("0"&amp;LEFT(TRIM(MID(SUBSTITUTE(SUBSTITUTE(SUBSTITUTE(SUBSTITUTE(SUBSTITUTE(LOWER(Registro!$G193),"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",LEN(Registro!$G193))),({1,2,3,4,5,6,7,8,9,10,11,12,13,14,15,16,17,18,19,20,21,22,23,24,25,26,27,28,29,30}-1)*LEN(Registro!$G193)+1,LEN(Registro!$G193))),FIND("x",TRIM(MID(SUBSTITUTE(SUBSTITUTE(SUBSTITUTE(SUBSTITUTE(SUBSTITUTE(LOWER(Registro!$G193),"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",LEN(Registro!$G193))),({1,2,3,4,5,6,7,8,9,10,11,12,13,14,15,16,17,18,19,20,21,22,23,24,25,26,27,28,29,30}-1)*LEN(Registro!$G193)+1,LEN(Registro!$G193)))&amp;"x")-1))),"Revisar formato")))</f>
        <v/>
      </c>
      <c r="I193" s="11" t="str">
        <f>IF(Registro!$G193="","",IF(ISERROR(FIND("x",LOWER(Registro!$G193))),N(Registro!$H193),IFERROR(SUMPRODUCT(--("0"&amp;LEFT(TRIM(MID(SUBSTITUTE(SUBSTITUTE(SUBSTITUTE(SUBSTITUTE(SUBSTITUTE(LOWER(Registro!$G193),"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",LEN(Registro!$G193))),({1,2,3,4,5,6,7,8,9,10,11,12,13,14,15,16,17,18,19,20,21,22,23,24,25,26,27,28,29,30}-1)*LEN(Registro!$G193)+1,LEN(Registro!$G193))),FIND("x",TRIM(MID(SUBSTITUTE(SUBSTITUTE(SUBSTITUTE(SUBSTITUTE(SUBSTITUTE(LOWER(Registro!$G193),"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",LEN(Registro!$G193))),({1,2,3,4,5,6,7,8,9,10,11,12,13,14,15,16,17,18,19,20,21,22,23,24,25,26,27,28,29,30}-1)*LEN(Registro!$G193)+1,LEN(Registro!$G193)))&amp;"x")-1)),--("0"&amp;MID(TRIM(MID(SUBSTITUTE(SUBSTITUTE(SUBSTITUTE(SUBSTITUTE(SUBSTITUTE(LOWER(Registro!$G193),"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",LEN(Registro!$G193))),({1,2,3,4,5,6,7,8,9,10,11,12,13,14,15,16,17,18,19,20,21,22,23,24,25,26,27,28,29,30}-1)*LEN(Registro!$G193)+1,LEN(Registro!$G193))),FIND("x",TRIM(MID(SUBSTITUTE(SUBSTITUTE(SUBSTITUTE(SUBSTITUTE(SUBSTITUTE(LOWER(Registro!$G193),"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",LEN(Registro!$G193))),({1,2,3,4,5,6,7,8,9,10,11,12,13,14,15,16,17,18,19,20,21,22,23,24,25,26,27,28,29,30}-1)*LEN(Registro!$G193)+1,LEN(Registro!$G193)))&amp;"x")+1,20))),"Revisar formato")))</f>
        <v/>
      </c>
      <c r="J193" s="9" t="str">
        <f>IF(AND(Registro!$E193="",Registro!$G193=""),"",IF(NOT(AND(ISNUMBER(I193),ISNUMBER(Registro!$H193))),"",IF(I193&lt;Registro!$H193,"FALTA BOLETOS",IF(I193=Registro!$H193,"CONFORME","DIFERENCIA"))))</f>
        <v/>
      </c>
      <c r="K193" s="11" t="str">
        <f>IF(Registro!$I193="","",IFERROR(SUMPRODUCT(--("0"&amp;TRIM(RIGHT(SUBSTITUTE(TRIM(MID(SUBSTITUTE(SUBSTITUTE(Registro!$I193,";",CHAR(10)),CHAR(10),REPT(" ",LEN(Registro!$I193))),({1,2,3,4,5,6,7,8,9,10,11,12,13,14,15,16,17,18,19,20,21,22,23,24,25,26,27,28,29,30}-1)*LEN(Registro!$I193)+1,LEN(Registro!$I193)))," ",REPT(" ",50)),50)))),"Revisar formato"))</f>
        <v/>
      </c>
      <c r="L193" s="11" t="str">
        <f>IF(Registro!$J193="","",IFERROR(SUMPRODUCT(--("0"&amp;TRIM(RIGHT(SUBSTITUTE(TRIM(MID(SUBSTITUTE(SUBSTITUTE(Registro!$J193,";",CHAR(10)),CHAR(10),REPT(" ",LEN(Registro!$J193))),({1,2,3,4,5,6,7,8,9,10,11,12,13,14,15,16,17,18,19,20,21,22,23,24,25,26,27,28,29,30}-1)*LEN(Registro!$J193)+1,LEN(Registro!$J193)))," ",REPT(" ",50)),50)))),"Revisar formato"))</f>
        <v/>
      </c>
      <c r="M193" s="11" t="str">
        <f>IF(AND(Registro!$H193="",Registro!$I193=""),"",IF(AND(ISTEXT(K193),K193&lt;&gt;""),"Revisar formato",N(Registro!$H193)-N(K193)))</f>
        <v/>
      </c>
      <c r="N193" s="11" t="str">
        <f t="shared" si="8"/>
        <v/>
      </c>
      <c r="O193" s="15" t="str">
        <f>IF(AND(A193=Consulta!$B$3,C193=Consulta!$H$3),B193*10000+ROW(),"")</f>
        <v/>
      </c>
    </row>
    <row r="194" spans="1:15" x14ac:dyDescent="0.25">
      <c r="A194" s="9" t="str">
        <f>IF(Registro!$A194="","",Registro!$A194)</f>
        <v/>
      </c>
      <c r="B194" s="8" t="str">
        <f>IF(Registro!$B194="","",Registro!$B194)</f>
        <v/>
      </c>
      <c r="C194" s="14" t="str">
        <f t="shared" ref="C194:C257" si="9">IF(ISNUMBER(B194),YEAR(B194)*100+MONTH(B194),"")</f>
        <v/>
      </c>
      <c r="D194" s="10" t="str">
        <f>IF(Registro!$E194="","",IF(ISERROR(FIND("x",LOWER(Registro!$E194))),"-",IFERROR(SUMPRODUCT(--("0"&amp;LEFT(TRIM(MID(SUBSTITUTE(SUBSTITUTE(SUBSTITUTE(SUBSTITUTE(SUBSTITUTE(LOWER(Registro!$E194),"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",LEN(Registro!$E194))),({1,2,3,4,5,6,7,8,9,10,11,12,13,14,15,16,17,18,19,20,21,22,23,24,25,26,27,28,29,30}-1)*LEN(Registro!$E194)+1,LEN(Registro!$E194)))&amp;"x")-1))),"Revisar formato")))</f>
        <v/>
      </c>
      <c r="E194" s="11" t="str">
        <f>IF(Registro!$E194="","",IF(ISERROR(FIND("x",LOWER(Registro!$E194))),"-",IFERROR(SUMPRODUCT(--("0"&amp;LEFT(TRIM(MID(SUBSTITUTE(SUBSTITUTE(SUBSTITUTE(SUBSTITUTE(SUBSTITUTE(LOWER(Registro!$E194),"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",LEN(Registro!$E194))),({1,2,3,4,5,6,7,8,9,10,11,12,13,14,15,16,17,18,19,20,21,22,23,24,25,26,27,28,29,30}-1)*LEN(Registro!$E194)+1,LEN(Registro!$E194)))&amp;"x")-1)),--("0"&amp;MID(TRIM(MID(SUBSTITUTE(SUBSTITUTE(SUBSTITUTE(SUBSTITUTE(SUBSTITUTE(LOWER(Registro!$E194),"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",LEN(Registro!$E194))),({1,2,3,4,5,6,7,8,9,10,11,12,13,14,15,16,17,18,19,20,21,22,23,24,25,26,27,28,29,30}-1)*LEN(Registro!$E194)+1,LEN(Registro!$E194)))&amp;"x")+1,20))),"Revisar formato")))</f>
        <v/>
      </c>
      <c r="F194" s="11" t="str">
        <f>IF(Registro!$F194="","",N(Registro!$F194))</f>
        <v/>
      </c>
      <c r="G194" s="11" t="str">
        <f t="shared" ref="G194:G257" si="10">IF(AND(E194="",F194=""),"",IF(OR(E194="",ISNUMBER(E194)),N(E194)-N(F194),E194))</f>
        <v/>
      </c>
      <c r="H194" s="10" t="str">
        <f>IF(Registro!$G194="","",IF(ISERROR(FIND("x",LOWER(Registro!$G194))),"-",IFERROR(SUMPRODUCT(--("0"&amp;LEFT(TRIM(MID(SUBSTITUTE(SUBSTITUTE(SUBSTITUTE(SUBSTITUTE(SUBSTITUTE(LOWER(Registro!$G194),"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",LEN(Registro!$G194))),({1,2,3,4,5,6,7,8,9,10,11,12,13,14,15,16,17,18,19,20,21,22,23,24,25,26,27,28,29,30}-1)*LEN(Registro!$G194)+1,LEN(Registro!$G194))),FIND("x",TRIM(MID(SUBSTITUTE(SUBSTITUTE(SUBSTITUTE(SUBSTITUTE(SUBSTITUTE(LOWER(Registro!$G194),"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",LEN(Registro!$G194))),({1,2,3,4,5,6,7,8,9,10,11,12,13,14,15,16,17,18,19,20,21,22,23,24,25,26,27,28,29,30}-1)*LEN(Registro!$G194)+1,LEN(Registro!$G194)))&amp;"x")-1))),"Revisar formato")))</f>
        <v/>
      </c>
      <c r="I194" s="11" t="str">
        <f>IF(Registro!$G194="","",IF(ISERROR(FIND("x",LOWER(Registro!$G194))),N(Registro!$H194),IFERROR(SUMPRODUCT(--("0"&amp;LEFT(TRIM(MID(SUBSTITUTE(SUBSTITUTE(SUBSTITUTE(SUBSTITUTE(SUBSTITUTE(LOWER(Registro!$G194),"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",LEN(Registro!$G194))),({1,2,3,4,5,6,7,8,9,10,11,12,13,14,15,16,17,18,19,20,21,22,23,24,25,26,27,28,29,30}-1)*LEN(Registro!$G194)+1,LEN(Registro!$G194))),FIND("x",TRIM(MID(SUBSTITUTE(SUBSTITUTE(SUBSTITUTE(SUBSTITUTE(SUBSTITUTE(LOWER(Registro!$G194),"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",LEN(Registro!$G194))),({1,2,3,4,5,6,7,8,9,10,11,12,13,14,15,16,17,18,19,20,21,22,23,24,25,26,27,28,29,30}-1)*LEN(Registro!$G194)+1,LEN(Registro!$G194)))&amp;"x")-1)),--("0"&amp;MID(TRIM(MID(SUBSTITUTE(SUBSTITUTE(SUBSTITUTE(SUBSTITUTE(SUBSTITUTE(LOWER(Registro!$G194),"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",LEN(Registro!$G194))),({1,2,3,4,5,6,7,8,9,10,11,12,13,14,15,16,17,18,19,20,21,22,23,24,25,26,27,28,29,30}-1)*LEN(Registro!$G194)+1,LEN(Registro!$G194))),FIND("x",TRIM(MID(SUBSTITUTE(SUBSTITUTE(SUBSTITUTE(SUBSTITUTE(SUBSTITUTE(LOWER(Registro!$G194),"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",LEN(Registro!$G194))),({1,2,3,4,5,6,7,8,9,10,11,12,13,14,15,16,17,18,19,20,21,22,23,24,25,26,27,28,29,30}-1)*LEN(Registro!$G194)+1,LEN(Registro!$G194)))&amp;"x")+1,20))),"Revisar formato")))</f>
        <v/>
      </c>
      <c r="J194" s="9" t="str">
        <f>IF(AND(Registro!$E194="",Registro!$G194=""),"",IF(NOT(AND(ISNUMBER(I194),ISNUMBER(Registro!$H194))),"",IF(I194&lt;Registro!$H194,"FALTA BOLETOS",IF(I194=Registro!$H194,"CONFORME","DIFERENCIA"))))</f>
        <v/>
      </c>
      <c r="K194" s="11" t="str">
        <f>IF(Registro!$I194="","",IFERROR(SUMPRODUCT(--("0"&amp;TRIM(RIGHT(SUBSTITUTE(TRIM(MID(SUBSTITUTE(SUBSTITUTE(Registro!$I194,";",CHAR(10)),CHAR(10),REPT(" ",LEN(Registro!$I194))),({1,2,3,4,5,6,7,8,9,10,11,12,13,14,15,16,17,18,19,20,21,22,23,24,25,26,27,28,29,30}-1)*LEN(Registro!$I194)+1,LEN(Registro!$I194)))," ",REPT(" ",50)),50)))),"Revisar formato"))</f>
        <v/>
      </c>
      <c r="L194" s="11" t="str">
        <f>IF(Registro!$J194="","",IFERROR(SUMPRODUCT(--("0"&amp;TRIM(RIGHT(SUBSTITUTE(TRIM(MID(SUBSTITUTE(SUBSTITUTE(Registro!$J194,";",CHAR(10)),CHAR(10),REPT(" ",LEN(Registro!$J194))),({1,2,3,4,5,6,7,8,9,10,11,12,13,14,15,16,17,18,19,20,21,22,23,24,25,26,27,28,29,30}-1)*LEN(Registro!$J194)+1,LEN(Registro!$J194)))," ",REPT(" ",50)),50)))),"Revisar formato"))</f>
        <v/>
      </c>
      <c r="M194" s="11" t="str">
        <f>IF(AND(Registro!$H194="",Registro!$I194=""),"",IF(AND(ISTEXT(K194),K194&lt;&gt;""),"Revisar formato",N(Registro!$H194)-N(K194)))</f>
        <v/>
      </c>
      <c r="N194" s="11" t="str">
        <f t="shared" ref="N194:N257" si="11">IF(M194="","",IF(OR(M194="Revisar formato",AND(ISTEXT(L194),L194&lt;&gt;"")),"Revisar formato",M194-N(L194)))</f>
        <v/>
      </c>
      <c r="O194" s="15" t="str">
        <f>IF(AND(A194=Consulta!$B$3,C194=Consulta!$H$3),B194*10000+ROW(),"")</f>
        <v/>
      </c>
    </row>
    <row r="195" spans="1:15" x14ac:dyDescent="0.25">
      <c r="A195" s="9" t="str">
        <f>IF(Registro!$A195="","",Registro!$A195)</f>
        <v/>
      </c>
      <c r="B195" s="8" t="str">
        <f>IF(Registro!$B195="","",Registro!$B195)</f>
        <v/>
      </c>
      <c r="C195" s="14" t="str">
        <f t="shared" si="9"/>
        <v/>
      </c>
      <c r="D195" s="10" t="str">
        <f>IF(Registro!$E195="","",IF(ISERROR(FIND("x",LOWER(Registro!$E195))),"-",IFERROR(SUMPRODUCT(--("0"&amp;LEFT(TRIM(MID(SUBSTITUTE(SUBSTITUTE(SUBSTITUTE(SUBSTITUTE(SUBSTITUTE(LOWER(Registro!$E195),"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",LEN(Registro!$E195))),({1,2,3,4,5,6,7,8,9,10,11,12,13,14,15,16,17,18,19,20,21,22,23,24,25,26,27,28,29,30}-1)*LEN(Registro!$E195)+1,LEN(Registro!$E195)))&amp;"x")-1))),"Revisar formato")))</f>
        <v/>
      </c>
      <c r="E195" s="11" t="str">
        <f>IF(Registro!$E195="","",IF(ISERROR(FIND("x",LOWER(Registro!$E195))),"-",IFERROR(SUMPRODUCT(--("0"&amp;LEFT(TRIM(MID(SUBSTITUTE(SUBSTITUTE(SUBSTITUTE(SUBSTITUTE(SUBSTITUTE(LOWER(Registro!$E195),"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",LEN(Registro!$E195))),({1,2,3,4,5,6,7,8,9,10,11,12,13,14,15,16,17,18,19,20,21,22,23,24,25,26,27,28,29,30}-1)*LEN(Registro!$E195)+1,LEN(Registro!$E195)))&amp;"x")-1)),--("0"&amp;MID(TRIM(MID(SUBSTITUTE(SUBSTITUTE(SUBSTITUTE(SUBSTITUTE(SUBSTITUTE(LOWER(Registro!$E195),"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",LEN(Registro!$E195))),({1,2,3,4,5,6,7,8,9,10,11,12,13,14,15,16,17,18,19,20,21,22,23,24,25,26,27,28,29,30}-1)*LEN(Registro!$E195)+1,LEN(Registro!$E195)))&amp;"x")+1,20))),"Revisar formato")))</f>
        <v/>
      </c>
      <c r="F195" s="11" t="str">
        <f>IF(Registro!$F195="","",N(Registro!$F195))</f>
        <v/>
      </c>
      <c r="G195" s="11" t="str">
        <f t="shared" si="10"/>
        <v/>
      </c>
      <c r="H195" s="10" t="str">
        <f>IF(Registro!$G195="","",IF(ISERROR(FIND("x",LOWER(Registro!$G195))),"-",IFERROR(SUMPRODUCT(--("0"&amp;LEFT(TRIM(MID(SUBSTITUTE(SUBSTITUTE(SUBSTITUTE(SUBSTITUTE(SUBSTITUTE(LOWER(Registro!$G195),"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",LEN(Registro!$G195))),({1,2,3,4,5,6,7,8,9,10,11,12,13,14,15,16,17,18,19,20,21,22,23,24,25,26,27,28,29,30}-1)*LEN(Registro!$G195)+1,LEN(Registro!$G195))),FIND("x",TRIM(MID(SUBSTITUTE(SUBSTITUTE(SUBSTITUTE(SUBSTITUTE(SUBSTITUTE(LOWER(Registro!$G195),"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",LEN(Registro!$G195))),({1,2,3,4,5,6,7,8,9,10,11,12,13,14,15,16,17,18,19,20,21,22,23,24,25,26,27,28,29,30}-1)*LEN(Registro!$G195)+1,LEN(Registro!$G195)))&amp;"x")-1))),"Revisar formato")))</f>
        <v/>
      </c>
      <c r="I195" s="11" t="str">
        <f>IF(Registro!$G195="","",IF(ISERROR(FIND("x",LOWER(Registro!$G195))),N(Registro!$H195),IFERROR(SUMPRODUCT(--("0"&amp;LEFT(TRIM(MID(SUBSTITUTE(SUBSTITUTE(SUBSTITUTE(SUBSTITUTE(SUBSTITUTE(LOWER(Registro!$G195),"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",LEN(Registro!$G195))),({1,2,3,4,5,6,7,8,9,10,11,12,13,14,15,16,17,18,19,20,21,22,23,24,25,26,27,28,29,30}-1)*LEN(Registro!$G195)+1,LEN(Registro!$G195))),FIND("x",TRIM(MID(SUBSTITUTE(SUBSTITUTE(SUBSTITUTE(SUBSTITUTE(SUBSTITUTE(LOWER(Registro!$G195),"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",LEN(Registro!$G195))),({1,2,3,4,5,6,7,8,9,10,11,12,13,14,15,16,17,18,19,20,21,22,23,24,25,26,27,28,29,30}-1)*LEN(Registro!$G195)+1,LEN(Registro!$G195)))&amp;"x")-1)),--("0"&amp;MID(TRIM(MID(SUBSTITUTE(SUBSTITUTE(SUBSTITUTE(SUBSTITUTE(SUBSTITUTE(LOWER(Registro!$G195),"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",LEN(Registro!$G195))),({1,2,3,4,5,6,7,8,9,10,11,12,13,14,15,16,17,18,19,20,21,22,23,24,25,26,27,28,29,30}-1)*LEN(Registro!$G195)+1,LEN(Registro!$G195))),FIND("x",TRIM(MID(SUBSTITUTE(SUBSTITUTE(SUBSTITUTE(SUBSTITUTE(SUBSTITUTE(LOWER(Registro!$G195),"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",LEN(Registro!$G195))),({1,2,3,4,5,6,7,8,9,10,11,12,13,14,15,16,17,18,19,20,21,22,23,24,25,26,27,28,29,30}-1)*LEN(Registro!$G195)+1,LEN(Registro!$G195)))&amp;"x")+1,20))),"Revisar formato")))</f>
        <v/>
      </c>
      <c r="J195" s="9" t="str">
        <f>IF(AND(Registro!$E195="",Registro!$G195=""),"",IF(NOT(AND(ISNUMBER(I195),ISNUMBER(Registro!$H195))),"",IF(I195&lt;Registro!$H195,"FALTA BOLETOS",IF(I195=Registro!$H195,"CONFORME","DIFERENCIA"))))</f>
        <v/>
      </c>
      <c r="K195" s="11" t="str">
        <f>IF(Registro!$I195="","",IFERROR(SUMPRODUCT(--("0"&amp;TRIM(RIGHT(SUBSTITUTE(TRIM(MID(SUBSTITUTE(SUBSTITUTE(Registro!$I195,";",CHAR(10)),CHAR(10),REPT(" ",LEN(Registro!$I195))),({1,2,3,4,5,6,7,8,9,10,11,12,13,14,15,16,17,18,19,20,21,22,23,24,25,26,27,28,29,30}-1)*LEN(Registro!$I195)+1,LEN(Registro!$I195)))," ",REPT(" ",50)),50)))),"Revisar formato"))</f>
        <v/>
      </c>
      <c r="L195" s="11" t="str">
        <f>IF(Registro!$J195="","",IFERROR(SUMPRODUCT(--("0"&amp;TRIM(RIGHT(SUBSTITUTE(TRIM(MID(SUBSTITUTE(SUBSTITUTE(Registro!$J195,";",CHAR(10)),CHAR(10),REPT(" ",LEN(Registro!$J195))),({1,2,3,4,5,6,7,8,9,10,11,12,13,14,15,16,17,18,19,20,21,22,23,24,25,26,27,28,29,30}-1)*LEN(Registro!$J195)+1,LEN(Registro!$J195)))," ",REPT(" ",50)),50)))),"Revisar formato"))</f>
        <v/>
      </c>
      <c r="M195" s="11" t="str">
        <f>IF(AND(Registro!$H195="",Registro!$I195=""),"",IF(AND(ISTEXT(K195),K195&lt;&gt;""),"Revisar formato",N(Registro!$H195)-N(K195)))</f>
        <v/>
      </c>
      <c r="N195" s="11" t="str">
        <f t="shared" si="11"/>
        <v/>
      </c>
      <c r="O195" s="15" t="str">
        <f>IF(AND(A195=Consulta!$B$3,C195=Consulta!$H$3),B195*10000+ROW(),"")</f>
        <v/>
      </c>
    </row>
    <row r="196" spans="1:15" x14ac:dyDescent="0.25">
      <c r="A196" s="9" t="str">
        <f>IF(Registro!$A196="","",Registro!$A196)</f>
        <v/>
      </c>
      <c r="B196" s="8" t="str">
        <f>IF(Registro!$B196="","",Registro!$B196)</f>
        <v/>
      </c>
      <c r="C196" s="14" t="str">
        <f t="shared" si="9"/>
        <v/>
      </c>
      <c r="D196" s="10" t="str">
        <f>IF(Registro!$E196="","",IF(ISERROR(FIND("x",LOWER(Registro!$E196))),"-",IFERROR(SUMPRODUCT(--("0"&amp;LEFT(TRIM(MID(SUBSTITUTE(SUBSTITUTE(SUBSTITUTE(SUBSTITUTE(SUBSTITUTE(LOWER(Registro!$E196),"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",LEN(Registro!$E196))),({1,2,3,4,5,6,7,8,9,10,11,12,13,14,15,16,17,18,19,20,21,22,23,24,25,26,27,28,29,30}-1)*LEN(Registro!$E196)+1,LEN(Registro!$E196)))&amp;"x")-1))),"Revisar formato")))</f>
        <v/>
      </c>
      <c r="E196" s="11" t="str">
        <f>IF(Registro!$E196="","",IF(ISERROR(FIND("x",LOWER(Registro!$E196))),"-",IFERROR(SUMPRODUCT(--("0"&amp;LEFT(TRIM(MID(SUBSTITUTE(SUBSTITUTE(SUBSTITUTE(SUBSTITUTE(SUBSTITUTE(LOWER(Registro!$E196),"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",LEN(Registro!$E196))),({1,2,3,4,5,6,7,8,9,10,11,12,13,14,15,16,17,18,19,20,21,22,23,24,25,26,27,28,29,30}-1)*LEN(Registro!$E196)+1,LEN(Registro!$E196)))&amp;"x")-1)),--("0"&amp;MID(TRIM(MID(SUBSTITUTE(SUBSTITUTE(SUBSTITUTE(SUBSTITUTE(SUBSTITUTE(LOWER(Registro!$E196),"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",LEN(Registro!$E196))),({1,2,3,4,5,6,7,8,9,10,11,12,13,14,15,16,17,18,19,20,21,22,23,24,25,26,27,28,29,30}-1)*LEN(Registro!$E196)+1,LEN(Registro!$E196)))&amp;"x")+1,20))),"Revisar formato")))</f>
        <v/>
      </c>
      <c r="F196" s="11" t="str">
        <f>IF(Registro!$F196="","",N(Registro!$F196))</f>
        <v/>
      </c>
      <c r="G196" s="11" t="str">
        <f t="shared" si="10"/>
        <v/>
      </c>
      <c r="H196" s="10" t="str">
        <f>IF(Registro!$G196="","",IF(ISERROR(FIND("x",LOWER(Registro!$G196))),"-",IFERROR(SUMPRODUCT(--("0"&amp;LEFT(TRIM(MID(SUBSTITUTE(SUBSTITUTE(SUBSTITUTE(SUBSTITUTE(SUBSTITUTE(LOWER(Registro!$G196),"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",LEN(Registro!$G196))),({1,2,3,4,5,6,7,8,9,10,11,12,13,14,15,16,17,18,19,20,21,22,23,24,25,26,27,28,29,30}-1)*LEN(Registro!$G196)+1,LEN(Registro!$G196))),FIND("x",TRIM(MID(SUBSTITUTE(SUBSTITUTE(SUBSTITUTE(SUBSTITUTE(SUBSTITUTE(LOWER(Registro!$G196),"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",LEN(Registro!$G196))),({1,2,3,4,5,6,7,8,9,10,11,12,13,14,15,16,17,18,19,20,21,22,23,24,25,26,27,28,29,30}-1)*LEN(Registro!$G196)+1,LEN(Registro!$G196)))&amp;"x")-1))),"Revisar formato")))</f>
        <v/>
      </c>
      <c r="I196" s="11" t="str">
        <f>IF(Registro!$G196="","",IF(ISERROR(FIND("x",LOWER(Registro!$G196))),N(Registro!$H196),IFERROR(SUMPRODUCT(--("0"&amp;LEFT(TRIM(MID(SUBSTITUTE(SUBSTITUTE(SUBSTITUTE(SUBSTITUTE(SUBSTITUTE(LOWER(Registro!$G196),"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",LEN(Registro!$G196))),({1,2,3,4,5,6,7,8,9,10,11,12,13,14,15,16,17,18,19,20,21,22,23,24,25,26,27,28,29,30}-1)*LEN(Registro!$G196)+1,LEN(Registro!$G196))),FIND("x",TRIM(MID(SUBSTITUTE(SUBSTITUTE(SUBSTITUTE(SUBSTITUTE(SUBSTITUTE(LOWER(Registro!$G196),"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",LEN(Registro!$G196))),({1,2,3,4,5,6,7,8,9,10,11,12,13,14,15,16,17,18,19,20,21,22,23,24,25,26,27,28,29,30}-1)*LEN(Registro!$G196)+1,LEN(Registro!$G196)))&amp;"x")-1)),--("0"&amp;MID(TRIM(MID(SUBSTITUTE(SUBSTITUTE(SUBSTITUTE(SUBSTITUTE(SUBSTITUTE(LOWER(Registro!$G196),"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",LEN(Registro!$G196))),({1,2,3,4,5,6,7,8,9,10,11,12,13,14,15,16,17,18,19,20,21,22,23,24,25,26,27,28,29,30}-1)*LEN(Registro!$G196)+1,LEN(Registro!$G196))),FIND("x",TRIM(MID(SUBSTITUTE(SUBSTITUTE(SUBSTITUTE(SUBSTITUTE(SUBSTITUTE(LOWER(Registro!$G196),"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",LEN(Registro!$G196))),({1,2,3,4,5,6,7,8,9,10,11,12,13,14,15,16,17,18,19,20,21,22,23,24,25,26,27,28,29,30}-1)*LEN(Registro!$G196)+1,LEN(Registro!$G196)))&amp;"x")+1,20))),"Revisar formato")))</f>
        <v/>
      </c>
      <c r="J196" s="9" t="str">
        <f>IF(AND(Registro!$E196="",Registro!$G196=""),"",IF(NOT(AND(ISNUMBER(I196),ISNUMBER(Registro!$H196))),"",IF(I196&lt;Registro!$H196,"FALTA BOLETOS",IF(I196=Registro!$H196,"CONFORME","DIFERENCIA"))))</f>
        <v/>
      </c>
      <c r="K196" s="11" t="str">
        <f>IF(Registro!$I196="","",IFERROR(SUMPRODUCT(--("0"&amp;TRIM(RIGHT(SUBSTITUTE(TRIM(MID(SUBSTITUTE(SUBSTITUTE(Registro!$I196,";",CHAR(10)),CHAR(10),REPT(" ",LEN(Registro!$I196))),({1,2,3,4,5,6,7,8,9,10,11,12,13,14,15,16,17,18,19,20,21,22,23,24,25,26,27,28,29,30}-1)*LEN(Registro!$I196)+1,LEN(Registro!$I196)))," ",REPT(" ",50)),50)))),"Revisar formato"))</f>
        <v/>
      </c>
      <c r="L196" s="11" t="str">
        <f>IF(Registro!$J196="","",IFERROR(SUMPRODUCT(--("0"&amp;TRIM(RIGHT(SUBSTITUTE(TRIM(MID(SUBSTITUTE(SUBSTITUTE(Registro!$J196,";",CHAR(10)),CHAR(10),REPT(" ",LEN(Registro!$J196))),({1,2,3,4,5,6,7,8,9,10,11,12,13,14,15,16,17,18,19,20,21,22,23,24,25,26,27,28,29,30}-1)*LEN(Registro!$J196)+1,LEN(Registro!$J196)))," ",REPT(" ",50)),50)))),"Revisar formato"))</f>
        <v/>
      </c>
      <c r="M196" s="11" t="str">
        <f>IF(AND(Registro!$H196="",Registro!$I196=""),"",IF(AND(ISTEXT(K196),K196&lt;&gt;""),"Revisar formato",N(Registro!$H196)-N(K196)))</f>
        <v/>
      </c>
      <c r="N196" s="11" t="str">
        <f t="shared" si="11"/>
        <v/>
      </c>
      <c r="O196" s="15" t="str">
        <f>IF(AND(A196=Consulta!$B$3,C196=Consulta!$H$3),B196*10000+ROW(),"")</f>
        <v/>
      </c>
    </row>
    <row r="197" spans="1:15" x14ac:dyDescent="0.25">
      <c r="A197" s="9" t="str">
        <f>IF(Registro!$A197="","",Registro!$A197)</f>
        <v/>
      </c>
      <c r="B197" s="8" t="str">
        <f>IF(Registro!$B197="","",Registro!$B197)</f>
        <v/>
      </c>
      <c r="C197" s="14" t="str">
        <f t="shared" si="9"/>
        <v/>
      </c>
      <c r="D197" s="10" t="str">
        <f>IF(Registro!$E197="","",IF(ISERROR(FIND("x",LOWER(Registro!$E197))),"-",IFERROR(SUMPRODUCT(--("0"&amp;LEFT(TRIM(MID(SUBSTITUTE(SUBSTITUTE(SUBSTITUTE(SUBSTITUTE(SUBSTITUTE(LOWER(Registro!$E197),"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",LEN(Registro!$E197))),({1,2,3,4,5,6,7,8,9,10,11,12,13,14,15,16,17,18,19,20,21,22,23,24,25,26,27,28,29,30}-1)*LEN(Registro!$E197)+1,LEN(Registro!$E197)))&amp;"x")-1))),"Revisar formato")))</f>
        <v/>
      </c>
      <c r="E197" s="11" t="str">
        <f>IF(Registro!$E197="","",IF(ISERROR(FIND("x",LOWER(Registro!$E197))),"-",IFERROR(SUMPRODUCT(--("0"&amp;LEFT(TRIM(MID(SUBSTITUTE(SUBSTITUTE(SUBSTITUTE(SUBSTITUTE(SUBSTITUTE(LOWER(Registro!$E197),"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",LEN(Registro!$E197))),({1,2,3,4,5,6,7,8,9,10,11,12,13,14,15,16,17,18,19,20,21,22,23,24,25,26,27,28,29,30}-1)*LEN(Registro!$E197)+1,LEN(Registro!$E197)))&amp;"x")-1)),--("0"&amp;MID(TRIM(MID(SUBSTITUTE(SUBSTITUTE(SUBSTITUTE(SUBSTITUTE(SUBSTITUTE(LOWER(Registro!$E197),"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",LEN(Registro!$E197))),({1,2,3,4,5,6,7,8,9,10,11,12,13,14,15,16,17,18,19,20,21,22,23,24,25,26,27,28,29,30}-1)*LEN(Registro!$E197)+1,LEN(Registro!$E197)))&amp;"x")+1,20))),"Revisar formato")))</f>
        <v/>
      </c>
      <c r="F197" s="11" t="str">
        <f>IF(Registro!$F197="","",N(Registro!$F197))</f>
        <v/>
      </c>
      <c r="G197" s="11" t="str">
        <f t="shared" si="10"/>
        <v/>
      </c>
      <c r="H197" s="10" t="str">
        <f>IF(Registro!$G197="","",IF(ISERROR(FIND("x",LOWER(Registro!$G197))),"-",IFERROR(SUMPRODUCT(--("0"&amp;LEFT(TRIM(MID(SUBSTITUTE(SUBSTITUTE(SUBSTITUTE(SUBSTITUTE(SUBSTITUTE(LOWER(Registro!$G197),"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",LEN(Registro!$G197))),({1,2,3,4,5,6,7,8,9,10,11,12,13,14,15,16,17,18,19,20,21,22,23,24,25,26,27,28,29,30}-1)*LEN(Registro!$G197)+1,LEN(Registro!$G197))),FIND("x",TRIM(MID(SUBSTITUTE(SUBSTITUTE(SUBSTITUTE(SUBSTITUTE(SUBSTITUTE(LOWER(Registro!$G197),"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",LEN(Registro!$G197))),({1,2,3,4,5,6,7,8,9,10,11,12,13,14,15,16,17,18,19,20,21,22,23,24,25,26,27,28,29,30}-1)*LEN(Registro!$G197)+1,LEN(Registro!$G197)))&amp;"x")-1))),"Revisar formato")))</f>
        <v/>
      </c>
      <c r="I197" s="11" t="str">
        <f>IF(Registro!$G197="","",IF(ISERROR(FIND("x",LOWER(Registro!$G197))),N(Registro!$H197),IFERROR(SUMPRODUCT(--("0"&amp;LEFT(TRIM(MID(SUBSTITUTE(SUBSTITUTE(SUBSTITUTE(SUBSTITUTE(SUBSTITUTE(LOWER(Registro!$G197),"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",LEN(Registro!$G197))),({1,2,3,4,5,6,7,8,9,10,11,12,13,14,15,16,17,18,19,20,21,22,23,24,25,26,27,28,29,30}-1)*LEN(Registro!$G197)+1,LEN(Registro!$G197))),FIND("x",TRIM(MID(SUBSTITUTE(SUBSTITUTE(SUBSTITUTE(SUBSTITUTE(SUBSTITUTE(LOWER(Registro!$G197),"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",LEN(Registro!$G197))),({1,2,3,4,5,6,7,8,9,10,11,12,13,14,15,16,17,18,19,20,21,22,23,24,25,26,27,28,29,30}-1)*LEN(Registro!$G197)+1,LEN(Registro!$G197)))&amp;"x")-1)),--("0"&amp;MID(TRIM(MID(SUBSTITUTE(SUBSTITUTE(SUBSTITUTE(SUBSTITUTE(SUBSTITUTE(LOWER(Registro!$G197),"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",LEN(Registro!$G197))),({1,2,3,4,5,6,7,8,9,10,11,12,13,14,15,16,17,18,19,20,21,22,23,24,25,26,27,28,29,30}-1)*LEN(Registro!$G197)+1,LEN(Registro!$G197))),FIND("x",TRIM(MID(SUBSTITUTE(SUBSTITUTE(SUBSTITUTE(SUBSTITUTE(SUBSTITUTE(LOWER(Registro!$G197),"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",LEN(Registro!$G197))),({1,2,3,4,5,6,7,8,9,10,11,12,13,14,15,16,17,18,19,20,21,22,23,24,25,26,27,28,29,30}-1)*LEN(Registro!$G197)+1,LEN(Registro!$G197)))&amp;"x")+1,20))),"Revisar formato")))</f>
        <v/>
      </c>
      <c r="J197" s="9" t="str">
        <f>IF(AND(Registro!$E197="",Registro!$G197=""),"",IF(NOT(AND(ISNUMBER(I197),ISNUMBER(Registro!$H197))),"",IF(I197&lt;Registro!$H197,"FALTA BOLETOS",IF(I197=Registro!$H197,"CONFORME","DIFERENCIA"))))</f>
        <v/>
      </c>
      <c r="K197" s="11" t="str">
        <f>IF(Registro!$I197="","",IFERROR(SUMPRODUCT(--("0"&amp;TRIM(RIGHT(SUBSTITUTE(TRIM(MID(SUBSTITUTE(SUBSTITUTE(Registro!$I197,";",CHAR(10)),CHAR(10),REPT(" ",LEN(Registro!$I197))),({1,2,3,4,5,6,7,8,9,10,11,12,13,14,15,16,17,18,19,20,21,22,23,24,25,26,27,28,29,30}-1)*LEN(Registro!$I197)+1,LEN(Registro!$I197)))," ",REPT(" ",50)),50)))),"Revisar formato"))</f>
        <v/>
      </c>
      <c r="L197" s="11" t="str">
        <f>IF(Registro!$J197="","",IFERROR(SUMPRODUCT(--("0"&amp;TRIM(RIGHT(SUBSTITUTE(TRIM(MID(SUBSTITUTE(SUBSTITUTE(Registro!$J197,";",CHAR(10)),CHAR(10),REPT(" ",LEN(Registro!$J197))),({1,2,3,4,5,6,7,8,9,10,11,12,13,14,15,16,17,18,19,20,21,22,23,24,25,26,27,28,29,30}-1)*LEN(Registro!$J197)+1,LEN(Registro!$J197)))," ",REPT(" ",50)),50)))),"Revisar formato"))</f>
        <v/>
      </c>
      <c r="M197" s="11" t="str">
        <f>IF(AND(Registro!$H197="",Registro!$I197=""),"",IF(AND(ISTEXT(K197),K197&lt;&gt;""),"Revisar formato",N(Registro!$H197)-N(K197)))</f>
        <v/>
      </c>
      <c r="N197" s="11" t="str">
        <f t="shared" si="11"/>
        <v/>
      </c>
      <c r="O197" s="15" t="str">
        <f>IF(AND(A197=Consulta!$B$3,C197=Consulta!$H$3),B197*10000+ROW(),"")</f>
        <v/>
      </c>
    </row>
    <row r="198" spans="1:15" x14ac:dyDescent="0.25">
      <c r="A198" s="9" t="str">
        <f>IF(Registro!$A198="","",Registro!$A198)</f>
        <v/>
      </c>
      <c r="B198" s="8" t="str">
        <f>IF(Registro!$B198="","",Registro!$B198)</f>
        <v/>
      </c>
      <c r="C198" s="14" t="str">
        <f t="shared" si="9"/>
        <v/>
      </c>
      <c r="D198" s="10" t="str">
        <f>IF(Registro!$E198="","",IF(ISERROR(FIND("x",LOWER(Registro!$E198))),"-",IFERROR(SUMPRODUCT(--("0"&amp;LEFT(TRIM(MID(SUBSTITUTE(SUBSTITUTE(SUBSTITUTE(SUBSTITUTE(SUBSTITUTE(LOWER(Registro!$E198),"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",LEN(Registro!$E198))),({1,2,3,4,5,6,7,8,9,10,11,12,13,14,15,16,17,18,19,20,21,22,23,24,25,26,27,28,29,30}-1)*LEN(Registro!$E198)+1,LEN(Registro!$E198)))&amp;"x")-1))),"Revisar formato")))</f>
        <v/>
      </c>
      <c r="E198" s="11" t="str">
        <f>IF(Registro!$E198="","",IF(ISERROR(FIND("x",LOWER(Registro!$E198))),"-",IFERROR(SUMPRODUCT(--("0"&amp;LEFT(TRIM(MID(SUBSTITUTE(SUBSTITUTE(SUBSTITUTE(SUBSTITUTE(SUBSTITUTE(LOWER(Registro!$E198),"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",LEN(Registro!$E198))),({1,2,3,4,5,6,7,8,9,10,11,12,13,14,15,16,17,18,19,20,21,22,23,24,25,26,27,28,29,30}-1)*LEN(Registro!$E198)+1,LEN(Registro!$E198)))&amp;"x")-1)),--("0"&amp;MID(TRIM(MID(SUBSTITUTE(SUBSTITUTE(SUBSTITUTE(SUBSTITUTE(SUBSTITUTE(LOWER(Registro!$E198),"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",LEN(Registro!$E198))),({1,2,3,4,5,6,7,8,9,10,11,12,13,14,15,16,17,18,19,20,21,22,23,24,25,26,27,28,29,30}-1)*LEN(Registro!$E198)+1,LEN(Registro!$E198)))&amp;"x")+1,20))),"Revisar formato")))</f>
        <v/>
      </c>
      <c r="F198" s="11" t="str">
        <f>IF(Registro!$F198="","",N(Registro!$F198))</f>
        <v/>
      </c>
      <c r="G198" s="11" t="str">
        <f t="shared" si="10"/>
        <v/>
      </c>
      <c r="H198" s="10" t="str">
        <f>IF(Registro!$G198="","",IF(ISERROR(FIND("x",LOWER(Registro!$G198))),"-",IFERROR(SUMPRODUCT(--("0"&amp;LEFT(TRIM(MID(SUBSTITUTE(SUBSTITUTE(SUBSTITUTE(SUBSTITUTE(SUBSTITUTE(LOWER(Registro!$G198),"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",LEN(Registro!$G198))),({1,2,3,4,5,6,7,8,9,10,11,12,13,14,15,16,17,18,19,20,21,22,23,24,25,26,27,28,29,30}-1)*LEN(Registro!$G198)+1,LEN(Registro!$G198))),FIND("x",TRIM(MID(SUBSTITUTE(SUBSTITUTE(SUBSTITUTE(SUBSTITUTE(SUBSTITUTE(LOWER(Registro!$G198),"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",LEN(Registro!$G198))),({1,2,3,4,5,6,7,8,9,10,11,12,13,14,15,16,17,18,19,20,21,22,23,24,25,26,27,28,29,30}-1)*LEN(Registro!$G198)+1,LEN(Registro!$G198)))&amp;"x")-1))),"Revisar formato")))</f>
        <v/>
      </c>
      <c r="I198" s="11" t="str">
        <f>IF(Registro!$G198="","",IF(ISERROR(FIND("x",LOWER(Registro!$G198))),N(Registro!$H198),IFERROR(SUMPRODUCT(--("0"&amp;LEFT(TRIM(MID(SUBSTITUTE(SUBSTITUTE(SUBSTITUTE(SUBSTITUTE(SUBSTITUTE(LOWER(Registro!$G198),"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",LEN(Registro!$G198))),({1,2,3,4,5,6,7,8,9,10,11,12,13,14,15,16,17,18,19,20,21,22,23,24,25,26,27,28,29,30}-1)*LEN(Registro!$G198)+1,LEN(Registro!$G198))),FIND("x",TRIM(MID(SUBSTITUTE(SUBSTITUTE(SUBSTITUTE(SUBSTITUTE(SUBSTITUTE(LOWER(Registro!$G198),"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",LEN(Registro!$G198))),({1,2,3,4,5,6,7,8,9,10,11,12,13,14,15,16,17,18,19,20,21,22,23,24,25,26,27,28,29,30}-1)*LEN(Registro!$G198)+1,LEN(Registro!$G198)))&amp;"x")-1)),--("0"&amp;MID(TRIM(MID(SUBSTITUTE(SUBSTITUTE(SUBSTITUTE(SUBSTITUTE(SUBSTITUTE(LOWER(Registro!$G198),"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",LEN(Registro!$G198))),({1,2,3,4,5,6,7,8,9,10,11,12,13,14,15,16,17,18,19,20,21,22,23,24,25,26,27,28,29,30}-1)*LEN(Registro!$G198)+1,LEN(Registro!$G198))),FIND("x",TRIM(MID(SUBSTITUTE(SUBSTITUTE(SUBSTITUTE(SUBSTITUTE(SUBSTITUTE(LOWER(Registro!$G198),"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",LEN(Registro!$G198))),({1,2,3,4,5,6,7,8,9,10,11,12,13,14,15,16,17,18,19,20,21,22,23,24,25,26,27,28,29,30}-1)*LEN(Registro!$G198)+1,LEN(Registro!$G198)))&amp;"x")+1,20))),"Revisar formato")))</f>
        <v/>
      </c>
      <c r="J198" s="9" t="str">
        <f>IF(AND(Registro!$E198="",Registro!$G198=""),"",IF(NOT(AND(ISNUMBER(I198),ISNUMBER(Registro!$H198))),"",IF(I198&lt;Registro!$H198,"FALTA BOLETOS",IF(I198=Registro!$H198,"CONFORME","DIFERENCIA"))))</f>
        <v/>
      </c>
      <c r="K198" s="11" t="str">
        <f>IF(Registro!$I198="","",IFERROR(SUMPRODUCT(--("0"&amp;TRIM(RIGHT(SUBSTITUTE(TRIM(MID(SUBSTITUTE(SUBSTITUTE(Registro!$I198,";",CHAR(10)),CHAR(10),REPT(" ",LEN(Registro!$I198))),({1,2,3,4,5,6,7,8,9,10,11,12,13,14,15,16,17,18,19,20,21,22,23,24,25,26,27,28,29,30}-1)*LEN(Registro!$I198)+1,LEN(Registro!$I198)))," ",REPT(" ",50)),50)))),"Revisar formato"))</f>
        <v/>
      </c>
      <c r="L198" s="11" t="str">
        <f>IF(Registro!$J198="","",IFERROR(SUMPRODUCT(--("0"&amp;TRIM(RIGHT(SUBSTITUTE(TRIM(MID(SUBSTITUTE(SUBSTITUTE(Registro!$J198,";",CHAR(10)),CHAR(10),REPT(" ",LEN(Registro!$J198))),({1,2,3,4,5,6,7,8,9,10,11,12,13,14,15,16,17,18,19,20,21,22,23,24,25,26,27,28,29,30}-1)*LEN(Registro!$J198)+1,LEN(Registro!$J198)))," ",REPT(" ",50)),50)))),"Revisar formato"))</f>
        <v/>
      </c>
      <c r="M198" s="11" t="str">
        <f>IF(AND(Registro!$H198="",Registro!$I198=""),"",IF(AND(ISTEXT(K198),K198&lt;&gt;""),"Revisar formato",N(Registro!$H198)-N(K198)))</f>
        <v/>
      </c>
      <c r="N198" s="11" t="str">
        <f t="shared" si="11"/>
        <v/>
      </c>
      <c r="O198" s="15" t="str">
        <f>IF(AND(A198=Consulta!$B$3,C198=Consulta!$H$3),B198*10000+ROW(),"")</f>
        <v/>
      </c>
    </row>
    <row r="199" spans="1:15" x14ac:dyDescent="0.25">
      <c r="A199" s="9" t="str">
        <f>IF(Registro!$A199="","",Registro!$A199)</f>
        <v/>
      </c>
      <c r="B199" s="8" t="str">
        <f>IF(Registro!$B199="","",Registro!$B199)</f>
        <v/>
      </c>
      <c r="C199" s="14" t="str">
        <f t="shared" si="9"/>
        <v/>
      </c>
      <c r="D199" s="10" t="str">
        <f>IF(Registro!$E199="","",IF(ISERROR(FIND("x",LOWER(Registro!$E199))),"-",IFERROR(SUMPRODUCT(--("0"&amp;LEFT(TRIM(MID(SUBSTITUTE(SUBSTITUTE(SUBSTITUTE(SUBSTITUTE(SUBSTITUTE(LOWER(Registro!$E199),"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",LEN(Registro!$E199))),({1,2,3,4,5,6,7,8,9,10,11,12,13,14,15,16,17,18,19,20,21,22,23,24,25,26,27,28,29,30}-1)*LEN(Registro!$E199)+1,LEN(Registro!$E199)))&amp;"x")-1))),"Revisar formato")))</f>
        <v/>
      </c>
      <c r="E199" s="11" t="str">
        <f>IF(Registro!$E199="","",IF(ISERROR(FIND("x",LOWER(Registro!$E199))),"-",IFERROR(SUMPRODUCT(--("0"&amp;LEFT(TRIM(MID(SUBSTITUTE(SUBSTITUTE(SUBSTITUTE(SUBSTITUTE(SUBSTITUTE(LOWER(Registro!$E199),"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",LEN(Registro!$E199))),({1,2,3,4,5,6,7,8,9,10,11,12,13,14,15,16,17,18,19,20,21,22,23,24,25,26,27,28,29,30}-1)*LEN(Registro!$E199)+1,LEN(Registro!$E199)))&amp;"x")-1)),--("0"&amp;MID(TRIM(MID(SUBSTITUTE(SUBSTITUTE(SUBSTITUTE(SUBSTITUTE(SUBSTITUTE(LOWER(Registro!$E199),"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",LEN(Registro!$E199))),({1,2,3,4,5,6,7,8,9,10,11,12,13,14,15,16,17,18,19,20,21,22,23,24,25,26,27,28,29,30}-1)*LEN(Registro!$E199)+1,LEN(Registro!$E199)))&amp;"x")+1,20))),"Revisar formato")))</f>
        <v/>
      </c>
      <c r="F199" s="11" t="str">
        <f>IF(Registro!$F199="","",N(Registro!$F199))</f>
        <v/>
      </c>
      <c r="G199" s="11" t="str">
        <f t="shared" si="10"/>
        <v/>
      </c>
      <c r="H199" s="10" t="str">
        <f>IF(Registro!$G199="","",IF(ISERROR(FIND("x",LOWER(Registro!$G199))),"-",IFERROR(SUMPRODUCT(--("0"&amp;LEFT(TRIM(MID(SUBSTITUTE(SUBSTITUTE(SUBSTITUTE(SUBSTITUTE(SUBSTITUTE(LOWER(Registro!$G199),"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",LEN(Registro!$G199))),({1,2,3,4,5,6,7,8,9,10,11,12,13,14,15,16,17,18,19,20,21,22,23,24,25,26,27,28,29,30}-1)*LEN(Registro!$G199)+1,LEN(Registro!$G199))),FIND("x",TRIM(MID(SUBSTITUTE(SUBSTITUTE(SUBSTITUTE(SUBSTITUTE(SUBSTITUTE(LOWER(Registro!$G199),"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",LEN(Registro!$G199))),({1,2,3,4,5,6,7,8,9,10,11,12,13,14,15,16,17,18,19,20,21,22,23,24,25,26,27,28,29,30}-1)*LEN(Registro!$G199)+1,LEN(Registro!$G199)))&amp;"x")-1))),"Revisar formato")))</f>
        <v/>
      </c>
      <c r="I199" s="11" t="str">
        <f>IF(Registro!$G199="","",IF(ISERROR(FIND("x",LOWER(Registro!$G199))),N(Registro!$H199),IFERROR(SUMPRODUCT(--("0"&amp;LEFT(TRIM(MID(SUBSTITUTE(SUBSTITUTE(SUBSTITUTE(SUBSTITUTE(SUBSTITUTE(LOWER(Registro!$G199),"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",LEN(Registro!$G199))),({1,2,3,4,5,6,7,8,9,10,11,12,13,14,15,16,17,18,19,20,21,22,23,24,25,26,27,28,29,30}-1)*LEN(Registro!$G199)+1,LEN(Registro!$G199))),FIND("x",TRIM(MID(SUBSTITUTE(SUBSTITUTE(SUBSTITUTE(SUBSTITUTE(SUBSTITUTE(LOWER(Registro!$G199),"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",LEN(Registro!$G199))),({1,2,3,4,5,6,7,8,9,10,11,12,13,14,15,16,17,18,19,20,21,22,23,24,25,26,27,28,29,30}-1)*LEN(Registro!$G199)+1,LEN(Registro!$G199)))&amp;"x")-1)),--("0"&amp;MID(TRIM(MID(SUBSTITUTE(SUBSTITUTE(SUBSTITUTE(SUBSTITUTE(SUBSTITUTE(LOWER(Registro!$G199),"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",LEN(Registro!$G199))),({1,2,3,4,5,6,7,8,9,10,11,12,13,14,15,16,17,18,19,20,21,22,23,24,25,26,27,28,29,30}-1)*LEN(Registro!$G199)+1,LEN(Registro!$G199))),FIND("x",TRIM(MID(SUBSTITUTE(SUBSTITUTE(SUBSTITUTE(SUBSTITUTE(SUBSTITUTE(LOWER(Registro!$G199),"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",LEN(Registro!$G199))),({1,2,3,4,5,6,7,8,9,10,11,12,13,14,15,16,17,18,19,20,21,22,23,24,25,26,27,28,29,30}-1)*LEN(Registro!$G199)+1,LEN(Registro!$G199)))&amp;"x")+1,20))),"Revisar formato")))</f>
        <v/>
      </c>
      <c r="J199" s="9" t="str">
        <f>IF(AND(Registro!$E199="",Registro!$G199=""),"",IF(NOT(AND(ISNUMBER(I199),ISNUMBER(Registro!$H199))),"",IF(I199&lt;Registro!$H199,"FALTA BOLETOS",IF(I199=Registro!$H199,"CONFORME","DIFERENCIA"))))</f>
        <v/>
      </c>
      <c r="K199" s="11" t="str">
        <f>IF(Registro!$I199="","",IFERROR(SUMPRODUCT(--("0"&amp;TRIM(RIGHT(SUBSTITUTE(TRIM(MID(SUBSTITUTE(SUBSTITUTE(Registro!$I199,";",CHAR(10)),CHAR(10),REPT(" ",LEN(Registro!$I199))),({1,2,3,4,5,6,7,8,9,10,11,12,13,14,15,16,17,18,19,20,21,22,23,24,25,26,27,28,29,30}-1)*LEN(Registro!$I199)+1,LEN(Registro!$I199)))," ",REPT(" ",50)),50)))),"Revisar formato"))</f>
        <v/>
      </c>
      <c r="L199" s="11" t="str">
        <f>IF(Registro!$J199="","",IFERROR(SUMPRODUCT(--("0"&amp;TRIM(RIGHT(SUBSTITUTE(TRIM(MID(SUBSTITUTE(SUBSTITUTE(Registro!$J199,";",CHAR(10)),CHAR(10),REPT(" ",LEN(Registro!$J199))),({1,2,3,4,5,6,7,8,9,10,11,12,13,14,15,16,17,18,19,20,21,22,23,24,25,26,27,28,29,30}-1)*LEN(Registro!$J199)+1,LEN(Registro!$J199)))," ",REPT(" ",50)),50)))),"Revisar formato"))</f>
        <v/>
      </c>
      <c r="M199" s="11" t="str">
        <f>IF(AND(Registro!$H199="",Registro!$I199=""),"",IF(AND(ISTEXT(K199),K199&lt;&gt;""),"Revisar formato",N(Registro!$H199)-N(K199)))</f>
        <v/>
      </c>
      <c r="N199" s="11" t="str">
        <f t="shared" si="11"/>
        <v/>
      </c>
      <c r="O199" s="15" t="str">
        <f>IF(AND(A199=Consulta!$B$3,C199=Consulta!$H$3),B199*10000+ROW(),"")</f>
        <v/>
      </c>
    </row>
    <row r="200" spans="1:15" x14ac:dyDescent="0.25">
      <c r="A200" s="9" t="str">
        <f>IF(Registro!$A200="","",Registro!$A200)</f>
        <v/>
      </c>
      <c r="B200" s="8" t="str">
        <f>IF(Registro!$B200="","",Registro!$B200)</f>
        <v/>
      </c>
      <c r="C200" s="14" t="str">
        <f t="shared" si="9"/>
        <v/>
      </c>
      <c r="D200" s="10" t="str">
        <f>IF(Registro!$E200="","",IF(ISERROR(FIND("x",LOWER(Registro!$E200))),"-",IFERROR(SUMPRODUCT(--("0"&amp;LEFT(TRIM(MID(SUBSTITUTE(SUBSTITUTE(SUBSTITUTE(SUBSTITUTE(SUBSTITUTE(LOWER(Registro!$E200),"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",LEN(Registro!$E200))),({1,2,3,4,5,6,7,8,9,10,11,12,13,14,15,16,17,18,19,20,21,22,23,24,25,26,27,28,29,30}-1)*LEN(Registro!$E200)+1,LEN(Registro!$E200)))&amp;"x")-1))),"Revisar formato")))</f>
        <v/>
      </c>
      <c r="E200" s="11" t="str">
        <f>IF(Registro!$E200="","",IF(ISERROR(FIND("x",LOWER(Registro!$E200))),"-",IFERROR(SUMPRODUCT(--("0"&amp;LEFT(TRIM(MID(SUBSTITUTE(SUBSTITUTE(SUBSTITUTE(SUBSTITUTE(SUBSTITUTE(LOWER(Registro!$E200),"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",LEN(Registro!$E200))),({1,2,3,4,5,6,7,8,9,10,11,12,13,14,15,16,17,18,19,20,21,22,23,24,25,26,27,28,29,30}-1)*LEN(Registro!$E200)+1,LEN(Registro!$E200)))&amp;"x")-1)),--("0"&amp;MID(TRIM(MID(SUBSTITUTE(SUBSTITUTE(SUBSTITUTE(SUBSTITUTE(SUBSTITUTE(LOWER(Registro!$E200),"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",LEN(Registro!$E200))),({1,2,3,4,5,6,7,8,9,10,11,12,13,14,15,16,17,18,19,20,21,22,23,24,25,26,27,28,29,30}-1)*LEN(Registro!$E200)+1,LEN(Registro!$E200)))&amp;"x")+1,20))),"Revisar formato")))</f>
        <v/>
      </c>
      <c r="F200" s="11" t="str">
        <f>IF(Registro!$F200="","",N(Registro!$F200))</f>
        <v/>
      </c>
      <c r="G200" s="11" t="str">
        <f t="shared" si="10"/>
        <v/>
      </c>
      <c r="H200" s="10" t="str">
        <f>IF(Registro!$G200="","",IF(ISERROR(FIND("x",LOWER(Registro!$G200))),"-",IFERROR(SUMPRODUCT(--("0"&amp;LEFT(TRIM(MID(SUBSTITUTE(SUBSTITUTE(SUBSTITUTE(SUBSTITUTE(SUBSTITUTE(LOWER(Registro!$G200),"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",LEN(Registro!$G200))),({1,2,3,4,5,6,7,8,9,10,11,12,13,14,15,16,17,18,19,20,21,22,23,24,25,26,27,28,29,30}-1)*LEN(Registro!$G200)+1,LEN(Registro!$G200))),FIND("x",TRIM(MID(SUBSTITUTE(SUBSTITUTE(SUBSTITUTE(SUBSTITUTE(SUBSTITUTE(LOWER(Registro!$G200),"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",LEN(Registro!$G200))),({1,2,3,4,5,6,7,8,9,10,11,12,13,14,15,16,17,18,19,20,21,22,23,24,25,26,27,28,29,30}-1)*LEN(Registro!$G200)+1,LEN(Registro!$G200)))&amp;"x")-1))),"Revisar formato")))</f>
        <v/>
      </c>
      <c r="I200" s="11" t="str">
        <f>IF(Registro!$G200="","",IF(ISERROR(FIND("x",LOWER(Registro!$G200))),N(Registro!$H200),IFERROR(SUMPRODUCT(--("0"&amp;LEFT(TRIM(MID(SUBSTITUTE(SUBSTITUTE(SUBSTITUTE(SUBSTITUTE(SUBSTITUTE(LOWER(Registro!$G200),"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",LEN(Registro!$G200))),({1,2,3,4,5,6,7,8,9,10,11,12,13,14,15,16,17,18,19,20,21,22,23,24,25,26,27,28,29,30}-1)*LEN(Registro!$G200)+1,LEN(Registro!$G200))),FIND("x",TRIM(MID(SUBSTITUTE(SUBSTITUTE(SUBSTITUTE(SUBSTITUTE(SUBSTITUTE(LOWER(Registro!$G200),"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",LEN(Registro!$G200))),({1,2,3,4,5,6,7,8,9,10,11,12,13,14,15,16,17,18,19,20,21,22,23,24,25,26,27,28,29,30}-1)*LEN(Registro!$G200)+1,LEN(Registro!$G200)))&amp;"x")-1)),--("0"&amp;MID(TRIM(MID(SUBSTITUTE(SUBSTITUTE(SUBSTITUTE(SUBSTITUTE(SUBSTITUTE(LOWER(Registro!$G200),"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",LEN(Registro!$G200))),({1,2,3,4,5,6,7,8,9,10,11,12,13,14,15,16,17,18,19,20,21,22,23,24,25,26,27,28,29,30}-1)*LEN(Registro!$G200)+1,LEN(Registro!$G200))),FIND("x",TRIM(MID(SUBSTITUTE(SUBSTITUTE(SUBSTITUTE(SUBSTITUTE(SUBSTITUTE(LOWER(Registro!$G200),"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",LEN(Registro!$G200))),({1,2,3,4,5,6,7,8,9,10,11,12,13,14,15,16,17,18,19,20,21,22,23,24,25,26,27,28,29,30}-1)*LEN(Registro!$G200)+1,LEN(Registro!$G200)))&amp;"x")+1,20))),"Revisar formato")))</f>
        <v/>
      </c>
      <c r="J200" s="9" t="str">
        <f>IF(AND(Registro!$E200="",Registro!$G200=""),"",IF(NOT(AND(ISNUMBER(I200),ISNUMBER(Registro!$H200))),"",IF(I200&lt;Registro!$H200,"FALTA BOLETOS",IF(I200=Registro!$H200,"CONFORME","DIFERENCIA"))))</f>
        <v/>
      </c>
      <c r="K200" s="11" t="str">
        <f>IF(Registro!$I200="","",IFERROR(SUMPRODUCT(--("0"&amp;TRIM(RIGHT(SUBSTITUTE(TRIM(MID(SUBSTITUTE(SUBSTITUTE(Registro!$I200,";",CHAR(10)),CHAR(10),REPT(" ",LEN(Registro!$I200))),({1,2,3,4,5,6,7,8,9,10,11,12,13,14,15,16,17,18,19,20,21,22,23,24,25,26,27,28,29,30}-1)*LEN(Registro!$I200)+1,LEN(Registro!$I200)))," ",REPT(" ",50)),50)))),"Revisar formato"))</f>
        <v/>
      </c>
      <c r="L200" s="11" t="str">
        <f>IF(Registro!$J200="","",IFERROR(SUMPRODUCT(--("0"&amp;TRIM(RIGHT(SUBSTITUTE(TRIM(MID(SUBSTITUTE(SUBSTITUTE(Registro!$J200,";",CHAR(10)),CHAR(10),REPT(" ",LEN(Registro!$J200))),({1,2,3,4,5,6,7,8,9,10,11,12,13,14,15,16,17,18,19,20,21,22,23,24,25,26,27,28,29,30}-1)*LEN(Registro!$J200)+1,LEN(Registro!$J200)))," ",REPT(" ",50)),50)))),"Revisar formato"))</f>
        <v/>
      </c>
      <c r="M200" s="11" t="str">
        <f>IF(AND(Registro!$H200="",Registro!$I200=""),"",IF(AND(ISTEXT(K200),K200&lt;&gt;""),"Revisar formato",N(Registro!$H200)-N(K200)))</f>
        <v/>
      </c>
      <c r="N200" s="11" t="str">
        <f t="shared" si="11"/>
        <v/>
      </c>
      <c r="O200" s="15" t="str">
        <f>IF(AND(A200=Consulta!$B$3,C200=Consulta!$H$3),B200*10000+ROW(),"")</f>
        <v/>
      </c>
    </row>
    <row r="201" spans="1:15" x14ac:dyDescent="0.25">
      <c r="A201" s="9" t="str">
        <f>IF(Registro!$A201="","",Registro!$A201)</f>
        <v/>
      </c>
      <c r="B201" s="8" t="str">
        <f>IF(Registro!$B201="","",Registro!$B201)</f>
        <v/>
      </c>
      <c r="C201" s="14" t="str">
        <f t="shared" si="9"/>
        <v/>
      </c>
      <c r="D201" s="10" t="str">
        <f>IF(Registro!$E201="","",IF(ISERROR(FIND("x",LOWER(Registro!$E201))),"-",IFERROR(SUMPRODUCT(--("0"&amp;LEFT(TRIM(MID(SUBSTITUTE(SUBSTITUTE(SUBSTITUTE(SUBSTITUTE(SUBSTITUTE(LOWER(Registro!$E201),"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",LEN(Registro!$E201))),({1,2,3,4,5,6,7,8,9,10,11,12,13,14,15,16,17,18,19,20,21,22,23,24,25,26,27,28,29,30}-1)*LEN(Registro!$E201)+1,LEN(Registro!$E201)))&amp;"x")-1))),"Revisar formato")))</f>
        <v/>
      </c>
      <c r="E201" s="11" t="str">
        <f>IF(Registro!$E201="","",IF(ISERROR(FIND("x",LOWER(Registro!$E201))),"-",IFERROR(SUMPRODUCT(--("0"&amp;LEFT(TRIM(MID(SUBSTITUTE(SUBSTITUTE(SUBSTITUTE(SUBSTITUTE(SUBSTITUTE(LOWER(Registro!$E201),"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",LEN(Registro!$E201))),({1,2,3,4,5,6,7,8,9,10,11,12,13,14,15,16,17,18,19,20,21,22,23,24,25,26,27,28,29,30}-1)*LEN(Registro!$E201)+1,LEN(Registro!$E201)))&amp;"x")-1)),--("0"&amp;MID(TRIM(MID(SUBSTITUTE(SUBSTITUTE(SUBSTITUTE(SUBSTITUTE(SUBSTITUTE(LOWER(Registro!$E201),"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",LEN(Registro!$E201))),({1,2,3,4,5,6,7,8,9,10,11,12,13,14,15,16,17,18,19,20,21,22,23,24,25,26,27,28,29,30}-1)*LEN(Registro!$E201)+1,LEN(Registro!$E201)))&amp;"x")+1,20))),"Revisar formato")))</f>
        <v/>
      </c>
      <c r="F201" s="11" t="str">
        <f>IF(Registro!$F201="","",N(Registro!$F201))</f>
        <v/>
      </c>
      <c r="G201" s="11" t="str">
        <f t="shared" si="10"/>
        <v/>
      </c>
      <c r="H201" s="10" t="str">
        <f>IF(Registro!$G201="","",IF(ISERROR(FIND("x",LOWER(Registro!$G201))),"-",IFERROR(SUMPRODUCT(--("0"&amp;LEFT(TRIM(MID(SUBSTITUTE(SUBSTITUTE(SUBSTITUTE(SUBSTITUTE(SUBSTITUTE(LOWER(Registro!$G201),"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",LEN(Registro!$G201))),({1,2,3,4,5,6,7,8,9,10,11,12,13,14,15,16,17,18,19,20,21,22,23,24,25,26,27,28,29,30}-1)*LEN(Registro!$G201)+1,LEN(Registro!$G201))),FIND("x",TRIM(MID(SUBSTITUTE(SUBSTITUTE(SUBSTITUTE(SUBSTITUTE(SUBSTITUTE(LOWER(Registro!$G201),"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",LEN(Registro!$G201))),({1,2,3,4,5,6,7,8,9,10,11,12,13,14,15,16,17,18,19,20,21,22,23,24,25,26,27,28,29,30}-1)*LEN(Registro!$G201)+1,LEN(Registro!$G201)))&amp;"x")-1))),"Revisar formato")))</f>
        <v/>
      </c>
      <c r="I201" s="11" t="str">
        <f>IF(Registro!$G201="","",IF(ISERROR(FIND("x",LOWER(Registro!$G201))),N(Registro!$H201),IFERROR(SUMPRODUCT(--("0"&amp;LEFT(TRIM(MID(SUBSTITUTE(SUBSTITUTE(SUBSTITUTE(SUBSTITUTE(SUBSTITUTE(LOWER(Registro!$G201),"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",LEN(Registro!$G201))),({1,2,3,4,5,6,7,8,9,10,11,12,13,14,15,16,17,18,19,20,21,22,23,24,25,26,27,28,29,30}-1)*LEN(Registro!$G201)+1,LEN(Registro!$G201))),FIND("x",TRIM(MID(SUBSTITUTE(SUBSTITUTE(SUBSTITUTE(SUBSTITUTE(SUBSTITUTE(LOWER(Registro!$G201),"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",LEN(Registro!$G201))),({1,2,3,4,5,6,7,8,9,10,11,12,13,14,15,16,17,18,19,20,21,22,23,24,25,26,27,28,29,30}-1)*LEN(Registro!$G201)+1,LEN(Registro!$G201)))&amp;"x")-1)),--("0"&amp;MID(TRIM(MID(SUBSTITUTE(SUBSTITUTE(SUBSTITUTE(SUBSTITUTE(SUBSTITUTE(LOWER(Registro!$G201),"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",LEN(Registro!$G201))),({1,2,3,4,5,6,7,8,9,10,11,12,13,14,15,16,17,18,19,20,21,22,23,24,25,26,27,28,29,30}-1)*LEN(Registro!$G201)+1,LEN(Registro!$G201))),FIND("x",TRIM(MID(SUBSTITUTE(SUBSTITUTE(SUBSTITUTE(SUBSTITUTE(SUBSTITUTE(LOWER(Registro!$G201),"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",LEN(Registro!$G201))),({1,2,3,4,5,6,7,8,9,10,11,12,13,14,15,16,17,18,19,20,21,22,23,24,25,26,27,28,29,30}-1)*LEN(Registro!$G201)+1,LEN(Registro!$G201)))&amp;"x")+1,20))),"Revisar formato")))</f>
        <v/>
      </c>
      <c r="J201" s="9" t="str">
        <f>IF(AND(Registro!$E201="",Registro!$G201=""),"",IF(NOT(AND(ISNUMBER(I201),ISNUMBER(Registro!$H201))),"",IF(I201&lt;Registro!$H201,"FALTA BOLETOS",IF(I201=Registro!$H201,"CONFORME","DIFERENCIA"))))</f>
        <v/>
      </c>
      <c r="K201" s="11" t="str">
        <f>IF(Registro!$I201="","",IFERROR(SUMPRODUCT(--("0"&amp;TRIM(RIGHT(SUBSTITUTE(TRIM(MID(SUBSTITUTE(SUBSTITUTE(Registro!$I201,";",CHAR(10)),CHAR(10),REPT(" ",LEN(Registro!$I201))),({1,2,3,4,5,6,7,8,9,10,11,12,13,14,15,16,17,18,19,20,21,22,23,24,25,26,27,28,29,30}-1)*LEN(Registro!$I201)+1,LEN(Registro!$I201)))," ",REPT(" ",50)),50)))),"Revisar formato"))</f>
        <v/>
      </c>
      <c r="L201" s="11" t="str">
        <f>IF(Registro!$J201="","",IFERROR(SUMPRODUCT(--("0"&amp;TRIM(RIGHT(SUBSTITUTE(TRIM(MID(SUBSTITUTE(SUBSTITUTE(Registro!$J201,";",CHAR(10)),CHAR(10),REPT(" ",LEN(Registro!$J201))),({1,2,3,4,5,6,7,8,9,10,11,12,13,14,15,16,17,18,19,20,21,22,23,24,25,26,27,28,29,30}-1)*LEN(Registro!$J201)+1,LEN(Registro!$J201)))," ",REPT(" ",50)),50)))),"Revisar formato"))</f>
        <v/>
      </c>
      <c r="M201" s="11" t="str">
        <f>IF(AND(Registro!$H201="",Registro!$I201=""),"",IF(AND(ISTEXT(K201),K201&lt;&gt;""),"Revisar formato",N(Registro!$H201)-N(K201)))</f>
        <v/>
      </c>
      <c r="N201" s="11" t="str">
        <f t="shared" si="11"/>
        <v/>
      </c>
      <c r="O201" s="15" t="str">
        <f>IF(AND(A201=Consulta!$B$3,C201=Consulta!$H$3),B201*10000+ROW(),"")</f>
        <v/>
      </c>
    </row>
    <row r="202" spans="1:15" x14ac:dyDescent="0.25">
      <c r="A202" s="9" t="str">
        <f>IF(Registro!$A202="","",Registro!$A202)</f>
        <v/>
      </c>
      <c r="B202" s="8" t="str">
        <f>IF(Registro!$B202="","",Registro!$B202)</f>
        <v/>
      </c>
      <c r="C202" s="14" t="str">
        <f t="shared" si="9"/>
        <v/>
      </c>
      <c r="D202" s="10" t="str">
        <f>IF(Registro!$E202="","",IF(ISERROR(FIND("x",LOWER(Registro!$E202))),"-",IFERROR(SUMPRODUCT(--("0"&amp;LEFT(TRIM(MID(SUBSTITUTE(SUBSTITUTE(SUBSTITUTE(SUBSTITUTE(SUBSTITUTE(LOWER(Registro!$E202),"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",LEN(Registro!$E202))),({1,2,3,4,5,6,7,8,9,10,11,12,13,14,15,16,17,18,19,20,21,22,23,24,25,26,27,28,29,30}-1)*LEN(Registro!$E202)+1,LEN(Registro!$E202)))&amp;"x")-1))),"Revisar formato")))</f>
        <v/>
      </c>
      <c r="E202" s="11" t="str">
        <f>IF(Registro!$E202="","",IF(ISERROR(FIND("x",LOWER(Registro!$E202))),"-",IFERROR(SUMPRODUCT(--("0"&amp;LEFT(TRIM(MID(SUBSTITUTE(SUBSTITUTE(SUBSTITUTE(SUBSTITUTE(SUBSTITUTE(LOWER(Registro!$E202),"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",LEN(Registro!$E202))),({1,2,3,4,5,6,7,8,9,10,11,12,13,14,15,16,17,18,19,20,21,22,23,24,25,26,27,28,29,30}-1)*LEN(Registro!$E202)+1,LEN(Registro!$E202)))&amp;"x")-1)),--("0"&amp;MID(TRIM(MID(SUBSTITUTE(SUBSTITUTE(SUBSTITUTE(SUBSTITUTE(SUBSTITUTE(LOWER(Registro!$E202),"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",LEN(Registro!$E202))),({1,2,3,4,5,6,7,8,9,10,11,12,13,14,15,16,17,18,19,20,21,22,23,24,25,26,27,28,29,30}-1)*LEN(Registro!$E202)+1,LEN(Registro!$E202)))&amp;"x")+1,20))),"Revisar formato")))</f>
        <v/>
      </c>
      <c r="F202" s="11" t="str">
        <f>IF(Registro!$F202="","",N(Registro!$F202))</f>
        <v/>
      </c>
      <c r="G202" s="11" t="str">
        <f t="shared" si="10"/>
        <v/>
      </c>
      <c r="H202" s="10" t="str">
        <f>IF(Registro!$G202="","",IF(ISERROR(FIND("x",LOWER(Registro!$G202))),"-",IFERROR(SUMPRODUCT(--("0"&amp;LEFT(TRIM(MID(SUBSTITUTE(SUBSTITUTE(SUBSTITUTE(SUBSTITUTE(SUBSTITUTE(LOWER(Registro!$G202),"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",LEN(Registro!$G202))),({1,2,3,4,5,6,7,8,9,10,11,12,13,14,15,16,17,18,19,20,21,22,23,24,25,26,27,28,29,30}-1)*LEN(Registro!$G202)+1,LEN(Registro!$G202))),FIND("x",TRIM(MID(SUBSTITUTE(SUBSTITUTE(SUBSTITUTE(SUBSTITUTE(SUBSTITUTE(LOWER(Registro!$G202),"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",LEN(Registro!$G202))),({1,2,3,4,5,6,7,8,9,10,11,12,13,14,15,16,17,18,19,20,21,22,23,24,25,26,27,28,29,30}-1)*LEN(Registro!$G202)+1,LEN(Registro!$G202)))&amp;"x")-1))),"Revisar formato")))</f>
        <v/>
      </c>
      <c r="I202" s="11" t="str">
        <f>IF(Registro!$G202="","",IF(ISERROR(FIND("x",LOWER(Registro!$G202))),N(Registro!$H202),IFERROR(SUMPRODUCT(--("0"&amp;LEFT(TRIM(MID(SUBSTITUTE(SUBSTITUTE(SUBSTITUTE(SUBSTITUTE(SUBSTITUTE(LOWER(Registro!$G202),"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",LEN(Registro!$G202))),({1,2,3,4,5,6,7,8,9,10,11,12,13,14,15,16,17,18,19,20,21,22,23,24,25,26,27,28,29,30}-1)*LEN(Registro!$G202)+1,LEN(Registro!$G202))),FIND("x",TRIM(MID(SUBSTITUTE(SUBSTITUTE(SUBSTITUTE(SUBSTITUTE(SUBSTITUTE(LOWER(Registro!$G202),"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",LEN(Registro!$G202))),({1,2,3,4,5,6,7,8,9,10,11,12,13,14,15,16,17,18,19,20,21,22,23,24,25,26,27,28,29,30}-1)*LEN(Registro!$G202)+1,LEN(Registro!$G202)))&amp;"x")-1)),--("0"&amp;MID(TRIM(MID(SUBSTITUTE(SUBSTITUTE(SUBSTITUTE(SUBSTITUTE(SUBSTITUTE(LOWER(Registro!$G202),"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",LEN(Registro!$G202))),({1,2,3,4,5,6,7,8,9,10,11,12,13,14,15,16,17,18,19,20,21,22,23,24,25,26,27,28,29,30}-1)*LEN(Registro!$G202)+1,LEN(Registro!$G202))),FIND("x",TRIM(MID(SUBSTITUTE(SUBSTITUTE(SUBSTITUTE(SUBSTITUTE(SUBSTITUTE(LOWER(Registro!$G202),"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",LEN(Registro!$G202))),({1,2,3,4,5,6,7,8,9,10,11,12,13,14,15,16,17,18,19,20,21,22,23,24,25,26,27,28,29,30}-1)*LEN(Registro!$G202)+1,LEN(Registro!$G202)))&amp;"x")+1,20))),"Revisar formato")))</f>
        <v/>
      </c>
      <c r="J202" s="9" t="str">
        <f>IF(AND(Registro!$E202="",Registro!$G202=""),"",IF(NOT(AND(ISNUMBER(I202),ISNUMBER(Registro!$H202))),"",IF(I202&lt;Registro!$H202,"FALTA BOLETOS",IF(I202=Registro!$H202,"CONFORME","DIFERENCIA"))))</f>
        <v/>
      </c>
      <c r="K202" s="11" t="str">
        <f>IF(Registro!$I202="","",IFERROR(SUMPRODUCT(--("0"&amp;TRIM(RIGHT(SUBSTITUTE(TRIM(MID(SUBSTITUTE(SUBSTITUTE(Registro!$I202,";",CHAR(10)),CHAR(10),REPT(" ",LEN(Registro!$I202))),({1,2,3,4,5,6,7,8,9,10,11,12,13,14,15,16,17,18,19,20,21,22,23,24,25,26,27,28,29,30}-1)*LEN(Registro!$I202)+1,LEN(Registro!$I202)))," ",REPT(" ",50)),50)))),"Revisar formato"))</f>
        <v/>
      </c>
      <c r="L202" s="11" t="str">
        <f>IF(Registro!$J202="","",IFERROR(SUMPRODUCT(--("0"&amp;TRIM(RIGHT(SUBSTITUTE(TRIM(MID(SUBSTITUTE(SUBSTITUTE(Registro!$J202,";",CHAR(10)),CHAR(10),REPT(" ",LEN(Registro!$J202))),({1,2,3,4,5,6,7,8,9,10,11,12,13,14,15,16,17,18,19,20,21,22,23,24,25,26,27,28,29,30}-1)*LEN(Registro!$J202)+1,LEN(Registro!$J202)))," ",REPT(" ",50)),50)))),"Revisar formato"))</f>
        <v/>
      </c>
      <c r="M202" s="11" t="str">
        <f>IF(AND(Registro!$H202="",Registro!$I202=""),"",IF(AND(ISTEXT(K202),K202&lt;&gt;""),"Revisar formato",N(Registro!$H202)-N(K202)))</f>
        <v/>
      </c>
      <c r="N202" s="11" t="str">
        <f t="shared" si="11"/>
        <v/>
      </c>
      <c r="O202" s="15" t="str">
        <f>IF(AND(A202=Consulta!$B$3,C202=Consulta!$H$3),B202*10000+ROW(),"")</f>
        <v/>
      </c>
    </row>
    <row r="203" spans="1:15" x14ac:dyDescent="0.25">
      <c r="A203" s="9" t="str">
        <f>IF(Registro!$A203="","",Registro!$A203)</f>
        <v/>
      </c>
      <c r="B203" s="8" t="str">
        <f>IF(Registro!$B203="","",Registro!$B203)</f>
        <v/>
      </c>
      <c r="C203" s="14" t="str">
        <f t="shared" si="9"/>
        <v/>
      </c>
      <c r="D203" s="10" t="str">
        <f>IF(Registro!$E203="","",IF(ISERROR(FIND("x",LOWER(Registro!$E203))),"-",IFERROR(SUMPRODUCT(--("0"&amp;LEFT(TRIM(MID(SUBSTITUTE(SUBSTITUTE(SUBSTITUTE(SUBSTITUTE(SUBSTITUTE(LOWER(Registro!$E203),"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",LEN(Registro!$E203))),({1,2,3,4,5,6,7,8,9,10,11,12,13,14,15,16,17,18,19,20,21,22,23,24,25,26,27,28,29,30}-1)*LEN(Registro!$E203)+1,LEN(Registro!$E203)))&amp;"x")-1))),"Revisar formato")))</f>
        <v/>
      </c>
      <c r="E203" s="11" t="str">
        <f>IF(Registro!$E203="","",IF(ISERROR(FIND("x",LOWER(Registro!$E203))),"-",IFERROR(SUMPRODUCT(--("0"&amp;LEFT(TRIM(MID(SUBSTITUTE(SUBSTITUTE(SUBSTITUTE(SUBSTITUTE(SUBSTITUTE(LOWER(Registro!$E203),"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",LEN(Registro!$E203))),({1,2,3,4,5,6,7,8,9,10,11,12,13,14,15,16,17,18,19,20,21,22,23,24,25,26,27,28,29,30}-1)*LEN(Registro!$E203)+1,LEN(Registro!$E203)))&amp;"x")-1)),--("0"&amp;MID(TRIM(MID(SUBSTITUTE(SUBSTITUTE(SUBSTITUTE(SUBSTITUTE(SUBSTITUTE(LOWER(Registro!$E203),"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",LEN(Registro!$E203))),({1,2,3,4,5,6,7,8,9,10,11,12,13,14,15,16,17,18,19,20,21,22,23,24,25,26,27,28,29,30}-1)*LEN(Registro!$E203)+1,LEN(Registro!$E203)))&amp;"x")+1,20))),"Revisar formato")))</f>
        <v/>
      </c>
      <c r="F203" s="11" t="str">
        <f>IF(Registro!$F203="","",N(Registro!$F203))</f>
        <v/>
      </c>
      <c r="G203" s="11" t="str">
        <f t="shared" si="10"/>
        <v/>
      </c>
      <c r="H203" s="10" t="str">
        <f>IF(Registro!$G203="","",IF(ISERROR(FIND("x",LOWER(Registro!$G203))),"-",IFERROR(SUMPRODUCT(--("0"&amp;LEFT(TRIM(MID(SUBSTITUTE(SUBSTITUTE(SUBSTITUTE(SUBSTITUTE(SUBSTITUTE(LOWER(Registro!$G203),"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",LEN(Registro!$G203))),({1,2,3,4,5,6,7,8,9,10,11,12,13,14,15,16,17,18,19,20,21,22,23,24,25,26,27,28,29,30}-1)*LEN(Registro!$G203)+1,LEN(Registro!$G203))),FIND("x",TRIM(MID(SUBSTITUTE(SUBSTITUTE(SUBSTITUTE(SUBSTITUTE(SUBSTITUTE(LOWER(Registro!$G203),"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",LEN(Registro!$G203))),({1,2,3,4,5,6,7,8,9,10,11,12,13,14,15,16,17,18,19,20,21,22,23,24,25,26,27,28,29,30}-1)*LEN(Registro!$G203)+1,LEN(Registro!$G203)))&amp;"x")-1))),"Revisar formato")))</f>
        <v/>
      </c>
      <c r="I203" s="11" t="str">
        <f>IF(Registro!$G203="","",IF(ISERROR(FIND("x",LOWER(Registro!$G203))),N(Registro!$H203),IFERROR(SUMPRODUCT(--("0"&amp;LEFT(TRIM(MID(SUBSTITUTE(SUBSTITUTE(SUBSTITUTE(SUBSTITUTE(SUBSTITUTE(LOWER(Registro!$G203),"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",LEN(Registro!$G203))),({1,2,3,4,5,6,7,8,9,10,11,12,13,14,15,16,17,18,19,20,21,22,23,24,25,26,27,28,29,30}-1)*LEN(Registro!$G203)+1,LEN(Registro!$G203))),FIND("x",TRIM(MID(SUBSTITUTE(SUBSTITUTE(SUBSTITUTE(SUBSTITUTE(SUBSTITUTE(LOWER(Registro!$G203),"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",LEN(Registro!$G203))),({1,2,3,4,5,6,7,8,9,10,11,12,13,14,15,16,17,18,19,20,21,22,23,24,25,26,27,28,29,30}-1)*LEN(Registro!$G203)+1,LEN(Registro!$G203)))&amp;"x")-1)),--("0"&amp;MID(TRIM(MID(SUBSTITUTE(SUBSTITUTE(SUBSTITUTE(SUBSTITUTE(SUBSTITUTE(LOWER(Registro!$G203),"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",LEN(Registro!$G203))),({1,2,3,4,5,6,7,8,9,10,11,12,13,14,15,16,17,18,19,20,21,22,23,24,25,26,27,28,29,30}-1)*LEN(Registro!$G203)+1,LEN(Registro!$G203))),FIND("x",TRIM(MID(SUBSTITUTE(SUBSTITUTE(SUBSTITUTE(SUBSTITUTE(SUBSTITUTE(LOWER(Registro!$G203),"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",LEN(Registro!$G203))),({1,2,3,4,5,6,7,8,9,10,11,12,13,14,15,16,17,18,19,20,21,22,23,24,25,26,27,28,29,30}-1)*LEN(Registro!$G203)+1,LEN(Registro!$G203)))&amp;"x")+1,20))),"Revisar formato")))</f>
        <v/>
      </c>
      <c r="J203" s="9" t="str">
        <f>IF(AND(Registro!$E203="",Registro!$G203=""),"",IF(NOT(AND(ISNUMBER(I203),ISNUMBER(Registro!$H203))),"",IF(I203&lt;Registro!$H203,"FALTA BOLETOS",IF(I203=Registro!$H203,"CONFORME","DIFERENCIA"))))</f>
        <v/>
      </c>
      <c r="K203" s="11" t="str">
        <f>IF(Registro!$I203="","",IFERROR(SUMPRODUCT(--("0"&amp;TRIM(RIGHT(SUBSTITUTE(TRIM(MID(SUBSTITUTE(SUBSTITUTE(Registro!$I203,";",CHAR(10)),CHAR(10),REPT(" ",LEN(Registro!$I203))),({1,2,3,4,5,6,7,8,9,10,11,12,13,14,15,16,17,18,19,20,21,22,23,24,25,26,27,28,29,30}-1)*LEN(Registro!$I203)+1,LEN(Registro!$I203)))," ",REPT(" ",50)),50)))),"Revisar formato"))</f>
        <v/>
      </c>
      <c r="L203" s="11" t="str">
        <f>IF(Registro!$J203="","",IFERROR(SUMPRODUCT(--("0"&amp;TRIM(RIGHT(SUBSTITUTE(TRIM(MID(SUBSTITUTE(SUBSTITUTE(Registro!$J203,";",CHAR(10)),CHAR(10),REPT(" ",LEN(Registro!$J203))),({1,2,3,4,5,6,7,8,9,10,11,12,13,14,15,16,17,18,19,20,21,22,23,24,25,26,27,28,29,30}-1)*LEN(Registro!$J203)+1,LEN(Registro!$J203)))," ",REPT(" ",50)),50)))),"Revisar formato"))</f>
        <v/>
      </c>
      <c r="M203" s="11" t="str">
        <f>IF(AND(Registro!$H203="",Registro!$I203=""),"",IF(AND(ISTEXT(K203),K203&lt;&gt;""),"Revisar formato",N(Registro!$H203)-N(K203)))</f>
        <v/>
      </c>
      <c r="N203" s="11" t="str">
        <f t="shared" si="11"/>
        <v/>
      </c>
      <c r="O203" s="15" t="str">
        <f>IF(AND(A203=Consulta!$B$3,C203=Consulta!$H$3),B203*10000+ROW(),"")</f>
        <v/>
      </c>
    </row>
    <row r="204" spans="1:15" x14ac:dyDescent="0.25">
      <c r="A204" s="9" t="str">
        <f>IF(Registro!$A204="","",Registro!$A204)</f>
        <v/>
      </c>
      <c r="B204" s="8" t="str">
        <f>IF(Registro!$B204="","",Registro!$B204)</f>
        <v/>
      </c>
      <c r="C204" s="14" t="str">
        <f t="shared" si="9"/>
        <v/>
      </c>
      <c r="D204" s="10" t="str">
        <f>IF(Registro!$E204="","",IF(ISERROR(FIND("x",LOWER(Registro!$E204))),"-",IFERROR(SUMPRODUCT(--("0"&amp;LEFT(TRIM(MID(SUBSTITUTE(SUBSTITUTE(SUBSTITUTE(SUBSTITUTE(SUBSTITUTE(LOWER(Registro!$E204),"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",LEN(Registro!$E204))),({1,2,3,4,5,6,7,8,9,10,11,12,13,14,15,16,17,18,19,20,21,22,23,24,25,26,27,28,29,30}-1)*LEN(Registro!$E204)+1,LEN(Registro!$E204)))&amp;"x")-1))),"Revisar formato")))</f>
        <v/>
      </c>
      <c r="E204" s="11" t="str">
        <f>IF(Registro!$E204="","",IF(ISERROR(FIND("x",LOWER(Registro!$E204))),"-",IFERROR(SUMPRODUCT(--("0"&amp;LEFT(TRIM(MID(SUBSTITUTE(SUBSTITUTE(SUBSTITUTE(SUBSTITUTE(SUBSTITUTE(LOWER(Registro!$E204),"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",LEN(Registro!$E204))),({1,2,3,4,5,6,7,8,9,10,11,12,13,14,15,16,17,18,19,20,21,22,23,24,25,26,27,28,29,30}-1)*LEN(Registro!$E204)+1,LEN(Registro!$E204)))&amp;"x")-1)),--("0"&amp;MID(TRIM(MID(SUBSTITUTE(SUBSTITUTE(SUBSTITUTE(SUBSTITUTE(SUBSTITUTE(LOWER(Registro!$E204),"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",LEN(Registro!$E204))),({1,2,3,4,5,6,7,8,9,10,11,12,13,14,15,16,17,18,19,20,21,22,23,24,25,26,27,28,29,30}-1)*LEN(Registro!$E204)+1,LEN(Registro!$E204)))&amp;"x")+1,20))),"Revisar formato")))</f>
        <v/>
      </c>
      <c r="F204" s="11" t="str">
        <f>IF(Registro!$F204="","",N(Registro!$F204))</f>
        <v/>
      </c>
      <c r="G204" s="11" t="str">
        <f t="shared" si="10"/>
        <v/>
      </c>
      <c r="H204" s="10" t="str">
        <f>IF(Registro!$G204="","",IF(ISERROR(FIND("x",LOWER(Registro!$G204))),"-",IFERROR(SUMPRODUCT(--("0"&amp;LEFT(TRIM(MID(SUBSTITUTE(SUBSTITUTE(SUBSTITUTE(SUBSTITUTE(SUBSTITUTE(LOWER(Registro!$G204),"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",LEN(Registro!$G204))),({1,2,3,4,5,6,7,8,9,10,11,12,13,14,15,16,17,18,19,20,21,22,23,24,25,26,27,28,29,30}-1)*LEN(Registro!$G204)+1,LEN(Registro!$G204))),FIND("x",TRIM(MID(SUBSTITUTE(SUBSTITUTE(SUBSTITUTE(SUBSTITUTE(SUBSTITUTE(LOWER(Registro!$G204),"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",LEN(Registro!$G204))),({1,2,3,4,5,6,7,8,9,10,11,12,13,14,15,16,17,18,19,20,21,22,23,24,25,26,27,28,29,30}-1)*LEN(Registro!$G204)+1,LEN(Registro!$G204)))&amp;"x")-1))),"Revisar formato")))</f>
        <v/>
      </c>
      <c r="I204" s="11" t="str">
        <f>IF(Registro!$G204="","",IF(ISERROR(FIND("x",LOWER(Registro!$G204))),N(Registro!$H204),IFERROR(SUMPRODUCT(--("0"&amp;LEFT(TRIM(MID(SUBSTITUTE(SUBSTITUTE(SUBSTITUTE(SUBSTITUTE(SUBSTITUTE(LOWER(Registro!$G204),"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",LEN(Registro!$G204))),({1,2,3,4,5,6,7,8,9,10,11,12,13,14,15,16,17,18,19,20,21,22,23,24,25,26,27,28,29,30}-1)*LEN(Registro!$G204)+1,LEN(Registro!$G204))),FIND("x",TRIM(MID(SUBSTITUTE(SUBSTITUTE(SUBSTITUTE(SUBSTITUTE(SUBSTITUTE(LOWER(Registro!$G204),"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",LEN(Registro!$G204))),({1,2,3,4,5,6,7,8,9,10,11,12,13,14,15,16,17,18,19,20,21,22,23,24,25,26,27,28,29,30}-1)*LEN(Registro!$G204)+1,LEN(Registro!$G204)))&amp;"x")-1)),--("0"&amp;MID(TRIM(MID(SUBSTITUTE(SUBSTITUTE(SUBSTITUTE(SUBSTITUTE(SUBSTITUTE(LOWER(Registro!$G204),"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",LEN(Registro!$G204))),({1,2,3,4,5,6,7,8,9,10,11,12,13,14,15,16,17,18,19,20,21,22,23,24,25,26,27,28,29,30}-1)*LEN(Registro!$G204)+1,LEN(Registro!$G204))),FIND("x",TRIM(MID(SUBSTITUTE(SUBSTITUTE(SUBSTITUTE(SUBSTITUTE(SUBSTITUTE(LOWER(Registro!$G204),"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",LEN(Registro!$G204))),({1,2,3,4,5,6,7,8,9,10,11,12,13,14,15,16,17,18,19,20,21,22,23,24,25,26,27,28,29,30}-1)*LEN(Registro!$G204)+1,LEN(Registro!$G204)))&amp;"x")+1,20))),"Revisar formato")))</f>
        <v/>
      </c>
      <c r="J204" s="9" t="str">
        <f>IF(AND(Registro!$E204="",Registro!$G204=""),"",IF(NOT(AND(ISNUMBER(I204),ISNUMBER(Registro!$H204))),"",IF(I204&lt;Registro!$H204,"FALTA BOLETOS",IF(I204=Registro!$H204,"CONFORME","DIFERENCIA"))))</f>
        <v/>
      </c>
      <c r="K204" s="11" t="str">
        <f>IF(Registro!$I204="","",IFERROR(SUMPRODUCT(--("0"&amp;TRIM(RIGHT(SUBSTITUTE(TRIM(MID(SUBSTITUTE(SUBSTITUTE(Registro!$I204,";",CHAR(10)),CHAR(10),REPT(" ",LEN(Registro!$I204))),({1,2,3,4,5,6,7,8,9,10,11,12,13,14,15,16,17,18,19,20,21,22,23,24,25,26,27,28,29,30}-1)*LEN(Registro!$I204)+1,LEN(Registro!$I204)))," ",REPT(" ",50)),50)))),"Revisar formato"))</f>
        <v/>
      </c>
      <c r="L204" s="11" t="str">
        <f>IF(Registro!$J204="","",IFERROR(SUMPRODUCT(--("0"&amp;TRIM(RIGHT(SUBSTITUTE(TRIM(MID(SUBSTITUTE(SUBSTITUTE(Registro!$J204,";",CHAR(10)),CHAR(10),REPT(" ",LEN(Registro!$J204))),({1,2,3,4,5,6,7,8,9,10,11,12,13,14,15,16,17,18,19,20,21,22,23,24,25,26,27,28,29,30}-1)*LEN(Registro!$J204)+1,LEN(Registro!$J204)))," ",REPT(" ",50)),50)))),"Revisar formato"))</f>
        <v/>
      </c>
      <c r="M204" s="11" t="str">
        <f>IF(AND(Registro!$H204="",Registro!$I204=""),"",IF(AND(ISTEXT(K204),K204&lt;&gt;""),"Revisar formato",N(Registro!$H204)-N(K204)))</f>
        <v/>
      </c>
      <c r="N204" s="11" t="str">
        <f t="shared" si="11"/>
        <v/>
      </c>
      <c r="O204" s="15" t="str">
        <f>IF(AND(A204=Consulta!$B$3,C204=Consulta!$H$3),B204*10000+ROW(),"")</f>
        <v/>
      </c>
    </row>
    <row r="205" spans="1:15" x14ac:dyDescent="0.25">
      <c r="A205" s="9" t="str">
        <f>IF(Registro!$A205="","",Registro!$A205)</f>
        <v/>
      </c>
      <c r="B205" s="8" t="str">
        <f>IF(Registro!$B205="","",Registro!$B205)</f>
        <v/>
      </c>
      <c r="C205" s="14" t="str">
        <f t="shared" si="9"/>
        <v/>
      </c>
      <c r="D205" s="10" t="str">
        <f>IF(Registro!$E205="","",IF(ISERROR(FIND("x",LOWER(Registro!$E205))),"-",IFERROR(SUMPRODUCT(--("0"&amp;LEFT(TRIM(MID(SUBSTITUTE(SUBSTITUTE(SUBSTITUTE(SUBSTITUTE(SUBSTITUTE(LOWER(Registro!$E205),"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",LEN(Registro!$E205))),({1,2,3,4,5,6,7,8,9,10,11,12,13,14,15,16,17,18,19,20,21,22,23,24,25,26,27,28,29,30}-1)*LEN(Registro!$E205)+1,LEN(Registro!$E205)))&amp;"x")-1))),"Revisar formato")))</f>
        <v/>
      </c>
      <c r="E205" s="11" t="str">
        <f>IF(Registro!$E205="","",IF(ISERROR(FIND("x",LOWER(Registro!$E205))),"-",IFERROR(SUMPRODUCT(--("0"&amp;LEFT(TRIM(MID(SUBSTITUTE(SUBSTITUTE(SUBSTITUTE(SUBSTITUTE(SUBSTITUTE(LOWER(Registro!$E205),"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",LEN(Registro!$E205))),({1,2,3,4,5,6,7,8,9,10,11,12,13,14,15,16,17,18,19,20,21,22,23,24,25,26,27,28,29,30}-1)*LEN(Registro!$E205)+1,LEN(Registro!$E205)))&amp;"x")-1)),--("0"&amp;MID(TRIM(MID(SUBSTITUTE(SUBSTITUTE(SUBSTITUTE(SUBSTITUTE(SUBSTITUTE(LOWER(Registro!$E205),"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",LEN(Registro!$E205))),({1,2,3,4,5,6,7,8,9,10,11,12,13,14,15,16,17,18,19,20,21,22,23,24,25,26,27,28,29,30}-1)*LEN(Registro!$E205)+1,LEN(Registro!$E205)))&amp;"x")+1,20))),"Revisar formato")))</f>
        <v/>
      </c>
      <c r="F205" s="11" t="str">
        <f>IF(Registro!$F205="","",N(Registro!$F205))</f>
        <v/>
      </c>
      <c r="G205" s="11" t="str">
        <f t="shared" si="10"/>
        <v/>
      </c>
      <c r="H205" s="10" t="str">
        <f>IF(Registro!$G205="","",IF(ISERROR(FIND("x",LOWER(Registro!$G205))),"-",IFERROR(SUMPRODUCT(--("0"&amp;LEFT(TRIM(MID(SUBSTITUTE(SUBSTITUTE(SUBSTITUTE(SUBSTITUTE(SUBSTITUTE(LOWER(Registro!$G205),"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",LEN(Registro!$G205))),({1,2,3,4,5,6,7,8,9,10,11,12,13,14,15,16,17,18,19,20,21,22,23,24,25,26,27,28,29,30}-1)*LEN(Registro!$G205)+1,LEN(Registro!$G205))),FIND("x",TRIM(MID(SUBSTITUTE(SUBSTITUTE(SUBSTITUTE(SUBSTITUTE(SUBSTITUTE(LOWER(Registro!$G205),"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",LEN(Registro!$G205))),({1,2,3,4,5,6,7,8,9,10,11,12,13,14,15,16,17,18,19,20,21,22,23,24,25,26,27,28,29,30}-1)*LEN(Registro!$G205)+1,LEN(Registro!$G205)))&amp;"x")-1))),"Revisar formato")))</f>
        <v/>
      </c>
      <c r="I205" s="11" t="str">
        <f>IF(Registro!$G205="","",IF(ISERROR(FIND("x",LOWER(Registro!$G205))),N(Registro!$H205),IFERROR(SUMPRODUCT(--("0"&amp;LEFT(TRIM(MID(SUBSTITUTE(SUBSTITUTE(SUBSTITUTE(SUBSTITUTE(SUBSTITUTE(LOWER(Registro!$G205),"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",LEN(Registro!$G205))),({1,2,3,4,5,6,7,8,9,10,11,12,13,14,15,16,17,18,19,20,21,22,23,24,25,26,27,28,29,30}-1)*LEN(Registro!$G205)+1,LEN(Registro!$G205))),FIND("x",TRIM(MID(SUBSTITUTE(SUBSTITUTE(SUBSTITUTE(SUBSTITUTE(SUBSTITUTE(LOWER(Registro!$G205),"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",LEN(Registro!$G205))),({1,2,3,4,5,6,7,8,9,10,11,12,13,14,15,16,17,18,19,20,21,22,23,24,25,26,27,28,29,30}-1)*LEN(Registro!$G205)+1,LEN(Registro!$G205)))&amp;"x")-1)),--("0"&amp;MID(TRIM(MID(SUBSTITUTE(SUBSTITUTE(SUBSTITUTE(SUBSTITUTE(SUBSTITUTE(LOWER(Registro!$G205),"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",LEN(Registro!$G205))),({1,2,3,4,5,6,7,8,9,10,11,12,13,14,15,16,17,18,19,20,21,22,23,24,25,26,27,28,29,30}-1)*LEN(Registro!$G205)+1,LEN(Registro!$G205))),FIND("x",TRIM(MID(SUBSTITUTE(SUBSTITUTE(SUBSTITUTE(SUBSTITUTE(SUBSTITUTE(LOWER(Registro!$G205),"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",LEN(Registro!$G205))),({1,2,3,4,5,6,7,8,9,10,11,12,13,14,15,16,17,18,19,20,21,22,23,24,25,26,27,28,29,30}-1)*LEN(Registro!$G205)+1,LEN(Registro!$G205)))&amp;"x")+1,20))),"Revisar formato")))</f>
        <v/>
      </c>
      <c r="J205" s="9" t="str">
        <f>IF(AND(Registro!$E205="",Registro!$G205=""),"",IF(NOT(AND(ISNUMBER(I205),ISNUMBER(Registro!$H205))),"",IF(I205&lt;Registro!$H205,"FALTA BOLETOS",IF(I205=Registro!$H205,"CONFORME","DIFERENCIA"))))</f>
        <v/>
      </c>
      <c r="K205" s="11" t="str">
        <f>IF(Registro!$I205="","",IFERROR(SUMPRODUCT(--("0"&amp;TRIM(RIGHT(SUBSTITUTE(TRIM(MID(SUBSTITUTE(SUBSTITUTE(Registro!$I205,";",CHAR(10)),CHAR(10),REPT(" ",LEN(Registro!$I205))),({1,2,3,4,5,6,7,8,9,10,11,12,13,14,15,16,17,18,19,20,21,22,23,24,25,26,27,28,29,30}-1)*LEN(Registro!$I205)+1,LEN(Registro!$I205)))," ",REPT(" ",50)),50)))),"Revisar formato"))</f>
        <v/>
      </c>
      <c r="L205" s="11" t="str">
        <f>IF(Registro!$J205="","",IFERROR(SUMPRODUCT(--("0"&amp;TRIM(RIGHT(SUBSTITUTE(TRIM(MID(SUBSTITUTE(SUBSTITUTE(Registro!$J205,";",CHAR(10)),CHAR(10),REPT(" ",LEN(Registro!$J205))),({1,2,3,4,5,6,7,8,9,10,11,12,13,14,15,16,17,18,19,20,21,22,23,24,25,26,27,28,29,30}-1)*LEN(Registro!$J205)+1,LEN(Registro!$J205)))," ",REPT(" ",50)),50)))),"Revisar formato"))</f>
        <v/>
      </c>
      <c r="M205" s="11" t="str">
        <f>IF(AND(Registro!$H205="",Registro!$I205=""),"",IF(AND(ISTEXT(K205),K205&lt;&gt;""),"Revisar formato",N(Registro!$H205)-N(K205)))</f>
        <v/>
      </c>
      <c r="N205" s="11" t="str">
        <f t="shared" si="11"/>
        <v/>
      </c>
      <c r="O205" s="15" t="str">
        <f>IF(AND(A205=Consulta!$B$3,C205=Consulta!$H$3),B205*10000+ROW(),"")</f>
        <v/>
      </c>
    </row>
    <row r="206" spans="1:15" x14ac:dyDescent="0.25">
      <c r="A206" s="9" t="str">
        <f>IF(Registro!$A206="","",Registro!$A206)</f>
        <v/>
      </c>
      <c r="B206" s="8" t="str">
        <f>IF(Registro!$B206="","",Registro!$B206)</f>
        <v/>
      </c>
      <c r="C206" s="14" t="str">
        <f t="shared" si="9"/>
        <v/>
      </c>
      <c r="D206" s="10" t="str">
        <f>IF(Registro!$E206="","",IF(ISERROR(FIND("x",LOWER(Registro!$E206))),"-",IFERROR(SUMPRODUCT(--("0"&amp;LEFT(TRIM(MID(SUBSTITUTE(SUBSTITUTE(SUBSTITUTE(SUBSTITUTE(SUBSTITUTE(LOWER(Registro!$E206),"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",LEN(Registro!$E206))),({1,2,3,4,5,6,7,8,9,10,11,12,13,14,15,16,17,18,19,20,21,22,23,24,25,26,27,28,29,30}-1)*LEN(Registro!$E206)+1,LEN(Registro!$E206)))&amp;"x")-1))),"Revisar formato")))</f>
        <v/>
      </c>
      <c r="E206" s="11" t="str">
        <f>IF(Registro!$E206="","",IF(ISERROR(FIND("x",LOWER(Registro!$E206))),"-",IFERROR(SUMPRODUCT(--("0"&amp;LEFT(TRIM(MID(SUBSTITUTE(SUBSTITUTE(SUBSTITUTE(SUBSTITUTE(SUBSTITUTE(LOWER(Registro!$E206),"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",LEN(Registro!$E206))),({1,2,3,4,5,6,7,8,9,10,11,12,13,14,15,16,17,18,19,20,21,22,23,24,25,26,27,28,29,30}-1)*LEN(Registro!$E206)+1,LEN(Registro!$E206)))&amp;"x")-1)),--("0"&amp;MID(TRIM(MID(SUBSTITUTE(SUBSTITUTE(SUBSTITUTE(SUBSTITUTE(SUBSTITUTE(LOWER(Registro!$E206),"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",LEN(Registro!$E206))),({1,2,3,4,5,6,7,8,9,10,11,12,13,14,15,16,17,18,19,20,21,22,23,24,25,26,27,28,29,30}-1)*LEN(Registro!$E206)+1,LEN(Registro!$E206)))&amp;"x")+1,20))),"Revisar formato")))</f>
        <v/>
      </c>
      <c r="F206" s="11" t="str">
        <f>IF(Registro!$F206="","",N(Registro!$F206))</f>
        <v/>
      </c>
      <c r="G206" s="11" t="str">
        <f t="shared" si="10"/>
        <v/>
      </c>
      <c r="H206" s="10" t="str">
        <f>IF(Registro!$G206="","",IF(ISERROR(FIND("x",LOWER(Registro!$G206))),"-",IFERROR(SUMPRODUCT(--("0"&amp;LEFT(TRIM(MID(SUBSTITUTE(SUBSTITUTE(SUBSTITUTE(SUBSTITUTE(SUBSTITUTE(LOWER(Registro!$G206),"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",LEN(Registro!$G206))),({1,2,3,4,5,6,7,8,9,10,11,12,13,14,15,16,17,18,19,20,21,22,23,24,25,26,27,28,29,30}-1)*LEN(Registro!$G206)+1,LEN(Registro!$G206))),FIND("x",TRIM(MID(SUBSTITUTE(SUBSTITUTE(SUBSTITUTE(SUBSTITUTE(SUBSTITUTE(LOWER(Registro!$G206),"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",LEN(Registro!$G206))),({1,2,3,4,5,6,7,8,9,10,11,12,13,14,15,16,17,18,19,20,21,22,23,24,25,26,27,28,29,30}-1)*LEN(Registro!$G206)+1,LEN(Registro!$G206)))&amp;"x")-1))),"Revisar formato")))</f>
        <v/>
      </c>
      <c r="I206" s="11" t="str">
        <f>IF(Registro!$G206="","",IF(ISERROR(FIND("x",LOWER(Registro!$G206))),N(Registro!$H206),IFERROR(SUMPRODUCT(--("0"&amp;LEFT(TRIM(MID(SUBSTITUTE(SUBSTITUTE(SUBSTITUTE(SUBSTITUTE(SUBSTITUTE(LOWER(Registro!$G206),"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",LEN(Registro!$G206))),({1,2,3,4,5,6,7,8,9,10,11,12,13,14,15,16,17,18,19,20,21,22,23,24,25,26,27,28,29,30}-1)*LEN(Registro!$G206)+1,LEN(Registro!$G206))),FIND("x",TRIM(MID(SUBSTITUTE(SUBSTITUTE(SUBSTITUTE(SUBSTITUTE(SUBSTITUTE(LOWER(Registro!$G206),"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",LEN(Registro!$G206))),({1,2,3,4,5,6,7,8,9,10,11,12,13,14,15,16,17,18,19,20,21,22,23,24,25,26,27,28,29,30}-1)*LEN(Registro!$G206)+1,LEN(Registro!$G206)))&amp;"x")-1)),--("0"&amp;MID(TRIM(MID(SUBSTITUTE(SUBSTITUTE(SUBSTITUTE(SUBSTITUTE(SUBSTITUTE(LOWER(Registro!$G206),"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",LEN(Registro!$G206))),({1,2,3,4,5,6,7,8,9,10,11,12,13,14,15,16,17,18,19,20,21,22,23,24,25,26,27,28,29,30}-1)*LEN(Registro!$G206)+1,LEN(Registro!$G206))),FIND("x",TRIM(MID(SUBSTITUTE(SUBSTITUTE(SUBSTITUTE(SUBSTITUTE(SUBSTITUTE(LOWER(Registro!$G206),"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",LEN(Registro!$G206))),({1,2,3,4,5,6,7,8,9,10,11,12,13,14,15,16,17,18,19,20,21,22,23,24,25,26,27,28,29,30}-1)*LEN(Registro!$G206)+1,LEN(Registro!$G206)))&amp;"x")+1,20))),"Revisar formato")))</f>
        <v/>
      </c>
      <c r="J206" s="9" t="str">
        <f>IF(AND(Registro!$E206="",Registro!$G206=""),"",IF(NOT(AND(ISNUMBER(I206),ISNUMBER(Registro!$H206))),"",IF(I206&lt;Registro!$H206,"FALTA BOLETOS",IF(I206=Registro!$H206,"CONFORME","DIFERENCIA"))))</f>
        <v/>
      </c>
      <c r="K206" s="11" t="str">
        <f>IF(Registro!$I206="","",IFERROR(SUMPRODUCT(--("0"&amp;TRIM(RIGHT(SUBSTITUTE(TRIM(MID(SUBSTITUTE(SUBSTITUTE(Registro!$I206,";",CHAR(10)),CHAR(10),REPT(" ",LEN(Registro!$I206))),({1,2,3,4,5,6,7,8,9,10,11,12,13,14,15,16,17,18,19,20,21,22,23,24,25,26,27,28,29,30}-1)*LEN(Registro!$I206)+1,LEN(Registro!$I206)))," ",REPT(" ",50)),50)))),"Revisar formato"))</f>
        <v/>
      </c>
      <c r="L206" s="11" t="str">
        <f>IF(Registro!$J206="","",IFERROR(SUMPRODUCT(--("0"&amp;TRIM(RIGHT(SUBSTITUTE(TRIM(MID(SUBSTITUTE(SUBSTITUTE(Registro!$J206,";",CHAR(10)),CHAR(10),REPT(" ",LEN(Registro!$J206))),({1,2,3,4,5,6,7,8,9,10,11,12,13,14,15,16,17,18,19,20,21,22,23,24,25,26,27,28,29,30}-1)*LEN(Registro!$J206)+1,LEN(Registro!$J206)))," ",REPT(" ",50)),50)))),"Revisar formato"))</f>
        <v/>
      </c>
      <c r="M206" s="11" t="str">
        <f>IF(AND(Registro!$H206="",Registro!$I206=""),"",IF(AND(ISTEXT(K206),K206&lt;&gt;""),"Revisar formato",N(Registro!$H206)-N(K206)))</f>
        <v/>
      </c>
      <c r="N206" s="11" t="str">
        <f t="shared" si="11"/>
        <v/>
      </c>
      <c r="O206" s="15" t="str">
        <f>IF(AND(A206=Consulta!$B$3,C206=Consulta!$H$3),B206*10000+ROW(),"")</f>
        <v/>
      </c>
    </row>
    <row r="207" spans="1:15" x14ac:dyDescent="0.25">
      <c r="A207" s="9" t="str">
        <f>IF(Registro!$A207="","",Registro!$A207)</f>
        <v/>
      </c>
      <c r="B207" s="8" t="str">
        <f>IF(Registro!$B207="","",Registro!$B207)</f>
        <v/>
      </c>
      <c r="C207" s="14" t="str">
        <f t="shared" si="9"/>
        <v/>
      </c>
      <c r="D207" s="10" t="str">
        <f>IF(Registro!$E207="","",IF(ISERROR(FIND("x",LOWER(Registro!$E207))),"-",IFERROR(SUMPRODUCT(--("0"&amp;LEFT(TRIM(MID(SUBSTITUTE(SUBSTITUTE(SUBSTITUTE(SUBSTITUTE(SUBSTITUTE(LOWER(Registro!$E207),"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",LEN(Registro!$E207))),({1,2,3,4,5,6,7,8,9,10,11,12,13,14,15,16,17,18,19,20,21,22,23,24,25,26,27,28,29,30}-1)*LEN(Registro!$E207)+1,LEN(Registro!$E207)))&amp;"x")-1))),"Revisar formato")))</f>
        <v/>
      </c>
      <c r="E207" s="11" t="str">
        <f>IF(Registro!$E207="","",IF(ISERROR(FIND("x",LOWER(Registro!$E207))),"-",IFERROR(SUMPRODUCT(--("0"&amp;LEFT(TRIM(MID(SUBSTITUTE(SUBSTITUTE(SUBSTITUTE(SUBSTITUTE(SUBSTITUTE(LOWER(Registro!$E207),"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",LEN(Registro!$E207))),({1,2,3,4,5,6,7,8,9,10,11,12,13,14,15,16,17,18,19,20,21,22,23,24,25,26,27,28,29,30}-1)*LEN(Registro!$E207)+1,LEN(Registro!$E207)))&amp;"x")-1)),--("0"&amp;MID(TRIM(MID(SUBSTITUTE(SUBSTITUTE(SUBSTITUTE(SUBSTITUTE(SUBSTITUTE(LOWER(Registro!$E207),"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",LEN(Registro!$E207))),({1,2,3,4,5,6,7,8,9,10,11,12,13,14,15,16,17,18,19,20,21,22,23,24,25,26,27,28,29,30}-1)*LEN(Registro!$E207)+1,LEN(Registro!$E207)))&amp;"x")+1,20))),"Revisar formato")))</f>
        <v/>
      </c>
      <c r="F207" s="11" t="str">
        <f>IF(Registro!$F207="","",N(Registro!$F207))</f>
        <v/>
      </c>
      <c r="G207" s="11" t="str">
        <f t="shared" si="10"/>
        <v/>
      </c>
      <c r="H207" s="10" t="str">
        <f>IF(Registro!$G207="","",IF(ISERROR(FIND("x",LOWER(Registro!$G207))),"-",IFERROR(SUMPRODUCT(--("0"&amp;LEFT(TRIM(MID(SUBSTITUTE(SUBSTITUTE(SUBSTITUTE(SUBSTITUTE(SUBSTITUTE(LOWER(Registro!$G207),"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",LEN(Registro!$G207))),({1,2,3,4,5,6,7,8,9,10,11,12,13,14,15,16,17,18,19,20,21,22,23,24,25,26,27,28,29,30}-1)*LEN(Registro!$G207)+1,LEN(Registro!$G207))),FIND("x",TRIM(MID(SUBSTITUTE(SUBSTITUTE(SUBSTITUTE(SUBSTITUTE(SUBSTITUTE(LOWER(Registro!$G207),"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",LEN(Registro!$G207))),({1,2,3,4,5,6,7,8,9,10,11,12,13,14,15,16,17,18,19,20,21,22,23,24,25,26,27,28,29,30}-1)*LEN(Registro!$G207)+1,LEN(Registro!$G207)))&amp;"x")-1))),"Revisar formato")))</f>
        <v/>
      </c>
      <c r="I207" s="11" t="str">
        <f>IF(Registro!$G207="","",IF(ISERROR(FIND("x",LOWER(Registro!$G207))),N(Registro!$H207),IFERROR(SUMPRODUCT(--("0"&amp;LEFT(TRIM(MID(SUBSTITUTE(SUBSTITUTE(SUBSTITUTE(SUBSTITUTE(SUBSTITUTE(LOWER(Registro!$G207),"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",LEN(Registro!$G207))),({1,2,3,4,5,6,7,8,9,10,11,12,13,14,15,16,17,18,19,20,21,22,23,24,25,26,27,28,29,30}-1)*LEN(Registro!$G207)+1,LEN(Registro!$G207))),FIND("x",TRIM(MID(SUBSTITUTE(SUBSTITUTE(SUBSTITUTE(SUBSTITUTE(SUBSTITUTE(LOWER(Registro!$G207),"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",LEN(Registro!$G207))),({1,2,3,4,5,6,7,8,9,10,11,12,13,14,15,16,17,18,19,20,21,22,23,24,25,26,27,28,29,30}-1)*LEN(Registro!$G207)+1,LEN(Registro!$G207)))&amp;"x")-1)),--("0"&amp;MID(TRIM(MID(SUBSTITUTE(SUBSTITUTE(SUBSTITUTE(SUBSTITUTE(SUBSTITUTE(LOWER(Registro!$G207),"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",LEN(Registro!$G207))),({1,2,3,4,5,6,7,8,9,10,11,12,13,14,15,16,17,18,19,20,21,22,23,24,25,26,27,28,29,30}-1)*LEN(Registro!$G207)+1,LEN(Registro!$G207))),FIND("x",TRIM(MID(SUBSTITUTE(SUBSTITUTE(SUBSTITUTE(SUBSTITUTE(SUBSTITUTE(LOWER(Registro!$G207),"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",LEN(Registro!$G207))),({1,2,3,4,5,6,7,8,9,10,11,12,13,14,15,16,17,18,19,20,21,22,23,24,25,26,27,28,29,30}-1)*LEN(Registro!$G207)+1,LEN(Registro!$G207)))&amp;"x")+1,20))),"Revisar formato")))</f>
        <v/>
      </c>
      <c r="J207" s="9" t="str">
        <f>IF(AND(Registro!$E207="",Registro!$G207=""),"",IF(NOT(AND(ISNUMBER(I207),ISNUMBER(Registro!$H207))),"",IF(I207&lt;Registro!$H207,"FALTA BOLETOS",IF(I207=Registro!$H207,"CONFORME","DIFERENCIA"))))</f>
        <v/>
      </c>
      <c r="K207" s="11" t="str">
        <f>IF(Registro!$I207="","",IFERROR(SUMPRODUCT(--("0"&amp;TRIM(RIGHT(SUBSTITUTE(TRIM(MID(SUBSTITUTE(SUBSTITUTE(Registro!$I207,";",CHAR(10)),CHAR(10),REPT(" ",LEN(Registro!$I207))),({1,2,3,4,5,6,7,8,9,10,11,12,13,14,15,16,17,18,19,20,21,22,23,24,25,26,27,28,29,30}-1)*LEN(Registro!$I207)+1,LEN(Registro!$I207)))," ",REPT(" ",50)),50)))),"Revisar formato"))</f>
        <v/>
      </c>
      <c r="L207" s="11" t="str">
        <f>IF(Registro!$J207="","",IFERROR(SUMPRODUCT(--("0"&amp;TRIM(RIGHT(SUBSTITUTE(TRIM(MID(SUBSTITUTE(SUBSTITUTE(Registro!$J207,";",CHAR(10)),CHAR(10),REPT(" ",LEN(Registro!$J207))),({1,2,3,4,5,6,7,8,9,10,11,12,13,14,15,16,17,18,19,20,21,22,23,24,25,26,27,28,29,30}-1)*LEN(Registro!$J207)+1,LEN(Registro!$J207)))," ",REPT(" ",50)),50)))),"Revisar formato"))</f>
        <v/>
      </c>
      <c r="M207" s="11" t="str">
        <f>IF(AND(Registro!$H207="",Registro!$I207=""),"",IF(AND(ISTEXT(K207),K207&lt;&gt;""),"Revisar formato",N(Registro!$H207)-N(K207)))</f>
        <v/>
      </c>
      <c r="N207" s="11" t="str">
        <f t="shared" si="11"/>
        <v/>
      </c>
      <c r="O207" s="15" t="str">
        <f>IF(AND(A207=Consulta!$B$3,C207=Consulta!$H$3),B207*10000+ROW(),"")</f>
        <v/>
      </c>
    </row>
    <row r="208" spans="1:15" x14ac:dyDescent="0.25">
      <c r="A208" s="9" t="str">
        <f>IF(Registro!$A208="","",Registro!$A208)</f>
        <v/>
      </c>
      <c r="B208" s="8" t="str">
        <f>IF(Registro!$B208="","",Registro!$B208)</f>
        <v/>
      </c>
      <c r="C208" s="14" t="str">
        <f t="shared" si="9"/>
        <v/>
      </c>
      <c r="D208" s="10" t="str">
        <f>IF(Registro!$E208="","",IF(ISERROR(FIND("x",LOWER(Registro!$E208))),"-",IFERROR(SUMPRODUCT(--("0"&amp;LEFT(TRIM(MID(SUBSTITUTE(SUBSTITUTE(SUBSTITUTE(SUBSTITUTE(SUBSTITUTE(LOWER(Registro!$E208),"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",LEN(Registro!$E208))),({1,2,3,4,5,6,7,8,9,10,11,12,13,14,15,16,17,18,19,20,21,22,23,24,25,26,27,28,29,30}-1)*LEN(Registro!$E208)+1,LEN(Registro!$E208)))&amp;"x")-1))),"Revisar formato")))</f>
        <v/>
      </c>
      <c r="E208" s="11" t="str">
        <f>IF(Registro!$E208="","",IF(ISERROR(FIND("x",LOWER(Registro!$E208))),"-",IFERROR(SUMPRODUCT(--("0"&amp;LEFT(TRIM(MID(SUBSTITUTE(SUBSTITUTE(SUBSTITUTE(SUBSTITUTE(SUBSTITUTE(LOWER(Registro!$E208),"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",LEN(Registro!$E208))),({1,2,3,4,5,6,7,8,9,10,11,12,13,14,15,16,17,18,19,20,21,22,23,24,25,26,27,28,29,30}-1)*LEN(Registro!$E208)+1,LEN(Registro!$E208)))&amp;"x")-1)),--("0"&amp;MID(TRIM(MID(SUBSTITUTE(SUBSTITUTE(SUBSTITUTE(SUBSTITUTE(SUBSTITUTE(LOWER(Registro!$E208),"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",LEN(Registro!$E208))),({1,2,3,4,5,6,7,8,9,10,11,12,13,14,15,16,17,18,19,20,21,22,23,24,25,26,27,28,29,30}-1)*LEN(Registro!$E208)+1,LEN(Registro!$E208)))&amp;"x")+1,20))),"Revisar formato")))</f>
        <v/>
      </c>
      <c r="F208" s="11" t="str">
        <f>IF(Registro!$F208="","",N(Registro!$F208))</f>
        <v/>
      </c>
      <c r="G208" s="11" t="str">
        <f t="shared" si="10"/>
        <v/>
      </c>
      <c r="H208" s="10" t="str">
        <f>IF(Registro!$G208="","",IF(ISERROR(FIND("x",LOWER(Registro!$G208))),"-",IFERROR(SUMPRODUCT(--("0"&amp;LEFT(TRIM(MID(SUBSTITUTE(SUBSTITUTE(SUBSTITUTE(SUBSTITUTE(SUBSTITUTE(LOWER(Registro!$G208),"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",LEN(Registro!$G208))),({1,2,3,4,5,6,7,8,9,10,11,12,13,14,15,16,17,18,19,20,21,22,23,24,25,26,27,28,29,30}-1)*LEN(Registro!$G208)+1,LEN(Registro!$G208))),FIND("x",TRIM(MID(SUBSTITUTE(SUBSTITUTE(SUBSTITUTE(SUBSTITUTE(SUBSTITUTE(LOWER(Registro!$G208),"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",LEN(Registro!$G208))),({1,2,3,4,5,6,7,8,9,10,11,12,13,14,15,16,17,18,19,20,21,22,23,24,25,26,27,28,29,30}-1)*LEN(Registro!$G208)+1,LEN(Registro!$G208)))&amp;"x")-1))),"Revisar formato")))</f>
        <v/>
      </c>
      <c r="I208" s="11" t="str">
        <f>IF(Registro!$G208="","",IF(ISERROR(FIND("x",LOWER(Registro!$G208))),N(Registro!$H208),IFERROR(SUMPRODUCT(--("0"&amp;LEFT(TRIM(MID(SUBSTITUTE(SUBSTITUTE(SUBSTITUTE(SUBSTITUTE(SUBSTITUTE(LOWER(Registro!$G208),"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",LEN(Registro!$G208))),({1,2,3,4,5,6,7,8,9,10,11,12,13,14,15,16,17,18,19,20,21,22,23,24,25,26,27,28,29,30}-1)*LEN(Registro!$G208)+1,LEN(Registro!$G208))),FIND("x",TRIM(MID(SUBSTITUTE(SUBSTITUTE(SUBSTITUTE(SUBSTITUTE(SUBSTITUTE(LOWER(Registro!$G208),"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",LEN(Registro!$G208))),({1,2,3,4,5,6,7,8,9,10,11,12,13,14,15,16,17,18,19,20,21,22,23,24,25,26,27,28,29,30}-1)*LEN(Registro!$G208)+1,LEN(Registro!$G208)))&amp;"x")-1)),--("0"&amp;MID(TRIM(MID(SUBSTITUTE(SUBSTITUTE(SUBSTITUTE(SUBSTITUTE(SUBSTITUTE(LOWER(Registro!$G208),"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",LEN(Registro!$G208))),({1,2,3,4,5,6,7,8,9,10,11,12,13,14,15,16,17,18,19,20,21,22,23,24,25,26,27,28,29,30}-1)*LEN(Registro!$G208)+1,LEN(Registro!$G208))),FIND("x",TRIM(MID(SUBSTITUTE(SUBSTITUTE(SUBSTITUTE(SUBSTITUTE(SUBSTITUTE(LOWER(Registro!$G208),"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",LEN(Registro!$G208))),({1,2,3,4,5,6,7,8,9,10,11,12,13,14,15,16,17,18,19,20,21,22,23,24,25,26,27,28,29,30}-1)*LEN(Registro!$G208)+1,LEN(Registro!$G208)))&amp;"x")+1,20))),"Revisar formato")))</f>
        <v/>
      </c>
      <c r="J208" s="9" t="str">
        <f>IF(AND(Registro!$E208="",Registro!$G208=""),"",IF(NOT(AND(ISNUMBER(I208),ISNUMBER(Registro!$H208))),"",IF(I208&lt;Registro!$H208,"FALTA BOLETOS",IF(I208=Registro!$H208,"CONFORME","DIFERENCIA"))))</f>
        <v/>
      </c>
      <c r="K208" s="11" t="str">
        <f>IF(Registro!$I208="","",IFERROR(SUMPRODUCT(--("0"&amp;TRIM(RIGHT(SUBSTITUTE(TRIM(MID(SUBSTITUTE(SUBSTITUTE(Registro!$I208,";",CHAR(10)),CHAR(10),REPT(" ",LEN(Registro!$I208))),({1,2,3,4,5,6,7,8,9,10,11,12,13,14,15,16,17,18,19,20,21,22,23,24,25,26,27,28,29,30}-1)*LEN(Registro!$I208)+1,LEN(Registro!$I208)))," ",REPT(" ",50)),50)))),"Revisar formato"))</f>
        <v/>
      </c>
      <c r="L208" s="11" t="str">
        <f>IF(Registro!$J208="","",IFERROR(SUMPRODUCT(--("0"&amp;TRIM(RIGHT(SUBSTITUTE(TRIM(MID(SUBSTITUTE(SUBSTITUTE(Registro!$J208,";",CHAR(10)),CHAR(10),REPT(" ",LEN(Registro!$J208))),({1,2,3,4,5,6,7,8,9,10,11,12,13,14,15,16,17,18,19,20,21,22,23,24,25,26,27,28,29,30}-1)*LEN(Registro!$J208)+1,LEN(Registro!$J208)))," ",REPT(" ",50)),50)))),"Revisar formato"))</f>
        <v/>
      </c>
      <c r="M208" s="11" t="str">
        <f>IF(AND(Registro!$H208="",Registro!$I208=""),"",IF(AND(ISTEXT(K208),K208&lt;&gt;""),"Revisar formato",N(Registro!$H208)-N(K208)))</f>
        <v/>
      </c>
      <c r="N208" s="11" t="str">
        <f t="shared" si="11"/>
        <v/>
      </c>
      <c r="O208" s="15" t="str">
        <f>IF(AND(A208=Consulta!$B$3,C208=Consulta!$H$3),B208*10000+ROW(),"")</f>
        <v/>
      </c>
    </row>
    <row r="209" spans="1:15" x14ac:dyDescent="0.25">
      <c r="A209" s="9" t="str">
        <f>IF(Registro!$A209="","",Registro!$A209)</f>
        <v/>
      </c>
      <c r="B209" s="8" t="str">
        <f>IF(Registro!$B209="","",Registro!$B209)</f>
        <v/>
      </c>
      <c r="C209" s="14" t="str">
        <f t="shared" si="9"/>
        <v/>
      </c>
      <c r="D209" s="10" t="str">
        <f>IF(Registro!$E209="","",IF(ISERROR(FIND("x",LOWER(Registro!$E209))),"-",IFERROR(SUMPRODUCT(--("0"&amp;LEFT(TRIM(MID(SUBSTITUTE(SUBSTITUTE(SUBSTITUTE(SUBSTITUTE(SUBSTITUTE(LOWER(Registro!$E209),"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",LEN(Registro!$E209))),({1,2,3,4,5,6,7,8,9,10,11,12,13,14,15,16,17,18,19,20,21,22,23,24,25,26,27,28,29,30}-1)*LEN(Registro!$E209)+1,LEN(Registro!$E209)))&amp;"x")-1))),"Revisar formato")))</f>
        <v/>
      </c>
      <c r="E209" s="11" t="str">
        <f>IF(Registro!$E209="","",IF(ISERROR(FIND("x",LOWER(Registro!$E209))),"-",IFERROR(SUMPRODUCT(--("0"&amp;LEFT(TRIM(MID(SUBSTITUTE(SUBSTITUTE(SUBSTITUTE(SUBSTITUTE(SUBSTITUTE(LOWER(Registro!$E209),"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",LEN(Registro!$E209))),({1,2,3,4,5,6,7,8,9,10,11,12,13,14,15,16,17,18,19,20,21,22,23,24,25,26,27,28,29,30}-1)*LEN(Registro!$E209)+1,LEN(Registro!$E209)))&amp;"x")-1)),--("0"&amp;MID(TRIM(MID(SUBSTITUTE(SUBSTITUTE(SUBSTITUTE(SUBSTITUTE(SUBSTITUTE(LOWER(Registro!$E209),"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",LEN(Registro!$E209))),({1,2,3,4,5,6,7,8,9,10,11,12,13,14,15,16,17,18,19,20,21,22,23,24,25,26,27,28,29,30}-1)*LEN(Registro!$E209)+1,LEN(Registro!$E209)))&amp;"x")+1,20))),"Revisar formato")))</f>
        <v/>
      </c>
      <c r="F209" s="11" t="str">
        <f>IF(Registro!$F209="","",N(Registro!$F209))</f>
        <v/>
      </c>
      <c r="G209" s="11" t="str">
        <f t="shared" si="10"/>
        <v/>
      </c>
      <c r="H209" s="10" t="str">
        <f>IF(Registro!$G209="","",IF(ISERROR(FIND("x",LOWER(Registro!$G209))),"-",IFERROR(SUMPRODUCT(--("0"&amp;LEFT(TRIM(MID(SUBSTITUTE(SUBSTITUTE(SUBSTITUTE(SUBSTITUTE(SUBSTITUTE(LOWER(Registro!$G209),"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",LEN(Registro!$G209))),({1,2,3,4,5,6,7,8,9,10,11,12,13,14,15,16,17,18,19,20,21,22,23,24,25,26,27,28,29,30}-1)*LEN(Registro!$G209)+1,LEN(Registro!$G209))),FIND("x",TRIM(MID(SUBSTITUTE(SUBSTITUTE(SUBSTITUTE(SUBSTITUTE(SUBSTITUTE(LOWER(Registro!$G209),"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",LEN(Registro!$G209))),({1,2,3,4,5,6,7,8,9,10,11,12,13,14,15,16,17,18,19,20,21,22,23,24,25,26,27,28,29,30}-1)*LEN(Registro!$G209)+1,LEN(Registro!$G209)))&amp;"x")-1))),"Revisar formato")))</f>
        <v/>
      </c>
      <c r="I209" s="11" t="str">
        <f>IF(Registro!$G209="","",IF(ISERROR(FIND("x",LOWER(Registro!$G209))),N(Registro!$H209),IFERROR(SUMPRODUCT(--("0"&amp;LEFT(TRIM(MID(SUBSTITUTE(SUBSTITUTE(SUBSTITUTE(SUBSTITUTE(SUBSTITUTE(LOWER(Registro!$G209),"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",LEN(Registro!$G209))),({1,2,3,4,5,6,7,8,9,10,11,12,13,14,15,16,17,18,19,20,21,22,23,24,25,26,27,28,29,30}-1)*LEN(Registro!$G209)+1,LEN(Registro!$G209))),FIND("x",TRIM(MID(SUBSTITUTE(SUBSTITUTE(SUBSTITUTE(SUBSTITUTE(SUBSTITUTE(LOWER(Registro!$G209),"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",LEN(Registro!$G209))),({1,2,3,4,5,6,7,8,9,10,11,12,13,14,15,16,17,18,19,20,21,22,23,24,25,26,27,28,29,30}-1)*LEN(Registro!$G209)+1,LEN(Registro!$G209)))&amp;"x")-1)),--("0"&amp;MID(TRIM(MID(SUBSTITUTE(SUBSTITUTE(SUBSTITUTE(SUBSTITUTE(SUBSTITUTE(LOWER(Registro!$G209),"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",LEN(Registro!$G209))),({1,2,3,4,5,6,7,8,9,10,11,12,13,14,15,16,17,18,19,20,21,22,23,24,25,26,27,28,29,30}-1)*LEN(Registro!$G209)+1,LEN(Registro!$G209))),FIND("x",TRIM(MID(SUBSTITUTE(SUBSTITUTE(SUBSTITUTE(SUBSTITUTE(SUBSTITUTE(LOWER(Registro!$G209),"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",LEN(Registro!$G209))),({1,2,3,4,5,6,7,8,9,10,11,12,13,14,15,16,17,18,19,20,21,22,23,24,25,26,27,28,29,30}-1)*LEN(Registro!$G209)+1,LEN(Registro!$G209)))&amp;"x")+1,20))),"Revisar formato")))</f>
        <v/>
      </c>
      <c r="J209" s="9" t="str">
        <f>IF(AND(Registro!$E209="",Registro!$G209=""),"",IF(NOT(AND(ISNUMBER(I209),ISNUMBER(Registro!$H209))),"",IF(I209&lt;Registro!$H209,"FALTA BOLETOS",IF(I209=Registro!$H209,"CONFORME","DIFERENCIA"))))</f>
        <v/>
      </c>
      <c r="K209" s="11" t="str">
        <f>IF(Registro!$I209="","",IFERROR(SUMPRODUCT(--("0"&amp;TRIM(RIGHT(SUBSTITUTE(TRIM(MID(SUBSTITUTE(SUBSTITUTE(Registro!$I209,";",CHAR(10)),CHAR(10),REPT(" ",LEN(Registro!$I209))),({1,2,3,4,5,6,7,8,9,10,11,12,13,14,15,16,17,18,19,20,21,22,23,24,25,26,27,28,29,30}-1)*LEN(Registro!$I209)+1,LEN(Registro!$I209)))," ",REPT(" ",50)),50)))),"Revisar formato"))</f>
        <v/>
      </c>
      <c r="L209" s="11" t="str">
        <f>IF(Registro!$J209="","",IFERROR(SUMPRODUCT(--("0"&amp;TRIM(RIGHT(SUBSTITUTE(TRIM(MID(SUBSTITUTE(SUBSTITUTE(Registro!$J209,";",CHAR(10)),CHAR(10),REPT(" ",LEN(Registro!$J209))),({1,2,3,4,5,6,7,8,9,10,11,12,13,14,15,16,17,18,19,20,21,22,23,24,25,26,27,28,29,30}-1)*LEN(Registro!$J209)+1,LEN(Registro!$J209)))," ",REPT(" ",50)),50)))),"Revisar formato"))</f>
        <v/>
      </c>
      <c r="M209" s="11" t="str">
        <f>IF(AND(Registro!$H209="",Registro!$I209=""),"",IF(AND(ISTEXT(K209),K209&lt;&gt;""),"Revisar formato",N(Registro!$H209)-N(K209)))</f>
        <v/>
      </c>
      <c r="N209" s="11" t="str">
        <f t="shared" si="11"/>
        <v/>
      </c>
      <c r="O209" s="15" t="str">
        <f>IF(AND(A209=Consulta!$B$3,C209=Consulta!$H$3),B209*10000+ROW(),"")</f>
        <v/>
      </c>
    </row>
    <row r="210" spans="1:15" x14ac:dyDescent="0.25">
      <c r="A210" s="9" t="str">
        <f>IF(Registro!$A210="","",Registro!$A210)</f>
        <v/>
      </c>
      <c r="B210" s="8" t="str">
        <f>IF(Registro!$B210="","",Registro!$B210)</f>
        <v/>
      </c>
      <c r="C210" s="14" t="str">
        <f t="shared" si="9"/>
        <v/>
      </c>
      <c r="D210" s="10" t="str">
        <f>IF(Registro!$E210="","",IF(ISERROR(FIND("x",LOWER(Registro!$E210))),"-",IFERROR(SUMPRODUCT(--("0"&amp;LEFT(TRIM(MID(SUBSTITUTE(SUBSTITUTE(SUBSTITUTE(SUBSTITUTE(SUBSTITUTE(LOWER(Registro!$E210),"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",LEN(Registro!$E210))),({1,2,3,4,5,6,7,8,9,10,11,12,13,14,15,16,17,18,19,20,21,22,23,24,25,26,27,28,29,30}-1)*LEN(Registro!$E210)+1,LEN(Registro!$E210)))&amp;"x")-1))),"Revisar formato")))</f>
        <v/>
      </c>
      <c r="E210" s="11" t="str">
        <f>IF(Registro!$E210="","",IF(ISERROR(FIND("x",LOWER(Registro!$E210))),"-",IFERROR(SUMPRODUCT(--("0"&amp;LEFT(TRIM(MID(SUBSTITUTE(SUBSTITUTE(SUBSTITUTE(SUBSTITUTE(SUBSTITUTE(LOWER(Registro!$E210),"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",LEN(Registro!$E210))),({1,2,3,4,5,6,7,8,9,10,11,12,13,14,15,16,17,18,19,20,21,22,23,24,25,26,27,28,29,30}-1)*LEN(Registro!$E210)+1,LEN(Registro!$E210)))&amp;"x")-1)),--("0"&amp;MID(TRIM(MID(SUBSTITUTE(SUBSTITUTE(SUBSTITUTE(SUBSTITUTE(SUBSTITUTE(LOWER(Registro!$E210),"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",LEN(Registro!$E210))),({1,2,3,4,5,6,7,8,9,10,11,12,13,14,15,16,17,18,19,20,21,22,23,24,25,26,27,28,29,30}-1)*LEN(Registro!$E210)+1,LEN(Registro!$E210)))&amp;"x")+1,20))),"Revisar formato")))</f>
        <v/>
      </c>
      <c r="F210" s="11" t="str">
        <f>IF(Registro!$F210="","",N(Registro!$F210))</f>
        <v/>
      </c>
      <c r="G210" s="11" t="str">
        <f t="shared" si="10"/>
        <v/>
      </c>
      <c r="H210" s="10" t="str">
        <f>IF(Registro!$G210="","",IF(ISERROR(FIND("x",LOWER(Registro!$G210))),"-",IFERROR(SUMPRODUCT(--("0"&amp;LEFT(TRIM(MID(SUBSTITUTE(SUBSTITUTE(SUBSTITUTE(SUBSTITUTE(SUBSTITUTE(LOWER(Registro!$G210),"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",LEN(Registro!$G210))),({1,2,3,4,5,6,7,8,9,10,11,12,13,14,15,16,17,18,19,20,21,22,23,24,25,26,27,28,29,30}-1)*LEN(Registro!$G210)+1,LEN(Registro!$G210))),FIND("x",TRIM(MID(SUBSTITUTE(SUBSTITUTE(SUBSTITUTE(SUBSTITUTE(SUBSTITUTE(LOWER(Registro!$G210),"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",LEN(Registro!$G210))),({1,2,3,4,5,6,7,8,9,10,11,12,13,14,15,16,17,18,19,20,21,22,23,24,25,26,27,28,29,30}-1)*LEN(Registro!$G210)+1,LEN(Registro!$G210)))&amp;"x")-1))),"Revisar formato")))</f>
        <v/>
      </c>
      <c r="I210" s="11" t="str">
        <f>IF(Registro!$G210="","",IF(ISERROR(FIND("x",LOWER(Registro!$G210))),N(Registro!$H210),IFERROR(SUMPRODUCT(--("0"&amp;LEFT(TRIM(MID(SUBSTITUTE(SUBSTITUTE(SUBSTITUTE(SUBSTITUTE(SUBSTITUTE(LOWER(Registro!$G210),"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",LEN(Registro!$G210))),({1,2,3,4,5,6,7,8,9,10,11,12,13,14,15,16,17,18,19,20,21,22,23,24,25,26,27,28,29,30}-1)*LEN(Registro!$G210)+1,LEN(Registro!$G210))),FIND("x",TRIM(MID(SUBSTITUTE(SUBSTITUTE(SUBSTITUTE(SUBSTITUTE(SUBSTITUTE(LOWER(Registro!$G210),"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",LEN(Registro!$G210))),({1,2,3,4,5,6,7,8,9,10,11,12,13,14,15,16,17,18,19,20,21,22,23,24,25,26,27,28,29,30}-1)*LEN(Registro!$G210)+1,LEN(Registro!$G210)))&amp;"x")-1)),--("0"&amp;MID(TRIM(MID(SUBSTITUTE(SUBSTITUTE(SUBSTITUTE(SUBSTITUTE(SUBSTITUTE(LOWER(Registro!$G210),"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",LEN(Registro!$G210))),({1,2,3,4,5,6,7,8,9,10,11,12,13,14,15,16,17,18,19,20,21,22,23,24,25,26,27,28,29,30}-1)*LEN(Registro!$G210)+1,LEN(Registro!$G210))),FIND("x",TRIM(MID(SUBSTITUTE(SUBSTITUTE(SUBSTITUTE(SUBSTITUTE(SUBSTITUTE(LOWER(Registro!$G210),"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",LEN(Registro!$G210))),({1,2,3,4,5,6,7,8,9,10,11,12,13,14,15,16,17,18,19,20,21,22,23,24,25,26,27,28,29,30}-1)*LEN(Registro!$G210)+1,LEN(Registro!$G210)))&amp;"x")+1,20))),"Revisar formato")))</f>
        <v/>
      </c>
      <c r="J210" s="9" t="str">
        <f>IF(AND(Registro!$E210="",Registro!$G210=""),"",IF(NOT(AND(ISNUMBER(I210),ISNUMBER(Registro!$H210))),"",IF(I210&lt;Registro!$H210,"FALTA BOLETOS",IF(I210=Registro!$H210,"CONFORME","DIFERENCIA"))))</f>
        <v/>
      </c>
      <c r="K210" s="11" t="str">
        <f>IF(Registro!$I210="","",IFERROR(SUMPRODUCT(--("0"&amp;TRIM(RIGHT(SUBSTITUTE(TRIM(MID(SUBSTITUTE(SUBSTITUTE(Registro!$I210,";",CHAR(10)),CHAR(10),REPT(" ",LEN(Registro!$I210))),({1,2,3,4,5,6,7,8,9,10,11,12,13,14,15,16,17,18,19,20,21,22,23,24,25,26,27,28,29,30}-1)*LEN(Registro!$I210)+1,LEN(Registro!$I210)))," ",REPT(" ",50)),50)))),"Revisar formato"))</f>
        <v/>
      </c>
      <c r="L210" s="11" t="str">
        <f>IF(Registro!$J210="","",IFERROR(SUMPRODUCT(--("0"&amp;TRIM(RIGHT(SUBSTITUTE(TRIM(MID(SUBSTITUTE(SUBSTITUTE(Registro!$J210,";",CHAR(10)),CHAR(10),REPT(" ",LEN(Registro!$J210))),({1,2,3,4,5,6,7,8,9,10,11,12,13,14,15,16,17,18,19,20,21,22,23,24,25,26,27,28,29,30}-1)*LEN(Registro!$J210)+1,LEN(Registro!$J210)))," ",REPT(" ",50)),50)))),"Revisar formato"))</f>
        <v/>
      </c>
      <c r="M210" s="11" t="str">
        <f>IF(AND(Registro!$H210="",Registro!$I210=""),"",IF(AND(ISTEXT(K210),K210&lt;&gt;""),"Revisar formato",N(Registro!$H210)-N(K210)))</f>
        <v/>
      </c>
      <c r="N210" s="11" t="str">
        <f t="shared" si="11"/>
        <v/>
      </c>
      <c r="O210" s="15" t="str">
        <f>IF(AND(A210=Consulta!$B$3,C210=Consulta!$H$3),B210*10000+ROW(),"")</f>
        <v/>
      </c>
    </row>
    <row r="211" spans="1:15" x14ac:dyDescent="0.25">
      <c r="A211" s="9" t="str">
        <f>IF(Registro!$A211="","",Registro!$A211)</f>
        <v/>
      </c>
      <c r="B211" s="8" t="str">
        <f>IF(Registro!$B211="","",Registro!$B211)</f>
        <v/>
      </c>
      <c r="C211" s="14" t="str">
        <f t="shared" si="9"/>
        <v/>
      </c>
      <c r="D211" s="10" t="str">
        <f>IF(Registro!$E211="","",IF(ISERROR(FIND("x",LOWER(Registro!$E211))),"-",IFERROR(SUMPRODUCT(--("0"&amp;LEFT(TRIM(MID(SUBSTITUTE(SUBSTITUTE(SUBSTITUTE(SUBSTITUTE(SUBSTITUTE(LOWER(Registro!$E211),"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",LEN(Registro!$E211))),({1,2,3,4,5,6,7,8,9,10,11,12,13,14,15,16,17,18,19,20,21,22,23,24,25,26,27,28,29,30}-1)*LEN(Registro!$E211)+1,LEN(Registro!$E211)))&amp;"x")-1))),"Revisar formato")))</f>
        <v/>
      </c>
      <c r="E211" s="11" t="str">
        <f>IF(Registro!$E211="","",IF(ISERROR(FIND("x",LOWER(Registro!$E211))),"-",IFERROR(SUMPRODUCT(--("0"&amp;LEFT(TRIM(MID(SUBSTITUTE(SUBSTITUTE(SUBSTITUTE(SUBSTITUTE(SUBSTITUTE(LOWER(Registro!$E211),"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",LEN(Registro!$E211))),({1,2,3,4,5,6,7,8,9,10,11,12,13,14,15,16,17,18,19,20,21,22,23,24,25,26,27,28,29,30}-1)*LEN(Registro!$E211)+1,LEN(Registro!$E211)))&amp;"x")-1)),--("0"&amp;MID(TRIM(MID(SUBSTITUTE(SUBSTITUTE(SUBSTITUTE(SUBSTITUTE(SUBSTITUTE(LOWER(Registro!$E211),"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",LEN(Registro!$E211))),({1,2,3,4,5,6,7,8,9,10,11,12,13,14,15,16,17,18,19,20,21,22,23,24,25,26,27,28,29,30}-1)*LEN(Registro!$E211)+1,LEN(Registro!$E211)))&amp;"x")+1,20))),"Revisar formato")))</f>
        <v/>
      </c>
      <c r="F211" s="11" t="str">
        <f>IF(Registro!$F211="","",N(Registro!$F211))</f>
        <v/>
      </c>
      <c r="G211" s="11" t="str">
        <f t="shared" si="10"/>
        <v/>
      </c>
      <c r="H211" s="10" t="str">
        <f>IF(Registro!$G211="","",IF(ISERROR(FIND("x",LOWER(Registro!$G211))),"-",IFERROR(SUMPRODUCT(--("0"&amp;LEFT(TRIM(MID(SUBSTITUTE(SUBSTITUTE(SUBSTITUTE(SUBSTITUTE(SUBSTITUTE(LOWER(Registro!$G211),"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",LEN(Registro!$G211))),({1,2,3,4,5,6,7,8,9,10,11,12,13,14,15,16,17,18,19,20,21,22,23,24,25,26,27,28,29,30}-1)*LEN(Registro!$G211)+1,LEN(Registro!$G211))),FIND("x",TRIM(MID(SUBSTITUTE(SUBSTITUTE(SUBSTITUTE(SUBSTITUTE(SUBSTITUTE(LOWER(Registro!$G211),"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",LEN(Registro!$G211))),({1,2,3,4,5,6,7,8,9,10,11,12,13,14,15,16,17,18,19,20,21,22,23,24,25,26,27,28,29,30}-1)*LEN(Registro!$G211)+1,LEN(Registro!$G211)))&amp;"x")-1))),"Revisar formato")))</f>
        <v/>
      </c>
      <c r="I211" s="11" t="str">
        <f>IF(Registro!$G211="","",IF(ISERROR(FIND("x",LOWER(Registro!$G211))),N(Registro!$H211),IFERROR(SUMPRODUCT(--("0"&amp;LEFT(TRIM(MID(SUBSTITUTE(SUBSTITUTE(SUBSTITUTE(SUBSTITUTE(SUBSTITUTE(LOWER(Registro!$G211),"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",LEN(Registro!$G211))),({1,2,3,4,5,6,7,8,9,10,11,12,13,14,15,16,17,18,19,20,21,22,23,24,25,26,27,28,29,30}-1)*LEN(Registro!$G211)+1,LEN(Registro!$G211))),FIND("x",TRIM(MID(SUBSTITUTE(SUBSTITUTE(SUBSTITUTE(SUBSTITUTE(SUBSTITUTE(LOWER(Registro!$G211),"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",LEN(Registro!$G211))),({1,2,3,4,5,6,7,8,9,10,11,12,13,14,15,16,17,18,19,20,21,22,23,24,25,26,27,28,29,30}-1)*LEN(Registro!$G211)+1,LEN(Registro!$G211)))&amp;"x")-1)),--("0"&amp;MID(TRIM(MID(SUBSTITUTE(SUBSTITUTE(SUBSTITUTE(SUBSTITUTE(SUBSTITUTE(LOWER(Registro!$G211),"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",LEN(Registro!$G211))),({1,2,3,4,5,6,7,8,9,10,11,12,13,14,15,16,17,18,19,20,21,22,23,24,25,26,27,28,29,30}-1)*LEN(Registro!$G211)+1,LEN(Registro!$G211))),FIND("x",TRIM(MID(SUBSTITUTE(SUBSTITUTE(SUBSTITUTE(SUBSTITUTE(SUBSTITUTE(LOWER(Registro!$G211),"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",LEN(Registro!$G211))),({1,2,3,4,5,6,7,8,9,10,11,12,13,14,15,16,17,18,19,20,21,22,23,24,25,26,27,28,29,30}-1)*LEN(Registro!$G211)+1,LEN(Registro!$G211)))&amp;"x")+1,20))),"Revisar formato")))</f>
        <v/>
      </c>
      <c r="J211" s="9" t="str">
        <f>IF(AND(Registro!$E211="",Registro!$G211=""),"",IF(NOT(AND(ISNUMBER(I211),ISNUMBER(Registro!$H211))),"",IF(I211&lt;Registro!$H211,"FALTA BOLETOS",IF(I211=Registro!$H211,"CONFORME","DIFERENCIA"))))</f>
        <v/>
      </c>
      <c r="K211" s="11" t="str">
        <f>IF(Registro!$I211="","",IFERROR(SUMPRODUCT(--("0"&amp;TRIM(RIGHT(SUBSTITUTE(TRIM(MID(SUBSTITUTE(SUBSTITUTE(Registro!$I211,";",CHAR(10)),CHAR(10),REPT(" ",LEN(Registro!$I211))),({1,2,3,4,5,6,7,8,9,10,11,12,13,14,15,16,17,18,19,20,21,22,23,24,25,26,27,28,29,30}-1)*LEN(Registro!$I211)+1,LEN(Registro!$I211)))," ",REPT(" ",50)),50)))),"Revisar formato"))</f>
        <v/>
      </c>
      <c r="L211" s="11" t="str">
        <f>IF(Registro!$J211="","",IFERROR(SUMPRODUCT(--("0"&amp;TRIM(RIGHT(SUBSTITUTE(TRIM(MID(SUBSTITUTE(SUBSTITUTE(Registro!$J211,";",CHAR(10)),CHAR(10),REPT(" ",LEN(Registro!$J211))),({1,2,3,4,5,6,7,8,9,10,11,12,13,14,15,16,17,18,19,20,21,22,23,24,25,26,27,28,29,30}-1)*LEN(Registro!$J211)+1,LEN(Registro!$J211)))," ",REPT(" ",50)),50)))),"Revisar formato"))</f>
        <v/>
      </c>
      <c r="M211" s="11" t="str">
        <f>IF(AND(Registro!$H211="",Registro!$I211=""),"",IF(AND(ISTEXT(K211),K211&lt;&gt;""),"Revisar formato",N(Registro!$H211)-N(K211)))</f>
        <v/>
      </c>
      <c r="N211" s="11" t="str">
        <f t="shared" si="11"/>
        <v/>
      </c>
      <c r="O211" s="15" t="str">
        <f>IF(AND(A211=Consulta!$B$3,C211=Consulta!$H$3),B211*10000+ROW(),"")</f>
        <v/>
      </c>
    </row>
    <row r="212" spans="1:15" x14ac:dyDescent="0.25">
      <c r="A212" s="9" t="str">
        <f>IF(Registro!$A212="","",Registro!$A212)</f>
        <v/>
      </c>
      <c r="B212" s="8" t="str">
        <f>IF(Registro!$B212="","",Registro!$B212)</f>
        <v/>
      </c>
      <c r="C212" s="14" t="str">
        <f t="shared" si="9"/>
        <v/>
      </c>
      <c r="D212" s="10" t="str">
        <f>IF(Registro!$E212="","",IF(ISERROR(FIND("x",LOWER(Registro!$E212))),"-",IFERROR(SUMPRODUCT(--("0"&amp;LEFT(TRIM(MID(SUBSTITUTE(SUBSTITUTE(SUBSTITUTE(SUBSTITUTE(SUBSTITUTE(LOWER(Registro!$E212),"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",LEN(Registro!$E212))),({1,2,3,4,5,6,7,8,9,10,11,12,13,14,15,16,17,18,19,20,21,22,23,24,25,26,27,28,29,30}-1)*LEN(Registro!$E212)+1,LEN(Registro!$E212)))&amp;"x")-1))),"Revisar formato")))</f>
        <v/>
      </c>
      <c r="E212" s="11" t="str">
        <f>IF(Registro!$E212="","",IF(ISERROR(FIND("x",LOWER(Registro!$E212))),"-",IFERROR(SUMPRODUCT(--("0"&amp;LEFT(TRIM(MID(SUBSTITUTE(SUBSTITUTE(SUBSTITUTE(SUBSTITUTE(SUBSTITUTE(LOWER(Registro!$E212),"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",LEN(Registro!$E212))),({1,2,3,4,5,6,7,8,9,10,11,12,13,14,15,16,17,18,19,20,21,22,23,24,25,26,27,28,29,30}-1)*LEN(Registro!$E212)+1,LEN(Registro!$E212)))&amp;"x")-1)),--("0"&amp;MID(TRIM(MID(SUBSTITUTE(SUBSTITUTE(SUBSTITUTE(SUBSTITUTE(SUBSTITUTE(LOWER(Registro!$E212),"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",LEN(Registro!$E212))),({1,2,3,4,5,6,7,8,9,10,11,12,13,14,15,16,17,18,19,20,21,22,23,24,25,26,27,28,29,30}-1)*LEN(Registro!$E212)+1,LEN(Registro!$E212)))&amp;"x")+1,20))),"Revisar formato")))</f>
        <v/>
      </c>
      <c r="F212" s="11" t="str">
        <f>IF(Registro!$F212="","",N(Registro!$F212))</f>
        <v/>
      </c>
      <c r="G212" s="11" t="str">
        <f t="shared" si="10"/>
        <v/>
      </c>
      <c r="H212" s="10" t="str">
        <f>IF(Registro!$G212="","",IF(ISERROR(FIND("x",LOWER(Registro!$G212))),"-",IFERROR(SUMPRODUCT(--("0"&amp;LEFT(TRIM(MID(SUBSTITUTE(SUBSTITUTE(SUBSTITUTE(SUBSTITUTE(SUBSTITUTE(LOWER(Registro!$G212),"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",LEN(Registro!$G212))),({1,2,3,4,5,6,7,8,9,10,11,12,13,14,15,16,17,18,19,20,21,22,23,24,25,26,27,28,29,30}-1)*LEN(Registro!$G212)+1,LEN(Registro!$G212))),FIND("x",TRIM(MID(SUBSTITUTE(SUBSTITUTE(SUBSTITUTE(SUBSTITUTE(SUBSTITUTE(LOWER(Registro!$G212),"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",LEN(Registro!$G212))),({1,2,3,4,5,6,7,8,9,10,11,12,13,14,15,16,17,18,19,20,21,22,23,24,25,26,27,28,29,30}-1)*LEN(Registro!$G212)+1,LEN(Registro!$G212)))&amp;"x")-1))),"Revisar formato")))</f>
        <v/>
      </c>
      <c r="I212" s="11" t="str">
        <f>IF(Registro!$G212="","",IF(ISERROR(FIND("x",LOWER(Registro!$G212))),N(Registro!$H212),IFERROR(SUMPRODUCT(--("0"&amp;LEFT(TRIM(MID(SUBSTITUTE(SUBSTITUTE(SUBSTITUTE(SUBSTITUTE(SUBSTITUTE(LOWER(Registro!$G212),"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",LEN(Registro!$G212))),({1,2,3,4,5,6,7,8,9,10,11,12,13,14,15,16,17,18,19,20,21,22,23,24,25,26,27,28,29,30}-1)*LEN(Registro!$G212)+1,LEN(Registro!$G212))),FIND("x",TRIM(MID(SUBSTITUTE(SUBSTITUTE(SUBSTITUTE(SUBSTITUTE(SUBSTITUTE(LOWER(Registro!$G212),"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",LEN(Registro!$G212))),({1,2,3,4,5,6,7,8,9,10,11,12,13,14,15,16,17,18,19,20,21,22,23,24,25,26,27,28,29,30}-1)*LEN(Registro!$G212)+1,LEN(Registro!$G212)))&amp;"x")-1)),--("0"&amp;MID(TRIM(MID(SUBSTITUTE(SUBSTITUTE(SUBSTITUTE(SUBSTITUTE(SUBSTITUTE(LOWER(Registro!$G212),"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",LEN(Registro!$G212))),({1,2,3,4,5,6,7,8,9,10,11,12,13,14,15,16,17,18,19,20,21,22,23,24,25,26,27,28,29,30}-1)*LEN(Registro!$G212)+1,LEN(Registro!$G212))),FIND("x",TRIM(MID(SUBSTITUTE(SUBSTITUTE(SUBSTITUTE(SUBSTITUTE(SUBSTITUTE(LOWER(Registro!$G212),"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",LEN(Registro!$G212))),({1,2,3,4,5,6,7,8,9,10,11,12,13,14,15,16,17,18,19,20,21,22,23,24,25,26,27,28,29,30}-1)*LEN(Registro!$G212)+1,LEN(Registro!$G212)))&amp;"x")+1,20))),"Revisar formato")))</f>
        <v/>
      </c>
      <c r="J212" s="9" t="str">
        <f>IF(AND(Registro!$E212="",Registro!$G212=""),"",IF(NOT(AND(ISNUMBER(I212),ISNUMBER(Registro!$H212))),"",IF(I212&lt;Registro!$H212,"FALTA BOLETOS",IF(I212=Registro!$H212,"CONFORME","DIFERENCIA"))))</f>
        <v/>
      </c>
      <c r="K212" s="11" t="str">
        <f>IF(Registro!$I212="","",IFERROR(SUMPRODUCT(--("0"&amp;TRIM(RIGHT(SUBSTITUTE(TRIM(MID(SUBSTITUTE(SUBSTITUTE(Registro!$I212,";",CHAR(10)),CHAR(10),REPT(" ",LEN(Registro!$I212))),({1,2,3,4,5,6,7,8,9,10,11,12,13,14,15,16,17,18,19,20,21,22,23,24,25,26,27,28,29,30}-1)*LEN(Registro!$I212)+1,LEN(Registro!$I212)))," ",REPT(" ",50)),50)))),"Revisar formato"))</f>
        <v/>
      </c>
      <c r="L212" s="11" t="str">
        <f>IF(Registro!$J212="","",IFERROR(SUMPRODUCT(--("0"&amp;TRIM(RIGHT(SUBSTITUTE(TRIM(MID(SUBSTITUTE(SUBSTITUTE(Registro!$J212,";",CHAR(10)),CHAR(10),REPT(" ",LEN(Registro!$J212))),({1,2,3,4,5,6,7,8,9,10,11,12,13,14,15,16,17,18,19,20,21,22,23,24,25,26,27,28,29,30}-1)*LEN(Registro!$J212)+1,LEN(Registro!$J212)))," ",REPT(" ",50)),50)))),"Revisar formato"))</f>
        <v/>
      </c>
      <c r="M212" s="11" t="str">
        <f>IF(AND(Registro!$H212="",Registro!$I212=""),"",IF(AND(ISTEXT(K212),K212&lt;&gt;""),"Revisar formato",N(Registro!$H212)-N(K212)))</f>
        <v/>
      </c>
      <c r="N212" s="11" t="str">
        <f t="shared" si="11"/>
        <v/>
      </c>
      <c r="O212" s="15" t="str">
        <f>IF(AND(A212=Consulta!$B$3,C212=Consulta!$H$3),B212*10000+ROW(),"")</f>
        <v/>
      </c>
    </row>
    <row r="213" spans="1:15" x14ac:dyDescent="0.25">
      <c r="A213" s="9" t="str">
        <f>IF(Registro!$A213="","",Registro!$A213)</f>
        <v/>
      </c>
      <c r="B213" s="8" t="str">
        <f>IF(Registro!$B213="","",Registro!$B213)</f>
        <v/>
      </c>
      <c r="C213" s="14" t="str">
        <f t="shared" si="9"/>
        <v/>
      </c>
      <c r="D213" s="10" t="str">
        <f>IF(Registro!$E213="","",IF(ISERROR(FIND("x",LOWER(Registro!$E213))),"-",IFERROR(SUMPRODUCT(--("0"&amp;LEFT(TRIM(MID(SUBSTITUTE(SUBSTITUTE(SUBSTITUTE(SUBSTITUTE(SUBSTITUTE(LOWER(Registro!$E213),"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",LEN(Registro!$E213))),({1,2,3,4,5,6,7,8,9,10,11,12,13,14,15,16,17,18,19,20,21,22,23,24,25,26,27,28,29,30}-1)*LEN(Registro!$E213)+1,LEN(Registro!$E213)))&amp;"x")-1))),"Revisar formato")))</f>
        <v/>
      </c>
      <c r="E213" s="11" t="str">
        <f>IF(Registro!$E213="","",IF(ISERROR(FIND("x",LOWER(Registro!$E213))),"-",IFERROR(SUMPRODUCT(--("0"&amp;LEFT(TRIM(MID(SUBSTITUTE(SUBSTITUTE(SUBSTITUTE(SUBSTITUTE(SUBSTITUTE(LOWER(Registro!$E213),"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",LEN(Registro!$E213))),({1,2,3,4,5,6,7,8,9,10,11,12,13,14,15,16,17,18,19,20,21,22,23,24,25,26,27,28,29,30}-1)*LEN(Registro!$E213)+1,LEN(Registro!$E213)))&amp;"x")-1)),--("0"&amp;MID(TRIM(MID(SUBSTITUTE(SUBSTITUTE(SUBSTITUTE(SUBSTITUTE(SUBSTITUTE(LOWER(Registro!$E213),"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",LEN(Registro!$E213))),({1,2,3,4,5,6,7,8,9,10,11,12,13,14,15,16,17,18,19,20,21,22,23,24,25,26,27,28,29,30}-1)*LEN(Registro!$E213)+1,LEN(Registro!$E213)))&amp;"x")+1,20))),"Revisar formato")))</f>
        <v/>
      </c>
      <c r="F213" s="11" t="str">
        <f>IF(Registro!$F213="","",N(Registro!$F213))</f>
        <v/>
      </c>
      <c r="G213" s="11" t="str">
        <f t="shared" si="10"/>
        <v/>
      </c>
      <c r="H213" s="10" t="str">
        <f>IF(Registro!$G213="","",IF(ISERROR(FIND("x",LOWER(Registro!$G213))),"-",IFERROR(SUMPRODUCT(--("0"&amp;LEFT(TRIM(MID(SUBSTITUTE(SUBSTITUTE(SUBSTITUTE(SUBSTITUTE(SUBSTITUTE(LOWER(Registro!$G213),"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",LEN(Registro!$G213))),({1,2,3,4,5,6,7,8,9,10,11,12,13,14,15,16,17,18,19,20,21,22,23,24,25,26,27,28,29,30}-1)*LEN(Registro!$G213)+1,LEN(Registro!$G213))),FIND("x",TRIM(MID(SUBSTITUTE(SUBSTITUTE(SUBSTITUTE(SUBSTITUTE(SUBSTITUTE(LOWER(Registro!$G213),"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",LEN(Registro!$G213))),({1,2,3,4,5,6,7,8,9,10,11,12,13,14,15,16,17,18,19,20,21,22,23,24,25,26,27,28,29,30}-1)*LEN(Registro!$G213)+1,LEN(Registro!$G213)))&amp;"x")-1))),"Revisar formato")))</f>
        <v/>
      </c>
      <c r="I213" s="11" t="str">
        <f>IF(Registro!$G213="","",IF(ISERROR(FIND("x",LOWER(Registro!$G213))),N(Registro!$H213),IFERROR(SUMPRODUCT(--("0"&amp;LEFT(TRIM(MID(SUBSTITUTE(SUBSTITUTE(SUBSTITUTE(SUBSTITUTE(SUBSTITUTE(LOWER(Registro!$G213),"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",LEN(Registro!$G213))),({1,2,3,4,5,6,7,8,9,10,11,12,13,14,15,16,17,18,19,20,21,22,23,24,25,26,27,28,29,30}-1)*LEN(Registro!$G213)+1,LEN(Registro!$G213))),FIND("x",TRIM(MID(SUBSTITUTE(SUBSTITUTE(SUBSTITUTE(SUBSTITUTE(SUBSTITUTE(LOWER(Registro!$G213),"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",LEN(Registro!$G213))),({1,2,3,4,5,6,7,8,9,10,11,12,13,14,15,16,17,18,19,20,21,22,23,24,25,26,27,28,29,30}-1)*LEN(Registro!$G213)+1,LEN(Registro!$G213)))&amp;"x")-1)),--("0"&amp;MID(TRIM(MID(SUBSTITUTE(SUBSTITUTE(SUBSTITUTE(SUBSTITUTE(SUBSTITUTE(LOWER(Registro!$G213),"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",LEN(Registro!$G213))),({1,2,3,4,5,6,7,8,9,10,11,12,13,14,15,16,17,18,19,20,21,22,23,24,25,26,27,28,29,30}-1)*LEN(Registro!$G213)+1,LEN(Registro!$G213))),FIND("x",TRIM(MID(SUBSTITUTE(SUBSTITUTE(SUBSTITUTE(SUBSTITUTE(SUBSTITUTE(LOWER(Registro!$G213),"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",LEN(Registro!$G213))),({1,2,3,4,5,6,7,8,9,10,11,12,13,14,15,16,17,18,19,20,21,22,23,24,25,26,27,28,29,30}-1)*LEN(Registro!$G213)+1,LEN(Registro!$G213)))&amp;"x")+1,20))),"Revisar formato")))</f>
        <v/>
      </c>
      <c r="J213" s="9" t="str">
        <f>IF(AND(Registro!$E213="",Registro!$G213=""),"",IF(NOT(AND(ISNUMBER(I213),ISNUMBER(Registro!$H213))),"",IF(I213&lt;Registro!$H213,"FALTA BOLETOS",IF(I213=Registro!$H213,"CONFORME","DIFERENCIA"))))</f>
        <v/>
      </c>
      <c r="K213" s="11" t="str">
        <f>IF(Registro!$I213="","",IFERROR(SUMPRODUCT(--("0"&amp;TRIM(RIGHT(SUBSTITUTE(TRIM(MID(SUBSTITUTE(SUBSTITUTE(Registro!$I213,";",CHAR(10)),CHAR(10),REPT(" ",LEN(Registro!$I213))),({1,2,3,4,5,6,7,8,9,10,11,12,13,14,15,16,17,18,19,20,21,22,23,24,25,26,27,28,29,30}-1)*LEN(Registro!$I213)+1,LEN(Registro!$I213)))," ",REPT(" ",50)),50)))),"Revisar formato"))</f>
        <v/>
      </c>
      <c r="L213" s="11" t="str">
        <f>IF(Registro!$J213="","",IFERROR(SUMPRODUCT(--("0"&amp;TRIM(RIGHT(SUBSTITUTE(TRIM(MID(SUBSTITUTE(SUBSTITUTE(Registro!$J213,";",CHAR(10)),CHAR(10),REPT(" ",LEN(Registro!$J213))),({1,2,3,4,5,6,7,8,9,10,11,12,13,14,15,16,17,18,19,20,21,22,23,24,25,26,27,28,29,30}-1)*LEN(Registro!$J213)+1,LEN(Registro!$J213)))," ",REPT(" ",50)),50)))),"Revisar formato"))</f>
        <v/>
      </c>
      <c r="M213" s="11" t="str">
        <f>IF(AND(Registro!$H213="",Registro!$I213=""),"",IF(AND(ISTEXT(K213),K213&lt;&gt;""),"Revisar formato",N(Registro!$H213)-N(K213)))</f>
        <v/>
      </c>
      <c r="N213" s="11" t="str">
        <f t="shared" si="11"/>
        <v/>
      </c>
      <c r="O213" s="15" t="str">
        <f>IF(AND(A213=Consulta!$B$3,C213=Consulta!$H$3),B213*10000+ROW(),"")</f>
        <v/>
      </c>
    </row>
    <row r="214" spans="1:15" x14ac:dyDescent="0.25">
      <c r="A214" s="9" t="str">
        <f>IF(Registro!$A214="","",Registro!$A214)</f>
        <v/>
      </c>
      <c r="B214" s="8" t="str">
        <f>IF(Registro!$B214="","",Registro!$B214)</f>
        <v/>
      </c>
      <c r="C214" s="14" t="str">
        <f t="shared" si="9"/>
        <v/>
      </c>
      <c r="D214" s="10" t="str">
        <f>IF(Registro!$E214="","",IF(ISERROR(FIND("x",LOWER(Registro!$E214))),"-",IFERROR(SUMPRODUCT(--("0"&amp;LEFT(TRIM(MID(SUBSTITUTE(SUBSTITUTE(SUBSTITUTE(SUBSTITUTE(SUBSTITUTE(LOWER(Registro!$E214),"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",LEN(Registro!$E214))),({1,2,3,4,5,6,7,8,9,10,11,12,13,14,15,16,17,18,19,20,21,22,23,24,25,26,27,28,29,30}-1)*LEN(Registro!$E214)+1,LEN(Registro!$E214)))&amp;"x")-1))),"Revisar formato")))</f>
        <v/>
      </c>
      <c r="E214" s="11" t="str">
        <f>IF(Registro!$E214="","",IF(ISERROR(FIND("x",LOWER(Registro!$E214))),"-",IFERROR(SUMPRODUCT(--("0"&amp;LEFT(TRIM(MID(SUBSTITUTE(SUBSTITUTE(SUBSTITUTE(SUBSTITUTE(SUBSTITUTE(LOWER(Registro!$E214),"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",LEN(Registro!$E214))),({1,2,3,4,5,6,7,8,9,10,11,12,13,14,15,16,17,18,19,20,21,22,23,24,25,26,27,28,29,30}-1)*LEN(Registro!$E214)+1,LEN(Registro!$E214)))&amp;"x")-1)),--("0"&amp;MID(TRIM(MID(SUBSTITUTE(SUBSTITUTE(SUBSTITUTE(SUBSTITUTE(SUBSTITUTE(LOWER(Registro!$E214),"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",LEN(Registro!$E214))),({1,2,3,4,5,6,7,8,9,10,11,12,13,14,15,16,17,18,19,20,21,22,23,24,25,26,27,28,29,30}-1)*LEN(Registro!$E214)+1,LEN(Registro!$E214)))&amp;"x")+1,20))),"Revisar formato")))</f>
        <v/>
      </c>
      <c r="F214" s="11" t="str">
        <f>IF(Registro!$F214="","",N(Registro!$F214))</f>
        <v/>
      </c>
      <c r="G214" s="11" t="str">
        <f t="shared" si="10"/>
        <v/>
      </c>
      <c r="H214" s="10" t="str">
        <f>IF(Registro!$G214="","",IF(ISERROR(FIND("x",LOWER(Registro!$G214))),"-",IFERROR(SUMPRODUCT(--("0"&amp;LEFT(TRIM(MID(SUBSTITUTE(SUBSTITUTE(SUBSTITUTE(SUBSTITUTE(SUBSTITUTE(LOWER(Registro!$G214),"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",LEN(Registro!$G214))),({1,2,3,4,5,6,7,8,9,10,11,12,13,14,15,16,17,18,19,20,21,22,23,24,25,26,27,28,29,30}-1)*LEN(Registro!$G214)+1,LEN(Registro!$G214))),FIND("x",TRIM(MID(SUBSTITUTE(SUBSTITUTE(SUBSTITUTE(SUBSTITUTE(SUBSTITUTE(LOWER(Registro!$G214),"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",LEN(Registro!$G214))),({1,2,3,4,5,6,7,8,9,10,11,12,13,14,15,16,17,18,19,20,21,22,23,24,25,26,27,28,29,30}-1)*LEN(Registro!$G214)+1,LEN(Registro!$G214)))&amp;"x")-1))),"Revisar formato")))</f>
        <v/>
      </c>
      <c r="I214" s="11" t="str">
        <f>IF(Registro!$G214="","",IF(ISERROR(FIND("x",LOWER(Registro!$G214))),N(Registro!$H214),IFERROR(SUMPRODUCT(--("0"&amp;LEFT(TRIM(MID(SUBSTITUTE(SUBSTITUTE(SUBSTITUTE(SUBSTITUTE(SUBSTITUTE(LOWER(Registro!$G214),"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",LEN(Registro!$G214))),({1,2,3,4,5,6,7,8,9,10,11,12,13,14,15,16,17,18,19,20,21,22,23,24,25,26,27,28,29,30}-1)*LEN(Registro!$G214)+1,LEN(Registro!$G214))),FIND("x",TRIM(MID(SUBSTITUTE(SUBSTITUTE(SUBSTITUTE(SUBSTITUTE(SUBSTITUTE(LOWER(Registro!$G214),"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",LEN(Registro!$G214))),({1,2,3,4,5,6,7,8,9,10,11,12,13,14,15,16,17,18,19,20,21,22,23,24,25,26,27,28,29,30}-1)*LEN(Registro!$G214)+1,LEN(Registro!$G214)))&amp;"x")-1)),--("0"&amp;MID(TRIM(MID(SUBSTITUTE(SUBSTITUTE(SUBSTITUTE(SUBSTITUTE(SUBSTITUTE(LOWER(Registro!$G214),"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",LEN(Registro!$G214))),({1,2,3,4,5,6,7,8,9,10,11,12,13,14,15,16,17,18,19,20,21,22,23,24,25,26,27,28,29,30}-1)*LEN(Registro!$G214)+1,LEN(Registro!$G214))),FIND("x",TRIM(MID(SUBSTITUTE(SUBSTITUTE(SUBSTITUTE(SUBSTITUTE(SUBSTITUTE(LOWER(Registro!$G214),"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",LEN(Registro!$G214))),({1,2,3,4,5,6,7,8,9,10,11,12,13,14,15,16,17,18,19,20,21,22,23,24,25,26,27,28,29,30}-1)*LEN(Registro!$G214)+1,LEN(Registro!$G214)))&amp;"x")+1,20))),"Revisar formato")))</f>
        <v/>
      </c>
      <c r="J214" s="9" t="str">
        <f>IF(AND(Registro!$E214="",Registro!$G214=""),"",IF(NOT(AND(ISNUMBER(I214),ISNUMBER(Registro!$H214))),"",IF(I214&lt;Registro!$H214,"FALTA BOLETOS",IF(I214=Registro!$H214,"CONFORME","DIFERENCIA"))))</f>
        <v/>
      </c>
      <c r="K214" s="11" t="str">
        <f>IF(Registro!$I214="","",IFERROR(SUMPRODUCT(--("0"&amp;TRIM(RIGHT(SUBSTITUTE(TRIM(MID(SUBSTITUTE(SUBSTITUTE(Registro!$I214,";",CHAR(10)),CHAR(10),REPT(" ",LEN(Registro!$I214))),({1,2,3,4,5,6,7,8,9,10,11,12,13,14,15,16,17,18,19,20,21,22,23,24,25,26,27,28,29,30}-1)*LEN(Registro!$I214)+1,LEN(Registro!$I214)))," ",REPT(" ",50)),50)))),"Revisar formato"))</f>
        <v/>
      </c>
      <c r="L214" s="11" t="str">
        <f>IF(Registro!$J214="","",IFERROR(SUMPRODUCT(--("0"&amp;TRIM(RIGHT(SUBSTITUTE(TRIM(MID(SUBSTITUTE(SUBSTITUTE(Registro!$J214,";",CHAR(10)),CHAR(10),REPT(" ",LEN(Registro!$J214))),({1,2,3,4,5,6,7,8,9,10,11,12,13,14,15,16,17,18,19,20,21,22,23,24,25,26,27,28,29,30}-1)*LEN(Registro!$J214)+1,LEN(Registro!$J214)))," ",REPT(" ",50)),50)))),"Revisar formato"))</f>
        <v/>
      </c>
      <c r="M214" s="11" t="str">
        <f>IF(AND(Registro!$H214="",Registro!$I214=""),"",IF(AND(ISTEXT(K214),K214&lt;&gt;""),"Revisar formato",N(Registro!$H214)-N(K214)))</f>
        <v/>
      </c>
      <c r="N214" s="11" t="str">
        <f t="shared" si="11"/>
        <v/>
      </c>
      <c r="O214" s="15" t="str">
        <f>IF(AND(A214=Consulta!$B$3,C214=Consulta!$H$3),B214*10000+ROW(),"")</f>
        <v/>
      </c>
    </row>
    <row r="215" spans="1:15" x14ac:dyDescent="0.25">
      <c r="A215" s="9" t="str">
        <f>IF(Registro!$A215="","",Registro!$A215)</f>
        <v/>
      </c>
      <c r="B215" s="8" t="str">
        <f>IF(Registro!$B215="","",Registro!$B215)</f>
        <v/>
      </c>
      <c r="C215" s="14" t="str">
        <f t="shared" si="9"/>
        <v/>
      </c>
      <c r="D215" s="10" t="str">
        <f>IF(Registro!$E215="","",IF(ISERROR(FIND("x",LOWER(Registro!$E215))),"-",IFERROR(SUMPRODUCT(--("0"&amp;LEFT(TRIM(MID(SUBSTITUTE(SUBSTITUTE(SUBSTITUTE(SUBSTITUTE(SUBSTITUTE(LOWER(Registro!$E215),"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",LEN(Registro!$E215))),({1,2,3,4,5,6,7,8,9,10,11,12,13,14,15,16,17,18,19,20,21,22,23,24,25,26,27,28,29,30}-1)*LEN(Registro!$E215)+1,LEN(Registro!$E215)))&amp;"x")-1))),"Revisar formato")))</f>
        <v/>
      </c>
      <c r="E215" s="11" t="str">
        <f>IF(Registro!$E215="","",IF(ISERROR(FIND("x",LOWER(Registro!$E215))),"-",IFERROR(SUMPRODUCT(--("0"&amp;LEFT(TRIM(MID(SUBSTITUTE(SUBSTITUTE(SUBSTITUTE(SUBSTITUTE(SUBSTITUTE(LOWER(Registro!$E215),"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",LEN(Registro!$E215))),({1,2,3,4,5,6,7,8,9,10,11,12,13,14,15,16,17,18,19,20,21,22,23,24,25,26,27,28,29,30}-1)*LEN(Registro!$E215)+1,LEN(Registro!$E215)))&amp;"x")-1)),--("0"&amp;MID(TRIM(MID(SUBSTITUTE(SUBSTITUTE(SUBSTITUTE(SUBSTITUTE(SUBSTITUTE(LOWER(Registro!$E215),"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",LEN(Registro!$E215))),({1,2,3,4,5,6,7,8,9,10,11,12,13,14,15,16,17,18,19,20,21,22,23,24,25,26,27,28,29,30}-1)*LEN(Registro!$E215)+1,LEN(Registro!$E215)))&amp;"x")+1,20))),"Revisar formato")))</f>
        <v/>
      </c>
      <c r="F215" s="11" t="str">
        <f>IF(Registro!$F215="","",N(Registro!$F215))</f>
        <v/>
      </c>
      <c r="G215" s="11" t="str">
        <f t="shared" si="10"/>
        <v/>
      </c>
      <c r="H215" s="10" t="str">
        <f>IF(Registro!$G215="","",IF(ISERROR(FIND("x",LOWER(Registro!$G215))),"-",IFERROR(SUMPRODUCT(--("0"&amp;LEFT(TRIM(MID(SUBSTITUTE(SUBSTITUTE(SUBSTITUTE(SUBSTITUTE(SUBSTITUTE(LOWER(Registro!$G215),"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",LEN(Registro!$G215))),({1,2,3,4,5,6,7,8,9,10,11,12,13,14,15,16,17,18,19,20,21,22,23,24,25,26,27,28,29,30}-1)*LEN(Registro!$G215)+1,LEN(Registro!$G215))),FIND("x",TRIM(MID(SUBSTITUTE(SUBSTITUTE(SUBSTITUTE(SUBSTITUTE(SUBSTITUTE(LOWER(Registro!$G215),"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",LEN(Registro!$G215))),({1,2,3,4,5,6,7,8,9,10,11,12,13,14,15,16,17,18,19,20,21,22,23,24,25,26,27,28,29,30}-1)*LEN(Registro!$G215)+1,LEN(Registro!$G215)))&amp;"x")-1))),"Revisar formato")))</f>
        <v/>
      </c>
      <c r="I215" s="11" t="str">
        <f>IF(Registro!$G215="","",IF(ISERROR(FIND("x",LOWER(Registro!$G215))),N(Registro!$H215),IFERROR(SUMPRODUCT(--("0"&amp;LEFT(TRIM(MID(SUBSTITUTE(SUBSTITUTE(SUBSTITUTE(SUBSTITUTE(SUBSTITUTE(LOWER(Registro!$G215),"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",LEN(Registro!$G215))),({1,2,3,4,5,6,7,8,9,10,11,12,13,14,15,16,17,18,19,20,21,22,23,24,25,26,27,28,29,30}-1)*LEN(Registro!$G215)+1,LEN(Registro!$G215))),FIND("x",TRIM(MID(SUBSTITUTE(SUBSTITUTE(SUBSTITUTE(SUBSTITUTE(SUBSTITUTE(LOWER(Registro!$G215),"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",LEN(Registro!$G215))),({1,2,3,4,5,6,7,8,9,10,11,12,13,14,15,16,17,18,19,20,21,22,23,24,25,26,27,28,29,30}-1)*LEN(Registro!$G215)+1,LEN(Registro!$G215)))&amp;"x")-1)),--("0"&amp;MID(TRIM(MID(SUBSTITUTE(SUBSTITUTE(SUBSTITUTE(SUBSTITUTE(SUBSTITUTE(LOWER(Registro!$G215),"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",LEN(Registro!$G215))),({1,2,3,4,5,6,7,8,9,10,11,12,13,14,15,16,17,18,19,20,21,22,23,24,25,26,27,28,29,30}-1)*LEN(Registro!$G215)+1,LEN(Registro!$G215))),FIND("x",TRIM(MID(SUBSTITUTE(SUBSTITUTE(SUBSTITUTE(SUBSTITUTE(SUBSTITUTE(LOWER(Registro!$G215),"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",LEN(Registro!$G215))),({1,2,3,4,5,6,7,8,9,10,11,12,13,14,15,16,17,18,19,20,21,22,23,24,25,26,27,28,29,30}-1)*LEN(Registro!$G215)+1,LEN(Registro!$G215)))&amp;"x")+1,20))),"Revisar formato")))</f>
        <v/>
      </c>
      <c r="J215" s="9" t="str">
        <f>IF(AND(Registro!$E215="",Registro!$G215=""),"",IF(NOT(AND(ISNUMBER(I215),ISNUMBER(Registro!$H215))),"",IF(I215&lt;Registro!$H215,"FALTA BOLETOS",IF(I215=Registro!$H215,"CONFORME","DIFERENCIA"))))</f>
        <v/>
      </c>
      <c r="K215" s="11" t="str">
        <f>IF(Registro!$I215="","",IFERROR(SUMPRODUCT(--("0"&amp;TRIM(RIGHT(SUBSTITUTE(TRIM(MID(SUBSTITUTE(SUBSTITUTE(Registro!$I215,";",CHAR(10)),CHAR(10),REPT(" ",LEN(Registro!$I215))),({1,2,3,4,5,6,7,8,9,10,11,12,13,14,15,16,17,18,19,20,21,22,23,24,25,26,27,28,29,30}-1)*LEN(Registro!$I215)+1,LEN(Registro!$I215)))," ",REPT(" ",50)),50)))),"Revisar formato"))</f>
        <v/>
      </c>
      <c r="L215" s="11" t="str">
        <f>IF(Registro!$J215="","",IFERROR(SUMPRODUCT(--("0"&amp;TRIM(RIGHT(SUBSTITUTE(TRIM(MID(SUBSTITUTE(SUBSTITUTE(Registro!$J215,";",CHAR(10)),CHAR(10),REPT(" ",LEN(Registro!$J215))),({1,2,3,4,5,6,7,8,9,10,11,12,13,14,15,16,17,18,19,20,21,22,23,24,25,26,27,28,29,30}-1)*LEN(Registro!$J215)+1,LEN(Registro!$J215)))," ",REPT(" ",50)),50)))),"Revisar formato"))</f>
        <v/>
      </c>
      <c r="M215" s="11" t="str">
        <f>IF(AND(Registro!$H215="",Registro!$I215=""),"",IF(AND(ISTEXT(K215),K215&lt;&gt;""),"Revisar formato",N(Registro!$H215)-N(K215)))</f>
        <v/>
      </c>
      <c r="N215" s="11" t="str">
        <f t="shared" si="11"/>
        <v/>
      </c>
      <c r="O215" s="15" t="str">
        <f>IF(AND(A215=Consulta!$B$3,C215=Consulta!$H$3),B215*10000+ROW(),"")</f>
        <v/>
      </c>
    </row>
    <row r="216" spans="1:15" x14ac:dyDescent="0.25">
      <c r="A216" s="9" t="str">
        <f>IF(Registro!$A216="","",Registro!$A216)</f>
        <v/>
      </c>
      <c r="B216" s="8" t="str">
        <f>IF(Registro!$B216="","",Registro!$B216)</f>
        <v/>
      </c>
      <c r="C216" s="14" t="str">
        <f t="shared" si="9"/>
        <v/>
      </c>
      <c r="D216" s="10" t="str">
        <f>IF(Registro!$E216="","",IF(ISERROR(FIND("x",LOWER(Registro!$E216))),"-",IFERROR(SUMPRODUCT(--("0"&amp;LEFT(TRIM(MID(SUBSTITUTE(SUBSTITUTE(SUBSTITUTE(SUBSTITUTE(SUBSTITUTE(LOWER(Registro!$E216),"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",LEN(Registro!$E216))),({1,2,3,4,5,6,7,8,9,10,11,12,13,14,15,16,17,18,19,20,21,22,23,24,25,26,27,28,29,30}-1)*LEN(Registro!$E216)+1,LEN(Registro!$E216)))&amp;"x")-1))),"Revisar formato")))</f>
        <v/>
      </c>
      <c r="E216" s="11" t="str">
        <f>IF(Registro!$E216="","",IF(ISERROR(FIND("x",LOWER(Registro!$E216))),"-",IFERROR(SUMPRODUCT(--("0"&amp;LEFT(TRIM(MID(SUBSTITUTE(SUBSTITUTE(SUBSTITUTE(SUBSTITUTE(SUBSTITUTE(LOWER(Registro!$E216),"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",LEN(Registro!$E216))),({1,2,3,4,5,6,7,8,9,10,11,12,13,14,15,16,17,18,19,20,21,22,23,24,25,26,27,28,29,30}-1)*LEN(Registro!$E216)+1,LEN(Registro!$E216)))&amp;"x")-1)),--("0"&amp;MID(TRIM(MID(SUBSTITUTE(SUBSTITUTE(SUBSTITUTE(SUBSTITUTE(SUBSTITUTE(LOWER(Registro!$E216),"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",LEN(Registro!$E216))),({1,2,3,4,5,6,7,8,9,10,11,12,13,14,15,16,17,18,19,20,21,22,23,24,25,26,27,28,29,30}-1)*LEN(Registro!$E216)+1,LEN(Registro!$E216)))&amp;"x")+1,20))),"Revisar formato")))</f>
        <v/>
      </c>
      <c r="F216" s="11" t="str">
        <f>IF(Registro!$F216="","",N(Registro!$F216))</f>
        <v/>
      </c>
      <c r="G216" s="11" t="str">
        <f t="shared" si="10"/>
        <v/>
      </c>
      <c r="H216" s="10" t="str">
        <f>IF(Registro!$G216="","",IF(ISERROR(FIND("x",LOWER(Registro!$G216))),"-",IFERROR(SUMPRODUCT(--("0"&amp;LEFT(TRIM(MID(SUBSTITUTE(SUBSTITUTE(SUBSTITUTE(SUBSTITUTE(SUBSTITUTE(LOWER(Registro!$G216),"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",LEN(Registro!$G216))),({1,2,3,4,5,6,7,8,9,10,11,12,13,14,15,16,17,18,19,20,21,22,23,24,25,26,27,28,29,30}-1)*LEN(Registro!$G216)+1,LEN(Registro!$G216))),FIND("x",TRIM(MID(SUBSTITUTE(SUBSTITUTE(SUBSTITUTE(SUBSTITUTE(SUBSTITUTE(LOWER(Registro!$G216),"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",LEN(Registro!$G216))),({1,2,3,4,5,6,7,8,9,10,11,12,13,14,15,16,17,18,19,20,21,22,23,24,25,26,27,28,29,30}-1)*LEN(Registro!$G216)+1,LEN(Registro!$G216)))&amp;"x")-1))),"Revisar formato")))</f>
        <v/>
      </c>
      <c r="I216" s="11" t="str">
        <f>IF(Registro!$G216="","",IF(ISERROR(FIND("x",LOWER(Registro!$G216))),N(Registro!$H216),IFERROR(SUMPRODUCT(--("0"&amp;LEFT(TRIM(MID(SUBSTITUTE(SUBSTITUTE(SUBSTITUTE(SUBSTITUTE(SUBSTITUTE(LOWER(Registro!$G216),"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",LEN(Registro!$G216))),({1,2,3,4,5,6,7,8,9,10,11,12,13,14,15,16,17,18,19,20,21,22,23,24,25,26,27,28,29,30}-1)*LEN(Registro!$G216)+1,LEN(Registro!$G216))),FIND("x",TRIM(MID(SUBSTITUTE(SUBSTITUTE(SUBSTITUTE(SUBSTITUTE(SUBSTITUTE(LOWER(Registro!$G216),"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",LEN(Registro!$G216))),({1,2,3,4,5,6,7,8,9,10,11,12,13,14,15,16,17,18,19,20,21,22,23,24,25,26,27,28,29,30}-1)*LEN(Registro!$G216)+1,LEN(Registro!$G216)))&amp;"x")-1)),--("0"&amp;MID(TRIM(MID(SUBSTITUTE(SUBSTITUTE(SUBSTITUTE(SUBSTITUTE(SUBSTITUTE(LOWER(Registro!$G216),"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",LEN(Registro!$G216))),({1,2,3,4,5,6,7,8,9,10,11,12,13,14,15,16,17,18,19,20,21,22,23,24,25,26,27,28,29,30}-1)*LEN(Registro!$G216)+1,LEN(Registro!$G216))),FIND("x",TRIM(MID(SUBSTITUTE(SUBSTITUTE(SUBSTITUTE(SUBSTITUTE(SUBSTITUTE(LOWER(Registro!$G216),"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",LEN(Registro!$G216))),({1,2,3,4,5,6,7,8,9,10,11,12,13,14,15,16,17,18,19,20,21,22,23,24,25,26,27,28,29,30}-1)*LEN(Registro!$G216)+1,LEN(Registro!$G216)))&amp;"x")+1,20))),"Revisar formato")))</f>
        <v/>
      </c>
      <c r="J216" s="9" t="str">
        <f>IF(AND(Registro!$E216="",Registro!$G216=""),"",IF(NOT(AND(ISNUMBER(I216),ISNUMBER(Registro!$H216))),"",IF(I216&lt;Registro!$H216,"FALTA BOLETOS",IF(I216=Registro!$H216,"CONFORME","DIFERENCIA"))))</f>
        <v/>
      </c>
      <c r="K216" s="11" t="str">
        <f>IF(Registro!$I216="","",IFERROR(SUMPRODUCT(--("0"&amp;TRIM(RIGHT(SUBSTITUTE(TRIM(MID(SUBSTITUTE(SUBSTITUTE(Registro!$I216,";",CHAR(10)),CHAR(10),REPT(" ",LEN(Registro!$I216))),({1,2,3,4,5,6,7,8,9,10,11,12,13,14,15,16,17,18,19,20,21,22,23,24,25,26,27,28,29,30}-1)*LEN(Registro!$I216)+1,LEN(Registro!$I216)))," ",REPT(" ",50)),50)))),"Revisar formato"))</f>
        <v/>
      </c>
      <c r="L216" s="11" t="str">
        <f>IF(Registro!$J216="","",IFERROR(SUMPRODUCT(--("0"&amp;TRIM(RIGHT(SUBSTITUTE(TRIM(MID(SUBSTITUTE(SUBSTITUTE(Registro!$J216,";",CHAR(10)),CHAR(10),REPT(" ",LEN(Registro!$J216))),({1,2,3,4,5,6,7,8,9,10,11,12,13,14,15,16,17,18,19,20,21,22,23,24,25,26,27,28,29,30}-1)*LEN(Registro!$J216)+1,LEN(Registro!$J216)))," ",REPT(" ",50)),50)))),"Revisar formato"))</f>
        <v/>
      </c>
      <c r="M216" s="11" t="str">
        <f>IF(AND(Registro!$H216="",Registro!$I216=""),"",IF(AND(ISTEXT(K216),K216&lt;&gt;""),"Revisar formato",N(Registro!$H216)-N(K216)))</f>
        <v/>
      </c>
      <c r="N216" s="11" t="str">
        <f t="shared" si="11"/>
        <v/>
      </c>
      <c r="O216" s="15" t="str">
        <f>IF(AND(A216=Consulta!$B$3,C216=Consulta!$H$3),B216*10000+ROW(),"")</f>
        <v/>
      </c>
    </row>
    <row r="217" spans="1:15" x14ac:dyDescent="0.25">
      <c r="A217" s="9" t="str">
        <f>IF(Registro!$A217="","",Registro!$A217)</f>
        <v/>
      </c>
      <c r="B217" s="8" t="str">
        <f>IF(Registro!$B217="","",Registro!$B217)</f>
        <v/>
      </c>
      <c r="C217" s="14" t="str">
        <f t="shared" si="9"/>
        <v/>
      </c>
      <c r="D217" s="10" t="str">
        <f>IF(Registro!$E217="","",IF(ISERROR(FIND("x",LOWER(Registro!$E217))),"-",IFERROR(SUMPRODUCT(--("0"&amp;LEFT(TRIM(MID(SUBSTITUTE(SUBSTITUTE(SUBSTITUTE(SUBSTITUTE(SUBSTITUTE(LOWER(Registro!$E217),"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",LEN(Registro!$E217))),({1,2,3,4,5,6,7,8,9,10,11,12,13,14,15,16,17,18,19,20,21,22,23,24,25,26,27,28,29,30}-1)*LEN(Registro!$E217)+1,LEN(Registro!$E217)))&amp;"x")-1))),"Revisar formato")))</f>
        <v/>
      </c>
      <c r="E217" s="11" t="str">
        <f>IF(Registro!$E217="","",IF(ISERROR(FIND("x",LOWER(Registro!$E217))),"-",IFERROR(SUMPRODUCT(--("0"&amp;LEFT(TRIM(MID(SUBSTITUTE(SUBSTITUTE(SUBSTITUTE(SUBSTITUTE(SUBSTITUTE(LOWER(Registro!$E217),"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",LEN(Registro!$E217))),({1,2,3,4,5,6,7,8,9,10,11,12,13,14,15,16,17,18,19,20,21,22,23,24,25,26,27,28,29,30}-1)*LEN(Registro!$E217)+1,LEN(Registro!$E217)))&amp;"x")-1)),--("0"&amp;MID(TRIM(MID(SUBSTITUTE(SUBSTITUTE(SUBSTITUTE(SUBSTITUTE(SUBSTITUTE(LOWER(Registro!$E217),"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",LEN(Registro!$E217))),({1,2,3,4,5,6,7,8,9,10,11,12,13,14,15,16,17,18,19,20,21,22,23,24,25,26,27,28,29,30}-1)*LEN(Registro!$E217)+1,LEN(Registro!$E217)))&amp;"x")+1,20))),"Revisar formato")))</f>
        <v/>
      </c>
      <c r="F217" s="11" t="str">
        <f>IF(Registro!$F217="","",N(Registro!$F217))</f>
        <v/>
      </c>
      <c r="G217" s="11" t="str">
        <f t="shared" si="10"/>
        <v/>
      </c>
      <c r="H217" s="10" t="str">
        <f>IF(Registro!$G217="","",IF(ISERROR(FIND("x",LOWER(Registro!$G217))),"-",IFERROR(SUMPRODUCT(--("0"&amp;LEFT(TRIM(MID(SUBSTITUTE(SUBSTITUTE(SUBSTITUTE(SUBSTITUTE(SUBSTITUTE(LOWER(Registro!$G217),"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",LEN(Registro!$G217))),({1,2,3,4,5,6,7,8,9,10,11,12,13,14,15,16,17,18,19,20,21,22,23,24,25,26,27,28,29,30}-1)*LEN(Registro!$G217)+1,LEN(Registro!$G217))),FIND("x",TRIM(MID(SUBSTITUTE(SUBSTITUTE(SUBSTITUTE(SUBSTITUTE(SUBSTITUTE(LOWER(Registro!$G217),"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",LEN(Registro!$G217))),({1,2,3,4,5,6,7,8,9,10,11,12,13,14,15,16,17,18,19,20,21,22,23,24,25,26,27,28,29,30}-1)*LEN(Registro!$G217)+1,LEN(Registro!$G217)))&amp;"x")-1))),"Revisar formato")))</f>
        <v/>
      </c>
      <c r="I217" s="11" t="str">
        <f>IF(Registro!$G217="","",IF(ISERROR(FIND("x",LOWER(Registro!$G217))),N(Registro!$H217),IFERROR(SUMPRODUCT(--("0"&amp;LEFT(TRIM(MID(SUBSTITUTE(SUBSTITUTE(SUBSTITUTE(SUBSTITUTE(SUBSTITUTE(LOWER(Registro!$G217),"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",LEN(Registro!$G217))),({1,2,3,4,5,6,7,8,9,10,11,12,13,14,15,16,17,18,19,20,21,22,23,24,25,26,27,28,29,30}-1)*LEN(Registro!$G217)+1,LEN(Registro!$G217))),FIND("x",TRIM(MID(SUBSTITUTE(SUBSTITUTE(SUBSTITUTE(SUBSTITUTE(SUBSTITUTE(LOWER(Registro!$G217),"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",LEN(Registro!$G217))),({1,2,3,4,5,6,7,8,9,10,11,12,13,14,15,16,17,18,19,20,21,22,23,24,25,26,27,28,29,30}-1)*LEN(Registro!$G217)+1,LEN(Registro!$G217)))&amp;"x")-1)),--("0"&amp;MID(TRIM(MID(SUBSTITUTE(SUBSTITUTE(SUBSTITUTE(SUBSTITUTE(SUBSTITUTE(LOWER(Registro!$G217),"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",LEN(Registro!$G217))),({1,2,3,4,5,6,7,8,9,10,11,12,13,14,15,16,17,18,19,20,21,22,23,24,25,26,27,28,29,30}-1)*LEN(Registro!$G217)+1,LEN(Registro!$G217))),FIND("x",TRIM(MID(SUBSTITUTE(SUBSTITUTE(SUBSTITUTE(SUBSTITUTE(SUBSTITUTE(LOWER(Registro!$G217),"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",LEN(Registro!$G217))),({1,2,3,4,5,6,7,8,9,10,11,12,13,14,15,16,17,18,19,20,21,22,23,24,25,26,27,28,29,30}-1)*LEN(Registro!$G217)+1,LEN(Registro!$G217)))&amp;"x")+1,20))),"Revisar formato")))</f>
        <v/>
      </c>
      <c r="J217" s="9" t="str">
        <f>IF(AND(Registro!$E217="",Registro!$G217=""),"",IF(NOT(AND(ISNUMBER(I217),ISNUMBER(Registro!$H217))),"",IF(I217&lt;Registro!$H217,"FALTA BOLETOS",IF(I217=Registro!$H217,"CONFORME","DIFERENCIA"))))</f>
        <v/>
      </c>
      <c r="K217" s="11" t="str">
        <f>IF(Registro!$I217="","",IFERROR(SUMPRODUCT(--("0"&amp;TRIM(RIGHT(SUBSTITUTE(TRIM(MID(SUBSTITUTE(SUBSTITUTE(Registro!$I217,";",CHAR(10)),CHAR(10),REPT(" ",LEN(Registro!$I217))),({1,2,3,4,5,6,7,8,9,10,11,12,13,14,15,16,17,18,19,20,21,22,23,24,25,26,27,28,29,30}-1)*LEN(Registro!$I217)+1,LEN(Registro!$I217)))," ",REPT(" ",50)),50)))),"Revisar formato"))</f>
        <v/>
      </c>
      <c r="L217" s="11" t="str">
        <f>IF(Registro!$J217="","",IFERROR(SUMPRODUCT(--("0"&amp;TRIM(RIGHT(SUBSTITUTE(TRIM(MID(SUBSTITUTE(SUBSTITUTE(Registro!$J217,";",CHAR(10)),CHAR(10),REPT(" ",LEN(Registro!$J217))),({1,2,3,4,5,6,7,8,9,10,11,12,13,14,15,16,17,18,19,20,21,22,23,24,25,26,27,28,29,30}-1)*LEN(Registro!$J217)+1,LEN(Registro!$J217)))," ",REPT(" ",50)),50)))),"Revisar formato"))</f>
        <v/>
      </c>
      <c r="M217" s="11" t="str">
        <f>IF(AND(Registro!$H217="",Registro!$I217=""),"",IF(AND(ISTEXT(K217),K217&lt;&gt;""),"Revisar formato",N(Registro!$H217)-N(K217)))</f>
        <v/>
      </c>
      <c r="N217" s="11" t="str">
        <f t="shared" si="11"/>
        <v/>
      </c>
      <c r="O217" s="15" t="str">
        <f>IF(AND(A217=Consulta!$B$3,C217=Consulta!$H$3),B217*10000+ROW(),"")</f>
        <v/>
      </c>
    </row>
    <row r="218" spans="1:15" x14ac:dyDescent="0.25">
      <c r="A218" s="9" t="str">
        <f>IF(Registro!$A218="","",Registro!$A218)</f>
        <v/>
      </c>
      <c r="B218" s="8" t="str">
        <f>IF(Registro!$B218="","",Registro!$B218)</f>
        <v/>
      </c>
      <c r="C218" s="14" t="str">
        <f t="shared" si="9"/>
        <v/>
      </c>
      <c r="D218" s="10" t="str">
        <f>IF(Registro!$E218="","",IF(ISERROR(FIND("x",LOWER(Registro!$E218))),"-",IFERROR(SUMPRODUCT(--("0"&amp;LEFT(TRIM(MID(SUBSTITUTE(SUBSTITUTE(SUBSTITUTE(SUBSTITUTE(SUBSTITUTE(LOWER(Registro!$E218),"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",LEN(Registro!$E218))),({1,2,3,4,5,6,7,8,9,10,11,12,13,14,15,16,17,18,19,20,21,22,23,24,25,26,27,28,29,30}-1)*LEN(Registro!$E218)+1,LEN(Registro!$E218)))&amp;"x")-1))),"Revisar formato")))</f>
        <v/>
      </c>
      <c r="E218" s="11" t="str">
        <f>IF(Registro!$E218="","",IF(ISERROR(FIND("x",LOWER(Registro!$E218))),"-",IFERROR(SUMPRODUCT(--("0"&amp;LEFT(TRIM(MID(SUBSTITUTE(SUBSTITUTE(SUBSTITUTE(SUBSTITUTE(SUBSTITUTE(LOWER(Registro!$E218),"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",LEN(Registro!$E218))),({1,2,3,4,5,6,7,8,9,10,11,12,13,14,15,16,17,18,19,20,21,22,23,24,25,26,27,28,29,30}-1)*LEN(Registro!$E218)+1,LEN(Registro!$E218)))&amp;"x")-1)),--("0"&amp;MID(TRIM(MID(SUBSTITUTE(SUBSTITUTE(SUBSTITUTE(SUBSTITUTE(SUBSTITUTE(LOWER(Registro!$E218),"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",LEN(Registro!$E218))),({1,2,3,4,5,6,7,8,9,10,11,12,13,14,15,16,17,18,19,20,21,22,23,24,25,26,27,28,29,30}-1)*LEN(Registro!$E218)+1,LEN(Registro!$E218)))&amp;"x")+1,20))),"Revisar formato")))</f>
        <v/>
      </c>
      <c r="F218" s="11" t="str">
        <f>IF(Registro!$F218="","",N(Registro!$F218))</f>
        <v/>
      </c>
      <c r="G218" s="11" t="str">
        <f t="shared" si="10"/>
        <v/>
      </c>
      <c r="H218" s="10" t="str">
        <f>IF(Registro!$G218="","",IF(ISERROR(FIND("x",LOWER(Registro!$G218))),"-",IFERROR(SUMPRODUCT(--("0"&amp;LEFT(TRIM(MID(SUBSTITUTE(SUBSTITUTE(SUBSTITUTE(SUBSTITUTE(SUBSTITUTE(LOWER(Registro!$G218),"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",LEN(Registro!$G218))),({1,2,3,4,5,6,7,8,9,10,11,12,13,14,15,16,17,18,19,20,21,22,23,24,25,26,27,28,29,30}-1)*LEN(Registro!$G218)+1,LEN(Registro!$G218))),FIND("x",TRIM(MID(SUBSTITUTE(SUBSTITUTE(SUBSTITUTE(SUBSTITUTE(SUBSTITUTE(LOWER(Registro!$G218),"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",LEN(Registro!$G218))),({1,2,3,4,5,6,7,8,9,10,11,12,13,14,15,16,17,18,19,20,21,22,23,24,25,26,27,28,29,30}-1)*LEN(Registro!$G218)+1,LEN(Registro!$G218)))&amp;"x")-1))),"Revisar formato")))</f>
        <v/>
      </c>
      <c r="I218" s="11" t="str">
        <f>IF(Registro!$G218="","",IF(ISERROR(FIND("x",LOWER(Registro!$G218))),N(Registro!$H218),IFERROR(SUMPRODUCT(--("0"&amp;LEFT(TRIM(MID(SUBSTITUTE(SUBSTITUTE(SUBSTITUTE(SUBSTITUTE(SUBSTITUTE(LOWER(Registro!$G218),"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",LEN(Registro!$G218))),({1,2,3,4,5,6,7,8,9,10,11,12,13,14,15,16,17,18,19,20,21,22,23,24,25,26,27,28,29,30}-1)*LEN(Registro!$G218)+1,LEN(Registro!$G218))),FIND("x",TRIM(MID(SUBSTITUTE(SUBSTITUTE(SUBSTITUTE(SUBSTITUTE(SUBSTITUTE(LOWER(Registro!$G218),"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",LEN(Registro!$G218))),({1,2,3,4,5,6,7,8,9,10,11,12,13,14,15,16,17,18,19,20,21,22,23,24,25,26,27,28,29,30}-1)*LEN(Registro!$G218)+1,LEN(Registro!$G218)))&amp;"x")-1)),--("0"&amp;MID(TRIM(MID(SUBSTITUTE(SUBSTITUTE(SUBSTITUTE(SUBSTITUTE(SUBSTITUTE(LOWER(Registro!$G218),"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",LEN(Registro!$G218))),({1,2,3,4,5,6,7,8,9,10,11,12,13,14,15,16,17,18,19,20,21,22,23,24,25,26,27,28,29,30}-1)*LEN(Registro!$G218)+1,LEN(Registro!$G218))),FIND("x",TRIM(MID(SUBSTITUTE(SUBSTITUTE(SUBSTITUTE(SUBSTITUTE(SUBSTITUTE(LOWER(Registro!$G218),"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",LEN(Registro!$G218))),({1,2,3,4,5,6,7,8,9,10,11,12,13,14,15,16,17,18,19,20,21,22,23,24,25,26,27,28,29,30}-1)*LEN(Registro!$G218)+1,LEN(Registro!$G218)))&amp;"x")+1,20))),"Revisar formato")))</f>
        <v/>
      </c>
      <c r="J218" s="9" t="str">
        <f>IF(AND(Registro!$E218="",Registro!$G218=""),"",IF(NOT(AND(ISNUMBER(I218),ISNUMBER(Registro!$H218))),"",IF(I218&lt;Registro!$H218,"FALTA BOLETOS",IF(I218=Registro!$H218,"CONFORME","DIFERENCIA"))))</f>
        <v/>
      </c>
      <c r="K218" s="11" t="str">
        <f>IF(Registro!$I218="","",IFERROR(SUMPRODUCT(--("0"&amp;TRIM(RIGHT(SUBSTITUTE(TRIM(MID(SUBSTITUTE(SUBSTITUTE(Registro!$I218,";",CHAR(10)),CHAR(10),REPT(" ",LEN(Registro!$I218))),({1,2,3,4,5,6,7,8,9,10,11,12,13,14,15,16,17,18,19,20,21,22,23,24,25,26,27,28,29,30}-1)*LEN(Registro!$I218)+1,LEN(Registro!$I218)))," ",REPT(" ",50)),50)))),"Revisar formato"))</f>
        <v/>
      </c>
      <c r="L218" s="11" t="str">
        <f>IF(Registro!$J218="","",IFERROR(SUMPRODUCT(--("0"&amp;TRIM(RIGHT(SUBSTITUTE(TRIM(MID(SUBSTITUTE(SUBSTITUTE(Registro!$J218,";",CHAR(10)),CHAR(10),REPT(" ",LEN(Registro!$J218))),({1,2,3,4,5,6,7,8,9,10,11,12,13,14,15,16,17,18,19,20,21,22,23,24,25,26,27,28,29,30}-1)*LEN(Registro!$J218)+1,LEN(Registro!$J218)))," ",REPT(" ",50)),50)))),"Revisar formato"))</f>
        <v/>
      </c>
      <c r="M218" s="11" t="str">
        <f>IF(AND(Registro!$H218="",Registro!$I218=""),"",IF(AND(ISTEXT(K218),K218&lt;&gt;""),"Revisar formato",N(Registro!$H218)-N(K218)))</f>
        <v/>
      </c>
      <c r="N218" s="11" t="str">
        <f t="shared" si="11"/>
        <v/>
      </c>
      <c r="O218" s="15" t="str">
        <f>IF(AND(A218=Consulta!$B$3,C218=Consulta!$H$3),B218*10000+ROW(),"")</f>
        <v/>
      </c>
    </row>
    <row r="219" spans="1:15" x14ac:dyDescent="0.25">
      <c r="A219" s="9" t="str">
        <f>IF(Registro!$A219="","",Registro!$A219)</f>
        <v/>
      </c>
      <c r="B219" s="8" t="str">
        <f>IF(Registro!$B219="","",Registro!$B219)</f>
        <v/>
      </c>
      <c r="C219" s="14" t="str">
        <f t="shared" si="9"/>
        <v/>
      </c>
      <c r="D219" s="10" t="str">
        <f>IF(Registro!$E219="","",IF(ISERROR(FIND("x",LOWER(Registro!$E219))),"-",IFERROR(SUMPRODUCT(--("0"&amp;LEFT(TRIM(MID(SUBSTITUTE(SUBSTITUTE(SUBSTITUTE(SUBSTITUTE(SUBSTITUTE(LOWER(Registro!$E219),"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",LEN(Registro!$E219))),({1,2,3,4,5,6,7,8,9,10,11,12,13,14,15,16,17,18,19,20,21,22,23,24,25,26,27,28,29,30}-1)*LEN(Registro!$E219)+1,LEN(Registro!$E219)))&amp;"x")-1))),"Revisar formato")))</f>
        <v/>
      </c>
      <c r="E219" s="11" t="str">
        <f>IF(Registro!$E219="","",IF(ISERROR(FIND("x",LOWER(Registro!$E219))),"-",IFERROR(SUMPRODUCT(--("0"&amp;LEFT(TRIM(MID(SUBSTITUTE(SUBSTITUTE(SUBSTITUTE(SUBSTITUTE(SUBSTITUTE(LOWER(Registro!$E219),"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",LEN(Registro!$E219))),({1,2,3,4,5,6,7,8,9,10,11,12,13,14,15,16,17,18,19,20,21,22,23,24,25,26,27,28,29,30}-1)*LEN(Registro!$E219)+1,LEN(Registro!$E219)))&amp;"x")-1)),--("0"&amp;MID(TRIM(MID(SUBSTITUTE(SUBSTITUTE(SUBSTITUTE(SUBSTITUTE(SUBSTITUTE(LOWER(Registro!$E219),"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",LEN(Registro!$E219))),({1,2,3,4,5,6,7,8,9,10,11,12,13,14,15,16,17,18,19,20,21,22,23,24,25,26,27,28,29,30}-1)*LEN(Registro!$E219)+1,LEN(Registro!$E219)))&amp;"x")+1,20))),"Revisar formato")))</f>
        <v/>
      </c>
      <c r="F219" s="11" t="str">
        <f>IF(Registro!$F219="","",N(Registro!$F219))</f>
        <v/>
      </c>
      <c r="G219" s="11" t="str">
        <f t="shared" si="10"/>
        <v/>
      </c>
      <c r="H219" s="10" t="str">
        <f>IF(Registro!$G219="","",IF(ISERROR(FIND("x",LOWER(Registro!$G219))),"-",IFERROR(SUMPRODUCT(--("0"&amp;LEFT(TRIM(MID(SUBSTITUTE(SUBSTITUTE(SUBSTITUTE(SUBSTITUTE(SUBSTITUTE(LOWER(Registro!$G219),"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",LEN(Registro!$G219))),({1,2,3,4,5,6,7,8,9,10,11,12,13,14,15,16,17,18,19,20,21,22,23,24,25,26,27,28,29,30}-1)*LEN(Registro!$G219)+1,LEN(Registro!$G219))),FIND("x",TRIM(MID(SUBSTITUTE(SUBSTITUTE(SUBSTITUTE(SUBSTITUTE(SUBSTITUTE(LOWER(Registro!$G219),"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",LEN(Registro!$G219))),({1,2,3,4,5,6,7,8,9,10,11,12,13,14,15,16,17,18,19,20,21,22,23,24,25,26,27,28,29,30}-1)*LEN(Registro!$G219)+1,LEN(Registro!$G219)))&amp;"x")-1))),"Revisar formato")))</f>
        <v/>
      </c>
      <c r="I219" s="11" t="str">
        <f>IF(Registro!$G219="","",IF(ISERROR(FIND("x",LOWER(Registro!$G219))),N(Registro!$H219),IFERROR(SUMPRODUCT(--("0"&amp;LEFT(TRIM(MID(SUBSTITUTE(SUBSTITUTE(SUBSTITUTE(SUBSTITUTE(SUBSTITUTE(LOWER(Registro!$G219),"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",LEN(Registro!$G219))),({1,2,3,4,5,6,7,8,9,10,11,12,13,14,15,16,17,18,19,20,21,22,23,24,25,26,27,28,29,30}-1)*LEN(Registro!$G219)+1,LEN(Registro!$G219))),FIND("x",TRIM(MID(SUBSTITUTE(SUBSTITUTE(SUBSTITUTE(SUBSTITUTE(SUBSTITUTE(LOWER(Registro!$G219),"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",LEN(Registro!$G219))),({1,2,3,4,5,6,7,8,9,10,11,12,13,14,15,16,17,18,19,20,21,22,23,24,25,26,27,28,29,30}-1)*LEN(Registro!$G219)+1,LEN(Registro!$G219)))&amp;"x")-1)),--("0"&amp;MID(TRIM(MID(SUBSTITUTE(SUBSTITUTE(SUBSTITUTE(SUBSTITUTE(SUBSTITUTE(LOWER(Registro!$G219),"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",LEN(Registro!$G219))),({1,2,3,4,5,6,7,8,9,10,11,12,13,14,15,16,17,18,19,20,21,22,23,24,25,26,27,28,29,30}-1)*LEN(Registro!$G219)+1,LEN(Registro!$G219))),FIND("x",TRIM(MID(SUBSTITUTE(SUBSTITUTE(SUBSTITUTE(SUBSTITUTE(SUBSTITUTE(LOWER(Registro!$G219),"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",LEN(Registro!$G219))),({1,2,3,4,5,6,7,8,9,10,11,12,13,14,15,16,17,18,19,20,21,22,23,24,25,26,27,28,29,30}-1)*LEN(Registro!$G219)+1,LEN(Registro!$G219)))&amp;"x")+1,20))),"Revisar formato")))</f>
        <v/>
      </c>
      <c r="J219" s="9" t="str">
        <f>IF(AND(Registro!$E219="",Registro!$G219=""),"",IF(NOT(AND(ISNUMBER(I219),ISNUMBER(Registro!$H219))),"",IF(I219&lt;Registro!$H219,"FALTA BOLETOS",IF(I219=Registro!$H219,"CONFORME","DIFERENCIA"))))</f>
        <v/>
      </c>
      <c r="K219" s="11" t="str">
        <f>IF(Registro!$I219="","",IFERROR(SUMPRODUCT(--("0"&amp;TRIM(RIGHT(SUBSTITUTE(TRIM(MID(SUBSTITUTE(SUBSTITUTE(Registro!$I219,";",CHAR(10)),CHAR(10),REPT(" ",LEN(Registro!$I219))),({1,2,3,4,5,6,7,8,9,10,11,12,13,14,15,16,17,18,19,20,21,22,23,24,25,26,27,28,29,30}-1)*LEN(Registro!$I219)+1,LEN(Registro!$I219)))," ",REPT(" ",50)),50)))),"Revisar formato"))</f>
        <v/>
      </c>
      <c r="L219" s="11" t="str">
        <f>IF(Registro!$J219="","",IFERROR(SUMPRODUCT(--("0"&amp;TRIM(RIGHT(SUBSTITUTE(TRIM(MID(SUBSTITUTE(SUBSTITUTE(Registro!$J219,";",CHAR(10)),CHAR(10),REPT(" ",LEN(Registro!$J219))),({1,2,3,4,5,6,7,8,9,10,11,12,13,14,15,16,17,18,19,20,21,22,23,24,25,26,27,28,29,30}-1)*LEN(Registro!$J219)+1,LEN(Registro!$J219)))," ",REPT(" ",50)),50)))),"Revisar formato"))</f>
        <v/>
      </c>
      <c r="M219" s="11" t="str">
        <f>IF(AND(Registro!$H219="",Registro!$I219=""),"",IF(AND(ISTEXT(K219),K219&lt;&gt;""),"Revisar formato",N(Registro!$H219)-N(K219)))</f>
        <v/>
      </c>
      <c r="N219" s="11" t="str">
        <f t="shared" si="11"/>
        <v/>
      </c>
      <c r="O219" s="15" t="str">
        <f>IF(AND(A219=Consulta!$B$3,C219=Consulta!$H$3),B219*10000+ROW(),"")</f>
        <v/>
      </c>
    </row>
    <row r="220" spans="1:15" x14ac:dyDescent="0.25">
      <c r="A220" s="9" t="str">
        <f>IF(Registro!$A220="","",Registro!$A220)</f>
        <v/>
      </c>
      <c r="B220" s="8" t="str">
        <f>IF(Registro!$B220="","",Registro!$B220)</f>
        <v/>
      </c>
      <c r="C220" s="14" t="str">
        <f t="shared" si="9"/>
        <v/>
      </c>
      <c r="D220" s="10" t="str">
        <f>IF(Registro!$E220="","",IF(ISERROR(FIND("x",LOWER(Registro!$E220))),"-",IFERROR(SUMPRODUCT(--("0"&amp;LEFT(TRIM(MID(SUBSTITUTE(SUBSTITUTE(SUBSTITUTE(SUBSTITUTE(SUBSTITUTE(LOWER(Registro!$E220),"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",LEN(Registro!$E220))),({1,2,3,4,5,6,7,8,9,10,11,12,13,14,15,16,17,18,19,20,21,22,23,24,25,26,27,28,29,30}-1)*LEN(Registro!$E220)+1,LEN(Registro!$E220)))&amp;"x")-1))),"Revisar formato")))</f>
        <v/>
      </c>
      <c r="E220" s="11" t="str">
        <f>IF(Registro!$E220="","",IF(ISERROR(FIND("x",LOWER(Registro!$E220))),"-",IFERROR(SUMPRODUCT(--("0"&amp;LEFT(TRIM(MID(SUBSTITUTE(SUBSTITUTE(SUBSTITUTE(SUBSTITUTE(SUBSTITUTE(LOWER(Registro!$E220),"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",LEN(Registro!$E220))),({1,2,3,4,5,6,7,8,9,10,11,12,13,14,15,16,17,18,19,20,21,22,23,24,25,26,27,28,29,30}-1)*LEN(Registro!$E220)+1,LEN(Registro!$E220)))&amp;"x")-1)),--("0"&amp;MID(TRIM(MID(SUBSTITUTE(SUBSTITUTE(SUBSTITUTE(SUBSTITUTE(SUBSTITUTE(LOWER(Registro!$E220),"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",LEN(Registro!$E220))),({1,2,3,4,5,6,7,8,9,10,11,12,13,14,15,16,17,18,19,20,21,22,23,24,25,26,27,28,29,30}-1)*LEN(Registro!$E220)+1,LEN(Registro!$E220)))&amp;"x")+1,20))),"Revisar formato")))</f>
        <v/>
      </c>
      <c r="F220" s="11" t="str">
        <f>IF(Registro!$F220="","",N(Registro!$F220))</f>
        <v/>
      </c>
      <c r="G220" s="11" t="str">
        <f t="shared" si="10"/>
        <v/>
      </c>
      <c r="H220" s="10" t="str">
        <f>IF(Registro!$G220="","",IF(ISERROR(FIND("x",LOWER(Registro!$G220))),"-",IFERROR(SUMPRODUCT(--("0"&amp;LEFT(TRIM(MID(SUBSTITUTE(SUBSTITUTE(SUBSTITUTE(SUBSTITUTE(SUBSTITUTE(LOWER(Registro!$G220),"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",LEN(Registro!$G220))),({1,2,3,4,5,6,7,8,9,10,11,12,13,14,15,16,17,18,19,20,21,22,23,24,25,26,27,28,29,30}-1)*LEN(Registro!$G220)+1,LEN(Registro!$G220))),FIND("x",TRIM(MID(SUBSTITUTE(SUBSTITUTE(SUBSTITUTE(SUBSTITUTE(SUBSTITUTE(LOWER(Registro!$G220),"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",LEN(Registro!$G220))),({1,2,3,4,5,6,7,8,9,10,11,12,13,14,15,16,17,18,19,20,21,22,23,24,25,26,27,28,29,30}-1)*LEN(Registro!$G220)+1,LEN(Registro!$G220)))&amp;"x")-1))),"Revisar formato")))</f>
        <v/>
      </c>
      <c r="I220" s="11" t="str">
        <f>IF(Registro!$G220="","",IF(ISERROR(FIND("x",LOWER(Registro!$G220))),N(Registro!$H220),IFERROR(SUMPRODUCT(--("0"&amp;LEFT(TRIM(MID(SUBSTITUTE(SUBSTITUTE(SUBSTITUTE(SUBSTITUTE(SUBSTITUTE(LOWER(Registro!$G220),"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",LEN(Registro!$G220))),({1,2,3,4,5,6,7,8,9,10,11,12,13,14,15,16,17,18,19,20,21,22,23,24,25,26,27,28,29,30}-1)*LEN(Registro!$G220)+1,LEN(Registro!$G220))),FIND("x",TRIM(MID(SUBSTITUTE(SUBSTITUTE(SUBSTITUTE(SUBSTITUTE(SUBSTITUTE(LOWER(Registro!$G220),"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",LEN(Registro!$G220))),({1,2,3,4,5,6,7,8,9,10,11,12,13,14,15,16,17,18,19,20,21,22,23,24,25,26,27,28,29,30}-1)*LEN(Registro!$G220)+1,LEN(Registro!$G220)))&amp;"x")-1)),--("0"&amp;MID(TRIM(MID(SUBSTITUTE(SUBSTITUTE(SUBSTITUTE(SUBSTITUTE(SUBSTITUTE(LOWER(Registro!$G220),"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",LEN(Registro!$G220))),({1,2,3,4,5,6,7,8,9,10,11,12,13,14,15,16,17,18,19,20,21,22,23,24,25,26,27,28,29,30}-1)*LEN(Registro!$G220)+1,LEN(Registro!$G220))),FIND("x",TRIM(MID(SUBSTITUTE(SUBSTITUTE(SUBSTITUTE(SUBSTITUTE(SUBSTITUTE(LOWER(Registro!$G220),"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",LEN(Registro!$G220))),({1,2,3,4,5,6,7,8,9,10,11,12,13,14,15,16,17,18,19,20,21,22,23,24,25,26,27,28,29,30}-1)*LEN(Registro!$G220)+1,LEN(Registro!$G220)))&amp;"x")+1,20))),"Revisar formato")))</f>
        <v/>
      </c>
      <c r="J220" s="9" t="str">
        <f>IF(AND(Registro!$E220="",Registro!$G220=""),"",IF(NOT(AND(ISNUMBER(I220),ISNUMBER(Registro!$H220))),"",IF(I220&lt;Registro!$H220,"FALTA BOLETOS",IF(I220=Registro!$H220,"CONFORME","DIFERENCIA"))))</f>
        <v/>
      </c>
      <c r="K220" s="11" t="str">
        <f>IF(Registro!$I220="","",IFERROR(SUMPRODUCT(--("0"&amp;TRIM(RIGHT(SUBSTITUTE(TRIM(MID(SUBSTITUTE(SUBSTITUTE(Registro!$I220,";",CHAR(10)),CHAR(10),REPT(" ",LEN(Registro!$I220))),({1,2,3,4,5,6,7,8,9,10,11,12,13,14,15,16,17,18,19,20,21,22,23,24,25,26,27,28,29,30}-1)*LEN(Registro!$I220)+1,LEN(Registro!$I220)))," ",REPT(" ",50)),50)))),"Revisar formato"))</f>
        <v/>
      </c>
      <c r="L220" s="11" t="str">
        <f>IF(Registro!$J220="","",IFERROR(SUMPRODUCT(--("0"&amp;TRIM(RIGHT(SUBSTITUTE(TRIM(MID(SUBSTITUTE(SUBSTITUTE(Registro!$J220,";",CHAR(10)),CHAR(10),REPT(" ",LEN(Registro!$J220))),({1,2,3,4,5,6,7,8,9,10,11,12,13,14,15,16,17,18,19,20,21,22,23,24,25,26,27,28,29,30}-1)*LEN(Registro!$J220)+1,LEN(Registro!$J220)))," ",REPT(" ",50)),50)))),"Revisar formato"))</f>
        <v/>
      </c>
      <c r="M220" s="11" t="str">
        <f>IF(AND(Registro!$H220="",Registro!$I220=""),"",IF(AND(ISTEXT(K220),K220&lt;&gt;""),"Revisar formato",N(Registro!$H220)-N(K220)))</f>
        <v/>
      </c>
      <c r="N220" s="11" t="str">
        <f t="shared" si="11"/>
        <v/>
      </c>
      <c r="O220" s="15" t="str">
        <f>IF(AND(A220=Consulta!$B$3,C220=Consulta!$H$3),B220*10000+ROW(),"")</f>
        <v/>
      </c>
    </row>
    <row r="221" spans="1:15" x14ac:dyDescent="0.25">
      <c r="A221" s="9" t="str">
        <f>IF(Registro!$A221="","",Registro!$A221)</f>
        <v/>
      </c>
      <c r="B221" s="8" t="str">
        <f>IF(Registro!$B221="","",Registro!$B221)</f>
        <v/>
      </c>
      <c r="C221" s="14" t="str">
        <f t="shared" si="9"/>
        <v/>
      </c>
      <c r="D221" s="10" t="str">
        <f>IF(Registro!$E221="","",IF(ISERROR(FIND("x",LOWER(Registro!$E221))),"-",IFERROR(SUMPRODUCT(--("0"&amp;LEFT(TRIM(MID(SUBSTITUTE(SUBSTITUTE(SUBSTITUTE(SUBSTITUTE(SUBSTITUTE(LOWER(Registro!$E221),"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",LEN(Registro!$E221))),({1,2,3,4,5,6,7,8,9,10,11,12,13,14,15,16,17,18,19,20,21,22,23,24,25,26,27,28,29,30}-1)*LEN(Registro!$E221)+1,LEN(Registro!$E221)))&amp;"x")-1))),"Revisar formato")))</f>
        <v/>
      </c>
      <c r="E221" s="11" t="str">
        <f>IF(Registro!$E221="","",IF(ISERROR(FIND("x",LOWER(Registro!$E221))),"-",IFERROR(SUMPRODUCT(--("0"&amp;LEFT(TRIM(MID(SUBSTITUTE(SUBSTITUTE(SUBSTITUTE(SUBSTITUTE(SUBSTITUTE(LOWER(Registro!$E221),"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",LEN(Registro!$E221))),({1,2,3,4,5,6,7,8,9,10,11,12,13,14,15,16,17,18,19,20,21,22,23,24,25,26,27,28,29,30}-1)*LEN(Registro!$E221)+1,LEN(Registro!$E221)))&amp;"x")-1)),--("0"&amp;MID(TRIM(MID(SUBSTITUTE(SUBSTITUTE(SUBSTITUTE(SUBSTITUTE(SUBSTITUTE(LOWER(Registro!$E221),"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",LEN(Registro!$E221))),({1,2,3,4,5,6,7,8,9,10,11,12,13,14,15,16,17,18,19,20,21,22,23,24,25,26,27,28,29,30}-1)*LEN(Registro!$E221)+1,LEN(Registro!$E221)))&amp;"x")+1,20))),"Revisar formato")))</f>
        <v/>
      </c>
      <c r="F221" s="11" t="str">
        <f>IF(Registro!$F221="","",N(Registro!$F221))</f>
        <v/>
      </c>
      <c r="G221" s="11" t="str">
        <f t="shared" si="10"/>
        <v/>
      </c>
      <c r="H221" s="10" t="str">
        <f>IF(Registro!$G221="","",IF(ISERROR(FIND("x",LOWER(Registro!$G221))),"-",IFERROR(SUMPRODUCT(--("0"&amp;LEFT(TRIM(MID(SUBSTITUTE(SUBSTITUTE(SUBSTITUTE(SUBSTITUTE(SUBSTITUTE(LOWER(Registro!$G221),"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",LEN(Registro!$G221))),({1,2,3,4,5,6,7,8,9,10,11,12,13,14,15,16,17,18,19,20,21,22,23,24,25,26,27,28,29,30}-1)*LEN(Registro!$G221)+1,LEN(Registro!$G221))),FIND("x",TRIM(MID(SUBSTITUTE(SUBSTITUTE(SUBSTITUTE(SUBSTITUTE(SUBSTITUTE(LOWER(Registro!$G221),"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",LEN(Registro!$G221))),({1,2,3,4,5,6,7,8,9,10,11,12,13,14,15,16,17,18,19,20,21,22,23,24,25,26,27,28,29,30}-1)*LEN(Registro!$G221)+1,LEN(Registro!$G221)))&amp;"x")-1))),"Revisar formato")))</f>
        <v/>
      </c>
      <c r="I221" s="11" t="str">
        <f>IF(Registro!$G221="","",IF(ISERROR(FIND("x",LOWER(Registro!$G221))),N(Registro!$H221),IFERROR(SUMPRODUCT(--("0"&amp;LEFT(TRIM(MID(SUBSTITUTE(SUBSTITUTE(SUBSTITUTE(SUBSTITUTE(SUBSTITUTE(LOWER(Registro!$G221),"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",LEN(Registro!$G221))),({1,2,3,4,5,6,7,8,9,10,11,12,13,14,15,16,17,18,19,20,21,22,23,24,25,26,27,28,29,30}-1)*LEN(Registro!$G221)+1,LEN(Registro!$G221))),FIND("x",TRIM(MID(SUBSTITUTE(SUBSTITUTE(SUBSTITUTE(SUBSTITUTE(SUBSTITUTE(LOWER(Registro!$G221),"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",LEN(Registro!$G221))),({1,2,3,4,5,6,7,8,9,10,11,12,13,14,15,16,17,18,19,20,21,22,23,24,25,26,27,28,29,30}-1)*LEN(Registro!$G221)+1,LEN(Registro!$G221)))&amp;"x")-1)),--("0"&amp;MID(TRIM(MID(SUBSTITUTE(SUBSTITUTE(SUBSTITUTE(SUBSTITUTE(SUBSTITUTE(LOWER(Registro!$G221),"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",LEN(Registro!$G221))),({1,2,3,4,5,6,7,8,9,10,11,12,13,14,15,16,17,18,19,20,21,22,23,24,25,26,27,28,29,30}-1)*LEN(Registro!$G221)+1,LEN(Registro!$G221))),FIND("x",TRIM(MID(SUBSTITUTE(SUBSTITUTE(SUBSTITUTE(SUBSTITUTE(SUBSTITUTE(LOWER(Registro!$G221),"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",LEN(Registro!$G221))),({1,2,3,4,5,6,7,8,9,10,11,12,13,14,15,16,17,18,19,20,21,22,23,24,25,26,27,28,29,30}-1)*LEN(Registro!$G221)+1,LEN(Registro!$G221)))&amp;"x")+1,20))),"Revisar formato")))</f>
        <v/>
      </c>
      <c r="J221" s="9" t="str">
        <f>IF(AND(Registro!$E221="",Registro!$G221=""),"",IF(NOT(AND(ISNUMBER(I221),ISNUMBER(Registro!$H221))),"",IF(I221&lt;Registro!$H221,"FALTA BOLETOS",IF(I221=Registro!$H221,"CONFORME","DIFERENCIA"))))</f>
        <v/>
      </c>
      <c r="K221" s="11" t="str">
        <f>IF(Registro!$I221="","",IFERROR(SUMPRODUCT(--("0"&amp;TRIM(RIGHT(SUBSTITUTE(TRIM(MID(SUBSTITUTE(SUBSTITUTE(Registro!$I221,";",CHAR(10)),CHAR(10),REPT(" ",LEN(Registro!$I221))),({1,2,3,4,5,6,7,8,9,10,11,12,13,14,15,16,17,18,19,20,21,22,23,24,25,26,27,28,29,30}-1)*LEN(Registro!$I221)+1,LEN(Registro!$I221)))," ",REPT(" ",50)),50)))),"Revisar formato"))</f>
        <v/>
      </c>
      <c r="L221" s="11" t="str">
        <f>IF(Registro!$J221="","",IFERROR(SUMPRODUCT(--("0"&amp;TRIM(RIGHT(SUBSTITUTE(TRIM(MID(SUBSTITUTE(SUBSTITUTE(Registro!$J221,";",CHAR(10)),CHAR(10),REPT(" ",LEN(Registro!$J221))),({1,2,3,4,5,6,7,8,9,10,11,12,13,14,15,16,17,18,19,20,21,22,23,24,25,26,27,28,29,30}-1)*LEN(Registro!$J221)+1,LEN(Registro!$J221)))," ",REPT(" ",50)),50)))),"Revisar formato"))</f>
        <v/>
      </c>
      <c r="M221" s="11" t="str">
        <f>IF(AND(Registro!$H221="",Registro!$I221=""),"",IF(AND(ISTEXT(K221),K221&lt;&gt;""),"Revisar formato",N(Registro!$H221)-N(K221)))</f>
        <v/>
      </c>
      <c r="N221" s="11" t="str">
        <f t="shared" si="11"/>
        <v/>
      </c>
      <c r="O221" s="15" t="str">
        <f>IF(AND(A221=Consulta!$B$3,C221=Consulta!$H$3),B221*10000+ROW(),"")</f>
        <v/>
      </c>
    </row>
    <row r="222" spans="1:15" x14ac:dyDescent="0.25">
      <c r="A222" s="9" t="str">
        <f>IF(Registro!$A222="","",Registro!$A222)</f>
        <v/>
      </c>
      <c r="B222" s="8" t="str">
        <f>IF(Registro!$B222="","",Registro!$B222)</f>
        <v/>
      </c>
      <c r="C222" s="14" t="str">
        <f t="shared" si="9"/>
        <v/>
      </c>
      <c r="D222" s="10" t="str">
        <f>IF(Registro!$E222="","",IF(ISERROR(FIND("x",LOWER(Registro!$E222))),"-",IFERROR(SUMPRODUCT(--("0"&amp;LEFT(TRIM(MID(SUBSTITUTE(SUBSTITUTE(SUBSTITUTE(SUBSTITUTE(SUBSTITUTE(LOWER(Registro!$E222),"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",LEN(Registro!$E222))),({1,2,3,4,5,6,7,8,9,10,11,12,13,14,15,16,17,18,19,20,21,22,23,24,25,26,27,28,29,30}-1)*LEN(Registro!$E222)+1,LEN(Registro!$E222)))&amp;"x")-1))),"Revisar formato")))</f>
        <v/>
      </c>
      <c r="E222" s="11" t="str">
        <f>IF(Registro!$E222="","",IF(ISERROR(FIND("x",LOWER(Registro!$E222))),"-",IFERROR(SUMPRODUCT(--("0"&amp;LEFT(TRIM(MID(SUBSTITUTE(SUBSTITUTE(SUBSTITUTE(SUBSTITUTE(SUBSTITUTE(LOWER(Registro!$E222),"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",LEN(Registro!$E222))),({1,2,3,4,5,6,7,8,9,10,11,12,13,14,15,16,17,18,19,20,21,22,23,24,25,26,27,28,29,30}-1)*LEN(Registro!$E222)+1,LEN(Registro!$E222)))&amp;"x")-1)),--("0"&amp;MID(TRIM(MID(SUBSTITUTE(SUBSTITUTE(SUBSTITUTE(SUBSTITUTE(SUBSTITUTE(LOWER(Registro!$E222),"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",LEN(Registro!$E222))),({1,2,3,4,5,6,7,8,9,10,11,12,13,14,15,16,17,18,19,20,21,22,23,24,25,26,27,28,29,30}-1)*LEN(Registro!$E222)+1,LEN(Registro!$E222)))&amp;"x")+1,20))),"Revisar formato")))</f>
        <v/>
      </c>
      <c r="F222" s="11" t="str">
        <f>IF(Registro!$F222="","",N(Registro!$F222))</f>
        <v/>
      </c>
      <c r="G222" s="11" t="str">
        <f t="shared" si="10"/>
        <v/>
      </c>
      <c r="H222" s="10" t="str">
        <f>IF(Registro!$G222="","",IF(ISERROR(FIND("x",LOWER(Registro!$G222))),"-",IFERROR(SUMPRODUCT(--("0"&amp;LEFT(TRIM(MID(SUBSTITUTE(SUBSTITUTE(SUBSTITUTE(SUBSTITUTE(SUBSTITUTE(LOWER(Registro!$G222),"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",LEN(Registro!$G222))),({1,2,3,4,5,6,7,8,9,10,11,12,13,14,15,16,17,18,19,20,21,22,23,24,25,26,27,28,29,30}-1)*LEN(Registro!$G222)+1,LEN(Registro!$G222))),FIND("x",TRIM(MID(SUBSTITUTE(SUBSTITUTE(SUBSTITUTE(SUBSTITUTE(SUBSTITUTE(LOWER(Registro!$G222),"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",LEN(Registro!$G222))),({1,2,3,4,5,6,7,8,9,10,11,12,13,14,15,16,17,18,19,20,21,22,23,24,25,26,27,28,29,30}-1)*LEN(Registro!$G222)+1,LEN(Registro!$G222)))&amp;"x")-1))),"Revisar formato")))</f>
        <v/>
      </c>
      <c r="I222" s="11" t="str">
        <f>IF(Registro!$G222="","",IF(ISERROR(FIND("x",LOWER(Registro!$G222))),N(Registro!$H222),IFERROR(SUMPRODUCT(--("0"&amp;LEFT(TRIM(MID(SUBSTITUTE(SUBSTITUTE(SUBSTITUTE(SUBSTITUTE(SUBSTITUTE(LOWER(Registro!$G222),"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",LEN(Registro!$G222))),({1,2,3,4,5,6,7,8,9,10,11,12,13,14,15,16,17,18,19,20,21,22,23,24,25,26,27,28,29,30}-1)*LEN(Registro!$G222)+1,LEN(Registro!$G222))),FIND("x",TRIM(MID(SUBSTITUTE(SUBSTITUTE(SUBSTITUTE(SUBSTITUTE(SUBSTITUTE(LOWER(Registro!$G222),"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",LEN(Registro!$G222))),({1,2,3,4,5,6,7,8,9,10,11,12,13,14,15,16,17,18,19,20,21,22,23,24,25,26,27,28,29,30}-1)*LEN(Registro!$G222)+1,LEN(Registro!$G222)))&amp;"x")-1)),--("0"&amp;MID(TRIM(MID(SUBSTITUTE(SUBSTITUTE(SUBSTITUTE(SUBSTITUTE(SUBSTITUTE(LOWER(Registro!$G222),"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",LEN(Registro!$G222))),({1,2,3,4,5,6,7,8,9,10,11,12,13,14,15,16,17,18,19,20,21,22,23,24,25,26,27,28,29,30}-1)*LEN(Registro!$G222)+1,LEN(Registro!$G222))),FIND("x",TRIM(MID(SUBSTITUTE(SUBSTITUTE(SUBSTITUTE(SUBSTITUTE(SUBSTITUTE(LOWER(Registro!$G222),"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",LEN(Registro!$G222))),({1,2,3,4,5,6,7,8,9,10,11,12,13,14,15,16,17,18,19,20,21,22,23,24,25,26,27,28,29,30}-1)*LEN(Registro!$G222)+1,LEN(Registro!$G222)))&amp;"x")+1,20))),"Revisar formato")))</f>
        <v/>
      </c>
      <c r="J222" s="9" t="str">
        <f>IF(AND(Registro!$E222="",Registro!$G222=""),"",IF(NOT(AND(ISNUMBER(I222),ISNUMBER(Registro!$H222))),"",IF(I222&lt;Registro!$H222,"FALTA BOLETOS",IF(I222=Registro!$H222,"CONFORME","DIFERENCIA"))))</f>
        <v/>
      </c>
      <c r="K222" s="11" t="str">
        <f>IF(Registro!$I222="","",IFERROR(SUMPRODUCT(--("0"&amp;TRIM(RIGHT(SUBSTITUTE(TRIM(MID(SUBSTITUTE(SUBSTITUTE(Registro!$I222,";",CHAR(10)),CHAR(10),REPT(" ",LEN(Registro!$I222))),({1,2,3,4,5,6,7,8,9,10,11,12,13,14,15,16,17,18,19,20,21,22,23,24,25,26,27,28,29,30}-1)*LEN(Registro!$I222)+1,LEN(Registro!$I222)))," ",REPT(" ",50)),50)))),"Revisar formato"))</f>
        <v/>
      </c>
      <c r="L222" s="11" t="str">
        <f>IF(Registro!$J222="","",IFERROR(SUMPRODUCT(--("0"&amp;TRIM(RIGHT(SUBSTITUTE(TRIM(MID(SUBSTITUTE(SUBSTITUTE(Registro!$J222,";",CHAR(10)),CHAR(10),REPT(" ",LEN(Registro!$J222))),({1,2,3,4,5,6,7,8,9,10,11,12,13,14,15,16,17,18,19,20,21,22,23,24,25,26,27,28,29,30}-1)*LEN(Registro!$J222)+1,LEN(Registro!$J222)))," ",REPT(" ",50)),50)))),"Revisar formato"))</f>
        <v/>
      </c>
      <c r="M222" s="11" t="str">
        <f>IF(AND(Registro!$H222="",Registro!$I222=""),"",IF(AND(ISTEXT(K222),K222&lt;&gt;""),"Revisar formato",N(Registro!$H222)-N(K222)))</f>
        <v/>
      </c>
      <c r="N222" s="11" t="str">
        <f t="shared" si="11"/>
        <v/>
      </c>
      <c r="O222" s="15" t="str">
        <f>IF(AND(A222=Consulta!$B$3,C222=Consulta!$H$3),B222*10000+ROW(),"")</f>
        <v/>
      </c>
    </row>
    <row r="223" spans="1:15" x14ac:dyDescent="0.25">
      <c r="A223" s="9" t="str">
        <f>IF(Registro!$A223="","",Registro!$A223)</f>
        <v/>
      </c>
      <c r="B223" s="8" t="str">
        <f>IF(Registro!$B223="","",Registro!$B223)</f>
        <v/>
      </c>
      <c r="C223" s="14" t="str">
        <f t="shared" si="9"/>
        <v/>
      </c>
      <c r="D223" s="10" t="str">
        <f>IF(Registro!$E223="","",IF(ISERROR(FIND("x",LOWER(Registro!$E223))),"-",IFERROR(SUMPRODUCT(--("0"&amp;LEFT(TRIM(MID(SUBSTITUTE(SUBSTITUTE(SUBSTITUTE(SUBSTITUTE(SUBSTITUTE(LOWER(Registro!$E223),"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",LEN(Registro!$E223))),({1,2,3,4,5,6,7,8,9,10,11,12,13,14,15,16,17,18,19,20,21,22,23,24,25,26,27,28,29,30}-1)*LEN(Registro!$E223)+1,LEN(Registro!$E223)))&amp;"x")-1))),"Revisar formato")))</f>
        <v/>
      </c>
      <c r="E223" s="11" t="str">
        <f>IF(Registro!$E223="","",IF(ISERROR(FIND("x",LOWER(Registro!$E223))),"-",IFERROR(SUMPRODUCT(--("0"&amp;LEFT(TRIM(MID(SUBSTITUTE(SUBSTITUTE(SUBSTITUTE(SUBSTITUTE(SUBSTITUTE(LOWER(Registro!$E223),"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",LEN(Registro!$E223))),({1,2,3,4,5,6,7,8,9,10,11,12,13,14,15,16,17,18,19,20,21,22,23,24,25,26,27,28,29,30}-1)*LEN(Registro!$E223)+1,LEN(Registro!$E223)))&amp;"x")-1)),--("0"&amp;MID(TRIM(MID(SUBSTITUTE(SUBSTITUTE(SUBSTITUTE(SUBSTITUTE(SUBSTITUTE(LOWER(Registro!$E223),"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",LEN(Registro!$E223))),({1,2,3,4,5,6,7,8,9,10,11,12,13,14,15,16,17,18,19,20,21,22,23,24,25,26,27,28,29,30}-1)*LEN(Registro!$E223)+1,LEN(Registro!$E223)))&amp;"x")+1,20))),"Revisar formato")))</f>
        <v/>
      </c>
      <c r="F223" s="11" t="str">
        <f>IF(Registro!$F223="","",N(Registro!$F223))</f>
        <v/>
      </c>
      <c r="G223" s="11" t="str">
        <f t="shared" si="10"/>
        <v/>
      </c>
      <c r="H223" s="10" t="str">
        <f>IF(Registro!$G223="","",IF(ISERROR(FIND("x",LOWER(Registro!$G223))),"-",IFERROR(SUMPRODUCT(--("0"&amp;LEFT(TRIM(MID(SUBSTITUTE(SUBSTITUTE(SUBSTITUTE(SUBSTITUTE(SUBSTITUTE(LOWER(Registro!$G223),"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",LEN(Registro!$G223))),({1,2,3,4,5,6,7,8,9,10,11,12,13,14,15,16,17,18,19,20,21,22,23,24,25,26,27,28,29,30}-1)*LEN(Registro!$G223)+1,LEN(Registro!$G223))),FIND("x",TRIM(MID(SUBSTITUTE(SUBSTITUTE(SUBSTITUTE(SUBSTITUTE(SUBSTITUTE(LOWER(Registro!$G223),"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",LEN(Registro!$G223))),({1,2,3,4,5,6,7,8,9,10,11,12,13,14,15,16,17,18,19,20,21,22,23,24,25,26,27,28,29,30}-1)*LEN(Registro!$G223)+1,LEN(Registro!$G223)))&amp;"x")-1))),"Revisar formato")))</f>
        <v/>
      </c>
      <c r="I223" s="11" t="str">
        <f>IF(Registro!$G223="","",IF(ISERROR(FIND("x",LOWER(Registro!$G223))),N(Registro!$H223),IFERROR(SUMPRODUCT(--("0"&amp;LEFT(TRIM(MID(SUBSTITUTE(SUBSTITUTE(SUBSTITUTE(SUBSTITUTE(SUBSTITUTE(LOWER(Registro!$G223),"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",LEN(Registro!$G223))),({1,2,3,4,5,6,7,8,9,10,11,12,13,14,15,16,17,18,19,20,21,22,23,24,25,26,27,28,29,30}-1)*LEN(Registro!$G223)+1,LEN(Registro!$G223))),FIND("x",TRIM(MID(SUBSTITUTE(SUBSTITUTE(SUBSTITUTE(SUBSTITUTE(SUBSTITUTE(LOWER(Registro!$G223),"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",LEN(Registro!$G223))),({1,2,3,4,5,6,7,8,9,10,11,12,13,14,15,16,17,18,19,20,21,22,23,24,25,26,27,28,29,30}-1)*LEN(Registro!$G223)+1,LEN(Registro!$G223)))&amp;"x")-1)),--("0"&amp;MID(TRIM(MID(SUBSTITUTE(SUBSTITUTE(SUBSTITUTE(SUBSTITUTE(SUBSTITUTE(LOWER(Registro!$G223),"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",LEN(Registro!$G223))),({1,2,3,4,5,6,7,8,9,10,11,12,13,14,15,16,17,18,19,20,21,22,23,24,25,26,27,28,29,30}-1)*LEN(Registro!$G223)+1,LEN(Registro!$G223))),FIND("x",TRIM(MID(SUBSTITUTE(SUBSTITUTE(SUBSTITUTE(SUBSTITUTE(SUBSTITUTE(LOWER(Registro!$G223),"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",LEN(Registro!$G223))),({1,2,3,4,5,6,7,8,9,10,11,12,13,14,15,16,17,18,19,20,21,22,23,24,25,26,27,28,29,30}-1)*LEN(Registro!$G223)+1,LEN(Registro!$G223)))&amp;"x")+1,20))),"Revisar formato")))</f>
        <v/>
      </c>
      <c r="J223" s="9" t="str">
        <f>IF(AND(Registro!$E223="",Registro!$G223=""),"",IF(NOT(AND(ISNUMBER(I223),ISNUMBER(Registro!$H223))),"",IF(I223&lt;Registro!$H223,"FALTA BOLETOS",IF(I223=Registro!$H223,"CONFORME","DIFERENCIA"))))</f>
        <v/>
      </c>
      <c r="K223" s="11" t="str">
        <f>IF(Registro!$I223="","",IFERROR(SUMPRODUCT(--("0"&amp;TRIM(RIGHT(SUBSTITUTE(TRIM(MID(SUBSTITUTE(SUBSTITUTE(Registro!$I223,";",CHAR(10)),CHAR(10),REPT(" ",LEN(Registro!$I223))),({1,2,3,4,5,6,7,8,9,10,11,12,13,14,15,16,17,18,19,20,21,22,23,24,25,26,27,28,29,30}-1)*LEN(Registro!$I223)+1,LEN(Registro!$I223)))," ",REPT(" ",50)),50)))),"Revisar formato"))</f>
        <v/>
      </c>
      <c r="L223" s="11" t="str">
        <f>IF(Registro!$J223="","",IFERROR(SUMPRODUCT(--("0"&amp;TRIM(RIGHT(SUBSTITUTE(TRIM(MID(SUBSTITUTE(SUBSTITUTE(Registro!$J223,";",CHAR(10)),CHAR(10),REPT(" ",LEN(Registro!$J223))),({1,2,3,4,5,6,7,8,9,10,11,12,13,14,15,16,17,18,19,20,21,22,23,24,25,26,27,28,29,30}-1)*LEN(Registro!$J223)+1,LEN(Registro!$J223)))," ",REPT(" ",50)),50)))),"Revisar formato"))</f>
        <v/>
      </c>
      <c r="M223" s="11" t="str">
        <f>IF(AND(Registro!$H223="",Registro!$I223=""),"",IF(AND(ISTEXT(K223),K223&lt;&gt;""),"Revisar formato",N(Registro!$H223)-N(K223)))</f>
        <v/>
      </c>
      <c r="N223" s="11" t="str">
        <f t="shared" si="11"/>
        <v/>
      </c>
      <c r="O223" s="15" t="str">
        <f>IF(AND(A223=Consulta!$B$3,C223=Consulta!$H$3),B223*10000+ROW(),"")</f>
        <v/>
      </c>
    </row>
    <row r="224" spans="1:15" x14ac:dyDescent="0.25">
      <c r="A224" s="9" t="str">
        <f>IF(Registro!$A224="","",Registro!$A224)</f>
        <v/>
      </c>
      <c r="B224" s="8" t="str">
        <f>IF(Registro!$B224="","",Registro!$B224)</f>
        <v/>
      </c>
      <c r="C224" s="14" t="str">
        <f t="shared" si="9"/>
        <v/>
      </c>
      <c r="D224" s="10" t="str">
        <f>IF(Registro!$E224="","",IF(ISERROR(FIND("x",LOWER(Registro!$E224))),"-",IFERROR(SUMPRODUCT(--("0"&amp;LEFT(TRIM(MID(SUBSTITUTE(SUBSTITUTE(SUBSTITUTE(SUBSTITUTE(SUBSTITUTE(LOWER(Registro!$E224),"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",LEN(Registro!$E224))),({1,2,3,4,5,6,7,8,9,10,11,12,13,14,15,16,17,18,19,20,21,22,23,24,25,26,27,28,29,30}-1)*LEN(Registro!$E224)+1,LEN(Registro!$E224)))&amp;"x")-1))),"Revisar formato")))</f>
        <v/>
      </c>
      <c r="E224" s="11" t="str">
        <f>IF(Registro!$E224="","",IF(ISERROR(FIND("x",LOWER(Registro!$E224))),"-",IFERROR(SUMPRODUCT(--("0"&amp;LEFT(TRIM(MID(SUBSTITUTE(SUBSTITUTE(SUBSTITUTE(SUBSTITUTE(SUBSTITUTE(LOWER(Registro!$E224),"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",LEN(Registro!$E224))),({1,2,3,4,5,6,7,8,9,10,11,12,13,14,15,16,17,18,19,20,21,22,23,24,25,26,27,28,29,30}-1)*LEN(Registro!$E224)+1,LEN(Registro!$E224)))&amp;"x")-1)),--("0"&amp;MID(TRIM(MID(SUBSTITUTE(SUBSTITUTE(SUBSTITUTE(SUBSTITUTE(SUBSTITUTE(LOWER(Registro!$E224),"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",LEN(Registro!$E224))),({1,2,3,4,5,6,7,8,9,10,11,12,13,14,15,16,17,18,19,20,21,22,23,24,25,26,27,28,29,30}-1)*LEN(Registro!$E224)+1,LEN(Registro!$E224)))&amp;"x")+1,20))),"Revisar formato")))</f>
        <v/>
      </c>
      <c r="F224" s="11" t="str">
        <f>IF(Registro!$F224="","",N(Registro!$F224))</f>
        <v/>
      </c>
      <c r="G224" s="11" t="str">
        <f t="shared" si="10"/>
        <v/>
      </c>
      <c r="H224" s="10" t="str">
        <f>IF(Registro!$G224="","",IF(ISERROR(FIND("x",LOWER(Registro!$G224))),"-",IFERROR(SUMPRODUCT(--("0"&amp;LEFT(TRIM(MID(SUBSTITUTE(SUBSTITUTE(SUBSTITUTE(SUBSTITUTE(SUBSTITUTE(LOWER(Registro!$G224),"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",LEN(Registro!$G224))),({1,2,3,4,5,6,7,8,9,10,11,12,13,14,15,16,17,18,19,20,21,22,23,24,25,26,27,28,29,30}-1)*LEN(Registro!$G224)+1,LEN(Registro!$G224))),FIND("x",TRIM(MID(SUBSTITUTE(SUBSTITUTE(SUBSTITUTE(SUBSTITUTE(SUBSTITUTE(LOWER(Registro!$G224),"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",LEN(Registro!$G224))),({1,2,3,4,5,6,7,8,9,10,11,12,13,14,15,16,17,18,19,20,21,22,23,24,25,26,27,28,29,30}-1)*LEN(Registro!$G224)+1,LEN(Registro!$G224)))&amp;"x")-1))),"Revisar formato")))</f>
        <v/>
      </c>
      <c r="I224" s="11" t="str">
        <f>IF(Registro!$G224="","",IF(ISERROR(FIND("x",LOWER(Registro!$G224))),N(Registro!$H224),IFERROR(SUMPRODUCT(--("0"&amp;LEFT(TRIM(MID(SUBSTITUTE(SUBSTITUTE(SUBSTITUTE(SUBSTITUTE(SUBSTITUTE(LOWER(Registro!$G224),"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",LEN(Registro!$G224))),({1,2,3,4,5,6,7,8,9,10,11,12,13,14,15,16,17,18,19,20,21,22,23,24,25,26,27,28,29,30}-1)*LEN(Registro!$G224)+1,LEN(Registro!$G224))),FIND("x",TRIM(MID(SUBSTITUTE(SUBSTITUTE(SUBSTITUTE(SUBSTITUTE(SUBSTITUTE(LOWER(Registro!$G224),"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",LEN(Registro!$G224))),({1,2,3,4,5,6,7,8,9,10,11,12,13,14,15,16,17,18,19,20,21,22,23,24,25,26,27,28,29,30}-1)*LEN(Registro!$G224)+1,LEN(Registro!$G224)))&amp;"x")-1)),--("0"&amp;MID(TRIM(MID(SUBSTITUTE(SUBSTITUTE(SUBSTITUTE(SUBSTITUTE(SUBSTITUTE(LOWER(Registro!$G224),"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",LEN(Registro!$G224))),({1,2,3,4,5,6,7,8,9,10,11,12,13,14,15,16,17,18,19,20,21,22,23,24,25,26,27,28,29,30}-1)*LEN(Registro!$G224)+1,LEN(Registro!$G224))),FIND("x",TRIM(MID(SUBSTITUTE(SUBSTITUTE(SUBSTITUTE(SUBSTITUTE(SUBSTITUTE(LOWER(Registro!$G224),"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",LEN(Registro!$G224))),({1,2,3,4,5,6,7,8,9,10,11,12,13,14,15,16,17,18,19,20,21,22,23,24,25,26,27,28,29,30}-1)*LEN(Registro!$G224)+1,LEN(Registro!$G224)))&amp;"x")+1,20))),"Revisar formato")))</f>
        <v/>
      </c>
      <c r="J224" s="9" t="str">
        <f>IF(AND(Registro!$E224="",Registro!$G224=""),"",IF(NOT(AND(ISNUMBER(I224),ISNUMBER(Registro!$H224))),"",IF(I224&lt;Registro!$H224,"FALTA BOLETOS",IF(I224=Registro!$H224,"CONFORME","DIFERENCIA"))))</f>
        <v/>
      </c>
      <c r="K224" s="11" t="str">
        <f>IF(Registro!$I224="","",IFERROR(SUMPRODUCT(--("0"&amp;TRIM(RIGHT(SUBSTITUTE(TRIM(MID(SUBSTITUTE(SUBSTITUTE(Registro!$I224,";",CHAR(10)),CHAR(10),REPT(" ",LEN(Registro!$I224))),({1,2,3,4,5,6,7,8,9,10,11,12,13,14,15,16,17,18,19,20,21,22,23,24,25,26,27,28,29,30}-1)*LEN(Registro!$I224)+1,LEN(Registro!$I224)))," ",REPT(" ",50)),50)))),"Revisar formato"))</f>
        <v/>
      </c>
      <c r="L224" s="11" t="str">
        <f>IF(Registro!$J224="","",IFERROR(SUMPRODUCT(--("0"&amp;TRIM(RIGHT(SUBSTITUTE(TRIM(MID(SUBSTITUTE(SUBSTITUTE(Registro!$J224,";",CHAR(10)),CHAR(10),REPT(" ",LEN(Registro!$J224))),({1,2,3,4,5,6,7,8,9,10,11,12,13,14,15,16,17,18,19,20,21,22,23,24,25,26,27,28,29,30}-1)*LEN(Registro!$J224)+1,LEN(Registro!$J224)))," ",REPT(" ",50)),50)))),"Revisar formato"))</f>
        <v/>
      </c>
      <c r="M224" s="11" t="str">
        <f>IF(AND(Registro!$H224="",Registro!$I224=""),"",IF(AND(ISTEXT(K224),K224&lt;&gt;""),"Revisar formato",N(Registro!$H224)-N(K224)))</f>
        <v/>
      </c>
      <c r="N224" s="11" t="str">
        <f t="shared" si="11"/>
        <v/>
      </c>
      <c r="O224" s="15" t="str">
        <f>IF(AND(A224=Consulta!$B$3,C224=Consulta!$H$3),B224*10000+ROW(),"")</f>
        <v/>
      </c>
    </row>
    <row r="225" spans="1:15" x14ac:dyDescent="0.25">
      <c r="A225" s="9" t="str">
        <f>IF(Registro!$A225="","",Registro!$A225)</f>
        <v/>
      </c>
      <c r="B225" s="8" t="str">
        <f>IF(Registro!$B225="","",Registro!$B225)</f>
        <v/>
      </c>
      <c r="C225" s="14" t="str">
        <f t="shared" si="9"/>
        <v/>
      </c>
      <c r="D225" s="10" t="str">
        <f>IF(Registro!$E225="","",IF(ISERROR(FIND("x",LOWER(Registro!$E225))),"-",IFERROR(SUMPRODUCT(--("0"&amp;LEFT(TRIM(MID(SUBSTITUTE(SUBSTITUTE(SUBSTITUTE(SUBSTITUTE(SUBSTITUTE(LOWER(Registro!$E225),"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",LEN(Registro!$E225))),({1,2,3,4,5,6,7,8,9,10,11,12,13,14,15,16,17,18,19,20,21,22,23,24,25,26,27,28,29,30}-1)*LEN(Registro!$E225)+1,LEN(Registro!$E225)))&amp;"x")-1))),"Revisar formato")))</f>
        <v/>
      </c>
      <c r="E225" s="11" t="str">
        <f>IF(Registro!$E225="","",IF(ISERROR(FIND("x",LOWER(Registro!$E225))),"-",IFERROR(SUMPRODUCT(--("0"&amp;LEFT(TRIM(MID(SUBSTITUTE(SUBSTITUTE(SUBSTITUTE(SUBSTITUTE(SUBSTITUTE(LOWER(Registro!$E225),"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",LEN(Registro!$E225))),({1,2,3,4,5,6,7,8,9,10,11,12,13,14,15,16,17,18,19,20,21,22,23,24,25,26,27,28,29,30}-1)*LEN(Registro!$E225)+1,LEN(Registro!$E225)))&amp;"x")-1)),--("0"&amp;MID(TRIM(MID(SUBSTITUTE(SUBSTITUTE(SUBSTITUTE(SUBSTITUTE(SUBSTITUTE(LOWER(Registro!$E225),"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",LEN(Registro!$E225))),({1,2,3,4,5,6,7,8,9,10,11,12,13,14,15,16,17,18,19,20,21,22,23,24,25,26,27,28,29,30}-1)*LEN(Registro!$E225)+1,LEN(Registro!$E225)))&amp;"x")+1,20))),"Revisar formato")))</f>
        <v/>
      </c>
      <c r="F225" s="11" t="str">
        <f>IF(Registro!$F225="","",N(Registro!$F225))</f>
        <v/>
      </c>
      <c r="G225" s="11" t="str">
        <f t="shared" si="10"/>
        <v/>
      </c>
      <c r="H225" s="10" t="str">
        <f>IF(Registro!$G225="","",IF(ISERROR(FIND("x",LOWER(Registro!$G225))),"-",IFERROR(SUMPRODUCT(--("0"&amp;LEFT(TRIM(MID(SUBSTITUTE(SUBSTITUTE(SUBSTITUTE(SUBSTITUTE(SUBSTITUTE(LOWER(Registro!$G225),"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",LEN(Registro!$G225))),({1,2,3,4,5,6,7,8,9,10,11,12,13,14,15,16,17,18,19,20,21,22,23,24,25,26,27,28,29,30}-1)*LEN(Registro!$G225)+1,LEN(Registro!$G225))),FIND("x",TRIM(MID(SUBSTITUTE(SUBSTITUTE(SUBSTITUTE(SUBSTITUTE(SUBSTITUTE(LOWER(Registro!$G225),"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",LEN(Registro!$G225))),({1,2,3,4,5,6,7,8,9,10,11,12,13,14,15,16,17,18,19,20,21,22,23,24,25,26,27,28,29,30}-1)*LEN(Registro!$G225)+1,LEN(Registro!$G225)))&amp;"x")-1))),"Revisar formato")))</f>
        <v/>
      </c>
      <c r="I225" s="11" t="str">
        <f>IF(Registro!$G225="","",IF(ISERROR(FIND("x",LOWER(Registro!$G225))),N(Registro!$H225),IFERROR(SUMPRODUCT(--("0"&amp;LEFT(TRIM(MID(SUBSTITUTE(SUBSTITUTE(SUBSTITUTE(SUBSTITUTE(SUBSTITUTE(LOWER(Registro!$G225),"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",LEN(Registro!$G225))),({1,2,3,4,5,6,7,8,9,10,11,12,13,14,15,16,17,18,19,20,21,22,23,24,25,26,27,28,29,30}-1)*LEN(Registro!$G225)+1,LEN(Registro!$G225))),FIND("x",TRIM(MID(SUBSTITUTE(SUBSTITUTE(SUBSTITUTE(SUBSTITUTE(SUBSTITUTE(LOWER(Registro!$G225),"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",LEN(Registro!$G225))),({1,2,3,4,5,6,7,8,9,10,11,12,13,14,15,16,17,18,19,20,21,22,23,24,25,26,27,28,29,30}-1)*LEN(Registro!$G225)+1,LEN(Registro!$G225)))&amp;"x")-1)),--("0"&amp;MID(TRIM(MID(SUBSTITUTE(SUBSTITUTE(SUBSTITUTE(SUBSTITUTE(SUBSTITUTE(LOWER(Registro!$G225),"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",LEN(Registro!$G225))),({1,2,3,4,5,6,7,8,9,10,11,12,13,14,15,16,17,18,19,20,21,22,23,24,25,26,27,28,29,30}-1)*LEN(Registro!$G225)+1,LEN(Registro!$G225))),FIND("x",TRIM(MID(SUBSTITUTE(SUBSTITUTE(SUBSTITUTE(SUBSTITUTE(SUBSTITUTE(LOWER(Registro!$G225),"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",LEN(Registro!$G225))),({1,2,3,4,5,6,7,8,9,10,11,12,13,14,15,16,17,18,19,20,21,22,23,24,25,26,27,28,29,30}-1)*LEN(Registro!$G225)+1,LEN(Registro!$G225)))&amp;"x")+1,20))),"Revisar formato")))</f>
        <v/>
      </c>
      <c r="J225" s="9" t="str">
        <f>IF(AND(Registro!$E225="",Registro!$G225=""),"",IF(NOT(AND(ISNUMBER(I225),ISNUMBER(Registro!$H225))),"",IF(I225&lt;Registro!$H225,"FALTA BOLETOS",IF(I225=Registro!$H225,"CONFORME","DIFERENCIA"))))</f>
        <v/>
      </c>
      <c r="K225" s="11" t="str">
        <f>IF(Registro!$I225="","",IFERROR(SUMPRODUCT(--("0"&amp;TRIM(RIGHT(SUBSTITUTE(TRIM(MID(SUBSTITUTE(SUBSTITUTE(Registro!$I225,";",CHAR(10)),CHAR(10),REPT(" ",LEN(Registro!$I225))),({1,2,3,4,5,6,7,8,9,10,11,12,13,14,15,16,17,18,19,20,21,22,23,24,25,26,27,28,29,30}-1)*LEN(Registro!$I225)+1,LEN(Registro!$I225)))," ",REPT(" ",50)),50)))),"Revisar formato"))</f>
        <v/>
      </c>
      <c r="L225" s="11" t="str">
        <f>IF(Registro!$J225="","",IFERROR(SUMPRODUCT(--("0"&amp;TRIM(RIGHT(SUBSTITUTE(TRIM(MID(SUBSTITUTE(SUBSTITUTE(Registro!$J225,";",CHAR(10)),CHAR(10),REPT(" ",LEN(Registro!$J225))),({1,2,3,4,5,6,7,8,9,10,11,12,13,14,15,16,17,18,19,20,21,22,23,24,25,26,27,28,29,30}-1)*LEN(Registro!$J225)+1,LEN(Registro!$J225)))," ",REPT(" ",50)),50)))),"Revisar formato"))</f>
        <v/>
      </c>
      <c r="M225" s="11" t="str">
        <f>IF(AND(Registro!$H225="",Registro!$I225=""),"",IF(AND(ISTEXT(K225),K225&lt;&gt;""),"Revisar formato",N(Registro!$H225)-N(K225)))</f>
        <v/>
      </c>
      <c r="N225" s="11" t="str">
        <f t="shared" si="11"/>
        <v/>
      </c>
      <c r="O225" s="15" t="str">
        <f>IF(AND(A225=Consulta!$B$3,C225=Consulta!$H$3),B225*10000+ROW(),"")</f>
        <v/>
      </c>
    </row>
    <row r="226" spans="1:15" x14ac:dyDescent="0.25">
      <c r="A226" s="9" t="str">
        <f>IF(Registro!$A226="","",Registro!$A226)</f>
        <v/>
      </c>
      <c r="B226" s="8" t="str">
        <f>IF(Registro!$B226="","",Registro!$B226)</f>
        <v/>
      </c>
      <c r="C226" s="14" t="str">
        <f t="shared" si="9"/>
        <v/>
      </c>
      <c r="D226" s="10" t="str">
        <f>IF(Registro!$E226="","",IF(ISERROR(FIND("x",LOWER(Registro!$E226))),"-",IFERROR(SUMPRODUCT(--("0"&amp;LEFT(TRIM(MID(SUBSTITUTE(SUBSTITUTE(SUBSTITUTE(SUBSTITUTE(SUBSTITUTE(LOWER(Registro!$E226),"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",LEN(Registro!$E226))),({1,2,3,4,5,6,7,8,9,10,11,12,13,14,15,16,17,18,19,20,21,22,23,24,25,26,27,28,29,30}-1)*LEN(Registro!$E226)+1,LEN(Registro!$E226)))&amp;"x")-1))),"Revisar formato")))</f>
        <v/>
      </c>
      <c r="E226" s="11" t="str">
        <f>IF(Registro!$E226="","",IF(ISERROR(FIND("x",LOWER(Registro!$E226))),"-",IFERROR(SUMPRODUCT(--("0"&amp;LEFT(TRIM(MID(SUBSTITUTE(SUBSTITUTE(SUBSTITUTE(SUBSTITUTE(SUBSTITUTE(LOWER(Registro!$E226),"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",LEN(Registro!$E226))),({1,2,3,4,5,6,7,8,9,10,11,12,13,14,15,16,17,18,19,20,21,22,23,24,25,26,27,28,29,30}-1)*LEN(Registro!$E226)+1,LEN(Registro!$E226)))&amp;"x")-1)),--("0"&amp;MID(TRIM(MID(SUBSTITUTE(SUBSTITUTE(SUBSTITUTE(SUBSTITUTE(SUBSTITUTE(LOWER(Registro!$E226),"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",LEN(Registro!$E226))),({1,2,3,4,5,6,7,8,9,10,11,12,13,14,15,16,17,18,19,20,21,22,23,24,25,26,27,28,29,30}-1)*LEN(Registro!$E226)+1,LEN(Registro!$E226)))&amp;"x")+1,20))),"Revisar formato")))</f>
        <v/>
      </c>
      <c r="F226" s="11" t="str">
        <f>IF(Registro!$F226="","",N(Registro!$F226))</f>
        <v/>
      </c>
      <c r="G226" s="11" t="str">
        <f t="shared" si="10"/>
        <v/>
      </c>
      <c r="H226" s="10" t="str">
        <f>IF(Registro!$G226="","",IF(ISERROR(FIND("x",LOWER(Registro!$G226))),"-",IFERROR(SUMPRODUCT(--("0"&amp;LEFT(TRIM(MID(SUBSTITUTE(SUBSTITUTE(SUBSTITUTE(SUBSTITUTE(SUBSTITUTE(LOWER(Registro!$G226),"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",LEN(Registro!$G226))),({1,2,3,4,5,6,7,8,9,10,11,12,13,14,15,16,17,18,19,20,21,22,23,24,25,26,27,28,29,30}-1)*LEN(Registro!$G226)+1,LEN(Registro!$G226))),FIND("x",TRIM(MID(SUBSTITUTE(SUBSTITUTE(SUBSTITUTE(SUBSTITUTE(SUBSTITUTE(LOWER(Registro!$G226),"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",LEN(Registro!$G226))),({1,2,3,4,5,6,7,8,9,10,11,12,13,14,15,16,17,18,19,20,21,22,23,24,25,26,27,28,29,30}-1)*LEN(Registro!$G226)+1,LEN(Registro!$G226)))&amp;"x")-1))),"Revisar formato")))</f>
        <v/>
      </c>
      <c r="I226" s="11" t="str">
        <f>IF(Registro!$G226="","",IF(ISERROR(FIND("x",LOWER(Registro!$G226))),N(Registro!$H226),IFERROR(SUMPRODUCT(--("0"&amp;LEFT(TRIM(MID(SUBSTITUTE(SUBSTITUTE(SUBSTITUTE(SUBSTITUTE(SUBSTITUTE(LOWER(Registro!$G226),"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",LEN(Registro!$G226))),({1,2,3,4,5,6,7,8,9,10,11,12,13,14,15,16,17,18,19,20,21,22,23,24,25,26,27,28,29,30}-1)*LEN(Registro!$G226)+1,LEN(Registro!$G226))),FIND("x",TRIM(MID(SUBSTITUTE(SUBSTITUTE(SUBSTITUTE(SUBSTITUTE(SUBSTITUTE(LOWER(Registro!$G226),"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",LEN(Registro!$G226))),({1,2,3,4,5,6,7,8,9,10,11,12,13,14,15,16,17,18,19,20,21,22,23,24,25,26,27,28,29,30}-1)*LEN(Registro!$G226)+1,LEN(Registro!$G226)))&amp;"x")-1)),--("0"&amp;MID(TRIM(MID(SUBSTITUTE(SUBSTITUTE(SUBSTITUTE(SUBSTITUTE(SUBSTITUTE(LOWER(Registro!$G226),"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",LEN(Registro!$G226))),({1,2,3,4,5,6,7,8,9,10,11,12,13,14,15,16,17,18,19,20,21,22,23,24,25,26,27,28,29,30}-1)*LEN(Registro!$G226)+1,LEN(Registro!$G226))),FIND("x",TRIM(MID(SUBSTITUTE(SUBSTITUTE(SUBSTITUTE(SUBSTITUTE(SUBSTITUTE(LOWER(Registro!$G226),"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",LEN(Registro!$G226))),({1,2,3,4,5,6,7,8,9,10,11,12,13,14,15,16,17,18,19,20,21,22,23,24,25,26,27,28,29,30}-1)*LEN(Registro!$G226)+1,LEN(Registro!$G226)))&amp;"x")+1,20))),"Revisar formato")))</f>
        <v/>
      </c>
      <c r="J226" s="9" t="str">
        <f>IF(AND(Registro!$E226="",Registro!$G226=""),"",IF(NOT(AND(ISNUMBER(I226),ISNUMBER(Registro!$H226))),"",IF(I226&lt;Registro!$H226,"FALTA BOLETOS",IF(I226=Registro!$H226,"CONFORME","DIFERENCIA"))))</f>
        <v/>
      </c>
      <c r="K226" s="11" t="str">
        <f>IF(Registro!$I226="","",IFERROR(SUMPRODUCT(--("0"&amp;TRIM(RIGHT(SUBSTITUTE(TRIM(MID(SUBSTITUTE(SUBSTITUTE(Registro!$I226,";",CHAR(10)),CHAR(10),REPT(" ",LEN(Registro!$I226))),({1,2,3,4,5,6,7,8,9,10,11,12,13,14,15,16,17,18,19,20,21,22,23,24,25,26,27,28,29,30}-1)*LEN(Registro!$I226)+1,LEN(Registro!$I226)))," ",REPT(" ",50)),50)))),"Revisar formato"))</f>
        <v/>
      </c>
      <c r="L226" s="11" t="str">
        <f>IF(Registro!$J226="","",IFERROR(SUMPRODUCT(--("0"&amp;TRIM(RIGHT(SUBSTITUTE(TRIM(MID(SUBSTITUTE(SUBSTITUTE(Registro!$J226,";",CHAR(10)),CHAR(10),REPT(" ",LEN(Registro!$J226))),({1,2,3,4,5,6,7,8,9,10,11,12,13,14,15,16,17,18,19,20,21,22,23,24,25,26,27,28,29,30}-1)*LEN(Registro!$J226)+1,LEN(Registro!$J226)))," ",REPT(" ",50)),50)))),"Revisar formato"))</f>
        <v/>
      </c>
      <c r="M226" s="11" t="str">
        <f>IF(AND(Registro!$H226="",Registro!$I226=""),"",IF(AND(ISTEXT(K226),K226&lt;&gt;""),"Revisar formato",N(Registro!$H226)-N(K226)))</f>
        <v/>
      </c>
      <c r="N226" s="11" t="str">
        <f t="shared" si="11"/>
        <v/>
      </c>
      <c r="O226" s="15" t="str">
        <f>IF(AND(A226=Consulta!$B$3,C226=Consulta!$H$3),B226*10000+ROW(),"")</f>
        <v/>
      </c>
    </row>
    <row r="227" spans="1:15" x14ac:dyDescent="0.25">
      <c r="A227" s="9" t="str">
        <f>IF(Registro!$A227="","",Registro!$A227)</f>
        <v/>
      </c>
      <c r="B227" s="8" t="str">
        <f>IF(Registro!$B227="","",Registro!$B227)</f>
        <v/>
      </c>
      <c r="C227" s="14" t="str">
        <f t="shared" si="9"/>
        <v/>
      </c>
      <c r="D227" s="10" t="str">
        <f>IF(Registro!$E227="","",IF(ISERROR(FIND("x",LOWER(Registro!$E227))),"-",IFERROR(SUMPRODUCT(--("0"&amp;LEFT(TRIM(MID(SUBSTITUTE(SUBSTITUTE(SUBSTITUTE(SUBSTITUTE(SUBSTITUTE(LOWER(Registro!$E227),"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",LEN(Registro!$E227))),({1,2,3,4,5,6,7,8,9,10,11,12,13,14,15,16,17,18,19,20,21,22,23,24,25,26,27,28,29,30}-1)*LEN(Registro!$E227)+1,LEN(Registro!$E227)))&amp;"x")-1))),"Revisar formato")))</f>
        <v/>
      </c>
      <c r="E227" s="11" t="str">
        <f>IF(Registro!$E227="","",IF(ISERROR(FIND("x",LOWER(Registro!$E227))),"-",IFERROR(SUMPRODUCT(--("0"&amp;LEFT(TRIM(MID(SUBSTITUTE(SUBSTITUTE(SUBSTITUTE(SUBSTITUTE(SUBSTITUTE(LOWER(Registro!$E227),"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",LEN(Registro!$E227))),({1,2,3,4,5,6,7,8,9,10,11,12,13,14,15,16,17,18,19,20,21,22,23,24,25,26,27,28,29,30}-1)*LEN(Registro!$E227)+1,LEN(Registro!$E227)))&amp;"x")-1)),--("0"&amp;MID(TRIM(MID(SUBSTITUTE(SUBSTITUTE(SUBSTITUTE(SUBSTITUTE(SUBSTITUTE(LOWER(Registro!$E227),"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",LEN(Registro!$E227))),({1,2,3,4,5,6,7,8,9,10,11,12,13,14,15,16,17,18,19,20,21,22,23,24,25,26,27,28,29,30}-1)*LEN(Registro!$E227)+1,LEN(Registro!$E227)))&amp;"x")+1,20))),"Revisar formato")))</f>
        <v/>
      </c>
      <c r="F227" s="11" t="str">
        <f>IF(Registro!$F227="","",N(Registro!$F227))</f>
        <v/>
      </c>
      <c r="G227" s="11" t="str">
        <f t="shared" si="10"/>
        <v/>
      </c>
      <c r="H227" s="10" t="str">
        <f>IF(Registro!$G227="","",IF(ISERROR(FIND("x",LOWER(Registro!$G227))),"-",IFERROR(SUMPRODUCT(--("0"&amp;LEFT(TRIM(MID(SUBSTITUTE(SUBSTITUTE(SUBSTITUTE(SUBSTITUTE(SUBSTITUTE(LOWER(Registro!$G227),"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",LEN(Registro!$G227))),({1,2,3,4,5,6,7,8,9,10,11,12,13,14,15,16,17,18,19,20,21,22,23,24,25,26,27,28,29,30}-1)*LEN(Registro!$G227)+1,LEN(Registro!$G227))),FIND("x",TRIM(MID(SUBSTITUTE(SUBSTITUTE(SUBSTITUTE(SUBSTITUTE(SUBSTITUTE(LOWER(Registro!$G227),"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",LEN(Registro!$G227))),({1,2,3,4,5,6,7,8,9,10,11,12,13,14,15,16,17,18,19,20,21,22,23,24,25,26,27,28,29,30}-1)*LEN(Registro!$G227)+1,LEN(Registro!$G227)))&amp;"x")-1))),"Revisar formato")))</f>
        <v/>
      </c>
      <c r="I227" s="11" t="str">
        <f>IF(Registro!$G227="","",IF(ISERROR(FIND("x",LOWER(Registro!$G227))),N(Registro!$H227),IFERROR(SUMPRODUCT(--("0"&amp;LEFT(TRIM(MID(SUBSTITUTE(SUBSTITUTE(SUBSTITUTE(SUBSTITUTE(SUBSTITUTE(LOWER(Registro!$G227),"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",LEN(Registro!$G227))),({1,2,3,4,5,6,7,8,9,10,11,12,13,14,15,16,17,18,19,20,21,22,23,24,25,26,27,28,29,30}-1)*LEN(Registro!$G227)+1,LEN(Registro!$G227))),FIND("x",TRIM(MID(SUBSTITUTE(SUBSTITUTE(SUBSTITUTE(SUBSTITUTE(SUBSTITUTE(LOWER(Registro!$G227),"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",LEN(Registro!$G227))),({1,2,3,4,5,6,7,8,9,10,11,12,13,14,15,16,17,18,19,20,21,22,23,24,25,26,27,28,29,30}-1)*LEN(Registro!$G227)+1,LEN(Registro!$G227)))&amp;"x")-1)),--("0"&amp;MID(TRIM(MID(SUBSTITUTE(SUBSTITUTE(SUBSTITUTE(SUBSTITUTE(SUBSTITUTE(LOWER(Registro!$G227),"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",LEN(Registro!$G227))),({1,2,3,4,5,6,7,8,9,10,11,12,13,14,15,16,17,18,19,20,21,22,23,24,25,26,27,28,29,30}-1)*LEN(Registro!$G227)+1,LEN(Registro!$G227))),FIND("x",TRIM(MID(SUBSTITUTE(SUBSTITUTE(SUBSTITUTE(SUBSTITUTE(SUBSTITUTE(LOWER(Registro!$G227),"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",LEN(Registro!$G227))),({1,2,3,4,5,6,7,8,9,10,11,12,13,14,15,16,17,18,19,20,21,22,23,24,25,26,27,28,29,30}-1)*LEN(Registro!$G227)+1,LEN(Registro!$G227)))&amp;"x")+1,20))),"Revisar formato")))</f>
        <v/>
      </c>
      <c r="J227" s="9" t="str">
        <f>IF(AND(Registro!$E227="",Registro!$G227=""),"",IF(NOT(AND(ISNUMBER(I227),ISNUMBER(Registro!$H227))),"",IF(I227&lt;Registro!$H227,"FALTA BOLETOS",IF(I227=Registro!$H227,"CONFORME","DIFERENCIA"))))</f>
        <v/>
      </c>
      <c r="K227" s="11" t="str">
        <f>IF(Registro!$I227="","",IFERROR(SUMPRODUCT(--("0"&amp;TRIM(RIGHT(SUBSTITUTE(TRIM(MID(SUBSTITUTE(SUBSTITUTE(Registro!$I227,";",CHAR(10)),CHAR(10),REPT(" ",LEN(Registro!$I227))),({1,2,3,4,5,6,7,8,9,10,11,12,13,14,15,16,17,18,19,20,21,22,23,24,25,26,27,28,29,30}-1)*LEN(Registro!$I227)+1,LEN(Registro!$I227)))," ",REPT(" ",50)),50)))),"Revisar formato"))</f>
        <v/>
      </c>
      <c r="L227" s="11" t="str">
        <f>IF(Registro!$J227="","",IFERROR(SUMPRODUCT(--("0"&amp;TRIM(RIGHT(SUBSTITUTE(TRIM(MID(SUBSTITUTE(SUBSTITUTE(Registro!$J227,";",CHAR(10)),CHAR(10),REPT(" ",LEN(Registro!$J227))),({1,2,3,4,5,6,7,8,9,10,11,12,13,14,15,16,17,18,19,20,21,22,23,24,25,26,27,28,29,30}-1)*LEN(Registro!$J227)+1,LEN(Registro!$J227)))," ",REPT(" ",50)),50)))),"Revisar formato"))</f>
        <v/>
      </c>
      <c r="M227" s="11" t="str">
        <f>IF(AND(Registro!$H227="",Registro!$I227=""),"",IF(AND(ISTEXT(K227),K227&lt;&gt;""),"Revisar formato",N(Registro!$H227)-N(K227)))</f>
        <v/>
      </c>
      <c r="N227" s="11" t="str">
        <f t="shared" si="11"/>
        <v/>
      </c>
      <c r="O227" s="15" t="str">
        <f>IF(AND(A227=Consulta!$B$3,C227=Consulta!$H$3),B227*10000+ROW(),"")</f>
        <v/>
      </c>
    </row>
    <row r="228" spans="1:15" x14ac:dyDescent="0.25">
      <c r="A228" s="9" t="str">
        <f>IF(Registro!$A228="","",Registro!$A228)</f>
        <v/>
      </c>
      <c r="B228" s="8" t="str">
        <f>IF(Registro!$B228="","",Registro!$B228)</f>
        <v/>
      </c>
      <c r="C228" s="14" t="str">
        <f t="shared" si="9"/>
        <v/>
      </c>
      <c r="D228" s="10" t="str">
        <f>IF(Registro!$E228="","",IF(ISERROR(FIND("x",LOWER(Registro!$E228))),"-",IFERROR(SUMPRODUCT(--("0"&amp;LEFT(TRIM(MID(SUBSTITUTE(SUBSTITUTE(SUBSTITUTE(SUBSTITUTE(SUBSTITUTE(LOWER(Registro!$E228),"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",LEN(Registro!$E228))),({1,2,3,4,5,6,7,8,9,10,11,12,13,14,15,16,17,18,19,20,21,22,23,24,25,26,27,28,29,30}-1)*LEN(Registro!$E228)+1,LEN(Registro!$E228)))&amp;"x")-1))),"Revisar formato")))</f>
        <v/>
      </c>
      <c r="E228" s="11" t="str">
        <f>IF(Registro!$E228="","",IF(ISERROR(FIND("x",LOWER(Registro!$E228))),"-",IFERROR(SUMPRODUCT(--("0"&amp;LEFT(TRIM(MID(SUBSTITUTE(SUBSTITUTE(SUBSTITUTE(SUBSTITUTE(SUBSTITUTE(LOWER(Registro!$E228),"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",LEN(Registro!$E228))),({1,2,3,4,5,6,7,8,9,10,11,12,13,14,15,16,17,18,19,20,21,22,23,24,25,26,27,28,29,30}-1)*LEN(Registro!$E228)+1,LEN(Registro!$E228)))&amp;"x")-1)),--("0"&amp;MID(TRIM(MID(SUBSTITUTE(SUBSTITUTE(SUBSTITUTE(SUBSTITUTE(SUBSTITUTE(LOWER(Registro!$E228),"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",LEN(Registro!$E228))),({1,2,3,4,5,6,7,8,9,10,11,12,13,14,15,16,17,18,19,20,21,22,23,24,25,26,27,28,29,30}-1)*LEN(Registro!$E228)+1,LEN(Registro!$E228)))&amp;"x")+1,20))),"Revisar formato")))</f>
        <v/>
      </c>
      <c r="F228" s="11" t="str">
        <f>IF(Registro!$F228="","",N(Registro!$F228))</f>
        <v/>
      </c>
      <c r="G228" s="11" t="str">
        <f t="shared" si="10"/>
        <v/>
      </c>
      <c r="H228" s="10" t="str">
        <f>IF(Registro!$G228="","",IF(ISERROR(FIND("x",LOWER(Registro!$G228))),"-",IFERROR(SUMPRODUCT(--("0"&amp;LEFT(TRIM(MID(SUBSTITUTE(SUBSTITUTE(SUBSTITUTE(SUBSTITUTE(SUBSTITUTE(LOWER(Registro!$G228),"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",LEN(Registro!$G228))),({1,2,3,4,5,6,7,8,9,10,11,12,13,14,15,16,17,18,19,20,21,22,23,24,25,26,27,28,29,30}-1)*LEN(Registro!$G228)+1,LEN(Registro!$G228))),FIND("x",TRIM(MID(SUBSTITUTE(SUBSTITUTE(SUBSTITUTE(SUBSTITUTE(SUBSTITUTE(LOWER(Registro!$G228),"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",LEN(Registro!$G228))),({1,2,3,4,5,6,7,8,9,10,11,12,13,14,15,16,17,18,19,20,21,22,23,24,25,26,27,28,29,30}-1)*LEN(Registro!$G228)+1,LEN(Registro!$G228)))&amp;"x")-1))),"Revisar formato")))</f>
        <v/>
      </c>
      <c r="I228" s="11" t="str">
        <f>IF(Registro!$G228="","",IF(ISERROR(FIND("x",LOWER(Registro!$G228))),N(Registro!$H228),IFERROR(SUMPRODUCT(--("0"&amp;LEFT(TRIM(MID(SUBSTITUTE(SUBSTITUTE(SUBSTITUTE(SUBSTITUTE(SUBSTITUTE(LOWER(Registro!$G228),"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",LEN(Registro!$G228))),({1,2,3,4,5,6,7,8,9,10,11,12,13,14,15,16,17,18,19,20,21,22,23,24,25,26,27,28,29,30}-1)*LEN(Registro!$G228)+1,LEN(Registro!$G228))),FIND("x",TRIM(MID(SUBSTITUTE(SUBSTITUTE(SUBSTITUTE(SUBSTITUTE(SUBSTITUTE(LOWER(Registro!$G228),"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",LEN(Registro!$G228))),({1,2,3,4,5,6,7,8,9,10,11,12,13,14,15,16,17,18,19,20,21,22,23,24,25,26,27,28,29,30}-1)*LEN(Registro!$G228)+1,LEN(Registro!$G228)))&amp;"x")-1)),--("0"&amp;MID(TRIM(MID(SUBSTITUTE(SUBSTITUTE(SUBSTITUTE(SUBSTITUTE(SUBSTITUTE(LOWER(Registro!$G228),"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",LEN(Registro!$G228))),({1,2,3,4,5,6,7,8,9,10,11,12,13,14,15,16,17,18,19,20,21,22,23,24,25,26,27,28,29,30}-1)*LEN(Registro!$G228)+1,LEN(Registro!$G228))),FIND("x",TRIM(MID(SUBSTITUTE(SUBSTITUTE(SUBSTITUTE(SUBSTITUTE(SUBSTITUTE(LOWER(Registro!$G228),"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",LEN(Registro!$G228))),({1,2,3,4,5,6,7,8,9,10,11,12,13,14,15,16,17,18,19,20,21,22,23,24,25,26,27,28,29,30}-1)*LEN(Registro!$G228)+1,LEN(Registro!$G228)))&amp;"x")+1,20))),"Revisar formato")))</f>
        <v/>
      </c>
      <c r="J228" s="9" t="str">
        <f>IF(AND(Registro!$E228="",Registro!$G228=""),"",IF(NOT(AND(ISNUMBER(I228),ISNUMBER(Registro!$H228))),"",IF(I228&lt;Registro!$H228,"FALTA BOLETOS",IF(I228=Registro!$H228,"CONFORME","DIFERENCIA"))))</f>
        <v/>
      </c>
      <c r="K228" s="11" t="str">
        <f>IF(Registro!$I228="","",IFERROR(SUMPRODUCT(--("0"&amp;TRIM(RIGHT(SUBSTITUTE(TRIM(MID(SUBSTITUTE(SUBSTITUTE(Registro!$I228,";",CHAR(10)),CHAR(10),REPT(" ",LEN(Registro!$I228))),({1,2,3,4,5,6,7,8,9,10,11,12,13,14,15,16,17,18,19,20,21,22,23,24,25,26,27,28,29,30}-1)*LEN(Registro!$I228)+1,LEN(Registro!$I228)))," ",REPT(" ",50)),50)))),"Revisar formato"))</f>
        <v/>
      </c>
      <c r="L228" s="11" t="str">
        <f>IF(Registro!$J228="","",IFERROR(SUMPRODUCT(--("0"&amp;TRIM(RIGHT(SUBSTITUTE(TRIM(MID(SUBSTITUTE(SUBSTITUTE(Registro!$J228,";",CHAR(10)),CHAR(10),REPT(" ",LEN(Registro!$J228))),({1,2,3,4,5,6,7,8,9,10,11,12,13,14,15,16,17,18,19,20,21,22,23,24,25,26,27,28,29,30}-1)*LEN(Registro!$J228)+1,LEN(Registro!$J228)))," ",REPT(" ",50)),50)))),"Revisar formato"))</f>
        <v/>
      </c>
      <c r="M228" s="11" t="str">
        <f>IF(AND(Registro!$H228="",Registro!$I228=""),"",IF(AND(ISTEXT(K228),K228&lt;&gt;""),"Revisar formato",N(Registro!$H228)-N(K228)))</f>
        <v/>
      </c>
      <c r="N228" s="11" t="str">
        <f t="shared" si="11"/>
        <v/>
      </c>
      <c r="O228" s="15" t="str">
        <f>IF(AND(A228=Consulta!$B$3,C228=Consulta!$H$3),B228*10000+ROW(),"")</f>
        <v/>
      </c>
    </row>
    <row r="229" spans="1:15" x14ac:dyDescent="0.25">
      <c r="A229" s="9" t="str">
        <f>IF(Registro!$A229="","",Registro!$A229)</f>
        <v/>
      </c>
      <c r="B229" s="8" t="str">
        <f>IF(Registro!$B229="","",Registro!$B229)</f>
        <v/>
      </c>
      <c r="C229" s="14" t="str">
        <f t="shared" si="9"/>
        <v/>
      </c>
      <c r="D229" s="10" t="str">
        <f>IF(Registro!$E229="","",IF(ISERROR(FIND("x",LOWER(Registro!$E229))),"-",IFERROR(SUMPRODUCT(--("0"&amp;LEFT(TRIM(MID(SUBSTITUTE(SUBSTITUTE(SUBSTITUTE(SUBSTITUTE(SUBSTITUTE(LOWER(Registro!$E229),"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",LEN(Registro!$E229))),({1,2,3,4,5,6,7,8,9,10,11,12,13,14,15,16,17,18,19,20,21,22,23,24,25,26,27,28,29,30}-1)*LEN(Registro!$E229)+1,LEN(Registro!$E229)))&amp;"x")-1))),"Revisar formato")))</f>
        <v/>
      </c>
      <c r="E229" s="11" t="str">
        <f>IF(Registro!$E229="","",IF(ISERROR(FIND("x",LOWER(Registro!$E229))),"-",IFERROR(SUMPRODUCT(--("0"&amp;LEFT(TRIM(MID(SUBSTITUTE(SUBSTITUTE(SUBSTITUTE(SUBSTITUTE(SUBSTITUTE(LOWER(Registro!$E229),"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",LEN(Registro!$E229))),({1,2,3,4,5,6,7,8,9,10,11,12,13,14,15,16,17,18,19,20,21,22,23,24,25,26,27,28,29,30}-1)*LEN(Registro!$E229)+1,LEN(Registro!$E229)))&amp;"x")-1)),--("0"&amp;MID(TRIM(MID(SUBSTITUTE(SUBSTITUTE(SUBSTITUTE(SUBSTITUTE(SUBSTITUTE(LOWER(Registro!$E229),"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",LEN(Registro!$E229))),({1,2,3,4,5,6,7,8,9,10,11,12,13,14,15,16,17,18,19,20,21,22,23,24,25,26,27,28,29,30}-1)*LEN(Registro!$E229)+1,LEN(Registro!$E229)))&amp;"x")+1,20))),"Revisar formato")))</f>
        <v/>
      </c>
      <c r="F229" s="11" t="str">
        <f>IF(Registro!$F229="","",N(Registro!$F229))</f>
        <v/>
      </c>
      <c r="G229" s="11" t="str">
        <f t="shared" si="10"/>
        <v/>
      </c>
      <c r="H229" s="10" t="str">
        <f>IF(Registro!$G229="","",IF(ISERROR(FIND("x",LOWER(Registro!$G229))),"-",IFERROR(SUMPRODUCT(--("0"&amp;LEFT(TRIM(MID(SUBSTITUTE(SUBSTITUTE(SUBSTITUTE(SUBSTITUTE(SUBSTITUTE(LOWER(Registro!$G229),"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",LEN(Registro!$G229))),({1,2,3,4,5,6,7,8,9,10,11,12,13,14,15,16,17,18,19,20,21,22,23,24,25,26,27,28,29,30}-1)*LEN(Registro!$G229)+1,LEN(Registro!$G229))),FIND("x",TRIM(MID(SUBSTITUTE(SUBSTITUTE(SUBSTITUTE(SUBSTITUTE(SUBSTITUTE(LOWER(Registro!$G229),"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",LEN(Registro!$G229))),({1,2,3,4,5,6,7,8,9,10,11,12,13,14,15,16,17,18,19,20,21,22,23,24,25,26,27,28,29,30}-1)*LEN(Registro!$G229)+1,LEN(Registro!$G229)))&amp;"x")-1))),"Revisar formato")))</f>
        <v/>
      </c>
      <c r="I229" s="11" t="str">
        <f>IF(Registro!$G229="","",IF(ISERROR(FIND("x",LOWER(Registro!$G229))),N(Registro!$H229),IFERROR(SUMPRODUCT(--("0"&amp;LEFT(TRIM(MID(SUBSTITUTE(SUBSTITUTE(SUBSTITUTE(SUBSTITUTE(SUBSTITUTE(LOWER(Registro!$G229),"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",LEN(Registro!$G229))),({1,2,3,4,5,6,7,8,9,10,11,12,13,14,15,16,17,18,19,20,21,22,23,24,25,26,27,28,29,30}-1)*LEN(Registro!$G229)+1,LEN(Registro!$G229))),FIND("x",TRIM(MID(SUBSTITUTE(SUBSTITUTE(SUBSTITUTE(SUBSTITUTE(SUBSTITUTE(LOWER(Registro!$G229),"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",LEN(Registro!$G229))),({1,2,3,4,5,6,7,8,9,10,11,12,13,14,15,16,17,18,19,20,21,22,23,24,25,26,27,28,29,30}-1)*LEN(Registro!$G229)+1,LEN(Registro!$G229)))&amp;"x")-1)),--("0"&amp;MID(TRIM(MID(SUBSTITUTE(SUBSTITUTE(SUBSTITUTE(SUBSTITUTE(SUBSTITUTE(LOWER(Registro!$G229),"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",LEN(Registro!$G229))),({1,2,3,4,5,6,7,8,9,10,11,12,13,14,15,16,17,18,19,20,21,22,23,24,25,26,27,28,29,30}-1)*LEN(Registro!$G229)+1,LEN(Registro!$G229))),FIND("x",TRIM(MID(SUBSTITUTE(SUBSTITUTE(SUBSTITUTE(SUBSTITUTE(SUBSTITUTE(LOWER(Registro!$G229),"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",LEN(Registro!$G229))),({1,2,3,4,5,6,7,8,9,10,11,12,13,14,15,16,17,18,19,20,21,22,23,24,25,26,27,28,29,30}-1)*LEN(Registro!$G229)+1,LEN(Registro!$G229)))&amp;"x")+1,20))),"Revisar formato")))</f>
        <v/>
      </c>
      <c r="J229" s="9" t="str">
        <f>IF(AND(Registro!$E229="",Registro!$G229=""),"",IF(NOT(AND(ISNUMBER(I229),ISNUMBER(Registro!$H229))),"",IF(I229&lt;Registro!$H229,"FALTA BOLETOS",IF(I229=Registro!$H229,"CONFORME","DIFERENCIA"))))</f>
        <v/>
      </c>
      <c r="K229" s="11" t="str">
        <f>IF(Registro!$I229="","",IFERROR(SUMPRODUCT(--("0"&amp;TRIM(RIGHT(SUBSTITUTE(TRIM(MID(SUBSTITUTE(SUBSTITUTE(Registro!$I229,";",CHAR(10)),CHAR(10),REPT(" ",LEN(Registro!$I229))),({1,2,3,4,5,6,7,8,9,10,11,12,13,14,15,16,17,18,19,20,21,22,23,24,25,26,27,28,29,30}-1)*LEN(Registro!$I229)+1,LEN(Registro!$I229)))," ",REPT(" ",50)),50)))),"Revisar formato"))</f>
        <v/>
      </c>
      <c r="L229" s="11" t="str">
        <f>IF(Registro!$J229="","",IFERROR(SUMPRODUCT(--("0"&amp;TRIM(RIGHT(SUBSTITUTE(TRIM(MID(SUBSTITUTE(SUBSTITUTE(Registro!$J229,";",CHAR(10)),CHAR(10),REPT(" ",LEN(Registro!$J229))),({1,2,3,4,5,6,7,8,9,10,11,12,13,14,15,16,17,18,19,20,21,22,23,24,25,26,27,28,29,30}-1)*LEN(Registro!$J229)+1,LEN(Registro!$J229)))," ",REPT(" ",50)),50)))),"Revisar formato"))</f>
        <v/>
      </c>
      <c r="M229" s="11" t="str">
        <f>IF(AND(Registro!$H229="",Registro!$I229=""),"",IF(AND(ISTEXT(K229),K229&lt;&gt;""),"Revisar formato",N(Registro!$H229)-N(K229)))</f>
        <v/>
      </c>
      <c r="N229" s="11" t="str">
        <f t="shared" si="11"/>
        <v/>
      </c>
      <c r="O229" s="15" t="str">
        <f>IF(AND(A229=Consulta!$B$3,C229=Consulta!$H$3),B229*10000+ROW(),"")</f>
        <v/>
      </c>
    </row>
    <row r="230" spans="1:15" x14ac:dyDescent="0.25">
      <c r="A230" s="9" t="str">
        <f>IF(Registro!$A230="","",Registro!$A230)</f>
        <v/>
      </c>
      <c r="B230" s="8" t="str">
        <f>IF(Registro!$B230="","",Registro!$B230)</f>
        <v/>
      </c>
      <c r="C230" s="14" t="str">
        <f t="shared" si="9"/>
        <v/>
      </c>
      <c r="D230" s="10" t="str">
        <f>IF(Registro!$E230="","",IF(ISERROR(FIND("x",LOWER(Registro!$E230))),"-",IFERROR(SUMPRODUCT(--("0"&amp;LEFT(TRIM(MID(SUBSTITUTE(SUBSTITUTE(SUBSTITUTE(SUBSTITUTE(SUBSTITUTE(LOWER(Registro!$E230),"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",LEN(Registro!$E230))),({1,2,3,4,5,6,7,8,9,10,11,12,13,14,15,16,17,18,19,20,21,22,23,24,25,26,27,28,29,30}-1)*LEN(Registro!$E230)+1,LEN(Registro!$E230)))&amp;"x")-1))),"Revisar formato")))</f>
        <v/>
      </c>
      <c r="E230" s="11" t="str">
        <f>IF(Registro!$E230="","",IF(ISERROR(FIND("x",LOWER(Registro!$E230))),"-",IFERROR(SUMPRODUCT(--("0"&amp;LEFT(TRIM(MID(SUBSTITUTE(SUBSTITUTE(SUBSTITUTE(SUBSTITUTE(SUBSTITUTE(LOWER(Registro!$E230),"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",LEN(Registro!$E230))),({1,2,3,4,5,6,7,8,9,10,11,12,13,14,15,16,17,18,19,20,21,22,23,24,25,26,27,28,29,30}-1)*LEN(Registro!$E230)+1,LEN(Registro!$E230)))&amp;"x")-1)),--("0"&amp;MID(TRIM(MID(SUBSTITUTE(SUBSTITUTE(SUBSTITUTE(SUBSTITUTE(SUBSTITUTE(LOWER(Registro!$E230),"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",LEN(Registro!$E230))),({1,2,3,4,5,6,7,8,9,10,11,12,13,14,15,16,17,18,19,20,21,22,23,24,25,26,27,28,29,30}-1)*LEN(Registro!$E230)+1,LEN(Registro!$E230)))&amp;"x")+1,20))),"Revisar formato")))</f>
        <v/>
      </c>
      <c r="F230" s="11" t="str">
        <f>IF(Registro!$F230="","",N(Registro!$F230))</f>
        <v/>
      </c>
      <c r="G230" s="11" t="str">
        <f t="shared" si="10"/>
        <v/>
      </c>
      <c r="H230" s="10" t="str">
        <f>IF(Registro!$G230="","",IF(ISERROR(FIND("x",LOWER(Registro!$G230))),"-",IFERROR(SUMPRODUCT(--("0"&amp;LEFT(TRIM(MID(SUBSTITUTE(SUBSTITUTE(SUBSTITUTE(SUBSTITUTE(SUBSTITUTE(LOWER(Registro!$G230),"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",LEN(Registro!$G230))),({1,2,3,4,5,6,7,8,9,10,11,12,13,14,15,16,17,18,19,20,21,22,23,24,25,26,27,28,29,30}-1)*LEN(Registro!$G230)+1,LEN(Registro!$G230))),FIND("x",TRIM(MID(SUBSTITUTE(SUBSTITUTE(SUBSTITUTE(SUBSTITUTE(SUBSTITUTE(LOWER(Registro!$G230),"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",LEN(Registro!$G230))),({1,2,3,4,5,6,7,8,9,10,11,12,13,14,15,16,17,18,19,20,21,22,23,24,25,26,27,28,29,30}-1)*LEN(Registro!$G230)+1,LEN(Registro!$G230)))&amp;"x")-1))),"Revisar formato")))</f>
        <v/>
      </c>
      <c r="I230" s="11" t="str">
        <f>IF(Registro!$G230="","",IF(ISERROR(FIND("x",LOWER(Registro!$G230))),N(Registro!$H230),IFERROR(SUMPRODUCT(--("0"&amp;LEFT(TRIM(MID(SUBSTITUTE(SUBSTITUTE(SUBSTITUTE(SUBSTITUTE(SUBSTITUTE(LOWER(Registro!$G230),"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",LEN(Registro!$G230))),({1,2,3,4,5,6,7,8,9,10,11,12,13,14,15,16,17,18,19,20,21,22,23,24,25,26,27,28,29,30}-1)*LEN(Registro!$G230)+1,LEN(Registro!$G230))),FIND("x",TRIM(MID(SUBSTITUTE(SUBSTITUTE(SUBSTITUTE(SUBSTITUTE(SUBSTITUTE(LOWER(Registro!$G230),"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",LEN(Registro!$G230))),({1,2,3,4,5,6,7,8,9,10,11,12,13,14,15,16,17,18,19,20,21,22,23,24,25,26,27,28,29,30}-1)*LEN(Registro!$G230)+1,LEN(Registro!$G230)))&amp;"x")-1)),--("0"&amp;MID(TRIM(MID(SUBSTITUTE(SUBSTITUTE(SUBSTITUTE(SUBSTITUTE(SUBSTITUTE(LOWER(Registro!$G230),"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",LEN(Registro!$G230))),({1,2,3,4,5,6,7,8,9,10,11,12,13,14,15,16,17,18,19,20,21,22,23,24,25,26,27,28,29,30}-1)*LEN(Registro!$G230)+1,LEN(Registro!$G230))),FIND("x",TRIM(MID(SUBSTITUTE(SUBSTITUTE(SUBSTITUTE(SUBSTITUTE(SUBSTITUTE(LOWER(Registro!$G230),"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",LEN(Registro!$G230))),({1,2,3,4,5,6,7,8,9,10,11,12,13,14,15,16,17,18,19,20,21,22,23,24,25,26,27,28,29,30}-1)*LEN(Registro!$G230)+1,LEN(Registro!$G230)))&amp;"x")+1,20))),"Revisar formato")))</f>
        <v/>
      </c>
      <c r="J230" s="9" t="str">
        <f>IF(AND(Registro!$E230="",Registro!$G230=""),"",IF(NOT(AND(ISNUMBER(I230),ISNUMBER(Registro!$H230))),"",IF(I230&lt;Registro!$H230,"FALTA BOLETOS",IF(I230=Registro!$H230,"CONFORME","DIFERENCIA"))))</f>
        <v/>
      </c>
      <c r="K230" s="11" t="str">
        <f>IF(Registro!$I230="","",IFERROR(SUMPRODUCT(--("0"&amp;TRIM(RIGHT(SUBSTITUTE(TRIM(MID(SUBSTITUTE(SUBSTITUTE(Registro!$I230,";",CHAR(10)),CHAR(10),REPT(" ",LEN(Registro!$I230))),({1,2,3,4,5,6,7,8,9,10,11,12,13,14,15,16,17,18,19,20,21,22,23,24,25,26,27,28,29,30}-1)*LEN(Registro!$I230)+1,LEN(Registro!$I230)))," ",REPT(" ",50)),50)))),"Revisar formato"))</f>
        <v/>
      </c>
      <c r="L230" s="11" t="str">
        <f>IF(Registro!$J230="","",IFERROR(SUMPRODUCT(--("0"&amp;TRIM(RIGHT(SUBSTITUTE(TRIM(MID(SUBSTITUTE(SUBSTITUTE(Registro!$J230,";",CHAR(10)),CHAR(10),REPT(" ",LEN(Registro!$J230))),({1,2,3,4,5,6,7,8,9,10,11,12,13,14,15,16,17,18,19,20,21,22,23,24,25,26,27,28,29,30}-1)*LEN(Registro!$J230)+1,LEN(Registro!$J230)))," ",REPT(" ",50)),50)))),"Revisar formato"))</f>
        <v/>
      </c>
      <c r="M230" s="11" t="str">
        <f>IF(AND(Registro!$H230="",Registro!$I230=""),"",IF(AND(ISTEXT(K230),K230&lt;&gt;""),"Revisar formato",N(Registro!$H230)-N(K230)))</f>
        <v/>
      </c>
      <c r="N230" s="11" t="str">
        <f t="shared" si="11"/>
        <v/>
      </c>
      <c r="O230" s="15" t="str">
        <f>IF(AND(A230=Consulta!$B$3,C230=Consulta!$H$3),B230*10000+ROW(),"")</f>
        <v/>
      </c>
    </row>
    <row r="231" spans="1:15" x14ac:dyDescent="0.25">
      <c r="A231" s="9" t="str">
        <f>IF(Registro!$A231="","",Registro!$A231)</f>
        <v/>
      </c>
      <c r="B231" s="8" t="str">
        <f>IF(Registro!$B231="","",Registro!$B231)</f>
        <v/>
      </c>
      <c r="C231" s="14" t="str">
        <f t="shared" si="9"/>
        <v/>
      </c>
      <c r="D231" s="10" t="str">
        <f>IF(Registro!$E231="","",IF(ISERROR(FIND("x",LOWER(Registro!$E231))),"-",IFERROR(SUMPRODUCT(--("0"&amp;LEFT(TRIM(MID(SUBSTITUTE(SUBSTITUTE(SUBSTITUTE(SUBSTITUTE(SUBSTITUTE(LOWER(Registro!$E231),"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",LEN(Registro!$E231))),({1,2,3,4,5,6,7,8,9,10,11,12,13,14,15,16,17,18,19,20,21,22,23,24,25,26,27,28,29,30}-1)*LEN(Registro!$E231)+1,LEN(Registro!$E231)))&amp;"x")-1))),"Revisar formato")))</f>
        <v/>
      </c>
      <c r="E231" s="11" t="str">
        <f>IF(Registro!$E231="","",IF(ISERROR(FIND("x",LOWER(Registro!$E231))),"-",IFERROR(SUMPRODUCT(--("0"&amp;LEFT(TRIM(MID(SUBSTITUTE(SUBSTITUTE(SUBSTITUTE(SUBSTITUTE(SUBSTITUTE(LOWER(Registro!$E231),"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",LEN(Registro!$E231))),({1,2,3,4,5,6,7,8,9,10,11,12,13,14,15,16,17,18,19,20,21,22,23,24,25,26,27,28,29,30}-1)*LEN(Registro!$E231)+1,LEN(Registro!$E231)))&amp;"x")-1)),--("0"&amp;MID(TRIM(MID(SUBSTITUTE(SUBSTITUTE(SUBSTITUTE(SUBSTITUTE(SUBSTITUTE(LOWER(Registro!$E231),"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",LEN(Registro!$E231))),({1,2,3,4,5,6,7,8,9,10,11,12,13,14,15,16,17,18,19,20,21,22,23,24,25,26,27,28,29,30}-1)*LEN(Registro!$E231)+1,LEN(Registro!$E231)))&amp;"x")+1,20))),"Revisar formato")))</f>
        <v/>
      </c>
      <c r="F231" s="11" t="str">
        <f>IF(Registro!$F231="","",N(Registro!$F231))</f>
        <v/>
      </c>
      <c r="G231" s="11" t="str">
        <f t="shared" si="10"/>
        <v/>
      </c>
      <c r="H231" s="10" t="str">
        <f>IF(Registro!$G231="","",IF(ISERROR(FIND("x",LOWER(Registro!$G231))),"-",IFERROR(SUMPRODUCT(--("0"&amp;LEFT(TRIM(MID(SUBSTITUTE(SUBSTITUTE(SUBSTITUTE(SUBSTITUTE(SUBSTITUTE(LOWER(Registro!$G231),"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",LEN(Registro!$G231))),({1,2,3,4,5,6,7,8,9,10,11,12,13,14,15,16,17,18,19,20,21,22,23,24,25,26,27,28,29,30}-1)*LEN(Registro!$G231)+1,LEN(Registro!$G231))),FIND("x",TRIM(MID(SUBSTITUTE(SUBSTITUTE(SUBSTITUTE(SUBSTITUTE(SUBSTITUTE(LOWER(Registro!$G231),"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",LEN(Registro!$G231))),({1,2,3,4,5,6,7,8,9,10,11,12,13,14,15,16,17,18,19,20,21,22,23,24,25,26,27,28,29,30}-1)*LEN(Registro!$G231)+1,LEN(Registro!$G231)))&amp;"x")-1))),"Revisar formato")))</f>
        <v/>
      </c>
      <c r="I231" s="11" t="str">
        <f>IF(Registro!$G231="","",IF(ISERROR(FIND("x",LOWER(Registro!$G231))),N(Registro!$H231),IFERROR(SUMPRODUCT(--("0"&amp;LEFT(TRIM(MID(SUBSTITUTE(SUBSTITUTE(SUBSTITUTE(SUBSTITUTE(SUBSTITUTE(LOWER(Registro!$G231),"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",LEN(Registro!$G231))),({1,2,3,4,5,6,7,8,9,10,11,12,13,14,15,16,17,18,19,20,21,22,23,24,25,26,27,28,29,30}-1)*LEN(Registro!$G231)+1,LEN(Registro!$G231))),FIND("x",TRIM(MID(SUBSTITUTE(SUBSTITUTE(SUBSTITUTE(SUBSTITUTE(SUBSTITUTE(LOWER(Registro!$G231),"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",LEN(Registro!$G231))),({1,2,3,4,5,6,7,8,9,10,11,12,13,14,15,16,17,18,19,20,21,22,23,24,25,26,27,28,29,30}-1)*LEN(Registro!$G231)+1,LEN(Registro!$G231)))&amp;"x")-1)),--("0"&amp;MID(TRIM(MID(SUBSTITUTE(SUBSTITUTE(SUBSTITUTE(SUBSTITUTE(SUBSTITUTE(LOWER(Registro!$G231),"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",LEN(Registro!$G231))),({1,2,3,4,5,6,7,8,9,10,11,12,13,14,15,16,17,18,19,20,21,22,23,24,25,26,27,28,29,30}-1)*LEN(Registro!$G231)+1,LEN(Registro!$G231))),FIND("x",TRIM(MID(SUBSTITUTE(SUBSTITUTE(SUBSTITUTE(SUBSTITUTE(SUBSTITUTE(LOWER(Registro!$G231),"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",LEN(Registro!$G231))),({1,2,3,4,5,6,7,8,9,10,11,12,13,14,15,16,17,18,19,20,21,22,23,24,25,26,27,28,29,30}-1)*LEN(Registro!$G231)+1,LEN(Registro!$G231)))&amp;"x")+1,20))),"Revisar formato")))</f>
        <v/>
      </c>
      <c r="J231" s="9" t="str">
        <f>IF(AND(Registro!$E231="",Registro!$G231=""),"",IF(NOT(AND(ISNUMBER(I231),ISNUMBER(Registro!$H231))),"",IF(I231&lt;Registro!$H231,"FALTA BOLETOS",IF(I231=Registro!$H231,"CONFORME","DIFERENCIA"))))</f>
        <v/>
      </c>
      <c r="K231" s="11" t="str">
        <f>IF(Registro!$I231="","",IFERROR(SUMPRODUCT(--("0"&amp;TRIM(RIGHT(SUBSTITUTE(TRIM(MID(SUBSTITUTE(SUBSTITUTE(Registro!$I231,";",CHAR(10)),CHAR(10),REPT(" ",LEN(Registro!$I231))),({1,2,3,4,5,6,7,8,9,10,11,12,13,14,15,16,17,18,19,20,21,22,23,24,25,26,27,28,29,30}-1)*LEN(Registro!$I231)+1,LEN(Registro!$I231)))," ",REPT(" ",50)),50)))),"Revisar formato"))</f>
        <v/>
      </c>
      <c r="L231" s="11" t="str">
        <f>IF(Registro!$J231="","",IFERROR(SUMPRODUCT(--("0"&amp;TRIM(RIGHT(SUBSTITUTE(TRIM(MID(SUBSTITUTE(SUBSTITUTE(Registro!$J231,";",CHAR(10)),CHAR(10),REPT(" ",LEN(Registro!$J231))),({1,2,3,4,5,6,7,8,9,10,11,12,13,14,15,16,17,18,19,20,21,22,23,24,25,26,27,28,29,30}-1)*LEN(Registro!$J231)+1,LEN(Registro!$J231)))," ",REPT(" ",50)),50)))),"Revisar formato"))</f>
        <v/>
      </c>
      <c r="M231" s="11" t="str">
        <f>IF(AND(Registro!$H231="",Registro!$I231=""),"",IF(AND(ISTEXT(K231),K231&lt;&gt;""),"Revisar formato",N(Registro!$H231)-N(K231)))</f>
        <v/>
      </c>
      <c r="N231" s="11" t="str">
        <f t="shared" si="11"/>
        <v/>
      </c>
      <c r="O231" s="15" t="str">
        <f>IF(AND(A231=Consulta!$B$3,C231=Consulta!$H$3),B231*10000+ROW(),"")</f>
        <v/>
      </c>
    </row>
    <row r="232" spans="1:15" x14ac:dyDescent="0.25">
      <c r="A232" s="9" t="str">
        <f>IF(Registro!$A232="","",Registro!$A232)</f>
        <v/>
      </c>
      <c r="B232" s="8" t="str">
        <f>IF(Registro!$B232="","",Registro!$B232)</f>
        <v/>
      </c>
      <c r="C232" s="14" t="str">
        <f t="shared" si="9"/>
        <v/>
      </c>
      <c r="D232" s="10" t="str">
        <f>IF(Registro!$E232="","",IF(ISERROR(FIND("x",LOWER(Registro!$E232))),"-",IFERROR(SUMPRODUCT(--("0"&amp;LEFT(TRIM(MID(SUBSTITUTE(SUBSTITUTE(SUBSTITUTE(SUBSTITUTE(SUBSTITUTE(LOWER(Registro!$E232),"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",LEN(Registro!$E232))),({1,2,3,4,5,6,7,8,9,10,11,12,13,14,15,16,17,18,19,20,21,22,23,24,25,26,27,28,29,30}-1)*LEN(Registro!$E232)+1,LEN(Registro!$E232)))&amp;"x")-1))),"Revisar formato")))</f>
        <v/>
      </c>
      <c r="E232" s="11" t="str">
        <f>IF(Registro!$E232="","",IF(ISERROR(FIND("x",LOWER(Registro!$E232))),"-",IFERROR(SUMPRODUCT(--("0"&amp;LEFT(TRIM(MID(SUBSTITUTE(SUBSTITUTE(SUBSTITUTE(SUBSTITUTE(SUBSTITUTE(LOWER(Registro!$E232),"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",LEN(Registro!$E232))),({1,2,3,4,5,6,7,8,9,10,11,12,13,14,15,16,17,18,19,20,21,22,23,24,25,26,27,28,29,30}-1)*LEN(Registro!$E232)+1,LEN(Registro!$E232)))&amp;"x")-1)),--("0"&amp;MID(TRIM(MID(SUBSTITUTE(SUBSTITUTE(SUBSTITUTE(SUBSTITUTE(SUBSTITUTE(LOWER(Registro!$E232),"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",LEN(Registro!$E232))),({1,2,3,4,5,6,7,8,9,10,11,12,13,14,15,16,17,18,19,20,21,22,23,24,25,26,27,28,29,30}-1)*LEN(Registro!$E232)+1,LEN(Registro!$E232)))&amp;"x")+1,20))),"Revisar formato")))</f>
        <v/>
      </c>
      <c r="F232" s="11" t="str">
        <f>IF(Registro!$F232="","",N(Registro!$F232))</f>
        <v/>
      </c>
      <c r="G232" s="11" t="str">
        <f t="shared" si="10"/>
        <v/>
      </c>
      <c r="H232" s="10" t="str">
        <f>IF(Registro!$G232="","",IF(ISERROR(FIND("x",LOWER(Registro!$G232))),"-",IFERROR(SUMPRODUCT(--("0"&amp;LEFT(TRIM(MID(SUBSTITUTE(SUBSTITUTE(SUBSTITUTE(SUBSTITUTE(SUBSTITUTE(LOWER(Registro!$G232),"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",LEN(Registro!$G232))),({1,2,3,4,5,6,7,8,9,10,11,12,13,14,15,16,17,18,19,20,21,22,23,24,25,26,27,28,29,30}-1)*LEN(Registro!$G232)+1,LEN(Registro!$G232))),FIND("x",TRIM(MID(SUBSTITUTE(SUBSTITUTE(SUBSTITUTE(SUBSTITUTE(SUBSTITUTE(LOWER(Registro!$G232),"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",LEN(Registro!$G232))),({1,2,3,4,5,6,7,8,9,10,11,12,13,14,15,16,17,18,19,20,21,22,23,24,25,26,27,28,29,30}-1)*LEN(Registro!$G232)+1,LEN(Registro!$G232)))&amp;"x")-1))),"Revisar formato")))</f>
        <v/>
      </c>
      <c r="I232" s="11" t="str">
        <f>IF(Registro!$G232="","",IF(ISERROR(FIND("x",LOWER(Registro!$G232))),N(Registro!$H232),IFERROR(SUMPRODUCT(--("0"&amp;LEFT(TRIM(MID(SUBSTITUTE(SUBSTITUTE(SUBSTITUTE(SUBSTITUTE(SUBSTITUTE(LOWER(Registro!$G232),"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",LEN(Registro!$G232))),({1,2,3,4,5,6,7,8,9,10,11,12,13,14,15,16,17,18,19,20,21,22,23,24,25,26,27,28,29,30}-1)*LEN(Registro!$G232)+1,LEN(Registro!$G232))),FIND("x",TRIM(MID(SUBSTITUTE(SUBSTITUTE(SUBSTITUTE(SUBSTITUTE(SUBSTITUTE(LOWER(Registro!$G232),"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",LEN(Registro!$G232))),({1,2,3,4,5,6,7,8,9,10,11,12,13,14,15,16,17,18,19,20,21,22,23,24,25,26,27,28,29,30}-1)*LEN(Registro!$G232)+1,LEN(Registro!$G232)))&amp;"x")-1)),--("0"&amp;MID(TRIM(MID(SUBSTITUTE(SUBSTITUTE(SUBSTITUTE(SUBSTITUTE(SUBSTITUTE(LOWER(Registro!$G232),"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",LEN(Registro!$G232))),({1,2,3,4,5,6,7,8,9,10,11,12,13,14,15,16,17,18,19,20,21,22,23,24,25,26,27,28,29,30}-1)*LEN(Registro!$G232)+1,LEN(Registro!$G232))),FIND("x",TRIM(MID(SUBSTITUTE(SUBSTITUTE(SUBSTITUTE(SUBSTITUTE(SUBSTITUTE(LOWER(Registro!$G232),"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",LEN(Registro!$G232))),({1,2,3,4,5,6,7,8,9,10,11,12,13,14,15,16,17,18,19,20,21,22,23,24,25,26,27,28,29,30}-1)*LEN(Registro!$G232)+1,LEN(Registro!$G232)))&amp;"x")+1,20))),"Revisar formato")))</f>
        <v/>
      </c>
      <c r="J232" s="9" t="str">
        <f>IF(AND(Registro!$E232="",Registro!$G232=""),"",IF(NOT(AND(ISNUMBER(I232),ISNUMBER(Registro!$H232))),"",IF(I232&lt;Registro!$H232,"FALTA BOLETOS",IF(I232=Registro!$H232,"CONFORME","DIFERENCIA"))))</f>
        <v/>
      </c>
      <c r="K232" s="11" t="str">
        <f>IF(Registro!$I232="","",IFERROR(SUMPRODUCT(--("0"&amp;TRIM(RIGHT(SUBSTITUTE(TRIM(MID(SUBSTITUTE(SUBSTITUTE(Registro!$I232,";",CHAR(10)),CHAR(10),REPT(" ",LEN(Registro!$I232))),({1,2,3,4,5,6,7,8,9,10,11,12,13,14,15,16,17,18,19,20,21,22,23,24,25,26,27,28,29,30}-1)*LEN(Registro!$I232)+1,LEN(Registro!$I232)))," ",REPT(" ",50)),50)))),"Revisar formato"))</f>
        <v/>
      </c>
      <c r="L232" s="11" t="str">
        <f>IF(Registro!$J232="","",IFERROR(SUMPRODUCT(--("0"&amp;TRIM(RIGHT(SUBSTITUTE(TRIM(MID(SUBSTITUTE(SUBSTITUTE(Registro!$J232,";",CHAR(10)),CHAR(10),REPT(" ",LEN(Registro!$J232))),({1,2,3,4,5,6,7,8,9,10,11,12,13,14,15,16,17,18,19,20,21,22,23,24,25,26,27,28,29,30}-1)*LEN(Registro!$J232)+1,LEN(Registro!$J232)))," ",REPT(" ",50)),50)))),"Revisar formato"))</f>
        <v/>
      </c>
      <c r="M232" s="11" t="str">
        <f>IF(AND(Registro!$H232="",Registro!$I232=""),"",IF(AND(ISTEXT(K232),K232&lt;&gt;""),"Revisar formato",N(Registro!$H232)-N(K232)))</f>
        <v/>
      </c>
      <c r="N232" s="11" t="str">
        <f t="shared" si="11"/>
        <v/>
      </c>
      <c r="O232" s="15" t="str">
        <f>IF(AND(A232=Consulta!$B$3,C232=Consulta!$H$3),B232*10000+ROW(),"")</f>
        <v/>
      </c>
    </row>
    <row r="233" spans="1:15" x14ac:dyDescent="0.25">
      <c r="A233" s="9" t="str">
        <f>IF(Registro!$A233="","",Registro!$A233)</f>
        <v/>
      </c>
      <c r="B233" s="8" t="str">
        <f>IF(Registro!$B233="","",Registro!$B233)</f>
        <v/>
      </c>
      <c r="C233" s="14" t="str">
        <f t="shared" si="9"/>
        <v/>
      </c>
      <c r="D233" s="10" t="str">
        <f>IF(Registro!$E233="","",IF(ISERROR(FIND("x",LOWER(Registro!$E233))),"-",IFERROR(SUMPRODUCT(--("0"&amp;LEFT(TRIM(MID(SUBSTITUTE(SUBSTITUTE(SUBSTITUTE(SUBSTITUTE(SUBSTITUTE(LOWER(Registro!$E233),"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",LEN(Registro!$E233))),({1,2,3,4,5,6,7,8,9,10,11,12,13,14,15,16,17,18,19,20,21,22,23,24,25,26,27,28,29,30}-1)*LEN(Registro!$E233)+1,LEN(Registro!$E233)))&amp;"x")-1))),"Revisar formato")))</f>
        <v/>
      </c>
      <c r="E233" s="11" t="str">
        <f>IF(Registro!$E233="","",IF(ISERROR(FIND("x",LOWER(Registro!$E233))),"-",IFERROR(SUMPRODUCT(--("0"&amp;LEFT(TRIM(MID(SUBSTITUTE(SUBSTITUTE(SUBSTITUTE(SUBSTITUTE(SUBSTITUTE(LOWER(Registro!$E233),"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",LEN(Registro!$E233))),({1,2,3,4,5,6,7,8,9,10,11,12,13,14,15,16,17,18,19,20,21,22,23,24,25,26,27,28,29,30}-1)*LEN(Registro!$E233)+1,LEN(Registro!$E233)))&amp;"x")-1)),--("0"&amp;MID(TRIM(MID(SUBSTITUTE(SUBSTITUTE(SUBSTITUTE(SUBSTITUTE(SUBSTITUTE(LOWER(Registro!$E233),"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",LEN(Registro!$E233))),({1,2,3,4,5,6,7,8,9,10,11,12,13,14,15,16,17,18,19,20,21,22,23,24,25,26,27,28,29,30}-1)*LEN(Registro!$E233)+1,LEN(Registro!$E233)))&amp;"x")+1,20))),"Revisar formato")))</f>
        <v/>
      </c>
      <c r="F233" s="11" t="str">
        <f>IF(Registro!$F233="","",N(Registro!$F233))</f>
        <v/>
      </c>
      <c r="G233" s="11" t="str">
        <f t="shared" si="10"/>
        <v/>
      </c>
      <c r="H233" s="10" t="str">
        <f>IF(Registro!$G233="","",IF(ISERROR(FIND("x",LOWER(Registro!$G233))),"-",IFERROR(SUMPRODUCT(--("0"&amp;LEFT(TRIM(MID(SUBSTITUTE(SUBSTITUTE(SUBSTITUTE(SUBSTITUTE(SUBSTITUTE(LOWER(Registro!$G233),"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",LEN(Registro!$G233))),({1,2,3,4,5,6,7,8,9,10,11,12,13,14,15,16,17,18,19,20,21,22,23,24,25,26,27,28,29,30}-1)*LEN(Registro!$G233)+1,LEN(Registro!$G233))),FIND("x",TRIM(MID(SUBSTITUTE(SUBSTITUTE(SUBSTITUTE(SUBSTITUTE(SUBSTITUTE(LOWER(Registro!$G233),"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",LEN(Registro!$G233))),({1,2,3,4,5,6,7,8,9,10,11,12,13,14,15,16,17,18,19,20,21,22,23,24,25,26,27,28,29,30}-1)*LEN(Registro!$G233)+1,LEN(Registro!$G233)))&amp;"x")-1))),"Revisar formato")))</f>
        <v/>
      </c>
      <c r="I233" s="11" t="str">
        <f>IF(Registro!$G233="","",IF(ISERROR(FIND("x",LOWER(Registro!$G233))),N(Registro!$H233),IFERROR(SUMPRODUCT(--("0"&amp;LEFT(TRIM(MID(SUBSTITUTE(SUBSTITUTE(SUBSTITUTE(SUBSTITUTE(SUBSTITUTE(LOWER(Registro!$G233),"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",LEN(Registro!$G233))),({1,2,3,4,5,6,7,8,9,10,11,12,13,14,15,16,17,18,19,20,21,22,23,24,25,26,27,28,29,30}-1)*LEN(Registro!$G233)+1,LEN(Registro!$G233))),FIND("x",TRIM(MID(SUBSTITUTE(SUBSTITUTE(SUBSTITUTE(SUBSTITUTE(SUBSTITUTE(LOWER(Registro!$G233),"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",LEN(Registro!$G233))),({1,2,3,4,5,6,7,8,9,10,11,12,13,14,15,16,17,18,19,20,21,22,23,24,25,26,27,28,29,30}-1)*LEN(Registro!$G233)+1,LEN(Registro!$G233)))&amp;"x")-1)),--("0"&amp;MID(TRIM(MID(SUBSTITUTE(SUBSTITUTE(SUBSTITUTE(SUBSTITUTE(SUBSTITUTE(LOWER(Registro!$G233),"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",LEN(Registro!$G233))),({1,2,3,4,5,6,7,8,9,10,11,12,13,14,15,16,17,18,19,20,21,22,23,24,25,26,27,28,29,30}-1)*LEN(Registro!$G233)+1,LEN(Registro!$G233))),FIND("x",TRIM(MID(SUBSTITUTE(SUBSTITUTE(SUBSTITUTE(SUBSTITUTE(SUBSTITUTE(LOWER(Registro!$G233),"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",LEN(Registro!$G233))),({1,2,3,4,5,6,7,8,9,10,11,12,13,14,15,16,17,18,19,20,21,22,23,24,25,26,27,28,29,30}-1)*LEN(Registro!$G233)+1,LEN(Registro!$G233)))&amp;"x")+1,20))),"Revisar formato")))</f>
        <v/>
      </c>
      <c r="J233" s="9" t="str">
        <f>IF(AND(Registro!$E233="",Registro!$G233=""),"",IF(NOT(AND(ISNUMBER(I233),ISNUMBER(Registro!$H233))),"",IF(I233&lt;Registro!$H233,"FALTA BOLETOS",IF(I233=Registro!$H233,"CONFORME","DIFERENCIA"))))</f>
        <v/>
      </c>
      <c r="K233" s="11" t="str">
        <f>IF(Registro!$I233="","",IFERROR(SUMPRODUCT(--("0"&amp;TRIM(RIGHT(SUBSTITUTE(TRIM(MID(SUBSTITUTE(SUBSTITUTE(Registro!$I233,";",CHAR(10)),CHAR(10),REPT(" ",LEN(Registro!$I233))),({1,2,3,4,5,6,7,8,9,10,11,12,13,14,15,16,17,18,19,20,21,22,23,24,25,26,27,28,29,30}-1)*LEN(Registro!$I233)+1,LEN(Registro!$I233)))," ",REPT(" ",50)),50)))),"Revisar formato"))</f>
        <v/>
      </c>
      <c r="L233" s="11" t="str">
        <f>IF(Registro!$J233="","",IFERROR(SUMPRODUCT(--("0"&amp;TRIM(RIGHT(SUBSTITUTE(TRIM(MID(SUBSTITUTE(SUBSTITUTE(Registro!$J233,";",CHAR(10)),CHAR(10),REPT(" ",LEN(Registro!$J233))),({1,2,3,4,5,6,7,8,9,10,11,12,13,14,15,16,17,18,19,20,21,22,23,24,25,26,27,28,29,30}-1)*LEN(Registro!$J233)+1,LEN(Registro!$J233)))," ",REPT(" ",50)),50)))),"Revisar formato"))</f>
        <v/>
      </c>
      <c r="M233" s="11" t="str">
        <f>IF(AND(Registro!$H233="",Registro!$I233=""),"",IF(AND(ISTEXT(K233),K233&lt;&gt;""),"Revisar formato",N(Registro!$H233)-N(K233)))</f>
        <v/>
      </c>
      <c r="N233" s="11" t="str">
        <f t="shared" si="11"/>
        <v/>
      </c>
      <c r="O233" s="15" t="str">
        <f>IF(AND(A233=Consulta!$B$3,C233=Consulta!$H$3),B233*10000+ROW(),"")</f>
        <v/>
      </c>
    </row>
    <row r="234" spans="1:15" x14ac:dyDescent="0.25">
      <c r="A234" s="9" t="str">
        <f>IF(Registro!$A234="","",Registro!$A234)</f>
        <v/>
      </c>
      <c r="B234" s="8" t="str">
        <f>IF(Registro!$B234="","",Registro!$B234)</f>
        <v/>
      </c>
      <c r="C234" s="14" t="str">
        <f t="shared" si="9"/>
        <v/>
      </c>
      <c r="D234" s="10" t="str">
        <f>IF(Registro!$E234="","",IF(ISERROR(FIND("x",LOWER(Registro!$E234))),"-",IFERROR(SUMPRODUCT(--("0"&amp;LEFT(TRIM(MID(SUBSTITUTE(SUBSTITUTE(SUBSTITUTE(SUBSTITUTE(SUBSTITUTE(LOWER(Registro!$E234),"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",LEN(Registro!$E234))),({1,2,3,4,5,6,7,8,9,10,11,12,13,14,15,16,17,18,19,20,21,22,23,24,25,26,27,28,29,30}-1)*LEN(Registro!$E234)+1,LEN(Registro!$E234)))&amp;"x")-1))),"Revisar formato")))</f>
        <v/>
      </c>
      <c r="E234" s="11" t="str">
        <f>IF(Registro!$E234="","",IF(ISERROR(FIND("x",LOWER(Registro!$E234))),"-",IFERROR(SUMPRODUCT(--("0"&amp;LEFT(TRIM(MID(SUBSTITUTE(SUBSTITUTE(SUBSTITUTE(SUBSTITUTE(SUBSTITUTE(LOWER(Registro!$E234),"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",LEN(Registro!$E234))),({1,2,3,4,5,6,7,8,9,10,11,12,13,14,15,16,17,18,19,20,21,22,23,24,25,26,27,28,29,30}-1)*LEN(Registro!$E234)+1,LEN(Registro!$E234)))&amp;"x")-1)),--("0"&amp;MID(TRIM(MID(SUBSTITUTE(SUBSTITUTE(SUBSTITUTE(SUBSTITUTE(SUBSTITUTE(LOWER(Registro!$E234),"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",LEN(Registro!$E234))),({1,2,3,4,5,6,7,8,9,10,11,12,13,14,15,16,17,18,19,20,21,22,23,24,25,26,27,28,29,30}-1)*LEN(Registro!$E234)+1,LEN(Registro!$E234)))&amp;"x")+1,20))),"Revisar formato")))</f>
        <v/>
      </c>
      <c r="F234" s="11" t="str">
        <f>IF(Registro!$F234="","",N(Registro!$F234))</f>
        <v/>
      </c>
      <c r="G234" s="11" t="str">
        <f t="shared" si="10"/>
        <v/>
      </c>
      <c r="H234" s="10" t="str">
        <f>IF(Registro!$G234="","",IF(ISERROR(FIND("x",LOWER(Registro!$G234))),"-",IFERROR(SUMPRODUCT(--("0"&amp;LEFT(TRIM(MID(SUBSTITUTE(SUBSTITUTE(SUBSTITUTE(SUBSTITUTE(SUBSTITUTE(LOWER(Registro!$G234),"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",LEN(Registro!$G234))),({1,2,3,4,5,6,7,8,9,10,11,12,13,14,15,16,17,18,19,20,21,22,23,24,25,26,27,28,29,30}-1)*LEN(Registro!$G234)+1,LEN(Registro!$G234))),FIND("x",TRIM(MID(SUBSTITUTE(SUBSTITUTE(SUBSTITUTE(SUBSTITUTE(SUBSTITUTE(LOWER(Registro!$G234),"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",LEN(Registro!$G234))),({1,2,3,4,5,6,7,8,9,10,11,12,13,14,15,16,17,18,19,20,21,22,23,24,25,26,27,28,29,30}-1)*LEN(Registro!$G234)+1,LEN(Registro!$G234)))&amp;"x")-1))),"Revisar formato")))</f>
        <v/>
      </c>
      <c r="I234" s="11" t="str">
        <f>IF(Registro!$G234="","",IF(ISERROR(FIND("x",LOWER(Registro!$G234))),N(Registro!$H234),IFERROR(SUMPRODUCT(--("0"&amp;LEFT(TRIM(MID(SUBSTITUTE(SUBSTITUTE(SUBSTITUTE(SUBSTITUTE(SUBSTITUTE(LOWER(Registro!$G234),"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",LEN(Registro!$G234))),({1,2,3,4,5,6,7,8,9,10,11,12,13,14,15,16,17,18,19,20,21,22,23,24,25,26,27,28,29,30}-1)*LEN(Registro!$G234)+1,LEN(Registro!$G234))),FIND("x",TRIM(MID(SUBSTITUTE(SUBSTITUTE(SUBSTITUTE(SUBSTITUTE(SUBSTITUTE(LOWER(Registro!$G234),"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",LEN(Registro!$G234))),({1,2,3,4,5,6,7,8,9,10,11,12,13,14,15,16,17,18,19,20,21,22,23,24,25,26,27,28,29,30}-1)*LEN(Registro!$G234)+1,LEN(Registro!$G234)))&amp;"x")-1)),--("0"&amp;MID(TRIM(MID(SUBSTITUTE(SUBSTITUTE(SUBSTITUTE(SUBSTITUTE(SUBSTITUTE(LOWER(Registro!$G234),"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",LEN(Registro!$G234))),({1,2,3,4,5,6,7,8,9,10,11,12,13,14,15,16,17,18,19,20,21,22,23,24,25,26,27,28,29,30}-1)*LEN(Registro!$G234)+1,LEN(Registro!$G234))),FIND("x",TRIM(MID(SUBSTITUTE(SUBSTITUTE(SUBSTITUTE(SUBSTITUTE(SUBSTITUTE(LOWER(Registro!$G234),"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",LEN(Registro!$G234))),({1,2,3,4,5,6,7,8,9,10,11,12,13,14,15,16,17,18,19,20,21,22,23,24,25,26,27,28,29,30}-1)*LEN(Registro!$G234)+1,LEN(Registro!$G234)))&amp;"x")+1,20))),"Revisar formato")))</f>
        <v/>
      </c>
      <c r="J234" s="9" t="str">
        <f>IF(AND(Registro!$E234="",Registro!$G234=""),"",IF(NOT(AND(ISNUMBER(I234),ISNUMBER(Registro!$H234))),"",IF(I234&lt;Registro!$H234,"FALTA BOLETOS",IF(I234=Registro!$H234,"CONFORME","DIFERENCIA"))))</f>
        <v/>
      </c>
      <c r="K234" s="11" t="str">
        <f>IF(Registro!$I234="","",IFERROR(SUMPRODUCT(--("0"&amp;TRIM(RIGHT(SUBSTITUTE(TRIM(MID(SUBSTITUTE(SUBSTITUTE(Registro!$I234,";",CHAR(10)),CHAR(10),REPT(" ",LEN(Registro!$I234))),({1,2,3,4,5,6,7,8,9,10,11,12,13,14,15,16,17,18,19,20,21,22,23,24,25,26,27,28,29,30}-1)*LEN(Registro!$I234)+1,LEN(Registro!$I234)))," ",REPT(" ",50)),50)))),"Revisar formato"))</f>
        <v/>
      </c>
      <c r="L234" s="11" t="str">
        <f>IF(Registro!$J234="","",IFERROR(SUMPRODUCT(--("0"&amp;TRIM(RIGHT(SUBSTITUTE(TRIM(MID(SUBSTITUTE(SUBSTITUTE(Registro!$J234,";",CHAR(10)),CHAR(10),REPT(" ",LEN(Registro!$J234))),({1,2,3,4,5,6,7,8,9,10,11,12,13,14,15,16,17,18,19,20,21,22,23,24,25,26,27,28,29,30}-1)*LEN(Registro!$J234)+1,LEN(Registro!$J234)))," ",REPT(" ",50)),50)))),"Revisar formato"))</f>
        <v/>
      </c>
      <c r="M234" s="11" t="str">
        <f>IF(AND(Registro!$H234="",Registro!$I234=""),"",IF(AND(ISTEXT(K234),K234&lt;&gt;""),"Revisar formato",N(Registro!$H234)-N(K234)))</f>
        <v/>
      </c>
      <c r="N234" s="11" t="str">
        <f t="shared" si="11"/>
        <v/>
      </c>
      <c r="O234" s="15" t="str">
        <f>IF(AND(A234=Consulta!$B$3,C234=Consulta!$H$3),B234*10000+ROW(),"")</f>
        <v/>
      </c>
    </row>
    <row r="235" spans="1:15" x14ac:dyDescent="0.25">
      <c r="A235" s="9" t="str">
        <f>IF(Registro!$A235="","",Registro!$A235)</f>
        <v/>
      </c>
      <c r="B235" s="8" t="str">
        <f>IF(Registro!$B235="","",Registro!$B235)</f>
        <v/>
      </c>
      <c r="C235" s="14" t="str">
        <f t="shared" si="9"/>
        <v/>
      </c>
      <c r="D235" s="10" t="str">
        <f>IF(Registro!$E235="","",IF(ISERROR(FIND("x",LOWER(Registro!$E235))),"-",IFERROR(SUMPRODUCT(--("0"&amp;LEFT(TRIM(MID(SUBSTITUTE(SUBSTITUTE(SUBSTITUTE(SUBSTITUTE(SUBSTITUTE(LOWER(Registro!$E235),"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",LEN(Registro!$E235))),({1,2,3,4,5,6,7,8,9,10,11,12,13,14,15,16,17,18,19,20,21,22,23,24,25,26,27,28,29,30}-1)*LEN(Registro!$E235)+1,LEN(Registro!$E235)))&amp;"x")-1))),"Revisar formato")))</f>
        <v/>
      </c>
      <c r="E235" s="11" t="str">
        <f>IF(Registro!$E235="","",IF(ISERROR(FIND("x",LOWER(Registro!$E235))),"-",IFERROR(SUMPRODUCT(--("0"&amp;LEFT(TRIM(MID(SUBSTITUTE(SUBSTITUTE(SUBSTITUTE(SUBSTITUTE(SUBSTITUTE(LOWER(Registro!$E235),"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",LEN(Registro!$E235))),({1,2,3,4,5,6,7,8,9,10,11,12,13,14,15,16,17,18,19,20,21,22,23,24,25,26,27,28,29,30}-1)*LEN(Registro!$E235)+1,LEN(Registro!$E235)))&amp;"x")-1)),--("0"&amp;MID(TRIM(MID(SUBSTITUTE(SUBSTITUTE(SUBSTITUTE(SUBSTITUTE(SUBSTITUTE(LOWER(Registro!$E235),"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",LEN(Registro!$E235))),({1,2,3,4,5,6,7,8,9,10,11,12,13,14,15,16,17,18,19,20,21,22,23,24,25,26,27,28,29,30}-1)*LEN(Registro!$E235)+1,LEN(Registro!$E235)))&amp;"x")+1,20))),"Revisar formato")))</f>
        <v/>
      </c>
      <c r="F235" s="11" t="str">
        <f>IF(Registro!$F235="","",N(Registro!$F235))</f>
        <v/>
      </c>
      <c r="G235" s="11" t="str">
        <f t="shared" si="10"/>
        <v/>
      </c>
      <c r="H235" s="10" t="str">
        <f>IF(Registro!$G235="","",IF(ISERROR(FIND("x",LOWER(Registro!$G235))),"-",IFERROR(SUMPRODUCT(--("0"&amp;LEFT(TRIM(MID(SUBSTITUTE(SUBSTITUTE(SUBSTITUTE(SUBSTITUTE(SUBSTITUTE(LOWER(Registro!$G235),"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",LEN(Registro!$G235))),({1,2,3,4,5,6,7,8,9,10,11,12,13,14,15,16,17,18,19,20,21,22,23,24,25,26,27,28,29,30}-1)*LEN(Registro!$G235)+1,LEN(Registro!$G235))),FIND("x",TRIM(MID(SUBSTITUTE(SUBSTITUTE(SUBSTITUTE(SUBSTITUTE(SUBSTITUTE(LOWER(Registro!$G235),"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",LEN(Registro!$G235))),({1,2,3,4,5,6,7,8,9,10,11,12,13,14,15,16,17,18,19,20,21,22,23,24,25,26,27,28,29,30}-1)*LEN(Registro!$G235)+1,LEN(Registro!$G235)))&amp;"x")-1))),"Revisar formato")))</f>
        <v/>
      </c>
      <c r="I235" s="11" t="str">
        <f>IF(Registro!$G235="","",IF(ISERROR(FIND("x",LOWER(Registro!$G235))),N(Registro!$H235),IFERROR(SUMPRODUCT(--("0"&amp;LEFT(TRIM(MID(SUBSTITUTE(SUBSTITUTE(SUBSTITUTE(SUBSTITUTE(SUBSTITUTE(LOWER(Registro!$G235),"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",LEN(Registro!$G235))),({1,2,3,4,5,6,7,8,9,10,11,12,13,14,15,16,17,18,19,20,21,22,23,24,25,26,27,28,29,30}-1)*LEN(Registro!$G235)+1,LEN(Registro!$G235))),FIND("x",TRIM(MID(SUBSTITUTE(SUBSTITUTE(SUBSTITUTE(SUBSTITUTE(SUBSTITUTE(LOWER(Registro!$G235),"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",LEN(Registro!$G235))),({1,2,3,4,5,6,7,8,9,10,11,12,13,14,15,16,17,18,19,20,21,22,23,24,25,26,27,28,29,30}-1)*LEN(Registro!$G235)+1,LEN(Registro!$G235)))&amp;"x")-1)),--("0"&amp;MID(TRIM(MID(SUBSTITUTE(SUBSTITUTE(SUBSTITUTE(SUBSTITUTE(SUBSTITUTE(LOWER(Registro!$G235),"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",LEN(Registro!$G235))),({1,2,3,4,5,6,7,8,9,10,11,12,13,14,15,16,17,18,19,20,21,22,23,24,25,26,27,28,29,30}-1)*LEN(Registro!$G235)+1,LEN(Registro!$G235))),FIND("x",TRIM(MID(SUBSTITUTE(SUBSTITUTE(SUBSTITUTE(SUBSTITUTE(SUBSTITUTE(LOWER(Registro!$G235),"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",LEN(Registro!$G235))),({1,2,3,4,5,6,7,8,9,10,11,12,13,14,15,16,17,18,19,20,21,22,23,24,25,26,27,28,29,30}-1)*LEN(Registro!$G235)+1,LEN(Registro!$G235)))&amp;"x")+1,20))),"Revisar formato")))</f>
        <v/>
      </c>
      <c r="J235" s="9" t="str">
        <f>IF(AND(Registro!$E235="",Registro!$G235=""),"",IF(NOT(AND(ISNUMBER(I235),ISNUMBER(Registro!$H235))),"",IF(I235&lt;Registro!$H235,"FALTA BOLETOS",IF(I235=Registro!$H235,"CONFORME","DIFERENCIA"))))</f>
        <v/>
      </c>
      <c r="K235" s="11" t="str">
        <f>IF(Registro!$I235="","",IFERROR(SUMPRODUCT(--("0"&amp;TRIM(RIGHT(SUBSTITUTE(TRIM(MID(SUBSTITUTE(SUBSTITUTE(Registro!$I235,";",CHAR(10)),CHAR(10),REPT(" ",LEN(Registro!$I235))),({1,2,3,4,5,6,7,8,9,10,11,12,13,14,15,16,17,18,19,20,21,22,23,24,25,26,27,28,29,30}-1)*LEN(Registro!$I235)+1,LEN(Registro!$I235)))," ",REPT(" ",50)),50)))),"Revisar formato"))</f>
        <v/>
      </c>
      <c r="L235" s="11" t="str">
        <f>IF(Registro!$J235="","",IFERROR(SUMPRODUCT(--("0"&amp;TRIM(RIGHT(SUBSTITUTE(TRIM(MID(SUBSTITUTE(SUBSTITUTE(Registro!$J235,";",CHAR(10)),CHAR(10),REPT(" ",LEN(Registro!$J235))),({1,2,3,4,5,6,7,8,9,10,11,12,13,14,15,16,17,18,19,20,21,22,23,24,25,26,27,28,29,30}-1)*LEN(Registro!$J235)+1,LEN(Registro!$J235)))," ",REPT(" ",50)),50)))),"Revisar formato"))</f>
        <v/>
      </c>
      <c r="M235" s="11" t="str">
        <f>IF(AND(Registro!$H235="",Registro!$I235=""),"",IF(AND(ISTEXT(K235),K235&lt;&gt;""),"Revisar formato",N(Registro!$H235)-N(K235)))</f>
        <v/>
      </c>
      <c r="N235" s="11" t="str">
        <f t="shared" si="11"/>
        <v/>
      </c>
      <c r="O235" s="15" t="str">
        <f>IF(AND(A235=Consulta!$B$3,C235=Consulta!$H$3),B235*10000+ROW(),"")</f>
        <v/>
      </c>
    </row>
    <row r="236" spans="1:15" x14ac:dyDescent="0.25">
      <c r="A236" s="9" t="str">
        <f>IF(Registro!$A236="","",Registro!$A236)</f>
        <v/>
      </c>
      <c r="B236" s="8" t="str">
        <f>IF(Registro!$B236="","",Registro!$B236)</f>
        <v/>
      </c>
      <c r="C236" s="14" t="str">
        <f t="shared" si="9"/>
        <v/>
      </c>
      <c r="D236" s="10" t="str">
        <f>IF(Registro!$E236="","",IF(ISERROR(FIND("x",LOWER(Registro!$E236))),"-",IFERROR(SUMPRODUCT(--("0"&amp;LEFT(TRIM(MID(SUBSTITUTE(SUBSTITUTE(SUBSTITUTE(SUBSTITUTE(SUBSTITUTE(LOWER(Registro!$E236),"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",LEN(Registro!$E236))),({1,2,3,4,5,6,7,8,9,10,11,12,13,14,15,16,17,18,19,20,21,22,23,24,25,26,27,28,29,30}-1)*LEN(Registro!$E236)+1,LEN(Registro!$E236)))&amp;"x")-1))),"Revisar formato")))</f>
        <v/>
      </c>
      <c r="E236" s="11" t="str">
        <f>IF(Registro!$E236="","",IF(ISERROR(FIND("x",LOWER(Registro!$E236))),"-",IFERROR(SUMPRODUCT(--("0"&amp;LEFT(TRIM(MID(SUBSTITUTE(SUBSTITUTE(SUBSTITUTE(SUBSTITUTE(SUBSTITUTE(LOWER(Registro!$E236),"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",LEN(Registro!$E236))),({1,2,3,4,5,6,7,8,9,10,11,12,13,14,15,16,17,18,19,20,21,22,23,24,25,26,27,28,29,30}-1)*LEN(Registro!$E236)+1,LEN(Registro!$E236)))&amp;"x")-1)),--("0"&amp;MID(TRIM(MID(SUBSTITUTE(SUBSTITUTE(SUBSTITUTE(SUBSTITUTE(SUBSTITUTE(LOWER(Registro!$E236),"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",LEN(Registro!$E236))),({1,2,3,4,5,6,7,8,9,10,11,12,13,14,15,16,17,18,19,20,21,22,23,24,25,26,27,28,29,30}-1)*LEN(Registro!$E236)+1,LEN(Registro!$E236)))&amp;"x")+1,20))),"Revisar formato")))</f>
        <v/>
      </c>
      <c r="F236" s="11" t="str">
        <f>IF(Registro!$F236="","",N(Registro!$F236))</f>
        <v/>
      </c>
      <c r="G236" s="11" t="str">
        <f t="shared" si="10"/>
        <v/>
      </c>
      <c r="H236" s="10" t="str">
        <f>IF(Registro!$G236="","",IF(ISERROR(FIND("x",LOWER(Registro!$G236))),"-",IFERROR(SUMPRODUCT(--("0"&amp;LEFT(TRIM(MID(SUBSTITUTE(SUBSTITUTE(SUBSTITUTE(SUBSTITUTE(SUBSTITUTE(LOWER(Registro!$G236),"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",LEN(Registro!$G236))),({1,2,3,4,5,6,7,8,9,10,11,12,13,14,15,16,17,18,19,20,21,22,23,24,25,26,27,28,29,30}-1)*LEN(Registro!$G236)+1,LEN(Registro!$G236))),FIND("x",TRIM(MID(SUBSTITUTE(SUBSTITUTE(SUBSTITUTE(SUBSTITUTE(SUBSTITUTE(LOWER(Registro!$G236),"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",LEN(Registro!$G236))),({1,2,3,4,5,6,7,8,9,10,11,12,13,14,15,16,17,18,19,20,21,22,23,24,25,26,27,28,29,30}-1)*LEN(Registro!$G236)+1,LEN(Registro!$G236)))&amp;"x")-1))),"Revisar formato")))</f>
        <v/>
      </c>
      <c r="I236" s="11" t="str">
        <f>IF(Registro!$G236="","",IF(ISERROR(FIND("x",LOWER(Registro!$G236))),N(Registro!$H236),IFERROR(SUMPRODUCT(--("0"&amp;LEFT(TRIM(MID(SUBSTITUTE(SUBSTITUTE(SUBSTITUTE(SUBSTITUTE(SUBSTITUTE(LOWER(Registro!$G236),"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",LEN(Registro!$G236))),({1,2,3,4,5,6,7,8,9,10,11,12,13,14,15,16,17,18,19,20,21,22,23,24,25,26,27,28,29,30}-1)*LEN(Registro!$G236)+1,LEN(Registro!$G236))),FIND("x",TRIM(MID(SUBSTITUTE(SUBSTITUTE(SUBSTITUTE(SUBSTITUTE(SUBSTITUTE(LOWER(Registro!$G236),"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",LEN(Registro!$G236))),({1,2,3,4,5,6,7,8,9,10,11,12,13,14,15,16,17,18,19,20,21,22,23,24,25,26,27,28,29,30}-1)*LEN(Registro!$G236)+1,LEN(Registro!$G236)))&amp;"x")-1)),--("0"&amp;MID(TRIM(MID(SUBSTITUTE(SUBSTITUTE(SUBSTITUTE(SUBSTITUTE(SUBSTITUTE(LOWER(Registro!$G236),"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",LEN(Registro!$G236))),({1,2,3,4,5,6,7,8,9,10,11,12,13,14,15,16,17,18,19,20,21,22,23,24,25,26,27,28,29,30}-1)*LEN(Registro!$G236)+1,LEN(Registro!$G236))),FIND("x",TRIM(MID(SUBSTITUTE(SUBSTITUTE(SUBSTITUTE(SUBSTITUTE(SUBSTITUTE(LOWER(Registro!$G236),"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",LEN(Registro!$G236))),({1,2,3,4,5,6,7,8,9,10,11,12,13,14,15,16,17,18,19,20,21,22,23,24,25,26,27,28,29,30}-1)*LEN(Registro!$G236)+1,LEN(Registro!$G236)))&amp;"x")+1,20))),"Revisar formato")))</f>
        <v/>
      </c>
      <c r="J236" s="9" t="str">
        <f>IF(AND(Registro!$E236="",Registro!$G236=""),"",IF(NOT(AND(ISNUMBER(I236),ISNUMBER(Registro!$H236))),"",IF(I236&lt;Registro!$H236,"FALTA BOLETOS",IF(I236=Registro!$H236,"CONFORME","DIFERENCIA"))))</f>
        <v/>
      </c>
      <c r="K236" s="11" t="str">
        <f>IF(Registro!$I236="","",IFERROR(SUMPRODUCT(--("0"&amp;TRIM(RIGHT(SUBSTITUTE(TRIM(MID(SUBSTITUTE(SUBSTITUTE(Registro!$I236,";",CHAR(10)),CHAR(10),REPT(" ",LEN(Registro!$I236))),({1,2,3,4,5,6,7,8,9,10,11,12,13,14,15,16,17,18,19,20,21,22,23,24,25,26,27,28,29,30}-1)*LEN(Registro!$I236)+1,LEN(Registro!$I236)))," ",REPT(" ",50)),50)))),"Revisar formato"))</f>
        <v/>
      </c>
      <c r="L236" s="11" t="str">
        <f>IF(Registro!$J236="","",IFERROR(SUMPRODUCT(--("0"&amp;TRIM(RIGHT(SUBSTITUTE(TRIM(MID(SUBSTITUTE(SUBSTITUTE(Registro!$J236,";",CHAR(10)),CHAR(10),REPT(" ",LEN(Registro!$J236))),({1,2,3,4,5,6,7,8,9,10,11,12,13,14,15,16,17,18,19,20,21,22,23,24,25,26,27,28,29,30}-1)*LEN(Registro!$J236)+1,LEN(Registro!$J236)))," ",REPT(" ",50)),50)))),"Revisar formato"))</f>
        <v/>
      </c>
      <c r="M236" s="11" t="str">
        <f>IF(AND(Registro!$H236="",Registro!$I236=""),"",IF(AND(ISTEXT(K236),K236&lt;&gt;""),"Revisar formato",N(Registro!$H236)-N(K236)))</f>
        <v/>
      </c>
      <c r="N236" s="11" t="str">
        <f t="shared" si="11"/>
        <v/>
      </c>
      <c r="O236" s="15" t="str">
        <f>IF(AND(A236=Consulta!$B$3,C236=Consulta!$H$3),B236*10000+ROW(),"")</f>
        <v/>
      </c>
    </row>
    <row r="237" spans="1:15" x14ac:dyDescent="0.25">
      <c r="A237" s="9" t="str">
        <f>IF(Registro!$A237="","",Registro!$A237)</f>
        <v/>
      </c>
      <c r="B237" s="8" t="str">
        <f>IF(Registro!$B237="","",Registro!$B237)</f>
        <v/>
      </c>
      <c r="C237" s="14" t="str">
        <f t="shared" si="9"/>
        <v/>
      </c>
      <c r="D237" s="10" t="str">
        <f>IF(Registro!$E237="","",IF(ISERROR(FIND("x",LOWER(Registro!$E237))),"-",IFERROR(SUMPRODUCT(--("0"&amp;LEFT(TRIM(MID(SUBSTITUTE(SUBSTITUTE(SUBSTITUTE(SUBSTITUTE(SUBSTITUTE(LOWER(Registro!$E237),"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",LEN(Registro!$E237))),({1,2,3,4,5,6,7,8,9,10,11,12,13,14,15,16,17,18,19,20,21,22,23,24,25,26,27,28,29,30}-1)*LEN(Registro!$E237)+1,LEN(Registro!$E237)))&amp;"x")-1))),"Revisar formato")))</f>
        <v/>
      </c>
      <c r="E237" s="11" t="str">
        <f>IF(Registro!$E237="","",IF(ISERROR(FIND("x",LOWER(Registro!$E237))),"-",IFERROR(SUMPRODUCT(--("0"&amp;LEFT(TRIM(MID(SUBSTITUTE(SUBSTITUTE(SUBSTITUTE(SUBSTITUTE(SUBSTITUTE(LOWER(Registro!$E237),"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",LEN(Registro!$E237))),({1,2,3,4,5,6,7,8,9,10,11,12,13,14,15,16,17,18,19,20,21,22,23,24,25,26,27,28,29,30}-1)*LEN(Registro!$E237)+1,LEN(Registro!$E237)))&amp;"x")-1)),--("0"&amp;MID(TRIM(MID(SUBSTITUTE(SUBSTITUTE(SUBSTITUTE(SUBSTITUTE(SUBSTITUTE(LOWER(Registro!$E237),"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",LEN(Registro!$E237))),({1,2,3,4,5,6,7,8,9,10,11,12,13,14,15,16,17,18,19,20,21,22,23,24,25,26,27,28,29,30}-1)*LEN(Registro!$E237)+1,LEN(Registro!$E237)))&amp;"x")+1,20))),"Revisar formato")))</f>
        <v/>
      </c>
      <c r="F237" s="11" t="str">
        <f>IF(Registro!$F237="","",N(Registro!$F237))</f>
        <v/>
      </c>
      <c r="G237" s="11" t="str">
        <f t="shared" si="10"/>
        <v/>
      </c>
      <c r="H237" s="10" t="str">
        <f>IF(Registro!$G237="","",IF(ISERROR(FIND("x",LOWER(Registro!$G237))),"-",IFERROR(SUMPRODUCT(--("0"&amp;LEFT(TRIM(MID(SUBSTITUTE(SUBSTITUTE(SUBSTITUTE(SUBSTITUTE(SUBSTITUTE(LOWER(Registro!$G237),"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",LEN(Registro!$G237))),({1,2,3,4,5,6,7,8,9,10,11,12,13,14,15,16,17,18,19,20,21,22,23,24,25,26,27,28,29,30}-1)*LEN(Registro!$G237)+1,LEN(Registro!$G237))),FIND("x",TRIM(MID(SUBSTITUTE(SUBSTITUTE(SUBSTITUTE(SUBSTITUTE(SUBSTITUTE(LOWER(Registro!$G237),"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",LEN(Registro!$G237))),({1,2,3,4,5,6,7,8,9,10,11,12,13,14,15,16,17,18,19,20,21,22,23,24,25,26,27,28,29,30}-1)*LEN(Registro!$G237)+1,LEN(Registro!$G237)))&amp;"x")-1))),"Revisar formato")))</f>
        <v/>
      </c>
      <c r="I237" s="11" t="str">
        <f>IF(Registro!$G237="","",IF(ISERROR(FIND("x",LOWER(Registro!$G237))),N(Registro!$H237),IFERROR(SUMPRODUCT(--("0"&amp;LEFT(TRIM(MID(SUBSTITUTE(SUBSTITUTE(SUBSTITUTE(SUBSTITUTE(SUBSTITUTE(LOWER(Registro!$G237),"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",LEN(Registro!$G237))),({1,2,3,4,5,6,7,8,9,10,11,12,13,14,15,16,17,18,19,20,21,22,23,24,25,26,27,28,29,30}-1)*LEN(Registro!$G237)+1,LEN(Registro!$G237))),FIND("x",TRIM(MID(SUBSTITUTE(SUBSTITUTE(SUBSTITUTE(SUBSTITUTE(SUBSTITUTE(LOWER(Registro!$G237),"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",LEN(Registro!$G237))),({1,2,3,4,5,6,7,8,9,10,11,12,13,14,15,16,17,18,19,20,21,22,23,24,25,26,27,28,29,30}-1)*LEN(Registro!$G237)+1,LEN(Registro!$G237)))&amp;"x")-1)),--("0"&amp;MID(TRIM(MID(SUBSTITUTE(SUBSTITUTE(SUBSTITUTE(SUBSTITUTE(SUBSTITUTE(LOWER(Registro!$G237),"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",LEN(Registro!$G237))),({1,2,3,4,5,6,7,8,9,10,11,12,13,14,15,16,17,18,19,20,21,22,23,24,25,26,27,28,29,30}-1)*LEN(Registro!$G237)+1,LEN(Registro!$G237))),FIND("x",TRIM(MID(SUBSTITUTE(SUBSTITUTE(SUBSTITUTE(SUBSTITUTE(SUBSTITUTE(LOWER(Registro!$G237),"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",LEN(Registro!$G237))),({1,2,3,4,5,6,7,8,9,10,11,12,13,14,15,16,17,18,19,20,21,22,23,24,25,26,27,28,29,30}-1)*LEN(Registro!$G237)+1,LEN(Registro!$G237)))&amp;"x")+1,20))),"Revisar formato")))</f>
        <v/>
      </c>
      <c r="J237" s="9" t="str">
        <f>IF(AND(Registro!$E237="",Registro!$G237=""),"",IF(NOT(AND(ISNUMBER(I237),ISNUMBER(Registro!$H237))),"",IF(I237&lt;Registro!$H237,"FALTA BOLETOS",IF(I237=Registro!$H237,"CONFORME","DIFERENCIA"))))</f>
        <v/>
      </c>
      <c r="K237" s="11" t="str">
        <f>IF(Registro!$I237="","",IFERROR(SUMPRODUCT(--("0"&amp;TRIM(RIGHT(SUBSTITUTE(TRIM(MID(SUBSTITUTE(SUBSTITUTE(Registro!$I237,";",CHAR(10)),CHAR(10),REPT(" ",LEN(Registro!$I237))),({1,2,3,4,5,6,7,8,9,10,11,12,13,14,15,16,17,18,19,20,21,22,23,24,25,26,27,28,29,30}-1)*LEN(Registro!$I237)+1,LEN(Registro!$I237)))," ",REPT(" ",50)),50)))),"Revisar formato"))</f>
        <v/>
      </c>
      <c r="L237" s="11" t="str">
        <f>IF(Registro!$J237="","",IFERROR(SUMPRODUCT(--("0"&amp;TRIM(RIGHT(SUBSTITUTE(TRIM(MID(SUBSTITUTE(SUBSTITUTE(Registro!$J237,";",CHAR(10)),CHAR(10),REPT(" ",LEN(Registro!$J237))),({1,2,3,4,5,6,7,8,9,10,11,12,13,14,15,16,17,18,19,20,21,22,23,24,25,26,27,28,29,30}-1)*LEN(Registro!$J237)+1,LEN(Registro!$J237)))," ",REPT(" ",50)),50)))),"Revisar formato"))</f>
        <v/>
      </c>
      <c r="M237" s="11" t="str">
        <f>IF(AND(Registro!$H237="",Registro!$I237=""),"",IF(AND(ISTEXT(K237),K237&lt;&gt;""),"Revisar formato",N(Registro!$H237)-N(K237)))</f>
        <v/>
      </c>
      <c r="N237" s="11" t="str">
        <f t="shared" si="11"/>
        <v/>
      </c>
      <c r="O237" s="15" t="str">
        <f>IF(AND(A237=Consulta!$B$3,C237=Consulta!$H$3),B237*10000+ROW(),"")</f>
        <v/>
      </c>
    </row>
    <row r="238" spans="1:15" x14ac:dyDescent="0.25">
      <c r="A238" s="9" t="str">
        <f>IF(Registro!$A238="","",Registro!$A238)</f>
        <v/>
      </c>
      <c r="B238" s="8" t="str">
        <f>IF(Registro!$B238="","",Registro!$B238)</f>
        <v/>
      </c>
      <c r="C238" s="14" t="str">
        <f t="shared" si="9"/>
        <v/>
      </c>
      <c r="D238" s="10" t="str">
        <f>IF(Registro!$E238="","",IF(ISERROR(FIND("x",LOWER(Registro!$E238))),"-",IFERROR(SUMPRODUCT(--("0"&amp;LEFT(TRIM(MID(SUBSTITUTE(SUBSTITUTE(SUBSTITUTE(SUBSTITUTE(SUBSTITUTE(LOWER(Registro!$E238),"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",LEN(Registro!$E238))),({1,2,3,4,5,6,7,8,9,10,11,12,13,14,15,16,17,18,19,20,21,22,23,24,25,26,27,28,29,30}-1)*LEN(Registro!$E238)+1,LEN(Registro!$E238)))&amp;"x")-1))),"Revisar formato")))</f>
        <v/>
      </c>
      <c r="E238" s="11" t="str">
        <f>IF(Registro!$E238="","",IF(ISERROR(FIND("x",LOWER(Registro!$E238))),"-",IFERROR(SUMPRODUCT(--("0"&amp;LEFT(TRIM(MID(SUBSTITUTE(SUBSTITUTE(SUBSTITUTE(SUBSTITUTE(SUBSTITUTE(LOWER(Registro!$E238),"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",LEN(Registro!$E238))),({1,2,3,4,5,6,7,8,9,10,11,12,13,14,15,16,17,18,19,20,21,22,23,24,25,26,27,28,29,30}-1)*LEN(Registro!$E238)+1,LEN(Registro!$E238)))&amp;"x")-1)),--("0"&amp;MID(TRIM(MID(SUBSTITUTE(SUBSTITUTE(SUBSTITUTE(SUBSTITUTE(SUBSTITUTE(LOWER(Registro!$E238),"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",LEN(Registro!$E238))),({1,2,3,4,5,6,7,8,9,10,11,12,13,14,15,16,17,18,19,20,21,22,23,24,25,26,27,28,29,30}-1)*LEN(Registro!$E238)+1,LEN(Registro!$E238)))&amp;"x")+1,20))),"Revisar formato")))</f>
        <v/>
      </c>
      <c r="F238" s="11" t="str">
        <f>IF(Registro!$F238="","",N(Registro!$F238))</f>
        <v/>
      </c>
      <c r="G238" s="11" t="str">
        <f t="shared" si="10"/>
        <v/>
      </c>
      <c r="H238" s="10" t="str">
        <f>IF(Registro!$G238="","",IF(ISERROR(FIND("x",LOWER(Registro!$G238))),"-",IFERROR(SUMPRODUCT(--("0"&amp;LEFT(TRIM(MID(SUBSTITUTE(SUBSTITUTE(SUBSTITUTE(SUBSTITUTE(SUBSTITUTE(LOWER(Registro!$G238),"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",LEN(Registro!$G238))),({1,2,3,4,5,6,7,8,9,10,11,12,13,14,15,16,17,18,19,20,21,22,23,24,25,26,27,28,29,30}-1)*LEN(Registro!$G238)+1,LEN(Registro!$G238))),FIND("x",TRIM(MID(SUBSTITUTE(SUBSTITUTE(SUBSTITUTE(SUBSTITUTE(SUBSTITUTE(LOWER(Registro!$G238),"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",LEN(Registro!$G238))),({1,2,3,4,5,6,7,8,9,10,11,12,13,14,15,16,17,18,19,20,21,22,23,24,25,26,27,28,29,30}-1)*LEN(Registro!$G238)+1,LEN(Registro!$G238)))&amp;"x")-1))),"Revisar formato")))</f>
        <v/>
      </c>
      <c r="I238" s="11" t="str">
        <f>IF(Registro!$G238="","",IF(ISERROR(FIND("x",LOWER(Registro!$G238))),N(Registro!$H238),IFERROR(SUMPRODUCT(--("0"&amp;LEFT(TRIM(MID(SUBSTITUTE(SUBSTITUTE(SUBSTITUTE(SUBSTITUTE(SUBSTITUTE(LOWER(Registro!$G238),"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",LEN(Registro!$G238))),({1,2,3,4,5,6,7,8,9,10,11,12,13,14,15,16,17,18,19,20,21,22,23,24,25,26,27,28,29,30}-1)*LEN(Registro!$G238)+1,LEN(Registro!$G238))),FIND("x",TRIM(MID(SUBSTITUTE(SUBSTITUTE(SUBSTITUTE(SUBSTITUTE(SUBSTITUTE(LOWER(Registro!$G238),"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",LEN(Registro!$G238))),({1,2,3,4,5,6,7,8,9,10,11,12,13,14,15,16,17,18,19,20,21,22,23,24,25,26,27,28,29,30}-1)*LEN(Registro!$G238)+1,LEN(Registro!$G238)))&amp;"x")-1)),--("0"&amp;MID(TRIM(MID(SUBSTITUTE(SUBSTITUTE(SUBSTITUTE(SUBSTITUTE(SUBSTITUTE(LOWER(Registro!$G238),"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",LEN(Registro!$G238))),({1,2,3,4,5,6,7,8,9,10,11,12,13,14,15,16,17,18,19,20,21,22,23,24,25,26,27,28,29,30}-1)*LEN(Registro!$G238)+1,LEN(Registro!$G238))),FIND("x",TRIM(MID(SUBSTITUTE(SUBSTITUTE(SUBSTITUTE(SUBSTITUTE(SUBSTITUTE(LOWER(Registro!$G238),"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",LEN(Registro!$G238))),({1,2,3,4,5,6,7,8,9,10,11,12,13,14,15,16,17,18,19,20,21,22,23,24,25,26,27,28,29,30}-1)*LEN(Registro!$G238)+1,LEN(Registro!$G238)))&amp;"x")+1,20))),"Revisar formato")))</f>
        <v/>
      </c>
      <c r="J238" s="9" t="str">
        <f>IF(AND(Registro!$E238="",Registro!$G238=""),"",IF(NOT(AND(ISNUMBER(I238),ISNUMBER(Registro!$H238))),"",IF(I238&lt;Registro!$H238,"FALTA BOLETOS",IF(I238=Registro!$H238,"CONFORME","DIFERENCIA"))))</f>
        <v/>
      </c>
      <c r="K238" s="11" t="str">
        <f>IF(Registro!$I238="","",IFERROR(SUMPRODUCT(--("0"&amp;TRIM(RIGHT(SUBSTITUTE(TRIM(MID(SUBSTITUTE(SUBSTITUTE(Registro!$I238,";",CHAR(10)),CHAR(10),REPT(" ",LEN(Registro!$I238))),({1,2,3,4,5,6,7,8,9,10,11,12,13,14,15,16,17,18,19,20,21,22,23,24,25,26,27,28,29,30}-1)*LEN(Registro!$I238)+1,LEN(Registro!$I238)))," ",REPT(" ",50)),50)))),"Revisar formato"))</f>
        <v/>
      </c>
      <c r="L238" s="11" t="str">
        <f>IF(Registro!$J238="","",IFERROR(SUMPRODUCT(--("0"&amp;TRIM(RIGHT(SUBSTITUTE(TRIM(MID(SUBSTITUTE(SUBSTITUTE(Registro!$J238,";",CHAR(10)),CHAR(10),REPT(" ",LEN(Registro!$J238))),({1,2,3,4,5,6,7,8,9,10,11,12,13,14,15,16,17,18,19,20,21,22,23,24,25,26,27,28,29,30}-1)*LEN(Registro!$J238)+1,LEN(Registro!$J238)))," ",REPT(" ",50)),50)))),"Revisar formato"))</f>
        <v/>
      </c>
      <c r="M238" s="11" t="str">
        <f>IF(AND(Registro!$H238="",Registro!$I238=""),"",IF(AND(ISTEXT(K238),K238&lt;&gt;""),"Revisar formato",N(Registro!$H238)-N(K238)))</f>
        <v/>
      </c>
      <c r="N238" s="11" t="str">
        <f t="shared" si="11"/>
        <v/>
      </c>
      <c r="O238" s="15" t="str">
        <f>IF(AND(A238=Consulta!$B$3,C238=Consulta!$H$3),B238*10000+ROW(),"")</f>
        <v/>
      </c>
    </row>
    <row r="239" spans="1:15" x14ac:dyDescent="0.25">
      <c r="A239" s="9" t="str">
        <f>IF(Registro!$A239="","",Registro!$A239)</f>
        <v/>
      </c>
      <c r="B239" s="8" t="str">
        <f>IF(Registro!$B239="","",Registro!$B239)</f>
        <v/>
      </c>
      <c r="C239" s="14" t="str">
        <f t="shared" si="9"/>
        <v/>
      </c>
      <c r="D239" s="10" t="str">
        <f>IF(Registro!$E239="","",IF(ISERROR(FIND("x",LOWER(Registro!$E239))),"-",IFERROR(SUMPRODUCT(--("0"&amp;LEFT(TRIM(MID(SUBSTITUTE(SUBSTITUTE(SUBSTITUTE(SUBSTITUTE(SUBSTITUTE(LOWER(Registro!$E239),"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",LEN(Registro!$E239))),({1,2,3,4,5,6,7,8,9,10,11,12,13,14,15,16,17,18,19,20,21,22,23,24,25,26,27,28,29,30}-1)*LEN(Registro!$E239)+1,LEN(Registro!$E239)))&amp;"x")-1))),"Revisar formato")))</f>
        <v/>
      </c>
      <c r="E239" s="11" t="str">
        <f>IF(Registro!$E239="","",IF(ISERROR(FIND("x",LOWER(Registro!$E239))),"-",IFERROR(SUMPRODUCT(--("0"&amp;LEFT(TRIM(MID(SUBSTITUTE(SUBSTITUTE(SUBSTITUTE(SUBSTITUTE(SUBSTITUTE(LOWER(Registro!$E239),"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",LEN(Registro!$E239))),({1,2,3,4,5,6,7,8,9,10,11,12,13,14,15,16,17,18,19,20,21,22,23,24,25,26,27,28,29,30}-1)*LEN(Registro!$E239)+1,LEN(Registro!$E239)))&amp;"x")-1)),--("0"&amp;MID(TRIM(MID(SUBSTITUTE(SUBSTITUTE(SUBSTITUTE(SUBSTITUTE(SUBSTITUTE(LOWER(Registro!$E239),"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",LEN(Registro!$E239))),({1,2,3,4,5,6,7,8,9,10,11,12,13,14,15,16,17,18,19,20,21,22,23,24,25,26,27,28,29,30}-1)*LEN(Registro!$E239)+1,LEN(Registro!$E239)))&amp;"x")+1,20))),"Revisar formato")))</f>
        <v/>
      </c>
      <c r="F239" s="11" t="str">
        <f>IF(Registro!$F239="","",N(Registro!$F239))</f>
        <v/>
      </c>
      <c r="G239" s="11" t="str">
        <f t="shared" si="10"/>
        <v/>
      </c>
      <c r="H239" s="10" t="str">
        <f>IF(Registro!$G239="","",IF(ISERROR(FIND("x",LOWER(Registro!$G239))),"-",IFERROR(SUMPRODUCT(--("0"&amp;LEFT(TRIM(MID(SUBSTITUTE(SUBSTITUTE(SUBSTITUTE(SUBSTITUTE(SUBSTITUTE(LOWER(Registro!$G239),"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",LEN(Registro!$G239))),({1,2,3,4,5,6,7,8,9,10,11,12,13,14,15,16,17,18,19,20,21,22,23,24,25,26,27,28,29,30}-1)*LEN(Registro!$G239)+1,LEN(Registro!$G239))),FIND("x",TRIM(MID(SUBSTITUTE(SUBSTITUTE(SUBSTITUTE(SUBSTITUTE(SUBSTITUTE(LOWER(Registro!$G239),"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",LEN(Registro!$G239))),({1,2,3,4,5,6,7,8,9,10,11,12,13,14,15,16,17,18,19,20,21,22,23,24,25,26,27,28,29,30}-1)*LEN(Registro!$G239)+1,LEN(Registro!$G239)))&amp;"x")-1))),"Revisar formato")))</f>
        <v/>
      </c>
      <c r="I239" s="11" t="str">
        <f>IF(Registro!$G239="","",IF(ISERROR(FIND("x",LOWER(Registro!$G239))),N(Registro!$H239),IFERROR(SUMPRODUCT(--("0"&amp;LEFT(TRIM(MID(SUBSTITUTE(SUBSTITUTE(SUBSTITUTE(SUBSTITUTE(SUBSTITUTE(LOWER(Registro!$G239),"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",LEN(Registro!$G239))),({1,2,3,4,5,6,7,8,9,10,11,12,13,14,15,16,17,18,19,20,21,22,23,24,25,26,27,28,29,30}-1)*LEN(Registro!$G239)+1,LEN(Registro!$G239))),FIND("x",TRIM(MID(SUBSTITUTE(SUBSTITUTE(SUBSTITUTE(SUBSTITUTE(SUBSTITUTE(LOWER(Registro!$G239),"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",LEN(Registro!$G239))),({1,2,3,4,5,6,7,8,9,10,11,12,13,14,15,16,17,18,19,20,21,22,23,24,25,26,27,28,29,30}-1)*LEN(Registro!$G239)+1,LEN(Registro!$G239)))&amp;"x")-1)),--("0"&amp;MID(TRIM(MID(SUBSTITUTE(SUBSTITUTE(SUBSTITUTE(SUBSTITUTE(SUBSTITUTE(LOWER(Registro!$G239),"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",LEN(Registro!$G239))),({1,2,3,4,5,6,7,8,9,10,11,12,13,14,15,16,17,18,19,20,21,22,23,24,25,26,27,28,29,30}-1)*LEN(Registro!$G239)+1,LEN(Registro!$G239))),FIND("x",TRIM(MID(SUBSTITUTE(SUBSTITUTE(SUBSTITUTE(SUBSTITUTE(SUBSTITUTE(LOWER(Registro!$G239),"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",LEN(Registro!$G239))),({1,2,3,4,5,6,7,8,9,10,11,12,13,14,15,16,17,18,19,20,21,22,23,24,25,26,27,28,29,30}-1)*LEN(Registro!$G239)+1,LEN(Registro!$G239)))&amp;"x")+1,20))),"Revisar formato")))</f>
        <v/>
      </c>
      <c r="J239" s="9" t="str">
        <f>IF(AND(Registro!$E239="",Registro!$G239=""),"",IF(NOT(AND(ISNUMBER(I239),ISNUMBER(Registro!$H239))),"",IF(I239&lt;Registro!$H239,"FALTA BOLETOS",IF(I239=Registro!$H239,"CONFORME","DIFERENCIA"))))</f>
        <v/>
      </c>
      <c r="K239" s="11" t="str">
        <f>IF(Registro!$I239="","",IFERROR(SUMPRODUCT(--("0"&amp;TRIM(RIGHT(SUBSTITUTE(TRIM(MID(SUBSTITUTE(SUBSTITUTE(Registro!$I239,";",CHAR(10)),CHAR(10),REPT(" ",LEN(Registro!$I239))),({1,2,3,4,5,6,7,8,9,10,11,12,13,14,15,16,17,18,19,20,21,22,23,24,25,26,27,28,29,30}-1)*LEN(Registro!$I239)+1,LEN(Registro!$I239)))," ",REPT(" ",50)),50)))),"Revisar formato"))</f>
        <v/>
      </c>
      <c r="L239" s="11" t="str">
        <f>IF(Registro!$J239="","",IFERROR(SUMPRODUCT(--("0"&amp;TRIM(RIGHT(SUBSTITUTE(TRIM(MID(SUBSTITUTE(SUBSTITUTE(Registro!$J239,";",CHAR(10)),CHAR(10),REPT(" ",LEN(Registro!$J239))),({1,2,3,4,5,6,7,8,9,10,11,12,13,14,15,16,17,18,19,20,21,22,23,24,25,26,27,28,29,30}-1)*LEN(Registro!$J239)+1,LEN(Registro!$J239)))," ",REPT(" ",50)),50)))),"Revisar formato"))</f>
        <v/>
      </c>
      <c r="M239" s="11" t="str">
        <f>IF(AND(Registro!$H239="",Registro!$I239=""),"",IF(AND(ISTEXT(K239),K239&lt;&gt;""),"Revisar formato",N(Registro!$H239)-N(K239)))</f>
        <v/>
      </c>
      <c r="N239" s="11" t="str">
        <f t="shared" si="11"/>
        <v/>
      </c>
      <c r="O239" s="15" t="str">
        <f>IF(AND(A239=Consulta!$B$3,C239=Consulta!$H$3),B239*10000+ROW(),"")</f>
        <v/>
      </c>
    </row>
    <row r="240" spans="1:15" x14ac:dyDescent="0.25">
      <c r="A240" s="9" t="str">
        <f>IF(Registro!$A240="","",Registro!$A240)</f>
        <v/>
      </c>
      <c r="B240" s="8" t="str">
        <f>IF(Registro!$B240="","",Registro!$B240)</f>
        <v/>
      </c>
      <c r="C240" s="14" t="str">
        <f t="shared" si="9"/>
        <v/>
      </c>
      <c r="D240" s="10" t="str">
        <f>IF(Registro!$E240="","",IF(ISERROR(FIND("x",LOWER(Registro!$E240))),"-",IFERROR(SUMPRODUCT(--("0"&amp;LEFT(TRIM(MID(SUBSTITUTE(SUBSTITUTE(SUBSTITUTE(SUBSTITUTE(SUBSTITUTE(LOWER(Registro!$E240),"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",LEN(Registro!$E240))),({1,2,3,4,5,6,7,8,9,10,11,12,13,14,15,16,17,18,19,20,21,22,23,24,25,26,27,28,29,30}-1)*LEN(Registro!$E240)+1,LEN(Registro!$E240)))&amp;"x")-1))),"Revisar formato")))</f>
        <v/>
      </c>
      <c r="E240" s="11" t="str">
        <f>IF(Registro!$E240="","",IF(ISERROR(FIND("x",LOWER(Registro!$E240))),"-",IFERROR(SUMPRODUCT(--("0"&amp;LEFT(TRIM(MID(SUBSTITUTE(SUBSTITUTE(SUBSTITUTE(SUBSTITUTE(SUBSTITUTE(LOWER(Registro!$E240),"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",LEN(Registro!$E240))),({1,2,3,4,5,6,7,8,9,10,11,12,13,14,15,16,17,18,19,20,21,22,23,24,25,26,27,28,29,30}-1)*LEN(Registro!$E240)+1,LEN(Registro!$E240)))&amp;"x")-1)),--("0"&amp;MID(TRIM(MID(SUBSTITUTE(SUBSTITUTE(SUBSTITUTE(SUBSTITUTE(SUBSTITUTE(LOWER(Registro!$E240),"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",LEN(Registro!$E240))),({1,2,3,4,5,6,7,8,9,10,11,12,13,14,15,16,17,18,19,20,21,22,23,24,25,26,27,28,29,30}-1)*LEN(Registro!$E240)+1,LEN(Registro!$E240)))&amp;"x")+1,20))),"Revisar formato")))</f>
        <v/>
      </c>
      <c r="F240" s="11" t="str">
        <f>IF(Registro!$F240="","",N(Registro!$F240))</f>
        <v/>
      </c>
      <c r="G240" s="11" t="str">
        <f t="shared" si="10"/>
        <v/>
      </c>
      <c r="H240" s="10" t="str">
        <f>IF(Registro!$G240="","",IF(ISERROR(FIND("x",LOWER(Registro!$G240))),"-",IFERROR(SUMPRODUCT(--("0"&amp;LEFT(TRIM(MID(SUBSTITUTE(SUBSTITUTE(SUBSTITUTE(SUBSTITUTE(SUBSTITUTE(LOWER(Registro!$G240),"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",LEN(Registro!$G240))),({1,2,3,4,5,6,7,8,9,10,11,12,13,14,15,16,17,18,19,20,21,22,23,24,25,26,27,28,29,30}-1)*LEN(Registro!$G240)+1,LEN(Registro!$G240))),FIND("x",TRIM(MID(SUBSTITUTE(SUBSTITUTE(SUBSTITUTE(SUBSTITUTE(SUBSTITUTE(LOWER(Registro!$G240),"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",LEN(Registro!$G240))),({1,2,3,4,5,6,7,8,9,10,11,12,13,14,15,16,17,18,19,20,21,22,23,24,25,26,27,28,29,30}-1)*LEN(Registro!$G240)+1,LEN(Registro!$G240)))&amp;"x")-1))),"Revisar formato")))</f>
        <v/>
      </c>
      <c r="I240" s="11" t="str">
        <f>IF(Registro!$G240="","",IF(ISERROR(FIND("x",LOWER(Registro!$G240))),N(Registro!$H240),IFERROR(SUMPRODUCT(--("0"&amp;LEFT(TRIM(MID(SUBSTITUTE(SUBSTITUTE(SUBSTITUTE(SUBSTITUTE(SUBSTITUTE(LOWER(Registro!$G240),"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",LEN(Registro!$G240))),({1,2,3,4,5,6,7,8,9,10,11,12,13,14,15,16,17,18,19,20,21,22,23,24,25,26,27,28,29,30}-1)*LEN(Registro!$G240)+1,LEN(Registro!$G240))),FIND("x",TRIM(MID(SUBSTITUTE(SUBSTITUTE(SUBSTITUTE(SUBSTITUTE(SUBSTITUTE(LOWER(Registro!$G240),"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",LEN(Registro!$G240))),({1,2,3,4,5,6,7,8,9,10,11,12,13,14,15,16,17,18,19,20,21,22,23,24,25,26,27,28,29,30}-1)*LEN(Registro!$G240)+1,LEN(Registro!$G240)))&amp;"x")-1)),--("0"&amp;MID(TRIM(MID(SUBSTITUTE(SUBSTITUTE(SUBSTITUTE(SUBSTITUTE(SUBSTITUTE(LOWER(Registro!$G240),"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",LEN(Registro!$G240))),({1,2,3,4,5,6,7,8,9,10,11,12,13,14,15,16,17,18,19,20,21,22,23,24,25,26,27,28,29,30}-1)*LEN(Registro!$G240)+1,LEN(Registro!$G240))),FIND("x",TRIM(MID(SUBSTITUTE(SUBSTITUTE(SUBSTITUTE(SUBSTITUTE(SUBSTITUTE(LOWER(Registro!$G240),"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",LEN(Registro!$G240))),({1,2,3,4,5,6,7,8,9,10,11,12,13,14,15,16,17,18,19,20,21,22,23,24,25,26,27,28,29,30}-1)*LEN(Registro!$G240)+1,LEN(Registro!$G240)))&amp;"x")+1,20))),"Revisar formato")))</f>
        <v/>
      </c>
      <c r="J240" s="9" t="str">
        <f>IF(AND(Registro!$E240="",Registro!$G240=""),"",IF(NOT(AND(ISNUMBER(I240),ISNUMBER(Registro!$H240))),"",IF(I240&lt;Registro!$H240,"FALTA BOLETOS",IF(I240=Registro!$H240,"CONFORME","DIFERENCIA"))))</f>
        <v/>
      </c>
      <c r="K240" s="11" t="str">
        <f>IF(Registro!$I240="","",IFERROR(SUMPRODUCT(--("0"&amp;TRIM(RIGHT(SUBSTITUTE(TRIM(MID(SUBSTITUTE(SUBSTITUTE(Registro!$I240,";",CHAR(10)),CHAR(10),REPT(" ",LEN(Registro!$I240))),({1,2,3,4,5,6,7,8,9,10,11,12,13,14,15,16,17,18,19,20,21,22,23,24,25,26,27,28,29,30}-1)*LEN(Registro!$I240)+1,LEN(Registro!$I240)))," ",REPT(" ",50)),50)))),"Revisar formato"))</f>
        <v/>
      </c>
      <c r="L240" s="11" t="str">
        <f>IF(Registro!$J240="","",IFERROR(SUMPRODUCT(--("0"&amp;TRIM(RIGHT(SUBSTITUTE(TRIM(MID(SUBSTITUTE(SUBSTITUTE(Registro!$J240,";",CHAR(10)),CHAR(10),REPT(" ",LEN(Registro!$J240))),({1,2,3,4,5,6,7,8,9,10,11,12,13,14,15,16,17,18,19,20,21,22,23,24,25,26,27,28,29,30}-1)*LEN(Registro!$J240)+1,LEN(Registro!$J240)))," ",REPT(" ",50)),50)))),"Revisar formato"))</f>
        <v/>
      </c>
      <c r="M240" s="11" t="str">
        <f>IF(AND(Registro!$H240="",Registro!$I240=""),"",IF(AND(ISTEXT(K240),K240&lt;&gt;""),"Revisar formato",N(Registro!$H240)-N(K240)))</f>
        <v/>
      </c>
      <c r="N240" s="11" t="str">
        <f t="shared" si="11"/>
        <v/>
      </c>
      <c r="O240" s="15" t="str">
        <f>IF(AND(A240=Consulta!$B$3,C240=Consulta!$H$3),B240*10000+ROW(),"")</f>
        <v/>
      </c>
    </row>
    <row r="241" spans="1:15" x14ac:dyDescent="0.25">
      <c r="A241" s="9" t="str">
        <f>IF(Registro!$A241="","",Registro!$A241)</f>
        <v/>
      </c>
      <c r="B241" s="8" t="str">
        <f>IF(Registro!$B241="","",Registro!$B241)</f>
        <v/>
      </c>
      <c r="C241" s="14" t="str">
        <f t="shared" si="9"/>
        <v/>
      </c>
      <c r="D241" s="10" t="str">
        <f>IF(Registro!$E241="","",IF(ISERROR(FIND("x",LOWER(Registro!$E241))),"-",IFERROR(SUMPRODUCT(--("0"&amp;LEFT(TRIM(MID(SUBSTITUTE(SUBSTITUTE(SUBSTITUTE(SUBSTITUTE(SUBSTITUTE(LOWER(Registro!$E241),"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",LEN(Registro!$E241))),({1,2,3,4,5,6,7,8,9,10,11,12,13,14,15,16,17,18,19,20,21,22,23,24,25,26,27,28,29,30}-1)*LEN(Registro!$E241)+1,LEN(Registro!$E241)))&amp;"x")-1))),"Revisar formato")))</f>
        <v/>
      </c>
      <c r="E241" s="11" t="str">
        <f>IF(Registro!$E241="","",IF(ISERROR(FIND("x",LOWER(Registro!$E241))),"-",IFERROR(SUMPRODUCT(--("0"&amp;LEFT(TRIM(MID(SUBSTITUTE(SUBSTITUTE(SUBSTITUTE(SUBSTITUTE(SUBSTITUTE(LOWER(Registro!$E241),"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",LEN(Registro!$E241))),({1,2,3,4,5,6,7,8,9,10,11,12,13,14,15,16,17,18,19,20,21,22,23,24,25,26,27,28,29,30}-1)*LEN(Registro!$E241)+1,LEN(Registro!$E241)))&amp;"x")-1)),--("0"&amp;MID(TRIM(MID(SUBSTITUTE(SUBSTITUTE(SUBSTITUTE(SUBSTITUTE(SUBSTITUTE(LOWER(Registro!$E241),"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",LEN(Registro!$E241))),({1,2,3,4,5,6,7,8,9,10,11,12,13,14,15,16,17,18,19,20,21,22,23,24,25,26,27,28,29,30}-1)*LEN(Registro!$E241)+1,LEN(Registro!$E241)))&amp;"x")+1,20))),"Revisar formato")))</f>
        <v/>
      </c>
      <c r="F241" s="11" t="str">
        <f>IF(Registro!$F241="","",N(Registro!$F241))</f>
        <v/>
      </c>
      <c r="G241" s="11" t="str">
        <f t="shared" si="10"/>
        <v/>
      </c>
      <c r="H241" s="10" t="str">
        <f>IF(Registro!$G241="","",IF(ISERROR(FIND("x",LOWER(Registro!$G241))),"-",IFERROR(SUMPRODUCT(--("0"&amp;LEFT(TRIM(MID(SUBSTITUTE(SUBSTITUTE(SUBSTITUTE(SUBSTITUTE(SUBSTITUTE(LOWER(Registro!$G241),"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",LEN(Registro!$G241))),({1,2,3,4,5,6,7,8,9,10,11,12,13,14,15,16,17,18,19,20,21,22,23,24,25,26,27,28,29,30}-1)*LEN(Registro!$G241)+1,LEN(Registro!$G241))),FIND("x",TRIM(MID(SUBSTITUTE(SUBSTITUTE(SUBSTITUTE(SUBSTITUTE(SUBSTITUTE(LOWER(Registro!$G241),"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",LEN(Registro!$G241))),({1,2,3,4,5,6,7,8,9,10,11,12,13,14,15,16,17,18,19,20,21,22,23,24,25,26,27,28,29,30}-1)*LEN(Registro!$G241)+1,LEN(Registro!$G241)))&amp;"x")-1))),"Revisar formato")))</f>
        <v/>
      </c>
      <c r="I241" s="11" t="str">
        <f>IF(Registro!$G241="","",IF(ISERROR(FIND("x",LOWER(Registro!$G241))),N(Registro!$H241),IFERROR(SUMPRODUCT(--("0"&amp;LEFT(TRIM(MID(SUBSTITUTE(SUBSTITUTE(SUBSTITUTE(SUBSTITUTE(SUBSTITUTE(LOWER(Registro!$G241),"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",LEN(Registro!$G241))),({1,2,3,4,5,6,7,8,9,10,11,12,13,14,15,16,17,18,19,20,21,22,23,24,25,26,27,28,29,30}-1)*LEN(Registro!$G241)+1,LEN(Registro!$G241))),FIND("x",TRIM(MID(SUBSTITUTE(SUBSTITUTE(SUBSTITUTE(SUBSTITUTE(SUBSTITUTE(LOWER(Registro!$G241),"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",LEN(Registro!$G241))),({1,2,3,4,5,6,7,8,9,10,11,12,13,14,15,16,17,18,19,20,21,22,23,24,25,26,27,28,29,30}-1)*LEN(Registro!$G241)+1,LEN(Registro!$G241)))&amp;"x")-1)),--("0"&amp;MID(TRIM(MID(SUBSTITUTE(SUBSTITUTE(SUBSTITUTE(SUBSTITUTE(SUBSTITUTE(LOWER(Registro!$G241),"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",LEN(Registro!$G241))),({1,2,3,4,5,6,7,8,9,10,11,12,13,14,15,16,17,18,19,20,21,22,23,24,25,26,27,28,29,30}-1)*LEN(Registro!$G241)+1,LEN(Registro!$G241))),FIND("x",TRIM(MID(SUBSTITUTE(SUBSTITUTE(SUBSTITUTE(SUBSTITUTE(SUBSTITUTE(LOWER(Registro!$G241),"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",LEN(Registro!$G241))),({1,2,3,4,5,6,7,8,9,10,11,12,13,14,15,16,17,18,19,20,21,22,23,24,25,26,27,28,29,30}-1)*LEN(Registro!$G241)+1,LEN(Registro!$G241)))&amp;"x")+1,20))),"Revisar formato")))</f>
        <v/>
      </c>
      <c r="J241" s="9" t="str">
        <f>IF(AND(Registro!$E241="",Registro!$G241=""),"",IF(NOT(AND(ISNUMBER(I241),ISNUMBER(Registro!$H241))),"",IF(I241&lt;Registro!$H241,"FALTA BOLETOS",IF(I241=Registro!$H241,"CONFORME","DIFERENCIA"))))</f>
        <v/>
      </c>
      <c r="K241" s="11" t="str">
        <f>IF(Registro!$I241="","",IFERROR(SUMPRODUCT(--("0"&amp;TRIM(RIGHT(SUBSTITUTE(TRIM(MID(SUBSTITUTE(SUBSTITUTE(Registro!$I241,";",CHAR(10)),CHAR(10),REPT(" ",LEN(Registro!$I241))),({1,2,3,4,5,6,7,8,9,10,11,12,13,14,15,16,17,18,19,20,21,22,23,24,25,26,27,28,29,30}-1)*LEN(Registro!$I241)+1,LEN(Registro!$I241)))," ",REPT(" ",50)),50)))),"Revisar formato"))</f>
        <v/>
      </c>
      <c r="L241" s="11" t="str">
        <f>IF(Registro!$J241="","",IFERROR(SUMPRODUCT(--("0"&amp;TRIM(RIGHT(SUBSTITUTE(TRIM(MID(SUBSTITUTE(SUBSTITUTE(Registro!$J241,";",CHAR(10)),CHAR(10),REPT(" ",LEN(Registro!$J241))),({1,2,3,4,5,6,7,8,9,10,11,12,13,14,15,16,17,18,19,20,21,22,23,24,25,26,27,28,29,30}-1)*LEN(Registro!$J241)+1,LEN(Registro!$J241)))," ",REPT(" ",50)),50)))),"Revisar formato"))</f>
        <v/>
      </c>
      <c r="M241" s="11" t="str">
        <f>IF(AND(Registro!$H241="",Registro!$I241=""),"",IF(AND(ISTEXT(K241),K241&lt;&gt;""),"Revisar formato",N(Registro!$H241)-N(K241)))</f>
        <v/>
      </c>
      <c r="N241" s="11" t="str">
        <f t="shared" si="11"/>
        <v/>
      </c>
      <c r="O241" s="15" t="str">
        <f>IF(AND(A241=Consulta!$B$3,C241=Consulta!$H$3),B241*10000+ROW(),"")</f>
        <v/>
      </c>
    </row>
    <row r="242" spans="1:15" x14ac:dyDescent="0.25">
      <c r="A242" s="9" t="str">
        <f>IF(Registro!$A242="","",Registro!$A242)</f>
        <v/>
      </c>
      <c r="B242" s="8" t="str">
        <f>IF(Registro!$B242="","",Registro!$B242)</f>
        <v/>
      </c>
      <c r="C242" s="14" t="str">
        <f t="shared" si="9"/>
        <v/>
      </c>
      <c r="D242" s="10" t="str">
        <f>IF(Registro!$E242="","",IF(ISERROR(FIND("x",LOWER(Registro!$E242))),"-",IFERROR(SUMPRODUCT(--("0"&amp;LEFT(TRIM(MID(SUBSTITUTE(SUBSTITUTE(SUBSTITUTE(SUBSTITUTE(SUBSTITUTE(LOWER(Registro!$E242),"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",LEN(Registro!$E242))),({1,2,3,4,5,6,7,8,9,10,11,12,13,14,15,16,17,18,19,20,21,22,23,24,25,26,27,28,29,30}-1)*LEN(Registro!$E242)+1,LEN(Registro!$E242)))&amp;"x")-1))),"Revisar formato")))</f>
        <v/>
      </c>
      <c r="E242" s="11" t="str">
        <f>IF(Registro!$E242="","",IF(ISERROR(FIND("x",LOWER(Registro!$E242))),"-",IFERROR(SUMPRODUCT(--("0"&amp;LEFT(TRIM(MID(SUBSTITUTE(SUBSTITUTE(SUBSTITUTE(SUBSTITUTE(SUBSTITUTE(LOWER(Registro!$E242),"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",LEN(Registro!$E242))),({1,2,3,4,5,6,7,8,9,10,11,12,13,14,15,16,17,18,19,20,21,22,23,24,25,26,27,28,29,30}-1)*LEN(Registro!$E242)+1,LEN(Registro!$E242)))&amp;"x")-1)),--("0"&amp;MID(TRIM(MID(SUBSTITUTE(SUBSTITUTE(SUBSTITUTE(SUBSTITUTE(SUBSTITUTE(LOWER(Registro!$E242),"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",LEN(Registro!$E242))),({1,2,3,4,5,6,7,8,9,10,11,12,13,14,15,16,17,18,19,20,21,22,23,24,25,26,27,28,29,30}-1)*LEN(Registro!$E242)+1,LEN(Registro!$E242)))&amp;"x")+1,20))),"Revisar formato")))</f>
        <v/>
      </c>
      <c r="F242" s="11" t="str">
        <f>IF(Registro!$F242="","",N(Registro!$F242))</f>
        <v/>
      </c>
      <c r="G242" s="11" t="str">
        <f t="shared" si="10"/>
        <v/>
      </c>
      <c r="H242" s="10" t="str">
        <f>IF(Registro!$G242="","",IF(ISERROR(FIND("x",LOWER(Registro!$G242))),"-",IFERROR(SUMPRODUCT(--("0"&amp;LEFT(TRIM(MID(SUBSTITUTE(SUBSTITUTE(SUBSTITUTE(SUBSTITUTE(SUBSTITUTE(LOWER(Registro!$G242),"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",LEN(Registro!$G242))),({1,2,3,4,5,6,7,8,9,10,11,12,13,14,15,16,17,18,19,20,21,22,23,24,25,26,27,28,29,30}-1)*LEN(Registro!$G242)+1,LEN(Registro!$G242))),FIND("x",TRIM(MID(SUBSTITUTE(SUBSTITUTE(SUBSTITUTE(SUBSTITUTE(SUBSTITUTE(LOWER(Registro!$G242),"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",LEN(Registro!$G242))),({1,2,3,4,5,6,7,8,9,10,11,12,13,14,15,16,17,18,19,20,21,22,23,24,25,26,27,28,29,30}-1)*LEN(Registro!$G242)+1,LEN(Registro!$G242)))&amp;"x")-1))),"Revisar formato")))</f>
        <v/>
      </c>
      <c r="I242" s="11" t="str">
        <f>IF(Registro!$G242="","",IF(ISERROR(FIND("x",LOWER(Registro!$G242))),N(Registro!$H242),IFERROR(SUMPRODUCT(--("0"&amp;LEFT(TRIM(MID(SUBSTITUTE(SUBSTITUTE(SUBSTITUTE(SUBSTITUTE(SUBSTITUTE(LOWER(Registro!$G242),"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",LEN(Registro!$G242))),({1,2,3,4,5,6,7,8,9,10,11,12,13,14,15,16,17,18,19,20,21,22,23,24,25,26,27,28,29,30}-1)*LEN(Registro!$G242)+1,LEN(Registro!$G242))),FIND("x",TRIM(MID(SUBSTITUTE(SUBSTITUTE(SUBSTITUTE(SUBSTITUTE(SUBSTITUTE(LOWER(Registro!$G242),"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",LEN(Registro!$G242))),({1,2,3,4,5,6,7,8,9,10,11,12,13,14,15,16,17,18,19,20,21,22,23,24,25,26,27,28,29,30}-1)*LEN(Registro!$G242)+1,LEN(Registro!$G242)))&amp;"x")-1)),--("0"&amp;MID(TRIM(MID(SUBSTITUTE(SUBSTITUTE(SUBSTITUTE(SUBSTITUTE(SUBSTITUTE(LOWER(Registro!$G242),"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",LEN(Registro!$G242))),({1,2,3,4,5,6,7,8,9,10,11,12,13,14,15,16,17,18,19,20,21,22,23,24,25,26,27,28,29,30}-1)*LEN(Registro!$G242)+1,LEN(Registro!$G242))),FIND("x",TRIM(MID(SUBSTITUTE(SUBSTITUTE(SUBSTITUTE(SUBSTITUTE(SUBSTITUTE(LOWER(Registro!$G242),"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",LEN(Registro!$G242))),({1,2,3,4,5,6,7,8,9,10,11,12,13,14,15,16,17,18,19,20,21,22,23,24,25,26,27,28,29,30}-1)*LEN(Registro!$G242)+1,LEN(Registro!$G242)))&amp;"x")+1,20))),"Revisar formato")))</f>
        <v/>
      </c>
      <c r="J242" s="9" t="str">
        <f>IF(AND(Registro!$E242="",Registro!$G242=""),"",IF(NOT(AND(ISNUMBER(I242),ISNUMBER(Registro!$H242))),"",IF(I242&lt;Registro!$H242,"FALTA BOLETOS",IF(I242=Registro!$H242,"CONFORME","DIFERENCIA"))))</f>
        <v/>
      </c>
      <c r="K242" s="11" t="str">
        <f>IF(Registro!$I242="","",IFERROR(SUMPRODUCT(--("0"&amp;TRIM(RIGHT(SUBSTITUTE(TRIM(MID(SUBSTITUTE(SUBSTITUTE(Registro!$I242,";",CHAR(10)),CHAR(10),REPT(" ",LEN(Registro!$I242))),({1,2,3,4,5,6,7,8,9,10,11,12,13,14,15,16,17,18,19,20,21,22,23,24,25,26,27,28,29,30}-1)*LEN(Registro!$I242)+1,LEN(Registro!$I242)))," ",REPT(" ",50)),50)))),"Revisar formato"))</f>
        <v/>
      </c>
      <c r="L242" s="11" t="str">
        <f>IF(Registro!$J242="","",IFERROR(SUMPRODUCT(--("0"&amp;TRIM(RIGHT(SUBSTITUTE(TRIM(MID(SUBSTITUTE(SUBSTITUTE(Registro!$J242,";",CHAR(10)),CHAR(10),REPT(" ",LEN(Registro!$J242))),({1,2,3,4,5,6,7,8,9,10,11,12,13,14,15,16,17,18,19,20,21,22,23,24,25,26,27,28,29,30}-1)*LEN(Registro!$J242)+1,LEN(Registro!$J242)))," ",REPT(" ",50)),50)))),"Revisar formato"))</f>
        <v/>
      </c>
      <c r="M242" s="11" t="str">
        <f>IF(AND(Registro!$H242="",Registro!$I242=""),"",IF(AND(ISTEXT(K242),K242&lt;&gt;""),"Revisar formato",N(Registro!$H242)-N(K242)))</f>
        <v/>
      </c>
      <c r="N242" s="11" t="str">
        <f t="shared" si="11"/>
        <v/>
      </c>
      <c r="O242" s="15" t="str">
        <f>IF(AND(A242=Consulta!$B$3,C242=Consulta!$H$3),B242*10000+ROW(),"")</f>
        <v/>
      </c>
    </row>
    <row r="243" spans="1:15" x14ac:dyDescent="0.25">
      <c r="A243" s="9" t="str">
        <f>IF(Registro!$A243="","",Registro!$A243)</f>
        <v/>
      </c>
      <c r="B243" s="8" t="str">
        <f>IF(Registro!$B243="","",Registro!$B243)</f>
        <v/>
      </c>
      <c r="C243" s="14" t="str">
        <f t="shared" si="9"/>
        <v/>
      </c>
      <c r="D243" s="10" t="str">
        <f>IF(Registro!$E243="","",IF(ISERROR(FIND("x",LOWER(Registro!$E243))),"-",IFERROR(SUMPRODUCT(--("0"&amp;LEFT(TRIM(MID(SUBSTITUTE(SUBSTITUTE(SUBSTITUTE(SUBSTITUTE(SUBSTITUTE(LOWER(Registro!$E243),"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",LEN(Registro!$E243))),({1,2,3,4,5,6,7,8,9,10,11,12,13,14,15,16,17,18,19,20,21,22,23,24,25,26,27,28,29,30}-1)*LEN(Registro!$E243)+1,LEN(Registro!$E243)))&amp;"x")-1))),"Revisar formato")))</f>
        <v/>
      </c>
      <c r="E243" s="11" t="str">
        <f>IF(Registro!$E243="","",IF(ISERROR(FIND("x",LOWER(Registro!$E243))),"-",IFERROR(SUMPRODUCT(--("0"&amp;LEFT(TRIM(MID(SUBSTITUTE(SUBSTITUTE(SUBSTITUTE(SUBSTITUTE(SUBSTITUTE(LOWER(Registro!$E243),"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",LEN(Registro!$E243))),({1,2,3,4,5,6,7,8,9,10,11,12,13,14,15,16,17,18,19,20,21,22,23,24,25,26,27,28,29,30}-1)*LEN(Registro!$E243)+1,LEN(Registro!$E243)))&amp;"x")-1)),--("0"&amp;MID(TRIM(MID(SUBSTITUTE(SUBSTITUTE(SUBSTITUTE(SUBSTITUTE(SUBSTITUTE(LOWER(Registro!$E243),"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",LEN(Registro!$E243))),({1,2,3,4,5,6,7,8,9,10,11,12,13,14,15,16,17,18,19,20,21,22,23,24,25,26,27,28,29,30}-1)*LEN(Registro!$E243)+1,LEN(Registro!$E243)))&amp;"x")+1,20))),"Revisar formato")))</f>
        <v/>
      </c>
      <c r="F243" s="11" t="str">
        <f>IF(Registro!$F243="","",N(Registro!$F243))</f>
        <v/>
      </c>
      <c r="G243" s="11" t="str">
        <f t="shared" si="10"/>
        <v/>
      </c>
      <c r="H243" s="10" t="str">
        <f>IF(Registro!$G243="","",IF(ISERROR(FIND("x",LOWER(Registro!$G243))),"-",IFERROR(SUMPRODUCT(--("0"&amp;LEFT(TRIM(MID(SUBSTITUTE(SUBSTITUTE(SUBSTITUTE(SUBSTITUTE(SUBSTITUTE(LOWER(Registro!$G243),"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",LEN(Registro!$G243))),({1,2,3,4,5,6,7,8,9,10,11,12,13,14,15,16,17,18,19,20,21,22,23,24,25,26,27,28,29,30}-1)*LEN(Registro!$G243)+1,LEN(Registro!$G243))),FIND("x",TRIM(MID(SUBSTITUTE(SUBSTITUTE(SUBSTITUTE(SUBSTITUTE(SUBSTITUTE(LOWER(Registro!$G243),"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",LEN(Registro!$G243))),({1,2,3,4,5,6,7,8,9,10,11,12,13,14,15,16,17,18,19,20,21,22,23,24,25,26,27,28,29,30}-1)*LEN(Registro!$G243)+1,LEN(Registro!$G243)))&amp;"x")-1))),"Revisar formato")))</f>
        <v/>
      </c>
      <c r="I243" s="11" t="str">
        <f>IF(Registro!$G243="","",IF(ISERROR(FIND("x",LOWER(Registro!$G243))),N(Registro!$H243),IFERROR(SUMPRODUCT(--("0"&amp;LEFT(TRIM(MID(SUBSTITUTE(SUBSTITUTE(SUBSTITUTE(SUBSTITUTE(SUBSTITUTE(LOWER(Registro!$G243),"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",LEN(Registro!$G243))),({1,2,3,4,5,6,7,8,9,10,11,12,13,14,15,16,17,18,19,20,21,22,23,24,25,26,27,28,29,30}-1)*LEN(Registro!$G243)+1,LEN(Registro!$G243))),FIND("x",TRIM(MID(SUBSTITUTE(SUBSTITUTE(SUBSTITUTE(SUBSTITUTE(SUBSTITUTE(LOWER(Registro!$G243),"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",LEN(Registro!$G243))),({1,2,3,4,5,6,7,8,9,10,11,12,13,14,15,16,17,18,19,20,21,22,23,24,25,26,27,28,29,30}-1)*LEN(Registro!$G243)+1,LEN(Registro!$G243)))&amp;"x")-1)),--("0"&amp;MID(TRIM(MID(SUBSTITUTE(SUBSTITUTE(SUBSTITUTE(SUBSTITUTE(SUBSTITUTE(LOWER(Registro!$G243),"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",LEN(Registro!$G243))),({1,2,3,4,5,6,7,8,9,10,11,12,13,14,15,16,17,18,19,20,21,22,23,24,25,26,27,28,29,30}-1)*LEN(Registro!$G243)+1,LEN(Registro!$G243))),FIND("x",TRIM(MID(SUBSTITUTE(SUBSTITUTE(SUBSTITUTE(SUBSTITUTE(SUBSTITUTE(LOWER(Registro!$G243),"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",LEN(Registro!$G243))),({1,2,3,4,5,6,7,8,9,10,11,12,13,14,15,16,17,18,19,20,21,22,23,24,25,26,27,28,29,30}-1)*LEN(Registro!$G243)+1,LEN(Registro!$G243)))&amp;"x")+1,20))),"Revisar formato")))</f>
        <v/>
      </c>
      <c r="J243" s="9" t="str">
        <f>IF(AND(Registro!$E243="",Registro!$G243=""),"",IF(NOT(AND(ISNUMBER(I243),ISNUMBER(Registro!$H243))),"",IF(I243&lt;Registro!$H243,"FALTA BOLETOS",IF(I243=Registro!$H243,"CONFORME","DIFERENCIA"))))</f>
        <v/>
      </c>
      <c r="K243" s="11" t="str">
        <f>IF(Registro!$I243="","",IFERROR(SUMPRODUCT(--("0"&amp;TRIM(RIGHT(SUBSTITUTE(TRIM(MID(SUBSTITUTE(SUBSTITUTE(Registro!$I243,";",CHAR(10)),CHAR(10),REPT(" ",LEN(Registro!$I243))),({1,2,3,4,5,6,7,8,9,10,11,12,13,14,15,16,17,18,19,20,21,22,23,24,25,26,27,28,29,30}-1)*LEN(Registro!$I243)+1,LEN(Registro!$I243)))," ",REPT(" ",50)),50)))),"Revisar formato"))</f>
        <v/>
      </c>
      <c r="L243" s="11" t="str">
        <f>IF(Registro!$J243="","",IFERROR(SUMPRODUCT(--("0"&amp;TRIM(RIGHT(SUBSTITUTE(TRIM(MID(SUBSTITUTE(SUBSTITUTE(Registro!$J243,";",CHAR(10)),CHAR(10),REPT(" ",LEN(Registro!$J243))),({1,2,3,4,5,6,7,8,9,10,11,12,13,14,15,16,17,18,19,20,21,22,23,24,25,26,27,28,29,30}-1)*LEN(Registro!$J243)+1,LEN(Registro!$J243)))," ",REPT(" ",50)),50)))),"Revisar formato"))</f>
        <v/>
      </c>
      <c r="M243" s="11" t="str">
        <f>IF(AND(Registro!$H243="",Registro!$I243=""),"",IF(AND(ISTEXT(K243),K243&lt;&gt;""),"Revisar formato",N(Registro!$H243)-N(K243)))</f>
        <v/>
      </c>
      <c r="N243" s="11" t="str">
        <f t="shared" si="11"/>
        <v/>
      </c>
      <c r="O243" s="15" t="str">
        <f>IF(AND(A243=Consulta!$B$3,C243=Consulta!$H$3),B243*10000+ROW(),"")</f>
        <v/>
      </c>
    </row>
    <row r="244" spans="1:15" x14ac:dyDescent="0.25">
      <c r="A244" s="9" t="str">
        <f>IF(Registro!$A244="","",Registro!$A244)</f>
        <v/>
      </c>
      <c r="B244" s="8" t="str">
        <f>IF(Registro!$B244="","",Registro!$B244)</f>
        <v/>
      </c>
      <c r="C244" s="14" t="str">
        <f t="shared" si="9"/>
        <v/>
      </c>
      <c r="D244" s="10" t="str">
        <f>IF(Registro!$E244="","",IF(ISERROR(FIND("x",LOWER(Registro!$E244))),"-",IFERROR(SUMPRODUCT(--("0"&amp;LEFT(TRIM(MID(SUBSTITUTE(SUBSTITUTE(SUBSTITUTE(SUBSTITUTE(SUBSTITUTE(LOWER(Registro!$E244),"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",LEN(Registro!$E244))),({1,2,3,4,5,6,7,8,9,10,11,12,13,14,15,16,17,18,19,20,21,22,23,24,25,26,27,28,29,30}-1)*LEN(Registro!$E244)+1,LEN(Registro!$E244)))&amp;"x")-1))),"Revisar formato")))</f>
        <v/>
      </c>
      <c r="E244" s="11" t="str">
        <f>IF(Registro!$E244="","",IF(ISERROR(FIND("x",LOWER(Registro!$E244))),"-",IFERROR(SUMPRODUCT(--("0"&amp;LEFT(TRIM(MID(SUBSTITUTE(SUBSTITUTE(SUBSTITUTE(SUBSTITUTE(SUBSTITUTE(LOWER(Registro!$E244),"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",LEN(Registro!$E244))),({1,2,3,4,5,6,7,8,9,10,11,12,13,14,15,16,17,18,19,20,21,22,23,24,25,26,27,28,29,30}-1)*LEN(Registro!$E244)+1,LEN(Registro!$E244)))&amp;"x")-1)),--("0"&amp;MID(TRIM(MID(SUBSTITUTE(SUBSTITUTE(SUBSTITUTE(SUBSTITUTE(SUBSTITUTE(LOWER(Registro!$E244),"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",LEN(Registro!$E244))),({1,2,3,4,5,6,7,8,9,10,11,12,13,14,15,16,17,18,19,20,21,22,23,24,25,26,27,28,29,30}-1)*LEN(Registro!$E244)+1,LEN(Registro!$E244)))&amp;"x")+1,20))),"Revisar formato")))</f>
        <v/>
      </c>
      <c r="F244" s="11" t="str">
        <f>IF(Registro!$F244="","",N(Registro!$F244))</f>
        <v/>
      </c>
      <c r="G244" s="11" t="str">
        <f t="shared" si="10"/>
        <v/>
      </c>
      <c r="H244" s="10" t="str">
        <f>IF(Registro!$G244="","",IF(ISERROR(FIND("x",LOWER(Registro!$G244))),"-",IFERROR(SUMPRODUCT(--("0"&amp;LEFT(TRIM(MID(SUBSTITUTE(SUBSTITUTE(SUBSTITUTE(SUBSTITUTE(SUBSTITUTE(LOWER(Registro!$G244),"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",LEN(Registro!$G244))),({1,2,3,4,5,6,7,8,9,10,11,12,13,14,15,16,17,18,19,20,21,22,23,24,25,26,27,28,29,30}-1)*LEN(Registro!$G244)+1,LEN(Registro!$G244))),FIND("x",TRIM(MID(SUBSTITUTE(SUBSTITUTE(SUBSTITUTE(SUBSTITUTE(SUBSTITUTE(LOWER(Registro!$G244),"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",LEN(Registro!$G244))),({1,2,3,4,5,6,7,8,9,10,11,12,13,14,15,16,17,18,19,20,21,22,23,24,25,26,27,28,29,30}-1)*LEN(Registro!$G244)+1,LEN(Registro!$G244)))&amp;"x")-1))),"Revisar formato")))</f>
        <v/>
      </c>
      <c r="I244" s="11" t="str">
        <f>IF(Registro!$G244="","",IF(ISERROR(FIND("x",LOWER(Registro!$G244))),N(Registro!$H244),IFERROR(SUMPRODUCT(--("0"&amp;LEFT(TRIM(MID(SUBSTITUTE(SUBSTITUTE(SUBSTITUTE(SUBSTITUTE(SUBSTITUTE(LOWER(Registro!$G244),"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",LEN(Registro!$G244))),({1,2,3,4,5,6,7,8,9,10,11,12,13,14,15,16,17,18,19,20,21,22,23,24,25,26,27,28,29,30}-1)*LEN(Registro!$G244)+1,LEN(Registro!$G244))),FIND("x",TRIM(MID(SUBSTITUTE(SUBSTITUTE(SUBSTITUTE(SUBSTITUTE(SUBSTITUTE(LOWER(Registro!$G244),"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",LEN(Registro!$G244))),({1,2,3,4,5,6,7,8,9,10,11,12,13,14,15,16,17,18,19,20,21,22,23,24,25,26,27,28,29,30}-1)*LEN(Registro!$G244)+1,LEN(Registro!$G244)))&amp;"x")-1)),--("0"&amp;MID(TRIM(MID(SUBSTITUTE(SUBSTITUTE(SUBSTITUTE(SUBSTITUTE(SUBSTITUTE(LOWER(Registro!$G244),"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",LEN(Registro!$G244))),({1,2,3,4,5,6,7,8,9,10,11,12,13,14,15,16,17,18,19,20,21,22,23,24,25,26,27,28,29,30}-1)*LEN(Registro!$G244)+1,LEN(Registro!$G244))),FIND("x",TRIM(MID(SUBSTITUTE(SUBSTITUTE(SUBSTITUTE(SUBSTITUTE(SUBSTITUTE(LOWER(Registro!$G244),"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",LEN(Registro!$G244))),({1,2,3,4,5,6,7,8,9,10,11,12,13,14,15,16,17,18,19,20,21,22,23,24,25,26,27,28,29,30}-1)*LEN(Registro!$G244)+1,LEN(Registro!$G244)))&amp;"x")+1,20))),"Revisar formato")))</f>
        <v/>
      </c>
      <c r="J244" s="9" t="str">
        <f>IF(AND(Registro!$E244="",Registro!$G244=""),"",IF(NOT(AND(ISNUMBER(I244),ISNUMBER(Registro!$H244))),"",IF(I244&lt;Registro!$H244,"FALTA BOLETOS",IF(I244=Registro!$H244,"CONFORME","DIFERENCIA"))))</f>
        <v/>
      </c>
      <c r="K244" s="11" t="str">
        <f>IF(Registro!$I244="","",IFERROR(SUMPRODUCT(--("0"&amp;TRIM(RIGHT(SUBSTITUTE(TRIM(MID(SUBSTITUTE(SUBSTITUTE(Registro!$I244,";",CHAR(10)),CHAR(10),REPT(" ",LEN(Registro!$I244))),({1,2,3,4,5,6,7,8,9,10,11,12,13,14,15,16,17,18,19,20,21,22,23,24,25,26,27,28,29,30}-1)*LEN(Registro!$I244)+1,LEN(Registro!$I244)))," ",REPT(" ",50)),50)))),"Revisar formato"))</f>
        <v/>
      </c>
      <c r="L244" s="11" t="str">
        <f>IF(Registro!$J244="","",IFERROR(SUMPRODUCT(--("0"&amp;TRIM(RIGHT(SUBSTITUTE(TRIM(MID(SUBSTITUTE(SUBSTITUTE(Registro!$J244,";",CHAR(10)),CHAR(10),REPT(" ",LEN(Registro!$J244))),({1,2,3,4,5,6,7,8,9,10,11,12,13,14,15,16,17,18,19,20,21,22,23,24,25,26,27,28,29,30}-1)*LEN(Registro!$J244)+1,LEN(Registro!$J244)))," ",REPT(" ",50)),50)))),"Revisar formato"))</f>
        <v/>
      </c>
      <c r="M244" s="11" t="str">
        <f>IF(AND(Registro!$H244="",Registro!$I244=""),"",IF(AND(ISTEXT(K244),K244&lt;&gt;""),"Revisar formato",N(Registro!$H244)-N(K244)))</f>
        <v/>
      </c>
      <c r="N244" s="11" t="str">
        <f t="shared" si="11"/>
        <v/>
      </c>
      <c r="O244" s="15" t="str">
        <f>IF(AND(A244=Consulta!$B$3,C244=Consulta!$H$3),B244*10000+ROW(),"")</f>
        <v/>
      </c>
    </row>
    <row r="245" spans="1:15" x14ac:dyDescent="0.25">
      <c r="A245" s="9" t="str">
        <f>IF(Registro!$A245="","",Registro!$A245)</f>
        <v/>
      </c>
      <c r="B245" s="8" t="str">
        <f>IF(Registro!$B245="","",Registro!$B245)</f>
        <v/>
      </c>
      <c r="C245" s="14" t="str">
        <f t="shared" si="9"/>
        <v/>
      </c>
      <c r="D245" s="10" t="str">
        <f>IF(Registro!$E245="","",IF(ISERROR(FIND("x",LOWER(Registro!$E245))),"-",IFERROR(SUMPRODUCT(--("0"&amp;LEFT(TRIM(MID(SUBSTITUTE(SUBSTITUTE(SUBSTITUTE(SUBSTITUTE(SUBSTITUTE(LOWER(Registro!$E245),"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",LEN(Registro!$E245))),({1,2,3,4,5,6,7,8,9,10,11,12,13,14,15,16,17,18,19,20,21,22,23,24,25,26,27,28,29,30}-1)*LEN(Registro!$E245)+1,LEN(Registro!$E245)))&amp;"x")-1))),"Revisar formato")))</f>
        <v/>
      </c>
      <c r="E245" s="11" t="str">
        <f>IF(Registro!$E245="","",IF(ISERROR(FIND("x",LOWER(Registro!$E245))),"-",IFERROR(SUMPRODUCT(--("0"&amp;LEFT(TRIM(MID(SUBSTITUTE(SUBSTITUTE(SUBSTITUTE(SUBSTITUTE(SUBSTITUTE(LOWER(Registro!$E245),"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",LEN(Registro!$E245))),({1,2,3,4,5,6,7,8,9,10,11,12,13,14,15,16,17,18,19,20,21,22,23,24,25,26,27,28,29,30}-1)*LEN(Registro!$E245)+1,LEN(Registro!$E245)))&amp;"x")-1)),--("0"&amp;MID(TRIM(MID(SUBSTITUTE(SUBSTITUTE(SUBSTITUTE(SUBSTITUTE(SUBSTITUTE(LOWER(Registro!$E245),"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",LEN(Registro!$E245))),({1,2,3,4,5,6,7,8,9,10,11,12,13,14,15,16,17,18,19,20,21,22,23,24,25,26,27,28,29,30}-1)*LEN(Registro!$E245)+1,LEN(Registro!$E245)))&amp;"x")+1,20))),"Revisar formato")))</f>
        <v/>
      </c>
      <c r="F245" s="11" t="str">
        <f>IF(Registro!$F245="","",N(Registro!$F245))</f>
        <v/>
      </c>
      <c r="G245" s="11" t="str">
        <f t="shared" si="10"/>
        <v/>
      </c>
      <c r="H245" s="10" t="str">
        <f>IF(Registro!$G245="","",IF(ISERROR(FIND("x",LOWER(Registro!$G245))),"-",IFERROR(SUMPRODUCT(--("0"&amp;LEFT(TRIM(MID(SUBSTITUTE(SUBSTITUTE(SUBSTITUTE(SUBSTITUTE(SUBSTITUTE(LOWER(Registro!$G245),"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",LEN(Registro!$G245))),({1,2,3,4,5,6,7,8,9,10,11,12,13,14,15,16,17,18,19,20,21,22,23,24,25,26,27,28,29,30}-1)*LEN(Registro!$G245)+1,LEN(Registro!$G245))),FIND("x",TRIM(MID(SUBSTITUTE(SUBSTITUTE(SUBSTITUTE(SUBSTITUTE(SUBSTITUTE(LOWER(Registro!$G245),"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",LEN(Registro!$G245))),({1,2,3,4,5,6,7,8,9,10,11,12,13,14,15,16,17,18,19,20,21,22,23,24,25,26,27,28,29,30}-1)*LEN(Registro!$G245)+1,LEN(Registro!$G245)))&amp;"x")-1))),"Revisar formato")))</f>
        <v/>
      </c>
      <c r="I245" s="11" t="str">
        <f>IF(Registro!$G245="","",IF(ISERROR(FIND("x",LOWER(Registro!$G245))),N(Registro!$H245),IFERROR(SUMPRODUCT(--("0"&amp;LEFT(TRIM(MID(SUBSTITUTE(SUBSTITUTE(SUBSTITUTE(SUBSTITUTE(SUBSTITUTE(LOWER(Registro!$G245),"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",LEN(Registro!$G245))),({1,2,3,4,5,6,7,8,9,10,11,12,13,14,15,16,17,18,19,20,21,22,23,24,25,26,27,28,29,30}-1)*LEN(Registro!$G245)+1,LEN(Registro!$G245))),FIND("x",TRIM(MID(SUBSTITUTE(SUBSTITUTE(SUBSTITUTE(SUBSTITUTE(SUBSTITUTE(LOWER(Registro!$G245),"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",LEN(Registro!$G245))),({1,2,3,4,5,6,7,8,9,10,11,12,13,14,15,16,17,18,19,20,21,22,23,24,25,26,27,28,29,30}-1)*LEN(Registro!$G245)+1,LEN(Registro!$G245)))&amp;"x")-1)),--("0"&amp;MID(TRIM(MID(SUBSTITUTE(SUBSTITUTE(SUBSTITUTE(SUBSTITUTE(SUBSTITUTE(LOWER(Registro!$G245),"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",LEN(Registro!$G245))),({1,2,3,4,5,6,7,8,9,10,11,12,13,14,15,16,17,18,19,20,21,22,23,24,25,26,27,28,29,30}-1)*LEN(Registro!$G245)+1,LEN(Registro!$G245))),FIND("x",TRIM(MID(SUBSTITUTE(SUBSTITUTE(SUBSTITUTE(SUBSTITUTE(SUBSTITUTE(LOWER(Registro!$G245),"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",LEN(Registro!$G245))),({1,2,3,4,5,6,7,8,9,10,11,12,13,14,15,16,17,18,19,20,21,22,23,24,25,26,27,28,29,30}-1)*LEN(Registro!$G245)+1,LEN(Registro!$G245)))&amp;"x")+1,20))),"Revisar formato")))</f>
        <v/>
      </c>
      <c r="J245" s="9" t="str">
        <f>IF(AND(Registro!$E245="",Registro!$G245=""),"",IF(NOT(AND(ISNUMBER(I245),ISNUMBER(Registro!$H245))),"",IF(I245&lt;Registro!$H245,"FALTA BOLETOS",IF(I245=Registro!$H245,"CONFORME","DIFERENCIA"))))</f>
        <v/>
      </c>
      <c r="K245" s="11" t="str">
        <f>IF(Registro!$I245="","",IFERROR(SUMPRODUCT(--("0"&amp;TRIM(RIGHT(SUBSTITUTE(TRIM(MID(SUBSTITUTE(SUBSTITUTE(Registro!$I245,";",CHAR(10)),CHAR(10),REPT(" ",LEN(Registro!$I245))),({1,2,3,4,5,6,7,8,9,10,11,12,13,14,15,16,17,18,19,20,21,22,23,24,25,26,27,28,29,30}-1)*LEN(Registro!$I245)+1,LEN(Registro!$I245)))," ",REPT(" ",50)),50)))),"Revisar formato"))</f>
        <v/>
      </c>
      <c r="L245" s="11" t="str">
        <f>IF(Registro!$J245="","",IFERROR(SUMPRODUCT(--("0"&amp;TRIM(RIGHT(SUBSTITUTE(TRIM(MID(SUBSTITUTE(SUBSTITUTE(Registro!$J245,";",CHAR(10)),CHAR(10),REPT(" ",LEN(Registro!$J245))),({1,2,3,4,5,6,7,8,9,10,11,12,13,14,15,16,17,18,19,20,21,22,23,24,25,26,27,28,29,30}-1)*LEN(Registro!$J245)+1,LEN(Registro!$J245)))," ",REPT(" ",50)),50)))),"Revisar formato"))</f>
        <v/>
      </c>
      <c r="M245" s="11" t="str">
        <f>IF(AND(Registro!$H245="",Registro!$I245=""),"",IF(AND(ISTEXT(K245),K245&lt;&gt;""),"Revisar formato",N(Registro!$H245)-N(K245)))</f>
        <v/>
      </c>
      <c r="N245" s="11" t="str">
        <f t="shared" si="11"/>
        <v/>
      </c>
      <c r="O245" s="15" t="str">
        <f>IF(AND(A245=Consulta!$B$3,C245=Consulta!$H$3),B245*10000+ROW(),"")</f>
        <v/>
      </c>
    </row>
    <row r="246" spans="1:15" x14ac:dyDescent="0.25">
      <c r="A246" s="9" t="str">
        <f>IF(Registro!$A246="","",Registro!$A246)</f>
        <v/>
      </c>
      <c r="B246" s="8" t="str">
        <f>IF(Registro!$B246="","",Registro!$B246)</f>
        <v/>
      </c>
      <c r="C246" s="14" t="str">
        <f t="shared" si="9"/>
        <v/>
      </c>
      <c r="D246" s="10" t="str">
        <f>IF(Registro!$E246="","",IF(ISERROR(FIND("x",LOWER(Registro!$E246))),"-",IFERROR(SUMPRODUCT(--("0"&amp;LEFT(TRIM(MID(SUBSTITUTE(SUBSTITUTE(SUBSTITUTE(SUBSTITUTE(SUBSTITUTE(LOWER(Registro!$E246),"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",LEN(Registro!$E246))),({1,2,3,4,5,6,7,8,9,10,11,12,13,14,15,16,17,18,19,20,21,22,23,24,25,26,27,28,29,30}-1)*LEN(Registro!$E246)+1,LEN(Registro!$E246)))&amp;"x")-1))),"Revisar formato")))</f>
        <v/>
      </c>
      <c r="E246" s="11" t="str">
        <f>IF(Registro!$E246="","",IF(ISERROR(FIND("x",LOWER(Registro!$E246))),"-",IFERROR(SUMPRODUCT(--("0"&amp;LEFT(TRIM(MID(SUBSTITUTE(SUBSTITUTE(SUBSTITUTE(SUBSTITUTE(SUBSTITUTE(LOWER(Registro!$E246),"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",LEN(Registro!$E246))),({1,2,3,4,5,6,7,8,9,10,11,12,13,14,15,16,17,18,19,20,21,22,23,24,25,26,27,28,29,30}-1)*LEN(Registro!$E246)+1,LEN(Registro!$E246)))&amp;"x")-1)),--("0"&amp;MID(TRIM(MID(SUBSTITUTE(SUBSTITUTE(SUBSTITUTE(SUBSTITUTE(SUBSTITUTE(LOWER(Registro!$E246),"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",LEN(Registro!$E246))),({1,2,3,4,5,6,7,8,9,10,11,12,13,14,15,16,17,18,19,20,21,22,23,24,25,26,27,28,29,30}-1)*LEN(Registro!$E246)+1,LEN(Registro!$E246)))&amp;"x")+1,20))),"Revisar formato")))</f>
        <v/>
      </c>
      <c r="F246" s="11" t="str">
        <f>IF(Registro!$F246="","",N(Registro!$F246))</f>
        <v/>
      </c>
      <c r="G246" s="11" t="str">
        <f t="shared" si="10"/>
        <v/>
      </c>
      <c r="H246" s="10" t="str">
        <f>IF(Registro!$G246="","",IF(ISERROR(FIND("x",LOWER(Registro!$G246))),"-",IFERROR(SUMPRODUCT(--("0"&amp;LEFT(TRIM(MID(SUBSTITUTE(SUBSTITUTE(SUBSTITUTE(SUBSTITUTE(SUBSTITUTE(LOWER(Registro!$G246),"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",LEN(Registro!$G246))),({1,2,3,4,5,6,7,8,9,10,11,12,13,14,15,16,17,18,19,20,21,22,23,24,25,26,27,28,29,30}-1)*LEN(Registro!$G246)+1,LEN(Registro!$G246))),FIND("x",TRIM(MID(SUBSTITUTE(SUBSTITUTE(SUBSTITUTE(SUBSTITUTE(SUBSTITUTE(LOWER(Registro!$G246),"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",LEN(Registro!$G246))),({1,2,3,4,5,6,7,8,9,10,11,12,13,14,15,16,17,18,19,20,21,22,23,24,25,26,27,28,29,30}-1)*LEN(Registro!$G246)+1,LEN(Registro!$G246)))&amp;"x")-1))),"Revisar formato")))</f>
        <v/>
      </c>
      <c r="I246" s="11" t="str">
        <f>IF(Registro!$G246="","",IF(ISERROR(FIND("x",LOWER(Registro!$G246))),N(Registro!$H246),IFERROR(SUMPRODUCT(--("0"&amp;LEFT(TRIM(MID(SUBSTITUTE(SUBSTITUTE(SUBSTITUTE(SUBSTITUTE(SUBSTITUTE(LOWER(Registro!$G246),"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",LEN(Registro!$G246))),({1,2,3,4,5,6,7,8,9,10,11,12,13,14,15,16,17,18,19,20,21,22,23,24,25,26,27,28,29,30}-1)*LEN(Registro!$G246)+1,LEN(Registro!$G246))),FIND("x",TRIM(MID(SUBSTITUTE(SUBSTITUTE(SUBSTITUTE(SUBSTITUTE(SUBSTITUTE(LOWER(Registro!$G246),"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",LEN(Registro!$G246))),({1,2,3,4,5,6,7,8,9,10,11,12,13,14,15,16,17,18,19,20,21,22,23,24,25,26,27,28,29,30}-1)*LEN(Registro!$G246)+1,LEN(Registro!$G246)))&amp;"x")-1)),--("0"&amp;MID(TRIM(MID(SUBSTITUTE(SUBSTITUTE(SUBSTITUTE(SUBSTITUTE(SUBSTITUTE(LOWER(Registro!$G246),"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",LEN(Registro!$G246))),({1,2,3,4,5,6,7,8,9,10,11,12,13,14,15,16,17,18,19,20,21,22,23,24,25,26,27,28,29,30}-1)*LEN(Registro!$G246)+1,LEN(Registro!$G246))),FIND("x",TRIM(MID(SUBSTITUTE(SUBSTITUTE(SUBSTITUTE(SUBSTITUTE(SUBSTITUTE(LOWER(Registro!$G246),"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",LEN(Registro!$G246))),({1,2,3,4,5,6,7,8,9,10,11,12,13,14,15,16,17,18,19,20,21,22,23,24,25,26,27,28,29,30}-1)*LEN(Registro!$G246)+1,LEN(Registro!$G246)))&amp;"x")+1,20))),"Revisar formato")))</f>
        <v/>
      </c>
      <c r="J246" s="9" t="str">
        <f>IF(AND(Registro!$E246="",Registro!$G246=""),"",IF(NOT(AND(ISNUMBER(I246),ISNUMBER(Registro!$H246))),"",IF(I246&lt;Registro!$H246,"FALTA BOLETOS",IF(I246=Registro!$H246,"CONFORME","DIFERENCIA"))))</f>
        <v/>
      </c>
      <c r="K246" s="11" t="str">
        <f>IF(Registro!$I246="","",IFERROR(SUMPRODUCT(--("0"&amp;TRIM(RIGHT(SUBSTITUTE(TRIM(MID(SUBSTITUTE(SUBSTITUTE(Registro!$I246,";",CHAR(10)),CHAR(10),REPT(" ",LEN(Registro!$I246))),({1,2,3,4,5,6,7,8,9,10,11,12,13,14,15,16,17,18,19,20,21,22,23,24,25,26,27,28,29,30}-1)*LEN(Registro!$I246)+1,LEN(Registro!$I246)))," ",REPT(" ",50)),50)))),"Revisar formato"))</f>
        <v/>
      </c>
      <c r="L246" s="11" t="str">
        <f>IF(Registro!$J246="","",IFERROR(SUMPRODUCT(--("0"&amp;TRIM(RIGHT(SUBSTITUTE(TRIM(MID(SUBSTITUTE(SUBSTITUTE(Registro!$J246,";",CHAR(10)),CHAR(10),REPT(" ",LEN(Registro!$J246))),({1,2,3,4,5,6,7,8,9,10,11,12,13,14,15,16,17,18,19,20,21,22,23,24,25,26,27,28,29,30}-1)*LEN(Registro!$J246)+1,LEN(Registro!$J246)))," ",REPT(" ",50)),50)))),"Revisar formato"))</f>
        <v/>
      </c>
      <c r="M246" s="11" t="str">
        <f>IF(AND(Registro!$H246="",Registro!$I246=""),"",IF(AND(ISTEXT(K246),K246&lt;&gt;""),"Revisar formato",N(Registro!$H246)-N(K246)))</f>
        <v/>
      </c>
      <c r="N246" s="11" t="str">
        <f t="shared" si="11"/>
        <v/>
      </c>
      <c r="O246" s="15" t="str">
        <f>IF(AND(A246=Consulta!$B$3,C246=Consulta!$H$3),B246*10000+ROW(),"")</f>
        <v/>
      </c>
    </row>
    <row r="247" spans="1:15" x14ac:dyDescent="0.25">
      <c r="A247" s="9" t="str">
        <f>IF(Registro!$A247="","",Registro!$A247)</f>
        <v/>
      </c>
      <c r="B247" s="8" t="str">
        <f>IF(Registro!$B247="","",Registro!$B247)</f>
        <v/>
      </c>
      <c r="C247" s="14" t="str">
        <f t="shared" si="9"/>
        <v/>
      </c>
      <c r="D247" s="10" t="str">
        <f>IF(Registro!$E247="","",IF(ISERROR(FIND("x",LOWER(Registro!$E247))),"-",IFERROR(SUMPRODUCT(--("0"&amp;LEFT(TRIM(MID(SUBSTITUTE(SUBSTITUTE(SUBSTITUTE(SUBSTITUTE(SUBSTITUTE(LOWER(Registro!$E247),"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",LEN(Registro!$E247))),({1,2,3,4,5,6,7,8,9,10,11,12,13,14,15,16,17,18,19,20,21,22,23,24,25,26,27,28,29,30}-1)*LEN(Registro!$E247)+1,LEN(Registro!$E247)))&amp;"x")-1))),"Revisar formato")))</f>
        <v/>
      </c>
      <c r="E247" s="11" t="str">
        <f>IF(Registro!$E247="","",IF(ISERROR(FIND("x",LOWER(Registro!$E247))),"-",IFERROR(SUMPRODUCT(--("0"&amp;LEFT(TRIM(MID(SUBSTITUTE(SUBSTITUTE(SUBSTITUTE(SUBSTITUTE(SUBSTITUTE(LOWER(Registro!$E247),"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",LEN(Registro!$E247))),({1,2,3,4,5,6,7,8,9,10,11,12,13,14,15,16,17,18,19,20,21,22,23,24,25,26,27,28,29,30}-1)*LEN(Registro!$E247)+1,LEN(Registro!$E247)))&amp;"x")-1)),--("0"&amp;MID(TRIM(MID(SUBSTITUTE(SUBSTITUTE(SUBSTITUTE(SUBSTITUTE(SUBSTITUTE(LOWER(Registro!$E247),"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",LEN(Registro!$E247))),({1,2,3,4,5,6,7,8,9,10,11,12,13,14,15,16,17,18,19,20,21,22,23,24,25,26,27,28,29,30}-1)*LEN(Registro!$E247)+1,LEN(Registro!$E247)))&amp;"x")+1,20))),"Revisar formato")))</f>
        <v/>
      </c>
      <c r="F247" s="11" t="str">
        <f>IF(Registro!$F247="","",N(Registro!$F247))</f>
        <v/>
      </c>
      <c r="G247" s="11" t="str">
        <f t="shared" si="10"/>
        <v/>
      </c>
      <c r="H247" s="10" t="str">
        <f>IF(Registro!$G247="","",IF(ISERROR(FIND("x",LOWER(Registro!$G247))),"-",IFERROR(SUMPRODUCT(--("0"&amp;LEFT(TRIM(MID(SUBSTITUTE(SUBSTITUTE(SUBSTITUTE(SUBSTITUTE(SUBSTITUTE(LOWER(Registro!$G247),"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",LEN(Registro!$G247))),({1,2,3,4,5,6,7,8,9,10,11,12,13,14,15,16,17,18,19,20,21,22,23,24,25,26,27,28,29,30}-1)*LEN(Registro!$G247)+1,LEN(Registro!$G247))),FIND("x",TRIM(MID(SUBSTITUTE(SUBSTITUTE(SUBSTITUTE(SUBSTITUTE(SUBSTITUTE(LOWER(Registro!$G247),"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",LEN(Registro!$G247))),({1,2,3,4,5,6,7,8,9,10,11,12,13,14,15,16,17,18,19,20,21,22,23,24,25,26,27,28,29,30}-1)*LEN(Registro!$G247)+1,LEN(Registro!$G247)))&amp;"x")-1))),"Revisar formato")))</f>
        <v/>
      </c>
      <c r="I247" s="11" t="str">
        <f>IF(Registro!$G247="","",IF(ISERROR(FIND("x",LOWER(Registro!$G247))),N(Registro!$H247),IFERROR(SUMPRODUCT(--("0"&amp;LEFT(TRIM(MID(SUBSTITUTE(SUBSTITUTE(SUBSTITUTE(SUBSTITUTE(SUBSTITUTE(LOWER(Registro!$G247),"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",LEN(Registro!$G247))),({1,2,3,4,5,6,7,8,9,10,11,12,13,14,15,16,17,18,19,20,21,22,23,24,25,26,27,28,29,30}-1)*LEN(Registro!$G247)+1,LEN(Registro!$G247))),FIND("x",TRIM(MID(SUBSTITUTE(SUBSTITUTE(SUBSTITUTE(SUBSTITUTE(SUBSTITUTE(LOWER(Registro!$G247),"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",LEN(Registro!$G247))),({1,2,3,4,5,6,7,8,9,10,11,12,13,14,15,16,17,18,19,20,21,22,23,24,25,26,27,28,29,30}-1)*LEN(Registro!$G247)+1,LEN(Registro!$G247)))&amp;"x")-1)),--("0"&amp;MID(TRIM(MID(SUBSTITUTE(SUBSTITUTE(SUBSTITUTE(SUBSTITUTE(SUBSTITUTE(LOWER(Registro!$G247),"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",LEN(Registro!$G247))),({1,2,3,4,5,6,7,8,9,10,11,12,13,14,15,16,17,18,19,20,21,22,23,24,25,26,27,28,29,30}-1)*LEN(Registro!$G247)+1,LEN(Registro!$G247))),FIND("x",TRIM(MID(SUBSTITUTE(SUBSTITUTE(SUBSTITUTE(SUBSTITUTE(SUBSTITUTE(LOWER(Registro!$G247),"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",LEN(Registro!$G247))),({1,2,3,4,5,6,7,8,9,10,11,12,13,14,15,16,17,18,19,20,21,22,23,24,25,26,27,28,29,30}-1)*LEN(Registro!$G247)+1,LEN(Registro!$G247)))&amp;"x")+1,20))),"Revisar formato")))</f>
        <v/>
      </c>
      <c r="J247" s="9" t="str">
        <f>IF(AND(Registro!$E247="",Registro!$G247=""),"",IF(NOT(AND(ISNUMBER(I247),ISNUMBER(Registro!$H247))),"",IF(I247&lt;Registro!$H247,"FALTA BOLETOS",IF(I247=Registro!$H247,"CONFORME","DIFERENCIA"))))</f>
        <v/>
      </c>
      <c r="K247" s="11" t="str">
        <f>IF(Registro!$I247="","",IFERROR(SUMPRODUCT(--("0"&amp;TRIM(RIGHT(SUBSTITUTE(TRIM(MID(SUBSTITUTE(SUBSTITUTE(Registro!$I247,";",CHAR(10)),CHAR(10),REPT(" ",LEN(Registro!$I247))),({1,2,3,4,5,6,7,8,9,10,11,12,13,14,15,16,17,18,19,20,21,22,23,24,25,26,27,28,29,30}-1)*LEN(Registro!$I247)+1,LEN(Registro!$I247)))," ",REPT(" ",50)),50)))),"Revisar formato"))</f>
        <v/>
      </c>
      <c r="L247" s="11" t="str">
        <f>IF(Registro!$J247="","",IFERROR(SUMPRODUCT(--("0"&amp;TRIM(RIGHT(SUBSTITUTE(TRIM(MID(SUBSTITUTE(SUBSTITUTE(Registro!$J247,";",CHAR(10)),CHAR(10),REPT(" ",LEN(Registro!$J247))),({1,2,3,4,5,6,7,8,9,10,11,12,13,14,15,16,17,18,19,20,21,22,23,24,25,26,27,28,29,30}-1)*LEN(Registro!$J247)+1,LEN(Registro!$J247)))," ",REPT(" ",50)),50)))),"Revisar formato"))</f>
        <v/>
      </c>
      <c r="M247" s="11" t="str">
        <f>IF(AND(Registro!$H247="",Registro!$I247=""),"",IF(AND(ISTEXT(K247),K247&lt;&gt;""),"Revisar formato",N(Registro!$H247)-N(K247)))</f>
        <v/>
      </c>
      <c r="N247" s="11" t="str">
        <f t="shared" si="11"/>
        <v/>
      </c>
      <c r="O247" s="15" t="str">
        <f>IF(AND(A247=Consulta!$B$3,C247=Consulta!$H$3),B247*10000+ROW(),"")</f>
        <v/>
      </c>
    </row>
    <row r="248" spans="1:15" x14ac:dyDescent="0.25">
      <c r="A248" s="9" t="str">
        <f>IF(Registro!$A248="","",Registro!$A248)</f>
        <v/>
      </c>
      <c r="B248" s="8" t="str">
        <f>IF(Registro!$B248="","",Registro!$B248)</f>
        <v/>
      </c>
      <c r="C248" s="14" t="str">
        <f t="shared" si="9"/>
        <v/>
      </c>
      <c r="D248" s="10" t="str">
        <f>IF(Registro!$E248="","",IF(ISERROR(FIND("x",LOWER(Registro!$E248))),"-",IFERROR(SUMPRODUCT(--("0"&amp;LEFT(TRIM(MID(SUBSTITUTE(SUBSTITUTE(SUBSTITUTE(SUBSTITUTE(SUBSTITUTE(LOWER(Registro!$E248),"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",LEN(Registro!$E248))),({1,2,3,4,5,6,7,8,9,10,11,12,13,14,15,16,17,18,19,20,21,22,23,24,25,26,27,28,29,30}-1)*LEN(Registro!$E248)+1,LEN(Registro!$E248)))&amp;"x")-1))),"Revisar formato")))</f>
        <v/>
      </c>
      <c r="E248" s="11" t="str">
        <f>IF(Registro!$E248="","",IF(ISERROR(FIND("x",LOWER(Registro!$E248))),"-",IFERROR(SUMPRODUCT(--("0"&amp;LEFT(TRIM(MID(SUBSTITUTE(SUBSTITUTE(SUBSTITUTE(SUBSTITUTE(SUBSTITUTE(LOWER(Registro!$E248),"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",LEN(Registro!$E248))),({1,2,3,4,5,6,7,8,9,10,11,12,13,14,15,16,17,18,19,20,21,22,23,24,25,26,27,28,29,30}-1)*LEN(Registro!$E248)+1,LEN(Registro!$E248)))&amp;"x")-1)),--("0"&amp;MID(TRIM(MID(SUBSTITUTE(SUBSTITUTE(SUBSTITUTE(SUBSTITUTE(SUBSTITUTE(LOWER(Registro!$E248),"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",LEN(Registro!$E248))),({1,2,3,4,5,6,7,8,9,10,11,12,13,14,15,16,17,18,19,20,21,22,23,24,25,26,27,28,29,30}-1)*LEN(Registro!$E248)+1,LEN(Registro!$E248)))&amp;"x")+1,20))),"Revisar formato")))</f>
        <v/>
      </c>
      <c r="F248" s="11" t="str">
        <f>IF(Registro!$F248="","",N(Registro!$F248))</f>
        <v/>
      </c>
      <c r="G248" s="11" t="str">
        <f t="shared" si="10"/>
        <v/>
      </c>
      <c r="H248" s="10" t="str">
        <f>IF(Registro!$G248="","",IF(ISERROR(FIND("x",LOWER(Registro!$G248))),"-",IFERROR(SUMPRODUCT(--("0"&amp;LEFT(TRIM(MID(SUBSTITUTE(SUBSTITUTE(SUBSTITUTE(SUBSTITUTE(SUBSTITUTE(LOWER(Registro!$G248),"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",LEN(Registro!$G248))),({1,2,3,4,5,6,7,8,9,10,11,12,13,14,15,16,17,18,19,20,21,22,23,24,25,26,27,28,29,30}-1)*LEN(Registro!$G248)+1,LEN(Registro!$G248))),FIND("x",TRIM(MID(SUBSTITUTE(SUBSTITUTE(SUBSTITUTE(SUBSTITUTE(SUBSTITUTE(LOWER(Registro!$G248),"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",LEN(Registro!$G248))),({1,2,3,4,5,6,7,8,9,10,11,12,13,14,15,16,17,18,19,20,21,22,23,24,25,26,27,28,29,30}-1)*LEN(Registro!$G248)+1,LEN(Registro!$G248)))&amp;"x")-1))),"Revisar formato")))</f>
        <v/>
      </c>
      <c r="I248" s="11" t="str">
        <f>IF(Registro!$G248="","",IF(ISERROR(FIND("x",LOWER(Registro!$G248))),N(Registro!$H248),IFERROR(SUMPRODUCT(--("0"&amp;LEFT(TRIM(MID(SUBSTITUTE(SUBSTITUTE(SUBSTITUTE(SUBSTITUTE(SUBSTITUTE(LOWER(Registro!$G248),"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",LEN(Registro!$G248))),({1,2,3,4,5,6,7,8,9,10,11,12,13,14,15,16,17,18,19,20,21,22,23,24,25,26,27,28,29,30}-1)*LEN(Registro!$G248)+1,LEN(Registro!$G248))),FIND("x",TRIM(MID(SUBSTITUTE(SUBSTITUTE(SUBSTITUTE(SUBSTITUTE(SUBSTITUTE(LOWER(Registro!$G248),"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",LEN(Registro!$G248))),({1,2,3,4,5,6,7,8,9,10,11,12,13,14,15,16,17,18,19,20,21,22,23,24,25,26,27,28,29,30}-1)*LEN(Registro!$G248)+1,LEN(Registro!$G248)))&amp;"x")-1)),--("0"&amp;MID(TRIM(MID(SUBSTITUTE(SUBSTITUTE(SUBSTITUTE(SUBSTITUTE(SUBSTITUTE(LOWER(Registro!$G248),"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",LEN(Registro!$G248))),({1,2,3,4,5,6,7,8,9,10,11,12,13,14,15,16,17,18,19,20,21,22,23,24,25,26,27,28,29,30}-1)*LEN(Registro!$G248)+1,LEN(Registro!$G248))),FIND("x",TRIM(MID(SUBSTITUTE(SUBSTITUTE(SUBSTITUTE(SUBSTITUTE(SUBSTITUTE(LOWER(Registro!$G248),"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",LEN(Registro!$G248))),({1,2,3,4,5,6,7,8,9,10,11,12,13,14,15,16,17,18,19,20,21,22,23,24,25,26,27,28,29,30}-1)*LEN(Registro!$G248)+1,LEN(Registro!$G248)))&amp;"x")+1,20))),"Revisar formato")))</f>
        <v/>
      </c>
      <c r="J248" s="9" t="str">
        <f>IF(AND(Registro!$E248="",Registro!$G248=""),"",IF(NOT(AND(ISNUMBER(I248),ISNUMBER(Registro!$H248))),"",IF(I248&lt;Registro!$H248,"FALTA BOLETOS",IF(I248=Registro!$H248,"CONFORME","DIFERENCIA"))))</f>
        <v/>
      </c>
      <c r="K248" s="11" t="str">
        <f>IF(Registro!$I248="","",IFERROR(SUMPRODUCT(--("0"&amp;TRIM(RIGHT(SUBSTITUTE(TRIM(MID(SUBSTITUTE(SUBSTITUTE(Registro!$I248,";",CHAR(10)),CHAR(10),REPT(" ",LEN(Registro!$I248))),({1,2,3,4,5,6,7,8,9,10,11,12,13,14,15,16,17,18,19,20,21,22,23,24,25,26,27,28,29,30}-1)*LEN(Registro!$I248)+1,LEN(Registro!$I248)))," ",REPT(" ",50)),50)))),"Revisar formato"))</f>
        <v/>
      </c>
      <c r="L248" s="11" t="str">
        <f>IF(Registro!$J248="","",IFERROR(SUMPRODUCT(--("0"&amp;TRIM(RIGHT(SUBSTITUTE(TRIM(MID(SUBSTITUTE(SUBSTITUTE(Registro!$J248,";",CHAR(10)),CHAR(10),REPT(" ",LEN(Registro!$J248))),({1,2,3,4,5,6,7,8,9,10,11,12,13,14,15,16,17,18,19,20,21,22,23,24,25,26,27,28,29,30}-1)*LEN(Registro!$J248)+1,LEN(Registro!$J248)))," ",REPT(" ",50)),50)))),"Revisar formato"))</f>
        <v/>
      </c>
      <c r="M248" s="11" t="str">
        <f>IF(AND(Registro!$H248="",Registro!$I248=""),"",IF(AND(ISTEXT(K248),K248&lt;&gt;""),"Revisar formato",N(Registro!$H248)-N(K248)))</f>
        <v/>
      </c>
      <c r="N248" s="11" t="str">
        <f t="shared" si="11"/>
        <v/>
      </c>
      <c r="O248" s="15" t="str">
        <f>IF(AND(A248=Consulta!$B$3,C248=Consulta!$H$3),B248*10000+ROW(),"")</f>
        <v/>
      </c>
    </row>
    <row r="249" spans="1:15" x14ac:dyDescent="0.25">
      <c r="A249" s="9" t="str">
        <f>IF(Registro!$A249="","",Registro!$A249)</f>
        <v/>
      </c>
      <c r="B249" s="8" t="str">
        <f>IF(Registro!$B249="","",Registro!$B249)</f>
        <v/>
      </c>
      <c r="C249" s="14" t="str">
        <f t="shared" si="9"/>
        <v/>
      </c>
      <c r="D249" s="10" t="str">
        <f>IF(Registro!$E249="","",IF(ISERROR(FIND("x",LOWER(Registro!$E249))),"-",IFERROR(SUMPRODUCT(--("0"&amp;LEFT(TRIM(MID(SUBSTITUTE(SUBSTITUTE(SUBSTITUTE(SUBSTITUTE(SUBSTITUTE(LOWER(Registro!$E249),"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",LEN(Registro!$E249))),({1,2,3,4,5,6,7,8,9,10,11,12,13,14,15,16,17,18,19,20,21,22,23,24,25,26,27,28,29,30}-1)*LEN(Registro!$E249)+1,LEN(Registro!$E249)))&amp;"x")-1))),"Revisar formato")))</f>
        <v/>
      </c>
      <c r="E249" s="11" t="str">
        <f>IF(Registro!$E249="","",IF(ISERROR(FIND("x",LOWER(Registro!$E249))),"-",IFERROR(SUMPRODUCT(--("0"&amp;LEFT(TRIM(MID(SUBSTITUTE(SUBSTITUTE(SUBSTITUTE(SUBSTITUTE(SUBSTITUTE(LOWER(Registro!$E249),"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",LEN(Registro!$E249))),({1,2,3,4,5,6,7,8,9,10,11,12,13,14,15,16,17,18,19,20,21,22,23,24,25,26,27,28,29,30}-1)*LEN(Registro!$E249)+1,LEN(Registro!$E249)))&amp;"x")-1)),--("0"&amp;MID(TRIM(MID(SUBSTITUTE(SUBSTITUTE(SUBSTITUTE(SUBSTITUTE(SUBSTITUTE(LOWER(Registro!$E249),"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",LEN(Registro!$E249))),({1,2,3,4,5,6,7,8,9,10,11,12,13,14,15,16,17,18,19,20,21,22,23,24,25,26,27,28,29,30}-1)*LEN(Registro!$E249)+1,LEN(Registro!$E249)))&amp;"x")+1,20))),"Revisar formato")))</f>
        <v/>
      </c>
      <c r="F249" s="11" t="str">
        <f>IF(Registro!$F249="","",N(Registro!$F249))</f>
        <v/>
      </c>
      <c r="G249" s="11" t="str">
        <f t="shared" si="10"/>
        <v/>
      </c>
      <c r="H249" s="10" t="str">
        <f>IF(Registro!$G249="","",IF(ISERROR(FIND("x",LOWER(Registro!$G249))),"-",IFERROR(SUMPRODUCT(--("0"&amp;LEFT(TRIM(MID(SUBSTITUTE(SUBSTITUTE(SUBSTITUTE(SUBSTITUTE(SUBSTITUTE(LOWER(Registro!$G249),"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",LEN(Registro!$G249))),({1,2,3,4,5,6,7,8,9,10,11,12,13,14,15,16,17,18,19,20,21,22,23,24,25,26,27,28,29,30}-1)*LEN(Registro!$G249)+1,LEN(Registro!$G249))),FIND("x",TRIM(MID(SUBSTITUTE(SUBSTITUTE(SUBSTITUTE(SUBSTITUTE(SUBSTITUTE(LOWER(Registro!$G249),"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",LEN(Registro!$G249))),({1,2,3,4,5,6,7,8,9,10,11,12,13,14,15,16,17,18,19,20,21,22,23,24,25,26,27,28,29,30}-1)*LEN(Registro!$G249)+1,LEN(Registro!$G249)))&amp;"x")-1))),"Revisar formato")))</f>
        <v/>
      </c>
      <c r="I249" s="11" t="str">
        <f>IF(Registro!$G249="","",IF(ISERROR(FIND("x",LOWER(Registro!$G249))),N(Registro!$H249),IFERROR(SUMPRODUCT(--("0"&amp;LEFT(TRIM(MID(SUBSTITUTE(SUBSTITUTE(SUBSTITUTE(SUBSTITUTE(SUBSTITUTE(LOWER(Registro!$G249),"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",LEN(Registro!$G249))),({1,2,3,4,5,6,7,8,9,10,11,12,13,14,15,16,17,18,19,20,21,22,23,24,25,26,27,28,29,30}-1)*LEN(Registro!$G249)+1,LEN(Registro!$G249))),FIND("x",TRIM(MID(SUBSTITUTE(SUBSTITUTE(SUBSTITUTE(SUBSTITUTE(SUBSTITUTE(LOWER(Registro!$G249),"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",LEN(Registro!$G249))),({1,2,3,4,5,6,7,8,9,10,11,12,13,14,15,16,17,18,19,20,21,22,23,24,25,26,27,28,29,30}-1)*LEN(Registro!$G249)+1,LEN(Registro!$G249)))&amp;"x")-1)),--("0"&amp;MID(TRIM(MID(SUBSTITUTE(SUBSTITUTE(SUBSTITUTE(SUBSTITUTE(SUBSTITUTE(LOWER(Registro!$G249),"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",LEN(Registro!$G249))),({1,2,3,4,5,6,7,8,9,10,11,12,13,14,15,16,17,18,19,20,21,22,23,24,25,26,27,28,29,30}-1)*LEN(Registro!$G249)+1,LEN(Registro!$G249))),FIND("x",TRIM(MID(SUBSTITUTE(SUBSTITUTE(SUBSTITUTE(SUBSTITUTE(SUBSTITUTE(LOWER(Registro!$G249),"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",LEN(Registro!$G249))),({1,2,3,4,5,6,7,8,9,10,11,12,13,14,15,16,17,18,19,20,21,22,23,24,25,26,27,28,29,30}-1)*LEN(Registro!$G249)+1,LEN(Registro!$G249)))&amp;"x")+1,20))),"Revisar formato")))</f>
        <v/>
      </c>
      <c r="J249" s="9" t="str">
        <f>IF(AND(Registro!$E249="",Registro!$G249=""),"",IF(NOT(AND(ISNUMBER(I249),ISNUMBER(Registro!$H249))),"",IF(I249&lt;Registro!$H249,"FALTA BOLETOS",IF(I249=Registro!$H249,"CONFORME","DIFERENCIA"))))</f>
        <v/>
      </c>
      <c r="K249" s="11" t="str">
        <f>IF(Registro!$I249="","",IFERROR(SUMPRODUCT(--("0"&amp;TRIM(RIGHT(SUBSTITUTE(TRIM(MID(SUBSTITUTE(SUBSTITUTE(Registro!$I249,";",CHAR(10)),CHAR(10),REPT(" ",LEN(Registro!$I249))),({1,2,3,4,5,6,7,8,9,10,11,12,13,14,15,16,17,18,19,20,21,22,23,24,25,26,27,28,29,30}-1)*LEN(Registro!$I249)+1,LEN(Registro!$I249)))," ",REPT(" ",50)),50)))),"Revisar formato"))</f>
        <v/>
      </c>
      <c r="L249" s="11" t="str">
        <f>IF(Registro!$J249="","",IFERROR(SUMPRODUCT(--("0"&amp;TRIM(RIGHT(SUBSTITUTE(TRIM(MID(SUBSTITUTE(SUBSTITUTE(Registro!$J249,";",CHAR(10)),CHAR(10),REPT(" ",LEN(Registro!$J249))),({1,2,3,4,5,6,7,8,9,10,11,12,13,14,15,16,17,18,19,20,21,22,23,24,25,26,27,28,29,30}-1)*LEN(Registro!$J249)+1,LEN(Registro!$J249)))," ",REPT(" ",50)),50)))),"Revisar formato"))</f>
        <v/>
      </c>
      <c r="M249" s="11" t="str">
        <f>IF(AND(Registro!$H249="",Registro!$I249=""),"",IF(AND(ISTEXT(K249),K249&lt;&gt;""),"Revisar formato",N(Registro!$H249)-N(K249)))</f>
        <v/>
      </c>
      <c r="N249" s="11" t="str">
        <f t="shared" si="11"/>
        <v/>
      </c>
      <c r="O249" s="15" t="str">
        <f>IF(AND(A249=Consulta!$B$3,C249=Consulta!$H$3),B249*10000+ROW(),"")</f>
        <v/>
      </c>
    </row>
    <row r="250" spans="1:15" x14ac:dyDescent="0.25">
      <c r="A250" s="9" t="str">
        <f>IF(Registro!$A250="","",Registro!$A250)</f>
        <v/>
      </c>
      <c r="B250" s="8" t="str">
        <f>IF(Registro!$B250="","",Registro!$B250)</f>
        <v/>
      </c>
      <c r="C250" s="14" t="str">
        <f t="shared" si="9"/>
        <v/>
      </c>
      <c r="D250" s="10" t="str">
        <f>IF(Registro!$E250="","",IF(ISERROR(FIND("x",LOWER(Registro!$E250))),"-",IFERROR(SUMPRODUCT(--("0"&amp;LEFT(TRIM(MID(SUBSTITUTE(SUBSTITUTE(SUBSTITUTE(SUBSTITUTE(SUBSTITUTE(LOWER(Registro!$E250),"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",LEN(Registro!$E250))),({1,2,3,4,5,6,7,8,9,10,11,12,13,14,15,16,17,18,19,20,21,22,23,24,25,26,27,28,29,30}-1)*LEN(Registro!$E250)+1,LEN(Registro!$E250)))&amp;"x")-1))),"Revisar formato")))</f>
        <v/>
      </c>
      <c r="E250" s="11" t="str">
        <f>IF(Registro!$E250="","",IF(ISERROR(FIND("x",LOWER(Registro!$E250))),"-",IFERROR(SUMPRODUCT(--("0"&amp;LEFT(TRIM(MID(SUBSTITUTE(SUBSTITUTE(SUBSTITUTE(SUBSTITUTE(SUBSTITUTE(LOWER(Registro!$E250),"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",LEN(Registro!$E250))),({1,2,3,4,5,6,7,8,9,10,11,12,13,14,15,16,17,18,19,20,21,22,23,24,25,26,27,28,29,30}-1)*LEN(Registro!$E250)+1,LEN(Registro!$E250)))&amp;"x")-1)),--("0"&amp;MID(TRIM(MID(SUBSTITUTE(SUBSTITUTE(SUBSTITUTE(SUBSTITUTE(SUBSTITUTE(LOWER(Registro!$E250),"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",LEN(Registro!$E250))),({1,2,3,4,5,6,7,8,9,10,11,12,13,14,15,16,17,18,19,20,21,22,23,24,25,26,27,28,29,30}-1)*LEN(Registro!$E250)+1,LEN(Registro!$E250)))&amp;"x")+1,20))),"Revisar formato")))</f>
        <v/>
      </c>
      <c r="F250" s="11" t="str">
        <f>IF(Registro!$F250="","",N(Registro!$F250))</f>
        <v/>
      </c>
      <c r="G250" s="11" t="str">
        <f t="shared" si="10"/>
        <v/>
      </c>
      <c r="H250" s="10" t="str">
        <f>IF(Registro!$G250="","",IF(ISERROR(FIND("x",LOWER(Registro!$G250))),"-",IFERROR(SUMPRODUCT(--("0"&amp;LEFT(TRIM(MID(SUBSTITUTE(SUBSTITUTE(SUBSTITUTE(SUBSTITUTE(SUBSTITUTE(LOWER(Registro!$G250),"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",LEN(Registro!$G250))),({1,2,3,4,5,6,7,8,9,10,11,12,13,14,15,16,17,18,19,20,21,22,23,24,25,26,27,28,29,30}-1)*LEN(Registro!$G250)+1,LEN(Registro!$G250))),FIND("x",TRIM(MID(SUBSTITUTE(SUBSTITUTE(SUBSTITUTE(SUBSTITUTE(SUBSTITUTE(LOWER(Registro!$G250),"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",LEN(Registro!$G250))),({1,2,3,4,5,6,7,8,9,10,11,12,13,14,15,16,17,18,19,20,21,22,23,24,25,26,27,28,29,30}-1)*LEN(Registro!$G250)+1,LEN(Registro!$G250)))&amp;"x")-1))),"Revisar formato")))</f>
        <v/>
      </c>
      <c r="I250" s="11" t="str">
        <f>IF(Registro!$G250="","",IF(ISERROR(FIND("x",LOWER(Registro!$G250))),N(Registro!$H250),IFERROR(SUMPRODUCT(--("0"&amp;LEFT(TRIM(MID(SUBSTITUTE(SUBSTITUTE(SUBSTITUTE(SUBSTITUTE(SUBSTITUTE(LOWER(Registro!$G250),"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",LEN(Registro!$G250))),({1,2,3,4,5,6,7,8,9,10,11,12,13,14,15,16,17,18,19,20,21,22,23,24,25,26,27,28,29,30}-1)*LEN(Registro!$G250)+1,LEN(Registro!$G250))),FIND("x",TRIM(MID(SUBSTITUTE(SUBSTITUTE(SUBSTITUTE(SUBSTITUTE(SUBSTITUTE(LOWER(Registro!$G250),"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",LEN(Registro!$G250))),({1,2,3,4,5,6,7,8,9,10,11,12,13,14,15,16,17,18,19,20,21,22,23,24,25,26,27,28,29,30}-1)*LEN(Registro!$G250)+1,LEN(Registro!$G250)))&amp;"x")-1)),--("0"&amp;MID(TRIM(MID(SUBSTITUTE(SUBSTITUTE(SUBSTITUTE(SUBSTITUTE(SUBSTITUTE(LOWER(Registro!$G250),"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",LEN(Registro!$G250))),({1,2,3,4,5,6,7,8,9,10,11,12,13,14,15,16,17,18,19,20,21,22,23,24,25,26,27,28,29,30}-1)*LEN(Registro!$G250)+1,LEN(Registro!$G250))),FIND("x",TRIM(MID(SUBSTITUTE(SUBSTITUTE(SUBSTITUTE(SUBSTITUTE(SUBSTITUTE(LOWER(Registro!$G250),"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",LEN(Registro!$G250))),({1,2,3,4,5,6,7,8,9,10,11,12,13,14,15,16,17,18,19,20,21,22,23,24,25,26,27,28,29,30}-1)*LEN(Registro!$G250)+1,LEN(Registro!$G250)))&amp;"x")+1,20))),"Revisar formato")))</f>
        <v/>
      </c>
      <c r="J250" s="9" t="str">
        <f>IF(AND(Registro!$E250="",Registro!$G250=""),"",IF(NOT(AND(ISNUMBER(I250),ISNUMBER(Registro!$H250))),"",IF(I250&lt;Registro!$H250,"FALTA BOLETOS",IF(I250=Registro!$H250,"CONFORME","DIFERENCIA"))))</f>
        <v/>
      </c>
      <c r="K250" s="11" t="str">
        <f>IF(Registro!$I250="","",IFERROR(SUMPRODUCT(--("0"&amp;TRIM(RIGHT(SUBSTITUTE(TRIM(MID(SUBSTITUTE(SUBSTITUTE(Registro!$I250,";",CHAR(10)),CHAR(10),REPT(" ",LEN(Registro!$I250))),({1,2,3,4,5,6,7,8,9,10,11,12,13,14,15,16,17,18,19,20,21,22,23,24,25,26,27,28,29,30}-1)*LEN(Registro!$I250)+1,LEN(Registro!$I250)))," ",REPT(" ",50)),50)))),"Revisar formato"))</f>
        <v/>
      </c>
      <c r="L250" s="11" t="str">
        <f>IF(Registro!$J250="","",IFERROR(SUMPRODUCT(--("0"&amp;TRIM(RIGHT(SUBSTITUTE(TRIM(MID(SUBSTITUTE(SUBSTITUTE(Registro!$J250,";",CHAR(10)),CHAR(10),REPT(" ",LEN(Registro!$J250))),({1,2,3,4,5,6,7,8,9,10,11,12,13,14,15,16,17,18,19,20,21,22,23,24,25,26,27,28,29,30}-1)*LEN(Registro!$J250)+1,LEN(Registro!$J250)))," ",REPT(" ",50)),50)))),"Revisar formato"))</f>
        <v/>
      </c>
      <c r="M250" s="11" t="str">
        <f>IF(AND(Registro!$H250="",Registro!$I250=""),"",IF(AND(ISTEXT(K250),K250&lt;&gt;""),"Revisar formato",N(Registro!$H250)-N(K250)))</f>
        <v/>
      </c>
      <c r="N250" s="11" t="str">
        <f t="shared" si="11"/>
        <v/>
      </c>
      <c r="O250" s="15" t="str">
        <f>IF(AND(A250=Consulta!$B$3,C250=Consulta!$H$3),B250*10000+ROW(),"")</f>
        <v/>
      </c>
    </row>
    <row r="251" spans="1:15" x14ac:dyDescent="0.25">
      <c r="A251" s="9" t="str">
        <f>IF(Registro!$A251="","",Registro!$A251)</f>
        <v/>
      </c>
      <c r="B251" s="8" t="str">
        <f>IF(Registro!$B251="","",Registro!$B251)</f>
        <v/>
      </c>
      <c r="C251" s="14" t="str">
        <f t="shared" si="9"/>
        <v/>
      </c>
      <c r="D251" s="10" t="str">
        <f>IF(Registro!$E251="","",IF(ISERROR(FIND("x",LOWER(Registro!$E251))),"-",IFERROR(SUMPRODUCT(--("0"&amp;LEFT(TRIM(MID(SUBSTITUTE(SUBSTITUTE(SUBSTITUTE(SUBSTITUTE(SUBSTITUTE(LOWER(Registro!$E251),"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",LEN(Registro!$E251))),({1,2,3,4,5,6,7,8,9,10,11,12,13,14,15,16,17,18,19,20,21,22,23,24,25,26,27,28,29,30}-1)*LEN(Registro!$E251)+1,LEN(Registro!$E251)))&amp;"x")-1))),"Revisar formato")))</f>
        <v/>
      </c>
      <c r="E251" s="11" t="str">
        <f>IF(Registro!$E251="","",IF(ISERROR(FIND("x",LOWER(Registro!$E251))),"-",IFERROR(SUMPRODUCT(--("0"&amp;LEFT(TRIM(MID(SUBSTITUTE(SUBSTITUTE(SUBSTITUTE(SUBSTITUTE(SUBSTITUTE(LOWER(Registro!$E251),"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",LEN(Registro!$E251))),({1,2,3,4,5,6,7,8,9,10,11,12,13,14,15,16,17,18,19,20,21,22,23,24,25,26,27,28,29,30}-1)*LEN(Registro!$E251)+1,LEN(Registro!$E251)))&amp;"x")-1)),--("0"&amp;MID(TRIM(MID(SUBSTITUTE(SUBSTITUTE(SUBSTITUTE(SUBSTITUTE(SUBSTITUTE(LOWER(Registro!$E251),"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",LEN(Registro!$E251))),({1,2,3,4,5,6,7,8,9,10,11,12,13,14,15,16,17,18,19,20,21,22,23,24,25,26,27,28,29,30}-1)*LEN(Registro!$E251)+1,LEN(Registro!$E251)))&amp;"x")+1,20))),"Revisar formato")))</f>
        <v/>
      </c>
      <c r="F251" s="11" t="str">
        <f>IF(Registro!$F251="","",N(Registro!$F251))</f>
        <v/>
      </c>
      <c r="G251" s="11" t="str">
        <f t="shared" si="10"/>
        <v/>
      </c>
      <c r="H251" s="10" t="str">
        <f>IF(Registro!$G251="","",IF(ISERROR(FIND("x",LOWER(Registro!$G251))),"-",IFERROR(SUMPRODUCT(--("0"&amp;LEFT(TRIM(MID(SUBSTITUTE(SUBSTITUTE(SUBSTITUTE(SUBSTITUTE(SUBSTITUTE(LOWER(Registro!$G251),"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",LEN(Registro!$G251))),({1,2,3,4,5,6,7,8,9,10,11,12,13,14,15,16,17,18,19,20,21,22,23,24,25,26,27,28,29,30}-1)*LEN(Registro!$G251)+1,LEN(Registro!$G251))),FIND("x",TRIM(MID(SUBSTITUTE(SUBSTITUTE(SUBSTITUTE(SUBSTITUTE(SUBSTITUTE(LOWER(Registro!$G251),"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",LEN(Registro!$G251))),({1,2,3,4,5,6,7,8,9,10,11,12,13,14,15,16,17,18,19,20,21,22,23,24,25,26,27,28,29,30}-1)*LEN(Registro!$G251)+1,LEN(Registro!$G251)))&amp;"x")-1))),"Revisar formato")))</f>
        <v/>
      </c>
      <c r="I251" s="11" t="str">
        <f>IF(Registro!$G251="","",IF(ISERROR(FIND("x",LOWER(Registro!$G251))),N(Registro!$H251),IFERROR(SUMPRODUCT(--("0"&amp;LEFT(TRIM(MID(SUBSTITUTE(SUBSTITUTE(SUBSTITUTE(SUBSTITUTE(SUBSTITUTE(LOWER(Registro!$G251),"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",LEN(Registro!$G251))),({1,2,3,4,5,6,7,8,9,10,11,12,13,14,15,16,17,18,19,20,21,22,23,24,25,26,27,28,29,30}-1)*LEN(Registro!$G251)+1,LEN(Registro!$G251))),FIND("x",TRIM(MID(SUBSTITUTE(SUBSTITUTE(SUBSTITUTE(SUBSTITUTE(SUBSTITUTE(LOWER(Registro!$G251),"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",LEN(Registro!$G251))),({1,2,3,4,5,6,7,8,9,10,11,12,13,14,15,16,17,18,19,20,21,22,23,24,25,26,27,28,29,30}-1)*LEN(Registro!$G251)+1,LEN(Registro!$G251)))&amp;"x")-1)),--("0"&amp;MID(TRIM(MID(SUBSTITUTE(SUBSTITUTE(SUBSTITUTE(SUBSTITUTE(SUBSTITUTE(LOWER(Registro!$G251),"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",LEN(Registro!$G251))),({1,2,3,4,5,6,7,8,9,10,11,12,13,14,15,16,17,18,19,20,21,22,23,24,25,26,27,28,29,30}-1)*LEN(Registro!$G251)+1,LEN(Registro!$G251))),FIND("x",TRIM(MID(SUBSTITUTE(SUBSTITUTE(SUBSTITUTE(SUBSTITUTE(SUBSTITUTE(LOWER(Registro!$G251),"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",LEN(Registro!$G251))),({1,2,3,4,5,6,7,8,9,10,11,12,13,14,15,16,17,18,19,20,21,22,23,24,25,26,27,28,29,30}-1)*LEN(Registro!$G251)+1,LEN(Registro!$G251)))&amp;"x")+1,20))),"Revisar formato")))</f>
        <v/>
      </c>
      <c r="J251" s="9" t="str">
        <f>IF(AND(Registro!$E251="",Registro!$G251=""),"",IF(NOT(AND(ISNUMBER(I251),ISNUMBER(Registro!$H251))),"",IF(I251&lt;Registro!$H251,"FALTA BOLETOS",IF(I251=Registro!$H251,"CONFORME","DIFERENCIA"))))</f>
        <v/>
      </c>
      <c r="K251" s="11" t="str">
        <f>IF(Registro!$I251="","",IFERROR(SUMPRODUCT(--("0"&amp;TRIM(RIGHT(SUBSTITUTE(TRIM(MID(SUBSTITUTE(SUBSTITUTE(Registro!$I251,";",CHAR(10)),CHAR(10),REPT(" ",LEN(Registro!$I251))),({1,2,3,4,5,6,7,8,9,10,11,12,13,14,15,16,17,18,19,20,21,22,23,24,25,26,27,28,29,30}-1)*LEN(Registro!$I251)+1,LEN(Registro!$I251)))," ",REPT(" ",50)),50)))),"Revisar formato"))</f>
        <v/>
      </c>
      <c r="L251" s="11" t="str">
        <f>IF(Registro!$J251="","",IFERROR(SUMPRODUCT(--("0"&amp;TRIM(RIGHT(SUBSTITUTE(TRIM(MID(SUBSTITUTE(SUBSTITUTE(Registro!$J251,";",CHAR(10)),CHAR(10),REPT(" ",LEN(Registro!$J251))),({1,2,3,4,5,6,7,8,9,10,11,12,13,14,15,16,17,18,19,20,21,22,23,24,25,26,27,28,29,30}-1)*LEN(Registro!$J251)+1,LEN(Registro!$J251)))," ",REPT(" ",50)),50)))),"Revisar formato"))</f>
        <v/>
      </c>
      <c r="M251" s="11" t="str">
        <f>IF(AND(Registro!$H251="",Registro!$I251=""),"",IF(AND(ISTEXT(K251),K251&lt;&gt;""),"Revisar formato",N(Registro!$H251)-N(K251)))</f>
        <v/>
      </c>
      <c r="N251" s="11" t="str">
        <f t="shared" si="11"/>
        <v/>
      </c>
      <c r="O251" s="15" t="str">
        <f>IF(AND(A251=Consulta!$B$3,C251=Consulta!$H$3),B251*10000+ROW(),"")</f>
        <v/>
      </c>
    </row>
    <row r="252" spans="1:15" x14ac:dyDescent="0.25">
      <c r="A252" s="9" t="str">
        <f>IF(Registro!$A252="","",Registro!$A252)</f>
        <v/>
      </c>
      <c r="B252" s="8" t="str">
        <f>IF(Registro!$B252="","",Registro!$B252)</f>
        <v/>
      </c>
      <c r="C252" s="14" t="str">
        <f t="shared" si="9"/>
        <v/>
      </c>
      <c r="D252" s="10" t="str">
        <f>IF(Registro!$E252="","",IF(ISERROR(FIND("x",LOWER(Registro!$E252))),"-",IFERROR(SUMPRODUCT(--("0"&amp;LEFT(TRIM(MID(SUBSTITUTE(SUBSTITUTE(SUBSTITUTE(SUBSTITUTE(SUBSTITUTE(LOWER(Registro!$E252),"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",LEN(Registro!$E252))),({1,2,3,4,5,6,7,8,9,10,11,12,13,14,15,16,17,18,19,20,21,22,23,24,25,26,27,28,29,30}-1)*LEN(Registro!$E252)+1,LEN(Registro!$E252)))&amp;"x")-1))),"Revisar formato")))</f>
        <v/>
      </c>
      <c r="E252" s="11" t="str">
        <f>IF(Registro!$E252="","",IF(ISERROR(FIND("x",LOWER(Registro!$E252))),"-",IFERROR(SUMPRODUCT(--("0"&amp;LEFT(TRIM(MID(SUBSTITUTE(SUBSTITUTE(SUBSTITUTE(SUBSTITUTE(SUBSTITUTE(LOWER(Registro!$E252),"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",LEN(Registro!$E252))),({1,2,3,4,5,6,7,8,9,10,11,12,13,14,15,16,17,18,19,20,21,22,23,24,25,26,27,28,29,30}-1)*LEN(Registro!$E252)+1,LEN(Registro!$E252)))&amp;"x")-1)),--("0"&amp;MID(TRIM(MID(SUBSTITUTE(SUBSTITUTE(SUBSTITUTE(SUBSTITUTE(SUBSTITUTE(LOWER(Registro!$E252),"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",LEN(Registro!$E252))),({1,2,3,4,5,6,7,8,9,10,11,12,13,14,15,16,17,18,19,20,21,22,23,24,25,26,27,28,29,30}-1)*LEN(Registro!$E252)+1,LEN(Registro!$E252)))&amp;"x")+1,20))),"Revisar formato")))</f>
        <v/>
      </c>
      <c r="F252" s="11" t="str">
        <f>IF(Registro!$F252="","",N(Registro!$F252))</f>
        <v/>
      </c>
      <c r="G252" s="11" t="str">
        <f t="shared" si="10"/>
        <v/>
      </c>
      <c r="H252" s="10" t="str">
        <f>IF(Registro!$G252="","",IF(ISERROR(FIND("x",LOWER(Registro!$G252))),"-",IFERROR(SUMPRODUCT(--("0"&amp;LEFT(TRIM(MID(SUBSTITUTE(SUBSTITUTE(SUBSTITUTE(SUBSTITUTE(SUBSTITUTE(LOWER(Registro!$G252),"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",LEN(Registro!$G252))),({1,2,3,4,5,6,7,8,9,10,11,12,13,14,15,16,17,18,19,20,21,22,23,24,25,26,27,28,29,30}-1)*LEN(Registro!$G252)+1,LEN(Registro!$G252))),FIND("x",TRIM(MID(SUBSTITUTE(SUBSTITUTE(SUBSTITUTE(SUBSTITUTE(SUBSTITUTE(LOWER(Registro!$G252),"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",LEN(Registro!$G252))),({1,2,3,4,5,6,7,8,9,10,11,12,13,14,15,16,17,18,19,20,21,22,23,24,25,26,27,28,29,30}-1)*LEN(Registro!$G252)+1,LEN(Registro!$G252)))&amp;"x")-1))),"Revisar formato")))</f>
        <v/>
      </c>
      <c r="I252" s="11" t="str">
        <f>IF(Registro!$G252="","",IF(ISERROR(FIND("x",LOWER(Registro!$G252))),N(Registro!$H252),IFERROR(SUMPRODUCT(--("0"&amp;LEFT(TRIM(MID(SUBSTITUTE(SUBSTITUTE(SUBSTITUTE(SUBSTITUTE(SUBSTITUTE(LOWER(Registro!$G252),"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",LEN(Registro!$G252))),({1,2,3,4,5,6,7,8,9,10,11,12,13,14,15,16,17,18,19,20,21,22,23,24,25,26,27,28,29,30}-1)*LEN(Registro!$G252)+1,LEN(Registro!$G252))),FIND("x",TRIM(MID(SUBSTITUTE(SUBSTITUTE(SUBSTITUTE(SUBSTITUTE(SUBSTITUTE(LOWER(Registro!$G252),"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",LEN(Registro!$G252))),({1,2,3,4,5,6,7,8,9,10,11,12,13,14,15,16,17,18,19,20,21,22,23,24,25,26,27,28,29,30}-1)*LEN(Registro!$G252)+1,LEN(Registro!$G252)))&amp;"x")-1)),--("0"&amp;MID(TRIM(MID(SUBSTITUTE(SUBSTITUTE(SUBSTITUTE(SUBSTITUTE(SUBSTITUTE(LOWER(Registro!$G252),"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",LEN(Registro!$G252))),({1,2,3,4,5,6,7,8,9,10,11,12,13,14,15,16,17,18,19,20,21,22,23,24,25,26,27,28,29,30}-1)*LEN(Registro!$G252)+1,LEN(Registro!$G252))),FIND("x",TRIM(MID(SUBSTITUTE(SUBSTITUTE(SUBSTITUTE(SUBSTITUTE(SUBSTITUTE(LOWER(Registro!$G252),"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",LEN(Registro!$G252))),({1,2,3,4,5,6,7,8,9,10,11,12,13,14,15,16,17,18,19,20,21,22,23,24,25,26,27,28,29,30}-1)*LEN(Registro!$G252)+1,LEN(Registro!$G252)))&amp;"x")+1,20))),"Revisar formato")))</f>
        <v/>
      </c>
      <c r="J252" s="9" t="str">
        <f>IF(AND(Registro!$E252="",Registro!$G252=""),"",IF(NOT(AND(ISNUMBER(I252),ISNUMBER(Registro!$H252))),"",IF(I252&lt;Registro!$H252,"FALTA BOLETOS",IF(I252=Registro!$H252,"CONFORME","DIFERENCIA"))))</f>
        <v/>
      </c>
      <c r="K252" s="11" t="str">
        <f>IF(Registro!$I252="","",IFERROR(SUMPRODUCT(--("0"&amp;TRIM(RIGHT(SUBSTITUTE(TRIM(MID(SUBSTITUTE(SUBSTITUTE(Registro!$I252,";",CHAR(10)),CHAR(10),REPT(" ",LEN(Registro!$I252))),({1,2,3,4,5,6,7,8,9,10,11,12,13,14,15,16,17,18,19,20,21,22,23,24,25,26,27,28,29,30}-1)*LEN(Registro!$I252)+1,LEN(Registro!$I252)))," ",REPT(" ",50)),50)))),"Revisar formato"))</f>
        <v/>
      </c>
      <c r="L252" s="11" t="str">
        <f>IF(Registro!$J252="","",IFERROR(SUMPRODUCT(--("0"&amp;TRIM(RIGHT(SUBSTITUTE(TRIM(MID(SUBSTITUTE(SUBSTITUTE(Registro!$J252,";",CHAR(10)),CHAR(10),REPT(" ",LEN(Registro!$J252))),({1,2,3,4,5,6,7,8,9,10,11,12,13,14,15,16,17,18,19,20,21,22,23,24,25,26,27,28,29,30}-1)*LEN(Registro!$J252)+1,LEN(Registro!$J252)))," ",REPT(" ",50)),50)))),"Revisar formato"))</f>
        <v/>
      </c>
      <c r="M252" s="11" t="str">
        <f>IF(AND(Registro!$H252="",Registro!$I252=""),"",IF(AND(ISTEXT(K252),K252&lt;&gt;""),"Revisar formato",N(Registro!$H252)-N(K252)))</f>
        <v/>
      </c>
      <c r="N252" s="11" t="str">
        <f t="shared" si="11"/>
        <v/>
      </c>
      <c r="O252" s="15" t="str">
        <f>IF(AND(A252=Consulta!$B$3,C252=Consulta!$H$3),B252*10000+ROW(),"")</f>
        <v/>
      </c>
    </row>
    <row r="253" spans="1:15" x14ac:dyDescent="0.25">
      <c r="A253" s="9" t="str">
        <f>IF(Registro!$A253="","",Registro!$A253)</f>
        <v/>
      </c>
      <c r="B253" s="8" t="str">
        <f>IF(Registro!$B253="","",Registro!$B253)</f>
        <v/>
      </c>
      <c r="C253" s="14" t="str">
        <f t="shared" si="9"/>
        <v/>
      </c>
      <c r="D253" s="10" t="str">
        <f>IF(Registro!$E253="","",IF(ISERROR(FIND("x",LOWER(Registro!$E253))),"-",IFERROR(SUMPRODUCT(--("0"&amp;LEFT(TRIM(MID(SUBSTITUTE(SUBSTITUTE(SUBSTITUTE(SUBSTITUTE(SUBSTITUTE(LOWER(Registro!$E253),"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",LEN(Registro!$E253))),({1,2,3,4,5,6,7,8,9,10,11,12,13,14,15,16,17,18,19,20,21,22,23,24,25,26,27,28,29,30}-1)*LEN(Registro!$E253)+1,LEN(Registro!$E253)))&amp;"x")-1))),"Revisar formato")))</f>
        <v/>
      </c>
      <c r="E253" s="11" t="str">
        <f>IF(Registro!$E253="","",IF(ISERROR(FIND("x",LOWER(Registro!$E253))),"-",IFERROR(SUMPRODUCT(--("0"&amp;LEFT(TRIM(MID(SUBSTITUTE(SUBSTITUTE(SUBSTITUTE(SUBSTITUTE(SUBSTITUTE(LOWER(Registro!$E253),"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",LEN(Registro!$E253))),({1,2,3,4,5,6,7,8,9,10,11,12,13,14,15,16,17,18,19,20,21,22,23,24,25,26,27,28,29,30}-1)*LEN(Registro!$E253)+1,LEN(Registro!$E253)))&amp;"x")-1)),--("0"&amp;MID(TRIM(MID(SUBSTITUTE(SUBSTITUTE(SUBSTITUTE(SUBSTITUTE(SUBSTITUTE(LOWER(Registro!$E253),"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",LEN(Registro!$E253))),({1,2,3,4,5,6,7,8,9,10,11,12,13,14,15,16,17,18,19,20,21,22,23,24,25,26,27,28,29,30}-1)*LEN(Registro!$E253)+1,LEN(Registro!$E253)))&amp;"x")+1,20))),"Revisar formato")))</f>
        <v/>
      </c>
      <c r="F253" s="11" t="str">
        <f>IF(Registro!$F253="","",N(Registro!$F253))</f>
        <v/>
      </c>
      <c r="G253" s="11" t="str">
        <f t="shared" si="10"/>
        <v/>
      </c>
      <c r="H253" s="10" t="str">
        <f>IF(Registro!$G253="","",IF(ISERROR(FIND("x",LOWER(Registro!$G253))),"-",IFERROR(SUMPRODUCT(--("0"&amp;LEFT(TRIM(MID(SUBSTITUTE(SUBSTITUTE(SUBSTITUTE(SUBSTITUTE(SUBSTITUTE(LOWER(Registro!$G253),"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",LEN(Registro!$G253))),({1,2,3,4,5,6,7,8,9,10,11,12,13,14,15,16,17,18,19,20,21,22,23,24,25,26,27,28,29,30}-1)*LEN(Registro!$G253)+1,LEN(Registro!$G253))),FIND("x",TRIM(MID(SUBSTITUTE(SUBSTITUTE(SUBSTITUTE(SUBSTITUTE(SUBSTITUTE(LOWER(Registro!$G253),"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",LEN(Registro!$G253))),({1,2,3,4,5,6,7,8,9,10,11,12,13,14,15,16,17,18,19,20,21,22,23,24,25,26,27,28,29,30}-1)*LEN(Registro!$G253)+1,LEN(Registro!$G253)))&amp;"x")-1))),"Revisar formato")))</f>
        <v/>
      </c>
      <c r="I253" s="11" t="str">
        <f>IF(Registro!$G253="","",IF(ISERROR(FIND("x",LOWER(Registro!$G253))),N(Registro!$H253),IFERROR(SUMPRODUCT(--("0"&amp;LEFT(TRIM(MID(SUBSTITUTE(SUBSTITUTE(SUBSTITUTE(SUBSTITUTE(SUBSTITUTE(LOWER(Registro!$G253),"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",LEN(Registro!$G253))),({1,2,3,4,5,6,7,8,9,10,11,12,13,14,15,16,17,18,19,20,21,22,23,24,25,26,27,28,29,30}-1)*LEN(Registro!$G253)+1,LEN(Registro!$G253))),FIND("x",TRIM(MID(SUBSTITUTE(SUBSTITUTE(SUBSTITUTE(SUBSTITUTE(SUBSTITUTE(LOWER(Registro!$G253),"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",LEN(Registro!$G253))),({1,2,3,4,5,6,7,8,9,10,11,12,13,14,15,16,17,18,19,20,21,22,23,24,25,26,27,28,29,30}-1)*LEN(Registro!$G253)+1,LEN(Registro!$G253)))&amp;"x")-1)),--("0"&amp;MID(TRIM(MID(SUBSTITUTE(SUBSTITUTE(SUBSTITUTE(SUBSTITUTE(SUBSTITUTE(LOWER(Registro!$G253),"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",LEN(Registro!$G253))),({1,2,3,4,5,6,7,8,9,10,11,12,13,14,15,16,17,18,19,20,21,22,23,24,25,26,27,28,29,30}-1)*LEN(Registro!$G253)+1,LEN(Registro!$G253))),FIND("x",TRIM(MID(SUBSTITUTE(SUBSTITUTE(SUBSTITUTE(SUBSTITUTE(SUBSTITUTE(LOWER(Registro!$G253),"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",LEN(Registro!$G253))),({1,2,3,4,5,6,7,8,9,10,11,12,13,14,15,16,17,18,19,20,21,22,23,24,25,26,27,28,29,30}-1)*LEN(Registro!$G253)+1,LEN(Registro!$G253)))&amp;"x")+1,20))),"Revisar formato")))</f>
        <v/>
      </c>
      <c r="J253" s="9" t="str">
        <f>IF(AND(Registro!$E253="",Registro!$G253=""),"",IF(NOT(AND(ISNUMBER(I253),ISNUMBER(Registro!$H253))),"",IF(I253&lt;Registro!$H253,"FALTA BOLETOS",IF(I253=Registro!$H253,"CONFORME","DIFERENCIA"))))</f>
        <v/>
      </c>
      <c r="K253" s="11" t="str">
        <f>IF(Registro!$I253="","",IFERROR(SUMPRODUCT(--("0"&amp;TRIM(RIGHT(SUBSTITUTE(TRIM(MID(SUBSTITUTE(SUBSTITUTE(Registro!$I253,";",CHAR(10)),CHAR(10),REPT(" ",LEN(Registro!$I253))),({1,2,3,4,5,6,7,8,9,10,11,12,13,14,15,16,17,18,19,20,21,22,23,24,25,26,27,28,29,30}-1)*LEN(Registro!$I253)+1,LEN(Registro!$I253)))," ",REPT(" ",50)),50)))),"Revisar formato"))</f>
        <v/>
      </c>
      <c r="L253" s="11" t="str">
        <f>IF(Registro!$J253="","",IFERROR(SUMPRODUCT(--("0"&amp;TRIM(RIGHT(SUBSTITUTE(TRIM(MID(SUBSTITUTE(SUBSTITUTE(Registro!$J253,";",CHAR(10)),CHAR(10),REPT(" ",LEN(Registro!$J253))),({1,2,3,4,5,6,7,8,9,10,11,12,13,14,15,16,17,18,19,20,21,22,23,24,25,26,27,28,29,30}-1)*LEN(Registro!$J253)+1,LEN(Registro!$J253)))," ",REPT(" ",50)),50)))),"Revisar formato"))</f>
        <v/>
      </c>
      <c r="M253" s="11" t="str">
        <f>IF(AND(Registro!$H253="",Registro!$I253=""),"",IF(AND(ISTEXT(K253),K253&lt;&gt;""),"Revisar formato",N(Registro!$H253)-N(K253)))</f>
        <v/>
      </c>
      <c r="N253" s="11" t="str">
        <f t="shared" si="11"/>
        <v/>
      </c>
      <c r="O253" s="15" t="str">
        <f>IF(AND(A253=Consulta!$B$3,C253=Consulta!$H$3),B253*10000+ROW(),"")</f>
        <v/>
      </c>
    </row>
    <row r="254" spans="1:15" x14ac:dyDescent="0.25">
      <c r="A254" s="9" t="str">
        <f>IF(Registro!$A254="","",Registro!$A254)</f>
        <v/>
      </c>
      <c r="B254" s="8" t="str">
        <f>IF(Registro!$B254="","",Registro!$B254)</f>
        <v/>
      </c>
      <c r="C254" s="14" t="str">
        <f t="shared" si="9"/>
        <v/>
      </c>
      <c r="D254" s="10" t="str">
        <f>IF(Registro!$E254="","",IF(ISERROR(FIND("x",LOWER(Registro!$E254))),"-",IFERROR(SUMPRODUCT(--("0"&amp;LEFT(TRIM(MID(SUBSTITUTE(SUBSTITUTE(SUBSTITUTE(SUBSTITUTE(SUBSTITUTE(LOWER(Registro!$E254),"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",LEN(Registro!$E254))),({1,2,3,4,5,6,7,8,9,10,11,12,13,14,15,16,17,18,19,20,21,22,23,24,25,26,27,28,29,30}-1)*LEN(Registro!$E254)+1,LEN(Registro!$E254)))&amp;"x")-1))),"Revisar formato")))</f>
        <v/>
      </c>
      <c r="E254" s="11" t="str">
        <f>IF(Registro!$E254="","",IF(ISERROR(FIND("x",LOWER(Registro!$E254))),"-",IFERROR(SUMPRODUCT(--("0"&amp;LEFT(TRIM(MID(SUBSTITUTE(SUBSTITUTE(SUBSTITUTE(SUBSTITUTE(SUBSTITUTE(LOWER(Registro!$E254),"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",LEN(Registro!$E254))),({1,2,3,4,5,6,7,8,9,10,11,12,13,14,15,16,17,18,19,20,21,22,23,24,25,26,27,28,29,30}-1)*LEN(Registro!$E254)+1,LEN(Registro!$E254)))&amp;"x")-1)),--("0"&amp;MID(TRIM(MID(SUBSTITUTE(SUBSTITUTE(SUBSTITUTE(SUBSTITUTE(SUBSTITUTE(LOWER(Registro!$E254),"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",LEN(Registro!$E254))),({1,2,3,4,5,6,7,8,9,10,11,12,13,14,15,16,17,18,19,20,21,22,23,24,25,26,27,28,29,30}-1)*LEN(Registro!$E254)+1,LEN(Registro!$E254)))&amp;"x")+1,20))),"Revisar formato")))</f>
        <v/>
      </c>
      <c r="F254" s="11" t="str">
        <f>IF(Registro!$F254="","",N(Registro!$F254))</f>
        <v/>
      </c>
      <c r="G254" s="11" t="str">
        <f t="shared" si="10"/>
        <v/>
      </c>
      <c r="H254" s="10" t="str">
        <f>IF(Registro!$G254="","",IF(ISERROR(FIND("x",LOWER(Registro!$G254))),"-",IFERROR(SUMPRODUCT(--("0"&amp;LEFT(TRIM(MID(SUBSTITUTE(SUBSTITUTE(SUBSTITUTE(SUBSTITUTE(SUBSTITUTE(LOWER(Registro!$G254),"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",LEN(Registro!$G254))),({1,2,3,4,5,6,7,8,9,10,11,12,13,14,15,16,17,18,19,20,21,22,23,24,25,26,27,28,29,30}-1)*LEN(Registro!$G254)+1,LEN(Registro!$G254))),FIND("x",TRIM(MID(SUBSTITUTE(SUBSTITUTE(SUBSTITUTE(SUBSTITUTE(SUBSTITUTE(LOWER(Registro!$G254),"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",LEN(Registro!$G254))),({1,2,3,4,5,6,7,8,9,10,11,12,13,14,15,16,17,18,19,20,21,22,23,24,25,26,27,28,29,30}-1)*LEN(Registro!$G254)+1,LEN(Registro!$G254)))&amp;"x")-1))),"Revisar formato")))</f>
        <v/>
      </c>
      <c r="I254" s="11" t="str">
        <f>IF(Registro!$G254="","",IF(ISERROR(FIND("x",LOWER(Registro!$G254))),N(Registro!$H254),IFERROR(SUMPRODUCT(--("0"&amp;LEFT(TRIM(MID(SUBSTITUTE(SUBSTITUTE(SUBSTITUTE(SUBSTITUTE(SUBSTITUTE(LOWER(Registro!$G254),"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",LEN(Registro!$G254))),({1,2,3,4,5,6,7,8,9,10,11,12,13,14,15,16,17,18,19,20,21,22,23,24,25,26,27,28,29,30}-1)*LEN(Registro!$G254)+1,LEN(Registro!$G254))),FIND("x",TRIM(MID(SUBSTITUTE(SUBSTITUTE(SUBSTITUTE(SUBSTITUTE(SUBSTITUTE(LOWER(Registro!$G254),"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",LEN(Registro!$G254))),({1,2,3,4,5,6,7,8,9,10,11,12,13,14,15,16,17,18,19,20,21,22,23,24,25,26,27,28,29,30}-1)*LEN(Registro!$G254)+1,LEN(Registro!$G254)))&amp;"x")-1)),--("0"&amp;MID(TRIM(MID(SUBSTITUTE(SUBSTITUTE(SUBSTITUTE(SUBSTITUTE(SUBSTITUTE(LOWER(Registro!$G254),"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",LEN(Registro!$G254))),({1,2,3,4,5,6,7,8,9,10,11,12,13,14,15,16,17,18,19,20,21,22,23,24,25,26,27,28,29,30}-1)*LEN(Registro!$G254)+1,LEN(Registro!$G254))),FIND("x",TRIM(MID(SUBSTITUTE(SUBSTITUTE(SUBSTITUTE(SUBSTITUTE(SUBSTITUTE(LOWER(Registro!$G254),"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",LEN(Registro!$G254))),({1,2,3,4,5,6,7,8,9,10,11,12,13,14,15,16,17,18,19,20,21,22,23,24,25,26,27,28,29,30}-1)*LEN(Registro!$G254)+1,LEN(Registro!$G254)))&amp;"x")+1,20))),"Revisar formato")))</f>
        <v/>
      </c>
      <c r="J254" s="9" t="str">
        <f>IF(AND(Registro!$E254="",Registro!$G254=""),"",IF(NOT(AND(ISNUMBER(I254),ISNUMBER(Registro!$H254))),"",IF(I254&lt;Registro!$H254,"FALTA BOLETOS",IF(I254=Registro!$H254,"CONFORME","DIFERENCIA"))))</f>
        <v/>
      </c>
      <c r="K254" s="11" t="str">
        <f>IF(Registro!$I254="","",IFERROR(SUMPRODUCT(--("0"&amp;TRIM(RIGHT(SUBSTITUTE(TRIM(MID(SUBSTITUTE(SUBSTITUTE(Registro!$I254,";",CHAR(10)),CHAR(10),REPT(" ",LEN(Registro!$I254))),({1,2,3,4,5,6,7,8,9,10,11,12,13,14,15,16,17,18,19,20,21,22,23,24,25,26,27,28,29,30}-1)*LEN(Registro!$I254)+1,LEN(Registro!$I254)))," ",REPT(" ",50)),50)))),"Revisar formato"))</f>
        <v/>
      </c>
      <c r="L254" s="11" t="str">
        <f>IF(Registro!$J254="","",IFERROR(SUMPRODUCT(--("0"&amp;TRIM(RIGHT(SUBSTITUTE(TRIM(MID(SUBSTITUTE(SUBSTITUTE(Registro!$J254,";",CHAR(10)),CHAR(10),REPT(" ",LEN(Registro!$J254))),({1,2,3,4,5,6,7,8,9,10,11,12,13,14,15,16,17,18,19,20,21,22,23,24,25,26,27,28,29,30}-1)*LEN(Registro!$J254)+1,LEN(Registro!$J254)))," ",REPT(" ",50)),50)))),"Revisar formato"))</f>
        <v/>
      </c>
      <c r="M254" s="11" t="str">
        <f>IF(AND(Registro!$H254="",Registro!$I254=""),"",IF(AND(ISTEXT(K254),K254&lt;&gt;""),"Revisar formato",N(Registro!$H254)-N(K254)))</f>
        <v/>
      </c>
      <c r="N254" s="11" t="str">
        <f t="shared" si="11"/>
        <v/>
      </c>
      <c r="O254" s="15" t="str">
        <f>IF(AND(A254=Consulta!$B$3,C254=Consulta!$H$3),B254*10000+ROW(),"")</f>
        <v/>
      </c>
    </row>
    <row r="255" spans="1:15" x14ac:dyDescent="0.25">
      <c r="A255" s="9" t="str">
        <f>IF(Registro!$A255="","",Registro!$A255)</f>
        <v/>
      </c>
      <c r="B255" s="8" t="str">
        <f>IF(Registro!$B255="","",Registro!$B255)</f>
        <v/>
      </c>
      <c r="C255" s="14" t="str">
        <f t="shared" si="9"/>
        <v/>
      </c>
      <c r="D255" s="10" t="str">
        <f>IF(Registro!$E255="","",IF(ISERROR(FIND("x",LOWER(Registro!$E255))),"-",IFERROR(SUMPRODUCT(--("0"&amp;LEFT(TRIM(MID(SUBSTITUTE(SUBSTITUTE(SUBSTITUTE(SUBSTITUTE(SUBSTITUTE(LOWER(Registro!$E255),"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",LEN(Registro!$E255))),({1,2,3,4,5,6,7,8,9,10,11,12,13,14,15,16,17,18,19,20,21,22,23,24,25,26,27,28,29,30}-1)*LEN(Registro!$E255)+1,LEN(Registro!$E255)))&amp;"x")-1))),"Revisar formato")))</f>
        <v/>
      </c>
      <c r="E255" s="11" t="str">
        <f>IF(Registro!$E255="","",IF(ISERROR(FIND("x",LOWER(Registro!$E255))),"-",IFERROR(SUMPRODUCT(--("0"&amp;LEFT(TRIM(MID(SUBSTITUTE(SUBSTITUTE(SUBSTITUTE(SUBSTITUTE(SUBSTITUTE(LOWER(Registro!$E255),"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",LEN(Registro!$E255))),({1,2,3,4,5,6,7,8,9,10,11,12,13,14,15,16,17,18,19,20,21,22,23,24,25,26,27,28,29,30}-1)*LEN(Registro!$E255)+1,LEN(Registro!$E255)))&amp;"x")-1)),--("0"&amp;MID(TRIM(MID(SUBSTITUTE(SUBSTITUTE(SUBSTITUTE(SUBSTITUTE(SUBSTITUTE(LOWER(Registro!$E255),"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",LEN(Registro!$E255))),({1,2,3,4,5,6,7,8,9,10,11,12,13,14,15,16,17,18,19,20,21,22,23,24,25,26,27,28,29,30}-1)*LEN(Registro!$E255)+1,LEN(Registro!$E255)))&amp;"x")+1,20))),"Revisar formato")))</f>
        <v/>
      </c>
      <c r="F255" s="11" t="str">
        <f>IF(Registro!$F255="","",N(Registro!$F255))</f>
        <v/>
      </c>
      <c r="G255" s="11" t="str">
        <f t="shared" si="10"/>
        <v/>
      </c>
      <c r="H255" s="10" t="str">
        <f>IF(Registro!$G255="","",IF(ISERROR(FIND("x",LOWER(Registro!$G255))),"-",IFERROR(SUMPRODUCT(--("0"&amp;LEFT(TRIM(MID(SUBSTITUTE(SUBSTITUTE(SUBSTITUTE(SUBSTITUTE(SUBSTITUTE(LOWER(Registro!$G255),"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",LEN(Registro!$G255))),({1,2,3,4,5,6,7,8,9,10,11,12,13,14,15,16,17,18,19,20,21,22,23,24,25,26,27,28,29,30}-1)*LEN(Registro!$G255)+1,LEN(Registro!$G255))),FIND("x",TRIM(MID(SUBSTITUTE(SUBSTITUTE(SUBSTITUTE(SUBSTITUTE(SUBSTITUTE(LOWER(Registro!$G255),"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",LEN(Registro!$G255))),({1,2,3,4,5,6,7,8,9,10,11,12,13,14,15,16,17,18,19,20,21,22,23,24,25,26,27,28,29,30}-1)*LEN(Registro!$G255)+1,LEN(Registro!$G255)))&amp;"x")-1))),"Revisar formato")))</f>
        <v/>
      </c>
      <c r="I255" s="11" t="str">
        <f>IF(Registro!$G255="","",IF(ISERROR(FIND("x",LOWER(Registro!$G255))),N(Registro!$H255),IFERROR(SUMPRODUCT(--("0"&amp;LEFT(TRIM(MID(SUBSTITUTE(SUBSTITUTE(SUBSTITUTE(SUBSTITUTE(SUBSTITUTE(LOWER(Registro!$G255),"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",LEN(Registro!$G255))),({1,2,3,4,5,6,7,8,9,10,11,12,13,14,15,16,17,18,19,20,21,22,23,24,25,26,27,28,29,30}-1)*LEN(Registro!$G255)+1,LEN(Registro!$G255))),FIND("x",TRIM(MID(SUBSTITUTE(SUBSTITUTE(SUBSTITUTE(SUBSTITUTE(SUBSTITUTE(LOWER(Registro!$G255),"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",LEN(Registro!$G255))),({1,2,3,4,5,6,7,8,9,10,11,12,13,14,15,16,17,18,19,20,21,22,23,24,25,26,27,28,29,30}-1)*LEN(Registro!$G255)+1,LEN(Registro!$G255)))&amp;"x")-1)),--("0"&amp;MID(TRIM(MID(SUBSTITUTE(SUBSTITUTE(SUBSTITUTE(SUBSTITUTE(SUBSTITUTE(LOWER(Registro!$G255),"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",LEN(Registro!$G255))),({1,2,3,4,5,6,7,8,9,10,11,12,13,14,15,16,17,18,19,20,21,22,23,24,25,26,27,28,29,30}-1)*LEN(Registro!$G255)+1,LEN(Registro!$G255))),FIND("x",TRIM(MID(SUBSTITUTE(SUBSTITUTE(SUBSTITUTE(SUBSTITUTE(SUBSTITUTE(LOWER(Registro!$G255),"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",LEN(Registro!$G255))),({1,2,3,4,5,6,7,8,9,10,11,12,13,14,15,16,17,18,19,20,21,22,23,24,25,26,27,28,29,30}-1)*LEN(Registro!$G255)+1,LEN(Registro!$G255)))&amp;"x")+1,20))),"Revisar formato")))</f>
        <v/>
      </c>
      <c r="J255" s="9" t="str">
        <f>IF(AND(Registro!$E255="",Registro!$G255=""),"",IF(NOT(AND(ISNUMBER(I255),ISNUMBER(Registro!$H255))),"",IF(I255&lt;Registro!$H255,"FALTA BOLETOS",IF(I255=Registro!$H255,"CONFORME","DIFERENCIA"))))</f>
        <v/>
      </c>
      <c r="K255" s="11" t="str">
        <f>IF(Registro!$I255="","",IFERROR(SUMPRODUCT(--("0"&amp;TRIM(RIGHT(SUBSTITUTE(TRIM(MID(SUBSTITUTE(SUBSTITUTE(Registro!$I255,";",CHAR(10)),CHAR(10),REPT(" ",LEN(Registro!$I255))),({1,2,3,4,5,6,7,8,9,10,11,12,13,14,15,16,17,18,19,20,21,22,23,24,25,26,27,28,29,30}-1)*LEN(Registro!$I255)+1,LEN(Registro!$I255)))," ",REPT(" ",50)),50)))),"Revisar formato"))</f>
        <v/>
      </c>
      <c r="L255" s="11" t="str">
        <f>IF(Registro!$J255="","",IFERROR(SUMPRODUCT(--("0"&amp;TRIM(RIGHT(SUBSTITUTE(TRIM(MID(SUBSTITUTE(SUBSTITUTE(Registro!$J255,";",CHAR(10)),CHAR(10),REPT(" ",LEN(Registro!$J255))),({1,2,3,4,5,6,7,8,9,10,11,12,13,14,15,16,17,18,19,20,21,22,23,24,25,26,27,28,29,30}-1)*LEN(Registro!$J255)+1,LEN(Registro!$J255)))," ",REPT(" ",50)),50)))),"Revisar formato"))</f>
        <v/>
      </c>
      <c r="M255" s="11" t="str">
        <f>IF(AND(Registro!$H255="",Registro!$I255=""),"",IF(AND(ISTEXT(K255),K255&lt;&gt;""),"Revisar formato",N(Registro!$H255)-N(K255)))</f>
        <v/>
      </c>
      <c r="N255" s="11" t="str">
        <f t="shared" si="11"/>
        <v/>
      </c>
      <c r="O255" s="15" t="str">
        <f>IF(AND(A255=Consulta!$B$3,C255=Consulta!$H$3),B255*10000+ROW(),"")</f>
        <v/>
      </c>
    </row>
    <row r="256" spans="1:15" x14ac:dyDescent="0.25">
      <c r="A256" s="9" t="str">
        <f>IF(Registro!$A256="","",Registro!$A256)</f>
        <v/>
      </c>
      <c r="B256" s="8" t="str">
        <f>IF(Registro!$B256="","",Registro!$B256)</f>
        <v/>
      </c>
      <c r="C256" s="14" t="str">
        <f t="shared" si="9"/>
        <v/>
      </c>
      <c r="D256" s="10" t="str">
        <f>IF(Registro!$E256="","",IF(ISERROR(FIND("x",LOWER(Registro!$E256))),"-",IFERROR(SUMPRODUCT(--("0"&amp;LEFT(TRIM(MID(SUBSTITUTE(SUBSTITUTE(SUBSTITUTE(SUBSTITUTE(SUBSTITUTE(LOWER(Registro!$E256),"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",LEN(Registro!$E256))),({1,2,3,4,5,6,7,8,9,10,11,12,13,14,15,16,17,18,19,20,21,22,23,24,25,26,27,28,29,30}-1)*LEN(Registro!$E256)+1,LEN(Registro!$E256)))&amp;"x")-1))),"Revisar formato")))</f>
        <v/>
      </c>
      <c r="E256" s="11" t="str">
        <f>IF(Registro!$E256="","",IF(ISERROR(FIND("x",LOWER(Registro!$E256))),"-",IFERROR(SUMPRODUCT(--("0"&amp;LEFT(TRIM(MID(SUBSTITUTE(SUBSTITUTE(SUBSTITUTE(SUBSTITUTE(SUBSTITUTE(LOWER(Registro!$E256),"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",LEN(Registro!$E256))),({1,2,3,4,5,6,7,8,9,10,11,12,13,14,15,16,17,18,19,20,21,22,23,24,25,26,27,28,29,30}-1)*LEN(Registro!$E256)+1,LEN(Registro!$E256)))&amp;"x")-1)),--("0"&amp;MID(TRIM(MID(SUBSTITUTE(SUBSTITUTE(SUBSTITUTE(SUBSTITUTE(SUBSTITUTE(LOWER(Registro!$E256),"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",LEN(Registro!$E256))),({1,2,3,4,5,6,7,8,9,10,11,12,13,14,15,16,17,18,19,20,21,22,23,24,25,26,27,28,29,30}-1)*LEN(Registro!$E256)+1,LEN(Registro!$E256)))&amp;"x")+1,20))),"Revisar formato")))</f>
        <v/>
      </c>
      <c r="F256" s="11" t="str">
        <f>IF(Registro!$F256="","",N(Registro!$F256))</f>
        <v/>
      </c>
      <c r="G256" s="11" t="str">
        <f t="shared" si="10"/>
        <v/>
      </c>
      <c r="H256" s="10" t="str">
        <f>IF(Registro!$G256="","",IF(ISERROR(FIND("x",LOWER(Registro!$G256))),"-",IFERROR(SUMPRODUCT(--("0"&amp;LEFT(TRIM(MID(SUBSTITUTE(SUBSTITUTE(SUBSTITUTE(SUBSTITUTE(SUBSTITUTE(LOWER(Registro!$G256),"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",LEN(Registro!$G256))),({1,2,3,4,5,6,7,8,9,10,11,12,13,14,15,16,17,18,19,20,21,22,23,24,25,26,27,28,29,30}-1)*LEN(Registro!$G256)+1,LEN(Registro!$G256))),FIND("x",TRIM(MID(SUBSTITUTE(SUBSTITUTE(SUBSTITUTE(SUBSTITUTE(SUBSTITUTE(LOWER(Registro!$G256),"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",LEN(Registro!$G256))),({1,2,3,4,5,6,7,8,9,10,11,12,13,14,15,16,17,18,19,20,21,22,23,24,25,26,27,28,29,30}-1)*LEN(Registro!$G256)+1,LEN(Registro!$G256)))&amp;"x")-1))),"Revisar formato")))</f>
        <v/>
      </c>
      <c r="I256" s="11" t="str">
        <f>IF(Registro!$G256="","",IF(ISERROR(FIND("x",LOWER(Registro!$G256))),N(Registro!$H256),IFERROR(SUMPRODUCT(--("0"&amp;LEFT(TRIM(MID(SUBSTITUTE(SUBSTITUTE(SUBSTITUTE(SUBSTITUTE(SUBSTITUTE(LOWER(Registro!$G256),"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",LEN(Registro!$G256))),({1,2,3,4,5,6,7,8,9,10,11,12,13,14,15,16,17,18,19,20,21,22,23,24,25,26,27,28,29,30}-1)*LEN(Registro!$G256)+1,LEN(Registro!$G256))),FIND("x",TRIM(MID(SUBSTITUTE(SUBSTITUTE(SUBSTITUTE(SUBSTITUTE(SUBSTITUTE(LOWER(Registro!$G256),"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",LEN(Registro!$G256))),({1,2,3,4,5,6,7,8,9,10,11,12,13,14,15,16,17,18,19,20,21,22,23,24,25,26,27,28,29,30}-1)*LEN(Registro!$G256)+1,LEN(Registro!$G256)))&amp;"x")-1)),--("0"&amp;MID(TRIM(MID(SUBSTITUTE(SUBSTITUTE(SUBSTITUTE(SUBSTITUTE(SUBSTITUTE(LOWER(Registro!$G256),"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",LEN(Registro!$G256))),({1,2,3,4,5,6,7,8,9,10,11,12,13,14,15,16,17,18,19,20,21,22,23,24,25,26,27,28,29,30}-1)*LEN(Registro!$G256)+1,LEN(Registro!$G256))),FIND("x",TRIM(MID(SUBSTITUTE(SUBSTITUTE(SUBSTITUTE(SUBSTITUTE(SUBSTITUTE(LOWER(Registro!$G256),"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",LEN(Registro!$G256))),({1,2,3,4,5,6,7,8,9,10,11,12,13,14,15,16,17,18,19,20,21,22,23,24,25,26,27,28,29,30}-1)*LEN(Registro!$G256)+1,LEN(Registro!$G256)))&amp;"x")+1,20))),"Revisar formato")))</f>
        <v/>
      </c>
      <c r="J256" s="9" t="str">
        <f>IF(AND(Registro!$E256="",Registro!$G256=""),"",IF(NOT(AND(ISNUMBER(I256),ISNUMBER(Registro!$H256))),"",IF(I256&lt;Registro!$H256,"FALTA BOLETOS",IF(I256=Registro!$H256,"CONFORME","DIFERENCIA"))))</f>
        <v/>
      </c>
      <c r="K256" s="11" t="str">
        <f>IF(Registro!$I256="","",IFERROR(SUMPRODUCT(--("0"&amp;TRIM(RIGHT(SUBSTITUTE(TRIM(MID(SUBSTITUTE(SUBSTITUTE(Registro!$I256,";",CHAR(10)),CHAR(10),REPT(" ",LEN(Registro!$I256))),({1,2,3,4,5,6,7,8,9,10,11,12,13,14,15,16,17,18,19,20,21,22,23,24,25,26,27,28,29,30}-1)*LEN(Registro!$I256)+1,LEN(Registro!$I256)))," ",REPT(" ",50)),50)))),"Revisar formato"))</f>
        <v/>
      </c>
      <c r="L256" s="11" t="str">
        <f>IF(Registro!$J256="","",IFERROR(SUMPRODUCT(--("0"&amp;TRIM(RIGHT(SUBSTITUTE(TRIM(MID(SUBSTITUTE(SUBSTITUTE(Registro!$J256,";",CHAR(10)),CHAR(10),REPT(" ",LEN(Registro!$J256))),({1,2,3,4,5,6,7,8,9,10,11,12,13,14,15,16,17,18,19,20,21,22,23,24,25,26,27,28,29,30}-1)*LEN(Registro!$J256)+1,LEN(Registro!$J256)))," ",REPT(" ",50)),50)))),"Revisar formato"))</f>
        <v/>
      </c>
      <c r="M256" s="11" t="str">
        <f>IF(AND(Registro!$H256="",Registro!$I256=""),"",IF(AND(ISTEXT(K256),K256&lt;&gt;""),"Revisar formato",N(Registro!$H256)-N(K256)))</f>
        <v/>
      </c>
      <c r="N256" s="11" t="str">
        <f t="shared" si="11"/>
        <v/>
      </c>
      <c r="O256" s="15" t="str">
        <f>IF(AND(A256=Consulta!$B$3,C256=Consulta!$H$3),B256*10000+ROW(),"")</f>
        <v/>
      </c>
    </row>
    <row r="257" spans="1:15" x14ac:dyDescent="0.25">
      <c r="A257" s="9" t="str">
        <f>IF(Registro!$A257="","",Registro!$A257)</f>
        <v/>
      </c>
      <c r="B257" s="8" t="str">
        <f>IF(Registro!$B257="","",Registro!$B257)</f>
        <v/>
      </c>
      <c r="C257" s="14" t="str">
        <f t="shared" si="9"/>
        <v/>
      </c>
      <c r="D257" s="10" t="str">
        <f>IF(Registro!$E257="","",IF(ISERROR(FIND("x",LOWER(Registro!$E257))),"-",IFERROR(SUMPRODUCT(--("0"&amp;LEFT(TRIM(MID(SUBSTITUTE(SUBSTITUTE(SUBSTITUTE(SUBSTITUTE(SUBSTITUTE(LOWER(Registro!$E257),"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",LEN(Registro!$E257))),({1,2,3,4,5,6,7,8,9,10,11,12,13,14,15,16,17,18,19,20,21,22,23,24,25,26,27,28,29,30}-1)*LEN(Registro!$E257)+1,LEN(Registro!$E257)))&amp;"x")-1))),"Revisar formato")))</f>
        <v/>
      </c>
      <c r="E257" s="11" t="str">
        <f>IF(Registro!$E257="","",IF(ISERROR(FIND("x",LOWER(Registro!$E257))),"-",IFERROR(SUMPRODUCT(--("0"&amp;LEFT(TRIM(MID(SUBSTITUTE(SUBSTITUTE(SUBSTITUTE(SUBSTITUTE(SUBSTITUTE(LOWER(Registro!$E257),"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",LEN(Registro!$E257))),({1,2,3,4,5,6,7,8,9,10,11,12,13,14,15,16,17,18,19,20,21,22,23,24,25,26,27,28,29,30}-1)*LEN(Registro!$E257)+1,LEN(Registro!$E257)))&amp;"x")-1)),--("0"&amp;MID(TRIM(MID(SUBSTITUTE(SUBSTITUTE(SUBSTITUTE(SUBSTITUTE(SUBSTITUTE(LOWER(Registro!$E257),"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",LEN(Registro!$E257))),({1,2,3,4,5,6,7,8,9,10,11,12,13,14,15,16,17,18,19,20,21,22,23,24,25,26,27,28,29,30}-1)*LEN(Registro!$E257)+1,LEN(Registro!$E257)))&amp;"x")+1,20))),"Revisar formato")))</f>
        <v/>
      </c>
      <c r="F257" s="11" t="str">
        <f>IF(Registro!$F257="","",N(Registro!$F257))</f>
        <v/>
      </c>
      <c r="G257" s="11" t="str">
        <f t="shared" si="10"/>
        <v/>
      </c>
      <c r="H257" s="10" t="str">
        <f>IF(Registro!$G257="","",IF(ISERROR(FIND("x",LOWER(Registro!$G257))),"-",IFERROR(SUMPRODUCT(--("0"&amp;LEFT(TRIM(MID(SUBSTITUTE(SUBSTITUTE(SUBSTITUTE(SUBSTITUTE(SUBSTITUTE(LOWER(Registro!$G257),"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",LEN(Registro!$G257))),({1,2,3,4,5,6,7,8,9,10,11,12,13,14,15,16,17,18,19,20,21,22,23,24,25,26,27,28,29,30}-1)*LEN(Registro!$G257)+1,LEN(Registro!$G257))),FIND("x",TRIM(MID(SUBSTITUTE(SUBSTITUTE(SUBSTITUTE(SUBSTITUTE(SUBSTITUTE(LOWER(Registro!$G257),"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",LEN(Registro!$G257))),({1,2,3,4,5,6,7,8,9,10,11,12,13,14,15,16,17,18,19,20,21,22,23,24,25,26,27,28,29,30}-1)*LEN(Registro!$G257)+1,LEN(Registro!$G257)))&amp;"x")-1))),"Revisar formato")))</f>
        <v/>
      </c>
      <c r="I257" s="11" t="str">
        <f>IF(Registro!$G257="","",IF(ISERROR(FIND("x",LOWER(Registro!$G257))),N(Registro!$H257),IFERROR(SUMPRODUCT(--("0"&amp;LEFT(TRIM(MID(SUBSTITUTE(SUBSTITUTE(SUBSTITUTE(SUBSTITUTE(SUBSTITUTE(LOWER(Registro!$G257),"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",LEN(Registro!$G257))),({1,2,3,4,5,6,7,8,9,10,11,12,13,14,15,16,17,18,19,20,21,22,23,24,25,26,27,28,29,30}-1)*LEN(Registro!$G257)+1,LEN(Registro!$G257))),FIND("x",TRIM(MID(SUBSTITUTE(SUBSTITUTE(SUBSTITUTE(SUBSTITUTE(SUBSTITUTE(LOWER(Registro!$G257),"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",LEN(Registro!$G257))),({1,2,3,4,5,6,7,8,9,10,11,12,13,14,15,16,17,18,19,20,21,22,23,24,25,26,27,28,29,30}-1)*LEN(Registro!$G257)+1,LEN(Registro!$G257)))&amp;"x")-1)),--("0"&amp;MID(TRIM(MID(SUBSTITUTE(SUBSTITUTE(SUBSTITUTE(SUBSTITUTE(SUBSTITUTE(LOWER(Registro!$G257),"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",LEN(Registro!$G257))),({1,2,3,4,5,6,7,8,9,10,11,12,13,14,15,16,17,18,19,20,21,22,23,24,25,26,27,28,29,30}-1)*LEN(Registro!$G257)+1,LEN(Registro!$G257))),FIND("x",TRIM(MID(SUBSTITUTE(SUBSTITUTE(SUBSTITUTE(SUBSTITUTE(SUBSTITUTE(LOWER(Registro!$G257),"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",LEN(Registro!$G257))),({1,2,3,4,5,6,7,8,9,10,11,12,13,14,15,16,17,18,19,20,21,22,23,24,25,26,27,28,29,30}-1)*LEN(Registro!$G257)+1,LEN(Registro!$G257)))&amp;"x")+1,20))),"Revisar formato")))</f>
        <v/>
      </c>
      <c r="J257" s="9" t="str">
        <f>IF(AND(Registro!$E257="",Registro!$G257=""),"",IF(NOT(AND(ISNUMBER(I257),ISNUMBER(Registro!$H257))),"",IF(I257&lt;Registro!$H257,"FALTA BOLETOS",IF(I257=Registro!$H257,"CONFORME","DIFERENCIA"))))</f>
        <v/>
      </c>
      <c r="K257" s="11" t="str">
        <f>IF(Registro!$I257="","",IFERROR(SUMPRODUCT(--("0"&amp;TRIM(RIGHT(SUBSTITUTE(TRIM(MID(SUBSTITUTE(SUBSTITUTE(Registro!$I257,";",CHAR(10)),CHAR(10),REPT(" ",LEN(Registro!$I257))),({1,2,3,4,5,6,7,8,9,10,11,12,13,14,15,16,17,18,19,20,21,22,23,24,25,26,27,28,29,30}-1)*LEN(Registro!$I257)+1,LEN(Registro!$I257)))," ",REPT(" ",50)),50)))),"Revisar formato"))</f>
        <v/>
      </c>
      <c r="L257" s="11" t="str">
        <f>IF(Registro!$J257="","",IFERROR(SUMPRODUCT(--("0"&amp;TRIM(RIGHT(SUBSTITUTE(TRIM(MID(SUBSTITUTE(SUBSTITUTE(Registro!$J257,";",CHAR(10)),CHAR(10),REPT(" ",LEN(Registro!$J257))),({1,2,3,4,5,6,7,8,9,10,11,12,13,14,15,16,17,18,19,20,21,22,23,24,25,26,27,28,29,30}-1)*LEN(Registro!$J257)+1,LEN(Registro!$J257)))," ",REPT(" ",50)),50)))),"Revisar formato"))</f>
        <v/>
      </c>
      <c r="M257" s="11" t="str">
        <f>IF(AND(Registro!$H257="",Registro!$I257=""),"",IF(AND(ISTEXT(K257),K257&lt;&gt;""),"Revisar formato",N(Registro!$H257)-N(K257)))</f>
        <v/>
      </c>
      <c r="N257" s="11" t="str">
        <f t="shared" si="11"/>
        <v/>
      </c>
      <c r="O257" s="15" t="str">
        <f>IF(AND(A257=Consulta!$B$3,C257=Consulta!$H$3),B257*10000+ROW(),"")</f>
        <v/>
      </c>
    </row>
    <row r="258" spans="1:15" x14ac:dyDescent="0.25">
      <c r="A258" s="9" t="str">
        <f>IF(Registro!$A258="","",Registro!$A258)</f>
        <v/>
      </c>
      <c r="B258" s="8" t="str">
        <f>IF(Registro!$B258="","",Registro!$B258)</f>
        <v/>
      </c>
      <c r="C258" s="14" t="str">
        <f t="shared" ref="C258:C321" si="12">IF(ISNUMBER(B258),YEAR(B258)*100+MONTH(B258),"")</f>
        <v/>
      </c>
      <c r="D258" s="10" t="str">
        <f>IF(Registro!$E258="","",IF(ISERROR(FIND("x",LOWER(Registro!$E258))),"-",IFERROR(SUMPRODUCT(--("0"&amp;LEFT(TRIM(MID(SUBSTITUTE(SUBSTITUTE(SUBSTITUTE(SUBSTITUTE(SUBSTITUTE(LOWER(Registro!$E258),"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",LEN(Registro!$E258))),({1,2,3,4,5,6,7,8,9,10,11,12,13,14,15,16,17,18,19,20,21,22,23,24,25,26,27,28,29,30}-1)*LEN(Registro!$E258)+1,LEN(Registro!$E258)))&amp;"x")-1))),"Revisar formato")))</f>
        <v/>
      </c>
      <c r="E258" s="11" t="str">
        <f>IF(Registro!$E258="","",IF(ISERROR(FIND("x",LOWER(Registro!$E258))),"-",IFERROR(SUMPRODUCT(--("0"&amp;LEFT(TRIM(MID(SUBSTITUTE(SUBSTITUTE(SUBSTITUTE(SUBSTITUTE(SUBSTITUTE(LOWER(Registro!$E258),"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",LEN(Registro!$E258))),({1,2,3,4,5,6,7,8,9,10,11,12,13,14,15,16,17,18,19,20,21,22,23,24,25,26,27,28,29,30}-1)*LEN(Registro!$E258)+1,LEN(Registro!$E258)))&amp;"x")-1)),--("0"&amp;MID(TRIM(MID(SUBSTITUTE(SUBSTITUTE(SUBSTITUTE(SUBSTITUTE(SUBSTITUTE(LOWER(Registro!$E258),"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",LEN(Registro!$E258))),({1,2,3,4,5,6,7,8,9,10,11,12,13,14,15,16,17,18,19,20,21,22,23,24,25,26,27,28,29,30}-1)*LEN(Registro!$E258)+1,LEN(Registro!$E258)))&amp;"x")+1,20))),"Revisar formato")))</f>
        <v/>
      </c>
      <c r="F258" s="11" t="str">
        <f>IF(Registro!$F258="","",N(Registro!$F258))</f>
        <v/>
      </c>
      <c r="G258" s="11" t="str">
        <f t="shared" ref="G258:G321" si="13">IF(AND(E258="",F258=""),"",IF(OR(E258="",ISNUMBER(E258)),N(E258)-N(F258),E258))</f>
        <v/>
      </c>
      <c r="H258" s="10" t="str">
        <f>IF(Registro!$G258="","",IF(ISERROR(FIND("x",LOWER(Registro!$G258))),"-",IFERROR(SUMPRODUCT(--("0"&amp;LEFT(TRIM(MID(SUBSTITUTE(SUBSTITUTE(SUBSTITUTE(SUBSTITUTE(SUBSTITUTE(LOWER(Registro!$G258),"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",LEN(Registro!$G258))),({1,2,3,4,5,6,7,8,9,10,11,12,13,14,15,16,17,18,19,20,21,22,23,24,25,26,27,28,29,30}-1)*LEN(Registro!$G258)+1,LEN(Registro!$G258))),FIND("x",TRIM(MID(SUBSTITUTE(SUBSTITUTE(SUBSTITUTE(SUBSTITUTE(SUBSTITUTE(LOWER(Registro!$G258),"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",LEN(Registro!$G258))),({1,2,3,4,5,6,7,8,9,10,11,12,13,14,15,16,17,18,19,20,21,22,23,24,25,26,27,28,29,30}-1)*LEN(Registro!$G258)+1,LEN(Registro!$G258)))&amp;"x")-1))),"Revisar formato")))</f>
        <v/>
      </c>
      <c r="I258" s="11" t="str">
        <f>IF(Registro!$G258="","",IF(ISERROR(FIND("x",LOWER(Registro!$G258))),N(Registro!$H258),IFERROR(SUMPRODUCT(--("0"&amp;LEFT(TRIM(MID(SUBSTITUTE(SUBSTITUTE(SUBSTITUTE(SUBSTITUTE(SUBSTITUTE(LOWER(Registro!$G258),"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",LEN(Registro!$G258))),({1,2,3,4,5,6,7,8,9,10,11,12,13,14,15,16,17,18,19,20,21,22,23,24,25,26,27,28,29,30}-1)*LEN(Registro!$G258)+1,LEN(Registro!$G258))),FIND("x",TRIM(MID(SUBSTITUTE(SUBSTITUTE(SUBSTITUTE(SUBSTITUTE(SUBSTITUTE(LOWER(Registro!$G258),"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",LEN(Registro!$G258))),({1,2,3,4,5,6,7,8,9,10,11,12,13,14,15,16,17,18,19,20,21,22,23,24,25,26,27,28,29,30}-1)*LEN(Registro!$G258)+1,LEN(Registro!$G258)))&amp;"x")-1)),--("0"&amp;MID(TRIM(MID(SUBSTITUTE(SUBSTITUTE(SUBSTITUTE(SUBSTITUTE(SUBSTITUTE(LOWER(Registro!$G258),"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",LEN(Registro!$G258))),({1,2,3,4,5,6,7,8,9,10,11,12,13,14,15,16,17,18,19,20,21,22,23,24,25,26,27,28,29,30}-1)*LEN(Registro!$G258)+1,LEN(Registro!$G258))),FIND("x",TRIM(MID(SUBSTITUTE(SUBSTITUTE(SUBSTITUTE(SUBSTITUTE(SUBSTITUTE(LOWER(Registro!$G258),"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",LEN(Registro!$G258))),({1,2,3,4,5,6,7,8,9,10,11,12,13,14,15,16,17,18,19,20,21,22,23,24,25,26,27,28,29,30}-1)*LEN(Registro!$G258)+1,LEN(Registro!$G258)))&amp;"x")+1,20))),"Revisar formato")))</f>
        <v/>
      </c>
      <c r="J258" s="9" t="str">
        <f>IF(AND(Registro!$E258="",Registro!$G258=""),"",IF(NOT(AND(ISNUMBER(I258),ISNUMBER(Registro!$H258))),"",IF(I258&lt;Registro!$H258,"FALTA BOLETOS",IF(I258=Registro!$H258,"CONFORME","DIFERENCIA"))))</f>
        <v/>
      </c>
      <c r="K258" s="11" t="str">
        <f>IF(Registro!$I258="","",IFERROR(SUMPRODUCT(--("0"&amp;TRIM(RIGHT(SUBSTITUTE(TRIM(MID(SUBSTITUTE(SUBSTITUTE(Registro!$I258,";",CHAR(10)),CHAR(10),REPT(" ",LEN(Registro!$I258))),({1,2,3,4,5,6,7,8,9,10,11,12,13,14,15,16,17,18,19,20,21,22,23,24,25,26,27,28,29,30}-1)*LEN(Registro!$I258)+1,LEN(Registro!$I258)))," ",REPT(" ",50)),50)))),"Revisar formato"))</f>
        <v/>
      </c>
      <c r="L258" s="11" t="str">
        <f>IF(Registro!$J258="","",IFERROR(SUMPRODUCT(--("0"&amp;TRIM(RIGHT(SUBSTITUTE(TRIM(MID(SUBSTITUTE(SUBSTITUTE(Registro!$J258,";",CHAR(10)),CHAR(10),REPT(" ",LEN(Registro!$J258))),({1,2,3,4,5,6,7,8,9,10,11,12,13,14,15,16,17,18,19,20,21,22,23,24,25,26,27,28,29,30}-1)*LEN(Registro!$J258)+1,LEN(Registro!$J258)))," ",REPT(" ",50)),50)))),"Revisar formato"))</f>
        <v/>
      </c>
      <c r="M258" s="11" t="str">
        <f>IF(AND(Registro!$H258="",Registro!$I258=""),"",IF(AND(ISTEXT(K258),K258&lt;&gt;""),"Revisar formato",N(Registro!$H258)-N(K258)))</f>
        <v/>
      </c>
      <c r="N258" s="11" t="str">
        <f t="shared" ref="N258:N321" si="14">IF(M258="","",IF(OR(M258="Revisar formato",AND(ISTEXT(L258),L258&lt;&gt;"")),"Revisar formato",M258-N(L258)))</f>
        <v/>
      </c>
      <c r="O258" s="15" t="str">
        <f>IF(AND(A258=Consulta!$B$3,C258=Consulta!$H$3),B258*10000+ROW(),"")</f>
        <v/>
      </c>
    </row>
    <row r="259" spans="1:15" x14ac:dyDescent="0.25">
      <c r="A259" s="9" t="str">
        <f>IF(Registro!$A259="","",Registro!$A259)</f>
        <v/>
      </c>
      <c r="B259" s="8" t="str">
        <f>IF(Registro!$B259="","",Registro!$B259)</f>
        <v/>
      </c>
      <c r="C259" s="14" t="str">
        <f t="shared" si="12"/>
        <v/>
      </c>
      <c r="D259" s="10" t="str">
        <f>IF(Registro!$E259="","",IF(ISERROR(FIND("x",LOWER(Registro!$E259))),"-",IFERROR(SUMPRODUCT(--("0"&amp;LEFT(TRIM(MID(SUBSTITUTE(SUBSTITUTE(SUBSTITUTE(SUBSTITUTE(SUBSTITUTE(LOWER(Registro!$E259),"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",LEN(Registro!$E259))),({1,2,3,4,5,6,7,8,9,10,11,12,13,14,15,16,17,18,19,20,21,22,23,24,25,26,27,28,29,30}-1)*LEN(Registro!$E259)+1,LEN(Registro!$E259)))&amp;"x")-1))),"Revisar formato")))</f>
        <v/>
      </c>
      <c r="E259" s="11" t="str">
        <f>IF(Registro!$E259="","",IF(ISERROR(FIND("x",LOWER(Registro!$E259))),"-",IFERROR(SUMPRODUCT(--("0"&amp;LEFT(TRIM(MID(SUBSTITUTE(SUBSTITUTE(SUBSTITUTE(SUBSTITUTE(SUBSTITUTE(LOWER(Registro!$E259),"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",LEN(Registro!$E259))),({1,2,3,4,5,6,7,8,9,10,11,12,13,14,15,16,17,18,19,20,21,22,23,24,25,26,27,28,29,30}-1)*LEN(Registro!$E259)+1,LEN(Registro!$E259)))&amp;"x")-1)),--("0"&amp;MID(TRIM(MID(SUBSTITUTE(SUBSTITUTE(SUBSTITUTE(SUBSTITUTE(SUBSTITUTE(LOWER(Registro!$E259),"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",LEN(Registro!$E259))),({1,2,3,4,5,6,7,8,9,10,11,12,13,14,15,16,17,18,19,20,21,22,23,24,25,26,27,28,29,30}-1)*LEN(Registro!$E259)+1,LEN(Registro!$E259)))&amp;"x")+1,20))),"Revisar formato")))</f>
        <v/>
      </c>
      <c r="F259" s="11" t="str">
        <f>IF(Registro!$F259="","",N(Registro!$F259))</f>
        <v/>
      </c>
      <c r="G259" s="11" t="str">
        <f t="shared" si="13"/>
        <v/>
      </c>
      <c r="H259" s="10" t="str">
        <f>IF(Registro!$G259="","",IF(ISERROR(FIND("x",LOWER(Registro!$G259))),"-",IFERROR(SUMPRODUCT(--("0"&amp;LEFT(TRIM(MID(SUBSTITUTE(SUBSTITUTE(SUBSTITUTE(SUBSTITUTE(SUBSTITUTE(LOWER(Registro!$G259),"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",LEN(Registro!$G259))),({1,2,3,4,5,6,7,8,9,10,11,12,13,14,15,16,17,18,19,20,21,22,23,24,25,26,27,28,29,30}-1)*LEN(Registro!$G259)+1,LEN(Registro!$G259))),FIND("x",TRIM(MID(SUBSTITUTE(SUBSTITUTE(SUBSTITUTE(SUBSTITUTE(SUBSTITUTE(LOWER(Registro!$G259),"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",LEN(Registro!$G259))),({1,2,3,4,5,6,7,8,9,10,11,12,13,14,15,16,17,18,19,20,21,22,23,24,25,26,27,28,29,30}-1)*LEN(Registro!$G259)+1,LEN(Registro!$G259)))&amp;"x")-1))),"Revisar formato")))</f>
        <v/>
      </c>
      <c r="I259" s="11" t="str">
        <f>IF(Registro!$G259="","",IF(ISERROR(FIND("x",LOWER(Registro!$G259))),N(Registro!$H259),IFERROR(SUMPRODUCT(--("0"&amp;LEFT(TRIM(MID(SUBSTITUTE(SUBSTITUTE(SUBSTITUTE(SUBSTITUTE(SUBSTITUTE(LOWER(Registro!$G259),"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",LEN(Registro!$G259))),({1,2,3,4,5,6,7,8,9,10,11,12,13,14,15,16,17,18,19,20,21,22,23,24,25,26,27,28,29,30}-1)*LEN(Registro!$G259)+1,LEN(Registro!$G259))),FIND("x",TRIM(MID(SUBSTITUTE(SUBSTITUTE(SUBSTITUTE(SUBSTITUTE(SUBSTITUTE(LOWER(Registro!$G259),"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",LEN(Registro!$G259))),({1,2,3,4,5,6,7,8,9,10,11,12,13,14,15,16,17,18,19,20,21,22,23,24,25,26,27,28,29,30}-1)*LEN(Registro!$G259)+1,LEN(Registro!$G259)))&amp;"x")-1)),--("0"&amp;MID(TRIM(MID(SUBSTITUTE(SUBSTITUTE(SUBSTITUTE(SUBSTITUTE(SUBSTITUTE(LOWER(Registro!$G259),"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",LEN(Registro!$G259))),({1,2,3,4,5,6,7,8,9,10,11,12,13,14,15,16,17,18,19,20,21,22,23,24,25,26,27,28,29,30}-1)*LEN(Registro!$G259)+1,LEN(Registro!$G259))),FIND("x",TRIM(MID(SUBSTITUTE(SUBSTITUTE(SUBSTITUTE(SUBSTITUTE(SUBSTITUTE(LOWER(Registro!$G259),"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",LEN(Registro!$G259))),({1,2,3,4,5,6,7,8,9,10,11,12,13,14,15,16,17,18,19,20,21,22,23,24,25,26,27,28,29,30}-1)*LEN(Registro!$G259)+1,LEN(Registro!$G259)))&amp;"x")+1,20))),"Revisar formato")))</f>
        <v/>
      </c>
      <c r="J259" s="9" t="str">
        <f>IF(AND(Registro!$E259="",Registro!$G259=""),"",IF(NOT(AND(ISNUMBER(I259),ISNUMBER(Registro!$H259))),"",IF(I259&lt;Registro!$H259,"FALTA BOLETOS",IF(I259=Registro!$H259,"CONFORME","DIFERENCIA"))))</f>
        <v/>
      </c>
      <c r="K259" s="11" t="str">
        <f>IF(Registro!$I259="","",IFERROR(SUMPRODUCT(--("0"&amp;TRIM(RIGHT(SUBSTITUTE(TRIM(MID(SUBSTITUTE(SUBSTITUTE(Registro!$I259,";",CHAR(10)),CHAR(10),REPT(" ",LEN(Registro!$I259))),({1,2,3,4,5,6,7,8,9,10,11,12,13,14,15,16,17,18,19,20,21,22,23,24,25,26,27,28,29,30}-1)*LEN(Registro!$I259)+1,LEN(Registro!$I259)))," ",REPT(" ",50)),50)))),"Revisar formato"))</f>
        <v/>
      </c>
      <c r="L259" s="11" t="str">
        <f>IF(Registro!$J259="","",IFERROR(SUMPRODUCT(--("0"&amp;TRIM(RIGHT(SUBSTITUTE(TRIM(MID(SUBSTITUTE(SUBSTITUTE(Registro!$J259,";",CHAR(10)),CHAR(10),REPT(" ",LEN(Registro!$J259))),({1,2,3,4,5,6,7,8,9,10,11,12,13,14,15,16,17,18,19,20,21,22,23,24,25,26,27,28,29,30}-1)*LEN(Registro!$J259)+1,LEN(Registro!$J259)))," ",REPT(" ",50)),50)))),"Revisar formato"))</f>
        <v/>
      </c>
      <c r="M259" s="11" t="str">
        <f>IF(AND(Registro!$H259="",Registro!$I259=""),"",IF(AND(ISTEXT(K259),K259&lt;&gt;""),"Revisar formato",N(Registro!$H259)-N(K259)))</f>
        <v/>
      </c>
      <c r="N259" s="11" t="str">
        <f t="shared" si="14"/>
        <v/>
      </c>
      <c r="O259" s="15" t="str">
        <f>IF(AND(A259=Consulta!$B$3,C259=Consulta!$H$3),B259*10000+ROW(),"")</f>
        <v/>
      </c>
    </row>
    <row r="260" spans="1:15" x14ac:dyDescent="0.25">
      <c r="A260" s="9" t="str">
        <f>IF(Registro!$A260="","",Registro!$A260)</f>
        <v/>
      </c>
      <c r="B260" s="8" t="str">
        <f>IF(Registro!$B260="","",Registro!$B260)</f>
        <v/>
      </c>
      <c r="C260" s="14" t="str">
        <f t="shared" si="12"/>
        <v/>
      </c>
      <c r="D260" s="10" t="str">
        <f>IF(Registro!$E260="","",IF(ISERROR(FIND("x",LOWER(Registro!$E260))),"-",IFERROR(SUMPRODUCT(--("0"&amp;LEFT(TRIM(MID(SUBSTITUTE(SUBSTITUTE(SUBSTITUTE(SUBSTITUTE(SUBSTITUTE(LOWER(Registro!$E260),"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",LEN(Registro!$E260))),({1,2,3,4,5,6,7,8,9,10,11,12,13,14,15,16,17,18,19,20,21,22,23,24,25,26,27,28,29,30}-1)*LEN(Registro!$E260)+1,LEN(Registro!$E260)))&amp;"x")-1))),"Revisar formato")))</f>
        <v/>
      </c>
      <c r="E260" s="11" t="str">
        <f>IF(Registro!$E260="","",IF(ISERROR(FIND("x",LOWER(Registro!$E260))),"-",IFERROR(SUMPRODUCT(--("0"&amp;LEFT(TRIM(MID(SUBSTITUTE(SUBSTITUTE(SUBSTITUTE(SUBSTITUTE(SUBSTITUTE(LOWER(Registro!$E260),"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",LEN(Registro!$E260))),({1,2,3,4,5,6,7,8,9,10,11,12,13,14,15,16,17,18,19,20,21,22,23,24,25,26,27,28,29,30}-1)*LEN(Registro!$E260)+1,LEN(Registro!$E260)))&amp;"x")-1)),--("0"&amp;MID(TRIM(MID(SUBSTITUTE(SUBSTITUTE(SUBSTITUTE(SUBSTITUTE(SUBSTITUTE(LOWER(Registro!$E260),"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",LEN(Registro!$E260))),({1,2,3,4,5,6,7,8,9,10,11,12,13,14,15,16,17,18,19,20,21,22,23,24,25,26,27,28,29,30}-1)*LEN(Registro!$E260)+1,LEN(Registro!$E260)))&amp;"x")+1,20))),"Revisar formato")))</f>
        <v/>
      </c>
      <c r="F260" s="11" t="str">
        <f>IF(Registro!$F260="","",N(Registro!$F260))</f>
        <v/>
      </c>
      <c r="G260" s="11" t="str">
        <f t="shared" si="13"/>
        <v/>
      </c>
      <c r="H260" s="10" t="str">
        <f>IF(Registro!$G260="","",IF(ISERROR(FIND("x",LOWER(Registro!$G260))),"-",IFERROR(SUMPRODUCT(--("0"&amp;LEFT(TRIM(MID(SUBSTITUTE(SUBSTITUTE(SUBSTITUTE(SUBSTITUTE(SUBSTITUTE(LOWER(Registro!$G260),"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",LEN(Registro!$G260))),({1,2,3,4,5,6,7,8,9,10,11,12,13,14,15,16,17,18,19,20,21,22,23,24,25,26,27,28,29,30}-1)*LEN(Registro!$G260)+1,LEN(Registro!$G260))),FIND("x",TRIM(MID(SUBSTITUTE(SUBSTITUTE(SUBSTITUTE(SUBSTITUTE(SUBSTITUTE(LOWER(Registro!$G260),"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",LEN(Registro!$G260))),({1,2,3,4,5,6,7,8,9,10,11,12,13,14,15,16,17,18,19,20,21,22,23,24,25,26,27,28,29,30}-1)*LEN(Registro!$G260)+1,LEN(Registro!$G260)))&amp;"x")-1))),"Revisar formato")))</f>
        <v/>
      </c>
      <c r="I260" s="11" t="str">
        <f>IF(Registro!$G260="","",IF(ISERROR(FIND("x",LOWER(Registro!$G260))),N(Registro!$H260),IFERROR(SUMPRODUCT(--("0"&amp;LEFT(TRIM(MID(SUBSTITUTE(SUBSTITUTE(SUBSTITUTE(SUBSTITUTE(SUBSTITUTE(LOWER(Registro!$G260),"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",LEN(Registro!$G260))),({1,2,3,4,5,6,7,8,9,10,11,12,13,14,15,16,17,18,19,20,21,22,23,24,25,26,27,28,29,30}-1)*LEN(Registro!$G260)+1,LEN(Registro!$G260))),FIND("x",TRIM(MID(SUBSTITUTE(SUBSTITUTE(SUBSTITUTE(SUBSTITUTE(SUBSTITUTE(LOWER(Registro!$G260),"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",LEN(Registro!$G260))),({1,2,3,4,5,6,7,8,9,10,11,12,13,14,15,16,17,18,19,20,21,22,23,24,25,26,27,28,29,30}-1)*LEN(Registro!$G260)+1,LEN(Registro!$G260)))&amp;"x")-1)),--("0"&amp;MID(TRIM(MID(SUBSTITUTE(SUBSTITUTE(SUBSTITUTE(SUBSTITUTE(SUBSTITUTE(LOWER(Registro!$G260),"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",LEN(Registro!$G260))),({1,2,3,4,5,6,7,8,9,10,11,12,13,14,15,16,17,18,19,20,21,22,23,24,25,26,27,28,29,30}-1)*LEN(Registro!$G260)+1,LEN(Registro!$G260))),FIND("x",TRIM(MID(SUBSTITUTE(SUBSTITUTE(SUBSTITUTE(SUBSTITUTE(SUBSTITUTE(LOWER(Registro!$G260),"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",LEN(Registro!$G260))),({1,2,3,4,5,6,7,8,9,10,11,12,13,14,15,16,17,18,19,20,21,22,23,24,25,26,27,28,29,30}-1)*LEN(Registro!$G260)+1,LEN(Registro!$G260)))&amp;"x")+1,20))),"Revisar formato")))</f>
        <v/>
      </c>
      <c r="J260" s="9" t="str">
        <f>IF(AND(Registro!$E260="",Registro!$G260=""),"",IF(NOT(AND(ISNUMBER(I260),ISNUMBER(Registro!$H260))),"",IF(I260&lt;Registro!$H260,"FALTA BOLETOS",IF(I260=Registro!$H260,"CONFORME","DIFERENCIA"))))</f>
        <v/>
      </c>
      <c r="K260" s="11" t="str">
        <f>IF(Registro!$I260="","",IFERROR(SUMPRODUCT(--("0"&amp;TRIM(RIGHT(SUBSTITUTE(TRIM(MID(SUBSTITUTE(SUBSTITUTE(Registro!$I260,";",CHAR(10)),CHAR(10),REPT(" ",LEN(Registro!$I260))),({1,2,3,4,5,6,7,8,9,10,11,12,13,14,15,16,17,18,19,20,21,22,23,24,25,26,27,28,29,30}-1)*LEN(Registro!$I260)+1,LEN(Registro!$I260)))," ",REPT(" ",50)),50)))),"Revisar formato"))</f>
        <v/>
      </c>
      <c r="L260" s="11" t="str">
        <f>IF(Registro!$J260="","",IFERROR(SUMPRODUCT(--("0"&amp;TRIM(RIGHT(SUBSTITUTE(TRIM(MID(SUBSTITUTE(SUBSTITUTE(Registro!$J260,";",CHAR(10)),CHAR(10),REPT(" ",LEN(Registro!$J260))),({1,2,3,4,5,6,7,8,9,10,11,12,13,14,15,16,17,18,19,20,21,22,23,24,25,26,27,28,29,30}-1)*LEN(Registro!$J260)+1,LEN(Registro!$J260)))," ",REPT(" ",50)),50)))),"Revisar formato"))</f>
        <v/>
      </c>
      <c r="M260" s="11" t="str">
        <f>IF(AND(Registro!$H260="",Registro!$I260=""),"",IF(AND(ISTEXT(K260),K260&lt;&gt;""),"Revisar formato",N(Registro!$H260)-N(K260)))</f>
        <v/>
      </c>
      <c r="N260" s="11" t="str">
        <f t="shared" si="14"/>
        <v/>
      </c>
      <c r="O260" s="15" t="str">
        <f>IF(AND(A260=Consulta!$B$3,C260=Consulta!$H$3),B260*10000+ROW(),"")</f>
        <v/>
      </c>
    </row>
    <row r="261" spans="1:15" x14ac:dyDescent="0.25">
      <c r="A261" s="9" t="str">
        <f>IF(Registro!$A261="","",Registro!$A261)</f>
        <v/>
      </c>
      <c r="B261" s="8" t="str">
        <f>IF(Registro!$B261="","",Registro!$B261)</f>
        <v/>
      </c>
      <c r="C261" s="14" t="str">
        <f t="shared" si="12"/>
        <v/>
      </c>
      <c r="D261" s="10" t="str">
        <f>IF(Registro!$E261="","",IF(ISERROR(FIND("x",LOWER(Registro!$E261))),"-",IFERROR(SUMPRODUCT(--("0"&amp;LEFT(TRIM(MID(SUBSTITUTE(SUBSTITUTE(SUBSTITUTE(SUBSTITUTE(SUBSTITUTE(LOWER(Registro!$E261),"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",LEN(Registro!$E261))),({1,2,3,4,5,6,7,8,9,10,11,12,13,14,15,16,17,18,19,20,21,22,23,24,25,26,27,28,29,30}-1)*LEN(Registro!$E261)+1,LEN(Registro!$E261)))&amp;"x")-1))),"Revisar formato")))</f>
        <v/>
      </c>
      <c r="E261" s="11" t="str">
        <f>IF(Registro!$E261="","",IF(ISERROR(FIND("x",LOWER(Registro!$E261))),"-",IFERROR(SUMPRODUCT(--("0"&amp;LEFT(TRIM(MID(SUBSTITUTE(SUBSTITUTE(SUBSTITUTE(SUBSTITUTE(SUBSTITUTE(LOWER(Registro!$E261),"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",LEN(Registro!$E261))),({1,2,3,4,5,6,7,8,9,10,11,12,13,14,15,16,17,18,19,20,21,22,23,24,25,26,27,28,29,30}-1)*LEN(Registro!$E261)+1,LEN(Registro!$E261)))&amp;"x")-1)),--("0"&amp;MID(TRIM(MID(SUBSTITUTE(SUBSTITUTE(SUBSTITUTE(SUBSTITUTE(SUBSTITUTE(LOWER(Registro!$E261),"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",LEN(Registro!$E261))),({1,2,3,4,5,6,7,8,9,10,11,12,13,14,15,16,17,18,19,20,21,22,23,24,25,26,27,28,29,30}-1)*LEN(Registro!$E261)+1,LEN(Registro!$E261)))&amp;"x")+1,20))),"Revisar formato")))</f>
        <v/>
      </c>
      <c r="F261" s="11" t="str">
        <f>IF(Registro!$F261="","",N(Registro!$F261))</f>
        <v/>
      </c>
      <c r="G261" s="11" t="str">
        <f t="shared" si="13"/>
        <v/>
      </c>
      <c r="H261" s="10" t="str">
        <f>IF(Registro!$G261="","",IF(ISERROR(FIND("x",LOWER(Registro!$G261))),"-",IFERROR(SUMPRODUCT(--("0"&amp;LEFT(TRIM(MID(SUBSTITUTE(SUBSTITUTE(SUBSTITUTE(SUBSTITUTE(SUBSTITUTE(LOWER(Registro!$G261),"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",LEN(Registro!$G261))),({1,2,3,4,5,6,7,8,9,10,11,12,13,14,15,16,17,18,19,20,21,22,23,24,25,26,27,28,29,30}-1)*LEN(Registro!$G261)+1,LEN(Registro!$G261))),FIND("x",TRIM(MID(SUBSTITUTE(SUBSTITUTE(SUBSTITUTE(SUBSTITUTE(SUBSTITUTE(LOWER(Registro!$G261),"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",LEN(Registro!$G261))),({1,2,3,4,5,6,7,8,9,10,11,12,13,14,15,16,17,18,19,20,21,22,23,24,25,26,27,28,29,30}-1)*LEN(Registro!$G261)+1,LEN(Registro!$G261)))&amp;"x")-1))),"Revisar formato")))</f>
        <v/>
      </c>
      <c r="I261" s="11" t="str">
        <f>IF(Registro!$G261="","",IF(ISERROR(FIND("x",LOWER(Registro!$G261))),N(Registro!$H261),IFERROR(SUMPRODUCT(--("0"&amp;LEFT(TRIM(MID(SUBSTITUTE(SUBSTITUTE(SUBSTITUTE(SUBSTITUTE(SUBSTITUTE(LOWER(Registro!$G261),"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",LEN(Registro!$G261))),({1,2,3,4,5,6,7,8,9,10,11,12,13,14,15,16,17,18,19,20,21,22,23,24,25,26,27,28,29,30}-1)*LEN(Registro!$G261)+1,LEN(Registro!$G261))),FIND("x",TRIM(MID(SUBSTITUTE(SUBSTITUTE(SUBSTITUTE(SUBSTITUTE(SUBSTITUTE(LOWER(Registro!$G261),"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",LEN(Registro!$G261))),({1,2,3,4,5,6,7,8,9,10,11,12,13,14,15,16,17,18,19,20,21,22,23,24,25,26,27,28,29,30}-1)*LEN(Registro!$G261)+1,LEN(Registro!$G261)))&amp;"x")-1)),--("0"&amp;MID(TRIM(MID(SUBSTITUTE(SUBSTITUTE(SUBSTITUTE(SUBSTITUTE(SUBSTITUTE(LOWER(Registro!$G261),"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",LEN(Registro!$G261))),({1,2,3,4,5,6,7,8,9,10,11,12,13,14,15,16,17,18,19,20,21,22,23,24,25,26,27,28,29,30}-1)*LEN(Registro!$G261)+1,LEN(Registro!$G261))),FIND("x",TRIM(MID(SUBSTITUTE(SUBSTITUTE(SUBSTITUTE(SUBSTITUTE(SUBSTITUTE(LOWER(Registro!$G261),"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",LEN(Registro!$G261))),({1,2,3,4,5,6,7,8,9,10,11,12,13,14,15,16,17,18,19,20,21,22,23,24,25,26,27,28,29,30}-1)*LEN(Registro!$G261)+1,LEN(Registro!$G261)))&amp;"x")+1,20))),"Revisar formato")))</f>
        <v/>
      </c>
      <c r="J261" s="9" t="str">
        <f>IF(AND(Registro!$E261="",Registro!$G261=""),"",IF(NOT(AND(ISNUMBER(I261),ISNUMBER(Registro!$H261))),"",IF(I261&lt;Registro!$H261,"FALTA BOLETOS",IF(I261=Registro!$H261,"CONFORME","DIFERENCIA"))))</f>
        <v/>
      </c>
      <c r="K261" s="11" t="str">
        <f>IF(Registro!$I261="","",IFERROR(SUMPRODUCT(--("0"&amp;TRIM(RIGHT(SUBSTITUTE(TRIM(MID(SUBSTITUTE(SUBSTITUTE(Registro!$I261,";",CHAR(10)),CHAR(10),REPT(" ",LEN(Registro!$I261))),({1,2,3,4,5,6,7,8,9,10,11,12,13,14,15,16,17,18,19,20,21,22,23,24,25,26,27,28,29,30}-1)*LEN(Registro!$I261)+1,LEN(Registro!$I261)))," ",REPT(" ",50)),50)))),"Revisar formato"))</f>
        <v/>
      </c>
      <c r="L261" s="11" t="str">
        <f>IF(Registro!$J261="","",IFERROR(SUMPRODUCT(--("0"&amp;TRIM(RIGHT(SUBSTITUTE(TRIM(MID(SUBSTITUTE(SUBSTITUTE(Registro!$J261,";",CHAR(10)),CHAR(10),REPT(" ",LEN(Registro!$J261))),({1,2,3,4,5,6,7,8,9,10,11,12,13,14,15,16,17,18,19,20,21,22,23,24,25,26,27,28,29,30}-1)*LEN(Registro!$J261)+1,LEN(Registro!$J261)))," ",REPT(" ",50)),50)))),"Revisar formato"))</f>
        <v/>
      </c>
      <c r="M261" s="11" t="str">
        <f>IF(AND(Registro!$H261="",Registro!$I261=""),"",IF(AND(ISTEXT(K261),K261&lt;&gt;""),"Revisar formato",N(Registro!$H261)-N(K261)))</f>
        <v/>
      </c>
      <c r="N261" s="11" t="str">
        <f t="shared" si="14"/>
        <v/>
      </c>
      <c r="O261" s="15" t="str">
        <f>IF(AND(A261=Consulta!$B$3,C261=Consulta!$H$3),B261*10000+ROW(),"")</f>
        <v/>
      </c>
    </row>
    <row r="262" spans="1:15" x14ac:dyDescent="0.25">
      <c r="A262" s="9" t="str">
        <f>IF(Registro!$A262="","",Registro!$A262)</f>
        <v/>
      </c>
      <c r="B262" s="8" t="str">
        <f>IF(Registro!$B262="","",Registro!$B262)</f>
        <v/>
      </c>
      <c r="C262" s="14" t="str">
        <f t="shared" si="12"/>
        <v/>
      </c>
      <c r="D262" s="10" t="str">
        <f>IF(Registro!$E262="","",IF(ISERROR(FIND("x",LOWER(Registro!$E262))),"-",IFERROR(SUMPRODUCT(--("0"&amp;LEFT(TRIM(MID(SUBSTITUTE(SUBSTITUTE(SUBSTITUTE(SUBSTITUTE(SUBSTITUTE(LOWER(Registro!$E262),"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",LEN(Registro!$E262))),({1,2,3,4,5,6,7,8,9,10,11,12,13,14,15,16,17,18,19,20,21,22,23,24,25,26,27,28,29,30}-1)*LEN(Registro!$E262)+1,LEN(Registro!$E262)))&amp;"x")-1))),"Revisar formato")))</f>
        <v/>
      </c>
      <c r="E262" s="11" t="str">
        <f>IF(Registro!$E262="","",IF(ISERROR(FIND("x",LOWER(Registro!$E262))),"-",IFERROR(SUMPRODUCT(--("0"&amp;LEFT(TRIM(MID(SUBSTITUTE(SUBSTITUTE(SUBSTITUTE(SUBSTITUTE(SUBSTITUTE(LOWER(Registro!$E262),"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",LEN(Registro!$E262))),({1,2,3,4,5,6,7,8,9,10,11,12,13,14,15,16,17,18,19,20,21,22,23,24,25,26,27,28,29,30}-1)*LEN(Registro!$E262)+1,LEN(Registro!$E262)))&amp;"x")-1)),--("0"&amp;MID(TRIM(MID(SUBSTITUTE(SUBSTITUTE(SUBSTITUTE(SUBSTITUTE(SUBSTITUTE(LOWER(Registro!$E262),"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",LEN(Registro!$E262))),({1,2,3,4,5,6,7,8,9,10,11,12,13,14,15,16,17,18,19,20,21,22,23,24,25,26,27,28,29,30}-1)*LEN(Registro!$E262)+1,LEN(Registro!$E262)))&amp;"x")+1,20))),"Revisar formato")))</f>
        <v/>
      </c>
      <c r="F262" s="11" t="str">
        <f>IF(Registro!$F262="","",N(Registro!$F262))</f>
        <v/>
      </c>
      <c r="G262" s="11" t="str">
        <f t="shared" si="13"/>
        <v/>
      </c>
      <c r="H262" s="10" t="str">
        <f>IF(Registro!$G262="","",IF(ISERROR(FIND("x",LOWER(Registro!$G262))),"-",IFERROR(SUMPRODUCT(--("0"&amp;LEFT(TRIM(MID(SUBSTITUTE(SUBSTITUTE(SUBSTITUTE(SUBSTITUTE(SUBSTITUTE(LOWER(Registro!$G262),"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",LEN(Registro!$G262))),({1,2,3,4,5,6,7,8,9,10,11,12,13,14,15,16,17,18,19,20,21,22,23,24,25,26,27,28,29,30}-1)*LEN(Registro!$G262)+1,LEN(Registro!$G262))),FIND("x",TRIM(MID(SUBSTITUTE(SUBSTITUTE(SUBSTITUTE(SUBSTITUTE(SUBSTITUTE(LOWER(Registro!$G262),"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",LEN(Registro!$G262))),({1,2,3,4,5,6,7,8,9,10,11,12,13,14,15,16,17,18,19,20,21,22,23,24,25,26,27,28,29,30}-1)*LEN(Registro!$G262)+1,LEN(Registro!$G262)))&amp;"x")-1))),"Revisar formato")))</f>
        <v/>
      </c>
      <c r="I262" s="11" t="str">
        <f>IF(Registro!$G262="","",IF(ISERROR(FIND("x",LOWER(Registro!$G262))),N(Registro!$H262),IFERROR(SUMPRODUCT(--("0"&amp;LEFT(TRIM(MID(SUBSTITUTE(SUBSTITUTE(SUBSTITUTE(SUBSTITUTE(SUBSTITUTE(LOWER(Registro!$G262),"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",LEN(Registro!$G262))),({1,2,3,4,5,6,7,8,9,10,11,12,13,14,15,16,17,18,19,20,21,22,23,24,25,26,27,28,29,30}-1)*LEN(Registro!$G262)+1,LEN(Registro!$G262))),FIND("x",TRIM(MID(SUBSTITUTE(SUBSTITUTE(SUBSTITUTE(SUBSTITUTE(SUBSTITUTE(LOWER(Registro!$G262),"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",LEN(Registro!$G262))),({1,2,3,4,5,6,7,8,9,10,11,12,13,14,15,16,17,18,19,20,21,22,23,24,25,26,27,28,29,30}-1)*LEN(Registro!$G262)+1,LEN(Registro!$G262)))&amp;"x")-1)),--("0"&amp;MID(TRIM(MID(SUBSTITUTE(SUBSTITUTE(SUBSTITUTE(SUBSTITUTE(SUBSTITUTE(LOWER(Registro!$G262),"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",LEN(Registro!$G262))),({1,2,3,4,5,6,7,8,9,10,11,12,13,14,15,16,17,18,19,20,21,22,23,24,25,26,27,28,29,30}-1)*LEN(Registro!$G262)+1,LEN(Registro!$G262))),FIND("x",TRIM(MID(SUBSTITUTE(SUBSTITUTE(SUBSTITUTE(SUBSTITUTE(SUBSTITUTE(LOWER(Registro!$G262),"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",LEN(Registro!$G262))),({1,2,3,4,5,6,7,8,9,10,11,12,13,14,15,16,17,18,19,20,21,22,23,24,25,26,27,28,29,30}-1)*LEN(Registro!$G262)+1,LEN(Registro!$G262)))&amp;"x")+1,20))),"Revisar formato")))</f>
        <v/>
      </c>
      <c r="J262" s="9" t="str">
        <f>IF(AND(Registro!$E262="",Registro!$G262=""),"",IF(NOT(AND(ISNUMBER(I262),ISNUMBER(Registro!$H262))),"",IF(I262&lt;Registro!$H262,"FALTA BOLETOS",IF(I262=Registro!$H262,"CONFORME","DIFERENCIA"))))</f>
        <v/>
      </c>
      <c r="K262" s="11" t="str">
        <f>IF(Registro!$I262="","",IFERROR(SUMPRODUCT(--("0"&amp;TRIM(RIGHT(SUBSTITUTE(TRIM(MID(SUBSTITUTE(SUBSTITUTE(Registro!$I262,";",CHAR(10)),CHAR(10),REPT(" ",LEN(Registro!$I262))),({1,2,3,4,5,6,7,8,9,10,11,12,13,14,15,16,17,18,19,20,21,22,23,24,25,26,27,28,29,30}-1)*LEN(Registro!$I262)+1,LEN(Registro!$I262)))," ",REPT(" ",50)),50)))),"Revisar formato"))</f>
        <v/>
      </c>
      <c r="L262" s="11" t="str">
        <f>IF(Registro!$J262="","",IFERROR(SUMPRODUCT(--("0"&amp;TRIM(RIGHT(SUBSTITUTE(TRIM(MID(SUBSTITUTE(SUBSTITUTE(Registro!$J262,";",CHAR(10)),CHAR(10),REPT(" ",LEN(Registro!$J262))),({1,2,3,4,5,6,7,8,9,10,11,12,13,14,15,16,17,18,19,20,21,22,23,24,25,26,27,28,29,30}-1)*LEN(Registro!$J262)+1,LEN(Registro!$J262)))," ",REPT(" ",50)),50)))),"Revisar formato"))</f>
        <v/>
      </c>
      <c r="M262" s="11" t="str">
        <f>IF(AND(Registro!$H262="",Registro!$I262=""),"",IF(AND(ISTEXT(K262),K262&lt;&gt;""),"Revisar formato",N(Registro!$H262)-N(K262)))</f>
        <v/>
      </c>
      <c r="N262" s="11" t="str">
        <f t="shared" si="14"/>
        <v/>
      </c>
      <c r="O262" s="15" t="str">
        <f>IF(AND(A262=Consulta!$B$3,C262=Consulta!$H$3),B262*10000+ROW(),"")</f>
        <v/>
      </c>
    </row>
    <row r="263" spans="1:15" x14ac:dyDescent="0.25">
      <c r="A263" s="9" t="str">
        <f>IF(Registro!$A263="","",Registro!$A263)</f>
        <v/>
      </c>
      <c r="B263" s="8" t="str">
        <f>IF(Registro!$B263="","",Registro!$B263)</f>
        <v/>
      </c>
      <c r="C263" s="14" t="str">
        <f t="shared" si="12"/>
        <v/>
      </c>
      <c r="D263" s="10" t="str">
        <f>IF(Registro!$E263="","",IF(ISERROR(FIND("x",LOWER(Registro!$E263))),"-",IFERROR(SUMPRODUCT(--("0"&amp;LEFT(TRIM(MID(SUBSTITUTE(SUBSTITUTE(SUBSTITUTE(SUBSTITUTE(SUBSTITUTE(LOWER(Registro!$E263),"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",LEN(Registro!$E263))),({1,2,3,4,5,6,7,8,9,10,11,12,13,14,15,16,17,18,19,20,21,22,23,24,25,26,27,28,29,30}-1)*LEN(Registro!$E263)+1,LEN(Registro!$E263)))&amp;"x")-1))),"Revisar formato")))</f>
        <v/>
      </c>
      <c r="E263" s="11" t="str">
        <f>IF(Registro!$E263="","",IF(ISERROR(FIND("x",LOWER(Registro!$E263))),"-",IFERROR(SUMPRODUCT(--("0"&amp;LEFT(TRIM(MID(SUBSTITUTE(SUBSTITUTE(SUBSTITUTE(SUBSTITUTE(SUBSTITUTE(LOWER(Registro!$E263),"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",LEN(Registro!$E263))),({1,2,3,4,5,6,7,8,9,10,11,12,13,14,15,16,17,18,19,20,21,22,23,24,25,26,27,28,29,30}-1)*LEN(Registro!$E263)+1,LEN(Registro!$E263)))&amp;"x")-1)),--("0"&amp;MID(TRIM(MID(SUBSTITUTE(SUBSTITUTE(SUBSTITUTE(SUBSTITUTE(SUBSTITUTE(LOWER(Registro!$E263),"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",LEN(Registro!$E263))),({1,2,3,4,5,6,7,8,9,10,11,12,13,14,15,16,17,18,19,20,21,22,23,24,25,26,27,28,29,30}-1)*LEN(Registro!$E263)+1,LEN(Registro!$E263)))&amp;"x")+1,20))),"Revisar formato")))</f>
        <v/>
      </c>
      <c r="F263" s="11" t="str">
        <f>IF(Registro!$F263="","",N(Registro!$F263))</f>
        <v/>
      </c>
      <c r="G263" s="11" t="str">
        <f t="shared" si="13"/>
        <v/>
      </c>
      <c r="H263" s="10" t="str">
        <f>IF(Registro!$G263="","",IF(ISERROR(FIND("x",LOWER(Registro!$G263))),"-",IFERROR(SUMPRODUCT(--("0"&amp;LEFT(TRIM(MID(SUBSTITUTE(SUBSTITUTE(SUBSTITUTE(SUBSTITUTE(SUBSTITUTE(LOWER(Registro!$G263),"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",LEN(Registro!$G263))),({1,2,3,4,5,6,7,8,9,10,11,12,13,14,15,16,17,18,19,20,21,22,23,24,25,26,27,28,29,30}-1)*LEN(Registro!$G263)+1,LEN(Registro!$G263))),FIND("x",TRIM(MID(SUBSTITUTE(SUBSTITUTE(SUBSTITUTE(SUBSTITUTE(SUBSTITUTE(LOWER(Registro!$G263),"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",LEN(Registro!$G263))),({1,2,3,4,5,6,7,8,9,10,11,12,13,14,15,16,17,18,19,20,21,22,23,24,25,26,27,28,29,30}-1)*LEN(Registro!$G263)+1,LEN(Registro!$G263)))&amp;"x")-1))),"Revisar formato")))</f>
        <v/>
      </c>
      <c r="I263" s="11" t="str">
        <f>IF(Registro!$G263="","",IF(ISERROR(FIND("x",LOWER(Registro!$G263))),N(Registro!$H263),IFERROR(SUMPRODUCT(--("0"&amp;LEFT(TRIM(MID(SUBSTITUTE(SUBSTITUTE(SUBSTITUTE(SUBSTITUTE(SUBSTITUTE(LOWER(Registro!$G263),"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",LEN(Registro!$G263))),({1,2,3,4,5,6,7,8,9,10,11,12,13,14,15,16,17,18,19,20,21,22,23,24,25,26,27,28,29,30}-1)*LEN(Registro!$G263)+1,LEN(Registro!$G263))),FIND("x",TRIM(MID(SUBSTITUTE(SUBSTITUTE(SUBSTITUTE(SUBSTITUTE(SUBSTITUTE(LOWER(Registro!$G263),"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",LEN(Registro!$G263))),({1,2,3,4,5,6,7,8,9,10,11,12,13,14,15,16,17,18,19,20,21,22,23,24,25,26,27,28,29,30}-1)*LEN(Registro!$G263)+1,LEN(Registro!$G263)))&amp;"x")-1)),--("0"&amp;MID(TRIM(MID(SUBSTITUTE(SUBSTITUTE(SUBSTITUTE(SUBSTITUTE(SUBSTITUTE(LOWER(Registro!$G263),"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",LEN(Registro!$G263))),({1,2,3,4,5,6,7,8,9,10,11,12,13,14,15,16,17,18,19,20,21,22,23,24,25,26,27,28,29,30}-1)*LEN(Registro!$G263)+1,LEN(Registro!$G263))),FIND("x",TRIM(MID(SUBSTITUTE(SUBSTITUTE(SUBSTITUTE(SUBSTITUTE(SUBSTITUTE(LOWER(Registro!$G263),"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",LEN(Registro!$G263))),({1,2,3,4,5,6,7,8,9,10,11,12,13,14,15,16,17,18,19,20,21,22,23,24,25,26,27,28,29,30}-1)*LEN(Registro!$G263)+1,LEN(Registro!$G263)))&amp;"x")+1,20))),"Revisar formato")))</f>
        <v/>
      </c>
      <c r="J263" s="9" t="str">
        <f>IF(AND(Registro!$E263="",Registro!$G263=""),"",IF(NOT(AND(ISNUMBER(I263),ISNUMBER(Registro!$H263))),"",IF(I263&lt;Registro!$H263,"FALTA BOLETOS",IF(I263=Registro!$H263,"CONFORME","DIFERENCIA"))))</f>
        <v/>
      </c>
      <c r="K263" s="11" t="str">
        <f>IF(Registro!$I263="","",IFERROR(SUMPRODUCT(--("0"&amp;TRIM(RIGHT(SUBSTITUTE(TRIM(MID(SUBSTITUTE(SUBSTITUTE(Registro!$I263,";",CHAR(10)),CHAR(10),REPT(" ",LEN(Registro!$I263))),({1,2,3,4,5,6,7,8,9,10,11,12,13,14,15,16,17,18,19,20,21,22,23,24,25,26,27,28,29,30}-1)*LEN(Registro!$I263)+1,LEN(Registro!$I263)))," ",REPT(" ",50)),50)))),"Revisar formato"))</f>
        <v/>
      </c>
      <c r="L263" s="11" t="str">
        <f>IF(Registro!$J263="","",IFERROR(SUMPRODUCT(--("0"&amp;TRIM(RIGHT(SUBSTITUTE(TRIM(MID(SUBSTITUTE(SUBSTITUTE(Registro!$J263,";",CHAR(10)),CHAR(10),REPT(" ",LEN(Registro!$J263))),({1,2,3,4,5,6,7,8,9,10,11,12,13,14,15,16,17,18,19,20,21,22,23,24,25,26,27,28,29,30}-1)*LEN(Registro!$J263)+1,LEN(Registro!$J263)))," ",REPT(" ",50)),50)))),"Revisar formato"))</f>
        <v/>
      </c>
      <c r="M263" s="11" t="str">
        <f>IF(AND(Registro!$H263="",Registro!$I263=""),"",IF(AND(ISTEXT(K263),K263&lt;&gt;""),"Revisar formato",N(Registro!$H263)-N(K263)))</f>
        <v/>
      </c>
      <c r="N263" s="11" t="str">
        <f t="shared" si="14"/>
        <v/>
      </c>
      <c r="O263" s="15" t="str">
        <f>IF(AND(A263=Consulta!$B$3,C263=Consulta!$H$3),B263*10000+ROW(),"")</f>
        <v/>
      </c>
    </row>
    <row r="264" spans="1:15" x14ac:dyDescent="0.25">
      <c r="A264" s="9" t="str">
        <f>IF(Registro!$A264="","",Registro!$A264)</f>
        <v/>
      </c>
      <c r="B264" s="8" t="str">
        <f>IF(Registro!$B264="","",Registro!$B264)</f>
        <v/>
      </c>
      <c r="C264" s="14" t="str">
        <f t="shared" si="12"/>
        <v/>
      </c>
      <c r="D264" s="10" t="str">
        <f>IF(Registro!$E264="","",IF(ISERROR(FIND("x",LOWER(Registro!$E264))),"-",IFERROR(SUMPRODUCT(--("0"&amp;LEFT(TRIM(MID(SUBSTITUTE(SUBSTITUTE(SUBSTITUTE(SUBSTITUTE(SUBSTITUTE(LOWER(Registro!$E264),"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",LEN(Registro!$E264))),({1,2,3,4,5,6,7,8,9,10,11,12,13,14,15,16,17,18,19,20,21,22,23,24,25,26,27,28,29,30}-1)*LEN(Registro!$E264)+1,LEN(Registro!$E264)))&amp;"x")-1))),"Revisar formato")))</f>
        <v/>
      </c>
      <c r="E264" s="11" t="str">
        <f>IF(Registro!$E264="","",IF(ISERROR(FIND("x",LOWER(Registro!$E264))),"-",IFERROR(SUMPRODUCT(--("0"&amp;LEFT(TRIM(MID(SUBSTITUTE(SUBSTITUTE(SUBSTITUTE(SUBSTITUTE(SUBSTITUTE(LOWER(Registro!$E264),"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",LEN(Registro!$E264))),({1,2,3,4,5,6,7,8,9,10,11,12,13,14,15,16,17,18,19,20,21,22,23,24,25,26,27,28,29,30}-1)*LEN(Registro!$E264)+1,LEN(Registro!$E264)))&amp;"x")-1)),--("0"&amp;MID(TRIM(MID(SUBSTITUTE(SUBSTITUTE(SUBSTITUTE(SUBSTITUTE(SUBSTITUTE(LOWER(Registro!$E264),"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",LEN(Registro!$E264))),({1,2,3,4,5,6,7,8,9,10,11,12,13,14,15,16,17,18,19,20,21,22,23,24,25,26,27,28,29,30}-1)*LEN(Registro!$E264)+1,LEN(Registro!$E264)))&amp;"x")+1,20))),"Revisar formato")))</f>
        <v/>
      </c>
      <c r="F264" s="11" t="str">
        <f>IF(Registro!$F264="","",N(Registro!$F264))</f>
        <v/>
      </c>
      <c r="G264" s="11" t="str">
        <f t="shared" si="13"/>
        <v/>
      </c>
      <c r="H264" s="10" t="str">
        <f>IF(Registro!$G264="","",IF(ISERROR(FIND("x",LOWER(Registro!$G264))),"-",IFERROR(SUMPRODUCT(--("0"&amp;LEFT(TRIM(MID(SUBSTITUTE(SUBSTITUTE(SUBSTITUTE(SUBSTITUTE(SUBSTITUTE(LOWER(Registro!$G264),"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",LEN(Registro!$G264))),({1,2,3,4,5,6,7,8,9,10,11,12,13,14,15,16,17,18,19,20,21,22,23,24,25,26,27,28,29,30}-1)*LEN(Registro!$G264)+1,LEN(Registro!$G264))),FIND("x",TRIM(MID(SUBSTITUTE(SUBSTITUTE(SUBSTITUTE(SUBSTITUTE(SUBSTITUTE(LOWER(Registro!$G264),"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",LEN(Registro!$G264))),({1,2,3,4,5,6,7,8,9,10,11,12,13,14,15,16,17,18,19,20,21,22,23,24,25,26,27,28,29,30}-1)*LEN(Registro!$G264)+1,LEN(Registro!$G264)))&amp;"x")-1))),"Revisar formato")))</f>
        <v/>
      </c>
      <c r="I264" s="11" t="str">
        <f>IF(Registro!$G264="","",IF(ISERROR(FIND("x",LOWER(Registro!$G264))),N(Registro!$H264),IFERROR(SUMPRODUCT(--("0"&amp;LEFT(TRIM(MID(SUBSTITUTE(SUBSTITUTE(SUBSTITUTE(SUBSTITUTE(SUBSTITUTE(LOWER(Registro!$G264),"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",LEN(Registro!$G264))),({1,2,3,4,5,6,7,8,9,10,11,12,13,14,15,16,17,18,19,20,21,22,23,24,25,26,27,28,29,30}-1)*LEN(Registro!$G264)+1,LEN(Registro!$G264))),FIND("x",TRIM(MID(SUBSTITUTE(SUBSTITUTE(SUBSTITUTE(SUBSTITUTE(SUBSTITUTE(LOWER(Registro!$G264),"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",LEN(Registro!$G264))),({1,2,3,4,5,6,7,8,9,10,11,12,13,14,15,16,17,18,19,20,21,22,23,24,25,26,27,28,29,30}-1)*LEN(Registro!$G264)+1,LEN(Registro!$G264)))&amp;"x")-1)),--("0"&amp;MID(TRIM(MID(SUBSTITUTE(SUBSTITUTE(SUBSTITUTE(SUBSTITUTE(SUBSTITUTE(LOWER(Registro!$G264),"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",LEN(Registro!$G264))),({1,2,3,4,5,6,7,8,9,10,11,12,13,14,15,16,17,18,19,20,21,22,23,24,25,26,27,28,29,30}-1)*LEN(Registro!$G264)+1,LEN(Registro!$G264))),FIND("x",TRIM(MID(SUBSTITUTE(SUBSTITUTE(SUBSTITUTE(SUBSTITUTE(SUBSTITUTE(LOWER(Registro!$G264),"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",LEN(Registro!$G264))),({1,2,3,4,5,6,7,8,9,10,11,12,13,14,15,16,17,18,19,20,21,22,23,24,25,26,27,28,29,30}-1)*LEN(Registro!$G264)+1,LEN(Registro!$G264)))&amp;"x")+1,20))),"Revisar formato")))</f>
        <v/>
      </c>
      <c r="J264" s="9" t="str">
        <f>IF(AND(Registro!$E264="",Registro!$G264=""),"",IF(NOT(AND(ISNUMBER(I264),ISNUMBER(Registro!$H264))),"",IF(I264&lt;Registro!$H264,"FALTA BOLETOS",IF(I264=Registro!$H264,"CONFORME","DIFERENCIA"))))</f>
        <v/>
      </c>
      <c r="K264" s="11" t="str">
        <f>IF(Registro!$I264="","",IFERROR(SUMPRODUCT(--("0"&amp;TRIM(RIGHT(SUBSTITUTE(TRIM(MID(SUBSTITUTE(SUBSTITUTE(Registro!$I264,";",CHAR(10)),CHAR(10),REPT(" ",LEN(Registro!$I264))),({1,2,3,4,5,6,7,8,9,10,11,12,13,14,15,16,17,18,19,20,21,22,23,24,25,26,27,28,29,30}-1)*LEN(Registro!$I264)+1,LEN(Registro!$I264)))," ",REPT(" ",50)),50)))),"Revisar formato"))</f>
        <v/>
      </c>
      <c r="L264" s="11" t="str">
        <f>IF(Registro!$J264="","",IFERROR(SUMPRODUCT(--("0"&amp;TRIM(RIGHT(SUBSTITUTE(TRIM(MID(SUBSTITUTE(SUBSTITUTE(Registro!$J264,";",CHAR(10)),CHAR(10),REPT(" ",LEN(Registro!$J264))),({1,2,3,4,5,6,7,8,9,10,11,12,13,14,15,16,17,18,19,20,21,22,23,24,25,26,27,28,29,30}-1)*LEN(Registro!$J264)+1,LEN(Registro!$J264)))," ",REPT(" ",50)),50)))),"Revisar formato"))</f>
        <v/>
      </c>
      <c r="M264" s="11" t="str">
        <f>IF(AND(Registro!$H264="",Registro!$I264=""),"",IF(AND(ISTEXT(K264),K264&lt;&gt;""),"Revisar formato",N(Registro!$H264)-N(K264)))</f>
        <v/>
      </c>
      <c r="N264" s="11" t="str">
        <f t="shared" si="14"/>
        <v/>
      </c>
      <c r="O264" s="15" t="str">
        <f>IF(AND(A264=Consulta!$B$3,C264=Consulta!$H$3),B264*10000+ROW(),"")</f>
        <v/>
      </c>
    </row>
    <row r="265" spans="1:15" x14ac:dyDescent="0.25">
      <c r="A265" s="9" t="str">
        <f>IF(Registro!$A265="","",Registro!$A265)</f>
        <v/>
      </c>
      <c r="B265" s="8" t="str">
        <f>IF(Registro!$B265="","",Registro!$B265)</f>
        <v/>
      </c>
      <c r="C265" s="14" t="str">
        <f t="shared" si="12"/>
        <v/>
      </c>
      <c r="D265" s="10" t="str">
        <f>IF(Registro!$E265="","",IF(ISERROR(FIND("x",LOWER(Registro!$E265))),"-",IFERROR(SUMPRODUCT(--("0"&amp;LEFT(TRIM(MID(SUBSTITUTE(SUBSTITUTE(SUBSTITUTE(SUBSTITUTE(SUBSTITUTE(LOWER(Registro!$E265),"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",LEN(Registro!$E265))),({1,2,3,4,5,6,7,8,9,10,11,12,13,14,15,16,17,18,19,20,21,22,23,24,25,26,27,28,29,30}-1)*LEN(Registro!$E265)+1,LEN(Registro!$E265)))&amp;"x")-1))),"Revisar formato")))</f>
        <v/>
      </c>
      <c r="E265" s="11" t="str">
        <f>IF(Registro!$E265="","",IF(ISERROR(FIND("x",LOWER(Registro!$E265))),"-",IFERROR(SUMPRODUCT(--("0"&amp;LEFT(TRIM(MID(SUBSTITUTE(SUBSTITUTE(SUBSTITUTE(SUBSTITUTE(SUBSTITUTE(LOWER(Registro!$E265),"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",LEN(Registro!$E265))),({1,2,3,4,5,6,7,8,9,10,11,12,13,14,15,16,17,18,19,20,21,22,23,24,25,26,27,28,29,30}-1)*LEN(Registro!$E265)+1,LEN(Registro!$E265)))&amp;"x")-1)),--("0"&amp;MID(TRIM(MID(SUBSTITUTE(SUBSTITUTE(SUBSTITUTE(SUBSTITUTE(SUBSTITUTE(LOWER(Registro!$E265),"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",LEN(Registro!$E265))),({1,2,3,4,5,6,7,8,9,10,11,12,13,14,15,16,17,18,19,20,21,22,23,24,25,26,27,28,29,30}-1)*LEN(Registro!$E265)+1,LEN(Registro!$E265)))&amp;"x")+1,20))),"Revisar formato")))</f>
        <v/>
      </c>
      <c r="F265" s="11" t="str">
        <f>IF(Registro!$F265="","",N(Registro!$F265))</f>
        <v/>
      </c>
      <c r="G265" s="11" t="str">
        <f t="shared" si="13"/>
        <v/>
      </c>
      <c r="H265" s="10" t="str">
        <f>IF(Registro!$G265="","",IF(ISERROR(FIND("x",LOWER(Registro!$G265))),"-",IFERROR(SUMPRODUCT(--("0"&amp;LEFT(TRIM(MID(SUBSTITUTE(SUBSTITUTE(SUBSTITUTE(SUBSTITUTE(SUBSTITUTE(LOWER(Registro!$G265),"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",LEN(Registro!$G265))),({1,2,3,4,5,6,7,8,9,10,11,12,13,14,15,16,17,18,19,20,21,22,23,24,25,26,27,28,29,30}-1)*LEN(Registro!$G265)+1,LEN(Registro!$G265))),FIND("x",TRIM(MID(SUBSTITUTE(SUBSTITUTE(SUBSTITUTE(SUBSTITUTE(SUBSTITUTE(LOWER(Registro!$G265),"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",LEN(Registro!$G265))),({1,2,3,4,5,6,7,8,9,10,11,12,13,14,15,16,17,18,19,20,21,22,23,24,25,26,27,28,29,30}-1)*LEN(Registro!$G265)+1,LEN(Registro!$G265)))&amp;"x")-1))),"Revisar formato")))</f>
        <v/>
      </c>
      <c r="I265" s="11" t="str">
        <f>IF(Registro!$G265="","",IF(ISERROR(FIND("x",LOWER(Registro!$G265))),N(Registro!$H265),IFERROR(SUMPRODUCT(--("0"&amp;LEFT(TRIM(MID(SUBSTITUTE(SUBSTITUTE(SUBSTITUTE(SUBSTITUTE(SUBSTITUTE(LOWER(Registro!$G265),"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",LEN(Registro!$G265))),({1,2,3,4,5,6,7,8,9,10,11,12,13,14,15,16,17,18,19,20,21,22,23,24,25,26,27,28,29,30}-1)*LEN(Registro!$G265)+1,LEN(Registro!$G265))),FIND("x",TRIM(MID(SUBSTITUTE(SUBSTITUTE(SUBSTITUTE(SUBSTITUTE(SUBSTITUTE(LOWER(Registro!$G265),"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",LEN(Registro!$G265))),({1,2,3,4,5,6,7,8,9,10,11,12,13,14,15,16,17,18,19,20,21,22,23,24,25,26,27,28,29,30}-1)*LEN(Registro!$G265)+1,LEN(Registro!$G265)))&amp;"x")-1)),--("0"&amp;MID(TRIM(MID(SUBSTITUTE(SUBSTITUTE(SUBSTITUTE(SUBSTITUTE(SUBSTITUTE(LOWER(Registro!$G265),"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",LEN(Registro!$G265))),({1,2,3,4,5,6,7,8,9,10,11,12,13,14,15,16,17,18,19,20,21,22,23,24,25,26,27,28,29,30}-1)*LEN(Registro!$G265)+1,LEN(Registro!$G265))),FIND("x",TRIM(MID(SUBSTITUTE(SUBSTITUTE(SUBSTITUTE(SUBSTITUTE(SUBSTITUTE(LOWER(Registro!$G265),"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",LEN(Registro!$G265))),({1,2,3,4,5,6,7,8,9,10,11,12,13,14,15,16,17,18,19,20,21,22,23,24,25,26,27,28,29,30}-1)*LEN(Registro!$G265)+1,LEN(Registro!$G265)))&amp;"x")+1,20))),"Revisar formato")))</f>
        <v/>
      </c>
      <c r="J265" s="9" t="str">
        <f>IF(AND(Registro!$E265="",Registro!$G265=""),"",IF(NOT(AND(ISNUMBER(I265),ISNUMBER(Registro!$H265))),"",IF(I265&lt;Registro!$H265,"FALTA BOLETOS",IF(I265=Registro!$H265,"CONFORME","DIFERENCIA"))))</f>
        <v/>
      </c>
      <c r="K265" s="11" t="str">
        <f>IF(Registro!$I265="","",IFERROR(SUMPRODUCT(--("0"&amp;TRIM(RIGHT(SUBSTITUTE(TRIM(MID(SUBSTITUTE(SUBSTITUTE(Registro!$I265,";",CHAR(10)),CHAR(10),REPT(" ",LEN(Registro!$I265))),({1,2,3,4,5,6,7,8,9,10,11,12,13,14,15,16,17,18,19,20,21,22,23,24,25,26,27,28,29,30}-1)*LEN(Registro!$I265)+1,LEN(Registro!$I265)))," ",REPT(" ",50)),50)))),"Revisar formato"))</f>
        <v/>
      </c>
      <c r="L265" s="11" t="str">
        <f>IF(Registro!$J265="","",IFERROR(SUMPRODUCT(--("0"&amp;TRIM(RIGHT(SUBSTITUTE(TRIM(MID(SUBSTITUTE(SUBSTITUTE(Registro!$J265,";",CHAR(10)),CHAR(10),REPT(" ",LEN(Registro!$J265))),({1,2,3,4,5,6,7,8,9,10,11,12,13,14,15,16,17,18,19,20,21,22,23,24,25,26,27,28,29,30}-1)*LEN(Registro!$J265)+1,LEN(Registro!$J265)))," ",REPT(" ",50)),50)))),"Revisar formato"))</f>
        <v/>
      </c>
      <c r="M265" s="11" t="str">
        <f>IF(AND(Registro!$H265="",Registro!$I265=""),"",IF(AND(ISTEXT(K265),K265&lt;&gt;""),"Revisar formato",N(Registro!$H265)-N(K265)))</f>
        <v/>
      </c>
      <c r="N265" s="11" t="str">
        <f t="shared" si="14"/>
        <v/>
      </c>
      <c r="O265" s="15" t="str">
        <f>IF(AND(A265=Consulta!$B$3,C265=Consulta!$H$3),B265*10000+ROW(),"")</f>
        <v/>
      </c>
    </row>
    <row r="266" spans="1:15" x14ac:dyDescent="0.25">
      <c r="A266" s="9" t="str">
        <f>IF(Registro!$A266="","",Registro!$A266)</f>
        <v/>
      </c>
      <c r="B266" s="8" t="str">
        <f>IF(Registro!$B266="","",Registro!$B266)</f>
        <v/>
      </c>
      <c r="C266" s="14" t="str">
        <f t="shared" si="12"/>
        <v/>
      </c>
      <c r="D266" s="10" t="str">
        <f>IF(Registro!$E266="","",IF(ISERROR(FIND("x",LOWER(Registro!$E266))),"-",IFERROR(SUMPRODUCT(--("0"&amp;LEFT(TRIM(MID(SUBSTITUTE(SUBSTITUTE(SUBSTITUTE(SUBSTITUTE(SUBSTITUTE(LOWER(Registro!$E266),"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",LEN(Registro!$E266))),({1,2,3,4,5,6,7,8,9,10,11,12,13,14,15,16,17,18,19,20,21,22,23,24,25,26,27,28,29,30}-1)*LEN(Registro!$E266)+1,LEN(Registro!$E266)))&amp;"x")-1))),"Revisar formato")))</f>
        <v/>
      </c>
      <c r="E266" s="11" t="str">
        <f>IF(Registro!$E266="","",IF(ISERROR(FIND("x",LOWER(Registro!$E266))),"-",IFERROR(SUMPRODUCT(--("0"&amp;LEFT(TRIM(MID(SUBSTITUTE(SUBSTITUTE(SUBSTITUTE(SUBSTITUTE(SUBSTITUTE(LOWER(Registro!$E266),"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",LEN(Registro!$E266))),({1,2,3,4,5,6,7,8,9,10,11,12,13,14,15,16,17,18,19,20,21,22,23,24,25,26,27,28,29,30}-1)*LEN(Registro!$E266)+1,LEN(Registro!$E266)))&amp;"x")-1)),--("0"&amp;MID(TRIM(MID(SUBSTITUTE(SUBSTITUTE(SUBSTITUTE(SUBSTITUTE(SUBSTITUTE(LOWER(Registro!$E266),"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",LEN(Registro!$E266))),({1,2,3,4,5,6,7,8,9,10,11,12,13,14,15,16,17,18,19,20,21,22,23,24,25,26,27,28,29,30}-1)*LEN(Registro!$E266)+1,LEN(Registro!$E266)))&amp;"x")+1,20))),"Revisar formato")))</f>
        <v/>
      </c>
      <c r="F266" s="11" t="str">
        <f>IF(Registro!$F266="","",N(Registro!$F266))</f>
        <v/>
      </c>
      <c r="G266" s="11" t="str">
        <f t="shared" si="13"/>
        <v/>
      </c>
      <c r="H266" s="10" t="str">
        <f>IF(Registro!$G266="","",IF(ISERROR(FIND("x",LOWER(Registro!$G266))),"-",IFERROR(SUMPRODUCT(--("0"&amp;LEFT(TRIM(MID(SUBSTITUTE(SUBSTITUTE(SUBSTITUTE(SUBSTITUTE(SUBSTITUTE(LOWER(Registro!$G266),"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",LEN(Registro!$G266))),({1,2,3,4,5,6,7,8,9,10,11,12,13,14,15,16,17,18,19,20,21,22,23,24,25,26,27,28,29,30}-1)*LEN(Registro!$G266)+1,LEN(Registro!$G266))),FIND("x",TRIM(MID(SUBSTITUTE(SUBSTITUTE(SUBSTITUTE(SUBSTITUTE(SUBSTITUTE(LOWER(Registro!$G266),"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",LEN(Registro!$G266))),({1,2,3,4,5,6,7,8,9,10,11,12,13,14,15,16,17,18,19,20,21,22,23,24,25,26,27,28,29,30}-1)*LEN(Registro!$G266)+1,LEN(Registro!$G266)))&amp;"x")-1))),"Revisar formato")))</f>
        <v/>
      </c>
      <c r="I266" s="11" t="str">
        <f>IF(Registro!$G266="","",IF(ISERROR(FIND("x",LOWER(Registro!$G266))),N(Registro!$H266),IFERROR(SUMPRODUCT(--("0"&amp;LEFT(TRIM(MID(SUBSTITUTE(SUBSTITUTE(SUBSTITUTE(SUBSTITUTE(SUBSTITUTE(LOWER(Registro!$G266),"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",LEN(Registro!$G266))),({1,2,3,4,5,6,7,8,9,10,11,12,13,14,15,16,17,18,19,20,21,22,23,24,25,26,27,28,29,30}-1)*LEN(Registro!$G266)+1,LEN(Registro!$G266))),FIND("x",TRIM(MID(SUBSTITUTE(SUBSTITUTE(SUBSTITUTE(SUBSTITUTE(SUBSTITUTE(LOWER(Registro!$G266),"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",LEN(Registro!$G266))),({1,2,3,4,5,6,7,8,9,10,11,12,13,14,15,16,17,18,19,20,21,22,23,24,25,26,27,28,29,30}-1)*LEN(Registro!$G266)+1,LEN(Registro!$G266)))&amp;"x")-1)),--("0"&amp;MID(TRIM(MID(SUBSTITUTE(SUBSTITUTE(SUBSTITUTE(SUBSTITUTE(SUBSTITUTE(LOWER(Registro!$G266),"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",LEN(Registro!$G266))),({1,2,3,4,5,6,7,8,9,10,11,12,13,14,15,16,17,18,19,20,21,22,23,24,25,26,27,28,29,30}-1)*LEN(Registro!$G266)+1,LEN(Registro!$G266))),FIND("x",TRIM(MID(SUBSTITUTE(SUBSTITUTE(SUBSTITUTE(SUBSTITUTE(SUBSTITUTE(LOWER(Registro!$G266),"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",LEN(Registro!$G266))),({1,2,3,4,5,6,7,8,9,10,11,12,13,14,15,16,17,18,19,20,21,22,23,24,25,26,27,28,29,30}-1)*LEN(Registro!$G266)+1,LEN(Registro!$G266)))&amp;"x")+1,20))),"Revisar formato")))</f>
        <v/>
      </c>
      <c r="J266" s="9" t="str">
        <f>IF(AND(Registro!$E266="",Registro!$G266=""),"",IF(NOT(AND(ISNUMBER(I266),ISNUMBER(Registro!$H266))),"",IF(I266&lt;Registro!$H266,"FALTA BOLETOS",IF(I266=Registro!$H266,"CONFORME","DIFERENCIA"))))</f>
        <v/>
      </c>
      <c r="K266" s="11" t="str">
        <f>IF(Registro!$I266="","",IFERROR(SUMPRODUCT(--("0"&amp;TRIM(RIGHT(SUBSTITUTE(TRIM(MID(SUBSTITUTE(SUBSTITUTE(Registro!$I266,";",CHAR(10)),CHAR(10),REPT(" ",LEN(Registro!$I266))),({1,2,3,4,5,6,7,8,9,10,11,12,13,14,15,16,17,18,19,20,21,22,23,24,25,26,27,28,29,30}-1)*LEN(Registro!$I266)+1,LEN(Registro!$I266)))," ",REPT(" ",50)),50)))),"Revisar formato"))</f>
        <v/>
      </c>
      <c r="L266" s="11" t="str">
        <f>IF(Registro!$J266="","",IFERROR(SUMPRODUCT(--("0"&amp;TRIM(RIGHT(SUBSTITUTE(TRIM(MID(SUBSTITUTE(SUBSTITUTE(Registro!$J266,";",CHAR(10)),CHAR(10),REPT(" ",LEN(Registro!$J266))),({1,2,3,4,5,6,7,8,9,10,11,12,13,14,15,16,17,18,19,20,21,22,23,24,25,26,27,28,29,30}-1)*LEN(Registro!$J266)+1,LEN(Registro!$J266)))," ",REPT(" ",50)),50)))),"Revisar formato"))</f>
        <v/>
      </c>
      <c r="M266" s="11" t="str">
        <f>IF(AND(Registro!$H266="",Registro!$I266=""),"",IF(AND(ISTEXT(K266),K266&lt;&gt;""),"Revisar formato",N(Registro!$H266)-N(K266)))</f>
        <v/>
      </c>
      <c r="N266" s="11" t="str">
        <f t="shared" si="14"/>
        <v/>
      </c>
      <c r="O266" s="15" t="str">
        <f>IF(AND(A266=Consulta!$B$3,C266=Consulta!$H$3),B266*10000+ROW(),"")</f>
        <v/>
      </c>
    </row>
    <row r="267" spans="1:15" x14ac:dyDescent="0.25">
      <c r="A267" s="9" t="str">
        <f>IF(Registro!$A267="","",Registro!$A267)</f>
        <v/>
      </c>
      <c r="B267" s="8" t="str">
        <f>IF(Registro!$B267="","",Registro!$B267)</f>
        <v/>
      </c>
      <c r="C267" s="14" t="str">
        <f t="shared" si="12"/>
        <v/>
      </c>
      <c r="D267" s="10" t="str">
        <f>IF(Registro!$E267="","",IF(ISERROR(FIND("x",LOWER(Registro!$E267))),"-",IFERROR(SUMPRODUCT(--("0"&amp;LEFT(TRIM(MID(SUBSTITUTE(SUBSTITUTE(SUBSTITUTE(SUBSTITUTE(SUBSTITUTE(LOWER(Registro!$E267),"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",LEN(Registro!$E267))),({1,2,3,4,5,6,7,8,9,10,11,12,13,14,15,16,17,18,19,20,21,22,23,24,25,26,27,28,29,30}-1)*LEN(Registro!$E267)+1,LEN(Registro!$E267)))&amp;"x")-1))),"Revisar formato")))</f>
        <v/>
      </c>
      <c r="E267" s="11" t="str">
        <f>IF(Registro!$E267="","",IF(ISERROR(FIND("x",LOWER(Registro!$E267))),"-",IFERROR(SUMPRODUCT(--("0"&amp;LEFT(TRIM(MID(SUBSTITUTE(SUBSTITUTE(SUBSTITUTE(SUBSTITUTE(SUBSTITUTE(LOWER(Registro!$E267),"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",LEN(Registro!$E267))),({1,2,3,4,5,6,7,8,9,10,11,12,13,14,15,16,17,18,19,20,21,22,23,24,25,26,27,28,29,30}-1)*LEN(Registro!$E267)+1,LEN(Registro!$E267)))&amp;"x")-1)),--("0"&amp;MID(TRIM(MID(SUBSTITUTE(SUBSTITUTE(SUBSTITUTE(SUBSTITUTE(SUBSTITUTE(LOWER(Registro!$E267),"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",LEN(Registro!$E267))),({1,2,3,4,5,6,7,8,9,10,11,12,13,14,15,16,17,18,19,20,21,22,23,24,25,26,27,28,29,30}-1)*LEN(Registro!$E267)+1,LEN(Registro!$E267)))&amp;"x")+1,20))),"Revisar formato")))</f>
        <v/>
      </c>
      <c r="F267" s="11" t="str">
        <f>IF(Registro!$F267="","",N(Registro!$F267))</f>
        <v/>
      </c>
      <c r="G267" s="11" t="str">
        <f t="shared" si="13"/>
        <v/>
      </c>
      <c r="H267" s="10" t="str">
        <f>IF(Registro!$G267="","",IF(ISERROR(FIND("x",LOWER(Registro!$G267))),"-",IFERROR(SUMPRODUCT(--("0"&amp;LEFT(TRIM(MID(SUBSTITUTE(SUBSTITUTE(SUBSTITUTE(SUBSTITUTE(SUBSTITUTE(LOWER(Registro!$G267),"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",LEN(Registro!$G267))),({1,2,3,4,5,6,7,8,9,10,11,12,13,14,15,16,17,18,19,20,21,22,23,24,25,26,27,28,29,30}-1)*LEN(Registro!$G267)+1,LEN(Registro!$G267))),FIND("x",TRIM(MID(SUBSTITUTE(SUBSTITUTE(SUBSTITUTE(SUBSTITUTE(SUBSTITUTE(LOWER(Registro!$G267),"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",LEN(Registro!$G267))),({1,2,3,4,5,6,7,8,9,10,11,12,13,14,15,16,17,18,19,20,21,22,23,24,25,26,27,28,29,30}-1)*LEN(Registro!$G267)+1,LEN(Registro!$G267)))&amp;"x")-1))),"Revisar formato")))</f>
        <v/>
      </c>
      <c r="I267" s="11" t="str">
        <f>IF(Registro!$G267="","",IF(ISERROR(FIND("x",LOWER(Registro!$G267))),N(Registro!$H267),IFERROR(SUMPRODUCT(--("0"&amp;LEFT(TRIM(MID(SUBSTITUTE(SUBSTITUTE(SUBSTITUTE(SUBSTITUTE(SUBSTITUTE(LOWER(Registro!$G267),"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",LEN(Registro!$G267))),({1,2,3,4,5,6,7,8,9,10,11,12,13,14,15,16,17,18,19,20,21,22,23,24,25,26,27,28,29,30}-1)*LEN(Registro!$G267)+1,LEN(Registro!$G267))),FIND("x",TRIM(MID(SUBSTITUTE(SUBSTITUTE(SUBSTITUTE(SUBSTITUTE(SUBSTITUTE(LOWER(Registro!$G267),"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",LEN(Registro!$G267))),({1,2,3,4,5,6,7,8,9,10,11,12,13,14,15,16,17,18,19,20,21,22,23,24,25,26,27,28,29,30}-1)*LEN(Registro!$G267)+1,LEN(Registro!$G267)))&amp;"x")-1)),--("0"&amp;MID(TRIM(MID(SUBSTITUTE(SUBSTITUTE(SUBSTITUTE(SUBSTITUTE(SUBSTITUTE(LOWER(Registro!$G267),"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",LEN(Registro!$G267))),({1,2,3,4,5,6,7,8,9,10,11,12,13,14,15,16,17,18,19,20,21,22,23,24,25,26,27,28,29,30}-1)*LEN(Registro!$G267)+1,LEN(Registro!$G267))),FIND("x",TRIM(MID(SUBSTITUTE(SUBSTITUTE(SUBSTITUTE(SUBSTITUTE(SUBSTITUTE(LOWER(Registro!$G267),"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",LEN(Registro!$G267))),({1,2,3,4,5,6,7,8,9,10,11,12,13,14,15,16,17,18,19,20,21,22,23,24,25,26,27,28,29,30}-1)*LEN(Registro!$G267)+1,LEN(Registro!$G267)))&amp;"x")+1,20))),"Revisar formato")))</f>
        <v/>
      </c>
      <c r="J267" s="9" t="str">
        <f>IF(AND(Registro!$E267="",Registro!$G267=""),"",IF(NOT(AND(ISNUMBER(I267),ISNUMBER(Registro!$H267))),"",IF(I267&lt;Registro!$H267,"FALTA BOLETOS",IF(I267=Registro!$H267,"CONFORME","DIFERENCIA"))))</f>
        <v/>
      </c>
      <c r="K267" s="11" t="str">
        <f>IF(Registro!$I267="","",IFERROR(SUMPRODUCT(--("0"&amp;TRIM(RIGHT(SUBSTITUTE(TRIM(MID(SUBSTITUTE(SUBSTITUTE(Registro!$I267,";",CHAR(10)),CHAR(10),REPT(" ",LEN(Registro!$I267))),({1,2,3,4,5,6,7,8,9,10,11,12,13,14,15,16,17,18,19,20,21,22,23,24,25,26,27,28,29,30}-1)*LEN(Registro!$I267)+1,LEN(Registro!$I267)))," ",REPT(" ",50)),50)))),"Revisar formato"))</f>
        <v/>
      </c>
      <c r="L267" s="11" t="str">
        <f>IF(Registro!$J267="","",IFERROR(SUMPRODUCT(--("0"&amp;TRIM(RIGHT(SUBSTITUTE(TRIM(MID(SUBSTITUTE(SUBSTITUTE(Registro!$J267,";",CHAR(10)),CHAR(10),REPT(" ",LEN(Registro!$J267))),({1,2,3,4,5,6,7,8,9,10,11,12,13,14,15,16,17,18,19,20,21,22,23,24,25,26,27,28,29,30}-1)*LEN(Registro!$J267)+1,LEN(Registro!$J267)))," ",REPT(" ",50)),50)))),"Revisar formato"))</f>
        <v/>
      </c>
      <c r="M267" s="11" t="str">
        <f>IF(AND(Registro!$H267="",Registro!$I267=""),"",IF(AND(ISTEXT(K267),K267&lt;&gt;""),"Revisar formato",N(Registro!$H267)-N(K267)))</f>
        <v/>
      </c>
      <c r="N267" s="11" t="str">
        <f t="shared" si="14"/>
        <v/>
      </c>
      <c r="O267" s="15" t="str">
        <f>IF(AND(A267=Consulta!$B$3,C267=Consulta!$H$3),B267*10000+ROW(),"")</f>
        <v/>
      </c>
    </row>
    <row r="268" spans="1:15" x14ac:dyDescent="0.25">
      <c r="A268" s="9" t="str">
        <f>IF(Registro!$A268="","",Registro!$A268)</f>
        <v/>
      </c>
      <c r="B268" s="8" t="str">
        <f>IF(Registro!$B268="","",Registro!$B268)</f>
        <v/>
      </c>
      <c r="C268" s="14" t="str">
        <f t="shared" si="12"/>
        <v/>
      </c>
      <c r="D268" s="10" t="str">
        <f>IF(Registro!$E268="","",IF(ISERROR(FIND("x",LOWER(Registro!$E268))),"-",IFERROR(SUMPRODUCT(--("0"&amp;LEFT(TRIM(MID(SUBSTITUTE(SUBSTITUTE(SUBSTITUTE(SUBSTITUTE(SUBSTITUTE(LOWER(Registro!$E268),"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",LEN(Registro!$E268))),({1,2,3,4,5,6,7,8,9,10,11,12,13,14,15,16,17,18,19,20,21,22,23,24,25,26,27,28,29,30}-1)*LEN(Registro!$E268)+1,LEN(Registro!$E268)))&amp;"x")-1))),"Revisar formato")))</f>
        <v/>
      </c>
      <c r="E268" s="11" t="str">
        <f>IF(Registro!$E268="","",IF(ISERROR(FIND("x",LOWER(Registro!$E268))),"-",IFERROR(SUMPRODUCT(--("0"&amp;LEFT(TRIM(MID(SUBSTITUTE(SUBSTITUTE(SUBSTITUTE(SUBSTITUTE(SUBSTITUTE(LOWER(Registro!$E268),"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",LEN(Registro!$E268))),({1,2,3,4,5,6,7,8,9,10,11,12,13,14,15,16,17,18,19,20,21,22,23,24,25,26,27,28,29,30}-1)*LEN(Registro!$E268)+1,LEN(Registro!$E268)))&amp;"x")-1)),--("0"&amp;MID(TRIM(MID(SUBSTITUTE(SUBSTITUTE(SUBSTITUTE(SUBSTITUTE(SUBSTITUTE(LOWER(Registro!$E268),"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",LEN(Registro!$E268))),({1,2,3,4,5,6,7,8,9,10,11,12,13,14,15,16,17,18,19,20,21,22,23,24,25,26,27,28,29,30}-1)*LEN(Registro!$E268)+1,LEN(Registro!$E268)))&amp;"x")+1,20))),"Revisar formato")))</f>
        <v/>
      </c>
      <c r="F268" s="11" t="str">
        <f>IF(Registro!$F268="","",N(Registro!$F268))</f>
        <v/>
      </c>
      <c r="G268" s="11" t="str">
        <f t="shared" si="13"/>
        <v/>
      </c>
      <c r="H268" s="10" t="str">
        <f>IF(Registro!$G268="","",IF(ISERROR(FIND("x",LOWER(Registro!$G268))),"-",IFERROR(SUMPRODUCT(--("0"&amp;LEFT(TRIM(MID(SUBSTITUTE(SUBSTITUTE(SUBSTITUTE(SUBSTITUTE(SUBSTITUTE(LOWER(Registro!$G268),"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",LEN(Registro!$G268))),({1,2,3,4,5,6,7,8,9,10,11,12,13,14,15,16,17,18,19,20,21,22,23,24,25,26,27,28,29,30}-1)*LEN(Registro!$G268)+1,LEN(Registro!$G268))),FIND("x",TRIM(MID(SUBSTITUTE(SUBSTITUTE(SUBSTITUTE(SUBSTITUTE(SUBSTITUTE(LOWER(Registro!$G268),"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",LEN(Registro!$G268))),({1,2,3,4,5,6,7,8,9,10,11,12,13,14,15,16,17,18,19,20,21,22,23,24,25,26,27,28,29,30}-1)*LEN(Registro!$G268)+1,LEN(Registro!$G268)))&amp;"x")-1))),"Revisar formato")))</f>
        <v/>
      </c>
      <c r="I268" s="11" t="str">
        <f>IF(Registro!$G268="","",IF(ISERROR(FIND("x",LOWER(Registro!$G268))),N(Registro!$H268),IFERROR(SUMPRODUCT(--("0"&amp;LEFT(TRIM(MID(SUBSTITUTE(SUBSTITUTE(SUBSTITUTE(SUBSTITUTE(SUBSTITUTE(LOWER(Registro!$G268),"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",LEN(Registro!$G268))),({1,2,3,4,5,6,7,8,9,10,11,12,13,14,15,16,17,18,19,20,21,22,23,24,25,26,27,28,29,30}-1)*LEN(Registro!$G268)+1,LEN(Registro!$G268))),FIND("x",TRIM(MID(SUBSTITUTE(SUBSTITUTE(SUBSTITUTE(SUBSTITUTE(SUBSTITUTE(LOWER(Registro!$G268),"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",LEN(Registro!$G268))),({1,2,3,4,5,6,7,8,9,10,11,12,13,14,15,16,17,18,19,20,21,22,23,24,25,26,27,28,29,30}-1)*LEN(Registro!$G268)+1,LEN(Registro!$G268)))&amp;"x")-1)),--("0"&amp;MID(TRIM(MID(SUBSTITUTE(SUBSTITUTE(SUBSTITUTE(SUBSTITUTE(SUBSTITUTE(LOWER(Registro!$G268),"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",LEN(Registro!$G268))),({1,2,3,4,5,6,7,8,9,10,11,12,13,14,15,16,17,18,19,20,21,22,23,24,25,26,27,28,29,30}-1)*LEN(Registro!$G268)+1,LEN(Registro!$G268))),FIND("x",TRIM(MID(SUBSTITUTE(SUBSTITUTE(SUBSTITUTE(SUBSTITUTE(SUBSTITUTE(LOWER(Registro!$G268),"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",LEN(Registro!$G268))),({1,2,3,4,5,6,7,8,9,10,11,12,13,14,15,16,17,18,19,20,21,22,23,24,25,26,27,28,29,30}-1)*LEN(Registro!$G268)+1,LEN(Registro!$G268)))&amp;"x")+1,20))),"Revisar formato")))</f>
        <v/>
      </c>
      <c r="J268" s="9" t="str">
        <f>IF(AND(Registro!$E268="",Registro!$G268=""),"",IF(NOT(AND(ISNUMBER(I268),ISNUMBER(Registro!$H268))),"",IF(I268&lt;Registro!$H268,"FALTA BOLETOS",IF(I268=Registro!$H268,"CONFORME","DIFERENCIA"))))</f>
        <v/>
      </c>
      <c r="K268" s="11" t="str">
        <f>IF(Registro!$I268="","",IFERROR(SUMPRODUCT(--("0"&amp;TRIM(RIGHT(SUBSTITUTE(TRIM(MID(SUBSTITUTE(SUBSTITUTE(Registro!$I268,";",CHAR(10)),CHAR(10),REPT(" ",LEN(Registro!$I268))),({1,2,3,4,5,6,7,8,9,10,11,12,13,14,15,16,17,18,19,20,21,22,23,24,25,26,27,28,29,30}-1)*LEN(Registro!$I268)+1,LEN(Registro!$I268)))," ",REPT(" ",50)),50)))),"Revisar formato"))</f>
        <v/>
      </c>
      <c r="L268" s="11" t="str">
        <f>IF(Registro!$J268="","",IFERROR(SUMPRODUCT(--("0"&amp;TRIM(RIGHT(SUBSTITUTE(TRIM(MID(SUBSTITUTE(SUBSTITUTE(Registro!$J268,";",CHAR(10)),CHAR(10),REPT(" ",LEN(Registro!$J268))),({1,2,3,4,5,6,7,8,9,10,11,12,13,14,15,16,17,18,19,20,21,22,23,24,25,26,27,28,29,30}-1)*LEN(Registro!$J268)+1,LEN(Registro!$J268)))," ",REPT(" ",50)),50)))),"Revisar formato"))</f>
        <v/>
      </c>
      <c r="M268" s="11" t="str">
        <f>IF(AND(Registro!$H268="",Registro!$I268=""),"",IF(AND(ISTEXT(K268),K268&lt;&gt;""),"Revisar formato",N(Registro!$H268)-N(K268)))</f>
        <v/>
      </c>
      <c r="N268" s="11" t="str">
        <f t="shared" si="14"/>
        <v/>
      </c>
      <c r="O268" s="15" t="str">
        <f>IF(AND(A268=Consulta!$B$3,C268=Consulta!$H$3),B268*10000+ROW(),"")</f>
        <v/>
      </c>
    </row>
    <row r="269" spans="1:15" x14ac:dyDescent="0.25">
      <c r="A269" s="9" t="str">
        <f>IF(Registro!$A269="","",Registro!$A269)</f>
        <v/>
      </c>
      <c r="B269" s="8" t="str">
        <f>IF(Registro!$B269="","",Registro!$B269)</f>
        <v/>
      </c>
      <c r="C269" s="14" t="str">
        <f t="shared" si="12"/>
        <v/>
      </c>
      <c r="D269" s="10" t="str">
        <f>IF(Registro!$E269="","",IF(ISERROR(FIND("x",LOWER(Registro!$E269))),"-",IFERROR(SUMPRODUCT(--("0"&amp;LEFT(TRIM(MID(SUBSTITUTE(SUBSTITUTE(SUBSTITUTE(SUBSTITUTE(SUBSTITUTE(LOWER(Registro!$E269),"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",LEN(Registro!$E269))),({1,2,3,4,5,6,7,8,9,10,11,12,13,14,15,16,17,18,19,20,21,22,23,24,25,26,27,28,29,30}-1)*LEN(Registro!$E269)+1,LEN(Registro!$E269)))&amp;"x")-1))),"Revisar formato")))</f>
        <v/>
      </c>
      <c r="E269" s="11" t="str">
        <f>IF(Registro!$E269="","",IF(ISERROR(FIND("x",LOWER(Registro!$E269))),"-",IFERROR(SUMPRODUCT(--("0"&amp;LEFT(TRIM(MID(SUBSTITUTE(SUBSTITUTE(SUBSTITUTE(SUBSTITUTE(SUBSTITUTE(LOWER(Registro!$E269),"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",LEN(Registro!$E269))),({1,2,3,4,5,6,7,8,9,10,11,12,13,14,15,16,17,18,19,20,21,22,23,24,25,26,27,28,29,30}-1)*LEN(Registro!$E269)+1,LEN(Registro!$E269)))&amp;"x")-1)),--("0"&amp;MID(TRIM(MID(SUBSTITUTE(SUBSTITUTE(SUBSTITUTE(SUBSTITUTE(SUBSTITUTE(LOWER(Registro!$E269),"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",LEN(Registro!$E269))),({1,2,3,4,5,6,7,8,9,10,11,12,13,14,15,16,17,18,19,20,21,22,23,24,25,26,27,28,29,30}-1)*LEN(Registro!$E269)+1,LEN(Registro!$E269)))&amp;"x")+1,20))),"Revisar formato")))</f>
        <v/>
      </c>
      <c r="F269" s="11" t="str">
        <f>IF(Registro!$F269="","",N(Registro!$F269))</f>
        <v/>
      </c>
      <c r="G269" s="11" t="str">
        <f t="shared" si="13"/>
        <v/>
      </c>
      <c r="H269" s="10" t="str">
        <f>IF(Registro!$G269="","",IF(ISERROR(FIND("x",LOWER(Registro!$G269))),"-",IFERROR(SUMPRODUCT(--("0"&amp;LEFT(TRIM(MID(SUBSTITUTE(SUBSTITUTE(SUBSTITUTE(SUBSTITUTE(SUBSTITUTE(LOWER(Registro!$G269),"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",LEN(Registro!$G269))),({1,2,3,4,5,6,7,8,9,10,11,12,13,14,15,16,17,18,19,20,21,22,23,24,25,26,27,28,29,30}-1)*LEN(Registro!$G269)+1,LEN(Registro!$G269))),FIND("x",TRIM(MID(SUBSTITUTE(SUBSTITUTE(SUBSTITUTE(SUBSTITUTE(SUBSTITUTE(LOWER(Registro!$G269),"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",LEN(Registro!$G269))),({1,2,3,4,5,6,7,8,9,10,11,12,13,14,15,16,17,18,19,20,21,22,23,24,25,26,27,28,29,30}-1)*LEN(Registro!$G269)+1,LEN(Registro!$G269)))&amp;"x")-1))),"Revisar formato")))</f>
        <v/>
      </c>
      <c r="I269" s="11" t="str">
        <f>IF(Registro!$G269="","",IF(ISERROR(FIND("x",LOWER(Registro!$G269))),N(Registro!$H269),IFERROR(SUMPRODUCT(--("0"&amp;LEFT(TRIM(MID(SUBSTITUTE(SUBSTITUTE(SUBSTITUTE(SUBSTITUTE(SUBSTITUTE(LOWER(Registro!$G269),"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",LEN(Registro!$G269))),({1,2,3,4,5,6,7,8,9,10,11,12,13,14,15,16,17,18,19,20,21,22,23,24,25,26,27,28,29,30}-1)*LEN(Registro!$G269)+1,LEN(Registro!$G269))),FIND("x",TRIM(MID(SUBSTITUTE(SUBSTITUTE(SUBSTITUTE(SUBSTITUTE(SUBSTITUTE(LOWER(Registro!$G269),"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",LEN(Registro!$G269))),({1,2,3,4,5,6,7,8,9,10,11,12,13,14,15,16,17,18,19,20,21,22,23,24,25,26,27,28,29,30}-1)*LEN(Registro!$G269)+1,LEN(Registro!$G269)))&amp;"x")-1)),--("0"&amp;MID(TRIM(MID(SUBSTITUTE(SUBSTITUTE(SUBSTITUTE(SUBSTITUTE(SUBSTITUTE(LOWER(Registro!$G269),"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",LEN(Registro!$G269))),({1,2,3,4,5,6,7,8,9,10,11,12,13,14,15,16,17,18,19,20,21,22,23,24,25,26,27,28,29,30}-1)*LEN(Registro!$G269)+1,LEN(Registro!$G269))),FIND("x",TRIM(MID(SUBSTITUTE(SUBSTITUTE(SUBSTITUTE(SUBSTITUTE(SUBSTITUTE(LOWER(Registro!$G269),"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",LEN(Registro!$G269))),({1,2,3,4,5,6,7,8,9,10,11,12,13,14,15,16,17,18,19,20,21,22,23,24,25,26,27,28,29,30}-1)*LEN(Registro!$G269)+1,LEN(Registro!$G269)))&amp;"x")+1,20))),"Revisar formato")))</f>
        <v/>
      </c>
      <c r="J269" s="9" t="str">
        <f>IF(AND(Registro!$E269="",Registro!$G269=""),"",IF(NOT(AND(ISNUMBER(I269),ISNUMBER(Registro!$H269))),"",IF(I269&lt;Registro!$H269,"FALTA BOLETOS",IF(I269=Registro!$H269,"CONFORME","DIFERENCIA"))))</f>
        <v/>
      </c>
      <c r="K269" s="11" t="str">
        <f>IF(Registro!$I269="","",IFERROR(SUMPRODUCT(--("0"&amp;TRIM(RIGHT(SUBSTITUTE(TRIM(MID(SUBSTITUTE(SUBSTITUTE(Registro!$I269,";",CHAR(10)),CHAR(10),REPT(" ",LEN(Registro!$I269))),({1,2,3,4,5,6,7,8,9,10,11,12,13,14,15,16,17,18,19,20,21,22,23,24,25,26,27,28,29,30}-1)*LEN(Registro!$I269)+1,LEN(Registro!$I269)))," ",REPT(" ",50)),50)))),"Revisar formato"))</f>
        <v/>
      </c>
      <c r="L269" s="11" t="str">
        <f>IF(Registro!$J269="","",IFERROR(SUMPRODUCT(--("0"&amp;TRIM(RIGHT(SUBSTITUTE(TRIM(MID(SUBSTITUTE(SUBSTITUTE(Registro!$J269,";",CHAR(10)),CHAR(10),REPT(" ",LEN(Registro!$J269))),({1,2,3,4,5,6,7,8,9,10,11,12,13,14,15,16,17,18,19,20,21,22,23,24,25,26,27,28,29,30}-1)*LEN(Registro!$J269)+1,LEN(Registro!$J269)))," ",REPT(" ",50)),50)))),"Revisar formato"))</f>
        <v/>
      </c>
      <c r="M269" s="11" t="str">
        <f>IF(AND(Registro!$H269="",Registro!$I269=""),"",IF(AND(ISTEXT(K269),K269&lt;&gt;""),"Revisar formato",N(Registro!$H269)-N(K269)))</f>
        <v/>
      </c>
      <c r="N269" s="11" t="str">
        <f t="shared" si="14"/>
        <v/>
      </c>
      <c r="O269" s="15" t="str">
        <f>IF(AND(A269=Consulta!$B$3,C269=Consulta!$H$3),B269*10000+ROW(),"")</f>
        <v/>
      </c>
    </row>
    <row r="270" spans="1:15" x14ac:dyDescent="0.25">
      <c r="A270" s="9" t="str">
        <f>IF(Registro!$A270="","",Registro!$A270)</f>
        <v/>
      </c>
      <c r="B270" s="8" t="str">
        <f>IF(Registro!$B270="","",Registro!$B270)</f>
        <v/>
      </c>
      <c r="C270" s="14" t="str">
        <f t="shared" si="12"/>
        <v/>
      </c>
      <c r="D270" s="10" t="str">
        <f>IF(Registro!$E270="","",IF(ISERROR(FIND("x",LOWER(Registro!$E270))),"-",IFERROR(SUMPRODUCT(--("0"&amp;LEFT(TRIM(MID(SUBSTITUTE(SUBSTITUTE(SUBSTITUTE(SUBSTITUTE(SUBSTITUTE(LOWER(Registro!$E270),"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",LEN(Registro!$E270))),({1,2,3,4,5,6,7,8,9,10,11,12,13,14,15,16,17,18,19,20,21,22,23,24,25,26,27,28,29,30}-1)*LEN(Registro!$E270)+1,LEN(Registro!$E270)))&amp;"x")-1))),"Revisar formato")))</f>
        <v/>
      </c>
      <c r="E270" s="11" t="str">
        <f>IF(Registro!$E270="","",IF(ISERROR(FIND("x",LOWER(Registro!$E270))),"-",IFERROR(SUMPRODUCT(--("0"&amp;LEFT(TRIM(MID(SUBSTITUTE(SUBSTITUTE(SUBSTITUTE(SUBSTITUTE(SUBSTITUTE(LOWER(Registro!$E270),"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",LEN(Registro!$E270))),({1,2,3,4,5,6,7,8,9,10,11,12,13,14,15,16,17,18,19,20,21,22,23,24,25,26,27,28,29,30}-1)*LEN(Registro!$E270)+1,LEN(Registro!$E270)))&amp;"x")-1)),--("0"&amp;MID(TRIM(MID(SUBSTITUTE(SUBSTITUTE(SUBSTITUTE(SUBSTITUTE(SUBSTITUTE(LOWER(Registro!$E270),"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",LEN(Registro!$E270))),({1,2,3,4,5,6,7,8,9,10,11,12,13,14,15,16,17,18,19,20,21,22,23,24,25,26,27,28,29,30}-1)*LEN(Registro!$E270)+1,LEN(Registro!$E270)))&amp;"x")+1,20))),"Revisar formato")))</f>
        <v/>
      </c>
      <c r="F270" s="11" t="str">
        <f>IF(Registro!$F270="","",N(Registro!$F270))</f>
        <v/>
      </c>
      <c r="G270" s="11" t="str">
        <f t="shared" si="13"/>
        <v/>
      </c>
      <c r="H270" s="10" t="str">
        <f>IF(Registro!$G270="","",IF(ISERROR(FIND("x",LOWER(Registro!$G270))),"-",IFERROR(SUMPRODUCT(--("0"&amp;LEFT(TRIM(MID(SUBSTITUTE(SUBSTITUTE(SUBSTITUTE(SUBSTITUTE(SUBSTITUTE(LOWER(Registro!$G270),"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",LEN(Registro!$G270))),({1,2,3,4,5,6,7,8,9,10,11,12,13,14,15,16,17,18,19,20,21,22,23,24,25,26,27,28,29,30}-1)*LEN(Registro!$G270)+1,LEN(Registro!$G270))),FIND("x",TRIM(MID(SUBSTITUTE(SUBSTITUTE(SUBSTITUTE(SUBSTITUTE(SUBSTITUTE(LOWER(Registro!$G270),"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",LEN(Registro!$G270))),({1,2,3,4,5,6,7,8,9,10,11,12,13,14,15,16,17,18,19,20,21,22,23,24,25,26,27,28,29,30}-1)*LEN(Registro!$G270)+1,LEN(Registro!$G270)))&amp;"x")-1))),"Revisar formato")))</f>
        <v/>
      </c>
      <c r="I270" s="11" t="str">
        <f>IF(Registro!$G270="","",IF(ISERROR(FIND("x",LOWER(Registro!$G270))),N(Registro!$H270),IFERROR(SUMPRODUCT(--("0"&amp;LEFT(TRIM(MID(SUBSTITUTE(SUBSTITUTE(SUBSTITUTE(SUBSTITUTE(SUBSTITUTE(LOWER(Registro!$G270),"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",LEN(Registro!$G270))),({1,2,3,4,5,6,7,8,9,10,11,12,13,14,15,16,17,18,19,20,21,22,23,24,25,26,27,28,29,30}-1)*LEN(Registro!$G270)+1,LEN(Registro!$G270))),FIND("x",TRIM(MID(SUBSTITUTE(SUBSTITUTE(SUBSTITUTE(SUBSTITUTE(SUBSTITUTE(LOWER(Registro!$G270),"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",LEN(Registro!$G270))),({1,2,3,4,5,6,7,8,9,10,11,12,13,14,15,16,17,18,19,20,21,22,23,24,25,26,27,28,29,30}-1)*LEN(Registro!$G270)+1,LEN(Registro!$G270)))&amp;"x")-1)),--("0"&amp;MID(TRIM(MID(SUBSTITUTE(SUBSTITUTE(SUBSTITUTE(SUBSTITUTE(SUBSTITUTE(LOWER(Registro!$G270),"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",LEN(Registro!$G270))),({1,2,3,4,5,6,7,8,9,10,11,12,13,14,15,16,17,18,19,20,21,22,23,24,25,26,27,28,29,30}-1)*LEN(Registro!$G270)+1,LEN(Registro!$G270))),FIND("x",TRIM(MID(SUBSTITUTE(SUBSTITUTE(SUBSTITUTE(SUBSTITUTE(SUBSTITUTE(LOWER(Registro!$G270),"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",LEN(Registro!$G270))),({1,2,3,4,5,6,7,8,9,10,11,12,13,14,15,16,17,18,19,20,21,22,23,24,25,26,27,28,29,30}-1)*LEN(Registro!$G270)+1,LEN(Registro!$G270)))&amp;"x")+1,20))),"Revisar formato")))</f>
        <v/>
      </c>
      <c r="J270" s="9" t="str">
        <f>IF(AND(Registro!$E270="",Registro!$G270=""),"",IF(NOT(AND(ISNUMBER(I270),ISNUMBER(Registro!$H270))),"",IF(I270&lt;Registro!$H270,"FALTA BOLETOS",IF(I270=Registro!$H270,"CONFORME","DIFERENCIA"))))</f>
        <v/>
      </c>
      <c r="K270" s="11" t="str">
        <f>IF(Registro!$I270="","",IFERROR(SUMPRODUCT(--("0"&amp;TRIM(RIGHT(SUBSTITUTE(TRIM(MID(SUBSTITUTE(SUBSTITUTE(Registro!$I270,";",CHAR(10)),CHAR(10),REPT(" ",LEN(Registro!$I270))),({1,2,3,4,5,6,7,8,9,10,11,12,13,14,15,16,17,18,19,20,21,22,23,24,25,26,27,28,29,30}-1)*LEN(Registro!$I270)+1,LEN(Registro!$I270)))," ",REPT(" ",50)),50)))),"Revisar formato"))</f>
        <v/>
      </c>
      <c r="L270" s="11" t="str">
        <f>IF(Registro!$J270="","",IFERROR(SUMPRODUCT(--("0"&amp;TRIM(RIGHT(SUBSTITUTE(TRIM(MID(SUBSTITUTE(SUBSTITUTE(Registro!$J270,";",CHAR(10)),CHAR(10),REPT(" ",LEN(Registro!$J270))),({1,2,3,4,5,6,7,8,9,10,11,12,13,14,15,16,17,18,19,20,21,22,23,24,25,26,27,28,29,30}-1)*LEN(Registro!$J270)+1,LEN(Registro!$J270)))," ",REPT(" ",50)),50)))),"Revisar formato"))</f>
        <v/>
      </c>
      <c r="M270" s="11" t="str">
        <f>IF(AND(Registro!$H270="",Registro!$I270=""),"",IF(AND(ISTEXT(K270),K270&lt;&gt;""),"Revisar formato",N(Registro!$H270)-N(K270)))</f>
        <v/>
      </c>
      <c r="N270" s="11" t="str">
        <f t="shared" si="14"/>
        <v/>
      </c>
      <c r="O270" s="15" t="str">
        <f>IF(AND(A270=Consulta!$B$3,C270=Consulta!$H$3),B270*10000+ROW(),"")</f>
        <v/>
      </c>
    </row>
    <row r="271" spans="1:15" x14ac:dyDescent="0.25">
      <c r="A271" s="9" t="str">
        <f>IF(Registro!$A271="","",Registro!$A271)</f>
        <v/>
      </c>
      <c r="B271" s="8" t="str">
        <f>IF(Registro!$B271="","",Registro!$B271)</f>
        <v/>
      </c>
      <c r="C271" s="14" t="str">
        <f t="shared" si="12"/>
        <v/>
      </c>
      <c r="D271" s="10" t="str">
        <f>IF(Registro!$E271="","",IF(ISERROR(FIND("x",LOWER(Registro!$E271))),"-",IFERROR(SUMPRODUCT(--("0"&amp;LEFT(TRIM(MID(SUBSTITUTE(SUBSTITUTE(SUBSTITUTE(SUBSTITUTE(SUBSTITUTE(LOWER(Registro!$E271),"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",LEN(Registro!$E271))),({1,2,3,4,5,6,7,8,9,10,11,12,13,14,15,16,17,18,19,20,21,22,23,24,25,26,27,28,29,30}-1)*LEN(Registro!$E271)+1,LEN(Registro!$E271)))&amp;"x")-1))),"Revisar formato")))</f>
        <v/>
      </c>
      <c r="E271" s="11" t="str">
        <f>IF(Registro!$E271="","",IF(ISERROR(FIND("x",LOWER(Registro!$E271))),"-",IFERROR(SUMPRODUCT(--("0"&amp;LEFT(TRIM(MID(SUBSTITUTE(SUBSTITUTE(SUBSTITUTE(SUBSTITUTE(SUBSTITUTE(LOWER(Registro!$E271),"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",LEN(Registro!$E271))),({1,2,3,4,5,6,7,8,9,10,11,12,13,14,15,16,17,18,19,20,21,22,23,24,25,26,27,28,29,30}-1)*LEN(Registro!$E271)+1,LEN(Registro!$E271)))&amp;"x")-1)),--("0"&amp;MID(TRIM(MID(SUBSTITUTE(SUBSTITUTE(SUBSTITUTE(SUBSTITUTE(SUBSTITUTE(LOWER(Registro!$E271),"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",LEN(Registro!$E271))),({1,2,3,4,5,6,7,8,9,10,11,12,13,14,15,16,17,18,19,20,21,22,23,24,25,26,27,28,29,30}-1)*LEN(Registro!$E271)+1,LEN(Registro!$E271)))&amp;"x")+1,20))),"Revisar formato")))</f>
        <v/>
      </c>
      <c r="F271" s="11" t="str">
        <f>IF(Registro!$F271="","",N(Registro!$F271))</f>
        <v/>
      </c>
      <c r="G271" s="11" t="str">
        <f t="shared" si="13"/>
        <v/>
      </c>
      <c r="H271" s="10" t="str">
        <f>IF(Registro!$G271="","",IF(ISERROR(FIND("x",LOWER(Registro!$G271))),"-",IFERROR(SUMPRODUCT(--("0"&amp;LEFT(TRIM(MID(SUBSTITUTE(SUBSTITUTE(SUBSTITUTE(SUBSTITUTE(SUBSTITUTE(LOWER(Registro!$G271),"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",LEN(Registro!$G271))),({1,2,3,4,5,6,7,8,9,10,11,12,13,14,15,16,17,18,19,20,21,22,23,24,25,26,27,28,29,30}-1)*LEN(Registro!$G271)+1,LEN(Registro!$G271))),FIND("x",TRIM(MID(SUBSTITUTE(SUBSTITUTE(SUBSTITUTE(SUBSTITUTE(SUBSTITUTE(LOWER(Registro!$G271),"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",LEN(Registro!$G271))),({1,2,3,4,5,6,7,8,9,10,11,12,13,14,15,16,17,18,19,20,21,22,23,24,25,26,27,28,29,30}-1)*LEN(Registro!$G271)+1,LEN(Registro!$G271)))&amp;"x")-1))),"Revisar formato")))</f>
        <v/>
      </c>
      <c r="I271" s="11" t="str">
        <f>IF(Registro!$G271="","",IF(ISERROR(FIND("x",LOWER(Registro!$G271))),N(Registro!$H271),IFERROR(SUMPRODUCT(--("0"&amp;LEFT(TRIM(MID(SUBSTITUTE(SUBSTITUTE(SUBSTITUTE(SUBSTITUTE(SUBSTITUTE(LOWER(Registro!$G271),"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",LEN(Registro!$G271))),({1,2,3,4,5,6,7,8,9,10,11,12,13,14,15,16,17,18,19,20,21,22,23,24,25,26,27,28,29,30}-1)*LEN(Registro!$G271)+1,LEN(Registro!$G271))),FIND("x",TRIM(MID(SUBSTITUTE(SUBSTITUTE(SUBSTITUTE(SUBSTITUTE(SUBSTITUTE(LOWER(Registro!$G271),"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",LEN(Registro!$G271))),({1,2,3,4,5,6,7,8,9,10,11,12,13,14,15,16,17,18,19,20,21,22,23,24,25,26,27,28,29,30}-1)*LEN(Registro!$G271)+1,LEN(Registro!$G271)))&amp;"x")-1)),--("0"&amp;MID(TRIM(MID(SUBSTITUTE(SUBSTITUTE(SUBSTITUTE(SUBSTITUTE(SUBSTITUTE(LOWER(Registro!$G271),"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",LEN(Registro!$G271))),({1,2,3,4,5,6,7,8,9,10,11,12,13,14,15,16,17,18,19,20,21,22,23,24,25,26,27,28,29,30}-1)*LEN(Registro!$G271)+1,LEN(Registro!$G271))),FIND("x",TRIM(MID(SUBSTITUTE(SUBSTITUTE(SUBSTITUTE(SUBSTITUTE(SUBSTITUTE(LOWER(Registro!$G271),"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",LEN(Registro!$G271))),({1,2,3,4,5,6,7,8,9,10,11,12,13,14,15,16,17,18,19,20,21,22,23,24,25,26,27,28,29,30}-1)*LEN(Registro!$G271)+1,LEN(Registro!$G271)))&amp;"x")+1,20))),"Revisar formato")))</f>
        <v/>
      </c>
      <c r="J271" s="9" t="str">
        <f>IF(AND(Registro!$E271="",Registro!$G271=""),"",IF(NOT(AND(ISNUMBER(I271),ISNUMBER(Registro!$H271))),"",IF(I271&lt;Registro!$H271,"FALTA BOLETOS",IF(I271=Registro!$H271,"CONFORME","DIFERENCIA"))))</f>
        <v/>
      </c>
      <c r="K271" s="11" t="str">
        <f>IF(Registro!$I271="","",IFERROR(SUMPRODUCT(--("0"&amp;TRIM(RIGHT(SUBSTITUTE(TRIM(MID(SUBSTITUTE(SUBSTITUTE(Registro!$I271,";",CHAR(10)),CHAR(10),REPT(" ",LEN(Registro!$I271))),({1,2,3,4,5,6,7,8,9,10,11,12,13,14,15,16,17,18,19,20,21,22,23,24,25,26,27,28,29,30}-1)*LEN(Registro!$I271)+1,LEN(Registro!$I271)))," ",REPT(" ",50)),50)))),"Revisar formato"))</f>
        <v/>
      </c>
      <c r="L271" s="11" t="str">
        <f>IF(Registro!$J271="","",IFERROR(SUMPRODUCT(--("0"&amp;TRIM(RIGHT(SUBSTITUTE(TRIM(MID(SUBSTITUTE(SUBSTITUTE(Registro!$J271,";",CHAR(10)),CHAR(10),REPT(" ",LEN(Registro!$J271))),({1,2,3,4,5,6,7,8,9,10,11,12,13,14,15,16,17,18,19,20,21,22,23,24,25,26,27,28,29,30}-1)*LEN(Registro!$J271)+1,LEN(Registro!$J271)))," ",REPT(" ",50)),50)))),"Revisar formato"))</f>
        <v/>
      </c>
      <c r="M271" s="11" t="str">
        <f>IF(AND(Registro!$H271="",Registro!$I271=""),"",IF(AND(ISTEXT(K271),K271&lt;&gt;""),"Revisar formato",N(Registro!$H271)-N(K271)))</f>
        <v/>
      </c>
      <c r="N271" s="11" t="str">
        <f t="shared" si="14"/>
        <v/>
      </c>
      <c r="O271" s="15" t="str">
        <f>IF(AND(A271=Consulta!$B$3,C271=Consulta!$H$3),B271*10000+ROW(),"")</f>
        <v/>
      </c>
    </row>
    <row r="272" spans="1:15" x14ac:dyDescent="0.25">
      <c r="A272" s="9" t="str">
        <f>IF(Registro!$A272="","",Registro!$A272)</f>
        <v/>
      </c>
      <c r="B272" s="8" t="str">
        <f>IF(Registro!$B272="","",Registro!$B272)</f>
        <v/>
      </c>
      <c r="C272" s="14" t="str">
        <f t="shared" si="12"/>
        <v/>
      </c>
      <c r="D272" s="10" t="str">
        <f>IF(Registro!$E272="","",IF(ISERROR(FIND("x",LOWER(Registro!$E272))),"-",IFERROR(SUMPRODUCT(--("0"&amp;LEFT(TRIM(MID(SUBSTITUTE(SUBSTITUTE(SUBSTITUTE(SUBSTITUTE(SUBSTITUTE(LOWER(Registro!$E272),"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",LEN(Registro!$E272))),({1,2,3,4,5,6,7,8,9,10,11,12,13,14,15,16,17,18,19,20,21,22,23,24,25,26,27,28,29,30}-1)*LEN(Registro!$E272)+1,LEN(Registro!$E272)))&amp;"x")-1))),"Revisar formato")))</f>
        <v/>
      </c>
      <c r="E272" s="11" t="str">
        <f>IF(Registro!$E272="","",IF(ISERROR(FIND("x",LOWER(Registro!$E272))),"-",IFERROR(SUMPRODUCT(--("0"&amp;LEFT(TRIM(MID(SUBSTITUTE(SUBSTITUTE(SUBSTITUTE(SUBSTITUTE(SUBSTITUTE(LOWER(Registro!$E272),"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",LEN(Registro!$E272))),({1,2,3,4,5,6,7,8,9,10,11,12,13,14,15,16,17,18,19,20,21,22,23,24,25,26,27,28,29,30}-1)*LEN(Registro!$E272)+1,LEN(Registro!$E272)))&amp;"x")-1)),--("0"&amp;MID(TRIM(MID(SUBSTITUTE(SUBSTITUTE(SUBSTITUTE(SUBSTITUTE(SUBSTITUTE(LOWER(Registro!$E272),"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",LEN(Registro!$E272))),({1,2,3,4,5,6,7,8,9,10,11,12,13,14,15,16,17,18,19,20,21,22,23,24,25,26,27,28,29,30}-1)*LEN(Registro!$E272)+1,LEN(Registro!$E272)))&amp;"x")+1,20))),"Revisar formato")))</f>
        <v/>
      </c>
      <c r="F272" s="11" t="str">
        <f>IF(Registro!$F272="","",N(Registro!$F272))</f>
        <v/>
      </c>
      <c r="G272" s="11" t="str">
        <f t="shared" si="13"/>
        <v/>
      </c>
      <c r="H272" s="10" t="str">
        <f>IF(Registro!$G272="","",IF(ISERROR(FIND("x",LOWER(Registro!$G272))),"-",IFERROR(SUMPRODUCT(--("0"&amp;LEFT(TRIM(MID(SUBSTITUTE(SUBSTITUTE(SUBSTITUTE(SUBSTITUTE(SUBSTITUTE(LOWER(Registro!$G272),"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",LEN(Registro!$G272))),({1,2,3,4,5,6,7,8,9,10,11,12,13,14,15,16,17,18,19,20,21,22,23,24,25,26,27,28,29,30}-1)*LEN(Registro!$G272)+1,LEN(Registro!$G272))),FIND("x",TRIM(MID(SUBSTITUTE(SUBSTITUTE(SUBSTITUTE(SUBSTITUTE(SUBSTITUTE(LOWER(Registro!$G272),"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",LEN(Registro!$G272))),({1,2,3,4,5,6,7,8,9,10,11,12,13,14,15,16,17,18,19,20,21,22,23,24,25,26,27,28,29,30}-1)*LEN(Registro!$G272)+1,LEN(Registro!$G272)))&amp;"x")-1))),"Revisar formato")))</f>
        <v/>
      </c>
      <c r="I272" s="11" t="str">
        <f>IF(Registro!$G272="","",IF(ISERROR(FIND("x",LOWER(Registro!$G272))),N(Registro!$H272),IFERROR(SUMPRODUCT(--("0"&amp;LEFT(TRIM(MID(SUBSTITUTE(SUBSTITUTE(SUBSTITUTE(SUBSTITUTE(SUBSTITUTE(LOWER(Registro!$G272),"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",LEN(Registro!$G272))),({1,2,3,4,5,6,7,8,9,10,11,12,13,14,15,16,17,18,19,20,21,22,23,24,25,26,27,28,29,30}-1)*LEN(Registro!$G272)+1,LEN(Registro!$G272))),FIND("x",TRIM(MID(SUBSTITUTE(SUBSTITUTE(SUBSTITUTE(SUBSTITUTE(SUBSTITUTE(LOWER(Registro!$G272),"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",LEN(Registro!$G272))),({1,2,3,4,5,6,7,8,9,10,11,12,13,14,15,16,17,18,19,20,21,22,23,24,25,26,27,28,29,30}-1)*LEN(Registro!$G272)+1,LEN(Registro!$G272)))&amp;"x")-1)),--("0"&amp;MID(TRIM(MID(SUBSTITUTE(SUBSTITUTE(SUBSTITUTE(SUBSTITUTE(SUBSTITUTE(LOWER(Registro!$G272),"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",LEN(Registro!$G272))),({1,2,3,4,5,6,7,8,9,10,11,12,13,14,15,16,17,18,19,20,21,22,23,24,25,26,27,28,29,30}-1)*LEN(Registro!$G272)+1,LEN(Registro!$G272))),FIND("x",TRIM(MID(SUBSTITUTE(SUBSTITUTE(SUBSTITUTE(SUBSTITUTE(SUBSTITUTE(LOWER(Registro!$G272),"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",LEN(Registro!$G272))),({1,2,3,4,5,6,7,8,9,10,11,12,13,14,15,16,17,18,19,20,21,22,23,24,25,26,27,28,29,30}-1)*LEN(Registro!$G272)+1,LEN(Registro!$G272)))&amp;"x")+1,20))),"Revisar formato")))</f>
        <v/>
      </c>
      <c r="J272" s="9" t="str">
        <f>IF(AND(Registro!$E272="",Registro!$G272=""),"",IF(NOT(AND(ISNUMBER(I272),ISNUMBER(Registro!$H272))),"",IF(I272&lt;Registro!$H272,"FALTA BOLETOS",IF(I272=Registro!$H272,"CONFORME","DIFERENCIA"))))</f>
        <v/>
      </c>
      <c r="K272" s="11" t="str">
        <f>IF(Registro!$I272="","",IFERROR(SUMPRODUCT(--("0"&amp;TRIM(RIGHT(SUBSTITUTE(TRIM(MID(SUBSTITUTE(SUBSTITUTE(Registro!$I272,";",CHAR(10)),CHAR(10),REPT(" ",LEN(Registro!$I272))),({1,2,3,4,5,6,7,8,9,10,11,12,13,14,15,16,17,18,19,20,21,22,23,24,25,26,27,28,29,30}-1)*LEN(Registro!$I272)+1,LEN(Registro!$I272)))," ",REPT(" ",50)),50)))),"Revisar formato"))</f>
        <v/>
      </c>
      <c r="L272" s="11" t="str">
        <f>IF(Registro!$J272="","",IFERROR(SUMPRODUCT(--("0"&amp;TRIM(RIGHT(SUBSTITUTE(TRIM(MID(SUBSTITUTE(SUBSTITUTE(Registro!$J272,";",CHAR(10)),CHAR(10),REPT(" ",LEN(Registro!$J272))),({1,2,3,4,5,6,7,8,9,10,11,12,13,14,15,16,17,18,19,20,21,22,23,24,25,26,27,28,29,30}-1)*LEN(Registro!$J272)+1,LEN(Registro!$J272)))," ",REPT(" ",50)),50)))),"Revisar formato"))</f>
        <v/>
      </c>
      <c r="M272" s="11" t="str">
        <f>IF(AND(Registro!$H272="",Registro!$I272=""),"",IF(AND(ISTEXT(K272),K272&lt;&gt;""),"Revisar formato",N(Registro!$H272)-N(K272)))</f>
        <v/>
      </c>
      <c r="N272" s="11" t="str">
        <f t="shared" si="14"/>
        <v/>
      </c>
      <c r="O272" s="15" t="str">
        <f>IF(AND(A272=Consulta!$B$3,C272=Consulta!$H$3),B272*10000+ROW(),"")</f>
        <v/>
      </c>
    </row>
    <row r="273" spans="1:15" x14ac:dyDescent="0.25">
      <c r="A273" s="9" t="str">
        <f>IF(Registro!$A273="","",Registro!$A273)</f>
        <v/>
      </c>
      <c r="B273" s="8" t="str">
        <f>IF(Registro!$B273="","",Registro!$B273)</f>
        <v/>
      </c>
      <c r="C273" s="14" t="str">
        <f t="shared" si="12"/>
        <v/>
      </c>
      <c r="D273" s="10" t="str">
        <f>IF(Registro!$E273="","",IF(ISERROR(FIND("x",LOWER(Registro!$E273))),"-",IFERROR(SUMPRODUCT(--("0"&amp;LEFT(TRIM(MID(SUBSTITUTE(SUBSTITUTE(SUBSTITUTE(SUBSTITUTE(SUBSTITUTE(LOWER(Registro!$E273),"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",LEN(Registro!$E273))),({1,2,3,4,5,6,7,8,9,10,11,12,13,14,15,16,17,18,19,20,21,22,23,24,25,26,27,28,29,30}-1)*LEN(Registro!$E273)+1,LEN(Registro!$E273)))&amp;"x")-1))),"Revisar formato")))</f>
        <v/>
      </c>
      <c r="E273" s="11" t="str">
        <f>IF(Registro!$E273="","",IF(ISERROR(FIND("x",LOWER(Registro!$E273))),"-",IFERROR(SUMPRODUCT(--("0"&amp;LEFT(TRIM(MID(SUBSTITUTE(SUBSTITUTE(SUBSTITUTE(SUBSTITUTE(SUBSTITUTE(LOWER(Registro!$E273),"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",LEN(Registro!$E273))),({1,2,3,4,5,6,7,8,9,10,11,12,13,14,15,16,17,18,19,20,21,22,23,24,25,26,27,28,29,30}-1)*LEN(Registro!$E273)+1,LEN(Registro!$E273)))&amp;"x")-1)),--("0"&amp;MID(TRIM(MID(SUBSTITUTE(SUBSTITUTE(SUBSTITUTE(SUBSTITUTE(SUBSTITUTE(LOWER(Registro!$E273),"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",LEN(Registro!$E273))),({1,2,3,4,5,6,7,8,9,10,11,12,13,14,15,16,17,18,19,20,21,22,23,24,25,26,27,28,29,30}-1)*LEN(Registro!$E273)+1,LEN(Registro!$E273)))&amp;"x")+1,20))),"Revisar formato")))</f>
        <v/>
      </c>
      <c r="F273" s="11" t="str">
        <f>IF(Registro!$F273="","",N(Registro!$F273))</f>
        <v/>
      </c>
      <c r="G273" s="11" t="str">
        <f t="shared" si="13"/>
        <v/>
      </c>
      <c r="H273" s="10" t="str">
        <f>IF(Registro!$G273="","",IF(ISERROR(FIND("x",LOWER(Registro!$G273))),"-",IFERROR(SUMPRODUCT(--("0"&amp;LEFT(TRIM(MID(SUBSTITUTE(SUBSTITUTE(SUBSTITUTE(SUBSTITUTE(SUBSTITUTE(LOWER(Registro!$G273),"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",LEN(Registro!$G273))),({1,2,3,4,5,6,7,8,9,10,11,12,13,14,15,16,17,18,19,20,21,22,23,24,25,26,27,28,29,30}-1)*LEN(Registro!$G273)+1,LEN(Registro!$G273))),FIND("x",TRIM(MID(SUBSTITUTE(SUBSTITUTE(SUBSTITUTE(SUBSTITUTE(SUBSTITUTE(LOWER(Registro!$G273),"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",LEN(Registro!$G273))),({1,2,3,4,5,6,7,8,9,10,11,12,13,14,15,16,17,18,19,20,21,22,23,24,25,26,27,28,29,30}-1)*LEN(Registro!$G273)+1,LEN(Registro!$G273)))&amp;"x")-1))),"Revisar formato")))</f>
        <v/>
      </c>
      <c r="I273" s="11" t="str">
        <f>IF(Registro!$G273="","",IF(ISERROR(FIND("x",LOWER(Registro!$G273))),N(Registro!$H273),IFERROR(SUMPRODUCT(--("0"&amp;LEFT(TRIM(MID(SUBSTITUTE(SUBSTITUTE(SUBSTITUTE(SUBSTITUTE(SUBSTITUTE(LOWER(Registro!$G273),"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",LEN(Registro!$G273))),({1,2,3,4,5,6,7,8,9,10,11,12,13,14,15,16,17,18,19,20,21,22,23,24,25,26,27,28,29,30}-1)*LEN(Registro!$G273)+1,LEN(Registro!$G273))),FIND("x",TRIM(MID(SUBSTITUTE(SUBSTITUTE(SUBSTITUTE(SUBSTITUTE(SUBSTITUTE(LOWER(Registro!$G273),"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",LEN(Registro!$G273))),({1,2,3,4,5,6,7,8,9,10,11,12,13,14,15,16,17,18,19,20,21,22,23,24,25,26,27,28,29,30}-1)*LEN(Registro!$G273)+1,LEN(Registro!$G273)))&amp;"x")-1)),--("0"&amp;MID(TRIM(MID(SUBSTITUTE(SUBSTITUTE(SUBSTITUTE(SUBSTITUTE(SUBSTITUTE(LOWER(Registro!$G273),"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",LEN(Registro!$G273))),({1,2,3,4,5,6,7,8,9,10,11,12,13,14,15,16,17,18,19,20,21,22,23,24,25,26,27,28,29,30}-1)*LEN(Registro!$G273)+1,LEN(Registro!$G273))),FIND("x",TRIM(MID(SUBSTITUTE(SUBSTITUTE(SUBSTITUTE(SUBSTITUTE(SUBSTITUTE(LOWER(Registro!$G273),"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",LEN(Registro!$G273))),({1,2,3,4,5,6,7,8,9,10,11,12,13,14,15,16,17,18,19,20,21,22,23,24,25,26,27,28,29,30}-1)*LEN(Registro!$G273)+1,LEN(Registro!$G273)))&amp;"x")+1,20))),"Revisar formato")))</f>
        <v/>
      </c>
      <c r="J273" s="9" t="str">
        <f>IF(AND(Registro!$E273="",Registro!$G273=""),"",IF(NOT(AND(ISNUMBER(I273),ISNUMBER(Registro!$H273))),"",IF(I273&lt;Registro!$H273,"FALTA BOLETOS",IF(I273=Registro!$H273,"CONFORME","DIFERENCIA"))))</f>
        <v/>
      </c>
      <c r="K273" s="11" t="str">
        <f>IF(Registro!$I273="","",IFERROR(SUMPRODUCT(--("0"&amp;TRIM(RIGHT(SUBSTITUTE(TRIM(MID(SUBSTITUTE(SUBSTITUTE(Registro!$I273,";",CHAR(10)),CHAR(10),REPT(" ",LEN(Registro!$I273))),({1,2,3,4,5,6,7,8,9,10,11,12,13,14,15,16,17,18,19,20,21,22,23,24,25,26,27,28,29,30}-1)*LEN(Registro!$I273)+1,LEN(Registro!$I273)))," ",REPT(" ",50)),50)))),"Revisar formato"))</f>
        <v/>
      </c>
      <c r="L273" s="11" t="str">
        <f>IF(Registro!$J273="","",IFERROR(SUMPRODUCT(--("0"&amp;TRIM(RIGHT(SUBSTITUTE(TRIM(MID(SUBSTITUTE(SUBSTITUTE(Registro!$J273,";",CHAR(10)),CHAR(10),REPT(" ",LEN(Registro!$J273))),({1,2,3,4,5,6,7,8,9,10,11,12,13,14,15,16,17,18,19,20,21,22,23,24,25,26,27,28,29,30}-1)*LEN(Registro!$J273)+1,LEN(Registro!$J273)))," ",REPT(" ",50)),50)))),"Revisar formato"))</f>
        <v/>
      </c>
      <c r="M273" s="11" t="str">
        <f>IF(AND(Registro!$H273="",Registro!$I273=""),"",IF(AND(ISTEXT(K273),K273&lt;&gt;""),"Revisar formato",N(Registro!$H273)-N(K273)))</f>
        <v/>
      </c>
      <c r="N273" s="11" t="str">
        <f t="shared" si="14"/>
        <v/>
      </c>
      <c r="O273" s="15" t="str">
        <f>IF(AND(A273=Consulta!$B$3,C273=Consulta!$H$3),B273*10000+ROW(),"")</f>
        <v/>
      </c>
    </row>
    <row r="274" spans="1:15" x14ac:dyDescent="0.25">
      <c r="A274" s="9" t="str">
        <f>IF(Registro!$A274="","",Registro!$A274)</f>
        <v/>
      </c>
      <c r="B274" s="8" t="str">
        <f>IF(Registro!$B274="","",Registro!$B274)</f>
        <v/>
      </c>
      <c r="C274" s="14" t="str">
        <f t="shared" si="12"/>
        <v/>
      </c>
      <c r="D274" s="10" t="str">
        <f>IF(Registro!$E274="","",IF(ISERROR(FIND("x",LOWER(Registro!$E274))),"-",IFERROR(SUMPRODUCT(--("0"&amp;LEFT(TRIM(MID(SUBSTITUTE(SUBSTITUTE(SUBSTITUTE(SUBSTITUTE(SUBSTITUTE(LOWER(Registro!$E274),"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",LEN(Registro!$E274))),({1,2,3,4,5,6,7,8,9,10,11,12,13,14,15,16,17,18,19,20,21,22,23,24,25,26,27,28,29,30}-1)*LEN(Registro!$E274)+1,LEN(Registro!$E274)))&amp;"x")-1))),"Revisar formato")))</f>
        <v/>
      </c>
      <c r="E274" s="11" t="str">
        <f>IF(Registro!$E274="","",IF(ISERROR(FIND("x",LOWER(Registro!$E274))),"-",IFERROR(SUMPRODUCT(--("0"&amp;LEFT(TRIM(MID(SUBSTITUTE(SUBSTITUTE(SUBSTITUTE(SUBSTITUTE(SUBSTITUTE(LOWER(Registro!$E274),"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",LEN(Registro!$E274))),({1,2,3,4,5,6,7,8,9,10,11,12,13,14,15,16,17,18,19,20,21,22,23,24,25,26,27,28,29,30}-1)*LEN(Registro!$E274)+1,LEN(Registro!$E274)))&amp;"x")-1)),--("0"&amp;MID(TRIM(MID(SUBSTITUTE(SUBSTITUTE(SUBSTITUTE(SUBSTITUTE(SUBSTITUTE(LOWER(Registro!$E274),"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",LEN(Registro!$E274))),({1,2,3,4,5,6,7,8,9,10,11,12,13,14,15,16,17,18,19,20,21,22,23,24,25,26,27,28,29,30}-1)*LEN(Registro!$E274)+1,LEN(Registro!$E274)))&amp;"x")+1,20))),"Revisar formato")))</f>
        <v/>
      </c>
      <c r="F274" s="11" t="str">
        <f>IF(Registro!$F274="","",N(Registro!$F274))</f>
        <v/>
      </c>
      <c r="G274" s="11" t="str">
        <f t="shared" si="13"/>
        <v/>
      </c>
      <c r="H274" s="10" t="str">
        <f>IF(Registro!$G274="","",IF(ISERROR(FIND("x",LOWER(Registro!$G274))),"-",IFERROR(SUMPRODUCT(--("0"&amp;LEFT(TRIM(MID(SUBSTITUTE(SUBSTITUTE(SUBSTITUTE(SUBSTITUTE(SUBSTITUTE(LOWER(Registro!$G274),"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",LEN(Registro!$G274))),({1,2,3,4,5,6,7,8,9,10,11,12,13,14,15,16,17,18,19,20,21,22,23,24,25,26,27,28,29,30}-1)*LEN(Registro!$G274)+1,LEN(Registro!$G274))),FIND("x",TRIM(MID(SUBSTITUTE(SUBSTITUTE(SUBSTITUTE(SUBSTITUTE(SUBSTITUTE(LOWER(Registro!$G274),"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",LEN(Registro!$G274))),({1,2,3,4,5,6,7,8,9,10,11,12,13,14,15,16,17,18,19,20,21,22,23,24,25,26,27,28,29,30}-1)*LEN(Registro!$G274)+1,LEN(Registro!$G274)))&amp;"x")-1))),"Revisar formato")))</f>
        <v/>
      </c>
      <c r="I274" s="11" t="str">
        <f>IF(Registro!$G274="","",IF(ISERROR(FIND("x",LOWER(Registro!$G274))),N(Registro!$H274),IFERROR(SUMPRODUCT(--("0"&amp;LEFT(TRIM(MID(SUBSTITUTE(SUBSTITUTE(SUBSTITUTE(SUBSTITUTE(SUBSTITUTE(LOWER(Registro!$G274),"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",LEN(Registro!$G274))),({1,2,3,4,5,6,7,8,9,10,11,12,13,14,15,16,17,18,19,20,21,22,23,24,25,26,27,28,29,30}-1)*LEN(Registro!$G274)+1,LEN(Registro!$G274))),FIND("x",TRIM(MID(SUBSTITUTE(SUBSTITUTE(SUBSTITUTE(SUBSTITUTE(SUBSTITUTE(LOWER(Registro!$G274),"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",LEN(Registro!$G274))),({1,2,3,4,5,6,7,8,9,10,11,12,13,14,15,16,17,18,19,20,21,22,23,24,25,26,27,28,29,30}-1)*LEN(Registro!$G274)+1,LEN(Registro!$G274)))&amp;"x")-1)),--("0"&amp;MID(TRIM(MID(SUBSTITUTE(SUBSTITUTE(SUBSTITUTE(SUBSTITUTE(SUBSTITUTE(LOWER(Registro!$G274),"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",LEN(Registro!$G274))),({1,2,3,4,5,6,7,8,9,10,11,12,13,14,15,16,17,18,19,20,21,22,23,24,25,26,27,28,29,30}-1)*LEN(Registro!$G274)+1,LEN(Registro!$G274))),FIND("x",TRIM(MID(SUBSTITUTE(SUBSTITUTE(SUBSTITUTE(SUBSTITUTE(SUBSTITUTE(LOWER(Registro!$G274),"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",LEN(Registro!$G274))),({1,2,3,4,5,6,7,8,9,10,11,12,13,14,15,16,17,18,19,20,21,22,23,24,25,26,27,28,29,30}-1)*LEN(Registro!$G274)+1,LEN(Registro!$G274)))&amp;"x")+1,20))),"Revisar formato")))</f>
        <v/>
      </c>
      <c r="J274" s="9" t="str">
        <f>IF(AND(Registro!$E274="",Registro!$G274=""),"",IF(NOT(AND(ISNUMBER(I274),ISNUMBER(Registro!$H274))),"",IF(I274&lt;Registro!$H274,"FALTA BOLETOS",IF(I274=Registro!$H274,"CONFORME","DIFERENCIA"))))</f>
        <v/>
      </c>
      <c r="K274" s="11" t="str">
        <f>IF(Registro!$I274="","",IFERROR(SUMPRODUCT(--("0"&amp;TRIM(RIGHT(SUBSTITUTE(TRIM(MID(SUBSTITUTE(SUBSTITUTE(Registro!$I274,";",CHAR(10)),CHAR(10),REPT(" ",LEN(Registro!$I274))),({1,2,3,4,5,6,7,8,9,10,11,12,13,14,15,16,17,18,19,20,21,22,23,24,25,26,27,28,29,30}-1)*LEN(Registro!$I274)+1,LEN(Registro!$I274)))," ",REPT(" ",50)),50)))),"Revisar formato"))</f>
        <v/>
      </c>
      <c r="L274" s="11" t="str">
        <f>IF(Registro!$J274="","",IFERROR(SUMPRODUCT(--("0"&amp;TRIM(RIGHT(SUBSTITUTE(TRIM(MID(SUBSTITUTE(SUBSTITUTE(Registro!$J274,";",CHAR(10)),CHAR(10),REPT(" ",LEN(Registro!$J274))),({1,2,3,4,5,6,7,8,9,10,11,12,13,14,15,16,17,18,19,20,21,22,23,24,25,26,27,28,29,30}-1)*LEN(Registro!$J274)+1,LEN(Registro!$J274)))," ",REPT(" ",50)),50)))),"Revisar formato"))</f>
        <v/>
      </c>
      <c r="M274" s="11" t="str">
        <f>IF(AND(Registro!$H274="",Registro!$I274=""),"",IF(AND(ISTEXT(K274),K274&lt;&gt;""),"Revisar formato",N(Registro!$H274)-N(K274)))</f>
        <v/>
      </c>
      <c r="N274" s="11" t="str">
        <f t="shared" si="14"/>
        <v/>
      </c>
      <c r="O274" s="15" t="str">
        <f>IF(AND(A274=Consulta!$B$3,C274=Consulta!$H$3),B274*10000+ROW(),"")</f>
        <v/>
      </c>
    </row>
    <row r="275" spans="1:15" x14ac:dyDescent="0.25">
      <c r="A275" s="9" t="str">
        <f>IF(Registro!$A275="","",Registro!$A275)</f>
        <v/>
      </c>
      <c r="B275" s="8" t="str">
        <f>IF(Registro!$B275="","",Registro!$B275)</f>
        <v/>
      </c>
      <c r="C275" s="14" t="str">
        <f t="shared" si="12"/>
        <v/>
      </c>
      <c r="D275" s="10" t="str">
        <f>IF(Registro!$E275="","",IF(ISERROR(FIND("x",LOWER(Registro!$E275))),"-",IFERROR(SUMPRODUCT(--("0"&amp;LEFT(TRIM(MID(SUBSTITUTE(SUBSTITUTE(SUBSTITUTE(SUBSTITUTE(SUBSTITUTE(LOWER(Registro!$E275),"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",LEN(Registro!$E275))),({1,2,3,4,5,6,7,8,9,10,11,12,13,14,15,16,17,18,19,20,21,22,23,24,25,26,27,28,29,30}-1)*LEN(Registro!$E275)+1,LEN(Registro!$E275)))&amp;"x")-1))),"Revisar formato")))</f>
        <v/>
      </c>
      <c r="E275" s="11" t="str">
        <f>IF(Registro!$E275="","",IF(ISERROR(FIND("x",LOWER(Registro!$E275))),"-",IFERROR(SUMPRODUCT(--("0"&amp;LEFT(TRIM(MID(SUBSTITUTE(SUBSTITUTE(SUBSTITUTE(SUBSTITUTE(SUBSTITUTE(LOWER(Registro!$E275),"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",LEN(Registro!$E275))),({1,2,3,4,5,6,7,8,9,10,11,12,13,14,15,16,17,18,19,20,21,22,23,24,25,26,27,28,29,30}-1)*LEN(Registro!$E275)+1,LEN(Registro!$E275)))&amp;"x")-1)),--("0"&amp;MID(TRIM(MID(SUBSTITUTE(SUBSTITUTE(SUBSTITUTE(SUBSTITUTE(SUBSTITUTE(LOWER(Registro!$E275),"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",LEN(Registro!$E275))),({1,2,3,4,5,6,7,8,9,10,11,12,13,14,15,16,17,18,19,20,21,22,23,24,25,26,27,28,29,30}-1)*LEN(Registro!$E275)+1,LEN(Registro!$E275)))&amp;"x")+1,20))),"Revisar formato")))</f>
        <v/>
      </c>
      <c r="F275" s="11" t="str">
        <f>IF(Registro!$F275="","",N(Registro!$F275))</f>
        <v/>
      </c>
      <c r="G275" s="11" t="str">
        <f t="shared" si="13"/>
        <v/>
      </c>
      <c r="H275" s="10" t="str">
        <f>IF(Registro!$G275="","",IF(ISERROR(FIND("x",LOWER(Registro!$G275))),"-",IFERROR(SUMPRODUCT(--("0"&amp;LEFT(TRIM(MID(SUBSTITUTE(SUBSTITUTE(SUBSTITUTE(SUBSTITUTE(SUBSTITUTE(LOWER(Registro!$G275),"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",LEN(Registro!$G275))),({1,2,3,4,5,6,7,8,9,10,11,12,13,14,15,16,17,18,19,20,21,22,23,24,25,26,27,28,29,30}-1)*LEN(Registro!$G275)+1,LEN(Registro!$G275))),FIND("x",TRIM(MID(SUBSTITUTE(SUBSTITUTE(SUBSTITUTE(SUBSTITUTE(SUBSTITUTE(LOWER(Registro!$G275),"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",LEN(Registro!$G275))),({1,2,3,4,5,6,7,8,9,10,11,12,13,14,15,16,17,18,19,20,21,22,23,24,25,26,27,28,29,30}-1)*LEN(Registro!$G275)+1,LEN(Registro!$G275)))&amp;"x")-1))),"Revisar formato")))</f>
        <v/>
      </c>
      <c r="I275" s="11" t="str">
        <f>IF(Registro!$G275="","",IF(ISERROR(FIND("x",LOWER(Registro!$G275))),N(Registro!$H275),IFERROR(SUMPRODUCT(--("0"&amp;LEFT(TRIM(MID(SUBSTITUTE(SUBSTITUTE(SUBSTITUTE(SUBSTITUTE(SUBSTITUTE(LOWER(Registro!$G275),"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",LEN(Registro!$G275))),({1,2,3,4,5,6,7,8,9,10,11,12,13,14,15,16,17,18,19,20,21,22,23,24,25,26,27,28,29,30}-1)*LEN(Registro!$G275)+1,LEN(Registro!$G275))),FIND("x",TRIM(MID(SUBSTITUTE(SUBSTITUTE(SUBSTITUTE(SUBSTITUTE(SUBSTITUTE(LOWER(Registro!$G275),"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",LEN(Registro!$G275))),({1,2,3,4,5,6,7,8,9,10,11,12,13,14,15,16,17,18,19,20,21,22,23,24,25,26,27,28,29,30}-1)*LEN(Registro!$G275)+1,LEN(Registro!$G275)))&amp;"x")-1)),--("0"&amp;MID(TRIM(MID(SUBSTITUTE(SUBSTITUTE(SUBSTITUTE(SUBSTITUTE(SUBSTITUTE(LOWER(Registro!$G275),"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",LEN(Registro!$G275))),({1,2,3,4,5,6,7,8,9,10,11,12,13,14,15,16,17,18,19,20,21,22,23,24,25,26,27,28,29,30}-1)*LEN(Registro!$G275)+1,LEN(Registro!$G275))),FIND("x",TRIM(MID(SUBSTITUTE(SUBSTITUTE(SUBSTITUTE(SUBSTITUTE(SUBSTITUTE(LOWER(Registro!$G275),"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",LEN(Registro!$G275))),({1,2,3,4,5,6,7,8,9,10,11,12,13,14,15,16,17,18,19,20,21,22,23,24,25,26,27,28,29,30}-1)*LEN(Registro!$G275)+1,LEN(Registro!$G275)))&amp;"x")+1,20))),"Revisar formato")))</f>
        <v/>
      </c>
      <c r="J275" s="9" t="str">
        <f>IF(AND(Registro!$E275="",Registro!$G275=""),"",IF(NOT(AND(ISNUMBER(I275),ISNUMBER(Registro!$H275))),"",IF(I275&lt;Registro!$H275,"FALTA BOLETOS",IF(I275=Registro!$H275,"CONFORME","DIFERENCIA"))))</f>
        <v/>
      </c>
      <c r="K275" s="11" t="str">
        <f>IF(Registro!$I275="","",IFERROR(SUMPRODUCT(--("0"&amp;TRIM(RIGHT(SUBSTITUTE(TRIM(MID(SUBSTITUTE(SUBSTITUTE(Registro!$I275,";",CHAR(10)),CHAR(10),REPT(" ",LEN(Registro!$I275))),({1,2,3,4,5,6,7,8,9,10,11,12,13,14,15,16,17,18,19,20,21,22,23,24,25,26,27,28,29,30}-1)*LEN(Registro!$I275)+1,LEN(Registro!$I275)))," ",REPT(" ",50)),50)))),"Revisar formato"))</f>
        <v/>
      </c>
      <c r="L275" s="11" t="str">
        <f>IF(Registro!$J275="","",IFERROR(SUMPRODUCT(--("0"&amp;TRIM(RIGHT(SUBSTITUTE(TRIM(MID(SUBSTITUTE(SUBSTITUTE(Registro!$J275,";",CHAR(10)),CHAR(10),REPT(" ",LEN(Registro!$J275))),({1,2,3,4,5,6,7,8,9,10,11,12,13,14,15,16,17,18,19,20,21,22,23,24,25,26,27,28,29,30}-1)*LEN(Registro!$J275)+1,LEN(Registro!$J275)))," ",REPT(" ",50)),50)))),"Revisar formato"))</f>
        <v/>
      </c>
      <c r="M275" s="11" t="str">
        <f>IF(AND(Registro!$H275="",Registro!$I275=""),"",IF(AND(ISTEXT(K275),K275&lt;&gt;""),"Revisar formato",N(Registro!$H275)-N(K275)))</f>
        <v/>
      </c>
      <c r="N275" s="11" t="str">
        <f t="shared" si="14"/>
        <v/>
      </c>
      <c r="O275" s="15" t="str">
        <f>IF(AND(A275=Consulta!$B$3,C275=Consulta!$H$3),B275*10000+ROW(),"")</f>
        <v/>
      </c>
    </row>
    <row r="276" spans="1:15" x14ac:dyDescent="0.25">
      <c r="A276" s="9" t="str">
        <f>IF(Registro!$A276="","",Registro!$A276)</f>
        <v/>
      </c>
      <c r="B276" s="8" t="str">
        <f>IF(Registro!$B276="","",Registro!$B276)</f>
        <v/>
      </c>
      <c r="C276" s="14" t="str">
        <f t="shared" si="12"/>
        <v/>
      </c>
      <c r="D276" s="10" t="str">
        <f>IF(Registro!$E276="","",IF(ISERROR(FIND("x",LOWER(Registro!$E276))),"-",IFERROR(SUMPRODUCT(--("0"&amp;LEFT(TRIM(MID(SUBSTITUTE(SUBSTITUTE(SUBSTITUTE(SUBSTITUTE(SUBSTITUTE(LOWER(Registro!$E276),"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",LEN(Registro!$E276))),({1,2,3,4,5,6,7,8,9,10,11,12,13,14,15,16,17,18,19,20,21,22,23,24,25,26,27,28,29,30}-1)*LEN(Registro!$E276)+1,LEN(Registro!$E276)))&amp;"x")-1))),"Revisar formato")))</f>
        <v/>
      </c>
      <c r="E276" s="11" t="str">
        <f>IF(Registro!$E276="","",IF(ISERROR(FIND("x",LOWER(Registro!$E276))),"-",IFERROR(SUMPRODUCT(--("0"&amp;LEFT(TRIM(MID(SUBSTITUTE(SUBSTITUTE(SUBSTITUTE(SUBSTITUTE(SUBSTITUTE(LOWER(Registro!$E276),"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",LEN(Registro!$E276))),({1,2,3,4,5,6,7,8,9,10,11,12,13,14,15,16,17,18,19,20,21,22,23,24,25,26,27,28,29,30}-1)*LEN(Registro!$E276)+1,LEN(Registro!$E276)))&amp;"x")-1)),--("0"&amp;MID(TRIM(MID(SUBSTITUTE(SUBSTITUTE(SUBSTITUTE(SUBSTITUTE(SUBSTITUTE(LOWER(Registro!$E276),"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",LEN(Registro!$E276))),({1,2,3,4,5,6,7,8,9,10,11,12,13,14,15,16,17,18,19,20,21,22,23,24,25,26,27,28,29,30}-1)*LEN(Registro!$E276)+1,LEN(Registro!$E276)))&amp;"x")+1,20))),"Revisar formato")))</f>
        <v/>
      </c>
      <c r="F276" s="11" t="str">
        <f>IF(Registro!$F276="","",N(Registro!$F276))</f>
        <v/>
      </c>
      <c r="G276" s="11" t="str">
        <f t="shared" si="13"/>
        <v/>
      </c>
      <c r="H276" s="10" t="str">
        <f>IF(Registro!$G276="","",IF(ISERROR(FIND("x",LOWER(Registro!$G276))),"-",IFERROR(SUMPRODUCT(--("0"&amp;LEFT(TRIM(MID(SUBSTITUTE(SUBSTITUTE(SUBSTITUTE(SUBSTITUTE(SUBSTITUTE(LOWER(Registro!$G276),"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",LEN(Registro!$G276))),({1,2,3,4,5,6,7,8,9,10,11,12,13,14,15,16,17,18,19,20,21,22,23,24,25,26,27,28,29,30}-1)*LEN(Registro!$G276)+1,LEN(Registro!$G276))),FIND("x",TRIM(MID(SUBSTITUTE(SUBSTITUTE(SUBSTITUTE(SUBSTITUTE(SUBSTITUTE(LOWER(Registro!$G276),"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",LEN(Registro!$G276))),({1,2,3,4,5,6,7,8,9,10,11,12,13,14,15,16,17,18,19,20,21,22,23,24,25,26,27,28,29,30}-1)*LEN(Registro!$G276)+1,LEN(Registro!$G276)))&amp;"x")-1))),"Revisar formato")))</f>
        <v/>
      </c>
      <c r="I276" s="11" t="str">
        <f>IF(Registro!$G276="","",IF(ISERROR(FIND("x",LOWER(Registro!$G276))),N(Registro!$H276),IFERROR(SUMPRODUCT(--("0"&amp;LEFT(TRIM(MID(SUBSTITUTE(SUBSTITUTE(SUBSTITUTE(SUBSTITUTE(SUBSTITUTE(LOWER(Registro!$G276),"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",LEN(Registro!$G276))),({1,2,3,4,5,6,7,8,9,10,11,12,13,14,15,16,17,18,19,20,21,22,23,24,25,26,27,28,29,30}-1)*LEN(Registro!$G276)+1,LEN(Registro!$G276))),FIND("x",TRIM(MID(SUBSTITUTE(SUBSTITUTE(SUBSTITUTE(SUBSTITUTE(SUBSTITUTE(LOWER(Registro!$G276),"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",LEN(Registro!$G276))),({1,2,3,4,5,6,7,8,9,10,11,12,13,14,15,16,17,18,19,20,21,22,23,24,25,26,27,28,29,30}-1)*LEN(Registro!$G276)+1,LEN(Registro!$G276)))&amp;"x")-1)),--("0"&amp;MID(TRIM(MID(SUBSTITUTE(SUBSTITUTE(SUBSTITUTE(SUBSTITUTE(SUBSTITUTE(LOWER(Registro!$G276),"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",LEN(Registro!$G276))),({1,2,3,4,5,6,7,8,9,10,11,12,13,14,15,16,17,18,19,20,21,22,23,24,25,26,27,28,29,30}-1)*LEN(Registro!$G276)+1,LEN(Registro!$G276))),FIND("x",TRIM(MID(SUBSTITUTE(SUBSTITUTE(SUBSTITUTE(SUBSTITUTE(SUBSTITUTE(LOWER(Registro!$G276),"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",LEN(Registro!$G276))),({1,2,3,4,5,6,7,8,9,10,11,12,13,14,15,16,17,18,19,20,21,22,23,24,25,26,27,28,29,30}-1)*LEN(Registro!$G276)+1,LEN(Registro!$G276)))&amp;"x")+1,20))),"Revisar formato")))</f>
        <v/>
      </c>
      <c r="J276" s="9" t="str">
        <f>IF(AND(Registro!$E276="",Registro!$G276=""),"",IF(NOT(AND(ISNUMBER(I276),ISNUMBER(Registro!$H276))),"",IF(I276&lt;Registro!$H276,"FALTA BOLETOS",IF(I276=Registro!$H276,"CONFORME","DIFERENCIA"))))</f>
        <v/>
      </c>
      <c r="K276" s="11" t="str">
        <f>IF(Registro!$I276="","",IFERROR(SUMPRODUCT(--("0"&amp;TRIM(RIGHT(SUBSTITUTE(TRIM(MID(SUBSTITUTE(SUBSTITUTE(Registro!$I276,";",CHAR(10)),CHAR(10),REPT(" ",LEN(Registro!$I276))),({1,2,3,4,5,6,7,8,9,10,11,12,13,14,15,16,17,18,19,20,21,22,23,24,25,26,27,28,29,30}-1)*LEN(Registro!$I276)+1,LEN(Registro!$I276)))," ",REPT(" ",50)),50)))),"Revisar formato"))</f>
        <v/>
      </c>
      <c r="L276" s="11" t="str">
        <f>IF(Registro!$J276="","",IFERROR(SUMPRODUCT(--("0"&amp;TRIM(RIGHT(SUBSTITUTE(TRIM(MID(SUBSTITUTE(SUBSTITUTE(Registro!$J276,";",CHAR(10)),CHAR(10),REPT(" ",LEN(Registro!$J276))),({1,2,3,4,5,6,7,8,9,10,11,12,13,14,15,16,17,18,19,20,21,22,23,24,25,26,27,28,29,30}-1)*LEN(Registro!$J276)+1,LEN(Registro!$J276)))," ",REPT(" ",50)),50)))),"Revisar formato"))</f>
        <v/>
      </c>
      <c r="M276" s="11" t="str">
        <f>IF(AND(Registro!$H276="",Registro!$I276=""),"",IF(AND(ISTEXT(K276),K276&lt;&gt;""),"Revisar formato",N(Registro!$H276)-N(K276)))</f>
        <v/>
      </c>
      <c r="N276" s="11" t="str">
        <f t="shared" si="14"/>
        <v/>
      </c>
      <c r="O276" s="15" t="str">
        <f>IF(AND(A276=Consulta!$B$3,C276=Consulta!$H$3),B276*10000+ROW(),"")</f>
        <v/>
      </c>
    </row>
    <row r="277" spans="1:15" x14ac:dyDescent="0.25">
      <c r="A277" s="9" t="str">
        <f>IF(Registro!$A277="","",Registro!$A277)</f>
        <v/>
      </c>
      <c r="B277" s="8" t="str">
        <f>IF(Registro!$B277="","",Registro!$B277)</f>
        <v/>
      </c>
      <c r="C277" s="14" t="str">
        <f t="shared" si="12"/>
        <v/>
      </c>
      <c r="D277" s="10" t="str">
        <f>IF(Registro!$E277="","",IF(ISERROR(FIND("x",LOWER(Registro!$E277))),"-",IFERROR(SUMPRODUCT(--("0"&amp;LEFT(TRIM(MID(SUBSTITUTE(SUBSTITUTE(SUBSTITUTE(SUBSTITUTE(SUBSTITUTE(LOWER(Registro!$E277),"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",LEN(Registro!$E277))),({1,2,3,4,5,6,7,8,9,10,11,12,13,14,15,16,17,18,19,20,21,22,23,24,25,26,27,28,29,30}-1)*LEN(Registro!$E277)+1,LEN(Registro!$E277)))&amp;"x")-1))),"Revisar formato")))</f>
        <v/>
      </c>
      <c r="E277" s="11" t="str">
        <f>IF(Registro!$E277="","",IF(ISERROR(FIND("x",LOWER(Registro!$E277))),"-",IFERROR(SUMPRODUCT(--("0"&amp;LEFT(TRIM(MID(SUBSTITUTE(SUBSTITUTE(SUBSTITUTE(SUBSTITUTE(SUBSTITUTE(LOWER(Registro!$E277),"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",LEN(Registro!$E277))),({1,2,3,4,5,6,7,8,9,10,11,12,13,14,15,16,17,18,19,20,21,22,23,24,25,26,27,28,29,30}-1)*LEN(Registro!$E277)+1,LEN(Registro!$E277)))&amp;"x")-1)),--("0"&amp;MID(TRIM(MID(SUBSTITUTE(SUBSTITUTE(SUBSTITUTE(SUBSTITUTE(SUBSTITUTE(LOWER(Registro!$E277),"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",LEN(Registro!$E277))),({1,2,3,4,5,6,7,8,9,10,11,12,13,14,15,16,17,18,19,20,21,22,23,24,25,26,27,28,29,30}-1)*LEN(Registro!$E277)+1,LEN(Registro!$E277)))&amp;"x")+1,20))),"Revisar formato")))</f>
        <v/>
      </c>
      <c r="F277" s="11" t="str">
        <f>IF(Registro!$F277="","",N(Registro!$F277))</f>
        <v/>
      </c>
      <c r="G277" s="11" t="str">
        <f t="shared" si="13"/>
        <v/>
      </c>
      <c r="H277" s="10" t="str">
        <f>IF(Registro!$G277="","",IF(ISERROR(FIND("x",LOWER(Registro!$G277))),"-",IFERROR(SUMPRODUCT(--("0"&amp;LEFT(TRIM(MID(SUBSTITUTE(SUBSTITUTE(SUBSTITUTE(SUBSTITUTE(SUBSTITUTE(LOWER(Registro!$G277),"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",LEN(Registro!$G277))),({1,2,3,4,5,6,7,8,9,10,11,12,13,14,15,16,17,18,19,20,21,22,23,24,25,26,27,28,29,30}-1)*LEN(Registro!$G277)+1,LEN(Registro!$G277))),FIND("x",TRIM(MID(SUBSTITUTE(SUBSTITUTE(SUBSTITUTE(SUBSTITUTE(SUBSTITUTE(LOWER(Registro!$G277),"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",LEN(Registro!$G277))),({1,2,3,4,5,6,7,8,9,10,11,12,13,14,15,16,17,18,19,20,21,22,23,24,25,26,27,28,29,30}-1)*LEN(Registro!$G277)+1,LEN(Registro!$G277)))&amp;"x")-1))),"Revisar formato")))</f>
        <v/>
      </c>
      <c r="I277" s="11" t="str">
        <f>IF(Registro!$G277="","",IF(ISERROR(FIND("x",LOWER(Registro!$G277))),N(Registro!$H277),IFERROR(SUMPRODUCT(--("0"&amp;LEFT(TRIM(MID(SUBSTITUTE(SUBSTITUTE(SUBSTITUTE(SUBSTITUTE(SUBSTITUTE(LOWER(Registro!$G277),"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",LEN(Registro!$G277))),({1,2,3,4,5,6,7,8,9,10,11,12,13,14,15,16,17,18,19,20,21,22,23,24,25,26,27,28,29,30}-1)*LEN(Registro!$G277)+1,LEN(Registro!$G277))),FIND("x",TRIM(MID(SUBSTITUTE(SUBSTITUTE(SUBSTITUTE(SUBSTITUTE(SUBSTITUTE(LOWER(Registro!$G277),"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",LEN(Registro!$G277))),({1,2,3,4,5,6,7,8,9,10,11,12,13,14,15,16,17,18,19,20,21,22,23,24,25,26,27,28,29,30}-1)*LEN(Registro!$G277)+1,LEN(Registro!$G277)))&amp;"x")-1)),--("0"&amp;MID(TRIM(MID(SUBSTITUTE(SUBSTITUTE(SUBSTITUTE(SUBSTITUTE(SUBSTITUTE(LOWER(Registro!$G277),"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",LEN(Registro!$G277))),({1,2,3,4,5,6,7,8,9,10,11,12,13,14,15,16,17,18,19,20,21,22,23,24,25,26,27,28,29,30}-1)*LEN(Registro!$G277)+1,LEN(Registro!$G277))),FIND("x",TRIM(MID(SUBSTITUTE(SUBSTITUTE(SUBSTITUTE(SUBSTITUTE(SUBSTITUTE(LOWER(Registro!$G277),"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",LEN(Registro!$G277))),({1,2,3,4,5,6,7,8,9,10,11,12,13,14,15,16,17,18,19,20,21,22,23,24,25,26,27,28,29,30}-1)*LEN(Registro!$G277)+1,LEN(Registro!$G277)))&amp;"x")+1,20))),"Revisar formato")))</f>
        <v/>
      </c>
      <c r="J277" s="9" t="str">
        <f>IF(AND(Registro!$E277="",Registro!$G277=""),"",IF(NOT(AND(ISNUMBER(I277),ISNUMBER(Registro!$H277))),"",IF(I277&lt;Registro!$H277,"FALTA BOLETOS",IF(I277=Registro!$H277,"CONFORME","DIFERENCIA"))))</f>
        <v/>
      </c>
      <c r="K277" s="11" t="str">
        <f>IF(Registro!$I277="","",IFERROR(SUMPRODUCT(--("0"&amp;TRIM(RIGHT(SUBSTITUTE(TRIM(MID(SUBSTITUTE(SUBSTITUTE(Registro!$I277,";",CHAR(10)),CHAR(10),REPT(" ",LEN(Registro!$I277))),({1,2,3,4,5,6,7,8,9,10,11,12,13,14,15,16,17,18,19,20,21,22,23,24,25,26,27,28,29,30}-1)*LEN(Registro!$I277)+1,LEN(Registro!$I277)))," ",REPT(" ",50)),50)))),"Revisar formato"))</f>
        <v/>
      </c>
      <c r="L277" s="11" t="str">
        <f>IF(Registro!$J277="","",IFERROR(SUMPRODUCT(--("0"&amp;TRIM(RIGHT(SUBSTITUTE(TRIM(MID(SUBSTITUTE(SUBSTITUTE(Registro!$J277,";",CHAR(10)),CHAR(10),REPT(" ",LEN(Registro!$J277))),({1,2,3,4,5,6,7,8,9,10,11,12,13,14,15,16,17,18,19,20,21,22,23,24,25,26,27,28,29,30}-1)*LEN(Registro!$J277)+1,LEN(Registro!$J277)))," ",REPT(" ",50)),50)))),"Revisar formato"))</f>
        <v/>
      </c>
      <c r="M277" s="11" t="str">
        <f>IF(AND(Registro!$H277="",Registro!$I277=""),"",IF(AND(ISTEXT(K277),K277&lt;&gt;""),"Revisar formato",N(Registro!$H277)-N(K277)))</f>
        <v/>
      </c>
      <c r="N277" s="11" t="str">
        <f t="shared" si="14"/>
        <v/>
      </c>
      <c r="O277" s="15" t="str">
        <f>IF(AND(A277=Consulta!$B$3,C277=Consulta!$H$3),B277*10000+ROW(),"")</f>
        <v/>
      </c>
    </row>
    <row r="278" spans="1:15" x14ac:dyDescent="0.25">
      <c r="A278" s="9" t="str">
        <f>IF(Registro!$A278="","",Registro!$A278)</f>
        <v/>
      </c>
      <c r="B278" s="8" t="str">
        <f>IF(Registro!$B278="","",Registro!$B278)</f>
        <v/>
      </c>
      <c r="C278" s="14" t="str">
        <f t="shared" si="12"/>
        <v/>
      </c>
      <c r="D278" s="10" t="str">
        <f>IF(Registro!$E278="","",IF(ISERROR(FIND("x",LOWER(Registro!$E278))),"-",IFERROR(SUMPRODUCT(--("0"&amp;LEFT(TRIM(MID(SUBSTITUTE(SUBSTITUTE(SUBSTITUTE(SUBSTITUTE(SUBSTITUTE(LOWER(Registro!$E278),"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",LEN(Registro!$E278))),({1,2,3,4,5,6,7,8,9,10,11,12,13,14,15,16,17,18,19,20,21,22,23,24,25,26,27,28,29,30}-1)*LEN(Registro!$E278)+1,LEN(Registro!$E278)))&amp;"x")-1))),"Revisar formato")))</f>
        <v/>
      </c>
      <c r="E278" s="11" t="str">
        <f>IF(Registro!$E278="","",IF(ISERROR(FIND("x",LOWER(Registro!$E278))),"-",IFERROR(SUMPRODUCT(--("0"&amp;LEFT(TRIM(MID(SUBSTITUTE(SUBSTITUTE(SUBSTITUTE(SUBSTITUTE(SUBSTITUTE(LOWER(Registro!$E278),"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",LEN(Registro!$E278))),({1,2,3,4,5,6,7,8,9,10,11,12,13,14,15,16,17,18,19,20,21,22,23,24,25,26,27,28,29,30}-1)*LEN(Registro!$E278)+1,LEN(Registro!$E278)))&amp;"x")-1)),--("0"&amp;MID(TRIM(MID(SUBSTITUTE(SUBSTITUTE(SUBSTITUTE(SUBSTITUTE(SUBSTITUTE(LOWER(Registro!$E278),"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",LEN(Registro!$E278))),({1,2,3,4,5,6,7,8,9,10,11,12,13,14,15,16,17,18,19,20,21,22,23,24,25,26,27,28,29,30}-1)*LEN(Registro!$E278)+1,LEN(Registro!$E278)))&amp;"x")+1,20))),"Revisar formato")))</f>
        <v/>
      </c>
      <c r="F278" s="11" t="str">
        <f>IF(Registro!$F278="","",N(Registro!$F278))</f>
        <v/>
      </c>
      <c r="G278" s="11" t="str">
        <f t="shared" si="13"/>
        <v/>
      </c>
      <c r="H278" s="10" t="str">
        <f>IF(Registro!$G278="","",IF(ISERROR(FIND("x",LOWER(Registro!$G278))),"-",IFERROR(SUMPRODUCT(--("0"&amp;LEFT(TRIM(MID(SUBSTITUTE(SUBSTITUTE(SUBSTITUTE(SUBSTITUTE(SUBSTITUTE(LOWER(Registro!$G278),"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",LEN(Registro!$G278))),({1,2,3,4,5,6,7,8,9,10,11,12,13,14,15,16,17,18,19,20,21,22,23,24,25,26,27,28,29,30}-1)*LEN(Registro!$G278)+1,LEN(Registro!$G278))),FIND("x",TRIM(MID(SUBSTITUTE(SUBSTITUTE(SUBSTITUTE(SUBSTITUTE(SUBSTITUTE(LOWER(Registro!$G278),"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",LEN(Registro!$G278))),({1,2,3,4,5,6,7,8,9,10,11,12,13,14,15,16,17,18,19,20,21,22,23,24,25,26,27,28,29,30}-1)*LEN(Registro!$G278)+1,LEN(Registro!$G278)))&amp;"x")-1))),"Revisar formato")))</f>
        <v/>
      </c>
      <c r="I278" s="11" t="str">
        <f>IF(Registro!$G278="","",IF(ISERROR(FIND("x",LOWER(Registro!$G278))),N(Registro!$H278),IFERROR(SUMPRODUCT(--("0"&amp;LEFT(TRIM(MID(SUBSTITUTE(SUBSTITUTE(SUBSTITUTE(SUBSTITUTE(SUBSTITUTE(LOWER(Registro!$G278),"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",LEN(Registro!$G278))),({1,2,3,4,5,6,7,8,9,10,11,12,13,14,15,16,17,18,19,20,21,22,23,24,25,26,27,28,29,30}-1)*LEN(Registro!$G278)+1,LEN(Registro!$G278))),FIND("x",TRIM(MID(SUBSTITUTE(SUBSTITUTE(SUBSTITUTE(SUBSTITUTE(SUBSTITUTE(LOWER(Registro!$G278),"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",LEN(Registro!$G278))),({1,2,3,4,5,6,7,8,9,10,11,12,13,14,15,16,17,18,19,20,21,22,23,24,25,26,27,28,29,30}-1)*LEN(Registro!$G278)+1,LEN(Registro!$G278)))&amp;"x")-1)),--("0"&amp;MID(TRIM(MID(SUBSTITUTE(SUBSTITUTE(SUBSTITUTE(SUBSTITUTE(SUBSTITUTE(LOWER(Registro!$G278),"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",LEN(Registro!$G278))),({1,2,3,4,5,6,7,8,9,10,11,12,13,14,15,16,17,18,19,20,21,22,23,24,25,26,27,28,29,30}-1)*LEN(Registro!$G278)+1,LEN(Registro!$G278))),FIND("x",TRIM(MID(SUBSTITUTE(SUBSTITUTE(SUBSTITUTE(SUBSTITUTE(SUBSTITUTE(LOWER(Registro!$G278),"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",LEN(Registro!$G278))),({1,2,3,4,5,6,7,8,9,10,11,12,13,14,15,16,17,18,19,20,21,22,23,24,25,26,27,28,29,30}-1)*LEN(Registro!$G278)+1,LEN(Registro!$G278)))&amp;"x")+1,20))),"Revisar formato")))</f>
        <v/>
      </c>
      <c r="J278" s="9" t="str">
        <f>IF(AND(Registro!$E278="",Registro!$G278=""),"",IF(NOT(AND(ISNUMBER(I278),ISNUMBER(Registro!$H278))),"",IF(I278&lt;Registro!$H278,"FALTA BOLETOS",IF(I278=Registro!$H278,"CONFORME","DIFERENCIA"))))</f>
        <v/>
      </c>
      <c r="K278" s="11" t="str">
        <f>IF(Registro!$I278="","",IFERROR(SUMPRODUCT(--("0"&amp;TRIM(RIGHT(SUBSTITUTE(TRIM(MID(SUBSTITUTE(SUBSTITUTE(Registro!$I278,";",CHAR(10)),CHAR(10),REPT(" ",LEN(Registro!$I278))),({1,2,3,4,5,6,7,8,9,10,11,12,13,14,15,16,17,18,19,20,21,22,23,24,25,26,27,28,29,30}-1)*LEN(Registro!$I278)+1,LEN(Registro!$I278)))," ",REPT(" ",50)),50)))),"Revisar formato"))</f>
        <v/>
      </c>
      <c r="L278" s="11" t="str">
        <f>IF(Registro!$J278="","",IFERROR(SUMPRODUCT(--("0"&amp;TRIM(RIGHT(SUBSTITUTE(TRIM(MID(SUBSTITUTE(SUBSTITUTE(Registro!$J278,";",CHAR(10)),CHAR(10),REPT(" ",LEN(Registro!$J278))),({1,2,3,4,5,6,7,8,9,10,11,12,13,14,15,16,17,18,19,20,21,22,23,24,25,26,27,28,29,30}-1)*LEN(Registro!$J278)+1,LEN(Registro!$J278)))," ",REPT(" ",50)),50)))),"Revisar formato"))</f>
        <v/>
      </c>
      <c r="M278" s="11" t="str">
        <f>IF(AND(Registro!$H278="",Registro!$I278=""),"",IF(AND(ISTEXT(K278),K278&lt;&gt;""),"Revisar formato",N(Registro!$H278)-N(K278)))</f>
        <v/>
      </c>
      <c r="N278" s="11" t="str">
        <f t="shared" si="14"/>
        <v/>
      </c>
      <c r="O278" s="15" t="str">
        <f>IF(AND(A278=Consulta!$B$3,C278=Consulta!$H$3),B278*10000+ROW(),"")</f>
        <v/>
      </c>
    </row>
    <row r="279" spans="1:15" x14ac:dyDescent="0.25">
      <c r="A279" s="9" t="str">
        <f>IF(Registro!$A279="","",Registro!$A279)</f>
        <v/>
      </c>
      <c r="B279" s="8" t="str">
        <f>IF(Registro!$B279="","",Registro!$B279)</f>
        <v/>
      </c>
      <c r="C279" s="14" t="str">
        <f t="shared" si="12"/>
        <v/>
      </c>
      <c r="D279" s="10" t="str">
        <f>IF(Registro!$E279="","",IF(ISERROR(FIND("x",LOWER(Registro!$E279))),"-",IFERROR(SUMPRODUCT(--("0"&amp;LEFT(TRIM(MID(SUBSTITUTE(SUBSTITUTE(SUBSTITUTE(SUBSTITUTE(SUBSTITUTE(LOWER(Registro!$E279),"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",LEN(Registro!$E279))),({1,2,3,4,5,6,7,8,9,10,11,12,13,14,15,16,17,18,19,20,21,22,23,24,25,26,27,28,29,30}-1)*LEN(Registro!$E279)+1,LEN(Registro!$E279)))&amp;"x")-1))),"Revisar formato")))</f>
        <v/>
      </c>
      <c r="E279" s="11" t="str">
        <f>IF(Registro!$E279="","",IF(ISERROR(FIND("x",LOWER(Registro!$E279))),"-",IFERROR(SUMPRODUCT(--("0"&amp;LEFT(TRIM(MID(SUBSTITUTE(SUBSTITUTE(SUBSTITUTE(SUBSTITUTE(SUBSTITUTE(LOWER(Registro!$E279),"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",LEN(Registro!$E279))),({1,2,3,4,5,6,7,8,9,10,11,12,13,14,15,16,17,18,19,20,21,22,23,24,25,26,27,28,29,30}-1)*LEN(Registro!$E279)+1,LEN(Registro!$E279)))&amp;"x")-1)),--("0"&amp;MID(TRIM(MID(SUBSTITUTE(SUBSTITUTE(SUBSTITUTE(SUBSTITUTE(SUBSTITUTE(LOWER(Registro!$E279),"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",LEN(Registro!$E279))),({1,2,3,4,5,6,7,8,9,10,11,12,13,14,15,16,17,18,19,20,21,22,23,24,25,26,27,28,29,30}-1)*LEN(Registro!$E279)+1,LEN(Registro!$E279)))&amp;"x")+1,20))),"Revisar formato")))</f>
        <v/>
      </c>
      <c r="F279" s="11" t="str">
        <f>IF(Registro!$F279="","",N(Registro!$F279))</f>
        <v/>
      </c>
      <c r="G279" s="11" t="str">
        <f t="shared" si="13"/>
        <v/>
      </c>
      <c r="H279" s="10" t="str">
        <f>IF(Registro!$G279="","",IF(ISERROR(FIND("x",LOWER(Registro!$G279))),"-",IFERROR(SUMPRODUCT(--("0"&amp;LEFT(TRIM(MID(SUBSTITUTE(SUBSTITUTE(SUBSTITUTE(SUBSTITUTE(SUBSTITUTE(LOWER(Registro!$G279),"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",LEN(Registro!$G279))),({1,2,3,4,5,6,7,8,9,10,11,12,13,14,15,16,17,18,19,20,21,22,23,24,25,26,27,28,29,30}-1)*LEN(Registro!$G279)+1,LEN(Registro!$G279))),FIND("x",TRIM(MID(SUBSTITUTE(SUBSTITUTE(SUBSTITUTE(SUBSTITUTE(SUBSTITUTE(LOWER(Registro!$G279),"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",LEN(Registro!$G279))),({1,2,3,4,5,6,7,8,9,10,11,12,13,14,15,16,17,18,19,20,21,22,23,24,25,26,27,28,29,30}-1)*LEN(Registro!$G279)+1,LEN(Registro!$G279)))&amp;"x")-1))),"Revisar formato")))</f>
        <v/>
      </c>
      <c r="I279" s="11" t="str">
        <f>IF(Registro!$G279="","",IF(ISERROR(FIND("x",LOWER(Registro!$G279))),N(Registro!$H279),IFERROR(SUMPRODUCT(--("0"&amp;LEFT(TRIM(MID(SUBSTITUTE(SUBSTITUTE(SUBSTITUTE(SUBSTITUTE(SUBSTITUTE(LOWER(Registro!$G279),"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",LEN(Registro!$G279))),({1,2,3,4,5,6,7,8,9,10,11,12,13,14,15,16,17,18,19,20,21,22,23,24,25,26,27,28,29,30}-1)*LEN(Registro!$G279)+1,LEN(Registro!$G279))),FIND("x",TRIM(MID(SUBSTITUTE(SUBSTITUTE(SUBSTITUTE(SUBSTITUTE(SUBSTITUTE(LOWER(Registro!$G279),"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",LEN(Registro!$G279))),({1,2,3,4,5,6,7,8,9,10,11,12,13,14,15,16,17,18,19,20,21,22,23,24,25,26,27,28,29,30}-1)*LEN(Registro!$G279)+1,LEN(Registro!$G279)))&amp;"x")-1)),--("0"&amp;MID(TRIM(MID(SUBSTITUTE(SUBSTITUTE(SUBSTITUTE(SUBSTITUTE(SUBSTITUTE(LOWER(Registro!$G279),"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",LEN(Registro!$G279))),({1,2,3,4,5,6,7,8,9,10,11,12,13,14,15,16,17,18,19,20,21,22,23,24,25,26,27,28,29,30}-1)*LEN(Registro!$G279)+1,LEN(Registro!$G279))),FIND("x",TRIM(MID(SUBSTITUTE(SUBSTITUTE(SUBSTITUTE(SUBSTITUTE(SUBSTITUTE(LOWER(Registro!$G279),"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",LEN(Registro!$G279))),({1,2,3,4,5,6,7,8,9,10,11,12,13,14,15,16,17,18,19,20,21,22,23,24,25,26,27,28,29,30}-1)*LEN(Registro!$G279)+1,LEN(Registro!$G279)))&amp;"x")+1,20))),"Revisar formato")))</f>
        <v/>
      </c>
      <c r="J279" s="9" t="str">
        <f>IF(AND(Registro!$E279="",Registro!$G279=""),"",IF(NOT(AND(ISNUMBER(I279),ISNUMBER(Registro!$H279))),"",IF(I279&lt;Registro!$H279,"FALTA BOLETOS",IF(I279=Registro!$H279,"CONFORME","DIFERENCIA"))))</f>
        <v/>
      </c>
      <c r="K279" s="11" t="str">
        <f>IF(Registro!$I279="","",IFERROR(SUMPRODUCT(--("0"&amp;TRIM(RIGHT(SUBSTITUTE(TRIM(MID(SUBSTITUTE(SUBSTITUTE(Registro!$I279,";",CHAR(10)),CHAR(10),REPT(" ",LEN(Registro!$I279))),({1,2,3,4,5,6,7,8,9,10,11,12,13,14,15,16,17,18,19,20,21,22,23,24,25,26,27,28,29,30}-1)*LEN(Registro!$I279)+1,LEN(Registro!$I279)))," ",REPT(" ",50)),50)))),"Revisar formato"))</f>
        <v/>
      </c>
      <c r="L279" s="11" t="str">
        <f>IF(Registro!$J279="","",IFERROR(SUMPRODUCT(--("0"&amp;TRIM(RIGHT(SUBSTITUTE(TRIM(MID(SUBSTITUTE(SUBSTITUTE(Registro!$J279,";",CHAR(10)),CHAR(10),REPT(" ",LEN(Registro!$J279))),({1,2,3,4,5,6,7,8,9,10,11,12,13,14,15,16,17,18,19,20,21,22,23,24,25,26,27,28,29,30}-1)*LEN(Registro!$J279)+1,LEN(Registro!$J279)))," ",REPT(" ",50)),50)))),"Revisar formato"))</f>
        <v/>
      </c>
      <c r="M279" s="11" t="str">
        <f>IF(AND(Registro!$H279="",Registro!$I279=""),"",IF(AND(ISTEXT(K279),K279&lt;&gt;""),"Revisar formato",N(Registro!$H279)-N(K279)))</f>
        <v/>
      </c>
      <c r="N279" s="11" t="str">
        <f t="shared" si="14"/>
        <v/>
      </c>
      <c r="O279" s="15" t="str">
        <f>IF(AND(A279=Consulta!$B$3,C279=Consulta!$H$3),B279*10000+ROW(),"")</f>
        <v/>
      </c>
    </row>
    <row r="280" spans="1:15" x14ac:dyDescent="0.25">
      <c r="A280" s="9" t="str">
        <f>IF(Registro!$A280="","",Registro!$A280)</f>
        <v/>
      </c>
      <c r="B280" s="8" t="str">
        <f>IF(Registro!$B280="","",Registro!$B280)</f>
        <v/>
      </c>
      <c r="C280" s="14" t="str">
        <f t="shared" si="12"/>
        <v/>
      </c>
      <c r="D280" s="10" t="str">
        <f>IF(Registro!$E280="","",IF(ISERROR(FIND("x",LOWER(Registro!$E280))),"-",IFERROR(SUMPRODUCT(--("0"&amp;LEFT(TRIM(MID(SUBSTITUTE(SUBSTITUTE(SUBSTITUTE(SUBSTITUTE(SUBSTITUTE(LOWER(Registro!$E280),"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",LEN(Registro!$E280))),({1,2,3,4,5,6,7,8,9,10,11,12,13,14,15,16,17,18,19,20,21,22,23,24,25,26,27,28,29,30}-1)*LEN(Registro!$E280)+1,LEN(Registro!$E280)))&amp;"x")-1))),"Revisar formato")))</f>
        <v/>
      </c>
      <c r="E280" s="11" t="str">
        <f>IF(Registro!$E280="","",IF(ISERROR(FIND("x",LOWER(Registro!$E280))),"-",IFERROR(SUMPRODUCT(--("0"&amp;LEFT(TRIM(MID(SUBSTITUTE(SUBSTITUTE(SUBSTITUTE(SUBSTITUTE(SUBSTITUTE(LOWER(Registro!$E280),"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",LEN(Registro!$E280))),({1,2,3,4,5,6,7,8,9,10,11,12,13,14,15,16,17,18,19,20,21,22,23,24,25,26,27,28,29,30}-1)*LEN(Registro!$E280)+1,LEN(Registro!$E280)))&amp;"x")-1)),--("0"&amp;MID(TRIM(MID(SUBSTITUTE(SUBSTITUTE(SUBSTITUTE(SUBSTITUTE(SUBSTITUTE(LOWER(Registro!$E280),"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",LEN(Registro!$E280))),({1,2,3,4,5,6,7,8,9,10,11,12,13,14,15,16,17,18,19,20,21,22,23,24,25,26,27,28,29,30}-1)*LEN(Registro!$E280)+1,LEN(Registro!$E280)))&amp;"x")+1,20))),"Revisar formato")))</f>
        <v/>
      </c>
      <c r="F280" s="11" t="str">
        <f>IF(Registro!$F280="","",N(Registro!$F280))</f>
        <v/>
      </c>
      <c r="G280" s="11" t="str">
        <f t="shared" si="13"/>
        <v/>
      </c>
      <c r="H280" s="10" t="str">
        <f>IF(Registro!$G280="","",IF(ISERROR(FIND("x",LOWER(Registro!$G280))),"-",IFERROR(SUMPRODUCT(--("0"&amp;LEFT(TRIM(MID(SUBSTITUTE(SUBSTITUTE(SUBSTITUTE(SUBSTITUTE(SUBSTITUTE(LOWER(Registro!$G280),"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",LEN(Registro!$G280))),({1,2,3,4,5,6,7,8,9,10,11,12,13,14,15,16,17,18,19,20,21,22,23,24,25,26,27,28,29,30}-1)*LEN(Registro!$G280)+1,LEN(Registro!$G280))),FIND("x",TRIM(MID(SUBSTITUTE(SUBSTITUTE(SUBSTITUTE(SUBSTITUTE(SUBSTITUTE(LOWER(Registro!$G280),"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",LEN(Registro!$G280))),({1,2,3,4,5,6,7,8,9,10,11,12,13,14,15,16,17,18,19,20,21,22,23,24,25,26,27,28,29,30}-1)*LEN(Registro!$G280)+1,LEN(Registro!$G280)))&amp;"x")-1))),"Revisar formato")))</f>
        <v/>
      </c>
      <c r="I280" s="11" t="str">
        <f>IF(Registro!$G280="","",IF(ISERROR(FIND("x",LOWER(Registro!$G280))),N(Registro!$H280),IFERROR(SUMPRODUCT(--("0"&amp;LEFT(TRIM(MID(SUBSTITUTE(SUBSTITUTE(SUBSTITUTE(SUBSTITUTE(SUBSTITUTE(LOWER(Registro!$G280),"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",LEN(Registro!$G280))),({1,2,3,4,5,6,7,8,9,10,11,12,13,14,15,16,17,18,19,20,21,22,23,24,25,26,27,28,29,30}-1)*LEN(Registro!$G280)+1,LEN(Registro!$G280))),FIND("x",TRIM(MID(SUBSTITUTE(SUBSTITUTE(SUBSTITUTE(SUBSTITUTE(SUBSTITUTE(LOWER(Registro!$G280),"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",LEN(Registro!$G280))),({1,2,3,4,5,6,7,8,9,10,11,12,13,14,15,16,17,18,19,20,21,22,23,24,25,26,27,28,29,30}-1)*LEN(Registro!$G280)+1,LEN(Registro!$G280)))&amp;"x")-1)),--("0"&amp;MID(TRIM(MID(SUBSTITUTE(SUBSTITUTE(SUBSTITUTE(SUBSTITUTE(SUBSTITUTE(LOWER(Registro!$G280),"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",LEN(Registro!$G280))),({1,2,3,4,5,6,7,8,9,10,11,12,13,14,15,16,17,18,19,20,21,22,23,24,25,26,27,28,29,30}-1)*LEN(Registro!$G280)+1,LEN(Registro!$G280))),FIND("x",TRIM(MID(SUBSTITUTE(SUBSTITUTE(SUBSTITUTE(SUBSTITUTE(SUBSTITUTE(LOWER(Registro!$G280),"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",LEN(Registro!$G280))),({1,2,3,4,5,6,7,8,9,10,11,12,13,14,15,16,17,18,19,20,21,22,23,24,25,26,27,28,29,30}-1)*LEN(Registro!$G280)+1,LEN(Registro!$G280)))&amp;"x")+1,20))),"Revisar formato")))</f>
        <v/>
      </c>
      <c r="J280" s="9" t="str">
        <f>IF(AND(Registro!$E280="",Registro!$G280=""),"",IF(NOT(AND(ISNUMBER(I280),ISNUMBER(Registro!$H280))),"",IF(I280&lt;Registro!$H280,"FALTA BOLETOS",IF(I280=Registro!$H280,"CONFORME","DIFERENCIA"))))</f>
        <v/>
      </c>
      <c r="K280" s="11" t="str">
        <f>IF(Registro!$I280="","",IFERROR(SUMPRODUCT(--("0"&amp;TRIM(RIGHT(SUBSTITUTE(TRIM(MID(SUBSTITUTE(SUBSTITUTE(Registro!$I280,";",CHAR(10)),CHAR(10),REPT(" ",LEN(Registro!$I280))),({1,2,3,4,5,6,7,8,9,10,11,12,13,14,15,16,17,18,19,20,21,22,23,24,25,26,27,28,29,30}-1)*LEN(Registro!$I280)+1,LEN(Registro!$I280)))," ",REPT(" ",50)),50)))),"Revisar formato"))</f>
        <v/>
      </c>
      <c r="L280" s="11" t="str">
        <f>IF(Registro!$J280="","",IFERROR(SUMPRODUCT(--("0"&amp;TRIM(RIGHT(SUBSTITUTE(TRIM(MID(SUBSTITUTE(SUBSTITUTE(Registro!$J280,";",CHAR(10)),CHAR(10),REPT(" ",LEN(Registro!$J280))),({1,2,3,4,5,6,7,8,9,10,11,12,13,14,15,16,17,18,19,20,21,22,23,24,25,26,27,28,29,30}-1)*LEN(Registro!$J280)+1,LEN(Registro!$J280)))," ",REPT(" ",50)),50)))),"Revisar formato"))</f>
        <v/>
      </c>
      <c r="M280" s="11" t="str">
        <f>IF(AND(Registro!$H280="",Registro!$I280=""),"",IF(AND(ISTEXT(K280),K280&lt;&gt;""),"Revisar formato",N(Registro!$H280)-N(K280)))</f>
        <v/>
      </c>
      <c r="N280" s="11" t="str">
        <f t="shared" si="14"/>
        <v/>
      </c>
      <c r="O280" s="15" t="str">
        <f>IF(AND(A280=Consulta!$B$3,C280=Consulta!$H$3),B280*10000+ROW(),"")</f>
        <v/>
      </c>
    </row>
    <row r="281" spans="1:15" x14ac:dyDescent="0.25">
      <c r="A281" s="9" t="str">
        <f>IF(Registro!$A281="","",Registro!$A281)</f>
        <v/>
      </c>
      <c r="B281" s="8" t="str">
        <f>IF(Registro!$B281="","",Registro!$B281)</f>
        <v/>
      </c>
      <c r="C281" s="14" t="str">
        <f t="shared" si="12"/>
        <v/>
      </c>
      <c r="D281" s="10" t="str">
        <f>IF(Registro!$E281="","",IF(ISERROR(FIND("x",LOWER(Registro!$E281))),"-",IFERROR(SUMPRODUCT(--("0"&amp;LEFT(TRIM(MID(SUBSTITUTE(SUBSTITUTE(SUBSTITUTE(SUBSTITUTE(SUBSTITUTE(LOWER(Registro!$E281),"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",LEN(Registro!$E281))),({1,2,3,4,5,6,7,8,9,10,11,12,13,14,15,16,17,18,19,20,21,22,23,24,25,26,27,28,29,30}-1)*LEN(Registro!$E281)+1,LEN(Registro!$E281)))&amp;"x")-1))),"Revisar formato")))</f>
        <v/>
      </c>
      <c r="E281" s="11" t="str">
        <f>IF(Registro!$E281="","",IF(ISERROR(FIND("x",LOWER(Registro!$E281))),"-",IFERROR(SUMPRODUCT(--("0"&amp;LEFT(TRIM(MID(SUBSTITUTE(SUBSTITUTE(SUBSTITUTE(SUBSTITUTE(SUBSTITUTE(LOWER(Registro!$E281),"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",LEN(Registro!$E281))),({1,2,3,4,5,6,7,8,9,10,11,12,13,14,15,16,17,18,19,20,21,22,23,24,25,26,27,28,29,30}-1)*LEN(Registro!$E281)+1,LEN(Registro!$E281)))&amp;"x")-1)),--("0"&amp;MID(TRIM(MID(SUBSTITUTE(SUBSTITUTE(SUBSTITUTE(SUBSTITUTE(SUBSTITUTE(LOWER(Registro!$E281),"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",LEN(Registro!$E281))),({1,2,3,4,5,6,7,8,9,10,11,12,13,14,15,16,17,18,19,20,21,22,23,24,25,26,27,28,29,30}-1)*LEN(Registro!$E281)+1,LEN(Registro!$E281)))&amp;"x")+1,20))),"Revisar formato")))</f>
        <v/>
      </c>
      <c r="F281" s="11" t="str">
        <f>IF(Registro!$F281="","",N(Registro!$F281))</f>
        <v/>
      </c>
      <c r="G281" s="11" t="str">
        <f t="shared" si="13"/>
        <v/>
      </c>
      <c r="H281" s="10" t="str">
        <f>IF(Registro!$G281="","",IF(ISERROR(FIND("x",LOWER(Registro!$G281))),"-",IFERROR(SUMPRODUCT(--("0"&amp;LEFT(TRIM(MID(SUBSTITUTE(SUBSTITUTE(SUBSTITUTE(SUBSTITUTE(SUBSTITUTE(LOWER(Registro!$G281),"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",LEN(Registro!$G281))),({1,2,3,4,5,6,7,8,9,10,11,12,13,14,15,16,17,18,19,20,21,22,23,24,25,26,27,28,29,30}-1)*LEN(Registro!$G281)+1,LEN(Registro!$G281))),FIND("x",TRIM(MID(SUBSTITUTE(SUBSTITUTE(SUBSTITUTE(SUBSTITUTE(SUBSTITUTE(LOWER(Registro!$G281),"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",LEN(Registro!$G281))),({1,2,3,4,5,6,7,8,9,10,11,12,13,14,15,16,17,18,19,20,21,22,23,24,25,26,27,28,29,30}-1)*LEN(Registro!$G281)+1,LEN(Registro!$G281)))&amp;"x")-1))),"Revisar formato")))</f>
        <v/>
      </c>
      <c r="I281" s="11" t="str">
        <f>IF(Registro!$G281="","",IF(ISERROR(FIND("x",LOWER(Registro!$G281))),N(Registro!$H281),IFERROR(SUMPRODUCT(--("0"&amp;LEFT(TRIM(MID(SUBSTITUTE(SUBSTITUTE(SUBSTITUTE(SUBSTITUTE(SUBSTITUTE(LOWER(Registro!$G281),"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",LEN(Registro!$G281))),({1,2,3,4,5,6,7,8,9,10,11,12,13,14,15,16,17,18,19,20,21,22,23,24,25,26,27,28,29,30}-1)*LEN(Registro!$G281)+1,LEN(Registro!$G281))),FIND("x",TRIM(MID(SUBSTITUTE(SUBSTITUTE(SUBSTITUTE(SUBSTITUTE(SUBSTITUTE(LOWER(Registro!$G281),"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",LEN(Registro!$G281))),({1,2,3,4,5,6,7,8,9,10,11,12,13,14,15,16,17,18,19,20,21,22,23,24,25,26,27,28,29,30}-1)*LEN(Registro!$G281)+1,LEN(Registro!$G281)))&amp;"x")-1)),--("0"&amp;MID(TRIM(MID(SUBSTITUTE(SUBSTITUTE(SUBSTITUTE(SUBSTITUTE(SUBSTITUTE(LOWER(Registro!$G281),"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",LEN(Registro!$G281))),({1,2,3,4,5,6,7,8,9,10,11,12,13,14,15,16,17,18,19,20,21,22,23,24,25,26,27,28,29,30}-1)*LEN(Registro!$G281)+1,LEN(Registro!$G281))),FIND("x",TRIM(MID(SUBSTITUTE(SUBSTITUTE(SUBSTITUTE(SUBSTITUTE(SUBSTITUTE(LOWER(Registro!$G281),"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",LEN(Registro!$G281))),({1,2,3,4,5,6,7,8,9,10,11,12,13,14,15,16,17,18,19,20,21,22,23,24,25,26,27,28,29,30}-1)*LEN(Registro!$G281)+1,LEN(Registro!$G281)))&amp;"x")+1,20))),"Revisar formato")))</f>
        <v/>
      </c>
      <c r="J281" s="9" t="str">
        <f>IF(AND(Registro!$E281="",Registro!$G281=""),"",IF(NOT(AND(ISNUMBER(I281),ISNUMBER(Registro!$H281))),"",IF(I281&lt;Registro!$H281,"FALTA BOLETOS",IF(I281=Registro!$H281,"CONFORME","DIFERENCIA"))))</f>
        <v/>
      </c>
      <c r="K281" s="11" t="str">
        <f>IF(Registro!$I281="","",IFERROR(SUMPRODUCT(--("0"&amp;TRIM(RIGHT(SUBSTITUTE(TRIM(MID(SUBSTITUTE(SUBSTITUTE(Registro!$I281,";",CHAR(10)),CHAR(10),REPT(" ",LEN(Registro!$I281))),({1,2,3,4,5,6,7,8,9,10,11,12,13,14,15,16,17,18,19,20,21,22,23,24,25,26,27,28,29,30}-1)*LEN(Registro!$I281)+1,LEN(Registro!$I281)))," ",REPT(" ",50)),50)))),"Revisar formato"))</f>
        <v/>
      </c>
      <c r="L281" s="11" t="str">
        <f>IF(Registro!$J281="","",IFERROR(SUMPRODUCT(--("0"&amp;TRIM(RIGHT(SUBSTITUTE(TRIM(MID(SUBSTITUTE(SUBSTITUTE(Registro!$J281,";",CHAR(10)),CHAR(10),REPT(" ",LEN(Registro!$J281))),({1,2,3,4,5,6,7,8,9,10,11,12,13,14,15,16,17,18,19,20,21,22,23,24,25,26,27,28,29,30}-1)*LEN(Registro!$J281)+1,LEN(Registro!$J281)))," ",REPT(" ",50)),50)))),"Revisar formato"))</f>
        <v/>
      </c>
      <c r="M281" s="11" t="str">
        <f>IF(AND(Registro!$H281="",Registro!$I281=""),"",IF(AND(ISTEXT(K281),K281&lt;&gt;""),"Revisar formato",N(Registro!$H281)-N(K281)))</f>
        <v/>
      </c>
      <c r="N281" s="11" t="str">
        <f t="shared" si="14"/>
        <v/>
      </c>
      <c r="O281" s="15" t="str">
        <f>IF(AND(A281=Consulta!$B$3,C281=Consulta!$H$3),B281*10000+ROW(),"")</f>
        <v/>
      </c>
    </row>
    <row r="282" spans="1:15" x14ac:dyDescent="0.25">
      <c r="A282" s="9" t="str">
        <f>IF(Registro!$A282="","",Registro!$A282)</f>
        <v/>
      </c>
      <c r="B282" s="8" t="str">
        <f>IF(Registro!$B282="","",Registro!$B282)</f>
        <v/>
      </c>
      <c r="C282" s="14" t="str">
        <f t="shared" si="12"/>
        <v/>
      </c>
      <c r="D282" s="10" t="str">
        <f>IF(Registro!$E282="","",IF(ISERROR(FIND("x",LOWER(Registro!$E282))),"-",IFERROR(SUMPRODUCT(--("0"&amp;LEFT(TRIM(MID(SUBSTITUTE(SUBSTITUTE(SUBSTITUTE(SUBSTITUTE(SUBSTITUTE(LOWER(Registro!$E282),"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",LEN(Registro!$E282))),({1,2,3,4,5,6,7,8,9,10,11,12,13,14,15,16,17,18,19,20,21,22,23,24,25,26,27,28,29,30}-1)*LEN(Registro!$E282)+1,LEN(Registro!$E282)))&amp;"x")-1))),"Revisar formato")))</f>
        <v/>
      </c>
      <c r="E282" s="11" t="str">
        <f>IF(Registro!$E282="","",IF(ISERROR(FIND("x",LOWER(Registro!$E282))),"-",IFERROR(SUMPRODUCT(--("0"&amp;LEFT(TRIM(MID(SUBSTITUTE(SUBSTITUTE(SUBSTITUTE(SUBSTITUTE(SUBSTITUTE(LOWER(Registro!$E282),"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",LEN(Registro!$E282))),({1,2,3,4,5,6,7,8,9,10,11,12,13,14,15,16,17,18,19,20,21,22,23,24,25,26,27,28,29,30}-1)*LEN(Registro!$E282)+1,LEN(Registro!$E282)))&amp;"x")-1)),--("0"&amp;MID(TRIM(MID(SUBSTITUTE(SUBSTITUTE(SUBSTITUTE(SUBSTITUTE(SUBSTITUTE(LOWER(Registro!$E282),"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",LEN(Registro!$E282))),({1,2,3,4,5,6,7,8,9,10,11,12,13,14,15,16,17,18,19,20,21,22,23,24,25,26,27,28,29,30}-1)*LEN(Registro!$E282)+1,LEN(Registro!$E282)))&amp;"x")+1,20))),"Revisar formato")))</f>
        <v/>
      </c>
      <c r="F282" s="11" t="str">
        <f>IF(Registro!$F282="","",N(Registro!$F282))</f>
        <v/>
      </c>
      <c r="G282" s="11" t="str">
        <f t="shared" si="13"/>
        <v/>
      </c>
      <c r="H282" s="10" t="str">
        <f>IF(Registro!$G282="","",IF(ISERROR(FIND("x",LOWER(Registro!$G282))),"-",IFERROR(SUMPRODUCT(--("0"&amp;LEFT(TRIM(MID(SUBSTITUTE(SUBSTITUTE(SUBSTITUTE(SUBSTITUTE(SUBSTITUTE(LOWER(Registro!$G282),"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",LEN(Registro!$G282))),({1,2,3,4,5,6,7,8,9,10,11,12,13,14,15,16,17,18,19,20,21,22,23,24,25,26,27,28,29,30}-1)*LEN(Registro!$G282)+1,LEN(Registro!$G282))),FIND("x",TRIM(MID(SUBSTITUTE(SUBSTITUTE(SUBSTITUTE(SUBSTITUTE(SUBSTITUTE(LOWER(Registro!$G282),"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",LEN(Registro!$G282))),({1,2,3,4,5,6,7,8,9,10,11,12,13,14,15,16,17,18,19,20,21,22,23,24,25,26,27,28,29,30}-1)*LEN(Registro!$G282)+1,LEN(Registro!$G282)))&amp;"x")-1))),"Revisar formato")))</f>
        <v/>
      </c>
      <c r="I282" s="11" t="str">
        <f>IF(Registro!$G282="","",IF(ISERROR(FIND("x",LOWER(Registro!$G282))),N(Registro!$H282),IFERROR(SUMPRODUCT(--("0"&amp;LEFT(TRIM(MID(SUBSTITUTE(SUBSTITUTE(SUBSTITUTE(SUBSTITUTE(SUBSTITUTE(LOWER(Registro!$G282),"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",LEN(Registro!$G282))),({1,2,3,4,5,6,7,8,9,10,11,12,13,14,15,16,17,18,19,20,21,22,23,24,25,26,27,28,29,30}-1)*LEN(Registro!$G282)+1,LEN(Registro!$G282))),FIND("x",TRIM(MID(SUBSTITUTE(SUBSTITUTE(SUBSTITUTE(SUBSTITUTE(SUBSTITUTE(LOWER(Registro!$G282),"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",LEN(Registro!$G282))),({1,2,3,4,5,6,7,8,9,10,11,12,13,14,15,16,17,18,19,20,21,22,23,24,25,26,27,28,29,30}-1)*LEN(Registro!$G282)+1,LEN(Registro!$G282)))&amp;"x")-1)),--("0"&amp;MID(TRIM(MID(SUBSTITUTE(SUBSTITUTE(SUBSTITUTE(SUBSTITUTE(SUBSTITUTE(LOWER(Registro!$G282),"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",LEN(Registro!$G282))),({1,2,3,4,5,6,7,8,9,10,11,12,13,14,15,16,17,18,19,20,21,22,23,24,25,26,27,28,29,30}-1)*LEN(Registro!$G282)+1,LEN(Registro!$G282))),FIND("x",TRIM(MID(SUBSTITUTE(SUBSTITUTE(SUBSTITUTE(SUBSTITUTE(SUBSTITUTE(LOWER(Registro!$G282),"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",LEN(Registro!$G282))),({1,2,3,4,5,6,7,8,9,10,11,12,13,14,15,16,17,18,19,20,21,22,23,24,25,26,27,28,29,30}-1)*LEN(Registro!$G282)+1,LEN(Registro!$G282)))&amp;"x")+1,20))),"Revisar formato")))</f>
        <v/>
      </c>
      <c r="J282" s="9" t="str">
        <f>IF(AND(Registro!$E282="",Registro!$G282=""),"",IF(NOT(AND(ISNUMBER(I282),ISNUMBER(Registro!$H282))),"",IF(I282&lt;Registro!$H282,"FALTA BOLETOS",IF(I282=Registro!$H282,"CONFORME","DIFERENCIA"))))</f>
        <v/>
      </c>
      <c r="K282" s="11" t="str">
        <f>IF(Registro!$I282="","",IFERROR(SUMPRODUCT(--("0"&amp;TRIM(RIGHT(SUBSTITUTE(TRIM(MID(SUBSTITUTE(SUBSTITUTE(Registro!$I282,";",CHAR(10)),CHAR(10),REPT(" ",LEN(Registro!$I282))),({1,2,3,4,5,6,7,8,9,10,11,12,13,14,15,16,17,18,19,20,21,22,23,24,25,26,27,28,29,30}-1)*LEN(Registro!$I282)+1,LEN(Registro!$I282)))," ",REPT(" ",50)),50)))),"Revisar formato"))</f>
        <v/>
      </c>
      <c r="L282" s="11" t="str">
        <f>IF(Registro!$J282="","",IFERROR(SUMPRODUCT(--("0"&amp;TRIM(RIGHT(SUBSTITUTE(TRIM(MID(SUBSTITUTE(SUBSTITUTE(Registro!$J282,";",CHAR(10)),CHAR(10),REPT(" ",LEN(Registro!$J282))),({1,2,3,4,5,6,7,8,9,10,11,12,13,14,15,16,17,18,19,20,21,22,23,24,25,26,27,28,29,30}-1)*LEN(Registro!$J282)+1,LEN(Registro!$J282)))," ",REPT(" ",50)),50)))),"Revisar formato"))</f>
        <v/>
      </c>
      <c r="M282" s="11" t="str">
        <f>IF(AND(Registro!$H282="",Registro!$I282=""),"",IF(AND(ISTEXT(K282),K282&lt;&gt;""),"Revisar formato",N(Registro!$H282)-N(K282)))</f>
        <v/>
      </c>
      <c r="N282" s="11" t="str">
        <f t="shared" si="14"/>
        <v/>
      </c>
      <c r="O282" s="15" t="str">
        <f>IF(AND(A282=Consulta!$B$3,C282=Consulta!$H$3),B282*10000+ROW(),"")</f>
        <v/>
      </c>
    </row>
    <row r="283" spans="1:15" x14ac:dyDescent="0.25">
      <c r="A283" s="9" t="str">
        <f>IF(Registro!$A283="","",Registro!$A283)</f>
        <v/>
      </c>
      <c r="B283" s="8" t="str">
        <f>IF(Registro!$B283="","",Registro!$B283)</f>
        <v/>
      </c>
      <c r="C283" s="14" t="str">
        <f t="shared" si="12"/>
        <v/>
      </c>
      <c r="D283" s="10" t="str">
        <f>IF(Registro!$E283="","",IF(ISERROR(FIND("x",LOWER(Registro!$E283))),"-",IFERROR(SUMPRODUCT(--("0"&amp;LEFT(TRIM(MID(SUBSTITUTE(SUBSTITUTE(SUBSTITUTE(SUBSTITUTE(SUBSTITUTE(LOWER(Registro!$E283),"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",LEN(Registro!$E283))),({1,2,3,4,5,6,7,8,9,10,11,12,13,14,15,16,17,18,19,20,21,22,23,24,25,26,27,28,29,30}-1)*LEN(Registro!$E283)+1,LEN(Registro!$E283)))&amp;"x")-1))),"Revisar formato")))</f>
        <v/>
      </c>
      <c r="E283" s="11" t="str">
        <f>IF(Registro!$E283="","",IF(ISERROR(FIND("x",LOWER(Registro!$E283))),"-",IFERROR(SUMPRODUCT(--("0"&amp;LEFT(TRIM(MID(SUBSTITUTE(SUBSTITUTE(SUBSTITUTE(SUBSTITUTE(SUBSTITUTE(LOWER(Registro!$E283),"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",LEN(Registro!$E283))),({1,2,3,4,5,6,7,8,9,10,11,12,13,14,15,16,17,18,19,20,21,22,23,24,25,26,27,28,29,30}-1)*LEN(Registro!$E283)+1,LEN(Registro!$E283)))&amp;"x")-1)),--("0"&amp;MID(TRIM(MID(SUBSTITUTE(SUBSTITUTE(SUBSTITUTE(SUBSTITUTE(SUBSTITUTE(LOWER(Registro!$E283),"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",LEN(Registro!$E283))),({1,2,3,4,5,6,7,8,9,10,11,12,13,14,15,16,17,18,19,20,21,22,23,24,25,26,27,28,29,30}-1)*LEN(Registro!$E283)+1,LEN(Registro!$E283)))&amp;"x")+1,20))),"Revisar formato")))</f>
        <v/>
      </c>
      <c r="F283" s="11" t="str">
        <f>IF(Registro!$F283="","",N(Registro!$F283))</f>
        <v/>
      </c>
      <c r="G283" s="11" t="str">
        <f t="shared" si="13"/>
        <v/>
      </c>
      <c r="H283" s="10" t="str">
        <f>IF(Registro!$G283="","",IF(ISERROR(FIND("x",LOWER(Registro!$G283))),"-",IFERROR(SUMPRODUCT(--("0"&amp;LEFT(TRIM(MID(SUBSTITUTE(SUBSTITUTE(SUBSTITUTE(SUBSTITUTE(SUBSTITUTE(LOWER(Registro!$G283),"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",LEN(Registro!$G283))),({1,2,3,4,5,6,7,8,9,10,11,12,13,14,15,16,17,18,19,20,21,22,23,24,25,26,27,28,29,30}-1)*LEN(Registro!$G283)+1,LEN(Registro!$G283))),FIND("x",TRIM(MID(SUBSTITUTE(SUBSTITUTE(SUBSTITUTE(SUBSTITUTE(SUBSTITUTE(LOWER(Registro!$G283),"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",LEN(Registro!$G283))),({1,2,3,4,5,6,7,8,9,10,11,12,13,14,15,16,17,18,19,20,21,22,23,24,25,26,27,28,29,30}-1)*LEN(Registro!$G283)+1,LEN(Registro!$G283)))&amp;"x")-1))),"Revisar formato")))</f>
        <v/>
      </c>
      <c r="I283" s="11" t="str">
        <f>IF(Registro!$G283="","",IF(ISERROR(FIND("x",LOWER(Registro!$G283))),N(Registro!$H283),IFERROR(SUMPRODUCT(--("0"&amp;LEFT(TRIM(MID(SUBSTITUTE(SUBSTITUTE(SUBSTITUTE(SUBSTITUTE(SUBSTITUTE(LOWER(Registro!$G283),"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",LEN(Registro!$G283))),({1,2,3,4,5,6,7,8,9,10,11,12,13,14,15,16,17,18,19,20,21,22,23,24,25,26,27,28,29,30}-1)*LEN(Registro!$G283)+1,LEN(Registro!$G283))),FIND("x",TRIM(MID(SUBSTITUTE(SUBSTITUTE(SUBSTITUTE(SUBSTITUTE(SUBSTITUTE(LOWER(Registro!$G283),"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",LEN(Registro!$G283))),({1,2,3,4,5,6,7,8,9,10,11,12,13,14,15,16,17,18,19,20,21,22,23,24,25,26,27,28,29,30}-1)*LEN(Registro!$G283)+1,LEN(Registro!$G283)))&amp;"x")-1)),--("0"&amp;MID(TRIM(MID(SUBSTITUTE(SUBSTITUTE(SUBSTITUTE(SUBSTITUTE(SUBSTITUTE(LOWER(Registro!$G283),"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",LEN(Registro!$G283))),({1,2,3,4,5,6,7,8,9,10,11,12,13,14,15,16,17,18,19,20,21,22,23,24,25,26,27,28,29,30}-1)*LEN(Registro!$G283)+1,LEN(Registro!$G283))),FIND("x",TRIM(MID(SUBSTITUTE(SUBSTITUTE(SUBSTITUTE(SUBSTITUTE(SUBSTITUTE(LOWER(Registro!$G283),"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",LEN(Registro!$G283))),({1,2,3,4,5,6,7,8,9,10,11,12,13,14,15,16,17,18,19,20,21,22,23,24,25,26,27,28,29,30}-1)*LEN(Registro!$G283)+1,LEN(Registro!$G283)))&amp;"x")+1,20))),"Revisar formato")))</f>
        <v/>
      </c>
      <c r="J283" s="9" t="str">
        <f>IF(AND(Registro!$E283="",Registro!$G283=""),"",IF(NOT(AND(ISNUMBER(I283),ISNUMBER(Registro!$H283))),"",IF(I283&lt;Registro!$H283,"FALTA BOLETOS",IF(I283=Registro!$H283,"CONFORME","DIFERENCIA"))))</f>
        <v/>
      </c>
      <c r="K283" s="11" t="str">
        <f>IF(Registro!$I283="","",IFERROR(SUMPRODUCT(--("0"&amp;TRIM(RIGHT(SUBSTITUTE(TRIM(MID(SUBSTITUTE(SUBSTITUTE(Registro!$I283,";",CHAR(10)),CHAR(10),REPT(" ",LEN(Registro!$I283))),({1,2,3,4,5,6,7,8,9,10,11,12,13,14,15,16,17,18,19,20,21,22,23,24,25,26,27,28,29,30}-1)*LEN(Registro!$I283)+1,LEN(Registro!$I283)))," ",REPT(" ",50)),50)))),"Revisar formato"))</f>
        <v/>
      </c>
      <c r="L283" s="11" t="str">
        <f>IF(Registro!$J283="","",IFERROR(SUMPRODUCT(--("0"&amp;TRIM(RIGHT(SUBSTITUTE(TRIM(MID(SUBSTITUTE(SUBSTITUTE(Registro!$J283,";",CHAR(10)),CHAR(10),REPT(" ",LEN(Registro!$J283))),({1,2,3,4,5,6,7,8,9,10,11,12,13,14,15,16,17,18,19,20,21,22,23,24,25,26,27,28,29,30}-1)*LEN(Registro!$J283)+1,LEN(Registro!$J283)))," ",REPT(" ",50)),50)))),"Revisar formato"))</f>
        <v/>
      </c>
      <c r="M283" s="11" t="str">
        <f>IF(AND(Registro!$H283="",Registro!$I283=""),"",IF(AND(ISTEXT(K283),K283&lt;&gt;""),"Revisar formato",N(Registro!$H283)-N(K283)))</f>
        <v/>
      </c>
      <c r="N283" s="11" t="str">
        <f t="shared" si="14"/>
        <v/>
      </c>
      <c r="O283" s="15" t="str">
        <f>IF(AND(A283=Consulta!$B$3,C283=Consulta!$H$3),B283*10000+ROW(),"")</f>
        <v/>
      </c>
    </row>
    <row r="284" spans="1:15" x14ac:dyDescent="0.25">
      <c r="A284" s="9" t="str">
        <f>IF(Registro!$A284="","",Registro!$A284)</f>
        <v/>
      </c>
      <c r="B284" s="8" t="str">
        <f>IF(Registro!$B284="","",Registro!$B284)</f>
        <v/>
      </c>
      <c r="C284" s="14" t="str">
        <f t="shared" si="12"/>
        <v/>
      </c>
      <c r="D284" s="10" t="str">
        <f>IF(Registro!$E284="","",IF(ISERROR(FIND("x",LOWER(Registro!$E284))),"-",IFERROR(SUMPRODUCT(--("0"&amp;LEFT(TRIM(MID(SUBSTITUTE(SUBSTITUTE(SUBSTITUTE(SUBSTITUTE(SUBSTITUTE(LOWER(Registro!$E284),"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",LEN(Registro!$E284))),({1,2,3,4,5,6,7,8,9,10,11,12,13,14,15,16,17,18,19,20,21,22,23,24,25,26,27,28,29,30}-1)*LEN(Registro!$E284)+1,LEN(Registro!$E284)))&amp;"x")-1))),"Revisar formato")))</f>
        <v/>
      </c>
      <c r="E284" s="11" t="str">
        <f>IF(Registro!$E284="","",IF(ISERROR(FIND("x",LOWER(Registro!$E284))),"-",IFERROR(SUMPRODUCT(--("0"&amp;LEFT(TRIM(MID(SUBSTITUTE(SUBSTITUTE(SUBSTITUTE(SUBSTITUTE(SUBSTITUTE(LOWER(Registro!$E284),"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",LEN(Registro!$E284))),({1,2,3,4,5,6,7,8,9,10,11,12,13,14,15,16,17,18,19,20,21,22,23,24,25,26,27,28,29,30}-1)*LEN(Registro!$E284)+1,LEN(Registro!$E284)))&amp;"x")-1)),--("0"&amp;MID(TRIM(MID(SUBSTITUTE(SUBSTITUTE(SUBSTITUTE(SUBSTITUTE(SUBSTITUTE(LOWER(Registro!$E284),"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",LEN(Registro!$E284))),({1,2,3,4,5,6,7,8,9,10,11,12,13,14,15,16,17,18,19,20,21,22,23,24,25,26,27,28,29,30}-1)*LEN(Registro!$E284)+1,LEN(Registro!$E284)))&amp;"x")+1,20))),"Revisar formato")))</f>
        <v/>
      </c>
      <c r="F284" s="11" t="str">
        <f>IF(Registro!$F284="","",N(Registro!$F284))</f>
        <v/>
      </c>
      <c r="G284" s="11" t="str">
        <f t="shared" si="13"/>
        <v/>
      </c>
      <c r="H284" s="10" t="str">
        <f>IF(Registro!$G284="","",IF(ISERROR(FIND("x",LOWER(Registro!$G284))),"-",IFERROR(SUMPRODUCT(--("0"&amp;LEFT(TRIM(MID(SUBSTITUTE(SUBSTITUTE(SUBSTITUTE(SUBSTITUTE(SUBSTITUTE(LOWER(Registro!$G284),"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",LEN(Registro!$G284))),({1,2,3,4,5,6,7,8,9,10,11,12,13,14,15,16,17,18,19,20,21,22,23,24,25,26,27,28,29,30}-1)*LEN(Registro!$G284)+1,LEN(Registro!$G284))),FIND("x",TRIM(MID(SUBSTITUTE(SUBSTITUTE(SUBSTITUTE(SUBSTITUTE(SUBSTITUTE(LOWER(Registro!$G284),"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",LEN(Registro!$G284))),({1,2,3,4,5,6,7,8,9,10,11,12,13,14,15,16,17,18,19,20,21,22,23,24,25,26,27,28,29,30}-1)*LEN(Registro!$G284)+1,LEN(Registro!$G284)))&amp;"x")-1))),"Revisar formato")))</f>
        <v/>
      </c>
      <c r="I284" s="11" t="str">
        <f>IF(Registro!$G284="","",IF(ISERROR(FIND("x",LOWER(Registro!$G284))),N(Registro!$H284),IFERROR(SUMPRODUCT(--("0"&amp;LEFT(TRIM(MID(SUBSTITUTE(SUBSTITUTE(SUBSTITUTE(SUBSTITUTE(SUBSTITUTE(LOWER(Registro!$G284),"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",LEN(Registro!$G284))),({1,2,3,4,5,6,7,8,9,10,11,12,13,14,15,16,17,18,19,20,21,22,23,24,25,26,27,28,29,30}-1)*LEN(Registro!$G284)+1,LEN(Registro!$G284))),FIND("x",TRIM(MID(SUBSTITUTE(SUBSTITUTE(SUBSTITUTE(SUBSTITUTE(SUBSTITUTE(LOWER(Registro!$G284),"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",LEN(Registro!$G284))),({1,2,3,4,5,6,7,8,9,10,11,12,13,14,15,16,17,18,19,20,21,22,23,24,25,26,27,28,29,30}-1)*LEN(Registro!$G284)+1,LEN(Registro!$G284)))&amp;"x")-1)),--("0"&amp;MID(TRIM(MID(SUBSTITUTE(SUBSTITUTE(SUBSTITUTE(SUBSTITUTE(SUBSTITUTE(LOWER(Registro!$G284),"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",LEN(Registro!$G284))),({1,2,3,4,5,6,7,8,9,10,11,12,13,14,15,16,17,18,19,20,21,22,23,24,25,26,27,28,29,30}-1)*LEN(Registro!$G284)+1,LEN(Registro!$G284))),FIND("x",TRIM(MID(SUBSTITUTE(SUBSTITUTE(SUBSTITUTE(SUBSTITUTE(SUBSTITUTE(LOWER(Registro!$G284),"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",LEN(Registro!$G284))),({1,2,3,4,5,6,7,8,9,10,11,12,13,14,15,16,17,18,19,20,21,22,23,24,25,26,27,28,29,30}-1)*LEN(Registro!$G284)+1,LEN(Registro!$G284)))&amp;"x")+1,20))),"Revisar formato")))</f>
        <v/>
      </c>
      <c r="J284" s="9" t="str">
        <f>IF(AND(Registro!$E284="",Registro!$G284=""),"",IF(NOT(AND(ISNUMBER(I284),ISNUMBER(Registro!$H284))),"",IF(I284&lt;Registro!$H284,"FALTA BOLETOS",IF(I284=Registro!$H284,"CONFORME","DIFERENCIA"))))</f>
        <v/>
      </c>
      <c r="K284" s="11" t="str">
        <f>IF(Registro!$I284="","",IFERROR(SUMPRODUCT(--("0"&amp;TRIM(RIGHT(SUBSTITUTE(TRIM(MID(SUBSTITUTE(SUBSTITUTE(Registro!$I284,";",CHAR(10)),CHAR(10),REPT(" ",LEN(Registro!$I284))),({1,2,3,4,5,6,7,8,9,10,11,12,13,14,15,16,17,18,19,20,21,22,23,24,25,26,27,28,29,30}-1)*LEN(Registro!$I284)+1,LEN(Registro!$I284)))," ",REPT(" ",50)),50)))),"Revisar formato"))</f>
        <v/>
      </c>
      <c r="L284" s="11" t="str">
        <f>IF(Registro!$J284="","",IFERROR(SUMPRODUCT(--("0"&amp;TRIM(RIGHT(SUBSTITUTE(TRIM(MID(SUBSTITUTE(SUBSTITUTE(Registro!$J284,";",CHAR(10)),CHAR(10),REPT(" ",LEN(Registro!$J284))),({1,2,3,4,5,6,7,8,9,10,11,12,13,14,15,16,17,18,19,20,21,22,23,24,25,26,27,28,29,30}-1)*LEN(Registro!$J284)+1,LEN(Registro!$J284)))," ",REPT(" ",50)),50)))),"Revisar formato"))</f>
        <v/>
      </c>
      <c r="M284" s="11" t="str">
        <f>IF(AND(Registro!$H284="",Registro!$I284=""),"",IF(AND(ISTEXT(K284),K284&lt;&gt;""),"Revisar formato",N(Registro!$H284)-N(K284)))</f>
        <v/>
      </c>
      <c r="N284" s="11" t="str">
        <f t="shared" si="14"/>
        <v/>
      </c>
      <c r="O284" s="15" t="str">
        <f>IF(AND(A284=Consulta!$B$3,C284=Consulta!$H$3),B284*10000+ROW(),"")</f>
        <v/>
      </c>
    </row>
    <row r="285" spans="1:15" x14ac:dyDescent="0.25">
      <c r="A285" s="9" t="str">
        <f>IF(Registro!$A285="","",Registro!$A285)</f>
        <v/>
      </c>
      <c r="B285" s="8" t="str">
        <f>IF(Registro!$B285="","",Registro!$B285)</f>
        <v/>
      </c>
      <c r="C285" s="14" t="str">
        <f t="shared" si="12"/>
        <v/>
      </c>
      <c r="D285" s="10" t="str">
        <f>IF(Registro!$E285="","",IF(ISERROR(FIND("x",LOWER(Registro!$E285))),"-",IFERROR(SUMPRODUCT(--("0"&amp;LEFT(TRIM(MID(SUBSTITUTE(SUBSTITUTE(SUBSTITUTE(SUBSTITUTE(SUBSTITUTE(LOWER(Registro!$E285),"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",LEN(Registro!$E285))),({1,2,3,4,5,6,7,8,9,10,11,12,13,14,15,16,17,18,19,20,21,22,23,24,25,26,27,28,29,30}-1)*LEN(Registro!$E285)+1,LEN(Registro!$E285)))&amp;"x")-1))),"Revisar formato")))</f>
        <v/>
      </c>
      <c r="E285" s="11" t="str">
        <f>IF(Registro!$E285="","",IF(ISERROR(FIND("x",LOWER(Registro!$E285))),"-",IFERROR(SUMPRODUCT(--("0"&amp;LEFT(TRIM(MID(SUBSTITUTE(SUBSTITUTE(SUBSTITUTE(SUBSTITUTE(SUBSTITUTE(LOWER(Registro!$E285),"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",LEN(Registro!$E285))),({1,2,3,4,5,6,7,8,9,10,11,12,13,14,15,16,17,18,19,20,21,22,23,24,25,26,27,28,29,30}-1)*LEN(Registro!$E285)+1,LEN(Registro!$E285)))&amp;"x")-1)),--("0"&amp;MID(TRIM(MID(SUBSTITUTE(SUBSTITUTE(SUBSTITUTE(SUBSTITUTE(SUBSTITUTE(LOWER(Registro!$E285),"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",LEN(Registro!$E285))),({1,2,3,4,5,6,7,8,9,10,11,12,13,14,15,16,17,18,19,20,21,22,23,24,25,26,27,28,29,30}-1)*LEN(Registro!$E285)+1,LEN(Registro!$E285)))&amp;"x")+1,20))),"Revisar formato")))</f>
        <v/>
      </c>
      <c r="F285" s="11" t="str">
        <f>IF(Registro!$F285="","",N(Registro!$F285))</f>
        <v/>
      </c>
      <c r="G285" s="11" t="str">
        <f t="shared" si="13"/>
        <v/>
      </c>
      <c r="H285" s="10" t="str">
        <f>IF(Registro!$G285="","",IF(ISERROR(FIND("x",LOWER(Registro!$G285))),"-",IFERROR(SUMPRODUCT(--("0"&amp;LEFT(TRIM(MID(SUBSTITUTE(SUBSTITUTE(SUBSTITUTE(SUBSTITUTE(SUBSTITUTE(LOWER(Registro!$G285),"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",LEN(Registro!$G285))),({1,2,3,4,5,6,7,8,9,10,11,12,13,14,15,16,17,18,19,20,21,22,23,24,25,26,27,28,29,30}-1)*LEN(Registro!$G285)+1,LEN(Registro!$G285))),FIND("x",TRIM(MID(SUBSTITUTE(SUBSTITUTE(SUBSTITUTE(SUBSTITUTE(SUBSTITUTE(LOWER(Registro!$G285),"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",LEN(Registro!$G285))),({1,2,3,4,5,6,7,8,9,10,11,12,13,14,15,16,17,18,19,20,21,22,23,24,25,26,27,28,29,30}-1)*LEN(Registro!$G285)+1,LEN(Registro!$G285)))&amp;"x")-1))),"Revisar formato")))</f>
        <v/>
      </c>
      <c r="I285" s="11" t="str">
        <f>IF(Registro!$G285="","",IF(ISERROR(FIND("x",LOWER(Registro!$G285))),N(Registro!$H285),IFERROR(SUMPRODUCT(--("0"&amp;LEFT(TRIM(MID(SUBSTITUTE(SUBSTITUTE(SUBSTITUTE(SUBSTITUTE(SUBSTITUTE(LOWER(Registro!$G285),"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",LEN(Registro!$G285))),({1,2,3,4,5,6,7,8,9,10,11,12,13,14,15,16,17,18,19,20,21,22,23,24,25,26,27,28,29,30}-1)*LEN(Registro!$G285)+1,LEN(Registro!$G285))),FIND("x",TRIM(MID(SUBSTITUTE(SUBSTITUTE(SUBSTITUTE(SUBSTITUTE(SUBSTITUTE(LOWER(Registro!$G285),"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",LEN(Registro!$G285))),({1,2,3,4,5,6,7,8,9,10,11,12,13,14,15,16,17,18,19,20,21,22,23,24,25,26,27,28,29,30}-1)*LEN(Registro!$G285)+1,LEN(Registro!$G285)))&amp;"x")-1)),--("0"&amp;MID(TRIM(MID(SUBSTITUTE(SUBSTITUTE(SUBSTITUTE(SUBSTITUTE(SUBSTITUTE(LOWER(Registro!$G285),"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",LEN(Registro!$G285))),({1,2,3,4,5,6,7,8,9,10,11,12,13,14,15,16,17,18,19,20,21,22,23,24,25,26,27,28,29,30}-1)*LEN(Registro!$G285)+1,LEN(Registro!$G285))),FIND("x",TRIM(MID(SUBSTITUTE(SUBSTITUTE(SUBSTITUTE(SUBSTITUTE(SUBSTITUTE(LOWER(Registro!$G285),"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",LEN(Registro!$G285))),({1,2,3,4,5,6,7,8,9,10,11,12,13,14,15,16,17,18,19,20,21,22,23,24,25,26,27,28,29,30}-1)*LEN(Registro!$G285)+1,LEN(Registro!$G285)))&amp;"x")+1,20))),"Revisar formato")))</f>
        <v/>
      </c>
      <c r="J285" s="9" t="str">
        <f>IF(AND(Registro!$E285="",Registro!$G285=""),"",IF(NOT(AND(ISNUMBER(I285),ISNUMBER(Registro!$H285))),"",IF(I285&lt;Registro!$H285,"FALTA BOLETOS",IF(I285=Registro!$H285,"CONFORME","DIFERENCIA"))))</f>
        <v/>
      </c>
      <c r="K285" s="11" t="str">
        <f>IF(Registro!$I285="","",IFERROR(SUMPRODUCT(--("0"&amp;TRIM(RIGHT(SUBSTITUTE(TRIM(MID(SUBSTITUTE(SUBSTITUTE(Registro!$I285,";",CHAR(10)),CHAR(10),REPT(" ",LEN(Registro!$I285))),({1,2,3,4,5,6,7,8,9,10,11,12,13,14,15,16,17,18,19,20,21,22,23,24,25,26,27,28,29,30}-1)*LEN(Registro!$I285)+1,LEN(Registro!$I285)))," ",REPT(" ",50)),50)))),"Revisar formato"))</f>
        <v/>
      </c>
      <c r="L285" s="11" t="str">
        <f>IF(Registro!$J285="","",IFERROR(SUMPRODUCT(--("0"&amp;TRIM(RIGHT(SUBSTITUTE(TRIM(MID(SUBSTITUTE(SUBSTITUTE(Registro!$J285,";",CHAR(10)),CHAR(10),REPT(" ",LEN(Registro!$J285))),({1,2,3,4,5,6,7,8,9,10,11,12,13,14,15,16,17,18,19,20,21,22,23,24,25,26,27,28,29,30}-1)*LEN(Registro!$J285)+1,LEN(Registro!$J285)))," ",REPT(" ",50)),50)))),"Revisar formato"))</f>
        <v/>
      </c>
      <c r="M285" s="11" t="str">
        <f>IF(AND(Registro!$H285="",Registro!$I285=""),"",IF(AND(ISTEXT(K285),K285&lt;&gt;""),"Revisar formato",N(Registro!$H285)-N(K285)))</f>
        <v/>
      </c>
      <c r="N285" s="11" t="str">
        <f t="shared" si="14"/>
        <v/>
      </c>
      <c r="O285" s="15" t="str">
        <f>IF(AND(A285=Consulta!$B$3,C285=Consulta!$H$3),B285*10000+ROW(),"")</f>
        <v/>
      </c>
    </row>
    <row r="286" spans="1:15" x14ac:dyDescent="0.25">
      <c r="A286" s="9" t="str">
        <f>IF(Registro!$A286="","",Registro!$A286)</f>
        <v/>
      </c>
      <c r="B286" s="8" t="str">
        <f>IF(Registro!$B286="","",Registro!$B286)</f>
        <v/>
      </c>
      <c r="C286" s="14" t="str">
        <f t="shared" si="12"/>
        <v/>
      </c>
      <c r="D286" s="10" t="str">
        <f>IF(Registro!$E286="","",IF(ISERROR(FIND("x",LOWER(Registro!$E286))),"-",IFERROR(SUMPRODUCT(--("0"&amp;LEFT(TRIM(MID(SUBSTITUTE(SUBSTITUTE(SUBSTITUTE(SUBSTITUTE(SUBSTITUTE(LOWER(Registro!$E286),"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",LEN(Registro!$E286))),({1,2,3,4,5,6,7,8,9,10,11,12,13,14,15,16,17,18,19,20,21,22,23,24,25,26,27,28,29,30}-1)*LEN(Registro!$E286)+1,LEN(Registro!$E286)))&amp;"x")-1))),"Revisar formato")))</f>
        <v/>
      </c>
      <c r="E286" s="11" t="str">
        <f>IF(Registro!$E286="","",IF(ISERROR(FIND("x",LOWER(Registro!$E286))),"-",IFERROR(SUMPRODUCT(--("0"&amp;LEFT(TRIM(MID(SUBSTITUTE(SUBSTITUTE(SUBSTITUTE(SUBSTITUTE(SUBSTITUTE(LOWER(Registro!$E286),"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",LEN(Registro!$E286))),({1,2,3,4,5,6,7,8,9,10,11,12,13,14,15,16,17,18,19,20,21,22,23,24,25,26,27,28,29,30}-1)*LEN(Registro!$E286)+1,LEN(Registro!$E286)))&amp;"x")-1)),--("0"&amp;MID(TRIM(MID(SUBSTITUTE(SUBSTITUTE(SUBSTITUTE(SUBSTITUTE(SUBSTITUTE(LOWER(Registro!$E286),"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",LEN(Registro!$E286))),({1,2,3,4,5,6,7,8,9,10,11,12,13,14,15,16,17,18,19,20,21,22,23,24,25,26,27,28,29,30}-1)*LEN(Registro!$E286)+1,LEN(Registro!$E286)))&amp;"x")+1,20))),"Revisar formato")))</f>
        <v/>
      </c>
      <c r="F286" s="11" t="str">
        <f>IF(Registro!$F286="","",N(Registro!$F286))</f>
        <v/>
      </c>
      <c r="G286" s="11" t="str">
        <f t="shared" si="13"/>
        <v/>
      </c>
      <c r="H286" s="10" t="str">
        <f>IF(Registro!$G286="","",IF(ISERROR(FIND("x",LOWER(Registro!$G286))),"-",IFERROR(SUMPRODUCT(--("0"&amp;LEFT(TRIM(MID(SUBSTITUTE(SUBSTITUTE(SUBSTITUTE(SUBSTITUTE(SUBSTITUTE(LOWER(Registro!$G286),"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",LEN(Registro!$G286))),({1,2,3,4,5,6,7,8,9,10,11,12,13,14,15,16,17,18,19,20,21,22,23,24,25,26,27,28,29,30}-1)*LEN(Registro!$G286)+1,LEN(Registro!$G286))),FIND("x",TRIM(MID(SUBSTITUTE(SUBSTITUTE(SUBSTITUTE(SUBSTITUTE(SUBSTITUTE(LOWER(Registro!$G286),"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",LEN(Registro!$G286))),({1,2,3,4,5,6,7,8,9,10,11,12,13,14,15,16,17,18,19,20,21,22,23,24,25,26,27,28,29,30}-1)*LEN(Registro!$G286)+1,LEN(Registro!$G286)))&amp;"x")-1))),"Revisar formato")))</f>
        <v/>
      </c>
      <c r="I286" s="11" t="str">
        <f>IF(Registro!$G286="","",IF(ISERROR(FIND("x",LOWER(Registro!$G286))),N(Registro!$H286),IFERROR(SUMPRODUCT(--("0"&amp;LEFT(TRIM(MID(SUBSTITUTE(SUBSTITUTE(SUBSTITUTE(SUBSTITUTE(SUBSTITUTE(LOWER(Registro!$G286),"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",LEN(Registro!$G286))),({1,2,3,4,5,6,7,8,9,10,11,12,13,14,15,16,17,18,19,20,21,22,23,24,25,26,27,28,29,30}-1)*LEN(Registro!$G286)+1,LEN(Registro!$G286))),FIND("x",TRIM(MID(SUBSTITUTE(SUBSTITUTE(SUBSTITUTE(SUBSTITUTE(SUBSTITUTE(LOWER(Registro!$G286),"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",LEN(Registro!$G286))),({1,2,3,4,5,6,7,8,9,10,11,12,13,14,15,16,17,18,19,20,21,22,23,24,25,26,27,28,29,30}-1)*LEN(Registro!$G286)+1,LEN(Registro!$G286)))&amp;"x")-1)),--("0"&amp;MID(TRIM(MID(SUBSTITUTE(SUBSTITUTE(SUBSTITUTE(SUBSTITUTE(SUBSTITUTE(LOWER(Registro!$G286),"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",LEN(Registro!$G286))),({1,2,3,4,5,6,7,8,9,10,11,12,13,14,15,16,17,18,19,20,21,22,23,24,25,26,27,28,29,30}-1)*LEN(Registro!$G286)+1,LEN(Registro!$G286))),FIND("x",TRIM(MID(SUBSTITUTE(SUBSTITUTE(SUBSTITUTE(SUBSTITUTE(SUBSTITUTE(LOWER(Registro!$G286),"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",LEN(Registro!$G286))),({1,2,3,4,5,6,7,8,9,10,11,12,13,14,15,16,17,18,19,20,21,22,23,24,25,26,27,28,29,30}-1)*LEN(Registro!$G286)+1,LEN(Registro!$G286)))&amp;"x")+1,20))),"Revisar formato")))</f>
        <v/>
      </c>
      <c r="J286" s="9" t="str">
        <f>IF(AND(Registro!$E286="",Registro!$G286=""),"",IF(NOT(AND(ISNUMBER(I286),ISNUMBER(Registro!$H286))),"",IF(I286&lt;Registro!$H286,"FALTA BOLETOS",IF(I286=Registro!$H286,"CONFORME","DIFERENCIA"))))</f>
        <v/>
      </c>
      <c r="K286" s="11" t="str">
        <f>IF(Registro!$I286="","",IFERROR(SUMPRODUCT(--("0"&amp;TRIM(RIGHT(SUBSTITUTE(TRIM(MID(SUBSTITUTE(SUBSTITUTE(Registro!$I286,";",CHAR(10)),CHAR(10),REPT(" ",LEN(Registro!$I286))),({1,2,3,4,5,6,7,8,9,10,11,12,13,14,15,16,17,18,19,20,21,22,23,24,25,26,27,28,29,30}-1)*LEN(Registro!$I286)+1,LEN(Registro!$I286)))," ",REPT(" ",50)),50)))),"Revisar formato"))</f>
        <v/>
      </c>
      <c r="L286" s="11" t="str">
        <f>IF(Registro!$J286="","",IFERROR(SUMPRODUCT(--("0"&amp;TRIM(RIGHT(SUBSTITUTE(TRIM(MID(SUBSTITUTE(SUBSTITUTE(Registro!$J286,";",CHAR(10)),CHAR(10),REPT(" ",LEN(Registro!$J286))),({1,2,3,4,5,6,7,8,9,10,11,12,13,14,15,16,17,18,19,20,21,22,23,24,25,26,27,28,29,30}-1)*LEN(Registro!$J286)+1,LEN(Registro!$J286)))," ",REPT(" ",50)),50)))),"Revisar formato"))</f>
        <v/>
      </c>
      <c r="M286" s="11" t="str">
        <f>IF(AND(Registro!$H286="",Registro!$I286=""),"",IF(AND(ISTEXT(K286),K286&lt;&gt;""),"Revisar formato",N(Registro!$H286)-N(K286)))</f>
        <v/>
      </c>
      <c r="N286" s="11" t="str">
        <f t="shared" si="14"/>
        <v/>
      </c>
      <c r="O286" s="15" t="str">
        <f>IF(AND(A286=Consulta!$B$3,C286=Consulta!$H$3),B286*10000+ROW(),"")</f>
        <v/>
      </c>
    </row>
    <row r="287" spans="1:15" x14ac:dyDescent="0.25">
      <c r="A287" s="9" t="str">
        <f>IF(Registro!$A287="","",Registro!$A287)</f>
        <v/>
      </c>
      <c r="B287" s="8" t="str">
        <f>IF(Registro!$B287="","",Registro!$B287)</f>
        <v/>
      </c>
      <c r="C287" s="14" t="str">
        <f t="shared" si="12"/>
        <v/>
      </c>
      <c r="D287" s="10" t="str">
        <f>IF(Registro!$E287="","",IF(ISERROR(FIND("x",LOWER(Registro!$E287))),"-",IFERROR(SUMPRODUCT(--("0"&amp;LEFT(TRIM(MID(SUBSTITUTE(SUBSTITUTE(SUBSTITUTE(SUBSTITUTE(SUBSTITUTE(LOWER(Registro!$E287),"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",LEN(Registro!$E287))),({1,2,3,4,5,6,7,8,9,10,11,12,13,14,15,16,17,18,19,20,21,22,23,24,25,26,27,28,29,30}-1)*LEN(Registro!$E287)+1,LEN(Registro!$E287)))&amp;"x")-1))),"Revisar formato")))</f>
        <v/>
      </c>
      <c r="E287" s="11" t="str">
        <f>IF(Registro!$E287="","",IF(ISERROR(FIND("x",LOWER(Registro!$E287))),"-",IFERROR(SUMPRODUCT(--("0"&amp;LEFT(TRIM(MID(SUBSTITUTE(SUBSTITUTE(SUBSTITUTE(SUBSTITUTE(SUBSTITUTE(LOWER(Registro!$E287),"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",LEN(Registro!$E287))),({1,2,3,4,5,6,7,8,9,10,11,12,13,14,15,16,17,18,19,20,21,22,23,24,25,26,27,28,29,30}-1)*LEN(Registro!$E287)+1,LEN(Registro!$E287)))&amp;"x")-1)),--("0"&amp;MID(TRIM(MID(SUBSTITUTE(SUBSTITUTE(SUBSTITUTE(SUBSTITUTE(SUBSTITUTE(LOWER(Registro!$E287),"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",LEN(Registro!$E287))),({1,2,3,4,5,6,7,8,9,10,11,12,13,14,15,16,17,18,19,20,21,22,23,24,25,26,27,28,29,30}-1)*LEN(Registro!$E287)+1,LEN(Registro!$E287)))&amp;"x")+1,20))),"Revisar formato")))</f>
        <v/>
      </c>
      <c r="F287" s="11" t="str">
        <f>IF(Registro!$F287="","",N(Registro!$F287))</f>
        <v/>
      </c>
      <c r="G287" s="11" t="str">
        <f t="shared" si="13"/>
        <v/>
      </c>
      <c r="H287" s="10" t="str">
        <f>IF(Registro!$G287="","",IF(ISERROR(FIND("x",LOWER(Registro!$G287))),"-",IFERROR(SUMPRODUCT(--("0"&amp;LEFT(TRIM(MID(SUBSTITUTE(SUBSTITUTE(SUBSTITUTE(SUBSTITUTE(SUBSTITUTE(LOWER(Registro!$G287),"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",LEN(Registro!$G287))),({1,2,3,4,5,6,7,8,9,10,11,12,13,14,15,16,17,18,19,20,21,22,23,24,25,26,27,28,29,30}-1)*LEN(Registro!$G287)+1,LEN(Registro!$G287))),FIND("x",TRIM(MID(SUBSTITUTE(SUBSTITUTE(SUBSTITUTE(SUBSTITUTE(SUBSTITUTE(LOWER(Registro!$G287),"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",LEN(Registro!$G287))),({1,2,3,4,5,6,7,8,9,10,11,12,13,14,15,16,17,18,19,20,21,22,23,24,25,26,27,28,29,30}-1)*LEN(Registro!$G287)+1,LEN(Registro!$G287)))&amp;"x")-1))),"Revisar formato")))</f>
        <v/>
      </c>
      <c r="I287" s="11" t="str">
        <f>IF(Registro!$G287="","",IF(ISERROR(FIND("x",LOWER(Registro!$G287))),N(Registro!$H287),IFERROR(SUMPRODUCT(--("0"&amp;LEFT(TRIM(MID(SUBSTITUTE(SUBSTITUTE(SUBSTITUTE(SUBSTITUTE(SUBSTITUTE(LOWER(Registro!$G287),"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",LEN(Registro!$G287))),({1,2,3,4,5,6,7,8,9,10,11,12,13,14,15,16,17,18,19,20,21,22,23,24,25,26,27,28,29,30}-1)*LEN(Registro!$G287)+1,LEN(Registro!$G287))),FIND("x",TRIM(MID(SUBSTITUTE(SUBSTITUTE(SUBSTITUTE(SUBSTITUTE(SUBSTITUTE(LOWER(Registro!$G287),"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",LEN(Registro!$G287))),({1,2,3,4,5,6,7,8,9,10,11,12,13,14,15,16,17,18,19,20,21,22,23,24,25,26,27,28,29,30}-1)*LEN(Registro!$G287)+1,LEN(Registro!$G287)))&amp;"x")-1)),--("0"&amp;MID(TRIM(MID(SUBSTITUTE(SUBSTITUTE(SUBSTITUTE(SUBSTITUTE(SUBSTITUTE(LOWER(Registro!$G287),"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",LEN(Registro!$G287))),({1,2,3,4,5,6,7,8,9,10,11,12,13,14,15,16,17,18,19,20,21,22,23,24,25,26,27,28,29,30}-1)*LEN(Registro!$G287)+1,LEN(Registro!$G287))),FIND("x",TRIM(MID(SUBSTITUTE(SUBSTITUTE(SUBSTITUTE(SUBSTITUTE(SUBSTITUTE(LOWER(Registro!$G287),"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",LEN(Registro!$G287))),({1,2,3,4,5,6,7,8,9,10,11,12,13,14,15,16,17,18,19,20,21,22,23,24,25,26,27,28,29,30}-1)*LEN(Registro!$G287)+1,LEN(Registro!$G287)))&amp;"x")+1,20))),"Revisar formato")))</f>
        <v/>
      </c>
      <c r="J287" s="9" t="str">
        <f>IF(AND(Registro!$E287="",Registro!$G287=""),"",IF(NOT(AND(ISNUMBER(I287),ISNUMBER(Registro!$H287))),"",IF(I287&lt;Registro!$H287,"FALTA BOLETOS",IF(I287=Registro!$H287,"CONFORME","DIFERENCIA"))))</f>
        <v/>
      </c>
      <c r="K287" s="11" t="str">
        <f>IF(Registro!$I287="","",IFERROR(SUMPRODUCT(--("0"&amp;TRIM(RIGHT(SUBSTITUTE(TRIM(MID(SUBSTITUTE(SUBSTITUTE(Registro!$I287,";",CHAR(10)),CHAR(10),REPT(" ",LEN(Registro!$I287))),({1,2,3,4,5,6,7,8,9,10,11,12,13,14,15,16,17,18,19,20,21,22,23,24,25,26,27,28,29,30}-1)*LEN(Registro!$I287)+1,LEN(Registro!$I287)))," ",REPT(" ",50)),50)))),"Revisar formato"))</f>
        <v/>
      </c>
      <c r="L287" s="11" t="str">
        <f>IF(Registro!$J287="","",IFERROR(SUMPRODUCT(--("0"&amp;TRIM(RIGHT(SUBSTITUTE(TRIM(MID(SUBSTITUTE(SUBSTITUTE(Registro!$J287,";",CHAR(10)),CHAR(10),REPT(" ",LEN(Registro!$J287))),({1,2,3,4,5,6,7,8,9,10,11,12,13,14,15,16,17,18,19,20,21,22,23,24,25,26,27,28,29,30}-1)*LEN(Registro!$J287)+1,LEN(Registro!$J287)))," ",REPT(" ",50)),50)))),"Revisar formato"))</f>
        <v/>
      </c>
      <c r="M287" s="11" t="str">
        <f>IF(AND(Registro!$H287="",Registro!$I287=""),"",IF(AND(ISTEXT(K287),K287&lt;&gt;""),"Revisar formato",N(Registro!$H287)-N(K287)))</f>
        <v/>
      </c>
      <c r="N287" s="11" t="str">
        <f t="shared" si="14"/>
        <v/>
      </c>
      <c r="O287" s="15" t="str">
        <f>IF(AND(A287=Consulta!$B$3,C287=Consulta!$H$3),B287*10000+ROW(),"")</f>
        <v/>
      </c>
    </row>
    <row r="288" spans="1:15" x14ac:dyDescent="0.25">
      <c r="A288" s="9" t="str">
        <f>IF(Registro!$A288="","",Registro!$A288)</f>
        <v/>
      </c>
      <c r="B288" s="8" t="str">
        <f>IF(Registro!$B288="","",Registro!$B288)</f>
        <v/>
      </c>
      <c r="C288" s="14" t="str">
        <f t="shared" si="12"/>
        <v/>
      </c>
      <c r="D288" s="10" t="str">
        <f>IF(Registro!$E288="","",IF(ISERROR(FIND("x",LOWER(Registro!$E288))),"-",IFERROR(SUMPRODUCT(--("0"&amp;LEFT(TRIM(MID(SUBSTITUTE(SUBSTITUTE(SUBSTITUTE(SUBSTITUTE(SUBSTITUTE(LOWER(Registro!$E288),"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",LEN(Registro!$E288))),({1,2,3,4,5,6,7,8,9,10,11,12,13,14,15,16,17,18,19,20,21,22,23,24,25,26,27,28,29,30}-1)*LEN(Registro!$E288)+1,LEN(Registro!$E288)))&amp;"x")-1))),"Revisar formato")))</f>
        <v/>
      </c>
      <c r="E288" s="11" t="str">
        <f>IF(Registro!$E288="","",IF(ISERROR(FIND("x",LOWER(Registro!$E288))),"-",IFERROR(SUMPRODUCT(--("0"&amp;LEFT(TRIM(MID(SUBSTITUTE(SUBSTITUTE(SUBSTITUTE(SUBSTITUTE(SUBSTITUTE(LOWER(Registro!$E288),"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",LEN(Registro!$E288))),({1,2,3,4,5,6,7,8,9,10,11,12,13,14,15,16,17,18,19,20,21,22,23,24,25,26,27,28,29,30}-1)*LEN(Registro!$E288)+1,LEN(Registro!$E288)))&amp;"x")-1)),--("0"&amp;MID(TRIM(MID(SUBSTITUTE(SUBSTITUTE(SUBSTITUTE(SUBSTITUTE(SUBSTITUTE(LOWER(Registro!$E288),"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",LEN(Registro!$E288))),({1,2,3,4,5,6,7,8,9,10,11,12,13,14,15,16,17,18,19,20,21,22,23,24,25,26,27,28,29,30}-1)*LEN(Registro!$E288)+1,LEN(Registro!$E288)))&amp;"x")+1,20))),"Revisar formato")))</f>
        <v/>
      </c>
      <c r="F288" s="11" t="str">
        <f>IF(Registro!$F288="","",N(Registro!$F288))</f>
        <v/>
      </c>
      <c r="G288" s="11" t="str">
        <f t="shared" si="13"/>
        <v/>
      </c>
      <c r="H288" s="10" t="str">
        <f>IF(Registro!$G288="","",IF(ISERROR(FIND("x",LOWER(Registro!$G288))),"-",IFERROR(SUMPRODUCT(--("0"&amp;LEFT(TRIM(MID(SUBSTITUTE(SUBSTITUTE(SUBSTITUTE(SUBSTITUTE(SUBSTITUTE(LOWER(Registro!$G288),"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",LEN(Registro!$G288))),({1,2,3,4,5,6,7,8,9,10,11,12,13,14,15,16,17,18,19,20,21,22,23,24,25,26,27,28,29,30}-1)*LEN(Registro!$G288)+1,LEN(Registro!$G288))),FIND("x",TRIM(MID(SUBSTITUTE(SUBSTITUTE(SUBSTITUTE(SUBSTITUTE(SUBSTITUTE(LOWER(Registro!$G288),"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",LEN(Registro!$G288))),({1,2,3,4,5,6,7,8,9,10,11,12,13,14,15,16,17,18,19,20,21,22,23,24,25,26,27,28,29,30}-1)*LEN(Registro!$G288)+1,LEN(Registro!$G288)))&amp;"x")-1))),"Revisar formato")))</f>
        <v/>
      </c>
      <c r="I288" s="11" t="str">
        <f>IF(Registro!$G288="","",IF(ISERROR(FIND("x",LOWER(Registro!$G288))),N(Registro!$H288),IFERROR(SUMPRODUCT(--("0"&amp;LEFT(TRIM(MID(SUBSTITUTE(SUBSTITUTE(SUBSTITUTE(SUBSTITUTE(SUBSTITUTE(LOWER(Registro!$G288),"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",LEN(Registro!$G288))),({1,2,3,4,5,6,7,8,9,10,11,12,13,14,15,16,17,18,19,20,21,22,23,24,25,26,27,28,29,30}-1)*LEN(Registro!$G288)+1,LEN(Registro!$G288))),FIND("x",TRIM(MID(SUBSTITUTE(SUBSTITUTE(SUBSTITUTE(SUBSTITUTE(SUBSTITUTE(LOWER(Registro!$G288),"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",LEN(Registro!$G288))),({1,2,3,4,5,6,7,8,9,10,11,12,13,14,15,16,17,18,19,20,21,22,23,24,25,26,27,28,29,30}-1)*LEN(Registro!$G288)+1,LEN(Registro!$G288)))&amp;"x")-1)),--("0"&amp;MID(TRIM(MID(SUBSTITUTE(SUBSTITUTE(SUBSTITUTE(SUBSTITUTE(SUBSTITUTE(LOWER(Registro!$G288),"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",LEN(Registro!$G288))),({1,2,3,4,5,6,7,8,9,10,11,12,13,14,15,16,17,18,19,20,21,22,23,24,25,26,27,28,29,30}-1)*LEN(Registro!$G288)+1,LEN(Registro!$G288))),FIND("x",TRIM(MID(SUBSTITUTE(SUBSTITUTE(SUBSTITUTE(SUBSTITUTE(SUBSTITUTE(LOWER(Registro!$G288),"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",LEN(Registro!$G288))),({1,2,3,4,5,6,7,8,9,10,11,12,13,14,15,16,17,18,19,20,21,22,23,24,25,26,27,28,29,30}-1)*LEN(Registro!$G288)+1,LEN(Registro!$G288)))&amp;"x")+1,20))),"Revisar formato")))</f>
        <v/>
      </c>
      <c r="J288" s="9" t="str">
        <f>IF(AND(Registro!$E288="",Registro!$G288=""),"",IF(NOT(AND(ISNUMBER(I288),ISNUMBER(Registro!$H288))),"",IF(I288&lt;Registro!$H288,"FALTA BOLETOS",IF(I288=Registro!$H288,"CONFORME","DIFERENCIA"))))</f>
        <v/>
      </c>
      <c r="K288" s="11" t="str">
        <f>IF(Registro!$I288="","",IFERROR(SUMPRODUCT(--("0"&amp;TRIM(RIGHT(SUBSTITUTE(TRIM(MID(SUBSTITUTE(SUBSTITUTE(Registro!$I288,";",CHAR(10)),CHAR(10),REPT(" ",LEN(Registro!$I288))),({1,2,3,4,5,6,7,8,9,10,11,12,13,14,15,16,17,18,19,20,21,22,23,24,25,26,27,28,29,30}-1)*LEN(Registro!$I288)+1,LEN(Registro!$I288)))," ",REPT(" ",50)),50)))),"Revisar formato"))</f>
        <v/>
      </c>
      <c r="L288" s="11" t="str">
        <f>IF(Registro!$J288="","",IFERROR(SUMPRODUCT(--("0"&amp;TRIM(RIGHT(SUBSTITUTE(TRIM(MID(SUBSTITUTE(SUBSTITUTE(Registro!$J288,";",CHAR(10)),CHAR(10),REPT(" ",LEN(Registro!$J288))),({1,2,3,4,5,6,7,8,9,10,11,12,13,14,15,16,17,18,19,20,21,22,23,24,25,26,27,28,29,30}-1)*LEN(Registro!$J288)+1,LEN(Registro!$J288)))," ",REPT(" ",50)),50)))),"Revisar formato"))</f>
        <v/>
      </c>
      <c r="M288" s="11" t="str">
        <f>IF(AND(Registro!$H288="",Registro!$I288=""),"",IF(AND(ISTEXT(K288),K288&lt;&gt;""),"Revisar formato",N(Registro!$H288)-N(K288)))</f>
        <v/>
      </c>
      <c r="N288" s="11" t="str">
        <f t="shared" si="14"/>
        <v/>
      </c>
      <c r="O288" s="15" t="str">
        <f>IF(AND(A288=Consulta!$B$3,C288=Consulta!$H$3),B288*10000+ROW(),"")</f>
        <v/>
      </c>
    </row>
    <row r="289" spans="1:15" x14ac:dyDescent="0.25">
      <c r="A289" s="9" t="str">
        <f>IF(Registro!$A289="","",Registro!$A289)</f>
        <v/>
      </c>
      <c r="B289" s="8" t="str">
        <f>IF(Registro!$B289="","",Registro!$B289)</f>
        <v/>
      </c>
      <c r="C289" s="14" t="str">
        <f t="shared" si="12"/>
        <v/>
      </c>
      <c r="D289" s="10" t="str">
        <f>IF(Registro!$E289="","",IF(ISERROR(FIND("x",LOWER(Registro!$E289))),"-",IFERROR(SUMPRODUCT(--("0"&amp;LEFT(TRIM(MID(SUBSTITUTE(SUBSTITUTE(SUBSTITUTE(SUBSTITUTE(SUBSTITUTE(LOWER(Registro!$E289),"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",LEN(Registro!$E289))),({1,2,3,4,5,6,7,8,9,10,11,12,13,14,15,16,17,18,19,20,21,22,23,24,25,26,27,28,29,30}-1)*LEN(Registro!$E289)+1,LEN(Registro!$E289)))&amp;"x")-1))),"Revisar formato")))</f>
        <v/>
      </c>
      <c r="E289" s="11" t="str">
        <f>IF(Registro!$E289="","",IF(ISERROR(FIND("x",LOWER(Registro!$E289))),"-",IFERROR(SUMPRODUCT(--("0"&amp;LEFT(TRIM(MID(SUBSTITUTE(SUBSTITUTE(SUBSTITUTE(SUBSTITUTE(SUBSTITUTE(LOWER(Registro!$E289),"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",LEN(Registro!$E289))),({1,2,3,4,5,6,7,8,9,10,11,12,13,14,15,16,17,18,19,20,21,22,23,24,25,26,27,28,29,30}-1)*LEN(Registro!$E289)+1,LEN(Registro!$E289)))&amp;"x")-1)),--("0"&amp;MID(TRIM(MID(SUBSTITUTE(SUBSTITUTE(SUBSTITUTE(SUBSTITUTE(SUBSTITUTE(LOWER(Registro!$E289),"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",LEN(Registro!$E289))),({1,2,3,4,5,6,7,8,9,10,11,12,13,14,15,16,17,18,19,20,21,22,23,24,25,26,27,28,29,30}-1)*LEN(Registro!$E289)+1,LEN(Registro!$E289)))&amp;"x")+1,20))),"Revisar formato")))</f>
        <v/>
      </c>
      <c r="F289" s="11" t="str">
        <f>IF(Registro!$F289="","",N(Registro!$F289))</f>
        <v/>
      </c>
      <c r="G289" s="11" t="str">
        <f t="shared" si="13"/>
        <v/>
      </c>
      <c r="H289" s="10" t="str">
        <f>IF(Registro!$G289="","",IF(ISERROR(FIND("x",LOWER(Registro!$G289))),"-",IFERROR(SUMPRODUCT(--("0"&amp;LEFT(TRIM(MID(SUBSTITUTE(SUBSTITUTE(SUBSTITUTE(SUBSTITUTE(SUBSTITUTE(LOWER(Registro!$G289),"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",LEN(Registro!$G289))),({1,2,3,4,5,6,7,8,9,10,11,12,13,14,15,16,17,18,19,20,21,22,23,24,25,26,27,28,29,30}-1)*LEN(Registro!$G289)+1,LEN(Registro!$G289))),FIND("x",TRIM(MID(SUBSTITUTE(SUBSTITUTE(SUBSTITUTE(SUBSTITUTE(SUBSTITUTE(LOWER(Registro!$G289),"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",LEN(Registro!$G289))),({1,2,3,4,5,6,7,8,9,10,11,12,13,14,15,16,17,18,19,20,21,22,23,24,25,26,27,28,29,30}-1)*LEN(Registro!$G289)+1,LEN(Registro!$G289)))&amp;"x")-1))),"Revisar formato")))</f>
        <v/>
      </c>
      <c r="I289" s="11" t="str">
        <f>IF(Registro!$G289="","",IF(ISERROR(FIND("x",LOWER(Registro!$G289))),N(Registro!$H289),IFERROR(SUMPRODUCT(--("0"&amp;LEFT(TRIM(MID(SUBSTITUTE(SUBSTITUTE(SUBSTITUTE(SUBSTITUTE(SUBSTITUTE(LOWER(Registro!$G289),"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",LEN(Registro!$G289))),({1,2,3,4,5,6,7,8,9,10,11,12,13,14,15,16,17,18,19,20,21,22,23,24,25,26,27,28,29,30}-1)*LEN(Registro!$G289)+1,LEN(Registro!$G289))),FIND("x",TRIM(MID(SUBSTITUTE(SUBSTITUTE(SUBSTITUTE(SUBSTITUTE(SUBSTITUTE(LOWER(Registro!$G289),"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",LEN(Registro!$G289))),({1,2,3,4,5,6,7,8,9,10,11,12,13,14,15,16,17,18,19,20,21,22,23,24,25,26,27,28,29,30}-1)*LEN(Registro!$G289)+1,LEN(Registro!$G289)))&amp;"x")-1)),--("0"&amp;MID(TRIM(MID(SUBSTITUTE(SUBSTITUTE(SUBSTITUTE(SUBSTITUTE(SUBSTITUTE(LOWER(Registro!$G289),"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",LEN(Registro!$G289))),({1,2,3,4,5,6,7,8,9,10,11,12,13,14,15,16,17,18,19,20,21,22,23,24,25,26,27,28,29,30}-1)*LEN(Registro!$G289)+1,LEN(Registro!$G289))),FIND("x",TRIM(MID(SUBSTITUTE(SUBSTITUTE(SUBSTITUTE(SUBSTITUTE(SUBSTITUTE(LOWER(Registro!$G289),"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",LEN(Registro!$G289))),({1,2,3,4,5,6,7,8,9,10,11,12,13,14,15,16,17,18,19,20,21,22,23,24,25,26,27,28,29,30}-1)*LEN(Registro!$G289)+1,LEN(Registro!$G289)))&amp;"x")+1,20))),"Revisar formato")))</f>
        <v/>
      </c>
      <c r="J289" s="9" t="str">
        <f>IF(AND(Registro!$E289="",Registro!$G289=""),"",IF(NOT(AND(ISNUMBER(I289),ISNUMBER(Registro!$H289))),"",IF(I289&lt;Registro!$H289,"FALTA BOLETOS",IF(I289=Registro!$H289,"CONFORME","DIFERENCIA"))))</f>
        <v/>
      </c>
      <c r="K289" s="11" t="str">
        <f>IF(Registro!$I289="","",IFERROR(SUMPRODUCT(--("0"&amp;TRIM(RIGHT(SUBSTITUTE(TRIM(MID(SUBSTITUTE(SUBSTITUTE(Registro!$I289,";",CHAR(10)),CHAR(10),REPT(" ",LEN(Registro!$I289))),({1,2,3,4,5,6,7,8,9,10,11,12,13,14,15,16,17,18,19,20,21,22,23,24,25,26,27,28,29,30}-1)*LEN(Registro!$I289)+1,LEN(Registro!$I289)))," ",REPT(" ",50)),50)))),"Revisar formato"))</f>
        <v/>
      </c>
      <c r="L289" s="11" t="str">
        <f>IF(Registro!$J289="","",IFERROR(SUMPRODUCT(--("0"&amp;TRIM(RIGHT(SUBSTITUTE(TRIM(MID(SUBSTITUTE(SUBSTITUTE(Registro!$J289,";",CHAR(10)),CHAR(10),REPT(" ",LEN(Registro!$J289))),({1,2,3,4,5,6,7,8,9,10,11,12,13,14,15,16,17,18,19,20,21,22,23,24,25,26,27,28,29,30}-1)*LEN(Registro!$J289)+1,LEN(Registro!$J289)))," ",REPT(" ",50)),50)))),"Revisar formato"))</f>
        <v/>
      </c>
      <c r="M289" s="11" t="str">
        <f>IF(AND(Registro!$H289="",Registro!$I289=""),"",IF(AND(ISTEXT(K289),K289&lt;&gt;""),"Revisar formato",N(Registro!$H289)-N(K289)))</f>
        <v/>
      </c>
      <c r="N289" s="11" t="str">
        <f t="shared" si="14"/>
        <v/>
      </c>
      <c r="O289" s="15" t="str">
        <f>IF(AND(A289=Consulta!$B$3,C289=Consulta!$H$3),B289*10000+ROW(),"")</f>
        <v/>
      </c>
    </row>
    <row r="290" spans="1:15" x14ac:dyDescent="0.25">
      <c r="A290" s="9" t="str">
        <f>IF(Registro!$A290="","",Registro!$A290)</f>
        <v/>
      </c>
      <c r="B290" s="8" t="str">
        <f>IF(Registro!$B290="","",Registro!$B290)</f>
        <v/>
      </c>
      <c r="C290" s="14" t="str">
        <f t="shared" si="12"/>
        <v/>
      </c>
      <c r="D290" s="10" t="str">
        <f>IF(Registro!$E290="","",IF(ISERROR(FIND("x",LOWER(Registro!$E290))),"-",IFERROR(SUMPRODUCT(--("0"&amp;LEFT(TRIM(MID(SUBSTITUTE(SUBSTITUTE(SUBSTITUTE(SUBSTITUTE(SUBSTITUTE(LOWER(Registro!$E290),"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",LEN(Registro!$E290))),({1,2,3,4,5,6,7,8,9,10,11,12,13,14,15,16,17,18,19,20,21,22,23,24,25,26,27,28,29,30}-1)*LEN(Registro!$E290)+1,LEN(Registro!$E290)))&amp;"x")-1))),"Revisar formato")))</f>
        <v/>
      </c>
      <c r="E290" s="11" t="str">
        <f>IF(Registro!$E290="","",IF(ISERROR(FIND("x",LOWER(Registro!$E290))),"-",IFERROR(SUMPRODUCT(--("0"&amp;LEFT(TRIM(MID(SUBSTITUTE(SUBSTITUTE(SUBSTITUTE(SUBSTITUTE(SUBSTITUTE(LOWER(Registro!$E290),"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",LEN(Registro!$E290))),({1,2,3,4,5,6,7,8,9,10,11,12,13,14,15,16,17,18,19,20,21,22,23,24,25,26,27,28,29,30}-1)*LEN(Registro!$E290)+1,LEN(Registro!$E290)))&amp;"x")-1)),--("0"&amp;MID(TRIM(MID(SUBSTITUTE(SUBSTITUTE(SUBSTITUTE(SUBSTITUTE(SUBSTITUTE(LOWER(Registro!$E290),"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",LEN(Registro!$E290))),({1,2,3,4,5,6,7,8,9,10,11,12,13,14,15,16,17,18,19,20,21,22,23,24,25,26,27,28,29,30}-1)*LEN(Registro!$E290)+1,LEN(Registro!$E290)))&amp;"x")+1,20))),"Revisar formato")))</f>
        <v/>
      </c>
      <c r="F290" s="11" t="str">
        <f>IF(Registro!$F290="","",N(Registro!$F290))</f>
        <v/>
      </c>
      <c r="G290" s="11" t="str">
        <f t="shared" si="13"/>
        <v/>
      </c>
      <c r="H290" s="10" t="str">
        <f>IF(Registro!$G290="","",IF(ISERROR(FIND("x",LOWER(Registro!$G290))),"-",IFERROR(SUMPRODUCT(--("0"&amp;LEFT(TRIM(MID(SUBSTITUTE(SUBSTITUTE(SUBSTITUTE(SUBSTITUTE(SUBSTITUTE(LOWER(Registro!$G290),"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",LEN(Registro!$G290))),({1,2,3,4,5,6,7,8,9,10,11,12,13,14,15,16,17,18,19,20,21,22,23,24,25,26,27,28,29,30}-1)*LEN(Registro!$G290)+1,LEN(Registro!$G290))),FIND("x",TRIM(MID(SUBSTITUTE(SUBSTITUTE(SUBSTITUTE(SUBSTITUTE(SUBSTITUTE(LOWER(Registro!$G290),"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",LEN(Registro!$G290))),({1,2,3,4,5,6,7,8,9,10,11,12,13,14,15,16,17,18,19,20,21,22,23,24,25,26,27,28,29,30}-1)*LEN(Registro!$G290)+1,LEN(Registro!$G290)))&amp;"x")-1))),"Revisar formato")))</f>
        <v/>
      </c>
      <c r="I290" s="11" t="str">
        <f>IF(Registro!$G290="","",IF(ISERROR(FIND("x",LOWER(Registro!$G290))),N(Registro!$H290),IFERROR(SUMPRODUCT(--("0"&amp;LEFT(TRIM(MID(SUBSTITUTE(SUBSTITUTE(SUBSTITUTE(SUBSTITUTE(SUBSTITUTE(LOWER(Registro!$G290),"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",LEN(Registro!$G290))),({1,2,3,4,5,6,7,8,9,10,11,12,13,14,15,16,17,18,19,20,21,22,23,24,25,26,27,28,29,30}-1)*LEN(Registro!$G290)+1,LEN(Registro!$G290))),FIND("x",TRIM(MID(SUBSTITUTE(SUBSTITUTE(SUBSTITUTE(SUBSTITUTE(SUBSTITUTE(LOWER(Registro!$G290),"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",LEN(Registro!$G290))),({1,2,3,4,5,6,7,8,9,10,11,12,13,14,15,16,17,18,19,20,21,22,23,24,25,26,27,28,29,30}-1)*LEN(Registro!$G290)+1,LEN(Registro!$G290)))&amp;"x")-1)),--("0"&amp;MID(TRIM(MID(SUBSTITUTE(SUBSTITUTE(SUBSTITUTE(SUBSTITUTE(SUBSTITUTE(LOWER(Registro!$G290),"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",LEN(Registro!$G290))),({1,2,3,4,5,6,7,8,9,10,11,12,13,14,15,16,17,18,19,20,21,22,23,24,25,26,27,28,29,30}-1)*LEN(Registro!$G290)+1,LEN(Registro!$G290))),FIND("x",TRIM(MID(SUBSTITUTE(SUBSTITUTE(SUBSTITUTE(SUBSTITUTE(SUBSTITUTE(LOWER(Registro!$G290),"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",LEN(Registro!$G290))),({1,2,3,4,5,6,7,8,9,10,11,12,13,14,15,16,17,18,19,20,21,22,23,24,25,26,27,28,29,30}-1)*LEN(Registro!$G290)+1,LEN(Registro!$G290)))&amp;"x")+1,20))),"Revisar formato")))</f>
        <v/>
      </c>
      <c r="J290" s="9" t="str">
        <f>IF(AND(Registro!$E290="",Registro!$G290=""),"",IF(NOT(AND(ISNUMBER(I290),ISNUMBER(Registro!$H290))),"",IF(I290&lt;Registro!$H290,"FALTA BOLETOS",IF(I290=Registro!$H290,"CONFORME","DIFERENCIA"))))</f>
        <v/>
      </c>
      <c r="K290" s="11" t="str">
        <f>IF(Registro!$I290="","",IFERROR(SUMPRODUCT(--("0"&amp;TRIM(RIGHT(SUBSTITUTE(TRIM(MID(SUBSTITUTE(SUBSTITUTE(Registro!$I290,";",CHAR(10)),CHAR(10),REPT(" ",LEN(Registro!$I290))),({1,2,3,4,5,6,7,8,9,10,11,12,13,14,15,16,17,18,19,20,21,22,23,24,25,26,27,28,29,30}-1)*LEN(Registro!$I290)+1,LEN(Registro!$I290)))," ",REPT(" ",50)),50)))),"Revisar formato"))</f>
        <v/>
      </c>
      <c r="L290" s="11" t="str">
        <f>IF(Registro!$J290="","",IFERROR(SUMPRODUCT(--("0"&amp;TRIM(RIGHT(SUBSTITUTE(TRIM(MID(SUBSTITUTE(SUBSTITUTE(Registro!$J290,";",CHAR(10)),CHAR(10),REPT(" ",LEN(Registro!$J290))),({1,2,3,4,5,6,7,8,9,10,11,12,13,14,15,16,17,18,19,20,21,22,23,24,25,26,27,28,29,30}-1)*LEN(Registro!$J290)+1,LEN(Registro!$J290)))," ",REPT(" ",50)),50)))),"Revisar formato"))</f>
        <v/>
      </c>
      <c r="M290" s="11" t="str">
        <f>IF(AND(Registro!$H290="",Registro!$I290=""),"",IF(AND(ISTEXT(K290),K290&lt;&gt;""),"Revisar formato",N(Registro!$H290)-N(K290)))</f>
        <v/>
      </c>
      <c r="N290" s="11" t="str">
        <f t="shared" si="14"/>
        <v/>
      </c>
      <c r="O290" s="15" t="str">
        <f>IF(AND(A290=Consulta!$B$3,C290=Consulta!$H$3),B290*10000+ROW(),"")</f>
        <v/>
      </c>
    </row>
    <row r="291" spans="1:15" x14ac:dyDescent="0.25">
      <c r="A291" s="9" t="str">
        <f>IF(Registro!$A291="","",Registro!$A291)</f>
        <v/>
      </c>
      <c r="B291" s="8" t="str">
        <f>IF(Registro!$B291="","",Registro!$B291)</f>
        <v/>
      </c>
      <c r="C291" s="14" t="str">
        <f t="shared" si="12"/>
        <v/>
      </c>
      <c r="D291" s="10" t="str">
        <f>IF(Registro!$E291="","",IF(ISERROR(FIND("x",LOWER(Registro!$E291))),"-",IFERROR(SUMPRODUCT(--("0"&amp;LEFT(TRIM(MID(SUBSTITUTE(SUBSTITUTE(SUBSTITUTE(SUBSTITUTE(SUBSTITUTE(LOWER(Registro!$E291),"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",LEN(Registro!$E291))),({1,2,3,4,5,6,7,8,9,10,11,12,13,14,15,16,17,18,19,20,21,22,23,24,25,26,27,28,29,30}-1)*LEN(Registro!$E291)+1,LEN(Registro!$E291)))&amp;"x")-1))),"Revisar formato")))</f>
        <v/>
      </c>
      <c r="E291" s="11" t="str">
        <f>IF(Registro!$E291="","",IF(ISERROR(FIND("x",LOWER(Registro!$E291))),"-",IFERROR(SUMPRODUCT(--("0"&amp;LEFT(TRIM(MID(SUBSTITUTE(SUBSTITUTE(SUBSTITUTE(SUBSTITUTE(SUBSTITUTE(LOWER(Registro!$E291),"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",LEN(Registro!$E291))),({1,2,3,4,5,6,7,8,9,10,11,12,13,14,15,16,17,18,19,20,21,22,23,24,25,26,27,28,29,30}-1)*LEN(Registro!$E291)+1,LEN(Registro!$E291)))&amp;"x")-1)),--("0"&amp;MID(TRIM(MID(SUBSTITUTE(SUBSTITUTE(SUBSTITUTE(SUBSTITUTE(SUBSTITUTE(LOWER(Registro!$E291),"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",LEN(Registro!$E291))),({1,2,3,4,5,6,7,8,9,10,11,12,13,14,15,16,17,18,19,20,21,22,23,24,25,26,27,28,29,30}-1)*LEN(Registro!$E291)+1,LEN(Registro!$E291)))&amp;"x")+1,20))),"Revisar formato")))</f>
        <v/>
      </c>
      <c r="F291" s="11" t="str">
        <f>IF(Registro!$F291="","",N(Registro!$F291))</f>
        <v/>
      </c>
      <c r="G291" s="11" t="str">
        <f t="shared" si="13"/>
        <v/>
      </c>
      <c r="H291" s="10" t="str">
        <f>IF(Registro!$G291="","",IF(ISERROR(FIND("x",LOWER(Registro!$G291))),"-",IFERROR(SUMPRODUCT(--("0"&amp;LEFT(TRIM(MID(SUBSTITUTE(SUBSTITUTE(SUBSTITUTE(SUBSTITUTE(SUBSTITUTE(LOWER(Registro!$G291),"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",LEN(Registro!$G291))),({1,2,3,4,5,6,7,8,9,10,11,12,13,14,15,16,17,18,19,20,21,22,23,24,25,26,27,28,29,30}-1)*LEN(Registro!$G291)+1,LEN(Registro!$G291))),FIND("x",TRIM(MID(SUBSTITUTE(SUBSTITUTE(SUBSTITUTE(SUBSTITUTE(SUBSTITUTE(LOWER(Registro!$G291),"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",LEN(Registro!$G291))),({1,2,3,4,5,6,7,8,9,10,11,12,13,14,15,16,17,18,19,20,21,22,23,24,25,26,27,28,29,30}-1)*LEN(Registro!$G291)+1,LEN(Registro!$G291)))&amp;"x")-1))),"Revisar formato")))</f>
        <v/>
      </c>
      <c r="I291" s="11" t="str">
        <f>IF(Registro!$G291="","",IF(ISERROR(FIND("x",LOWER(Registro!$G291))),N(Registro!$H291),IFERROR(SUMPRODUCT(--("0"&amp;LEFT(TRIM(MID(SUBSTITUTE(SUBSTITUTE(SUBSTITUTE(SUBSTITUTE(SUBSTITUTE(LOWER(Registro!$G291),"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",LEN(Registro!$G291))),({1,2,3,4,5,6,7,8,9,10,11,12,13,14,15,16,17,18,19,20,21,22,23,24,25,26,27,28,29,30}-1)*LEN(Registro!$G291)+1,LEN(Registro!$G291))),FIND("x",TRIM(MID(SUBSTITUTE(SUBSTITUTE(SUBSTITUTE(SUBSTITUTE(SUBSTITUTE(LOWER(Registro!$G291),"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",LEN(Registro!$G291))),({1,2,3,4,5,6,7,8,9,10,11,12,13,14,15,16,17,18,19,20,21,22,23,24,25,26,27,28,29,30}-1)*LEN(Registro!$G291)+1,LEN(Registro!$G291)))&amp;"x")-1)),--("0"&amp;MID(TRIM(MID(SUBSTITUTE(SUBSTITUTE(SUBSTITUTE(SUBSTITUTE(SUBSTITUTE(LOWER(Registro!$G291),"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",LEN(Registro!$G291))),({1,2,3,4,5,6,7,8,9,10,11,12,13,14,15,16,17,18,19,20,21,22,23,24,25,26,27,28,29,30}-1)*LEN(Registro!$G291)+1,LEN(Registro!$G291))),FIND("x",TRIM(MID(SUBSTITUTE(SUBSTITUTE(SUBSTITUTE(SUBSTITUTE(SUBSTITUTE(LOWER(Registro!$G291),"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",LEN(Registro!$G291))),({1,2,3,4,5,6,7,8,9,10,11,12,13,14,15,16,17,18,19,20,21,22,23,24,25,26,27,28,29,30}-1)*LEN(Registro!$G291)+1,LEN(Registro!$G291)))&amp;"x")+1,20))),"Revisar formato")))</f>
        <v/>
      </c>
      <c r="J291" s="9" t="str">
        <f>IF(AND(Registro!$E291="",Registro!$G291=""),"",IF(NOT(AND(ISNUMBER(I291),ISNUMBER(Registro!$H291))),"",IF(I291&lt;Registro!$H291,"FALTA BOLETOS",IF(I291=Registro!$H291,"CONFORME","DIFERENCIA"))))</f>
        <v/>
      </c>
      <c r="K291" s="11" t="str">
        <f>IF(Registro!$I291="","",IFERROR(SUMPRODUCT(--("0"&amp;TRIM(RIGHT(SUBSTITUTE(TRIM(MID(SUBSTITUTE(SUBSTITUTE(Registro!$I291,";",CHAR(10)),CHAR(10),REPT(" ",LEN(Registro!$I291))),({1,2,3,4,5,6,7,8,9,10,11,12,13,14,15,16,17,18,19,20,21,22,23,24,25,26,27,28,29,30}-1)*LEN(Registro!$I291)+1,LEN(Registro!$I291)))," ",REPT(" ",50)),50)))),"Revisar formato"))</f>
        <v/>
      </c>
      <c r="L291" s="11" t="str">
        <f>IF(Registro!$J291="","",IFERROR(SUMPRODUCT(--("0"&amp;TRIM(RIGHT(SUBSTITUTE(TRIM(MID(SUBSTITUTE(SUBSTITUTE(Registro!$J291,";",CHAR(10)),CHAR(10),REPT(" ",LEN(Registro!$J291))),({1,2,3,4,5,6,7,8,9,10,11,12,13,14,15,16,17,18,19,20,21,22,23,24,25,26,27,28,29,30}-1)*LEN(Registro!$J291)+1,LEN(Registro!$J291)))," ",REPT(" ",50)),50)))),"Revisar formato"))</f>
        <v/>
      </c>
      <c r="M291" s="11" t="str">
        <f>IF(AND(Registro!$H291="",Registro!$I291=""),"",IF(AND(ISTEXT(K291),K291&lt;&gt;""),"Revisar formato",N(Registro!$H291)-N(K291)))</f>
        <v/>
      </c>
      <c r="N291" s="11" t="str">
        <f t="shared" si="14"/>
        <v/>
      </c>
      <c r="O291" s="15" t="str">
        <f>IF(AND(A291=Consulta!$B$3,C291=Consulta!$H$3),B291*10000+ROW(),"")</f>
        <v/>
      </c>
    </row>
    <row r="292" spans="1:15" x14ac:dyDescent="0.25">
      <c r="A292" s="9" t="str">
        <f>IF(Registro!$A292="","",Registro!$A292)</f>
        <v/>
      </c>
      <c r="B292" s="8" t="str">
        <f>IF(Registro!$B292="","",Registro!$B292)</f>
        <v/>
      </c>
      <c r="C292" s="14" t="str">
        <f t="shared" si="12"/>
        <v/>
      </c>
      <c r="D292" s="10" t="str">
        <f>IF(Registro!$E292="","",IF(ISERROR(FIND("x",LOWER(Registro!$E292))),"-",IFERROR(SUMPRODUCT(--("0"&amp;LEFT(TRIM(MID(SUBSTITUTE(SUBSTITUTE(SUBSTITUTE(SUBSTITUTE(SUBSTITUTE(LOWER(Registro!$E292),"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",LEN(Registro!$E292))),({1,2,3,4,5,6,7,8,9,10,11,12,13,14,15,16,17,18,19,20,21,22,23,24,25,26,27,28,29,30}-1)*LEN(Registro!$E292)+1,LEN(Registro!$E292)))&amp;"x")-1))),"Revisar formato")))</f>
        <v/>
      </c>
      <c r="E292" s="11" t="str">
        <f>IF(Registro!$E292="","",IF(ISERROR(FIND("x",LOWER(Registro!$E292))),"-",IFERROR(SUMPRODUCT(--("0"&amp;LEFT(TRIM(MID(SUBSTITUTE(SUBSTITUTE(SUBSTITUTE(SUBSTITUTE(SUBSTITUTE(LOWER(Registro!$E292),"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",LEN(Registro!$E292))),({1,2,3,4,5,6,7,8,9,10,11,12,13,14,15,16,17,18,19,20,21,22,23,24,25,26,27,28,29,30}-1)*LEN(Registro!$E292)+1,LEN(Registro!$E292)))&amp;"x")-1)),--("0"&amp;MID(TRIM(MID(SUBSTITUTE(SUBSTITUTE(SUBSTITUTE(SUBSTITUTE(SUBSTITUTE(LOWER(Registro!$E292),"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",LEN(Registro!$E292))),({1,2,3,4,5,6,7,8,9,10,11,12,13,14,15,16,17,18,19,20,21,22,23,24,25,26,27,28,29,30}-1)*LEN(Registro!$E292)+1,LEN(Registro!$E292)))&amp;"x")+1,20))),"Revisar formato")))</f>
        <v/>
      </c>
      <c r="F292" s="11" t="str">
        <f>IF(Registro!$F292="","",N(Registro!$F292))</f>
        <v/>
      </c>
      <c r="G292" s="11" t="str">
        <f t="shared" si="13"/>
        <v/>
      </c>
      <c r="H292" s="10" t="str">
        <f>IF(Registro!$G292="","",IF(ISERROR(FIND("x",LOWER(Registro!$G292))),"-",IFERROR(SUMPRODUCT(--("0"&amp;LEFT(TRIM(MID(SUBSTITUTE(SUBSTITUTE(SUBSTITUTE(SUBSTITUTE(SUBSTITUTE(LOWER(Registro!$G292),"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",LEN(Registro!$G292))),({1,2,3,4,5,6,7,8,9,10,11,12,13,14,15,16,17,18,19,20,21,22,23,24,25,26,27,28,29,30}-1)*LEN(Registro!$G292)+1,LEN(Registro!$G292))),FIND("x",TRIM(MID(SUBSTITUTE(SUBSTITUTE(SUBSTITUTE(SUBSTITUTE(SUBSTITUTE(LOWER(Registro!$G292),"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",LEN(Registro!$G292))),({1,2,3,4,5,6,7,8,9,10,11,12,13,14,15,16,17,18,19,20,21,22,23,24,25,26,27,28,29,30}-1)*LEN(Registro!$G292)+1,LEN(Registro!$G292)))&amp;"x")-1))),"Revisar formato")))</f>
        <v/>
      </c>
      <c r="I292" s="11" t="str">
        <f>IF(Registro!$G292="","",IF(ISERROR(FIND("x",LOWER(Registro!$G292))),N(Registro!$H292),IFERROR(SUMPRODUCT(--("0"&amp;LEFT(TRIM(MID(SUBSTITUTE(SUBSTITUTE(SUBSTITUTE(SUBSTITUTE(SUBSTITUTE(LOWER(Registro!$G292),"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",LEN(Registro!$G292))),({1,2,3,4,5,6,7,8,9,10,11,12,13,14,15,16,17,18,19,20,21,22,23,24,25,26,27,28,29,30}-1)*LEN(Registro!$G292)+1,LEN(Registro!$G292))),FIND("x",TRIM(MID(SUBSTITUTE(SUBSTITUTE(SUBSTITUTE(SUBSTITUTE(SUBSTITUTE(LOWER(Registro!$G292),"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",LEN(Registro!$G292))),({1,2,3,4,5,6,7,8,9,10,11,12,13,14,15,16,17,18,19,20,21,22,23,24,25,26,27,28,29,30}-1)*LEN(Registro!$G292)+1,LEN(Registro!$G292)))&amp;"x")-1)),--("0"&amp;MID(TRIM(MID(SUBSTITUTE(SUBSTITUTE(SUBSTITUTE(SUBSTITUTE(SUBSTITUTE(LOWER(Registro!$G292),"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",LEN(Registro!$G292))),({1,2,3,4,5,6,7,8,9,10,11,12,13,14,15,16,17,18,19,20,21,22,23,24,25,26,27,28,29,30}-1)*LEN(Registro!$G292)+1,LEN(Registro!$G292))),FIND("x",TRIM(MID(SUBSTITUTE(SUBSTITUTE(SUBSTITUTE(SUBSTITUTE(SUBSTITUTE(LOWER(Registro!$G292),"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",LEN(Registro!$G292))),({1,2,3,4,5,6,7,8,9,10,11,12,13,14,15,16,17,18,19,20,21,22,23,24,25,26,27,28,29,30}-1)*LEN(Registro!$G292)+1,LEN(Registro!$G292)))&amp;"x")+1,20))),"Revisar formato")))</f>
        <v/>
      </c>
      <c r="J292" s="9" t="str">
        <f>IF(AND(Registro!$E292="",Registro!$G292=""),"",IF(NOT(AND(ISNUMBER(I292),ISNUMBER(Registro!$H292))),"",IF(I292&lt;Registro!$H292,"FALTA BOLETOS",IF(I292=Registro!$H292,"CONFORME","DIFERENCIA"))))</f>
        <v/>
      </c>
      <c r="K292" s="11" t="str">
        <f>IF(Registro!$I292="","",IFERROR(SUMPRODUCT(--("0"&amp;TRIM(RIGHT(SUBSTITUTE(TRIM(MID(SUBSTITUTE(SUBSTITUTE(Registro!$I292,";",CHAR(10)),CHAR(10),REPT(" ",LEN(Registro!$I292))),({1,2,3,4,5,6,7,8,9,10,11,12,13,14,15,16,17,18,19,20,21,22,23,24,25,26,27,28,29,30}-1)*LEN(Registro!$I292)+1,LEN(Registro!$I292)))," ",REPT(" ",50)),50)))),"Revisar formato"))</f>
        <v/>
      </c>
      <c r="L292" s="11" t="str">
        <f>IF(Registro!$J292="","",IFERROR(SUMPRODUCT(--("0"&amp;TRIM(RIGHT(SUBSTITUTE(TRIM(MID(SUBSTITUTE(SUBSTITUTE(Registro!$J292,";",CHAR(10)),CHAR(10),REPT(" ",LEN(Registro!$J292))),({1,2,3,4,5,6,7,8,9,10,11,12,13,14,15,16,17,18,19,20,21,22,23,24,25,26,27,28,29,30}-1)*LEN(Registro!$J292)+1,LEN(Registro!$J292)))," ",REPT(" ",50)),50)))),"Revisar formato"))</f>
        <v/>
      </c>
      <c r="M292" s="11" t="str">
        <f>IF(AND(Registro!$H292="",Registro!$I292=""),"",IF(AND(ISTEXT(K292),K292&lt;&gt;""),"Revisar formato",N(Registro!$H292)-N(K292)))</f>
        <v/>
      </c>
      <c r="N292" s="11" t="str">
        <f t="shared" si="14"/>
        <v/>
      </c>
      <c r="O292" s="15" t="str">
        <f>IF(AND(A292=Consulta!$B$3,C292=Consulta!$H$3),B292*10000+ROW(),"")</f>
        <v/>
      </c>
    </row>
    <row r="293" spans="1:15" x14ac:dyDescent="0.25">
      <c r="A293" s="9" t="str">
        <f>IF(Registro!$A293="","",Registro!$A293)</f>
        <v/>
      </c>
      <c r="B293" s="8" t="str">
        <f>IF(Registro!$B293="","",Registro!$B293)</f>
        <v/>
      </c>
      <c r="C293" s="14" t="str">
        <f t="shared" si="12"/>
        <v/>
      </c>
      <c r="D293" s="10" t="str">
        <f>IF(Registro!$E293="","",IF(ISERROR(FIND("x",LOWER(Registro!$E293))),"-",IFERROR(SUMPRODUCT(--("0"&amp;LEFT(TRIM(MID(SUBSTITUTE(SUBSTITUTE(SUBSTITUTE(SUBSTITUTE(SUBSTITUTE(LOWER(Registro!$E293),"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",LEN(Registro!$E293))),({1,2,3,4,5,6,7,8,9,10,11,12,13,14,15,16,17,18,19,20,21,22,23,24,25,26,27,28,29,30}-1)*LEN(Registro!$E293)+1,LEN(Registro!$E293)))&amp;"x")-1))),"Revisar formato")))</f>
        <v/>
      </c>
      <c r="E293" s="11" t="str">
        <f>IF(Registro!$E293="","",IF(ISERROR(FIND("x",LOWER(Registro!$E293))),"-",IFERROR(SUMPRODUCT(--("0"&amp;LEFT(TRIM(MID(SUBSTITUTE(SUBSTITUTE(SUBSTITUTE(SUBSTITUTE(SUBSTITUTE(LOWER(Registro!$E293),"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",LEN(Registro!$E293))),({1,2,3,4,5,6,7,8,9,10,11,12,13,14,15,16,17,18,19,20,21,22,23,24,25,26,27,28,29,30}-1)*LEN(Registro!$E293)+1,LEN(Registro!$E293)))&amp;"x")-1)),--("0"&amp;MID(TRIM(MID(SUBSTITUTE(SUBSTITUTE(SUBSTITUTE(SUBSTITUTE(SUBSTITUTE(LOWER(Registro!$E293),"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",LEN(Registro!$E293))),({1,2,3,4,5,6,7,8,9,10,11,12,13,14,15,16,17,18,19,20,21,22,23,24,25,26,27,28,29,30}-1)*LEN(Registro!$E293)+1,LEN(Registro!$E293)))&amp;"x")+1,20))),"Revisar formato")))</f>
        <v/>
      </c>
      <c r="F293" s="11" t="str">
        <f>IF(Registro!$F293="","",N(Registro!$F293))</f>
        <v/>
      </c>
      <c r="G293" s="11" t="str">
        <f t="shared" si="13"/>
        <v/>
      </c>
      <c r="H293" s="10" t="str">
        <f>IF(Registro!$G293="","",IF(ISERROR(FIND("x",LOWER(Registro!$G293))),"-",IFERROR(SUMPRODUCT(--("0"&amp;LEFT(TRIM(MID(SUBSTITUTE(SUBSTITUTE(SUBSTITUTE(SUBSTITUTE(SUBSTITUTE(LOWER(Registro!$G293),"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",LEN(Registro!$G293))),({1,2,3,4,5,6,7,8,9,10,11,12,13,14,15,16,17,18,19,20,21,22,23,24,25,26,27,28,29,30}-1)*LEN(Registro!$G293)+1,LEN(Registro!$G293))),FIND("x",TRIM(MID(SUBSTITUTE(SUBSTITUTE(SUBSTITUTE(SUBSTITUTE(SUBSTITUTE(LOWER(Registro!$G293),"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",LEN(Registro!$G293))),({1,2,3,4,5,6,7,8,9,10,11,12,13,14,15,16,17,18,19,20,21,22,23,24,25,26,27,28,29,30}-1)*LEN(Registro!$G293)+1,LEN(Registro!$G293)))&amp;"x")-1))),"Revisar formato")))</f>
        <v/>
      </c>
      <c r="I293" s="11" t="str">
        <f>IF(Registro!$G293="","",IF(ISERROR(FIND("x",LOWER(Registro!$G293))),N(Registro!$H293),IFERROR(SUMPRODUCT(--("0"&amp;LEFT(TRIM(MID(SUBSTITUTE(SUBSTITUTE(SUBSTITUTE(SUBSTITUTE(SUBSTITUTE(LOWER(Registro!$G293),"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",LEN(Registro!$G293))),({1,2,3,4,5,6,7,8,9,10,11,12,13,14,15,16,17,18,19,20,21,22,23,24,25,26,27,28,29,30}-1)*LEN(Registro!$G293)+1,LEN(Registro!$G293))),FIND("x",TRIM(MID(SUBSTITUTE(SUBSTITUTE(SUBSTITUTE(SUBSTITUTE(SUBSTITUTE(LOWER(Registro!$G293),"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",LEN(Registro!$G293))),({1,2,3,4,5,6,7,8,9,10,11,12,13,14,15,16,17,18,19,20,21,22,23,24,25,26,27,28,29,30}-1)*LEN(Registro!$G293)+1,LEN(Registro!$G293)))&amp;"x")-1)),--("0"&amp;MID(TRIM(MID(SUBSTITUTE(SUBSTITUTE(SUBSTITUTE(SUBSTITUTE(SUBSTITUTE(LOWER(Registro!$G293),"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",LEN(Registro!$G293))),({1,2,3,4,5,6,7,8,9,10,11,12,13,14,15,16,17,18,19,20,21,22,23,24,25,26,27,28,29,30}-1)*LEN(Registro!$G293)+1,LEN(Registro!$G293))),FIND("x",TRIM(MID(SUBSTITUTE(SUBSTITUTE(SUBSTITUTE(SUBSTITUTE(SUBSTITUTE(LOWER(Registro!$G293),"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",LEN(Registro!$G293))),({1,2,3,4,5,6,7,8,9,10,11,12,13,14,15,16,17,18,19,20,21,22,23,24,25,26,27,28,29,30}-1)*LEN(Registro!$G293)+1,LEN(Registro!$G293)))&amp;"x")+1,20))),"Revisar formato")))</f>
        <v/>
      </c>
      <c r="J293" s="9" t="str">
        <f>IF(AND(Registro!$E293="",Registro!$G293=""),"",IF(NOT(AND(ISNUMBER(I293),ISNUMBER(Registro!$H293))),"",IF(I293&lt;Registro!$H293,"FALTA BOLETOS",IF(I293=Registro!$H293,"CONFORME","DIFERENCIA"))))</f>
        <v/>
      </c>
      <c r="K293" s="11" t="str">
        <f>IF(Registro!$I293="","",IFERROR(SUMPRODUCT(--("0"&amp;TRIM(RIGHT(SUBSTITUTE(TRIM(MID(SUBSTITUTE(SUBSTITUTE(Registro!$I293,";",CHAR(10)),CHAR(10),REPT(" ",LEN(Registro!$I293))),({1,2,3,4,5,6,7,8,9,10,11,12,13,14,15,16,17,18,19,20,21,22,23,24,25,26,27,28,29,30}-1)*LEN(Registro!$I293)+1,LEN(Registro!$I293)))," ",REPT(" ",50)),50)))),"Revisar formato"))</f>
        <v/>
      </c>
      <c r="L293" s="11" t="str">
        <f>IF(Registro!$J293="","",IFERROR(SUMPRODUCT(--("0"&amp;TRIM(RIGHT(SUBSTITUTE(TRIM(MID(SUBSTITUTE(SUBSTITUTE(Registro!$J293,";",CHAR(10)),CHAR(10),REPT(" ",LEN(Registro!$J293))),({1,2,3,4,5,6,7,8,9,10,11,12,13,14,15,16,17,18,19,20,21,22,23,24,25,26,27,28,29,30}-1)*LEN(Registro!$J293)+1,LEN(Registro!$J293)))," ",REPT(" ",50)),50)))),"Revisar formato"))</f>
        <v/>
      </c>
      <c r="M293" s="11" t="str">
        <f>IF(AND(Registro!$H293="",Registro!$I293=""),"",IF(AND(ISTEXT(K293),K293&lt;&gt;""),"Revisar formato",N(Registro!$H293)-N(K293)))</f>
        <v/>
      </c>
      <c r="N293" s="11" t="str">
        <f t="shared" si="14"/>
        <v/>
      </c>
      <c r="O293" s="15" t="str">
        <f>IF(AND(A293=Consulta!$B$3,C293=Consulta!$H$3),B293*10000+ROW(),"")</f>
        <v/>
      </c>
    </row>
    <row r="294" spans="1:15" x14ac:dyDescent="0.25">
      <c r="A294" s="9" t="str">
        <f>IF(Registro!$A294="","",Registro!$A294)</f>
        <v/>
      </c>
      <c r="B294" s="8" t="str">
        <f>IF(Registro!$B294="","",Registro!$B294)</f>
        <v/>
      </c>
      <c r="C294" s="14" t="str">
        <f t="shared" si="12"/>
        <v/>
      </c>
      <c r="D294" s="10" t="str">
        <f>IF(Registro!$E294="","",IF(ISERROR(FIND("x",LOWER(Registro!$E294))),"-",IFERROR(SUMPRODUCT(--("0"&amp;LEFT(TRIM(MID(SUBSTITUTE(SUBSTITUTE(SUBSTITUTE(SUBSTITUTE(SUBSTITUTE(LOWER(Registro!$E294),"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",LEN(Registro!$E294))),({1,2,3,4,5,6,7,8,9,10,11,12,13,14,15,16,17,18,19,20,21,22,23,24,25,26,27,28,29,30}-1)*LEN(Registro!$E294)+1,LEN(Registro!$E294)))&amp;"x")-1))),"Revisar formato")))</f>
        <v/>
      </c>
      <c r="E294" s="11" t="str">
        <f>IF(Registro!$E294="","",IF(ISERROR(FIND("x",LOWER(Registro!$E294))),"-",IFERROR(SUMPRODUCT(--("0"&amp;LEFT(TRIM(MID(SUBSTITUTE(SUBSTITUTE(SUBSTITUTE(SUBSTITUTE(SUBSTITUTE(LOWER(Registro!$E294),"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",LEN(Registro!$E294))),({1,2,3,4,5,6,7,8,9,10,11,12,13,14,15,16,17,18,19,20,21,22,23,24,25,26,27,28,29,30}-1)*LEN(Registro!$E294)+1,LEN(Registro!$E294)))&amp;"x")-1)),--("0"&amp;MID(TRIM(MID(SUBSTITUTE(SUBSTITUTE(SUBSTITUTE(SUBSTITUTE(SUBSTITUTE(LOWER(Registro!$E294),"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",LEN(Registro!$E294))),({1,2,3,4,5,6,7,8,9,10,11,12,13,14,15,16,17,18,19,20,21,22,23,24,25,26,27,28,29,30}-1)*LEN(Registro!$E294)+1,LEN(Registro!$E294)))&amp;"x")+1,20))),"Revisar formato")))</f>
        <v/>
      </c>
      <c r="F294" s="11" t="str">
        <f>IF(Registro!$F294="","",N(Registro!$F294))</f>
        <v/>
      </c>
      <c r="G294" s="11" t="str">
        <f t="shared" si="13"/>
        <v/>
      </c>
      <c r="H294" s="10" t="str">
        <f>IF(Registro!$G294="","",IF(ISERROR(FIND("x",LOWER(Registro!$G294))),"-",IFERROR(SUMPRODUCT(--("0"&amp;LEFT(TRIM(MID(SUBSTITUTE(SUBSTITUTE(SUBSTITUTE(SUBSTITUTE(SUBSTITUTE(LOWER(Registro!$G294),"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",LEN(Registro!$G294))),({1,2,3,4,5,6,7,8,9,10,11,12,13,14,15,16,17,18,19,20,21,22,23,24,25,26,27,28,29,30}-1)*LEN(Registro!$G294)+1,LEN(Registro!$G294))),FIND("x",TRIM(MID(SUBSTITUTE(SUBSTITUTE(SUBSTITUTE(SUBSTITUTE(SUBSTITUTE(LOWER(Registro!$G294),"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",LEN(Registro!$G294))),({1,2,3,4,5,6,7,8,9,10,11,12,13,14,15,16,17,18,19,20,21,22,23,24,25,26,27,28,29,30}-1)*LEN(Registro!$G294)+1,LEN(Registro!$G294)))&amp;"x")-1))),"Revisar formato")))</f>
        <v/>
      </c>
      <c r="I294" s="11" t="str">
        <f>IF(Registro!$G294="","",IF(ISERROR(FIND("x",LOWER(Registro!$G294))),N(Registro!$H294),IFERROR(SUMPRODUCT(--("0"&amp;LEFT(TRIM(MID(SUBSTITUTE(SUBSTITUTE(SUBSTITUTE(SUBSTITUTE(SUBSTITUTE(LOWER(Registro!$G294),"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",LEN(Registro!$G294))),({1,2,3,4,5,6,7,8,9,10,11,12,13,14,15,16,17,18,19,20,21,22,23,24,25,26,27,28,29,30}-1)*LEN(Registro!$G294)+1,LEN(Registro!$G294))),FIND("x",TRIM(MID(SUBSTITUTE(SUBSTITUTE(SUBSTITUTE(SUBSTITUTE(SUBSTITUTE(LOWER(Registro!$G294),"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",LEN(Registro!$G294))),({1,2,3,4,5,6,7,8,9,10,11,12,13,14,15,16,17,18,19,20,21,22,23,24,25,26,27,28,29,30}-1)*LEN(Registro!$G294)+1,LEN(Registro!$G294)))&amp;"x")-1)),--("0"&amp;MID(TRIM(MID(SUBSTITUTE(SUBSTITUTE(SUBSTITUTE(SUBSTITUTE(SUBSTITUTE(LOWER(Registro!$G294),"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",LEN(Registro!$G294))),({1,2,3,4,5,6,7,8,9,10,11,12,13,14,15,16,17,18,19,20,21,22,23,24,25,26,27,28,29,30}-1)*LEN(Registro!$G294)+1,LEN(Registro!$G294))),FIND("x",TRIM(MID(SUBSTITUTE(SUBSTITUTE(SUBSTITUTE(SUBSTITUTE(SUBSTITUTE(LOWER(Registro!$G294),"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",LEN(Registro!$G294))),({1,2,3,4,5,6,7,8,9,10,11,12,13,14,15,16,17,18,19,20,21,22,23,24,25,26,27,28,29,30}-1)*LEN(Registro!$G294)+1,LEN(Registro!$G294)))&amp;"x")+1,20))),"Revisar formato")))</f>
        <v/>
      </c>
      <c r="J294" s="9" t="str">
        <f>IF(AND(Registro!$E294="",Registro!$G294=""),"",IF(NOT(AND(ISNUMBER(I294),ISNUMBER(Registro!$H294))),"",IF(I294&lt;Registro!$H294,"FALTA BOLETOS",IF(I294=Registro!$H294,"CONFORME","DIFERENCIA"))))</f>
        <v/>
      </c>
      <c r="K294" s="11" t="str">
        <f>IF(Registro!$I294="","",IFERROR(SUMPRODUCT(--("0"&amp;TRIM(RIGHT(SUBSTITUTE(TRIM(MID(SUBSTITUTE(SUBSTITUTE(Registro!$I294,";",CHAR(10)),CHAR(10),REPT(" ",LEN(Registro!$I294))),({1,2,3,4,5,6,7,8,9,10,11,12,13,14,15,16,17,18,19,20,21,22,23,24,25,26,27,28,29,30}-1)*LEN(Registro!$I294)+1,LEN(Registro!$I294)))," ",REPT(" ",50)),50)))),"Revisar formato"))</f>
        <v/>
      </c>
      <c r="L294" s="11" t="str">
        <f>IF(Registro!$J294="","",IFERROR(SUMPRODUCT(--("0"&amp;TRIM(RIGHT(SUBSTITUTE(TRIM(MID(SUBSTITUTE(SUBSTITUTE(Registro!$J294,";",CHAR(10)),CHAR(10),REPT(" ",LEN(Registro!$J294))),({1,2,3,4,5,6,7,8,9,10,11,12,13,14,15,16,17,18,19,20,21,22,23,24,25,26,27,28,29,30}-1)*LEN(Registro!$J294)+1,LEN(Registro!$J294)))," ",REPT(" ",50)),50)))),"Revisar formato"))</f>
        <v/>
      </c>
      <c r="M294" s="11" t="str">
        <f>IF(AND(Registro!$H294="",Registro!$I294=""),"",IF(AND(ISTEXT(K294),K294&lt;&gt;""),"Revisar formato",N(Registro!$H294)-N(K294)))</f>
        <v/>
      </c>
      <c r="N294" s="11" t="str">
        <f t="shared" si="14"/>
        <v/>
      </c>
      <c r="O294" s="15" t="str">
        <f>IF(AND(A294=Consulta!$B$3,C294=Consulta!$H$3),B294*10000+ROW(),"")</f>
        <v/>
      </c>
    </row>
    <row r="295" spans="1:15" x14ac:dyDescent="0.25">
      <c r="A295" s="9" t="str">
        <f>IF(Registro!$A295="","",Registro!$A295)</f>
        <v/>
      </c>
      <c r="B295" s="8" t="str">
        <f>IF(Registro!$B295="","",Registro!$B295)</f>
        <v/>
      </c>
      <c r="C295" s="14" t="str">
        <f t="shared" si="12"/>
        <v/>
      </c>
      <c r="D295" s="10" t="str">
        <f>IF(Registro!$E295="","",IF(ISERROR(FIND("x",LOWER(Registro!$E295))),"-",IFERROR(SUMPRODUCT(--("0"&amp;LEFT(TRIM(MID(SUBSTITUTE(SUBSTITUTE(SUBSTITUTE(SUBSTITUTE(SUBSTITUTE(LOWER(Registro!$E295),"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",LEN(Registro!$E295))),({1,2,3,4,5,6,7,8,9,10,11,12,13,14,15,16,17,18,19,20,21,22,23,24,25,26,27,28,29,30}-1)*LEN(Registro!$E295)+1,LEN(Registro!$E295)))&amp;"x")-1))),"Revisar formato")))</f>
        <v/>
      </c>
      <c r="E295" s="11" t="str">
        <f>IF(Registro!$E295="","",IF(ISERROR(FIND("x",LOWER(Registro!$E295))),"-",IFERROR(SUMPRODUCT(--("0"&amp;LEFT(TRIM(MID(SUBSTITUTE(SUBSTITUTE(SUBSTITUTE(SUBSTITUTE(SUBSTITUTE(LOWER(Registro!$E295),"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",LEN(Registro!$E295))),({1,2,3,4,5,6,7,8,9,10,11,12,13,14,15,16,17,18,19,20,21,22,23,24,25,26,27,28,29,30}-1)*LEN(Registro!$E295)+1,LEN(Registro!$E295)))&amp;"x")-1)),--("0"&amp;MID(TRIM(MID(SUBSTITUTE(SUBSTITUTE(SUBSTITUTE(SUBSTITUTE(SUBSTITUTE(LOWER(Registro!$E295),"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",LEN(Registro!$E295))),({1,2,3,4,5,6,7,8,9,10,11,12,13,14,15,16,17,18,19,20,21,22,23,24,25,26,27,28,29,30}-1)*LEN(Registro!$E295)+1,LEN(Registro!$E295)))&amp;"x")+1,20))),"Revisar formato")))</f>
        <v/>
      </c>
      <c r="F295" s="11" t="str">
        <f>IF(Registro!$F295="","",N(Registro!$F295))</f>
        <v/>
      </c>
      <c r="G295" s="11" t="str">
        <f t="shared" si="13"/>
        <v/>
      </c>
      <c r="H295" s="10" t="str">
        <f>IF(Registro!$G295="","",IF(ISERROR(FIND("x",LOWER(Registro!$G295))),"-",IFERROR(SUMPRODUCT(--("0"&amp;LEFT(TRIM(MID(SUBSTITUTE(SUBSTITUTE(SUBSTITUTE(SUBSTITUTE(SUBSTITUTE(LOWER(Registro!$G295),"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",LEN(Registro!$G295))),({1,2,3,4,5,6,7,8,9,10,11,12,13,14,15,16,17,18,19,20,21,22,23,24,25,26,27,28,29,30}-1)*LEN(Registro!$G295)+1,LEN(Registro!$G295))),FIND("x",TRIM(MID(SUBSTITUTE(SUBSTITUTE(SUBSTITUTE(SUBSTITUTE(SUBSTITUTE(LOWER(Registro!$G295),"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",LEN(Registro!$G295))),({1,2,3,4,5,6,7,8,9,10,11,12,13,14,15,16,17,18,19,20,21,22,23,24,25,26,27,28,29,30}-1)*LEN(Registro!$G295)+1,LEN(Registro!$G295)))&amp;"x")-1))),"Revisar formato")))</f>
        <v/>
      </c>
      <c r="I295" s="11" t="str">
        <f>IF(Registro!$G295="","",IF(ISERROR(FIND("x",LOWER(Registro!$G295))),N(Registro!$H295),IFERROR(SUMPRODUCT(--("0"&amp;LEFT(TRIM(MID(SUBSTITUTE(SUBSTITUTE(SUBSTITUTE(SUBSTITUTE(SUBSTITUTE(LOWER(Registro!$G295),"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",LEN(Registro!$G295))),({1,2,3,4,5,6,7,8,9,10,11,12,13,14,15,16,17,18,19,20,21,22,23,24,25,26,27,28,29,30}-1)*LEN(Registro!$G295)+1,LEN(Registro!$G295))),FIND("x",TRIM(MID(SUBSTITUTE(SUBSTITUTE(SUBSTITUTE(SUBSTITUTE(SUBSTITUTE(LOWER(Registro!$G295),"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",LEN(Registro!$G295))),({1,2,3,4,5,6,7,8,9,10,11,12,13,14,15,16,17,18,19,20,21,22,23,24,25,26,27,28,29,30}-1)*LEN(Registro!$G295)+1,LEN(Registro!$G295)))&amp;"x")-1)),--("0"&amp;MID(TRIM(MID(SUBSTITUTE(SUBSTITUTE(SUBSTITUTE(SUBSTITUTE(SUBSTITUTE(LOWER(Registro!$G295),"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",LEN(Registro!$G295))),({1,2,3,4,5,6,7,8,9,10,11,12,13,14,15,16,17,18,19,20,21,22,23,24,25,26,27,28,29,30}-1)*LEN(Registro!$G295)+1,LEN(Registro!$G295))),FIND("x",TRIM(MID(SUBSTITUTE(SUBSTITUTE(SUBSTITUTE(SUBSTITUTE(SUBSTITUTE(LOWER(Registro!$G295),"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",LEN(Registro!$G295))),({1,2,3,4,5,6,7,8,9,10,11,12,13,14,15,16,17,18,19,20,21,22,23,24,25,26,27,28,29,30}-1)*LEN(Registro!$G295)+1,LEN(Registro!$G295)))&amp;"x")+1,20))),"Revisar formato")))</f>
        <v/>
      </c>
      <c r="J295" s="9" t="str">
        <f>IF(AND(Registro!$E295="",Registro!$G295=""),"",IF(NOT(AND(ISNUMBER(I295),ISNUMBER(Registro!$H295))),"",IF(I295&lt;Registro!$H295,"FALTA BOLETOS",IF(I295=Registro!$H295,"CONFORME","DIFERENCIA"))))</f>
        <v/>
      </c>
      <c r="K295" s="11" t="str">
        <f>IF(Registro!$I295="","",IFERROR(SUMPRODUCT(--("0"&amp;TRIM(RIGHT(SUBSTITUTE(TRIM(MID(SUBSTITUTE(SUBSTITUTE(Registro!$I295,";",CHAR(10)),CHAR(10),REPT(" ",LEN(Registro!$I295))),({1,2,3,4,5,6,7,8,9,10,11,12,13,14,15,16,17,18,19,20,21,22,23,24,25,26,27,28,29,30}-1)*LEN(Registro!$I295)+1,LEN(Registro!$I295)))," ",REPT(" ",50)),50)))),"Revisar formato"))</f>
        <v/>
      </c>
      <c r="L295" s="11" t="str">
        <f>IF(Registro!$J295="","",IFERROR(SUMPRODUCT(--("0"&amp;TRIM(RIGHT(SUBSTITUTE(TRIM(MID(SUBSTITUTE(SUBSTITUTE(Registro!$J295,";",CHAR(10)),CHAR(10),REPT(" ",LEN(Registro!$J295))),({1,2,3,4,5,6,7,8,9,10,11,12,13,14,15,16,17,18,19,20,21,22,23,24,25,26,27,28,29,30}-1)*LEN(Registro!$J295)+1,LEN(Registro!$J295)))," ",REPT(" ",50)),50)))),"Revisar formato"))</f>
        <v/>
      </c>
      <c r="M295" s="11" t="str">
        <f>IF(AND(Registro!$H295="",Registro!$I295=""),"",IF(AND(ISTEXT(K295),K295&lt;&gt;""),"Revisar formato",N(Registro!$H295)-N(K295)))</f>
        <v/>
      </c>
      <c r="N295" s="11" t="str">
        <f t="shared" si="14"/>
        <v/>
      </c>
      <c r="O295" s="15" t="str">
        <f>IF(AND(A295=Consulta!$B$3,C295=Consulta!$H$3),B295*10000+ROW(),"")</f>
        <v/>
      </c>
    </row>
    <row r="296" spans="1:15" x14ac:dyDescent="0.25">
      <c r="A296" s="9" t="str">
        <f>IF(Registro!$A296="","",Registro!$A296)</f>
        <v/>
      </c>
      <c r="B296" s="8" t="str">
        <f>IF(Registro!$B296="","",Registro!$B296)</f>
        <v/>
      </c>
      <c r="C296" s="14" t="str">
        <f t="shared" si="12"/>
        <v/>
      </c>
      <c r="D296" s="10" t="str">
        <f>IF(Registro!$E296="","",IF(ISERROR(FIND("x",LOWER(Registro!$E296))),"-",IFERROR(SUMPRODUCT(--("0"&amp;LEFT(TRIM(MID(SUBSTITUTE(SUBSTITUTE(SUBSTITUTE(SUBSTITUTE(SUBSTITUTE(LOWER(Registro!$E296),"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",LEN(Registro!$E296))),({1,2,3,4,5,6,7,8,9,10,11,12,13,14,15,16,17,18,19,20,21,22,23,24,25,26,27,28,29,30}-1)*LEN(Registro!$E296)+1,LEN(Registro!$E296)))&amp;"x")-1))),"Revisar formato")))</f>
        <v/>
      </c>
      <c r="E296" s="11" t="str">
        <f>IF(Registro!$E296="","",IF(ISERROR(FIND("x",LOWER(Registro!$E296))),"-",IFERROR(SUMPRODUCT(--("0"&amp;LEFT(TRIM(MID(SUBSTITUTE(SUBSTITUTE(SUBSTITUTE(SUBSTITUTE(SUBSTITUTE(LOWER(Registro!$E296),"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",LEN(Registro!$E296))),({1,2,3,4,5,6,7,8,9,10,11,12,13,14,15,16,17,18,19,20,21,22,23,24,25,26,27,28,29,30}-1)*LEN(Registro!$E296)+1,LEN(Registro!$E296)))&amp;"x")-1)),--("0"&amp;MID(TRIM(MID(SUBSTITUTE(SUBSTITUTE(SUBSTITUTE(SUBSTITUTE(SUBSTITUTE(LOWER(Registro!$E296),"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",LEN(Registro!$E296))),({1,2,3,4,5,6,7,8,9,10,11,12,13,14,15,16,17,18,19,20,21,22,23,24,25,26,27,28,29,30}-1)*LEN(Registro!$E296)+1,LEN(Registro!$E296)))&amp;"x")+1,20))),"Revisar formato")))</f>
        <v/>
      </c>
      <c r="F296" s="11" t="str">
        <f>IF(Registro!$F296="","",N(Registro!$F296))</f>
        <v/>
      </c>
      <c r="G296" s="11" t="str">
        <f t="shared" si="13"/>
        <v/>
      </c>
      <c r="H296" s="10" t="str">
        <f>IF(Registro!$G296="","",IF(ISERROR(FIND("x",LOWER(Registro!$G296))),"-",IFERROR(SUMPRODUCT(--("0"&amp;LEFT(TRIM(MID(SUBSTITUTE(SUBSTITUTE(SUBSTITUTE(SUBSTITUTE(SUBSTITUTE(LOWER(Registro!$G296),"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",LEN(Registro!$G296))),({1,2,3,4,5,6,7,8,9,10,11,12,13,14,15,16,17,18,19,20,21,22,23,24,25,26,27,28,29,30}-1)*LEN(Registro!$G296)+1,LEN(Registro!$G296))),FIND("x",TRIM(MID(SUBSTITUTE(SUBSTITUTE(SUBSTITUTE(SUBSTITUTE(SUBSTITUTE(LOWER(Registro!$G296),"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",LEN(Registro!$G296))),({1,2,3,4,5,6,7,8,9,10,11,12,13,14,15,16,17,18,19,20,21,22,23,24,25,26,27,28,29,30}-1)*LEN(Registro!$G296)+1,LEN(Registro!$G296)))&amp;"x")-1))),"Revisar formato")))</f>
        <v/>
      </c>
      <c r="I296" s="11" t="str">
        <f>IF(Registro!$G296="","",IF(ISERROR(FIND("x",LOWER(Registro!$G296))),N(Registro!$H296),IFERROR(SUMPRODUCT(--("0"&amp;LEFT(TRIM(MID(SUBSTITUTE(SUBSTITUTE(SUBSTITUTE(SUBSTITUTE(SUBSTITUTE(LOWER(Registro!$G296),"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",LEN(Registro!$G296))),({1,2,3,4,5,6,7,8,9,10,11,12,13,14,15,16,17,18,19,20,21,22,23,24,25,26,27,28,29,30}-1)*LEN(Registro!$G296)+1,LEN(Registro!$G296))),FIND("x",TRIM(MID(SUBSTITUTE(SUBSTITUTE(SUBSTITUTE(SUBSTITUTE(SUBSTITUTE(LOWER(Registro!$G296),"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",LEN(Registro!$G296))),({1,2,3,4,5,6,7,8,9,10,11,12,13,14,15,16,17,18,19,20,21,22,23,24,25,26,27,28,29,30}-1)*LEN(Registro!$G296)+1,LEN(Registro!$G296)))&amp;"x")-1)),--("0"&amp;MID(TRIM(MID(SUBSTITUTE(SUBSTITUTE(SUBSTITUTE(SUBSTITUTE(SUBSTITUTE(LOWER(Registro!$G296),"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",LEN(Registro!$G296))),({1,2,3,4,5,6,7,8,9,10,11,12,13,14,15,16,17,18,19,20,21,22,23,24,25,26,27,28,29,30}-1)*LEN(Registro!$G296)+1,LEN(Registro!$G296))),FIND("x",TRIM(MID(SUBSTITUTE(SUBSTITUTE(SUBSTITUTE(SUBSTITUTE(SUBSTITUTE(LOWER(Registro!$G296),"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",LEN(Registro!$G296))),({1,2,3,4,5,6,7,8,9,10,11,12,13,14,15,16,17,18,19,20,21,22,23,24,25,26,27,28,29,30}-1)*LEN(Registro!$G296)+1,LEN(Registro!$G296)))&amp;"x")+1,20))),"Revisar formato")))</f>
        <v/>
      </c>
      <c r="J296" s="9" t="str">
        <f>IF(AND(Registro!$E296="",Registro!$G296=""),"",IF(NOT(AND(ISNUMBER(I296),ISNUMBER(Registro!$H296))),"",IF(I296&lt;Registro!$H296,"FALTA BOLETOS",IF(I296=Registro!$H296,"CONFORME","DIFERENCIA"))))</f>
        <v/>
      </c>
      <c r="K296" s="11" t="str">
        <f>IF(Registro!$I296="","",IFERROR(SUMPRODUCT(--("0"&amp;TRIM(RIGHT(SUBSTITUTE(TRIM(MID(SUBSTITUTE(SUBSTITUTE(Registro!$I296,";",CHAR(10)),CHAR(10),REPT(" ",LEN(Registro!$I296))),({1,2,3,4,5,6,7,8,9,10,11,12,13,14,15,16,17,18,19,20,21,22,23,24,25,26,27,28,29,30}-1)*LEN(Registro!$I296)+1,LEN(Registro!$I296)))," ",REPT(" ",50)),50)))),"Revisar formato"))</f>
        <v/>
      </c>
      <c r="L296" s="11" t="str">
        <f>IF(Registro!$J296="","",IFERROR(SUMPRODUCT(--("0"&amp;TRIM(RIGHT(SUBSTITUTE(TRIM(MID(SUBSTITUTE(SUBSTITUTE(Registro!$J296,";",CHAR(10)),CHAR(10),REPT(" ",LEN(Registro!$J296))),({1,2,3,4,5,6,7,8,9,10,11,12,13,14,15,16,17,18,19,20,21,22,23,24,25,26,27,28,29,30}-1)*LEN(Registro!$J296)+1,LEN(Registro!$J296)))," ",REPT(" ",50)),50)))),"Revisar formato"))</f>
        <v/>
      </c>
      <c r="M296" s="11" t="str">
        <f>IF(AND(Registro!$H296="",Registro!$I296=""),"",IF(AND(ISTEXT(K296),K296&lt;&gt;""),"Revisar formato",N(Registro!$H296)-N(K296)))</f>
        <v/>
      </c>
      <c r="N296" s="11" t="str">
        <f t="shared" si="14"/>
        <v/>
      </c>
      <c r="O296" s="15" t="str">
        <f>IF(AND(A296=Consulta!$B$3,C296=Consulta!$H$3),B296*10000+ROW(),"")</f>
        <v/>
      </c>
    </row>
    <row r="297" spans="1:15" x14ac:dyDescent="0.25">
      <c r="A297" s="9" t="str">
        <f>IF(Registro!$A297="","",Registro!$A297)</f>
        <v/>
      </c>
      <c r="B297" s="8" t="str">
        <f>IF(Registro!$B297="","",Registro!$B297)</f>
        <v/>
      </c>
      <c r="C297" s="14" t="str">
        <f t="shared" si="12"/>
        <v/>
      </c>
      <c r="D297" s="10" t="str">
        <f>IF(Registro!$E297="","",IF(ISERROR(FIND("x",LOWER(Registro!$E297))),"-",IFERROR(SUMPRODUCT(--("0"&amp;LEFT(TRIM(MID(SUBSTITUTE(SUBSTITUTE(SUBSTITUTE(SUBSTITUTE(SUBSTITUTE(LOWER(Registro!$E297),"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",LEN(Registro!$E297))),({1,2,3,4,5,6,7,8,9,10,11,12,13,14,15,16,17,18,19,20,21,22,23,24,25,26,27,28,29,30}-1)*LEN(Registro!$E297)+1,LEN(Registro!$E297)))&amp;"x")-1))),"Revisar formato")))</f>
        <v/>
      </c>
      <c r="E297" s="11" t="str">
        <f>IF(Registro!$E297="","",IF(ISERROR(FIND("x",LOWER(Registro!$E297))),"-",IFERROR(SUMPRODUCT(--("0"&amp;LEFT(TRIM(MID(SUBSTITUTE(SUBSTITUTE(SUBSTITUTE(SUBSTITUTE(SUBSTITUTE(LOWER(Registro!$E297),"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",LEN(Registro!$E297))),({1,2,3,4,5,6,7,8,9,10,11,12,13,14,15,16,17,18,19,20,21,22,23,24,25,26,27,28,29,30}-1)*LEN(Registro!$E297)+1,LEN(Registro!$E297)))&amp;"x")-1)),--("0"&amp;MID(TRIM(MID(SUBSTITUTE(SUBSTITUTE(SUBSTITUTE(SUBSTITUTE(SUBSTITUTE(LOWER(Registro!$E297),"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",LEN(Registro!$E297))),({1,2,3,4,5,6,7,8,9,10,11,12,13,14,15,16,17,18,19,20,21,22,23,24,25,26,27,28,29,30}-1)*LEN(Registro!$E297)+1,LEN(Registro!$E297)))&amp;"x")+1,20))),"Revisar formato")))</f>
        <v/>
      </c>
      <c r="F297" s="11" t="str">
        <f>IF(Registro!$F297="","",N(Registro!$F297))</f>
        <v/>
      </c>
      <c r="G297" s="11" t="str">
        <f t="shared" si="13"/>
        <v/>
      </c>
      <c r="H297" s="10" t="str">
        <f>IF(Registro!$G297="","",IF(ISERROR(FIND("x",LOWER(Registro!$G297))),"-",IFERROR(SUMPRODUCT(--("0"&amp;LEFT(TRIM(MID(SUBSTITUTE(SUBSTITUTE(SUBSTITUTE(SUBSTITUTE(SUBSTITUTE(LOWER(Registro!$G297),"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",LEN(Registro!$G297))),({1,2,3,4,5,6,7,8,9,10,11,12,13,14,15,16,17,18,19,20,21,22,23,24,25,26,27,28,29,30}-1)*LEN(Registro!$G297)+1,LEN(Registro!$G297))),FIND("x",TRIM(MID(SUBSTITUTE(SUBSTITUTE(SUBSTITUTE(SUBSTITUTE(SUBSTITUTE(LOWER(Registro!$G297),"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",LEN(Registro!$G297))),({1,2,3,4,5,6,7,8,9,10,11,12,13,14,15,16,17,18,19,20,21,22,23,24,25,26,27,28,29,30}-1)*LEN(Registro!$G297)+1,LEN(Registro!$G297)))&amp;"x")-1))),"Revisar formato")))</f>
        <v/>
      </c>
      <c r="I297" s="11" t="str">
        <f>IF(Registro!$G297="","",IF(ISERROR(FIND("x",LOWER(Registro!$G297))),N(Registro!$H297),IFERROR(SUMPRODUCT(--("0"&amp;LEFT(TRIM(MID(SUBSTITUTE(SUBSTITUTE(SUBSTITUTE(SUBSTITUTE(SUBSTITUTE(LOWER(Registro!$G297),"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",LEN(Registro!$G297))),({1,2,3,4,5,6,7,8,9,10,11,12,13,14,15,16,17,18,19,20,21,22,23,24,25,26,27,28,29,30}-1)*LEN(Registro!$G297)+1,LEN(Registro!$G297))),FIND("x",TRIM(MID(SUBSTITUTE(SUBSTITUTE(SUBSTITUTE(SUBSTITUTE(SUBSTITUTE(LOWER(Registro!$G297),"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",LEN(Registro!$G297))),({1,2,3,4,5,6,7,8,9,10,11,12,13,14,15,16,17,18,19,20,21,22,23,24,25,26,27,28,29,30}-1)*LEN(Registro!$G297)+1,LEN(Registro!$G297)))&amp;"x")-1)),--("0"&amp;MID(TRIM(MID(SUBSTITUTE(SUBSTITUTE(SUBSTITUTE(SUBSTITUTE(SUBSTITUTE(LOWER(Registro!$G297),"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",LEN(Registro!$G297))),({1,2,3,4,5,6,7,8,9,10,11,12,13,14,15,16,17,18,19,20,21,22,23,24,25,26,27,28,29,30}-1)*LEN(Registro!$G297)+1,LEN(Registro!$G297))),FIND("x",TRIM(MID(SUBSTITUTE(SUBSTITUTE(SUBSTITUTE(SUBSTITUTE(SUBSTITUTE(LOWER(Registro!$G297),"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",LEN(Registro!$G297))),({1,2,3,4,5,6,7,8,9,10,11,12,13,14,15,16,17,18,19,20,21,22,23,24,25,26,27,28,29,30}-1)*LEN(Registro!$G297)+1,LEN(Registro!$G297)))&amp;"x")+1,20))),"Revisar formato")))</f>
        <v/>
      </c>
      <c r="J297" s="9" t="str">
        <f>IF(AND(Registro!$E297="",Registro!$G297=""),"",IF(NOT(AND(ISNUMBER(I297),ISNUMBER(Registro!$H297))),"",IF(I297&lt;Registro!$H297,"FALTA BOLETOS",IF(I297=Registro!$H297,"CONFORME","DIFERENCIA"))))</f>
        <v/>
      </c>
      <c r="K297" s="11" t="str">
        <f>IF(Registro!$I297="","",IFERROR(SUMPRODUCT(--("0"&amp;TRIM(RIGHT(SUBSTITUTE(TRIM(MID(SUBSTITUTE(SUBSTITUTE(Registro!$I297,";",CHAR(10)),CHAR(10),REPT(" ",LEN(Registro!$I297))),({1,2,3,4,5,6,7,8,9,10,11,12,13,14,15,16,17,18,19,20,21,22,23,24,25,26,27,28,29,30}-1)*LEN(Registro!$I297)+1,LEN(Registro!$I297)))," ",REPT(" ",50)),50)))),"Revisar formato"))</f>
        <v/>
      </c>
      <c r="L297" s="11" t="str">
        <f>IF(Registro!$J297="","",IFERROR(SUMPRODUCT(--("0"&amp;TRIM(RIGHT(SUBSTITUTE(TRIM(MID(SUBSTITUTE(SUBSTITUTE(Registro!$J297,";",CHAR(10)),CHAR(10),REPT(" ",LEN(Registro!$J297))),({1,2,3,4,5,6,7,8,9,10,11,12,13,14,15,16,17,18,19,20,21,22,23,24,25,26,27,28,29,30}-1)*LEN(Registro!$J297)+1,LEN(Registro!$J297)))," ",REPT(" ",50)),50)))),"Revisar formato"))</f>
        <v/>
      </c>
      <c r="M297" s="11" t="str">
        <f>IF(AND(Registro!$H297="",Registro!$I297=""),"",IF(AND(ISTEXT(K297),K297&lt;&gt;""),"Revisar formato",N(Registro!$H297)-N(K297)))</f>
        <v/>
      </c>
      <c r="N297" s="11" t="str">
        <f t="shared" si="14"/>
        <v/>
      </c>
      <c r="O297" s="15" t="str">
        <f>IF(AND(A297=Consulta!$B$3,C297=Consulta!$H$3),B297*10000+ROW(),"")</f>
        <v/>
      </c>
    </row>
    <row r="298" spans="1:15" x14ac:dyDescent="0.25">
      <c r="A298" s="9" t="str">
        <f>IF(Registro!$A298="","",Registro!$A298)</f>
        <v/>
      </c>
      <c r="B298" s="8" t="str">
        <f>IF(Registro!$B298="","",Registro!$B298)</f>
        <v/>
      </c>
      <c r="C298" s="14" t="str">
        <f t="shared" si="12"/>
        <v/>
      </c>
      <c r="D298" s="10" t="str">
        <f>IF(Registro!$E298="","",IF(ISERROR(FIND("x",LOWER(Registro!$E298))),"-",IFERROR(SUMPRODUCT(--("0"&amp;LEFT(TRIM(MID(SUBSTITUTE(SUBSTITUTE(SUBSTITUTE(SUBSTITUTE(SUBSTITUTE(LOWER(Registro!$E298),"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",LEN(Registro!$E298))),({1,2,3,4,5,6,7,8,9,10,11,12,13,14,15,16,17,18,19,20,21,22,23,24,25,26,27,28,29,30}-1)*LEN(Registro!$E298)+1,LEN(Registro!$E298)))&amp;"x")-1))),"Revisar formato")))</f>
        <v/>
      </c>
      <c r="E298" s="11" t="str">
        <f>IF(Registro!$E298="","",IF(ISERROR(FIND("x",LOWER(Registro!$E298))),"-",IFERROR(SUMPRODUCT(--("0"&amp;LEFT(TRIM(MID(SUBSTITUTE(SUBSTITUTE(SUBSTITUTE(SUBSTITUTE(SUBSTITUTE(LOWER(Registro!$E298),"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",LEN(Registro!$E298))),({1,2,3,4,5,6,7,8,9,10,11,12,13,14,15,16,17,18,19,20,21,22,23,24,25,26,27,28,29,30}-1)*LEN(Registro!$E298)+1,LEN(Registro!$E298)))&amp;"x")-1)),--("0"&amp;MID(TRIM(MID(SUBSTITUTE(SUBSTITUTE(SUBSTITUTE(SUBSTITUTE(SUBSTITUTE(LOWER(Registro!$E298),"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",LEN(Registro!$E298))),({1,2,3,4,5,6,7,8,9,10,11,12,13,14,15,16,17,18,19,20,21,22,23,24,25,26,27,28,29,30}-1)*LEN(Registro!$E298)+1,LEN(Registro!$E298)))&amp;"x")+1,20))),"Revisar formato")))</f>
        <v/>
      </c>
      <c r="F298" s="11" t="str">
        <f>IF(Registro!$F298="","",N(Registro!$F298))</f>
        <v/>
      </c>
      <c r="G298" s="11" t="str">
        <f t="shared" si="13"/>
        <v/>
      </c>
      <c r="H298" s="10" t="str">
        <f>IF(Registro!$G298="","",IF(ISERROR(FIND("x",LOWER(Registro!$G298))),"-",IFERROR(SUMPRODUCT(--("0"&amp;LEFT(TRIM(MID(SUBSTITUTE(SUBSTITUTE(SUBSTITUTE(SUBSTITUTE(SUBSTITUTE(LOWER(Registro!$G298),"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",LEN(Registro!$G298))),({1,2,3,4,5,6,7,8,9,10,11,12,13,14,15,16,17,18,19,20,21,22,23,24,25,26,27,28,29,30}-1)*LEN(Registro!$G298)+1,LEN(Registro!$G298))),FIND("x",TRIM(MID(SUBSTITUTE(SUBSTITUTE(SUBSTITUTE(SUBSTITUTE(SUBSTITUTE(LOWER(Registro!$G298),"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",LEN(Registro!$G298))),({1,2,3,4,5,6,7,8,9,10,11,12,13,14,15,16,17,18,19,20,21,22,23,24,25,26,27,28,29,30}-1)*LEN(Registro!$G298)+1,LEN(Registro!$G298)))&amp;"x")-1))),"Revisar formato")))</f>
        <v/>
      </c>
      <c r="I298" s="11" t="str">
        <f>IF(Registro!$G298="","",IF(ISERROR(FIND("x",LOWER(Registro!$G298))),N(Registro!$H298),IFERROR(SUMPRODUCT(--("0"&amp;LEFT(TRIM(MID(SUBSTITUTE(SUBSTITUTE(SUBSTITUTE(SUBSTITUTE(SUBSTITUTE(LOWER(Registro!$G298),"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",LEN(Registro!$G298))),({1,2,3,4,5,6,7,8,9,10,11,12,13,14,15,16,17,18,19,20,21,22,23,24,25,26,27,28,29,30}-1)*LEN(Registro!$G298)+1,LEN(Registro!$G298))),FIND("x",TRIM(MID(SUBSTITUTE(SUBSTITUTE(SUBSTITUTE(SUBSTITUTE(SUBSTITUTE(LOWER(Registro!$G298),"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",LEN(Registro!$G298))),({1,2,3,4,5,6,7,8,9,10,11,12,13,14,15,16,17,18,19,20,21,22,23,24,25,26,27,28,29,30}-1)*LEN(Registro!$G298)+1,LEN(Registro!$G298)))&amp;"x")-1)),--("0"&amp;MID(TRIM(MID(SUBSTITUTE(SUBSTITUTE(SUBSTITUTE(SUBSTITUTE(SUBSTITUTE(LOWER(Registro!$G298),"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",LEN(Registro!$G298))),({1,2,3,4,5,6,7,8,9,10,11,12,13,14,15,16,17,18,19,20,21,22,23,24,25,26,27,28,29,30}-1)*LEN(Registro!$G298)+1,LEN(Registro!$G298))),FIND("x",TRIM(MID(SUBSTITUTE(SUBSTITUTE(SUBSTITUTE(SUBSTITUTE(SUBSTITUTE(LOWER(Registro!$G298),"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",LEN(Registro!$G298))),({1,2,3,4,5,6,7,8,9,10,11,12,13,14,15,16,17,18,19,20,21,22,23,24,25,26,27,28,29,30}-1)*LEN(Registro!$G298)+1,LEN(Registro!$G298)))&amp;"x")+1,20))),"Revisar formato")))</f>
        <v/>
      </c>
      <c r="J298" s="9" t="str">
        <f>IF(AND(Registro!$E298="",Registro!$G298=""),"",IF(NOT(AND(ISNUMBER(I298),ISNUMBER(Registro!$H298))),"",IF(I298&lt;Registro!$H298,"FALTA BOLETOS",IF(I298=Registro!$H298,"CONFORME","DIFERENCIA"))))</f>
        <v/>
      </c>
      <c r="K298" s="11" t="str">
        <f>IF(Registro!$I298="","",IFERROR(SUMPRODUCT(--("0"&amp;TRIM(RIGHT(SUBSTITUTE(TRIM(MID(SUBSTITUTE(SUBSTITUTE(Registro!$I298,";",CHAR(10)),CHAR(10),REPT(" ",LEN(Registro!$I298))),({1,2,3,4,5,6,7,8,9,10,11,12,13,14,15,16,17,18,19,20,21,22,23,24,25,26,27,28,29,30}-1)*LEN(Registro!$I298)+1,LEN(Registro!$I298)))," ",REPT(" ",50)),50)))),"Revisar formato"))</f>
        <v/>
      </c>
      <c r="L298" s="11" t="str">
        <f>IF(Registro!$J298="","",IFERROR(SUMPRODUCT(--("0"&amp;TRIM(RIGHT(SUBSTITUTE(TRIM(MID(SUBSTITUTE(SUBSTITUTE(Registro!$J298,";",CHAR(10)),CHAR(10),REPT(" ",LEN(Registro!$J298))),({1,2,3,4,5,6,7,8,9,10,11,12,13,14,15,16,17,18,19,20,21,22,23,24,25,26,27,28,29,30}-1)*LEN(Registro!$J298)+1,LEN(Registro!$J298)))," ",REPT(" ",50)),50)))),"Revisar formato"))</f>
        <v/>
      </c>
      <c r="M298" s="11" t="str">
        <f>IF(AND(Registro!$H298="",Registro!$I298=""),"",IF(AND(ISTEXT(K298),K298&lt;&gt;""),"Revisar formato",N(Registro!$H298)-N(K298)))</f>
        <v/>
      </c>
      <c r="N298" s="11" t="str">
        <f t="shared" si="14"/>
        <v/>
      </c>
      <c r="O298" s="15" t="str">
        <f>IF(AND(A298=Consulta!$B$3,C298=Consulta!$H$3),B298*10000+ROW(),"")</f>
        <v/>
      </c>
    </row>
    <row r="299" spans="1:15" x14ac:dyDescent="0.25">
      <c r="A299" s="9" t="str">
        <f>IF(Registro!$A299="","",Registro!$A299)</f>
        <v/>
      </c>
      <c r="B299" s="8" t="str">
        <f>IF(Registro!$B299="","",Registro!$B299)</f>
        <v/>
      </c>
      <c r="C299" s="14" t="str">
        <f t="shared" si="12"/>
        <v/>
      </c>
      <c r="D299" s="10" t="str">
        <f>IF(Registro!$E299="","",IF(ISERROR(FIND("x",LOWER(Registro!$E299))),"-",IFERROR(SUMPRODUCT(--("0"&amp;LEFT(TRIM(MID(SUBSTITUTE(SUBSTITUTE(SUBSTITUTE(SUBSTITUTE(SUBSTITUTE(LOWER(Registro!$E299),"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",LEN(Registro!$E299))),({1,2,3,4,5,6,7,8,9,10,11,12,13,14,15,16,17,18,19,20,21,22,23,24,25,26,27,28,29,30}-1)*LEN(Registro!$E299)+1,LEN(Registro!$E299)))&amp;"x")-1))),"Revisar formato")))</f>
        <v/>
      </c>
      <c r="E299" s="11" t="str">
        <f>IF(Registro!$E299="","",IF(ISERROR(FIND("x",LOWER(Registro!$E299))),"-",IFERROR(SUMPRODUCT(--("0"&amp;LEFT(TRIM(MID(SUBSTITUTE(SUBSTITUTE(SUBSTITUTE(SUBSTITUTE(SUBSTITUTE(LOWER(Registro!$E299),"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",LEN(Registro!$E299))),({1,2,3,4,5,6,7,8,9,10,11,12,13,14,15,16,17,18,19,20,21,22,23,24,25,26,27,28,29,30}-1)*LEN(Registro!$E299)+1,LEN(Registro!$E299)))&amp;"x")-1)),--("0"&amp;MID(TRIM(MID(SUBSTITUTE(SUBSTITUTE(SUBSTITUTE(SUBSTITUTE(SUBSTITUTE(LOWER(Registro!$E299),"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",LEN(Registro!$E299))),({1,2,3,4,5,6,7,8,9,10,11,12,13,14,15,16,17,18,19,20,21,22,23,24,25,26,27,28,29,30}-1)*LEN(Registro!$E299)+1,LEN(Registro!$E299)))&amp;"x")+1,20))),"Revisar formato")))</f>
        <v/>
      </c>
      <c r="F299" s="11" t="str">
        <f>IF(Registro!$F299="","",N(Registro!$F299))</f>
        <v/>
      </c>
      <c r="G299" s="11" t="str">
        <f t="shared" si="13"/>
        <v/>
      </c>
      <c r="H299" s="10" t="str">
        <f>IF(Registro!$G299="","",IF(ISERROR(FIND("x",LOWER(Registro!$G299))),"-",IFERROR(SUMPRODUCT(--("0"&amp;LEFT(TRIM(MID(SUBSTITUTE(SUBSTITUTE(SUBSTITUTE(SUBSTITUTE(SUBSTITUTE(LOWER(Registro!$G299),"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",LEN(Registro!$G299))),({1,2,3,4,5,6,7,8,9,10,11,12,13,14,15,16,17,18,19,20,21,22,23,24,25,26,27,28,29,30}-1)*LEN(Registro!$G299)+1,LEN(Registro!$G299))),FIND("x",TRIM(MID(SUBSTITUTE(SUBSTITUTE(SUBSTITUTE(SUBSTITUTE(SUBSTITUTE(LOWER(Registro!$G299),"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",LEN(Registro!$G299))),({1,2,3,4,5,6,7,8,9,10,11,12,13,14,15,16,17,18,19,20,21,22,23,24,25,26,27,28,29,30}-1)*LEN(Registro!$G299)+1,LEN(Registro!$G299)))&amp;"x")-1))),"Revisar formato")))</f>
        <v/>
      </c>
      <c r="I299" s="11" t="str">
        <f>IF(Registro!$G299="","",IF(ISERROR(FIND("x",LOWER(Registro!$G299))),N(Registro!$H299),IFERROR(SUMPRODUCT(--("0"&amp;LEFT(TRIM(MID(SUBSTITUTE(SUBSTITUTE(SUBSTITUTE(SUBSTITUTE(SUBSTITUTE(LOWER(Registro!$G299),"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",LEN(Registro!$G299))),({1,2,3,4,5,6,7,8,9,10,11,12,13,14,15,16,17,18,19,20,21,22,23,24,25,26,27,28,29,30}-1)*LEN(Registro!$G299)+1,LEN(Registro!$G299))),FIND("x",TRIM(MID(SUBSTITUTE(SUBSTITUTE(SUBSTITUTE(SUBSTITUTE(SUBSTITUTE(LOWER(Registro!$G299),"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",LEN(Registro!$G299))),({1,2,3,4,5,6,7,8,9,10,11,12,13,14,15,16,17,18,19,20,21,22,23,24,25,26,27,28,29,30}-1)*LEN(Registro!$G299)+1,LEN(Registro!$G299)))&amp;"x")-1)),--("0"&amp;MID(TRIM(MID(SUBSTITUTE(SUBSTITUTE(SUBSTITUTE(SUBSTITUTE(SUBSTITUTE(LOWER(Registro!$G299),"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",LEN(Registro!$G299))),({1,2,3,4,5,6,7,8,9,10,11,12,13,14,15,16,17,18,19,20,21,22,23,24,25,26,27,28,29,30}-1)*LEN(Registro!$G299)+1,LEN(Registro!$G299))),FIND("x",TRIM(MID(SUBSTITUTE(SUBSTITUTE(SUBSTITUTE(SUBSTITUTE(SUBSTITUTE(LOWER(Registro!$G299),"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",LEN(Registro!$G299))),({1,2,3,4,5,6,7,8,9,10,11,12,13,14,15,16,17,18,19,20,21,22,23,24,25,26,27,28,29,30}-1)*LEN(Registro!$G299)+1,LEN(Registro!$G299)))&amp;"x")+1,20))),"Revisar formato")))</f>
        <v/>
      </c>
      <c r="J299" s="9" t="str">
        <f>IF(AND(Registro!$E299="",Registro!$G299=""),"",IF(NOT(AND(ISNUMBER(I299),ISNUMBER(Registro!$H299))),"",IF(I299&lt;Registro!$H299,"FALTA BOLETOS",IF(I299=Registro!$H299,"CONFORME","DIFERENCIA"))))</f>
        <v/>
      </c>
      <c r="K299" s="11" t="str">
        <f>IF(Registro!$I299="","",IFERROR(SUMPRODUCT(--("0"&amp;TRIM(RIGHT(SUBSTITUTE(TRIM(MID(SUBSTITUTE(SUBSTITUTE(Registro!$I299,";",CHAR(10)),CHAR(10),REPT(" ",LEN(Registro!$I299))),({1,2,3,4,5,6,7,8,9,10,11,12,13,14,15,16,17,18,19,20,21,22,23,24,25,26,27,28,29,30}-1)*LEN(Registro!$I299)+1,LEN(Registro!$I299)))," ",REPT(" ",50)),50)))),"Revisar formato"))</f>
        <v/>
      </c>
      <c r="L299" s="11" t="str">
        <f>IF(Registro!$J299="","",IFERROR(SUMPRODUCT(--("0"&amp;TRIM(RIGHT(SUBSTITUTE(TRIM(MID(SUBSTITUTE(SUBSTITUTE(Registro!$J299,";",CHAR(10)),CHAR(10),REPT(" ",LEN(Registro!$J299))),({1,2,3,4,5,6,7,8,9,10,11,12,13,14,15,16,17,18,19,20,21,22,23,24,25,26,27,28,29,30}-1)*LEN(Registro!$J299)+1,LEN(Registro!$J299)))," ",REPT(" ",50)),50)))),"Revisar formato"))</f>
        <v/>
      </c>
      <c r="M299" s="11" t="str">
        <f>IF(AND(Registro!$H299="",Registro!$I299=""),"",IF(AND(ISTEXT(K299),K299&lt;&gt;""),"Revisar formato",N(Registro!$H299)-N(K299)))</f>
        <v/>
      </c>
      <c r="N299" s="11" t="str">
        <f t="shared" si="14"/>
        <v/>
      </c>
      <c r="O299" s="15" t="str">
        <f>IF(AND(A299=Consulta!$B$3,C299=Consulta!$H$3),B299*10000+ROW(),"")</f>
        <v/>
      </c>
    </row>
    <row r="300" spans="1:15" x14ac:dyDescent="0.25">
      <c r="A300" s="9" t="str">
        <f>IF(Registro!$A300="","",Registro!$A300)</f>
        <v/>
      </c>
      <c r="B300" s="8" t="str">
        <f>IF(Registro!$B300="","",Registro!$B300)</f>
        <v/>
      </c>
      <c r="C300" s="14" t="str">
        <f t="shared" si="12"/>
        <v/>
      </c>
      <c r="D300" s="10" t="str">
        <f>IF(Registro!$E300="","",IF(ISERROR(FIND("x",LOWER(Registro!$E300))),"-",IFERROR(SUMPRODUCT(--("0"&amp;LEFT(TRIM(MID(SUBSTITUTE(SUBSTITUTE(SUBSTITUTE(SUBSTITUTE(SUBSTITUTE(LOWER(Registro!$E300),"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",LEN(Registro!$E300))),({1,2,3,4,5,6,7,8,9,10,11,12,13,14,15,16,17,18,19,20,21,22,23,24,25,26,27,28,29,30}-1)*LEN(Registro!$E300)+1,LEN(Registro!$E300)))&amp;"x")-1))),"Revisar formato")))</f>
        <v/>
      </c>
      <c r="E300" s="11" t="str">
        <f>IF(Registro!$E300="","",IF(ISERROR(FIND("x",LOWER(Registro!$E300))),"-",IFERROR(SUMPRODUCT(--("0"&amp;LEFT(TRIM(MID(SUBSTITUTE(SUBSTITUTE(SUBSTITUTE(SUBSTITUTE(SUBSTITUTE(LOWER(Registro!$E300),"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",LEN(Registro!$E300))),({1,2,3,4,5,6,7,8,9,10,11,12,13,14,15,16,17,18,19,20,21,22,23,24,25,26,27,28,29,30}-1)*LEN(Registro!$E300)+1,LEN(Registro!$E300)))&amp;"x")-1)),--("0"&amp;MID(TRIM(MID(SUBSTITUTE(SUBSTITUTE(SUBSTITUTE(SUBSTITUTE(SUBSTITUTE(LOWER(Registro!$E300),"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",LEN(Registro!$E300))),({1,2,3,4,5,6,7,8,9,10,11,12,13,14,15,16,17,18,19,20,21,22,23,24,25,26,27,28,29,30}-1)*LEN(Registro!$E300)+1,LEN(Registro!$E300)))&amp;"x")+1,20))),"Revisar formato")))</f>
        <v/>
      </c>
      <c r="F300" s="11" t="str">
        <f>IF(Registro!$F300="","",N(Registro!$F300))</f>
        <v/>
      </c>
      <c r="G300" s="11" t="str">
        <f t="shared" si="13"/>
        <v/>
      </c>
      <c r="H300" s="10" t="str">
        <f>IF(Registro!$G300="","",IF(ISERROR(FIND("x",LOWER(Registro!$G300))),"-",IFERROR(SUMPRODUCT(--("0"&amp;LEFT(TRIM(MID(SUBSTITUTE(SUBSTITUTE(SUBSTITUTE(SUBSTITUTE(SUBSTITUTE(LOWER(Registro!$G300),"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",LEN(Registro!$G300))),({1,2,3,4,5,6,7,8,9,10,11,12,13,14,15,16,17,18,19,20,21,22,23,24,25,26,27,28,29,30}-1)*LEN(Registro!$G300)+1,LEN(Registro!$G300))),FIND("x",TRIM(MID(SUBSTITUTE(SUBSTITUTE(SUBSTITUTE(SUBSTITUTE(SUBSTITUTE(LOWER(Registro!$G300),"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",LEN(Registro!$G300))),({1,2,3,4,5,6,7,8,9,10,11,12,13,14,15,16,17,18,19,20,21,22,23,24,25,26,27,28,29,30}-1)*LEN(Registro!$G300)+1,LEN(Registro!$G300)))&amp;"x")-1))),"Revisar formato")))</f>
        <v/>
      </c>
      <c r="I300" s="11" t="str">
        <f>IF(Registro!$G300="","",IF(ISERROR(FIND("x",LOWER(Registro!$G300))),N(Registro!$H300),IFERROR(SUMPRODUCT(--("0"&amp;LEFT(TRIM(MID(SUBSTITUTE(SUBSTITUTE(SUBSTITUTE(SUBSTITUTE(SUBSTITUTE(LOWER(Registro!$G300),"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",LEN(Registro!$G300))),({1,2,3,4,5,6,7,8,9,10,11,12,13,14,15,16,17,18,19,20,21,22,23,24,25,26,27,28,29,30}-1)*LEN(Registro!$G300)+1,LEN(Registro!$G300))),FIND("x",TRIM(MID(SUBSTITUTE(SUBSTITUTE(SUBSTITUTE(SUBSTITUTE(SUBSTITUTE(LOWER(Registro!$G300),"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",LEN(Registro!$G300))),({1,2,3,4,5,6,7,8,9,10,11,12,13,14,15,16,17,18,19,20,21,22,23,24,25,26,27,28,29,30}-1)*LEN(Registro!$G300)+1,LEN(Registro!$G300)))&amp;"x")-1)),--("0"&amp;MID(TRIM(MID(SUBSTITUTE(SUBSTITUTE(SUBSTITUTE(SUBSTITUTE(SUBSTITUTE(LOWER(Registro!$G300),"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",LEN(Registro!$G300))),({1,2,3,4,5,6,7,8,9,10,11,12,13,14,15,16,17,18,19,20,21,22,23,24,25,26,27,28,29,30}-1)*LEN(Registro!$G300)+1,LEN(Registro!$G300))),FIND("x",TRIM(MID(SUBSTITUTE(SUBSTITUTE(SUBSTITUTE(SUBSTITUTE(SUBSTITUTE(LOWER(Registro!$G300),"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",LEN(Registro!$G300))),({1,2,3,4,5,6,7,8,9,10,11,12,13,14,15,16,17,18,19,20,21,22,23,24,25,26,27,28,29,30}-1)*LEN(Registro!$G300)+1,LEN(Registro!$G300)))&amp;"x")+1,20))),"Revisar formato")))</f>
        <v/>
      </c>
      <c r="J300" s="9" t="str">
        <f>IF(AND(Registro!$E300="",Registro!$G300=""),"",IF(NOT(AND(ISNUMBER(I300),ISNUMBER(Registro!$H300))),"",IF(I300&lt;Registro!$H300,"FALTA BOLETOS",IF(I300=Registro!$H300,"CONFORME","DIFERENCIA"))))</f>
        <v/>
      </c>
      <c r="K300" s="11" t="str">
        <f>IF(Registro!$I300="","",IFERROR(SUMPRODUCT(--("0"&amp;TRIM(RIGHT(SUBSTITUTE(TRIM(MID(SUBSTITUTE(SUBSTITUTE(Registro!$I300,";",CHAR(10)),CHAR(10),REPT(" ",LEN(Registro!$I300))),({1,2,3,4,5,6,7,8,9,10,11,12,13,14,15,16,17,18,19,20,21,22,23,24,25,26,27,28,29,30}-1)*LEN(Registro!$I300)+1,LEN(Registro!$I300)))," ",REPT(" ",50)),50)))),"Revisar formato"))</f>
        <v/>
      </c>
      <c r="L300" s="11" t="str">
        <f>IF(Registro!$J300="","",IFERROR(SUMPRODUCT(--("0"&amp;TRIM(RIGHT(SUBSTITUTE(TRIM(MID(SUBSTITUTE(SUBSTITUTE(Registro!$J300,";",CHAR(10)),CHAR(10),REPT(" ",LEN(Registro!$J300))),({1,2,3,4,5,6,7,8,9,10,11,12,13,14,15,16,17,18,19,20,21,22,23,24,25,26,27,28,29,30}-1)*LEN(Registro!$J300)+1,LEN(Registro!$J300)))," ",REPT(" ",50)),50)))),"Revisar formato"))</f>
        <v/>
      </c>
      <c r="M300" s="11" t="str">
        <f>IF(AND(Registro!$H300="",Registro!$I300=""),"",IF(AND(ISTEXT(K300),K300&lt;&gt;""),"Revisar formato",N(Registro!$H300)-N(K300)))</f>
        <v/>
      </c>
      <c r="N300" s="11" t="str">
        <f t="shared" si="14"/>
        <v/>
      </c>
      <c r="O300" s="15" t="str">
        <f>IF(AND(A300=Consulta!$B$3,C300=Consulta!$H$3),B300*10000+ROW(),"")</f>
        <v/>
      </c>
    </row>
    <row r="301" spans="1:15" x14ac:dyDescent="0.25">
      <c r="A301" s="9" t="str">
        <f>IF(Registro!$A301="","",Registro!$A301)</f>
        <v/>
      </c>
      <c r="B301" s="8" t="str">
        <f>IF(Registro!$B301="","",Registro!$B301)</f>
        <v/>
      </c>
      <c r="C301" s="14" t="str">
        <f t="shared" si="12"/>
        <v/>
      </c>
      <c r="D301" s="10" t="str">
        <f>IF(Registro!$E301="","",IF(ISERROR(FIND("x",LOWER(Registro!$E301))),"-",IFERROR(SUMPRODUCT(--("0"&amp;LEFT(TRIM(MID(SUBSTITUTE(SUBSTITUTE(SUBSTITUTE(SUBSTITUTE(SUBSTITUTE(LOWER(Registro!$E301),"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",LEN(Registro!$E301))),({1,2,3,4,5,6,7,8,9,10,11,12,13,14,15,16,17,18,19,20,21,22,23,24,25,26,27,28,29,30}-1)*LEN(Registro!$E301)+1,LEN(Registro!$E301)))&amp;"x")-1))),"Revisar formato")))</f>
        <v/>
      </c>
      <c r="E301" s="11" t="str">
        <f>IF(Registro!$E301="","",IF(ISERROR(FIND("x",LOWER(Registro!$E301))),"-",IFERROR(SUMPRODUCT(--("0"&amp;LEFT(TRIM(MID(SUBSTITUTE(SUBSTITUTE(SUBSTITUTE(SUBSTITUTE(SUBSTITUTE(LOWER(Registro!$E301),"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",LEN(Registro!$E301))),({1,2,3,4,5,6,7,8,9,10,11,12,13,14,15,16,17,18,19,20,21,22,23,24,25,26,27,28,29,30}-1)*LEN(Registro!$E301)+1,LEN(Registro!$E301)))&amp;"x")-1)),--("0"&amp;MID(TRIM(MID(SUBSTITUTE(SUBSTITUTE(SUBSTITUTE(SUBSTITUTE(SUBSTITUTE(LOWER(Registro!$E301),"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",LEN(Registro!$E301))),({1,2,3,4,5,6,7,8,9,10,11,12,13,14,15,16,17,18,19,20,21,22,23,24,25,26,27,28,29,30}-1)*LEN(Registro!$E301)+1,LEN(Registro!$E301)))&amp;"x")+1,20))),"Revisar formato")))</f>
        <v/>
      </c>
      <c r="F301" s="11" t="str">
        <f>IF(Registro!$F301="","",N(Registro!$F301))</f>
        <v/>
      </c>
      <c r="G301" s="11" t="str">
        <f t="shared" si="13"/>
        <v/>
      </c>
      <c r="H301" s="10" t="str">
        <f>IF(Registro!$G301="","",IF(ISERROR(FIND("x",LOWER(Registro!$G301))),"-",IFERROR(SUMPRODUCT(--("0"&amp;LEFT(TRIM(MID(SUBSTITUTE(SUBSTITUTE(SUBSTITUTE(SUBSTITUTE(SUBSTITUTE(LOWER(Registro!$G301),"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",LEN(Registro!$G301))),({1,2,3,4,5,6,7,8,9,10,11,12,13,14,15,16,17,18,19,20,21,22,23,24,25,26,27,28,29,30}-1)*LEN(Registro!$G301)+1,LEN(Registro!$G301))),FIND("x",TRIM(MID(SUBSTITUTE(SUBSTITUTE(SUBSTITUTE(SUBSTITUTE(SUBSTITUTE(LOWER(Registro!$G301),"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",LEN(Registro!$G301))),({1,2,3,4,5,6,7,8,9,10,11,12,13,14,15,16,17,18,19,20,21,22,23,24,25,26,27,28,29,30}-1)*LEN(Registro!$G301)+1,LEN(Registro!$G301)))&amp;"x")-1))),"Revisar formato")))</f>
        <v/>
      </c>
      <c r="I301" s="11" t="str">
        <f>IF(Registro!$G301="","",IF(ISERROR(FIND("x",LOWER(Registro!$G301))),N(Registro!$H301),IFERROR(SUMPRODUCT(--("0"&amp;LEFT(TRIM(MID(SUBSTITUTE(SUBSTITUTE(SUBSTITUTE(SUBSTITUTE(SUBSTITUTE(LOWER(Registro!$G301),"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",LEN(Registro!$G301))),({1,2,3,4,5,6,7,8,9,10,11,12,13,14,15,16,17,18,19,20,21,22,23,24,25,26,27,28,29,30}-1)*LEN(Registro!$G301)+1,LEN(Registro!$G301))),FIND("x",TRIM(MID(SUBSTITUTE(SUBSTITUTE(SUBSTITUTE(SUBSTITUTE(SUBSTITUTE(LOWER(Registro!$G301),"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",LEN(Registro!$G301))),({1,2,3,4,5,6,7,8,9,10,11,12,13,14,15,16,17,18,19,20,21,22,23,24,25,26,27,28,29,30}-1)*LEN(Registro!$G301)+1,LEN(Registro!$G301)))&amp;"x")-1)),--("0"&amp;MID(TRIM(MID(SUBSTITUTE(SUBSTITUTE(SUBSTITUTE(SUBSTITUTE(SUBSTITUTE(LOWER(Registro!$G301),"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",LEN(Registro!$G301))),({1,2,3,4,5,6,7,8,9,10,11,12,13,14,15,16,17,18,19,20,21,22,23,24,25,26,27,28,29,30}-1)*LEN(Registro!$G301)+1,LEN(Registro!$G301))),FIND("x",TRIM(MID(SUBSTITUTE(SUBSTITUTE(SUBSTITUTE(SUBSTITUTE(SUBSTITUTE(LOWER(Registro!$G301),"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",LEN(Registro!$G301))),({1,2,3,4,5,6,7,8,9,10,11,12,13,14,15,16,17,18,19,20,21,22,23,24,25,26,27,28,29,30}-1)*LEN(Registro!$G301)+1,LEN(Registro!$G301)))&amp;"x")+1,20))),"Revisar formato")))</f>
        <v/>
      </c>
      <c r="J301" s="9" t="str">
        <f>IF(AND(Registro!$E301="",Registro!$G301=""),"",IF(NOT(AND(ISNUMBER(I301),ISNUMBER(Registro!$H301))),"",IF(I301&lt;Registro!$H301,"FALTA BOLETOS",IF(I301=Registro!$H301,"CONFORME","DIFERENCIA"))))</f>
        <v/>
      </c>
      <c r="K301" s="11" t="str">
        <f>IF(Registro!$I301="","",IFERROR(SUMPRODUCT(--("0"&amp;TRIM(RIGHT(SUBSTITUTE(TRIM(MID(SUBSTITUTE(SUBSTITUTE(Registro!$I301,";",CHAR(10)),CHAR(10),REPT(" ",LEN(Registro!$I301))),({1,2,3,4,5,6,7,8,9,10,11,12,13,14,15,16,17,18,19,20,21,22,23,24,25,26,27,28,29,30}-1)*LEN(Registro!$I301)+1,LEN(Registro!$I301)))," ",REPT(" ",50)),50)))),"Revisar formato"))</f>
        <v/>
      </c>
      <c r="L301" s="11" t="str">
        <f>IF(Registro!$J301="","",IFERROR(SUMPRODUCT(--("0"&amp;TRIM(RIGHT(SUBSTITUTE(TRIM(MID(SUBSTITUTE(SUBSTITUTE(Registro!$J301,";",CHAR(10)),CHAR(10),REPT(" ",LEN(Registro!$J301))),({1,2,3,4,5,6,7,8,9,10,11,12,13,14,15,16,17,18,19,20,21,22,23,24,25,26,27,28,29,30}-1)*LEN(Registro!$J301)+1,LEN(Registro!$J301)))," ",REPT(" ",50)),50)))),"Revisar formato"))</f>
        <v/>
      </c>
      <c r="M301" s="11" t="str">
        <f>IF(AND(Registro!$H301="",Registro!$I301=""),"",IF(AND(ISTEXT(K301),K301&lt;&gt;""),"Revisar formato",N(Registro!$H301)-N(K301)))</f>
        <v/>
      </c>
      <c r="N301" s="11" t="str">
        <f t="shared" si="14"/>
        <v/>
      </c>
      <c r="O301" s="15" t="str">
        <f>IF(AND(A301=Consulta!$B$3,C301=Consulta!$H$3),B301*10000+ROW(),"")</f>
        <v/>
      </c>
    </row>
    <row r="302" spans="1:15" x14ac:dyDescent="0.25">
      <c r="A302" s="9" t="str">
        <f>IF(Registro!$A302="","",Registro!$A302)</f>
        <v/>
      </c>
      <c r="B302" s="8" t="str">
        <f>IF(Registro!$B302="","",Registro!$B302)</f>
        <v/>
      </c>
      <c r="C302" s="14" t="str">
        <f t="shared" si="12"/>
        <v/>
      </c>
      <c r="D302" s="10" t="str">
        <f>IF(Registro!$E302="","",IF(ISERROR(FIND("x",LOWER(Registro!$E302))),"-",IFERROR(SUMPRODUCT(--("0"&amp;LEFT(TRIM(MID(SUBSTITUTE(SUBSTITUTE(SUBSTITUTE(SUBSTITUTE(SUBSTITUTE(LOWER(Registro!$E302),"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",LEN(Registro!$E302))),({1,2,3,4,5,6,7,8,9,10,11,12,13,14,15,16,17,18,19,20,21,22,23,24,25,26,27,28,29,30}-1)*LEN(Registro!$E302)+1,LEN(Registro!$E302)))&amp;"x")-1))),"Revisar formato")))</f>
        <v/>
      </c>
      <c r="E302" s="11" t="str">
        <f>IF(Registro!$E302="","",IF(ISERROR(FIND("x",LOWER(Registro!$E302))),"-",IFERROR(SUMPRODUCT(--("0"&amp;LEFT(TRIM(MID(SUBSTITUTE(SUBSTITUTE(SUBSTITUTE(SUBSTITUTE(SUBSTITUTE(LOWER(Registro!$E302),"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",LEN(Registro!$E302))),({1,2,3,4,5,6,7,8,9,10,11,12,13,14,15,16,17,18,19,20,21,22,23,24,25,26,27,28,29,30}-1)*LEN(Registro!$E302)+1,LEN(Registro!$E302)))&amp;"x")-1)),--("0"&amp;MID(TRIM(MID(SUBSTITUTE(SUBSTITUTE(SUBSTITUTE(SUBSTITUTE(SUBSTITUTE(LOWER(Registro!$E302),"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",LEN(Registro!$E302))),({1,2,3,4,5,6,7,8,9,10,11,12,13,14,15,16,17,18,19,20,21,22,23,24,25,26,27,28,29,30}-1)*LEN(Registro!$E302)+1,LEN(Registro!$E302)))&amp;"x")+1,20))),"Revisar formato")))</f>
        <v/>
      </c>
      <c r="F302" s="11" t="str">
        <f>IF(Registro!$F302="","",N(Registro!$F302))</f>
        <v/>
      </c>
      <c r="G302" s="11" t="str">
        <f t="shared" si="13"/>
        <v/>
      </c>
      <c r="H302" s="10" t="str">
        <f>IF(Registro!$G302="","",IF(ISERROR(FIND("x",LOWER(Registro!$G302))),"-",IFERROR(SUMPRODUCT(--("0"&amp;LEFT(TRIM(MID(SUBSTITUTE(SUBSTITUTE(SUBSTITUTE(SUBSTITUTE(SUBSTITUTE(LOWER(Registro!$G302),"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",LEN(Registro!$G302))),({1,2,3,4,5,6,7,8,9,10,11,12,13,14,15,16,17,18,19,20,21,22,23,24,25,26,27,28,29,30}-1)*LEN(Registro!$G302)+1,LEN(Registro!$G302))),FIND("x",TRIM(MID(SUBSTITUTE(SUBSTITUTE(SUBSTITUTE(SUBSTITUTE(SUBSTITUTE(LOWER(Registro!$G302),"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",LEN(Registro!$G302))),({1,2,3,4,5,6,7,8,9,10,11,12,13,14,15,16,17,18,19,20,21,22,23,24,25,26,27,28,29,30}-1)*LEN(Registro!$G302)+1,LEN(Registro!$G302)))&amp;"x")-1))),"Revisar formato")))</f>
        <v/>
      </c>
      <c r="I302" s="11" t="str">
        <f>IF(Registro!$G302="","",IF(ISERROR(FIND("x",LOWER(Registro!$G302))),N(Registro!$H302),IFERROR(SUMPRODUCT(--("0"&amp;LEFT(TRIM(MID(SUBSTITUTE(SUBSTITUTE(SUBSTITUTE(SUBSTITUTE(SUBSTITUTE(LOWER(Registro!$G302),"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",LEN(Registro!$G302))),({1,2,3,4,5,6,7,8,9,10,11,12,13,14,15,16,17,18,19,20,21,22,23,24,25,26,27,28,29,30}-1)*LEN(Registro!$G302)+1,LEN(Registro!$G302))),FIND("x",TRIM(MID(SUBSTITUTE(SUBSTITUTE(SUBSTITUTE(SUBSTITUTE(SUBSTITUTE(LOWER(Registro!$G302),"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",LEN(Registro!$G302))),({1,2,3,4,5,6,7,8,9,10,11,12,13,14,15,16,17,18,19,20,21,22,23,24,25,26,27,28,29,30}-1)*LEN(Registro!$G302)+1,LEN(Registro!$G302)))&amp;"x")-1)),--("0"&amp;MID(TRIM(MID(SUBSTITUTE(SUBSTITUTE(SUBSTITUTE(SUBSTITUTE(SUBSTITUTE(LOWER(Registro!$G302),"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",LEN(Registro!$G302))),({1,2,3,4,5,6,7,8,9,10,11,12,13,14,15,16,17,18,19,20,21,22,23,24,25,26,27,28,29,30}-1)*LEN(Registro!$G302)+1,LEN(Registro!$G302))),FIND("x",TRIM(MID(SUBSTITUTE(SUBSTITUTE(SUBSTITUTE(SUBSTITUTE(SUBSTITUTE(LOWER(Registro!$G302),"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",LEN(Registro!$G302))),({1,2,3,4,5,6,7,8,9,10,11,12,13,14,15,16,17,18,19,20,21,22,23,24,25,26,27,28,29,30}-1)*LEN(Registro!$G302)+1,LEN(Registro!$G302)))&amp;"x")+1,20))),"Revisar formato")))</f>
        <v/>
      </c>
      <c r="J302" s="9" t="str">
        <f>IF(AND(Registro!$E302="",Registro!$G302=""),"",IF(NOT(AND(ISNUMBER(I302),ISNUMBER(Registro!$H302))),"",IF(I302&lt;Registro!$H302,"FALTA BOLETOS",IF(I302=Registro!$H302,"CONFORME","DIFERENCIA"))))</f>
        <v/>
      </c>
      <c r="K302" s="11" t="str">
        <f>IF(Registro!$I302="","",IFERROR(SUMPRODUCT(--("0"&amp;TRIM(RIGHT(SUBSTITUTE(TRIM(MID(SUBSTITUTE(SUBSTITUTE(Registro!$I302,";",CHAR(10)),CHAR(10),REPT(" ",LEN(Registro!$I302))),({1,2,3,4,5,6,7,8,9,10,11,12,13,14,15,16,17,18,19,20,21,22,23,24,25,26,27,28,29,30}-1)*LEN(Registro!$I302)+1,LEN(Registro!$I302)))," ",REPT(" ",50)),50)))),"Revisar formato"))</f>
        <v/>
      </c>
      <c r="L302" s="11" t="str">
        <f>IF(Registro!$J302="","",IFERROR(SUMPRODUCT(--("0"&amp;TRIM(RIGHT(SUBSTITUTE(TRIM(MID(SUBSTITUTE(SUBSTITUTE(Registro!$J302,";",CHAR(10)),CHAR(10),REPT(" ",LEN(Registro!$J302))),({1,2,3,4,5,6,7,8,9,10,11,12,13,14,15,16,17,18,19,20,21,22,23,24,25,26,27,28,29,30}-1)*LEN(Registro!$J302)+1,LEN(Registro!$J302)))," ",REPT(" ",50)),50)))),"Revisar formato"))</f>
        <v/>
      </c>
      <c r="M302" s="11" t="str">
        <f>IF(AND(Registro!$H302="",Registro!$I302=""),"",IF(AND(ISTEXT(K302),K302&lt;&gt;""),"Revisar formato",N(Registro!$H302)-N(K302)))</f>
        <v/>
      </c>
      <c r="N302" s="11" t="str">
        <f t="shared" si="14"/>
        <v/>
      </c>
      <c r="O302" s="15" t="str">
        <f>IF(AND(A302=Consulta!$B$3,C302=Consulta!$H$3),B302*10000+ROW(),"")</f>
        <v/>
      </c>
    </row>
    <row r="303" spans="1:15" x14ac:dyDescent="0.25">
      <c r="A303" s="9" t="str">
        <f>IF(Registro!$A303="","",Registro!$A303)</f>
        <v/>
      </c>
      <c r="B303" s="8" t="str">
        <f>IF(Registro!$B303="","",Registro!$B303)</f>
        <v/>
      </c>
      <c r="C303" s="14" t="str">
        <f t="shared" si="12"/>
        <v/>
      </c>
      <c r="D303" s="10" t="str">
        <f>IF(Registro!$E303="","",IF(ISERROR(FIND("x",LOWER(Registro!$E303))),"-",IFERROR(SUMPRODUCT(--("0"&amp;LEFT(TRIM(MID(SUBSTITUTE(SUBSTITUTE(SUBSTITUTE(SUBSTITUTE(SUBSTITUTE(LOWER(Registro!$E303),"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",LEN(Registro!$E303))),({1,2,3,4,5,6,7,8,9,10,11,12,13,14,15,16,17,18,19,20,21,22,23,24,25,26,27,28,29,30}-1)*LEN(Registro!$E303)+1,LEN(Registro!$E303)))&amp;"x")-1))),"Revisar formato")))</f>
        <v/>
      </c>
      <c r="E303" s="11" t="str">
        <f>IF(Registro!$E303="","",IF(ISERROR(FIND("x",LOWER(Registro!$E303))),"-",IFERROR(SUMPRODUCT(--("0"&amp;LEFT(TRIM(MID(SUBSTITUTE(SUBSTITUTE(SUBSTITUTE(SUBSTITUTE(SUBSTITUTE(LOWER(Registro!$E303),"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",LEN(Registro!$E303))),({1,2,3,4,5,6,7,8,9,10,11,12,13,14,15,16,17,18,19,20,21,22,23,24,25,26,27,28,29,30}-1)*LEN(Registro!$E303)+1,LEN(Registro!$E303)))&amp;"x")-1)),--("0"&amp;MID(TRIM(MID(SUBSTITUTE(SUBSTITUTE(SUBSTITUTE(SUBSTITUTE(SUBSTITUTE(LOWER(Registro!$E303),"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",LEN(Registro!$E303))),({1,2,3,4,5,6,7,8,9,10,11,12,13,14,15,16,17,18,19,20,21,22,23,24,25,26,27,28,29,30}-1)*LEN(Registro!$E303)+1,LEN(Registro!$E303)))&amp;"x")+1,20))),"Revisar formato")))</f>
        <v/>
      </c>
      <c r="F303" s="11" t="str">
        <f>IF(Registro!$F303="","",N(Registro!$F303))</f>
        <v/>
      </c>
      <c r="G303" s="11" t="str">
        <f t="shared" si="13"/>
        <v/>
      </c>
      <c r="H303" s="10" t="str">
        <f>IF(Registro!$G303="","",IF(ISERROR(FIND("x",LOWER(Registro!$G303))),"-",IFERROR(SUMPRODUCT(--("0"&amp;LEFT(TRIM(MID(SUBSTITUTE(SUBSTITUTE(SUBSTITUTE(SUBSTITUTE(SUBSTITUTE(LOWER(Registro!$G303),"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",LEN(Registro!$G303))),({1,2,3,4,5,6,7,8,9,10,11,12,13,14,15,16,17,18,19,20,21,22,23,24,25,26,27,28,29,30}-1)*LEN(Registro!$G303)+1,LEN(Registro!$G303))),FIND("x",TRIM(MID(SUBSTITUTE(SUBSTITUTE(SUBSTITUTE(SUBSTITUTE(SUBSTITUTE(LOWER(Registro!$G303),"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",LEN(Registro!$G303))),({1,2,3,4,5,6,7,8,9,10,11,12,13,14,15,16,17,18,19,20,21,22,23,24,25,26,27,28,29,30}-1)*LEN(Registro!$G303)+1,LEN(Registro!$G303)))&amp;"x")-1))),"Revisar formato")))</f>
        <v/>
      </c>
      <c r="I303" s="11" t="str">
        <f>IF(Registro!$G303="","",IF(ISERROR(FIND("x",LOWER(Registro!$G303))),N(Registro!$H303),IFERROR(SUMPRODUCT(--("0"&amp;LEFT(TRIM(MID(SUBSTITUTE(SUBSTITUTE(SUBSTITUTE(SUBSTITUTE(SUBSTITUTE(LOWER(Registro!$G303),"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",LEN(Registro!$G303))),({1,2,3,4,5,6,7,8,9,10,11,12,13,14,15,16,17,18,19,20,21,22,23,24,25,26,27,28,29,30}-1)*LEN(Registro!$G303)+1,LEN(Registro!$G303))),FIND("x",TRIM(MID(SUBSTITUTE(SUBSTITUTE(SUBSTITUTE(SUBSTITUTE(SUBSTITUTE(LOWER(Registro!$G303),"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",LEN(Registro!$G303))),({1,2,3,4,5,6,7,8,9,10,11,12,13,14,15,16,17,18,19,20,21,22,23,24,25,26,27,28,29,30}-1)*LEN(Registro!$G303)+1,LEN(Registro!$G303)))&amp;"x")-1)),--("0"&amp;MID(TRIM(MID(SUBSTITUTE(SUBSTITUTE(SUBSTITUTE(SUBSTITUTE(SUBSTITUTE(LOWER(Registro!$G303),"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",LEN(Registro!$G303))),({1,2,3,4,5,6,7,8,9,10,11,12,13,14,15,16,17,18,19,20,21,22,23,24,25,26,27,28,29,30}-1)*LEN(Registro!$G303)+1,LEN(Registro!$G303))),FIND("x",TRIM(MID(SUBSTITUTE(SUBSTITUTE(SUBSTITUTE(SUBSTITUTE(SUBSTITUTE(LOWER(Registro!$G303),"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",LEN(Registro!$G303))),({1,2,3,4,5,6,7,8,9,10,11,12,13,14,15,16,17,18,19,20,21,22,23,24,25,26,27,28,29,30}-1)*LEN(Registro!$G303)+1,LEN(Registro!$G303)))&amp;"x")+1,20))),"Revisar formato")))</f>
        <v/>
      </c>
      <c r="J303" s="9" t="str">
        <f>IF(AND(Registro!$E303="",Registro!$G303=""),"",IF(NOT(AND(ISNUMBER(I303),ISNUMBER(Registro!$H303))),"",IF(I303&lt;Registro!$H303,"FALTA BOLETOS",IF(I303=Registro!$H303,"CONFORME","DIFERENCIA"))))</f>
        <v/>
      </c>
      <c r="K303" s="11" t="str">
        <f>IF(Registro!$I303="","",IFERROR(SUMPRODUCT(--("0"&amp;TRIM(RIGHT(SUBSTITUTE(TRIM(MID(SUBSTITUTE(SUBSTITUTE(Registro!$I303,";",CHAR(10)),CHAR(10),REPT(" ",LEN(Registro!$I303))),({1,2,3,4,5,6,7,8,9,10,11,12,13,14,15,16,17,18,19,20,21,22,23,24,25,26,27,28,29,30}-1)*LEN(Registro!$I303)+1,LEN(Registro!$I303)))," ",REPT(" ",50)),50)))),"Revisar formato"))</f>
        <v/>
      </c>
      <c r="L303" s="11" t="str">
        <f>IF(Registro!$J303="","",IFERROR(SUMPRODUCT(--("0"&amp;TRIM(RIGHT(SUBSTITUTE(TRIM(MID(SUBSTITUTE(SUBSTITUTE(Registro!$J303,";",CHAR(10)),CHAR(10),REPT(" ",LEN(Registro!$J303))),({1,2,3,4,5,6,7,8,9,10,11,12,13,14,15,16,17,18,19,20,21,22,23,24,25,26,27,28,29,30}-1)*LEN(Registro!$J303)+1,LEN(Registro!$J303)))," ",REPT(" ",50)),50)))),"Revisar formato"))</f>
        <v/>
      </c>
      <c r="M303" s="11" t="str">
        <f>IF(AND(Registro!$H303="",Registro!$I303=""),"",IF(AND(ISTEXT(K303),K303&lt;&gt;""),"Revisar formato",N(Registro!$H303)-N(K303)))</f>
        <v/>
      </c>
      <c r="N303" s="11" t="str">
        <f t="shared" si="14"/>
        <v/>
      </c>
      <c r="O303" s="15" t="str">
        <f>IF(AND(A303=Consulta!$B$3,C303=Consulta!$H$3),B303*10000+ROW(),"")</f>
        <v/>
      </c>
    </row>
    <row r="304" spans="1:15" x14ac:dyDescent="0.25">
      <c r="A304" s="9" t="str">
        <f>IF(Registro!$A304="","",Registro!$A304)</f>
        <v/>
      </c>
      <c r="B304" s="8" t="str">
        <f>IF(Registro!$B304="","",Registro!$B304)</f>
        <v/>
      </c>
      <c r="C304" s="14" t="str">
        <f t="shared" si="12"/>
        <v/>
      </c>
      <c r="D304" s="10" t="str">
        <f>IF(Registro!$E304="","",IF(ISERROR(FIND("x",LOWER(Registro!$E304))),"-",IFERROR(SUMPRODUCT(--("0"&amp;LEFT(TRIM(MID(SUBSTITUTE(SUBSTITUTE(SUBSTITUTE(SUBSTITUTE(SUBSTITUTE(LOWER(Registro!$E304),"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",LEN(Registro!$E304))),({1,2,3,4,5,6,7,8,9,10,11,12,13,14,15,16,17,18,19,20,21,22,23,24,25,26,27,28,29,30}-1)*LEN(Registro!$E304)+1,LEN(Registro!$E304)))&amp;"x")-1))),"Revisar formato")))</f>
        <v/>
      </c>
      <c r="E304" s="11" t="str">
        <f>IF(Registro!$E304="","",IF(ISERROR(FIND("x",LOWER(Registro!$E304))),"-",IFERROR(SUMPRODUCT(--("0"&amp;LEFT(TRIM(MID(SUBSTITUTE(SUBSTITUTE(SUBSTITUTE(SUBSTITUTE(SUBSTITUTE(LOWER(Registro!$E304),"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",LEN(Registro!$E304))),({1,2,3,4,5,6,7,8,9,10,11,12,13,14,15,16,17,18,19,20,21,22,23,24,25,26,27,28,29,30}-1)*LEN(Registro!$E304)+1,LEN(Registro!$E304)))&amp;"x")-1)),--("0"&amp;MID(TRIM(MID(SUBSTITUTE(SUBSTITUTE(SUBSTITUTE(SUBSTITUTE(SUBSTITUTE(LOWER(Registro!$E304),"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",LEN(Registro!$E304))),({1,2,3,4,5,6,7,8,9,10,11,12,13,14,15,16,17,18,19,20,21,22,23,24,25,26,27,28,29,30}-1)*LEN(Registro!$E304)+1,LEN(Registro!$E304)))&amp;"x")+1,20))),"Revisar formato")))</f>
        <v/>
      </c>
      <c r="F304" s="11" t="str">
        <f>IF(Registro!$F304="","",N(Registro!$F304))</f>
        <v/>
      </c>
      <c r="G304" s="11" t="str">
        <f t="shared" si="13"/>
        <v/>
      </c>
      <c r="H304" s="10" t="str">
        <f>IF(Registro!$G304="","",IF(ISERROR(FIND("x",LOWER(Registro!$G304))),"-",IFERROR(SUMPRODUCT(--("0"&amp;LEFT(TRIM(MID(SUBSTITUTE(SUBSTITUTE(SUBSTITUTE(SUBSTITUTE(SUBSTITUTE(LOWER(Registro!$G304),"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",LEN(Registro!$G304))),({1,2,3,4,5,6,7,8,9,10,11,12,13,14,15,16,17,18,19,20,21,22,23,24,25,26,27,28,29,30}-1)*LEN(Registro!$G304)+1,LEN(Registro!$G304))),FIND("x",TRIM(MID(SUBSTITUTE(SUBSTITUTE(SUBSTITUTE(SUBSTITUTE(SUBSTITUTE(LOWER(Registro!$G304),"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",LEN(Registro!$G304))),({1,2,3,4,5,6,7,8,9,10,11,12,13,14,15,16,17,18,19,20,21,22,23,24,25,26,27,28,29,30}-1)*LEN(Registro!$G304)+1,LEN(Registro!$G304)))&amp;"x")-1))),"Revisar formato")))</f>
        <v/>
      </c>
      <c r="I304" s="11" t="str">
        <f>IF(Registro!$G304="","",IF(ISERROR(FIND("x",LOWER(Registro!$G304))),N(Registro!$H304),IFERROR(SUMPRODUCT(--("0"&amp;LEFT(TRIM(MID(SUBSTITUTE(SUBSTITUTE(SUBSTITUTE(SUBSTITUTE(SUBSTITUTE(LOWER(Registro!$G304),"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",LEN(Registro!$G304))),({1,2,3,4,5,6,7,8,9,10,11,12,13,14,15,16,17,18,19,20,21,22,23,24,25,26,27,28,29,30}-1)*LEN(Registro!$G304)+1,LEN(Registro!$G304))),FIND("x",TRIM(MID(SUBSTITUTE(SUBSTITUTE(SUBSTITUTE(SUBSTITUTE(SUBSTITUTE(LOWER(Registro!$G304),"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",LEN(Registro!$G304))),({1,2,3,4,5,6,7,8,9,10,11,12,13,14,15,16,17,18,19,20,21,22,23,24,25,26,27,28,29,30}-1)*LEN(Registro!$G304)+1,LEN(Registro!$G304)))&amp;"x")-1)),--("0"&amp;MID(TRIM(MID(SUBSTITUTE(SUBSTITUTE(SUBSTITUTE(SUBSTITUTE(SUBSTITUTE(LOWER(Registro!$G304),"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",LEN(Registro!$G304))),({1,2,3,4,5,6,7,8,9,10,11,12,13,14,15,16,17,18,19,20,21,22,23,24,25,26,27,28,29,30}-1)*LEN(Registro!$G304)+1,LEN(Registro!$G304))),FIND("x",TRIM(MID(SUBSTITUTE(SUBSTITUTE(SUBSTITUTE(SUBSTITUTE(SUBSTITUTE(LOWER(Registro!$G304),"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",LEN(Registro!$G304))),({1,2,3,4,5,6,7,8,9,10,11,12,13,14,15,16,17,18,19,20,21,22,23,24,25,26,27,28,29,30}-1)*LEN(Registro!$G304)+1,LEN(Registro!$G304)))&amp;"x")+1,20))),"Revisar formato")))</f>
        <v/>
      </c>
      <c r="J304" s="9" t="str">
        <f>IF(AND(Registro!$E304="",Registro!$G304=""),"",IF(NOT(AND(ISNUMBER(I304),ISNUMBER(Registro!$H304))),"",IF(I304&lt;Registro!$H304,"FALTA BOLETOS",IF(I304=Registro!$H304,"CONFORME","DIFERENCIA"))))</f>
        <v/>
      </c>
      <c r="K304" s="11" t="str">
        <f>IF(Registro!$I304="","",IFERROR(SUMPRODUCT(--("0"&amp;TRIM(RIGHT(SUBSTITUTE(TRIM(MID(SUBSTITUTE(SUBSTITUTE(Registro!$I304,";",CHAR(10)),CHAR(10),REPT(" ",LEN(Registro!$I304))),({1,2,3,4,5,6,7,8,9,10,11,12,13,14,15,16,17,18,19,20,21,22,23,24,25,26,27,28,29,30}-1)*LEN(Registro!$I304)+1,LEN(Registro!$I304)))," ",REPT(" ",50)),50)))),"Revisar formato"))</f>
        <v/>
      </c>
      <c r="L304" s="11" t="str">
        <f>IF(Registro!$J304="","",IFERROR(SUMPRODUCT(--("0"&amp;TRIM(RIGHT(SUBSTITUTE(TRIM(MID(SUBSTITUTE(SUBSTITUTE(Registro!$J304,";",CHAR(10)),CHAR(10),REPT(" ",LEN(Registro!$J304))),({1,2,3,4,5,6,7,8,9,10,11,12,13,14,15,16,17,18,19,20,21,22,23,24,25,26,27,28,29,30}-1)*LEN(Registro!$J304)+1,LEN(Registro!$J304)))," ",REPT(" ",50)),50)))),"Revisar formato"))</f>
        <v/>
      </c>
      <c r="M304" s="11" t="str">
        <f>IF(AND(Registro!$H304="",Registro!$I304=""),"",IF(AND(ISTEXT(K304),K304&lt;&gt;""),"Revisar formato",N(Registro!$H304)-N(K304)))</f>
        <v/>
      </c>
      <c r="N304" s="11" t="str">
        <f t="shared" si="14"/>
        <v/>
      </c>
      <c r="O304" s="15" t="str">
        <f>IF(AND(A304=Consulta!$B$3,C304=Consulta!$H$3),B304*10000+ROW(),"")</f>
        <v/>
      </c>
    </row>
    <row r="305" spans="1:15" x14ac:dyDescent="0.25">
      <c r="A305" s="9" t="str">
        <f>IF(Registro!$A305="","",Registro!$A305)</f>
        <v/>
      </c>
      <c r="B305" s="8" t="str">
        <f>IF(Registro!$B305="","",Registro!$B305)</f>
        <v/>
      </c>
      <c r="C305" s="14" t="str">
        <f t="shared" si="12"/>
        <v/>
      </c>
      <c r="D305" s="10" t="str">
        <f>IF(Registro!$E305="","",IF(ISERROR(FIND("x",LOWER(Registro!$E305))),"-",IFERROR(SUMPRODUCT(--("0"&amp;LEFT(TRIM(MID(SUBSTITUTE(SUBSTITUTE(SUBSTITUTE(SUBSTITUTE(SUBSTITUTE(LOWER(Registro!$E305),"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",LEN(Registro!$E305))),({1,2,3,4,5,6,7,8,9,10,11,12,13,14,15,16,17,18,19,20,21,22,23,24,25,26,27,28,29,30}-1)*LEN(Registro!$E305)+1,LEN(Registro!$E305)))&amp;"x")-1))),"Revisar formato")))</f>
        <v/>
      </c>
      <c r="E305" s="11" t="str">
        <f>IF(Registro!$E305="","",IF(ISERROR(FIND("x",LOWER(Registro!$E305))),"-",IFERROR(SUMPRODUCT(--("0"&amp;LEFT(TRIM(MID(SUBSTITUTE(SUBSTITUTE(SUBSTITUTE(SUBSTITUTE(SUBSTITUTE(LOWER(Registro!$E305),"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",LEN(Registro!$E305))),({1,2,3,4,5,6,7,8,9,10,11,12,13,14,15,16,17,18,19,20,21,22,23,24,25,26,27,28,29,30}-1)*LEN(Registro!$E305)+1,LEN(Registro!$E305)))&amp;"x")-1)),--("0"&amp;MID(TRIM(MID(SUBSTITUTE(SUBSTITUTE(SUBSTITUTE(SUBSTITUTE(SUBSTITUTE(LOWER(Registro!$E305),"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",LEN(Registro!$E305))),({1,2,3,4,5,6,7,8,9,10,11,12,13,14,15,16,17,18,19,20,21,22,23,24,25,26,27,28,29,30}-1)*LEN(Registro!$E305)+1,LEN(Registro!$E305)))&amp;"x")+1,20))),"Revisar formato")))</f>
        <v/>
      </c>
      <c r="F305" s="11" t="str">
        <f>IF(Registro!$F305="","",N(Registro!$F305))</f>
        <v/>
      </c>
      <c r="G305" s="11" t="str">
        <f t="shared" si="13"/>
        <v/>
      </c>
      <c r="H305" s="10" t="str">
        <f>IF(Registro!$G305="","",IF(ISERROR(FIND("x",LOWER(Registro!$G305))),"-",IFERROR(SUMPRODUCT(--("0"&amp;LEFT(TRIM(MID(SUBSTITUTE(SUBSTITUTE(SUBSTITUTE(SUBSTITUTE(SUBSTITUTE(LOWER(Registro!$G305),"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",LEN(Registro!$G305))),({1,2,3,4,5,6,7,8,9,10,11,12,13,14,15,16,17,18,19,20,21,22,23,24,25,26,27,28,29,30}-1)*LEN(Registro!$G305)+1,LEN(Registro!$G305))),FIND("x",TRIM(MID(SUBSTITUTE(SUBSTITUTE(SUBSTITUTE(SUBSTITUTE(SUBSTITUTE(LOWER(Registro!$G305),"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",LEN(Registro!$G305))),({1,2,3,4,5,6,7,8,9,10,11,12,13,14,15,16,17,18,19,20,21,22,23,24,25,26,27,28,29,30}-1)*LEN(Registro!$G305)+1,LEN(Registro!$G305)))&amp;"x")-1))),"Revisar formato")))</f>
        <v/>
      </c>
      <c r="I305" s="11" t="str">
        <f>IF(Registro!$G305="","",IF(ISERROR(FIND("x",LOWER(Registro!$G305))),N(Registro!$H305),IFERROR(SUMPRODUCT(--("0"&amp;LEFT(TRIM(MID(SUBSTITUTE(SUBSTITUTE(SUBSTITUTE(SUBSTITUTE(SUBSTITUTE(LOWER(Registro!$G305),"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",LEN(Registro!$G305))),({1,2,3,4,5,6,7,8,9,10,11,12,13,14,15,16,17,18,19,20,21,22,23,24,25,26,27,28,29,30}-1)*LEN(Registro!$G305)+1,LEN(Registro!$G305))),FIND("x",TRIM(MID(SUBSTITUTE(SUBSTITUTE(SUBSTITUTE(SUBSTITUTE(SUBSTITUTE(LOWER(Registro!$G305),"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",LEN(Registro!$G305))),({1,2,3,4,5,6,7,8,9,10,11,12,13,14,15,16,17,18,19,20,21,22,23,24,25,26,27,28,29,30}-1)*LEN(Registro!$G305)+1,LEN(Registro!$G305)))&amp;"x")-1)),--("0"&amp;MID(TRIM(MID(SUBSTITUTE(SUBSTITUTE(SUBSTITUTE(SUBSTITUTE(SUBSTITUTE(LOWER(Registro!$G305),"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",LEN(Registro!$G305))),({1,2,3,4,5,6,7,8,9,10,11,12,13,14,15,16,17,18,19,20,21,22,23,24,25,26,27,28,29,30}-1)*LEN(Registro!$G305)+1,LEN(Registro!$G305))),FIND("x",TRIM(MID(SUBSTITUTE(SUBSTITUTE(SUBSTITUTE(SUBSTITUTE(SUBSTITUTE(LOWER(Registro!$G305),"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",LEN(Registro!$G305))),({1,2,3,4,5,6,7,8,9,10,11,12,13,14,15,16,17,18,19,20,21,22,23,24,25,26,27,28,29,30}-1)*LEN(Registro!$G305)+1,LEN(Registro!$G305)))&amp;"x")+1,20))),"Revisar formato")))</f>
        <v/>
      </c>
      <c r="J305" s="9" t="str">
        <f>IF(AND(Registro!$E305="",Registro!$G305=""),"",IF(NOT(AND(ISNUMBER(I305),ISNUMBER(Registro!$H305))),"",IF(I305&lt;Registro!$H305,"FALTA BOLETOS",IF(I305=Registro!$H305,"CONFORME","DIFERENCIA"))))</f>
        <v/>
      </c>
      <c r="K305" s="11" t="str">
        <f>IF(Registro!$I305="","",IFERROR(SUMPRODUCT(--("0"&amp;TRIM(RIGHT(SUBSTITUTE(TRIM(MID(SUBSTITUTE(SUBSTITUTE(Registro!$I305,";",CHAR(10)),CHAR(10),REPT(" ",LEN(Registro!$I305))),({1,2,3,4,5,6,7,8,9,10,11,12,13,14,15,16,17,18,19,20,21,22,23,24,25,26,27,28,29,30}-1)*LEN(Registro!$I305)+1,LEN(Registro!$I305)))," ",REPT(" ",50)),50)))),"Revisar formato"))</f>
        <v/>
      </c>
      <c r="L305" s="11" t="str">
        <f>IF(Registro!$J305="","",IFERROR(SUMPRODUCT(--("0"&amp;TRIM(RIGHT(SUBSTITUTE(TRIM(MID(SUBSTITUTE(SUBSTITUTE(Registro!$J305,";",CHAR(10)),CHAR(10),REPT(" ",LEN(Registro!$J305))),({1,2,3,4,5,6,7,8,9,10,11,12,13,14,15,16,17,18,19,20,21,22,23,24,25,26,27,28,29,30}-1)*LEN(Registro!$J305)+1,LEN(Registro!$J305)))," ",REPT(" ",50)),50)))),"Revisar formato"))</f>
        <v/>
      </c>
      <c r="M305" s="11" t="str">
        <f>IF(AND(Registro!$H305="",Registro!$I305=""),"",IF(AND(ISTEXT(K305),K305&lt;&gt;""),"Revisar formato",N(Registro!$H305)-N(K305)))</f>
        <v/>
      </c>
      <c r="N305" s="11" t="str">
        <f t="shared" si="14"/>
        <v/>
      </c>
      <c r="O305" s="15" t="str">
        <f>IF(AND(A305=Consulta!$B$3,C305=Consulta!$H$3),B305*10000+ROW(),"")</f>
        <v/>
      </c>
    </row>
    <row r="306" spans="1:15" x14ac:dyDescent="0.25">
      <c r="A306" s="9" t="str">
        <f>IF(Registro!$A306="","",Registro!$A306)</f>
        <v/>
      </c>
      <c r="B306" s="8" t="str">
        <f>IF(Registro!$B306="","",Registro!$B306)</f>
        <v/>
      </c>
      <c r="C306" s="14" t="str">
        <f t="shared" si="12"/>
        <v/>
      </c>
      <c r="D306" s="10" t="str">
        <f>IF(Registro!$E306="","",IF(ISERROR(FIND("x",LOWER(Registro!$E306))),"-",IFERROR(SUMPRODUCT(--("0"&amp;LEFT(TRIM(MID(SUBSTITUTE(SUBSTITUTE(SUBSTITUTE(SUBSTITUTE(SUBSTITUTE(LOWER(Registro!$E306),"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",LEN(Registro!$E306))),({1,2,3,4,5,6,7,8,9,10,11,12,13,14,15,16,17,18,19,20,21,22,23,24,25,26,27,28,29,30}-1)*LEN(Registro!$E306)+1,LEN(Registro!$E306)))&amp;"x")-1))),"Revisar formato")))</f>
        <v/>
      </c>
      <c r="E306" s="11" t="str">
        <f>IF(Registro!$E306="","",IF(ISERROR(FIND("x",LOWER(Registro!$E306))),"-",IFERROR(SUMPRODUCT(--("0"&amp;LEFT(TRIM(MID(SUBSTITUTE(SUBSTITUTE(SUBSTITUTE(SUBSTITUTE(SUBSTITUTE(LOWER(Registro!$E306),"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",LEN(Registro!$E306))),({1,2,3,4,5,6,7,8,9,10,11,12,13,14,15,16,17,18,19,20,21,22,23,24,25,26,27,28,29,30}-1)*LEN(Registro!$E306)+1,LEN(Registro!$E306)))&amp;"x")-1)),--("0"&amp;MID(TRIM(MID(SUBSTITUTE(SUBSTITUTE(SUBSTITUTE(SUBSTITUTE(SUBSTITUTE(LOWER(Registro!$E306),"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",LEN(Registro!$E306))),({1,2,3,4,5,6,7,8,9,10,11,12,13,14,15,16,17,18,19,20,21,22,23,24,25,26,27,28,29,30}-1)*LEN(Registro!$E306)+1,LEN(Registro!$E306)))&amp;"x")+1,20))),"Revisar formato")))</f>
        <v/>
      </c>
      <c r="F306" s="11" t="str">
        <f>IF(Registro!$F306="","",N(Registro!$F306))</f>
        <v/>
      </c>
      <c r="G306" s="11" t="str">
        <f t="shared" si="13"/>
        <v/>
      </c>
      <c r="H306" s="10" t="str">
        <f>IF(Registro!$G306="","",IF(ISERROR(FIND("x",LOWER(Registro!$G306))),"-",IFERROR(SUMPRODUCT(--("0"&amp;LEFT(TRIM(MID(SUBSTITUTE(SUBSTITUTE(SUBSTITUTE(SUBSTITUTE(SUBSTITUTE(LOWER(Registro!$G306),"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",LEN(Registro!$G306))),({1,2,3,4,5,6,7,8,9,10,11,12,13,14,15,16,17,18,19,20,21,22,23,24,25,26,27,28,29,30}-1)*LEN(Registro!$G306)+1,LEN(Registro!$G306))),FIND("x",TRIM(MID(SUBSTITUTE(SUBSTITUTE(SUBSTITUTE(SUBSTITUTE(SUBSTITUTE(LOWER(Registro!$G306),"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",LEN(Registro!$G306))),({1,2,3,4,5,6,7,8,9,10,11,12,13,14,15,16,17,18,19,20,21,22,23,24,25,26,27,28,29,30}-1)*LEN(Registro!$G306)+1,LEN(Registro!$G306)))&amp;"x")-1))),"Revisar formato")))</f>
        <v/>
      </c>
      <c r="I306" s="11" t="str">
        <f>IF(Registro!$G306="","",IF(ISERROR(FIND("x",LOWER(Registro!$G306))),N(Registro!$H306),IFERROR(SUMPRODUCT(--("0"&amp;LEFT(TRIM(MID(SUBSTITUTE(SUBSTITUTE(SUBSTITUTE(SUBSTITUTE(SUBSTITUTE(LOWER(Registro!$G306),"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",LEN(Registro!$G306))),({1,2,3,4,5,6,7,8,9,10,11,12,13,14,15,16,17,18,19,20,21,22,23,24,25,26,27,28,29,30}-1)*LEN(Registro!$G306)+1,LEN(Registro!$G306))),FIND("x",TRIM(MID(SUBSTITUTE(SUBSTITUTE(SUBSTITUTE(SUBSTITUTE(SUBSTITUTE(LOWER(Registro!$G306),"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",LEN(Registro!$G306))),({1,2,3,4,5,6,7,8,9,10,11,12,13,14,15,16,17,18,19,20,21,22,23,24,25,26,27,28,29,30}-1)*LEN(Registro!$G306)+1,LEN(Registro!$G306)))&amp;"x")-1)),--("0"&amp;MID(TRIM(MID(SUBSTITUTE(SUBSTITUTE(SUBSTITUTE(SUBSTITUTE(SUBSTITUTE(LOWER(Registro!$G306),"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",LEN(Registro!$G306))),({1,2,3,4,5,6,7,8,9,10,11,12,13,14,15,16,17,18,19,20,21,22,23,24,25,26,27,28,29,30}-1)*LEN(Registro!$G306)+1,LEN(Registro!$G306))),FIND("x",TRIM(MID(SUBSTITUTE(SUBSTITUTE(SUBSTITUTE(SUBSTITUTE(SUBSTITUTE(LOWER(Registro!$G306),"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",LEN(Registro!$G306))),({1,2,3,4,5,6,7,8,9,10,11,12,13,14,15,16,17,18,19,20,21,22,23,24,25,26,27,28,29,30}-1)*LEN(Registro!$G306)+1,LEN(Registro!$G306)))&amp;"x")+1,20))),"Revisar formato")))</f>
        <v/>
      </c>
      <c r="J306" s="9" t="str">
        <f>IF(AND(Registro!$E306="",Registro!$G306=""),"",IF(NOT(AND(ISNUMBER(I306),ISNUMBER(Registro!$H306))),"",IF(I306&lt;Registro!$H306,"FALTA BOLETOS",IF(I306=Registro!$H306,"CONFORME","DIFERENCIA"))))</f>
        <v/>
      </c>
      <c r="K306" s="11" t="str">
        <f>IF(Registro!$I306="","",IFERROR(SUMPRODUCT(--("0"&amp;TRIM(RIGHT(SUBSTITUTE(TRIM(MID(SUBSTITUTE(SUBSTITUTE(Registro!$I306,";",CHAR(10)),CHAR(10),REPT(" ",LEN(Registro!$I306))),({1,2,3,4,5,6,7,8,9,10,11,12,13,14,15,16,17,18,19,20,21,22,23,24,25,26,27,28,29,30}-1)*LEN(Registro!$I306)+1,LEN(Registro!$I306)))," ",REPT(" ",50)),50)))),"Revisar formato"))</f>
        <v/>
      </c>
      <c r="L306" s="11" t="str">
        <f>IF(Registro!$J306="","",IFERROR(SUMPRODUCT(--("0"&amp;TRIM(RIGHT(SUBSTITUTE(TRIM(MID(SUBSTITUTE(SUBSTITUTE(Registro!$J306,";",CHAR(10)),CHAR(10),REPT(" ",LEN(Registro!$J306))),({1,2,3,4,5,6,7,8,9,10,11,12,13,14,15,16,17,18,19,20,21,22,23,24,25,26,27,28,29,30}-1)*LEN(Registro!$J306)+1,LEN(Registro!$J306)))," ",REPT(" ",50)),50)))),"Revisar formato"))</f>
        <v/>
      </c>
      <c r="M306" s="11" t="str">
        <f>IF(AND(Registro!$H306="",Registro!$I306=""),"",IF(AND(ISTEXT(K306),K306&lt;&gt;""),"Revisar formato",N(Registro!$H306)-N(K306)))</f>
        <v/>
      </c>
      <c r="N306" s="11" t="str">
        <f t="shared" si="14"/>
        <v/>
      </c>
      <c r="O306" s="15" t="str">
        <f>IF(AND(A306=Consulta!$B$3,C306=Consulta!$H$3),B306*10000+ROW(),"")</f>
        <v/>
      </c>
    </row>
    <row r="307" spans="1:15" x14ac:dyDescent="0.25">
      <c r="A307" s="9" t="str">
        <f>IF(Registro!$A307="","",Registro!$A307)</f>
        <v/>
      </c>
      <c r="B307" s="8" t="str">
        <f>IF(Registro!$B307="","",Registro!$B307)</f>
        <v/>
      </c>
      <c r="C307" s="14" t="str">
        <f t="shared" si="12"/>
        <v/>
      </c>
      <c r="D307" s="10" t="str">
        <f>IF(Registro!$E307="","",IF(ISERROR(FIND("x",LOWER(Registro!$E307))),"-",IFERROR(SUMPRODUCT(--("0"&amp;LEFT(TRIM(MID(SUBSTITUTE(SUBSTITUTE(SUBSTITUTE(SUBSTITUTE(SUBSTITUTE(LOWER(Registro!$E307),"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",LEN(Registro!$E307))),({1,2,3,4,5,6,7,8,9,10,11,12,13,14,15,16,17,18,19,20,21,22,23,24,25,26,27,28,29,30}-1)*LEN(Registro!$E307)+1,LEN(Registro!$E307)))&amp;"x")-1))),"Revisar formato")))</f>
        <v/>
      </c>
      <c r="E307" s="11" t="str">
        <f>IF(Registro!$E307="","",IF(ISERROR(FIND("x",LOWER(Registro!$E307))),"-",IFERROR(SUMPRODUCT(--("0"&amp;LEFT(TRIM(MID(SUBSTITUTE(SUBSTITUTE(SUBSTITUTE(SUBSTITUTE(SUBSTITUTE(LOWER(Registro!$E307),"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",LEN(Registro!$E307))),({1,2,3,4,5,6,7,8,9,10,11,12,13,14,15,16,17,18,19,20,21,22,23,24,25,26,27,28,29,30}-1)*LEN(Registro!$E307)+1,LEN(Registro!$E307)))&amp;"x")-1)),--("0"&amp;MID(TRIM(MID(SUBSTITUTE(SUBSTITUTE(SUBSTITUTE(SUBSTITUTE(SUBSTITUTE(LOWER(Registro!$E307),"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",LEN(Registro!$E307))),({1,2,3,4,5,6,7,8,9,10,11,12,13,14,15,16,17,18,19,20,21,22,23,24,25,26,27,28,29,30}-1)*LEN(Registro!$E307)+1,LEN(Registro!$E307)))&amp;"x")+1,20))),"Revisar formato")))</f>
        <v/>
      </c>
      <c r="F307" s="11" t="str">
        <f>IF(Registro!$F307="","",N(Registro!$F307))</f>
        <v/>
      </c>
      <c r="G307" s="11" t="str">
        <f t="shared" si="13"/>
        <v/>
      </c>
      <c r="H307" s="10" t="str">
        <f>IF(Registro!$G307="","",IF(ISERROR(FIND("x",LOWER(Registro!$G307))),"-",IFERROR(SUMPRODUCT(--("0"&amp;LEFT(TRIM(MID(SUBSTITUTE(SUBSTITUTE(SUBSTITUTE(SUBSTITUTE(SUBSTITUTE(LOWER(Registro!$G307),"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",LEN(Registro!$G307))),({1,2,3,4,5,6,7,8,9,10,11,12,13,14,15,16,17,18,19,20,21,22,23,24,25,26,27,28,29,30}-1)*LEN(Registro!$G307)+1,LEN(Registro!$G307))),FIND("x",TRIM(MID(SUBSTITUTE(SUBSTITUTE(SUBSTITUTE(SUBSTITUTE(SUBSTITUTE(LOWER(Registro!$G307),"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",LEN(Registro!$G307))),({1,2,3,4,5,6,7,8,9,10,11,12,13,14,15,16,17,18,19,20,21,22,23,24,25,26,27,28,29,30}-1)*LEN(Registro!$G307)+1,LEN(Registro!$G307)))&amp;"x")-1))),"Revisar formato")))</f>
        <v/>
      </c>
      <c r="I307" s="11" t="str">
        <f>IF(Registro!$G307="","",IF(ISERROR(FIND("x",LOWER(Registro!$G307))),N(Registro!$H307),IFERROR(SUMPRODUCT(--("0"&amp;LEFT(TRIM(MID(SUBSTITUTE(SUBSTITUTE(SUBSTITUTE(SUBSTITUTE(SUBSTITUTE(LOWER(Registro!$G307),"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",LEN(Registro!$G307))),({1,2,3,4,5,6,7,8,9,10,11,12,13,14,15,16,17,18,19,20,21,22,23,24,25,26,27,28,29,30}-1)*LEN(Registro!$G307)+1,LEN(Registro!$G307))),FIND("x",TRIM(MID(SUBSTITUTE(SUBSTITUTE(SUBSTITUTE(SUBSTITUTE(SUBSTITUTE(LOWER(Registro!$G307),"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",LEN(Registro!$G307))),({1,2,3,4,5,6,7,8,9,10,11,12,13,14,15,16,17,18,19,20,21,22,23,24,25,26,27,28,29,30}-1)*LEN(Registro!$G307)+1,LEN(Registro!$G307)))&amp;"x")-1)),--("0"&amp;MID(TRIM(MID(SUBSTITUTE(SUBSTITUTE(SUBSTITUTE(SUBSTITUTE(SUBSTITUTE(LOWER(Registro!$G307),"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",LEN(Registro!$G307))),({1,2,3,4,5,6,7,8,9,10,11,12,13,14,15,16,17,18,19,20,21,22,23,24,25,26,27,28,29,30}-1)*LEN(Registro!$G307)+1,LEN(Registro!$G307))),FIND("x",TRIM(MID(SUBSTITUTE(SUBSTITUTE(SUBSTITUTE(SUBSTITUTE(SUBSTITUTE(LOWER(Registro!$G307),"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",LEN(Registro!$G307))),({1,2,3,4,5,6,7,8,9,10,11,12,13,14,15,16,17,18,19,20,21,22,23,24,25,26,27,28,29,30}-1)*LEN(Registro!$G307)+1,LEN(Registro!$G307)))&amp;"x")+1,20))),"Revisar formato")))</f>
        <v/>
      </c>
      <c r="J307" s="9" t="str">
        <f>IF(AND(Registro!$E307="",Registro!$G307=""),"",IF(NOT(AND(ISNUMBER(I307),ISNUMBER(Registro!$H307))),"",IF(I307&lt;Registro!$H307,"FALTA BOLETOS",IF(I307=Registro!$H307,"CONFORME","DIFERENCIA"))))</f>
        <v/>
      </c>
      <c r="K307" s="11" t="str">
        <f>IF(Registro!$I307="","",IFERROR(SUMPRODUCT(--("0"&amp;TRIM(RIGHT(SUBSTITUTE(TRIM(MID(SUBSTITUTE(SUBSTITUTE(Registro!$I307,";",CHAR(10)),CHAR(10),REPT(" ",LEN(Registro!$I307))),({1,2,3,4,5,6,7,8,9,10,11,12,13,14,15,16,17,18,19,20,21,22,23,24,25,26,27,28,29,30}-1)*LEN(Registro!$I307)+1,LEN(Registro!$I307)))," ",REPT(" ",50)),50)))),"Revisar formato"))</f>
        <v/>
      </c>
      <c r="L307" s="11" t="str">
        <f>IF(Registro!$J307="","",IFERROR(SUMPRODUCT(--("0"&amp;TRIM(RIGHT(SUBSTITUTE(TRIM(MID(SUBSTITUTE(SUBSTITUTE(Registro!$J307,";",CHAR(10)),CHAR(10),REPT(" ",LEN(Registro!$J307))),({1,2,3,4,5,6,7,8,9,10,11,12,13,14,15,16,17,18,19,20,21,22,23,24,25,26,27,28,29,30}-1)*LEN(Registro!$J307)+1,LEN(Registro!$J307)))," ",REPT(" ",50)),50)))),"Revisar formato"))</f>
        <v/>
      </c>
      <c r="M307" s="11" t="str">
        <f>IF(AND(Registro!$H307="",Registro!$I307=""),"",IF(AND(ISTEXT(K307),K307&lt;&gt;""),"Revisar formato",N(Registro!$H307)-N(K307)))</f>
        <v/>
      </c>
      <c r="N307" s="11" t="str">
        <f t="shared" si="14"/>
        <v/>
      </c>
      <c r="O307" s="15" t="str">
        <f>IF(AND(A307=Consulta!$B$3,C307=Consulta!$H$3),B307*10000+ROW(),"")</f>
        <v/>
      </c>
    </row>
    <row r="308" spans="1:15" x14ac:dyDescent="0.25">
      <c r="A308" s="9" t="str">
        <f>IF(Registro!$A308="","",Registro!$A308)</f>
        <v/>
      </c>
      <c r="B308" s="8" t="str">
        <f>IF(Registro!$B308="","",Registro!$B308)</f>
        <v/>
      </c>
      <c r="C308" s="14" t="str">
        <f t="shared" si="12"/>
        <v/>
      </c>
      <c r="D308" s="10" t="str">
        <f>IF(Registro!$E308="","",IF(ISERROR(FIND("x",LOWER(Registro!$E308))),"-",IFERROR(SUMPRODUCT(--("0"&amp;LEFT(TRIM(MID(SUBSTITUTE(SUBSTITUTE(SUBSTITUTE(SUBSTITUTE(SUBSTITUTE(LOWER(Registro!$E308),"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",LEN(Registro!$E308))),({1,2,3,4,5,6,7,8,9,10,11,12,13,14,15,16,17,18,19,20,21,22,23,24,25,26,27,28,29,30}-1)*LEN(Registro!$E308)+1,LEN(Registro!$E308)))&amp;"x")-1))),"Revisar formato")))</f>
        <v/>
      </c>
      <c r="E308" s="11" t="str">
        <f>IF(Registro!$E308="","",IF(ISERROR(FIND("x",LOWER(Registro!$E308))),"-",IFERROR(SUMPRODUCT(--("0"&amp;LEFT(TRIM(MID(SUBSTITUTE(SUBSTITUTE(SUBSTITUTE(SUBSTITUTE(SUBSTITUTE(LOWER(Registro!$E308),"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",LEN(Registro!$E308))),({1,2,3,4,5,6,7,8,9,10,11,12,13,14,15,16,17,18,19,20,21,22,23,24,25,26,27,28,29,30}-1)*LEN(Registro!$E308)+1,LEN(Registro!$E308)))&amp;"x")-1)),--("0"&amp;MID(TRIM(MID(SUBSTITUTE(SUBSTITUTE(SUBSTITUTE(SUBSTITUTE(SUBSTITUTE(LOWER(Registro!$E308),"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",LEN(Registro!$E308))),({1,2,3,4,5,6,7,8,9,10,11,12,13,14,15,16,17,18,19,20,21,22,23,24,25,26,27,28,29,30}-1)*LEN(Registro!$E308)+1,LEN(Registro!$E308)))&amp;"x")+1,20))),"Revisar formato")))</f>
        <v/>
      </c>
      <c r="F308" s="11" t="str">
        <f>IF(Registro!$F308="","",N(Registro!$F308))</f>
        <v/>
      </c>
      <c r="G308" s="11" t="str">
        <f t="shared" si="13"/>
        <v/>
      </c>
      <c r="H308" s="10" t="str">
        <f>IF(Registro!$G308="","",IF(ISERROR(FIND("x",LOWER(Registro!$G308))),"-",IFERROR(SUMPRODUCT(--("0"&amp;LEFT(TRIM(MID(SUBSTITUTE(SUBSTITUTE(SUBSTITUTE(SUBSTITUTE(SUBSTITUTE(LOWER(Registro!$G308),"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",LEN(Registro!$G308))),({1,2,3,4,5,6,7,8,9,10,11,12,13,14,15,16,17,18,19,20,21,22,23,24,25,26,27,28,29,30}-1)*LEN(Registro!$G308)+1,LEN(Registro!$G308))),FIND("x",TRIM(MID(SUBSTITUTE(SUBSTITUTE(SUBSTITUTE(SUBSTITUTE(SUBSTITUTE(LOWER(Registro!$G308),"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",LEN(Registro!$G308))),({1,2,3,4,5,6,7,8,9,10,11,12,13,14,15,16,17,18,19,20,21,22,23,24,25,26,27,28,29,30}-1)*LEN(Registro!$G308)+1,LEN(Registro!$G308)))&amp;"x")-1))),"Revisar formato")))</f>
        <v/>
      </c>
      <c r="I308" s="11" t="str">
        <f>IF(Registro!$G308="","",IF(ISERROR(FIND("x",LOWER(Registro!$G308))),N(Registro!$H308),IFERROR(SUMPRODUCT(--("0"&amp;LEFT(TRIM(MID(SUBSTITUTE(SUBSTITUTE(SUBSTITUTE(SUBSTITUTE(SUBSTITUTE(LOWER(Registro!$G308),"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",LEN(Registro!$G308))),({1,2,3,4,5,6,7,8,9,10,11,12,13,14,15,16,17,18,19,20,21,22,23,24,25,26,27,28,29,30}-1)*LEN(Registro!$G308)+1,LEN(Registro!$G308))),FIND("x",TRIM(MID(SUBSTITUTE(SUBSTITUTE(SUBSTITUTE(SUBSTITUTE(SUBSTITUTE(LOWER(Registro!$G308),"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",LEN(Registro!$G308))),({1,2,3,4,5,6,7,8,9,10,11,12,13,14,15,16,17,18,19,20,21,22,23,24,25,26,27,28,29,30}-1)*LEN(Registro!$G308)+1,LEN(Registro!$G308)))&amp;"x")-1)),--("0"&amp;MID(TRIM(MID(SUBSTITUTE(SUBSTITUTE(SUBSTITUTE(SUBSTITUTE(SUBSTITUTE(LOWER(Registro!$G308),"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",LEN(Registro!$G308))),({1,2,3,4,5,6,7,8,9,10,11,12,13,14,15,16,17,18,19,20,21,22,23,24,25,26,27,28,29,30}-1)*LEN(Registro!$G308)+1,LEN(Registro!$G308))),FIND("x",TRIM(MID(SUBSTITUTE(SUBSTITUTE(SUBSTITUTE(SUBSTITUTE(SUBSTITUTE(LOWER(Registro!$G308),"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",LEN(Registro!$G308))),({1,2,3,4,5,6,7,8,9,10,11,12,13,14,15,16,17,18,19,20,21,22,23,24,25,26,27,28,29,30}-1)*LEN(Registro!$G308)+1,LEN(Registro!$G308)))&amp;"x")+1,20))),"Revisar formato")))</f>
        <v/>
      </c>
      <c r="J308" s="9" t="str">
        <f>IF(AND(Registro!$E308="",Registro!$G308=""),"",IF(NOT(AND(ISNUMBER(I308),ISNUMBER(Registro!$H308))),"",IF(I308&lt;Registro!$H308,"FALTA BOLETOS",IF(I308=Registro!$H308,"CONFORME","DIFERENCIA"))))</f>
        <v/>
      </c>
      <c r="K308" s="11" t="str">
        <f>IF(Registro!$I308="","",IFERROR(SUMPRODUCT(--("0"&amp;TRIM(RIGHT(SUBSTITUTE(TRIM(MID(SUBSTITUTE(SUBSTITUTE(Registro!$I308,";",CHAR(10)),CHAR(10),REPT(" ",LEN(Registro!$I308))),({1,2,3,4,5,6,7,8,9,10,11,12,13,14,15,16,17,18,19,20,21,22,23,24,25,26,27,28,29,30}-1)*LEN(Registro!$I308)+1,LEN(Registro!$I308)))," ",REPT(" ",50)),50)))),"Revisar formato"))</f>
        <v/>
      </c>
      <c r="L308" s="11" t="str">
        <f>IF(Registro!$J308="","",IFERROR(SUMPRODUCT(--("0"&amp;TRIM(RIGHT(SUBSTITUTE(TRIM(MID(SUBSTITUTE(SUBSTITUTE(Registro!$J308,";",CHAR(10)),CHAR(10),REPT(" ",LEN(Registro!$J308))),({1,2,3,4,5,6,7,8,9,10,11,12,13,14,15,16,17,18,19,20,21,22,23,24,25,26,27,28,29,30}-1)*LEN(Registro!$J308)+1,LEN(Registro!$J308)))," ",REPT(" ",50)),50)))),"Revisar formato"))</f>
        <v/>
      </c>
      <c r="M308" s="11" t="str">
        <f>IF(AND(Registro!$H308="",Registro!$I308=""),"",IF(AND(ISTEXT(K308),K308&lt;&gt;""),"Revisar formato",N(Registro!$H308)-N(K308)))</f>
        <v/>
      </c>
      <c r="N308" s="11" t="str">
        <f t="shared" si="14"/>
        <v/>
      </c>
      <c r="O308" s="15" t="str">
        <f>IF(AND(A308=Consulta!$B$3,C308=Consulta!$H$3),B308*10000+ROW(),"")</f>
        <v/>
      </c>
    </row>
    <row r="309" spans="1:15" x14ac:dyDescent="0.25">
      <c r="A309" s="9" t="str">
        <f>IF(Registro!$A309="","",Registro!$A309)</f>
        <v/>
      </c>
      <c r="B309" s="8" t="str">
        <f>IF(Registro!$B309="","",Registro!$B309)</f>
        <v/>
      </c>
      <c r="C309" s="14" t="str">
        <f t="shared" si="12"/>
        <v/>
      </c>
      <c r="D309" s="10" t="str">
        <f>IF(Registro!$E309="","",IF(ISERROR(FIND("x",LOWER(Registro!$E309))),"-",IFERROR(SUMPRODUCT(--("0"&amp;LEFT(TRIM(MID(SUBSTITUTE(SUBSTITUTE(SUBSTITUTE(SUBSTITUTE(SUBSTITUTE(LOWER(Registro!$E309),"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",LEN(Registro!$E309))),({1,2,3,4,5,6,7,8,9,10,11,12,13,14,15,16,17,18,19,20,21,22,23,24,25,26,27,28,29,30}-1)*LEN(Registro!$E309)+1,LEN(Registro!$E309)))&amp;"x")-1))),"Revisar formato")))</f>
        <v/>
      </c>
      <c r="E309" s="11" t="str">
        <f>IF(Registro!$E309="","",IF(ISERROR(FIND("x",LOWER(Registro!$E309))),"-",IFERROR(SUMPRODUCT(--("0"&amp;LEFT(TRIM(MID(SUBSTITUTE(SUBSTITUTE(SUBSTITUTE(SUBSTITUTE(SUBSTITUTE(LOWER(Registro!$E309),"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",LEN(Registro!$E309))),({1,2,3,4,5,6,7,8,9,10,11,12,13,14,15,16,17,18,19,20,21,22,23,24,25,26,27,28,29,30}-1)*LEN(Registro!$E309)+1,LEN(Registro!$E309)))&amp;"x")-1)),--("0"&amp;MID(TRIM(MID(SUBSTITUTE(SUBSTITUTE(SUBSTITUTE(SUBSTITUTE(SUBSTITUTE(LOWER(Registro!$E309),"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",LEN(Registro!$E309))),({1,2,3,4,5,6,7,8,9,10,11,12,13,14,15,16,17,18,19,20,21,22,23,24,25,26,27,28,29,30}-1)*LEN(Registro!$E309)+1,LEN(Registro!$E309)))&amp;"x")+1,20))),"Revisar formato")))</f>
        <v/>
      </c>
      <c r="F309" s="11" t="str">
        <f>IF(Registro!$F309="","",N(Registro!$F309))</f>
        <v/>
      </c>
      <c r="G309" s="11" t="str">
        <f t="shared" si="13"/>
        <v/>
      </c>
      <c r="H309" s="10" t="str">
        <f>IF(Registro!$G309="","",IF(ISERROR(FIND("x",LOWER(Registro!$G309))),"-",IFERROR(SUMPRODUCT(--("0"&amp;LEFT(TRIM(MID(SUBSTITUTE(SUBSTITUTE(SUBSTITUTE(SUBSTITUTE(SUBSTITUTE(LOWER(Registro!$G309),"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",LEN(Registro!$G309))),({1,2,3,4,5,6,7,8,9,10,11,12,13,14,15,16,17,18,19,20,21,22,23,24,25,26,27,28,29,30}-1)*LEN(Registro!$G309)+1,LEN(Registro!$G309))),FIND("x",TRIM(MID(SUBSTITUTE(SUBSTITUTE(SUBSTITUTE(SUBSTITUTE(SUBSTITUTE(LOWER(Registro!$G309),"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",LEN(Registro!$G309))),({1,2,3,4,5,6,7,8,9,10,11,12,13,14,15,16,17,18,19,20,21,22,23,24,25,26,27,28,29,30}-1)*LEN(Registro!$G309)+1,LEN(Registro!$G309)))&amp;"x")-1))),"Revisar formato")))</f>
        <v/>
      </c>
      <c r="I309" s="11" t="str">
        <f>IF(Registro!$G309="","",IF(ISERROR(FIND("x",LOWER(Registro!$G309))),N(Registro!$H309),IFERROR(SUMPRODUCT(--("0"&amp;LEFT(TRIM(MID(SUBSTITUTE(SUBSTITUTE(SUBSTITUTE(SUBSTITUTE(SUBSTITUTE(LOWER(Registro!$G309),"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",LEN(Registro!$G309))),({1,2,3,4,5,6,7,8,9,10,11,12,13,14,15,16,17,18,19,20,21,22,23,24,25,26,27,28,29,30}-1)*LEN(Registro!$G309)+1,LEN(Registro!$G309))),FIND("x",TRIM(MID(SUBSTITUTE(SUBSTITUTE(SUBSTITUTE(SUBSTITUTE(SUBSTITUTE(LOWER(Registro!$G309),"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",LEN(Registro!$G309))),({1,2,3,4,5,6,7,8,9,10,11,12,13,14,15,16,17,18,19,20,21,22,23,24,25,26,27,28,29,30}-1)*LEN(Registro!$G309)+1,LEN(Registro!$G309)))&amp;"x")-1)),--("0"&amp;MID(TRIM(MID(SUBSTITUTE(SUBSTITUTE(SUBSTITUTE(SUBSTITUTE(SUBSTITUTE(LOWER(Registro!$G309),"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",LEN(Registro!$G309))),({1,2,3,4,5,6,7,8,9,10,11,12,13,14,15,16,17,18,19,20,21,22,23,24,25,26,27,28,29,30}-1)*LEN(Registro!$G309)+1,LEN(Registro!$G309))),FIND("x",TRIM(MID(SUBSTITUTE(SUBSTITUTE(SUBSTITUTE(SUBSTITUTE(SUBSTITUTE(LOWER(Registro!$G309),"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",LEN(Registro!$G309))),({1,2,3,4,5,6,7,8,9,10,11,12,13,14,15,16,17,18,19,20,21,22,23,24,25,26,27,28,29,30}-1)*LEN(Registro!$G309)+1,LEN(Registro!$G309)))&amp;"x")+1,20))),"Revisar formato")))</f>
        <v/>
      </c>
      <c r="J309" s="9" t="str">
        <f>IF(AND(Registro!$E309="",Registro!$G309=""),"",IF(NOT(AND(ISNUMBER(I309),ISNUMBER(Registro!$H309))),"",IF(I309&lt;Registro!$H309,"FALTA BOLETOS",IF(I309=Registro!$H309,"CONFORME","DIFERENCIA"))))</f>
        <v/>
      </c>
      <c r="K309" s="11" t="str">
        <f>IF(Registro!$I309="","",IFERROR(SUMPRODUCT(--("0"&amp;TRIM(RIGHT(SUBSTITUTE(TRIM(MID(SUBSTITUTE(SUBSTITUTE(Registro!$I309,";",CHAR(10)),CHAR(10),REPT(" ",LEN(Registro!$I309))),({1,2,3,4,5,6,7,8,9,10,11,12,13,14,15,16,17,18,19,20,21,22,23,24,25,26,27,28,29,30}-1)*LEN(Registro!$I309)+1,LEN(Registro!$I309)))," ",REPT(" ",50)),50)))),"Revisar formato"))</f>
        <v/>
      </c>
      <c r="L309" s="11" t="str">
        <f>IF(Registro!$J309="","",IFERROR(SUMPRODUCT(--("0"&amp;TRIM(RIGHT(SUBSTITUTE(TRIM(MID(SUBSTITUTE(SUBSTITUTE(Registro!$J309,";",CHAR(10)),CHAR(10),REPT(" ",LEN(Registro!$J309))),({1,2,3,4,5,6,7,8,9,10,11,12,13,14,15,16,17,18,19,20,21,22,23,24,25,26,27,28,29,30}-1)*LEN(Registro!$J309)+1,LEN(Registro!$J309)))," ",REPT(" ",50)),50)))),"Revisar formato"))</f>
        <v/>
      </c>
      <c r="M309" s="11" t="str">
        <f>IF(AND(Registro!$H309="",Registro!$I309=""),"",IF(AND(ISTEXT(K309),K309&lt;&gt;""),"Revisar formato",N(Registro!$H309)-N(K309)))</f>
        <v/>
      </c>
      <c r="N309" s="11" t="str">
        <f t="shared" si="14"/>
        <v/>
      </c>
      <c r="O309" s="15" t="str">
        <f>IF(AND(A309=Consulta!$B$3,C309=Consulta!$H$3),B309*10000+ROW(),"")</f>
        <v/>
      </c>
    </row>
    <row r="310" spans="1:15" x14ac:dyDescent="0.25">
      <c r="A310" s="9" t="str">
        <f>IF(Registro!$A310="","",Registro!$A310)</f>
        <v/>
      </c>
      <c r="B310" s="8" t="str">
        <f>IF(Registro!$B310="","",Registro!$B310)</f>
        <v/>
      </c>
      <c r="C310" s="14" t="str">
        <f t="shared" si="12"/>
        <v/>
      </c>
      <c r="D310" s="10" t="str">
        <f>IF(Registro!$E310="","",IF(ISERROR(FIND("x",LOWER(Registro!$E310))),"-",IFERROR(SUMPRODUCT(--("0"&amp;LEFT(TRIM(MID(SUBSTITUTE(SUBSTITUTE(SUBSTITUTE(SUBSTITUTE(SUBSTITUTE(LOWER(Registro!$E310),"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",LEN(Registro!$E310))),({1,2,3,4,5,6,7,8,9,10,11,12,13,14,15,16,17,18,19,20,21,22,23,24,25,26,27,28,29,30}-1)*LEN(Registro!$E310)+1,LEN(Registro!$E310)))&amp;"x")-1))),"Revisar formato")))</f>
        <v/>
      </c>
      <c r="E310" s="11" t="str">
        <f>IF(Registro!$E310="","",IF(ISERROR(FIND("x",LOWER(Registro!$E310))),"-",IFERROR(SUMPRODUCT(--("0"&amp;LEFT(TRIM(MID(SUBSTITUTE(SUBSTITUTE(SUBSTITUTE(SUBSTITUTE(SUBSTITUTE(LOWER(Registro!$E310),"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",LEN(Registro!$E310))),({1,2,3,4,5,6,7,8,9,10,11,12,13,14,15,16,17,18,19,20,21,22,23,24,25,26,27,28,29,30}-1)*LEN(Registro!$E310)+1,LEN(Registro!$E310)))&amp;"x")-1)),--("0"&amp;MID(TRIM(MID(SUBSTITUTE(SUBSTITUTE(SUBSTITUTE(SUBSTITUTE(SUBSTITUTE(LOWER(Registro!$E310),"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",LEN(Registro!$E310))),({1,2,3,4,5,6,7,8,9,10,11,12,13,14,15,16,17,18,19,20,21,22,23,24,25,26,27,28,29,30}-1)*LEN(Registro!$E310)+1,LEN(Registro!$E310)))&amp;"x")+1,20))),"Revisar formato")))</f>
        <v/>
      </c>
      <c r="F310" s="11" t="str">
        <f>IF(Registro!$F310="","",N(Registro!$F310))</f>
        <v/>
      </c>
      <c r="G310" s="11" t="str">
        <f t="shared" si="13"/>
        <v/>
      </c>
      <c r="H310" s="10" t="str">
        <f>IF(Registro!$G310="","",IF(ISERROR(FIND("x",LOWER(Registro!$G310))),"-",IFERROR(SUMPRODUCT(--("0"&amp;LEFT(TRIM(MID(SUBSTITUTE(SUBSTITUTE(SUBSTITUTE(SUBSTITUTE(SUBSTITUTE(LOWER(Registro!$G310),"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",LEN(Registro!$G310))),({1,2,3,4,5,6,7,8,9,10,11,12,13,14,15,16,17,18,19,20,21,22,23,24,25,26,27,28,29,30}-1)*LEN(Registro!$G310)+1,LEN(Registro!$G310))),FIND("x",TRIM(MID(SUBSTITUTE(SUBSTITUTE(SUBSTITUTE(SUBSTITUTE(SUBSTITUTE(LOWER(Registro!$G310),"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",LEN(Registro!$G310))),({1,2,3,4,5,6,7,8,9,10,11,12,13,14,15,16,17,18,19,20,21,22,23,24,25,26,27,28,29,30}-1)*LEN(Registro!$G310)+1,LEN(Registro!$G310)))&amp;"x")-1))),"Revisar formato")))</f>
        <v/>
      </c>
      <c r="I310" s="11" t="str">
        <f>IF(Registro!$G310="","",IF(ISERROR(FIND("x",LOWER(Registro!$G310))),N(Registro!$H310),IFERROR(SUMPRODUCT(--("0"&amp;LEFT(TRIM(MID(SUBSTITUTE(SUBSTITUTE(SUBSTITUTE(SUBSTITUTE(SUBSTITUTE(LOWER(Registro!$G310),"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",LEN(Registro!$G310))),({1,2,3,4,5,6,7,8,9,10,11,12,13,14,15,16,17,18,19,20,21,22,23,24,25,26,27,28,29,30}-1)*LEN(Registro!$G310)+1,LEN(Registro!$G310))),FIND("x",TRIM(MID(SUBSTITUTE(SUBSTITUTE(SUBSTITUTE(SUBSTITUTE(SUBSTITUTE(LOWER(Registro!$G310),"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",LEN(Registro!$G310))),({1,2,3,4,5,6,7,8,9,10,11,12,13,14,15,16,17,18,19,20,21,22,23,24,25,26,27,28,29,30}-1)*LEN(Registro!$G310)+1,LEN(Registro!$G310)))&amp;"x")-1)),--("0"&amp;MID(TRIM(MID(SUBSTITUTE(SUBSTITUTE(SUBSTITUTE(SUBSTITUTE(SUBSTITUTE(LOWER(Registro!$G310),"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",LEN(Registro!$G310))),({1,2,3,4,5,6,7,8,9,10,11,12,13,14,15,16,17,18,19,20,21,22,23,24,25,26,27,28,29,30}-1)*LEN(Registro!$G310)+1,LEN(Registro!$G310))),FIND("x",TRIM(MID(SUBSTITUTE(SUBSTITUTE(SUBSTITUTE(SUBSTITUTE(SUBSTITUTE(LOWER(Registro!$G310),"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",LEN(Registro!$G310))),({1,2,3,4,5,6,7,8,9,10,11,12,13,14,15,16,17,18,19,20,21,22,23,24,25,26,27,28,29,30}-1)*LEN(Registro!$G310)+1,LEN(Registro!$G310)))&amp;"x")+1,20))),"Revisar formato")))</f>
        <v/>
      </c>
      <c r="J310" s="9" t="str">
        <f>IF(AND(Registro!$E310="",Registro!$G310=""),"",IF(NOT(AND(ISNUMBER(I310),ISNUMBER(Registro!$H310))),"",IF(I310&lt;Registro!$H310,"FALTA BOLETOS",IF(I310=Registro!$H310,"CONFORME","DIFERENCIA"))))</f>
        <v/>
      </c>
      <c r="K310" s="11" t="str">
        <f>IF(Registro!$I310="","",IFERROR(SUMPRODUCT(--("0"&amp;TRIM(RIGHT(SUBSTITUTE(TRIM(MID(SUBSTITUTE(SUBSTITUTE(Registro!$I310,";",CHAR(10)),CHAR(10),REPT(" ",LEN(Registro!$I310))),({1,2,3,4,5,6,7,8,9,10,11,12,13,14,15,16,17,18,19,20,21,22,23,24,25,26,27,28,29,30}-1)*LEN(Registro!$I310)+1,LEN(Registro!$I310)))," ",REPT(" ",50)),50)))),"Revisar formato"))</f>
        <v/>
      </c>
      <c r="L310" s="11" t="str">
        <f>IF(Registro!$J310="","",IFERROR(SUMPRODUCT(--("0"&amp;TRIM(RIGHT(SUBSTITUTE(TRIM(MID(SUBSTITUTE(SUBSTITUTE(Registro!$J310,";",CHAR(10)),CHAR(10),REPT(" ",LEN(Registro!$J310))),({1,2,3,4,5,6,7,8,9,10,11,12,13,14,15,16,17,18,19,20,21,22,23,24,25,26,27,28,29,30}-1)*LEN(Registro!$J310)+1,LEN(Registro!$J310)))," ",REPT(" ",50)),50)))),"Revisar formato"))</f>
        <v/>
      </c>
      <c r="M310" s="11" t="str">
        <f>IF(AND(Registro!$H310="",Registro!$I310=""),"",IF(AND(ISTEXT(K310),K310&lt;&gt;""),"Revisar formato",N(Registro!$H310)-N(K310)))</f>
        <v/>
      </c>
      <c r="N310" s="11" t="str">
        <f t="shared" si="14"/>
        <v/>
      </c>
      <c r="O310" s="15" t="str">
        <f>IF(AND(A310=Consulta!$B$3,C310=Consulta!$H$3),B310*10000+ROW(),"")</f>
        <v/>
      </c>
    </row>
    <row r="311" spans="1:15" x14ac:dyDescent="0.25">
      <c r="A311" s="9" t="str">
        <f>IF(Registro!$A311="","",Registro!$A311)</f>
        <v/>
      </c>
      <c r="B311" s="8" t="str">
        <f>IF(Registro!$B311="","",Registro!$B311)</f>
        <v/>
      </c>
      <c r="C311" s="14" t="str">
        <f t="shared" si="12"/>
        <v/>
      </c>
      <c r="D311" s="10" t="str">
        <f>IF(Registro!$E311="","",IF(ISERROR(FIND("x",LOWER(Registro!$E311))),"-",IFERROR(SUMPRODUCT(--("0"&amp;LEFT(TRIM(MID(SUBSTITUTE(SUBSTITUTE(SUBSTITUTE(SUBSTITUTE(SUBSTITUTE(LOWER(Registro!$E311),"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",LEN(Registro!$E311))),({1,2,3,4,5,6,7,8,9,10,11,12,13,14,15,16,17,18,19,20,21,22,23,24,25,26,27,28,29,30}-1)*LEN(Registro!$E311)+1,LEN(Registro!$E311)))&amp;"x")-1))),"Revisar formato")))</f>
        <v/>
      </c>
      <c r="E311" s="11" t="str">
        <f>IF(Registro!$E311="","",IF(ISERROR(FIND("x",LOWER(Registro!$E311))),"-",IFERROR(SUMPRODUCT(--("0"&amp;LEFT(TRIM(MID(SUBSTITUTE(SUBSTITUTE(SUBSTITUTE(SUBSTITUTE(SUBSTITUTE(LOWER(Registro!$E311),"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",LEN(Registro!$E311))),({1,2,3,4,5,6,7,8,9,10,11,12,13,14,15,16,17,18,19,20,21,22,23,24,25,26,27,28,29,30}-1)*LEN(Registro!$E311)+1,LEN(Registro!$E311)))&amp;"x")-1)),--("0"&amp;MID(TRIM(MID(SUBSTITUTE(SUBSTITUTE(SUBSTITUTE(SUBSTITUTE(SUBSTITUTE(LOWER(Registro!$E311),"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",LEN(Registro!$E311))),({1,2,3,4,5,6,7,8,9,10,11,12,13,14,15,16,17,18,19,20,21,22,23,24,25,26,27,28,29,30}-1)*LEN(Registro!$E311)+1,LEN(Registro!$E311)))&amp;"x")+1,20))),"Revisar formato")))</f>
        <v/>
      </c>
      <c r="F311" s="11" t="str">
        <f>IF(Registro!$F311="","",N(Registro!$F311))</f>
        <v/>
      </c>
      <c r="G311" s="11" t="str">
        <f t="shared" si="13"/>
        <v/>
      </c>
      <c r="H311" s="10" t="str">
        <f>IF(Registro!$G311="","",IF(ISERROR(FIND("x",LOWER(Registro!$G311))),"-",IFERROR(SUMPRODUCT(--("0"&amp;LEFT(TRIM(MID(SUBSTITUTE(SUBSTITUTE(SUBSTITUTE(SUBSTITUTE(SUBSTITUTE(LOWER(Registro!$G311),"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",LEN(Registro!$G311))),({1,2,3,4,5,6,7,8,9,10,11,12,13,14,15,16,17,18,19,20,21,22,23,24,25,26,27,28,29,30}-1)*LEN(Registro!$G311)+1,LEN(Registro!$G311))),FIND("x",TRIM(MID(SUBSTITUTE(SUBSTITUTE(SUBSTITUTE(SUBSTITUTE(SUBSTITUTE(LOWER(Registro!$G311),"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",LEN(Registro!$G311))),({1,2,3,4,5,6,7,8,9,10,11,12,13,14,15,16,17,18,19,20,21,22,23,24,25,26,27,28,29,30}-1)*LEN(Registro!$G311)+1,LEN(Registro!$G311)))&amp;"x")-1))),"Revisar formato")))</f>
        <v/>
      </c>
      <c r="I311" s="11" t="str">
        <f>IF(Registro!$G311="","",IF(ISERROR(FIND("x",LOWER(Registro!$G311))),N(Registro!$H311),IFERROR(SUMPRODUCT(--("0"&amp;LEFT(TRIM(MID(SUBSTITUTE(SUBSTITUTE(SUBSTITUTE(SUBSTITUTE(SUBSTITUTE(LOWER(Registro!$G311),"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",LEN(Registro!$G311))),({1,2,3,4,5,6,7,8,9,10,11,12,13,14,15,16,17,18,19,20,21,22,23,24,25,26,27,28,29,30}-1)*LEN(Registro!$G311)+1,LEN(Registro!$G311))),FIND("x",TRIM(MID(SUBSTITUTE(SUBSTITUTE(SUBSTITUTE(SUBSTITUTE(SUBSTITUTE(LOWER(Registro!$G311),"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",LEN(Registro!$G311))),({1,2,3,4,5,6,7,8,9,10,11,12,13,14,15,16,17,18,19,20,21,22,23,24,25,26,27,28,29,30}-1)*LEN(Registro!$G311)+1,LEN(Registro!$G311)))&amp;"x")-1)),--("0"&amp;MID(TRIM(MID(SUBSTITUTE(SUBSTITUTE(SUBSTITUTE(SUBSTITUTE(SUBSTITUTE(LOWER(Registro!$G311),"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",LEN(Registro!$G311))),({1,2,3,4,5,6,7,8,9,10,11,12,13,14,15,16,17,18,19,20,21,22,23,24,25,26,27,28,29,30}-1)*LEN(Registro!$G311)+1,LEN(Registro!$G311))),FIND("x",TRIM(MID(SUBSTITUTE(SUBSTITUTE(SUBSTITUTE(SUBSTITUTE(SUBSTITUTE(LOWER(Registro!$G311),"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",LEN(Registro!$G311))),({1,2,3,4,5,6,7,8,9,10,11,12,13,14,15,16,17,18,19,20,21,22,23,24,25,26,27,28,29,30}-1)*LEN(Registro!$G311)+1,LEN(Registro!$G311)))&amp;"x")+1,20))),"Revisar formato")))</f>
        <v/>
      </c>
      <c r="J311" s="9" t="str">
        <f>IF(AND(Registro!$E311="",Registro!$G311=""),"",IF(NOT(AND(ISNUMBER(I311),ISNUMBER(Registro!$H311))),"",IF(I311&lt;Registro!$H311,"FALTA BOLETOS",IF(I311=Registro!$H311,"CONFORME","DIFERENCIA"))))</f>
        <v/>
      </c>
      <c r="K311" s="11" t="str">
        <f>IF(Registro!$I311="","",IFERROR(SUMPRODUCT(--("0"&amp;TRIM(RIGHT(SUBSTITUTE(TRIM(MID(SUBSTITUTE(SUBSTITUTE(Registro!$I311,";",CHAR(10)),CHAR(10),REPT(" ",LEN(Registro!$I311))),({1,2,3,4,5,6,7,8,9,10,11,12,13,14,15,16,17,18,19,20,21,22,23,24,25,26,27,28,29,30}-1)*LEN(Registro!$I311)+1,LEN(Registro!$I311)))," ",REPT(" ",50)),50)))),"Revisar formato"))</f>
        <v/>
      </c>
      <c r="L311" s="11" t="str">
        <f>IF(Registro!$J311="","",IFERROR(SUMPRODUCT(--("0"&amp;TRIM(RIGHT(SUBSTITUTE(TRIM(MID(SUBSTITUTE(SUBSTITUTE(Registro!$J311,";",CHAR(10)),CHAR(10),REPT(" ",LEN(Registro!$J311))),({1,2,3,4,5,6,7,8,9,10,11,12,13,14,15,16,17,18,19,20,21,22,23,24,25,26,27,28,29,30}-1)*LEN(Registro!$J311)+1,LEN(Registro!$J311)))," ",REPT(" ",50)),50)))),"Revisar formato"))</f>
        <v/>
      </c>
      <c r="M311" s="11" t="str">
        <f>IF(AND(Registro!$H311="",Registro!$I311=""),"",IF(AND(ISTEXT(K311),K311&lt;&gt;""),"Revisar formato",N(Registro!$H311)-N(K311)))</f>
        <v/>
      </c>
      <c r="N311" s="11" t="str">
        <f t="shared" si="14"/>
        <v/>
      </c>
      <c r="O311" s="15" t="str">
        <f>IF(AND(A311=Consulta!$B$3,C311=Consulta!$H$3),B311*10000+ROW(),"")</f>
        <v/>
      </c>
    </row>
    <row r="312" spans="1:15" x14ac:dyDescent="0.25">
      <c r="A312" s="9" t="str">
        <f>IF(Registro!$A312="","",Registro!$A312)</f>
        <v/>
      </c>
      <c r="B312" s="8" t="str">
        <f>IF(Registro!$B312="","",Registro!$B312)</f>
        <v/>
      </c>
      <c r="C312" s="14" t="str">
        <f t="shared" si="12"/>
        <v/>
      </c>
      <c r="D312" s="10" t="str">
        <f>IF(Registro!$E312="","",IF(ISERROR(FIND("x",LOWER(Registro!$E312))),"-",IFERROR(SUMPRODUCT(--("0"&amp;LEFT(TRIM(MID(SUBSTITUTE(SUBSTITUTE(SUBSTITUTE(SUBSTITUTE(SUBSTITUTE(LOWER(Registro!$E312),"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",LEN(Registro!$E312))),({1,2,3,4,5,6,7,8,9,10,11,12,13,14,15,16,17,18,19,20,21,22,23,24,25,26,27,28,29,30}-1)*LEN(Registro!$E312)+1,LEN(Registro!$E312)))&amp;"x")-1))),"Revisar formato")))</f>
        <v/>
      </c>
      <c r="E312" s="11" t="str">
        <f>IF(Registro!$E312="","",IF(ISERROR(FIND("x",LOWER(Registro!$E312))),"-",IFERROR(SUMPRODUCT(--("0"&amp;LEFT(TRIM(MID(SUBSTITUTE(SUBSTITUTE(SUBSTITUTE(SUBSTITUTE(SUBSTITUTE(LOWER(Registro!$E312),"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",LEN(Registro!$E312))),({1,2,3,4,5,6,7,8,9,10,11,12,13,14,15,16,17,18,19,20,21,22,23,24,25,26,27,28,29,30}-1)*LEN(Registro!$E312)+1,LEN(Registro!$E312)))&amp;"x")-1)),--("0"&amp;MID(TRIM(MID(SUBSTITUTE(SUBSTITUTE(SUBSTITUTE(SUBSTITUTE(SUBSTITUTE(LOWER(Registro!$E312),"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",LEN(Registro!$E312))),({1,2,3,4,5,6,7,8,9,10,11,12,13,14,15,16,17,18,19,20,21,22,23,24,25,26,27,28,29,30}-1)*LEN(Registro!$E312)+1,LEN(Registro!$E312)))&amp;"x")+1,20))),"Revisar formato")))</f>
        <v/>
      </c>
      <c r="F312" s="11" t="str">
        <f>IF(Registro!$F312="","",N(Registro!$F312))</f>
        <v/>
      </c>
      <c r="G312" s="11" t="str">
        <f t="shared" si="13"/>
        <v/>
      </c>
      <c r="H312" s="10" t="str">
        <f>IF(Registro!$G312="","",IF(ISERROR(FIND("x",LOWER(Registro!$G312))),"-",IFERROR(SUMPRODUCT(--("0"&amp;LEFT(TRIM(MID(SUBSTITUTE(SUBSTITUTE(SUBSTITUTE(SUBSTITUTE(SUBSTITUTE(LOWER(Registro!$G312),"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",LEN(Registro!$G312))),({1,2,3,4,5,6,7,8,9,10,11,12,13,14,15,16,17,18,19,20,21,22,23,24,25,26,27,28,29,30}-1)*LEN(Registro!$G312)+1,LEN(Registro!$G312))),FIND("x",TRIM(MID(SUBSTITUTE(SUBSTITUTE(SUBSTITUTE(SUBSTITUTE(SUBSTITUTE(LOWER(Registro!$G312),"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",LEN(Registro!$G312))),({1,2,3,4,5,6,7,8,9,10,11,12,13,14,15,16,17,18,19,20,21,22,23,24,25,26,27,28,29,30}-1)*LEN(Registro!$G312)+1,LEN(Registro!$G312)))&amp;"x")-1))),"Revisar formato")))</f>
        <v/>
      </c>
      <c r="I312" s="11" t="str">
        <f>IF(Registro!$G312="","",IF(ISERROR(FIND("x",LOWER(Registro!$G312))),N(Registro!$H312),IFERROR(SUMPRODUCT(--("0"&amp;LEFT(TRIM(MID(SUBSTITUTE(SUBSTITUTE(SUBSTITUTE(SUBSTITUTE(SUBSTITUTE(LOWER(Registro!$G312),"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",LEN(Registro!$G312))),({1,2,3,4,5,6,7,8,9,10,11,12,13,14,15,16,17,18,19,20,21,22,23,24,25,26,27,28,29,30}-1)*LEN(Registro!$G312)+1,LEN(Registro!$G312))),FIND("x",TRIM(MID(SUBSTITUTE(SUBSTITUTE(SUBSTITUTE(SUBSTITUTE(SUBSTITUTE(LOWER(Registro!$G312),"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",LEN(Registro!$G312))),({1,2,3,4,5,6,7,8,9,10,11,12,13,14,15,16,17,18,19,20,21,22,23,24,25,26,27,28,29,30}-1)*LEN(Registro!$G312)+1,LEN(Registro!$G312)))&amp;"x")-1)),--("0"&amp;MID(TRIM(MID(SUBSTITUTE(SUBSTITUTE(SUBSTITUTE(SUBSTITUTE(SUBSTITUTE(LOWER(Registro!$G312),"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",LEN(Registro!$G312))),({1,2,3,4,5,6,7,8,9,10,11,12,13,14,15,16,17,18,19,20,21,22,23,24,25,26,27,28,29,30}-1)*LEN(Registro!$G312)+1,LEN(Registro!$G312))),FIND("x",TRIM(MID(SUBSTITUTE(SUBSTITUTE(SUBSTITUTE(SUBSTITUTE(SUBSTITUTE(LOWER(Registro!$G312),"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",LEN(Registro!$G312))),({1,2,3,4,5,6,7,8,9,10,11,12,13,14,15,16,17,18,19,20,21,22,23,24,25,26,27,28,29,30}-1)*LEN(Registro!$G312)+1,LEN(Registro!$G312)))&amp;"x")+1,20))),"Revisar formato")))</f>
        <v/>
      </c>
      <c r="J312" s="9" t="str">
        <f>IF(AND(Registro!$E312="",Registro!$G312=""),"",IF(NOT(AND(ISNUMBER(I312),ISNUMBER(Registro!$H312))),"",IF(I312&lt;Registro!$H312,"FALTA BOLETOS",IF(I312=Registro!$H312,"CONFORME","DIFERENCIA"))))</f>
        <v/>
      </c>
      <c r="K312" s="11" t="str">
        <f>IF(Registro!$I312="","",IFERROR(SUMPRODUCT(--("0"&amp;TRIM(RIGHT(SUBSTITUTE(TRIM(MID(SUBSTITUTE(SUBSTITUTE(Registro!$I312,";",CHAR(10)),CHAR(10),REPT(" ",LEN(Registro!$I312))),({1,2,3,4,5,6,7,8,9,10,11,12,13,14,15,16,17,18,19,20,21,22,23,24,25,26,27,28,29,30}-1)*LEN(Registro!$I312)+1,LEN(Registro!$I312)))," ",REPT(" ",50)),50)))),"Revisar formato"))</f>
        <v/>
      </c>
      <c r="L312" s="11" t="str">
        <f>IF(Registro!$J312="","",IFERROR(SUMPRODUCT(--("0"&amp;TRIM(RIGHT(SUBSTITUTE(TRIM(MID(SUBSTITUTE(SUBSTITUTE(Registro!$J312,";",CHAR(10)),CHAR(10),REPT(" ",LEN(Registro!$J312))),({1,2,3,4,5,6,7,8,9,10,11,12,13,14,15,16,17,18,19,20,21,22,23,24,25,26,27,28,29,30}-1)*LEN(Registro!$J312)+1,LEN(Registro!$J312)))," ",REPT(" ",50)),50)))),"Revisar formato"))</f>
        <v/>
      </c>
      <c r="M312" s="11" t="str">
        <f>IF(AND(Registro!$H312="",Registro!$I312=""),"",IF(AND(ISTEXT(K312),K312&lt;&gt;""),"Revisar formato",N(Registro!$H312)-N(K312)))</f>
        <v/>
      </c>
      <c r="N312" s="11" t="str">
        <f t="shared" si="14"/>
        <v/>
      </c>
      <c r="O312" s="15" t="str">
        <f>IF(AND(A312=Consulta!$B$3,C312=Consulta!$H$3),B312*10000+ROW(),"")</f>
        <v/>
      </c>
    </row>
    <row r="313" spans="1:15" x14ac:dyDescent="0.25">
      <c r="A313" s="9" t="str">
        <f>IF(Registro!$A313="","",Registro!$A313)</f>
        <v/>
      </c>
      <c r="B313" s="8" t="str">
        <f>IF(Registro!$B313="","",Registro!$B313)</f>
        <v/>
      </c>
      <c r="C313" s="14" t="str">
        <f t="shared" si="12"/>
        <v/>
      </c>
      <c r="D313" s="10" t="str">
        <f>IF(Registro!$E313="","",IF(ISERROR(FIND("x",LOWER(Registro!$E313))),"-",IFERROR(SUMPRODUCT(--("0"&amp;LEFT(TRIM(MID(SUBSTITUTE(SUBSTITUTE(SUBSTITUTE(SUBSTITUTE(SUBSTITUTE(LOWER(Registro!$E313),"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",LEN(Registro!$E313))),({1,2,3,4,5,6,7,8,9,10,11,12,13,14,15,16,17,18,19,20,21,22,23,24,25,26,27,28,29,30}-1)*LEN(Registro!$E313)+1,LEN(Registro!$E313)))&amp;"x")-1))),"Revisar formato")))</f>
        <v/>
      </c>
      <c r="E313" s="11" t="str">
        <f>IF(Registro!$E313="","",IF(ISERROR(FIND("x",LOWER(Registro!$E313))),"-",IFERROR(SUMPRODUCT(--("0"&amp;LEFT(TRIM(MID(SUBSTITUTE(SUBSTITUTE(SUBSTITUTE(SUBSTITUTE(SUBSTITUTE(LOWER(Registro!$E313),"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",LEN(Registro!$E313))),({1,2,3,4,5,6,7,8,9,10,11,12,13,14,15,16,17,18,19,20,21,22,23,24,25,26,27,28,29,30}-1)*LEN(Registro!$E313)+1,LEN(Registro!$E313)))&amp;"x")-1)),--("0"&amp;MID(TRIM(MID(SUBSTITUTE(SUBSTITUTE(SUBSTITUTE(SUBSTITUTE(SUBSTITUTE(LOWER(Registro!$E313),"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",LEN(Registro!$E313))),({1,2,3,4,5,6,7,8,9,10,11,12,13,14,15,16,17,18,19,20,21,22,23,24,25,26,27,28,29,30}-1)*LEN(Registro!$E313)+1,LEN(Registro!$E313)))&amp;"x")+1,20))),"Revisar formato")))</f>
        <v/>
      </c>
      <c r="F313" s="11" t="str">
        <f>IF(Registro!$F313="","",N(Registro!$F313))</f>
        <v/>
      </c>
      <c r="G313" s="11" t="str">
        <f t="shared" si="13"/>
        <v/>
      </c>
      <c r="H313" s="10" t="str">
        <f>IF(Registro!$G313="","",IF(ISERROR(FIND("x",LOWER(Registro!$G313))),"-",IFERROR(SUMPRODUCT(--("0"&amp;LEFT(TRIM(MID(SUBSTITUTE(SUBSTITUTE(SUBSTITUTE(SUBSTITUTE(SUBSTITUTE(LOWER(Registro!$G313),"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",LEN(Registro!$G313))),({1,2,3,4,5,6,7,8,9,10,11,12,13,14,15,16,17,18,19,20,21,22,23,24,25,26,27,28,29,30}-1)*LEN(Registro!$G313)+1,LEN(Registro!$G313))),FIND("x",TRIM(MID(SUBSTITUTE(SUBSTITUTE(SUBSTITUTE(SUBSTITUTE(SUBSTITUTE(LOWER(Registro!$G313),"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",LEN(Registro!$G313))),({1,2,3,4,5,6,7,8,9,10,11,12,13,14,15,16,17,18,19,20,21,22,23,24,25,26,27,28,29,30}-1)*LEN(Registro!$G313)+1,LEN(Registro!$G313)))&amp;"x")-1))),"Revisar formato")))</f>
        <v/>
      </c>
      <c r="I313" s="11" t="str">
        <f>IF(Registro!$G313="","",IF(ISERROR(FIND("x",LOWER(Registro!$G313))),N(Registro!$H313),IFERROR(SUMPRODUCT(--("0"&amp;LEFT(TRIM(MID(SUBSTITUTE(SUBSTITUTE(SUBSTITUTE(SUBSTITUTE(SUBSTITUTE(LOWER(Registro!$G313),"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",LEN(Registro!$G313))),({1,2,3,4,5,6,7,8,9,10,11,12,13,14,15,16,17,18,19,20,21,22,23,24,25,26,27,28,29,30}-1)*LEN(Registro!$G313)+1,LEN(Registro!$G313))),FIND("x",TRIM(MID(SUBSTITUTE(SUBSTITUTE(SUBSTITUTE(SUBSTITUTE(SUBSTITUTE(LOWER(Registro!$G313),"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",LEN(Registro!$G313))),({1,2,3,4,5,6,7,8,9,10,11,12,13,14,15,16,17,18,19,20,21,22,23,24,25,26,27,28,29,30}-1)*LEN(Registro!$G313)+1,LEN(Registro!$G313)))&amp;"x")-1)),--("0"&amp;MID(TRIM(MID(SUBSTITUTE(SUBSTITUTE(SUBSTITUTE(SUBSTITUTE(SUBSTITUTE(LOWER(Registro!$G313),"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",LEN(Registro!$G313))),({1,2,3,4,5,6,7,8,9,10,11,12,13,14,15,16,17,18,19,20,21,22,23,24,25,26,27,28,29,30}-1)*LEN(Registro!$G313)+1,LEN(Registro!$G313))),FIND("x",TRIM(MID(SUBSTITUTE(SUBSTITUTE(SUBSTITUTE(SUBSTITUTE(SUBSTITUTE(LOWER(Registro!$G313),"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",LEN(Registro!$G313))),({1,2,3,4,5,6,7,8,9,10,11,12,13,14,15,16,17,18,19,20,21,22,23,24,25,26,27,28,29,30}-1)*LEN(Registro!$G313)+1,LEN(Registro!$G313)))&amp;"x")+1,20))),"Revisar formato")))</f>
        <v/>
      </c>
      <c r="J313" s="9" t="str">
        <f>IF(AND(Registro!$E313="",Registro!$G313=""),"",IF(NOT(AND(ISNUMBER(I313),ISNUMBER(Registro!$H313))),"",IF(I313&lt;Registro!$H313,"FALTA BOLETOS",IF(I313=Registro!$H313,"CONFORME","DIFERENCIA"))))</f>
        <v/>
      </c>
      <c r="K313" s="11" t="str">
        <f>IF(Registro!$I313="","",IFERROR(SUMPRODUCT(--("0"&amp;TRIM(RIGHT(SUBSTITUTE(TRIM(MID(SUBSTITUTE(SUBSTITUTE(Registro!$I313,";",CHAR(10)),CHAR(10),REPT(" ",LEN(Registro!$I313))),({1,2,3,4,5,6,7,8,9,10,11,12,13,14,15,16,17,18,19,20,21,22,23,24,25,26,27,28,29,30}-1)*LEN(Registro!$I313)+1,LEN(Registro!$I313)))," ",REPT(" ",50)),50)))),"Revisar formato"))</f>
        <v/>
      </c>
      <c r="L313" s="11" t="str">
        <f>IF(Registro!$J313="","",IFERROR(SUMPRODUCT(--("0"&amp;TRIM(RIGHT(SUBSTITUTE(TRIM(MID(SUBSTITUTE(SUBSTITUTE(Registro!$J313,";",CHAR(10)),CHAR(10),REPT(" ",LEN(Registro!$J313))),({1,2,3,4,5,6,7,8,9,10,11,12,13,14,15,16,17,18,19,20,21,22,23,24,25,26,27,28,29,30}-1)*LEN(Registro!$J313)+1,LEN(Registro!$J313)))," ",REPT(" ",50)),50)))),"Revisar formato"))</f>
        <v/>
      </c>
      <c r="M313" s="11" t="str">
        <f>IF(AND(Registro!$H313="",Registro!$I313=""),"",IF(AND(ISTEXT(K313),K313&lt;&gt;""),"Revisar formato",N(Registro!$H313)-N(K313)))</f>
        <v/>
      </c>
      <c r="N313" s="11" t="str">
        <f t="shared" si="14"/>
        <v/>
      </c>
      <c r="O313" s="15" t="str">
        <f>IF(AND(A313=Consulta!$B$3,C313=Consulta!$H$3),B313*10000+ROW(),"")</f>
        <v/>
      </c>
    </row>
    <row r="314" spans="1:15" x14ac:dyDescent="0.25">
      <c r="A314" s="9" t="str">
        <f>IF(Registro!$A314="","",Registro!$A314)</f>
        <v/>
      </c>
      <c r="B314" s="8" t="str">
        <f>IF(Registro!$B314="","",Registro!$B314)</f>
        <v/>
      </c>
      <c r="C314" s="14" t="str">
        <f t="shared" si="12"/>
        <v/>
      </c>
      <c r="D314" s="10" t="str">
        <f>IF(Registro!$E314="","",IF(ISERROR(FIND("x",LOWER(Registro!$E314))),"-",IFERROR(SUMPRODUCT(--("0"&amp;LEFT(TRIM(MID(SUBSTITUTE(SUBSTITUTE(SUBSTITUTE(SUBSTITUTE(SUBSTITUTE(LOWER(Registro!$E314),"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",LEN(Registro!$E314))),({1,2,3,4,5,6,7,8,9,10,11,12,13,14,15,16,17,18,19,20,21,22,23,24,25,26,27,28,29,30}-1)*LEN(Registro!$E314)+1,LEN(Registro!$E314)))&amp;"x")-1))),"Revisar formato")))</f>
        <v/>
      </c>
      <c r="E314" s="11" t="str">
        <f>IF(Registro!$E314="","",IF(ISERROR(FIND("x",LOWER(Registro!$E314))),"-",IFERROR(SUMPRODUCT(--("0"&amp;LEFT(TRIM(MID(SUBSTITUTE(SUBSTITUTE(SUBSTITUTE(SUBSTITUTE(SUBSTITUTE(LOWER(Registro!$E314),"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",LEN(Registro!$E314))),({1,2,3,4,5,6,7,8,9,10,11,12,13,14,15,16,17,18,19,20,21,22,23,24,25,26,27,28,29,30}-1)*LEN(Registro!$E314)+1,LEN(Registro!$E314)))&amp;"x")-1)),--("0"&amp;MID(TRIM(MID(SUBSTITUTE(SUBSTITUTE(SUBSTITUTE(SUBSTITUTE(SUBSTITUTE(LOWER(Registro!$E314),"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",LEN(Registro!$E314))),({1,2,3,4,5,6,7,8,9,10,11,12,13,14,15,16,17,18,19,20,21,22,23,24,25,26,27,28,29,30}-1)*LEN(Registro!$E314)+1,LEN(Registro!$E314)))&amp;"x")+1,20))),"Revisar formato")))</f>
        <v/>
      </c>
      <c r="F314" s="11" t="str">
        <f>IF(Registro!$F314="","",N(Registro!$F314))</f>
        <v/>
      </c>
      <c r="G314" s="11" t="str">
        <f t="shared" si="13"/>
        <v/>
      </c>
      <c r="H314" s="10" t="str">
        <f>IF(Registro!$G314="","",IF(ISERROR(FIND("x",LOWER(Registro!$G314))),"-",IFERROR(SUMPRODUCT(--("0"&amp;LEFT(TRIM(MID(SUBSTITUTE(SUBSTITUTE(SUBSTITUTE(SUBSTITUTE(SUBSTITUTE(LOWER(Registro!$G314),"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",LEN(Registro!$G314))),({1,2,3,4,5,6,7,8,9,10,11,12,13,14,15,16,17,18,19,20,21,22,23,24,25,26,27,28,29,30}-1)*LEN(Registro!$G314)+1,LEN(Registro!$G314))),FIND("x",TRIM(MID(SUBSTITUTE(SUBSTITUTE(SUBSTITUTE(SUBSTITUTE(SUBSTITUTE(LOWER(Registro!$G314),"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",LEN(Registro!$G314))),({1,2,3,4,5,6,7,8,9,10,11,12,13,14,15,16,17,18,19,20,21,22,23,24,25,26,27,28,29,30}-1)*LEN(Registro!$G314)+1,LEN(Registro!$G314)))&amp;"x")-1))),"Revisar formato")))</f>
        <v/>
      </c>
      <c r="I314" s="11" t="str">
        <f>IF(Registro!$G314="","",IF(ISERROR(FIND("x",LOWER(Registro!$G314))),N(Registro!$H314),IFERROR(SUMPRODUCT(--("0"&amp;LEFT(TRIM(MID(SUBSTITUTE(SUBSTITUTE(SUBSTITUTE(SUBSTITUTE(SUBSTITUTE(LOWER(Registro!$G314),"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",LEN(Registro!$G314))),({1,2,3,4,5,6,7,8,9,10,11,12,13,14,15,16,17,18,19,20,21,22,23,24,25,26,27,28,29,30}-1)*LEN(Registro!$G314)+1,LEN(Registro!$G314))),FIND("x",TRIM(MID(SUBSTITUTE(SUBSTITUTE(SUBSTITUTE(SUBSTITUTE(SUBSTITUTE(LOWER(Registro!$G314),"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",LEN(Registro!$G314))),({1,2,3,4,5,6,7,8,9,10,11,12,13,14,15,16,17,18,19,20,21,22,23,24,25,26,27,28,29,30}-1)*LEN(Registro!$G314)+1,LEN(Registro!$G314)))&amp;"x")-1)),--("0"&amp;MID(TRIM(MID(SUBSTITUTE(SUBSTITUTE(SUBSTITUTE(SUBSTITUTE(SUBSTITUTE(LOWER(Registro!$G314),"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",LEN(Registro!$G314))),({1,2,3,4,5,6,7,8,9,10,11,12,13,14,15,16,17,18,19,20,21,22,23,24,25,26,27,28,29,30}-1)*LEN(Registro!$G314)+1,LEN(Registro!$G314))),FIND("x",TRIM(MID(SUBSTITUTE(SUBSTITUTE(SUBSTITUTE(SUBSTITUTE(SUBSTITUTE(LOWER(Registro!$G314),"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",LEN(Registro!$G314))),({1,2,3,4,5,6,7,8,9,10,11,12,13,14,15,16,17,18,19,20,21,22,23,24,25,26,27,28,29,30}-1)*LEN(Registro!$G314)+1,LEN(Registro!$G314)))&amp;"x")+1,20))),"Revisar formato")))</f>
        <v/>
      </c>
      <c r="J314" s="9" t="str">
        <f>IF(AND(Registro!$E314="",Registro!$G314=""),"",IF(NOT(AND(ISNUMBER(I314),ISNUMBER(Registro!$H314))),"",IF(I314&lt;Registro!$H314,"FALTA BOLETOS",IF(I314=Registro!$H314,"CONFORME","DIFERENCIA"))))</f>
        <v/>
      </c>
      <c r="K314" s="11" t="str">
        <f>IF(Registro!$I314="","",IFERROR(SUMPRODUCT(--("0"&amp;TRIM(RIGHT(SUBSTITUTE(TRIM(MID(SUBSTITUTE(SUBSTITUTE(Registro!$I314,";",CHAR(10)),CHAR(10),REPT(" ",LEN(Registro!$I314))),({1,2,3,4,5,6,7,8,9,10,11,12,13,14,15,16,17,18,19,20,21,22,23,24,25,26,27,28,29,30}-1)*LEN(Registro!$I314)+1,LEN(Registro!$I314)))," ",REPT(" ",50)),50)))),"Revisar formato"))</f>
        <v/>
      </c>
      <c r="L314" s="11" t="str">
        <f>IF(Registro!$J314="","",IFERROR(SUMPRODUCT(--("0"&amp;TRIM(RIGHT(SUBSTITUTE(TRIM(MID(SUBSTITUTE(SUBSTITUTE(Registro!$J314,";",CHAR(10)),CHAR(10),REPT(" ",LEN(Registro!$J314))),({1,2,3,4,5,6,7,8,9,10,11,12,13,14,15,16,17,18,19,20,21,22,23,24,25,26,27,28,29,30}-1)*LEN(Registro!$J314)+1,LEN(Registro!$J314)))," ",REPT(" ",50)),50)))),"Revisar formato"))</f>
        <v/>
      </c>
      <c r="M314" s="11" t="str">
        <f>IF(AND(Registro!$H314="",Registro!$I314=""),"",IF(AND(ISTEXT(K314),K314&lt;&gt;""),"Revisar formato",N(Registro!$H314)-N(K314)))</f>
        <v/>
      </c>
      <c r="N314" s="11" t="str">
        <f t="shared" si="14"/>
        <v/>
      </c>
      <c r="O314" s="15" t="str">
        <f>IF(AND(A314=Consulta!$B$3,C314=Consulta!$H$3),B314*10000+ROW(),"")</f>
        <v/>
      </c>
    </row>
    <row r="315" spans="1:15" x14ac:dyDescent="0.25">
      <c r="A315" s="9" t="str">
        <f>IF(Registro!$A315="","",Registro!$A315)</f>
        <v/>
      </c>
      <c r="B315" s="8" t="str">
        <f>IF(Registro!$B315="","",Registro!$B315)</f>
        <v/>
      </c>
      <c r="C315" s="14" t="str">
        <f t="shared" si="12"/>
        <v/>
      </c>
      <c r="D315" s="10" t="str">
        <f>IF(Registro!$E315="","",IF(ISERROR(FIND("x",LOWER(Registro!$E315))),"-",IFERROR(SUMPRODUCT(--("0"&amp;LEFT(TRIM(MID(SUBSTITUTE(SUBSTITUTE(SUBSTITUTE(SUBSTITUTE(SUBSTITUTE(LOWER(Registro!$E315),"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",LEN(Registro!$E315))),({1,2,3,4,5,6,7,8,9,10,11,12,13,14,15,16,17,18,19,20,21,22,23,24,25,26,27,28,29,30}-1)*LEN(Registro!$E315)+1,LEN(Registro!$E315)))&amp;"x")-1))),"Revisar formato")))</f>
        <v/>
      </c>
      <c r="E315" s="11" t="str">
        <f>IF(Registro!$E315="","",IF(ISERROR(FIND("x",LOWER(Registro!$E315))),"-",IFERROR(SUMPRODUCT(--("0"&amp;LEFT(TRIM(MID(SUBSTITUTE(SUBSTITUTE(SUBSTITUTE(SUBSTITUTE(SUBSTITUTE(LOWER(Registro!$E315),"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",LEN(Registro!$E315))),({1,2,3,4,5,6,7,8,9,10,11,12,13,14,15,16,17,18,19,20,21,22,23,24,25,26,27,28,29,30}-1)*LEN(Registro!$E315)+1,LEN(Registro!$E315)))&amp;"x")-1)),--("0"&amp;MID(TRIM(MID(SUBSTITUTE(SUBSTITUTE(SUBSTITUTE(SUBSTITUTE(SUBSTITUTE(LOWER(Registro!$E315),"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",LEN(Registro!$E315))),({1,2,3,4,5,6,7,8,9,10,11,12,13,14,15,16,17,18,19,20,21,22,23,24,25,26,27,28,29,30}-1)*LEN(Registro!$E315)+1,LEN(Registro!$E315)))&amp;"x")+1,20))),"Revisar formato")))</f>
        <v/>
      </c>
      <c r="F315" s="11" t="str">
        <f>IF(Registro!$F315="","",N(Registro!$F315))</f>
        <v/>
      </c>
      <c r="G315" s="11" t="str">
        <f t="shared" si="13"/>
        <v/>
      </c>
      <c r="H315" s="10" t="str">
        <f>IF(Registro!$G315="","",IF(ISERROR(FIND("x",LOWER(Registro!$G315))),"-",IFERROR(SUMPRODUCT(--("0"&amp;LEFT(TRIM(MID(SUBSTITUTE(SUBSTITUTE(SUBSTITUTE(SUBSTITUTE(SUBSTITUTE(LOWER(Registro!$G315),"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",LEN(Registro!$G315))),({1,2,3,4,5,6,7,8,9,10,11,12,13,14,15,16,17,18,19,20,21,22,23,24,25,26,27,28,29,30}-1)*LEN(Registro!$G315)+1,LEN(Registro!$G315))),FIND("x",TRIM(MID(SUBSTITUTE(SUBSTITUTE(SUBSTITUTE(SUBSTITUTE(SUBSTITUTE(LOWER(Registro!$G315),"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",LEN(Registro!$G315))),({1,2,3,4,5,6,7,8,9,10,11,12,13,14,15,16,17,18,19,20,21,22,23,24,25,26,27,28,29,30}-1)*LEN(Registro!$G315)+1,LEN(Registro!$G315)))&amp;"x")-1))),"Revisar formato")))</f>
        <v/>
      </c>
      <c r="I315" s="11" t="str">
        <f>IF(Registro!$G315="","",IF(ISERROR(FIND("x",LOWER(Registro!$G315))),N(Registro!$H315),IFERROR(SUMPRODUCT(--("0"&amp;LEFT(TRIM(MID(SUBSTITUTE(SUBSTITUTE(SUBSTITUTE(SUBSTITUTE(SUBSTITUTE(LOWER(Registro!$G315),"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",LEN(Registro!$G315))),({1,2,3,4,5,6,7,8,9,10,11,12,13,14,15,16,17,18,19,20,21,22,23,24,25,26,27,28,29,30}-1)*LEN(Registro!$G315)+1,LEN(Registro!$G315))),FIND("x",TRIM(MID(SUBSTITUTE(SUBSTITUTE(SUBSTITUTE(SUBSTITUTE(SUBSTITUTE(LOWER(Registro!$G315),"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",LEN(Registro!$G315))),({1,2,3,4,5,6,7,8,9,10,11,12,13,14,15,16,17,18,19,20,21,22,23,24,25,26,27,28,29,30}-1)*LEN(Registro!$G315)+1,LEN(Registro!$G315)))&amp;"x")-1)),--("0"&amp;MID(TRIM(MID(SUBSTITUTE(SUBSTITUTE(SUBSTITUTE(SUBSTITUTE(SUBSTITUTE(LOWER(Registro!$G315),"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",LEN(Registro!$G315))),({1,2,3,4,5,6,7,8,9,10,11,12,13,14,15,16,17,18,19,20,21,22,23,24,25,26,27,28,29,30}-1)*LEN(Registro!$G315)+1,LEN(Registro!$G315))),FIND("x",TRIM(MID(SUBSTITUTE(SUBSTITUTE(SUBSTITUTE(SUBSTITUTE(SUBSTITUTE(LOWER(Registro!$G315),"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",LEN(Registro!$G315))),({1,2,3,4,5,6,7,8,9,10,11,12,13,14,15,16,17,18,19,20,21,22,23,24,25,26,27,28,29,30}-1)*LEN(Registro!$G315)+1,LEN(Registro!$G315)))&amp;"x")+1,20))),"Revisar formato")))</f>
        <v/>
      </c>
      <c r="J315" s="9" t="str">
        <f>IF(AND(Registro!$E315="",Registro!$G315=""),"",IF(NOT(AND(ISNUMBER(I315),ISNUMBER(Registro!$H315))),"",IF(I315&lt;Registro!$H315,"FALTA BOLETOS",IF(I315=Registro!$H315,"CONFORME","DIFERENCIA"))))</f>
        <v/>
      </c>
      <c r="K315" s="11" t="str">
        <f>IF(Registro!$I315="","",IFERROR(SUMPRODUCT(--("0"&amp;TRIM(RIGHT(SUBSTITUTE(TRIM(MID(SUBSTITUTE(SUBSTITUTE(Registro!$I315,";",CHAR(10)),CHAR(10),REPT(" ",LEN(Registro!$I315))),({1,2,3,4,5,6,7,8,9,10,11,12,13,14,15,16,17,18,19,20,21,22,23,24,25,26,27,28,29,30}-1)*LEN(Registro!$I315)+1,LEN(Registro!$I315)))," ",REPT(" ",50)),50)))),"Revisar formato"))</f>
        <v/>
      </c>
      <c r="L315" s="11" t="str">
        <f>IF(Registro!$J315="","",IFERROR(SUMPRODUCT(--("0"&amp;TRIM(RIGHT(SUBSTITUTE(TRIM(MID(SUBSTITUTE(SUBSTITUTE(Registro!$J315,";",CHAR(10)),CHAR(10),REPT(" ",LEN(Registro!$J315))),({1,2,3,4,5,6,7,8,9,10,11,12,13,14,15,16,17,18,19,20,21,22,23,24,25,26,27,28,29,30}-1)*LEN(Registro!$J315)+1,LEN(Registro!$J315)))," ",REPT(" ",50)),50)))),"Revisar formato"))</f>
        <v/>
      </c>
      <c r="M315" s="11" t="str">
        <f>IF(AND(Registro!$H315="",Registro!$I315=""),"",IF(AND(ISTEXT(K315),K315&lt;&gt;""),"Revisar formato",N(Registro!$H315)-N(K315)))</f>
        <v/>
      </c>
      <c r="N315" s="11" t="str">
        <f t="shared" si="14"/>
        <v/>
      </c>
      <c r="O315" s="15" t="str">
        <f>IF(AND(A315=Consulta!$B$3,C315=Consulta!$H$3),B315*10000+ROW(),"")</f>
        <v/>
      </c>
    </row>
    <row r="316" spans="1:15" x14ac:dyDescent="0.25">
      <c r="A316" s="9" t="str">
        <f>IF(Registro!$A316="","",Registro!$A316)</f>
        <v/>
      </c>
      <c r="B316" s="8" t="str">
        <f>IF(Registro!$B316="","",Registro!$B316)</f>
        <v/>
      </c>
      <c r="C316" s="14" t="str">
        <f t="shared" si="12"/>
        <v/>
      </c>
      <c r="D316" s="10" t="str">
        <f>IF(Registro!$E316="","",IF(ISERROR(FIND("x",LOWER(Registro!$E316))),"-",IFERROR(SUMPRODUCT(--("0"&amp;LEFT(TRIM(MID(SUBSTITUTE(SUBSTITUTE(SUBSTITUTE(SUBSTITUTE(SUBSTITUTE(LOWER(Registro!$E316),"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",LEN(Registro!$E316))),({1,2,3,4,5,6,7,8,9,10,11,12,13,14,15,16,17,18,19,20,21,22,23,24,25,26,27,28,29,30}-1)*LEN(Registro!$E316)+1,LEN(Registro!$E316)))&amp;"x")-1))),"Revisar formato")))</f>
        <v/>
      </c>
      <c r="E316" s="11" t="str">
        <f>IF(Registro!$E316="","",IF(ISERROR(FIND("x",LOWER(Registro!$E316))),"-",IFERROR(SUMPRODUCT(--("0"&amp;LEFT(TRIM(MID(SUBSTITUTE(SUBSTITUTE(SUBSTITUTE(SUBSTITUTE(SUBSTITUTE(LOWER(Registro!$E316),"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",LEN(Registro!$E316))),({1,2,3,4,5,6,7,8,9,10,11,12,13,14,15,16,17,18,19,20,21,22,23,24,25,26,27,28,29,30}-1)*LEN(Registro!$E316)+1,LEN(Registro!$E316)))&amp;"x")-1)),--("0"&amp;MID(TRIM(MID(SUBSTITUTE(SUBSTITUTE(SUBSTITUTE(SUBSTITUTE(SUBSTITUTE(LOWER(Registro!$E316),"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",LEN(Registro!$E316))),({1,2,3,4,5,6,7,8,9,10,11,12,13,14,15,16,17,18,19,20,21,22,23,24,25,26,27,28,29,30}-1)*LEN(Registro!$E316)+1,LEN(Registro!$E316)))&amp;"x")+1,20))),"Revisar formato")))</f>
        <v/>
      </c>
      <c r="F316" s="11" t="str">
        <f>IF(Registro!$F316="","",N(Registro!$F316))</f>
        <v/>
      </c>
      <c r="G316" s="11" t="str">
        <f t="shared" si="13"/>
        <v/>
      </c>
      <c r="H316" s="10" t="str">
        <f>IF(Registro!$G316="","",IF(ISERROR(FIND("x",LOWER(Registro!$G316))),"-",IFERROR(SUMPRODUCT(--("0"&amp;LEFT(TRIM(MID(SUBSTITUTE(SUBSTITUTE(SUBSTITUTE(SUBSTITUTE(SUBSTITUTE(LOWER(Registro!$G316),"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",LEN(Registro!$G316))),({1,2,3,4,5,6,7,8,9,10,11,12,13,14,15,16,17,18,19,20,21,22,23,24,25,26,27,28,29,30}-1)*LEN(Registro!$G316)+1,LEN(Registro!$G316))),FIND("x",TRIM(MID(SUBSTITUTE(SUBSTITUTE(SUBSTITUTE(SUBSTITUTE(SUBSTITUTE(LOWER(Registro!$G316),"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",LEN(Registro!$G316))),({1,2,3,4,5,6,7,8,9,10,11,12,13,14,15,16,17,18,19,20,21,22,23,24,25,26,27,28,29,30}-1)*LEN(Registro!$G316)+1,LEN(Registro!$G316)))&amp;"x")-1))),"Revisar formato")))</f>
        <v/>
      </c>
      <c r="I316" s="11" t="str">
        <f>IF(Registro!$G316="","",IF(ISERROR(FIND("x",LOWER(Registro!$G316))),N(Registro!$H316),IFERROR(SUMPRODUCT(--("0"&amp;LEFT(TRIM(MID(SUBSTITUTE(SUBSTITUTE(SUBSTITUTE(SUBSTITUTE(SUBSTITUTE(LOWER(Registro!$G316),"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",LEN(Registro!$G316))),({1,2,3,4,5,6,7,8,9,10,11,12,13,14,15,16,17,18,19,20,21,22,23,24,25,26,27,28,29,30}-1)*LEN(Registro!$G316)+1,LEN(Registro!$G316))),FIND("x",TRIM(MID(SUBSTITUTE(SUBSTITUTE(SUBSTITUTE(SUBSTITUTE(SUBSTITUTE(LOWER(Registro!$G316),"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",LEN(Registro!$G316))),({1,2,3,4,5,6,7,8,9,10,11,12,13,14,15,16,17,18,19,20,21,22,23,24,25,26,27,28,29,30}-1)*LEN(Registro!$G316)+1,LEN(Registro!$G316)))&amp;"x")-1)),--("0"&amp;MID(TRIM(MID(SUBSTITUTE(SUBSTITUTE(SUBSTITUTE(SUBSTITUTE(SUBSTITUTE(LOWER(Registro!$G316),"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",LEN(Registro!$G316))),({1,2,3,4,5,6,7,8,9,10,11,12,13,14,15,16,17,18,19,20,21,22,23,24,25,26,27,28,29,30}-1)*LEN(Registro!$G316)+1,LEN(Registro!$G316))),FIND("x",TRIM(MID(SUBSTITUTE(SUBSTITUTE(SUBSTITUTE(SUBSTITUTE(SUBSTITUTE(LOWER(Registro!$G316),"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",LEN(Registro!$G316))),({1,2,3,4,5,6,7,8,9,10,11,12,13,14,15,16,17,18,19,20,21,22,23,24,25,26,27,28,29,30}-1)*LEN(Registro!$G316)+1,LEN(Registro!$G316)))&amp;"x")+1,20))),"Revisar formato")))</f>
        <v/>
      </c>
      <c r="J316" s="9" t="str">
        <f>IF(AND(Registro!$E316="",Registro!$G316=""),"",IF(NOT(AND(ISNUMBER(I316),ISNUMBER(Registro!$H316))),"",IF(I316&lt;Registro!$H316,"FALTA BOLETOS",IF(I316=Registro!$H316,"CONFORME","DIFERENCIA"))))</f>
        <v/>
      </c>
      <c r="K316" s="11" t="str">
        <f>IF(Registro!$I316="","",IFERROR(SUMPRODUCT(--("0"&amp;TRIM(RIGHT(SUBSTITUTE(TRIM(MID(SUBSTITUTE(SUBSTITUTE(Registro!$I316,";",CHAR(10)),CHAR(10),REPT(" ",LEN(Registro!$I316))),({1,2,3,4,5,6,7,8,9,10,11,12,13,14,15,16,17,18,19,20,21,22,23,24,25,26,27,28,29,30}-1)*LEN(Registro!$I316)+1,LEN(Registro!$I316)))," ",REPT(" ",50)),50)))),"Revisar formato"))</f>
        <v/>
      </c>
      <c r="L316" s="11" t="str">
        <f>IF(Registro!$J316="","",IFERROR(SUMPRODUCT(--("0"&amp;TRIM(RIGHT(SUBSTITUTE(TRIM(MID(SUBSTITUTE(SUBSTITUTE(Registro!$J316,";",CHAR(10)),CHAR(10),REPT(" ",LEN(Registro!$J316))),({1,2,3,4,5,6,7,8,9,10,11,12,13,14,15,16,17,18,19,20,21,22,23,24,25,26,27,28,29,30}-1)*LEN(Registro!$J316)+1,LEN(Registro!$J316)))," ",REPT(" ",50)),50)))),"Revisar formato"))</f>
        <v/>
      </c>
      <c r="M316" s="11" t="str">
        <f>IF(AND(Registro!$H316="",Registro!$I316=""),"",IF(AND(ISTEXT(K316),K316&lt;&gt;""),"Revisar formato",N(Registro!$H316)-N(K316)))</f>
        <v/>
      </c>
      <c r="N316" s="11" t="str">
        <f t="shared" si="14"/>
        <v/>
      </c>
      <c r="O316" s="15" t="str">
        <f>IF(AND(A316=Consulta!$B$3,C316=Consulta!$H$3),B316*10000+ROW(),"")</f>
        <v/>
      </c>
    </row>
    <row r="317" spans="1:15" x14ac:dyDescent="0.25">
      <c r="A317" s="9" t="str">
        <f>IF(Registro!$A317="","",Registro!$A317)</f>
        <v/>
      </c>
      <c r="B317" s="8" t="str">
        <f>IF(Registro!$B317="","",Registro!$B317)</f>
        <v/>
      </c>
      <c r="C317" s="14" t="str">
        <f t="shared" si="12"/>
        <v/>
      </c>
      <c r="D317" s="10" t="str">
        <f>IF(Registro!$E317="","",IF(ISERROR(FIND("x",LOWER(Registro!$E317))),"-",IFERROR(SUMPRODUCT(--("0"&amp;LEFT(TRIM(MID(SUBSTITUTE(SUBSTITUTE(SUBSTITUTE(SUBSTITUTE(SUBSTITUTE(LOWER(Registro!$E317),"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",LEN(Registro!$E317))),({1,2,3,4,5,6,7,8,9,10,11,12,13,14,15,16,17,18,19,20,21,22,23,24,25,26,27,28,29,30}-1)*LEN(Registro!$E317)+1,LEN(Registro!$E317)))&amp;"x")-1))),"Revisar formato")))</f>
        <v/>
      </c>
      <c r="E317" s="11" t="str">
        <f>IF(Registro!$E317="","",IF(ISERROR(FIND("x",LOWER(Registro!$E317))),"-",IFERROR(SUMPRODUCT(--("0"&amp;LEFT(TRIM(MID(SUBSTITUTE(SUBSTITUTE(SUBSTITUTE(SUBSTITUTE(SUBSTITUTE(LOWER(Registro!$E317),"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",LEN(Registro!$E317))),({1,2,3,4,5,6,7,8,9,10,11,12,13,14,15,16,17,18,19,20,21,22,23,24,25,26,27,28,29,30}-1)*LEN(Registro!$E317)+1,LEN(Registro!$E317)))&amp;"x")-1)),--("0"&amp;MID(TRIM(MID(SUBSTITUTE(SUBSTITUTE(SUBSTITUTE(SUBSTITUTE(SUBSTITUTE(LOWER(Registro!$E317),"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",LEN(Registro!$E317))),({1,2,3,4,5,6,7,8,9,10,11,12,13,14,15,16,17,18,19,20,21,22,23,24,25,26,27,28,29,30}-1)*LEN(Registro!$E317)+1,LEN(Registro!$E317)))&amp;"x")+1,20))),"Revisar formato")))</f>
        <v/>
      </c>
      <c r="F317" s="11" t="str">
        <f>IF(Registro!$F317="","",N(Registro!$F317))</f>
        <v/>
      </c>
      <c r="G317" s="11" t="str">
        <f t="shared" si="13"/>
        <v/>
      </c>
      <c r="H317" s="10" t="str">
        <f>IF(Registro!$G317="","",IF(ISERROR(FIND("x",LOWER(Registro!$G317))),"-",IFERROR(SUMPRODUCT(--("0"&amp;LEFT(TRIM(MID(SUBSTITUTE(SUBSTITUTE(SUBSTITUTE(SUBSTITUTE(SUBSTITUTE(LOWER(Registro!$G317),"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",LEN(Registro!$G317))),({1,2,3,4,5,6,7,8,9,10,11,12,13,14,15,16,17,18,19,20,21,22,23,24,25,26,27,28,29,30}-1)*LEN(Registro!$G317)+1,LEN(Registro!$G317))),FIND("x",TRIM(MID(SUBSTITUTE(SUBSTITUTE(SUBSTITUTE(SUBSTITUTE(SUBSTITUTE(LOWER(Registro!$G317),"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",LEN(Registro!$G317))),({1,2,3,4,5,6,7,8,9,10,11,12,13,14,15,16,17,18,19,20,21,22,23,24,25,26,27,28,29,30}-1)*LEN(Registro!$G317)+1,LEN(Registro!$G317)))&amp;"x")-1))),"Revisar formato")))</f>
        <v/>
      </c>
      <c r="I317" s="11" t="str">
        <f>IF(Registro!$G317="","",IF(ISERROR(FIND("x",LOWER(Registro!$G317))),N(Registro!$H317),IFERROR(SUMPRODUCT(--("0"&amp;LEFT(TRIM(MID(SUBSTITUTE(SUBSTITUTE(SUBSTITUTE(SUBSTITUTE(SUBSTITUTE(LOWER(Registro!$G317),"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",LEN(Registro!$G317))),({1,2,3,4,5,6,7,8,9,10,11,12,13,14,15,16,17,18,19,20,21,22,23,24,25,26,27,28,29,30}-1)*LEN(Registro!$G317)+1,LEN(Registro!$G317))),FIND("x",TRIM(MID(SUBSTITUTE(SUBSTITUTE(SUBSTITUTE(SUBSTITUTE(SUBSTITUTE(LOWER(Registro!$G317),"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",LEN(Registro!$G317))),({1,2,3,4,5,6,7,8,9,10,11,12,13,14,15,16,17,18,19,20,21,22,23,24,25,26,27,28,29,30}-1)*LEN(Registro!$G317)+1,LEN(Registro!$G317)))&amp;"x")-1)),--("0"&amp;MID(TRIM(MID(SUBSTITUTE(SUBSTITUTE(SUBSTITUTE(SUBSTITUTE(SUBSTITUTE(LOWER(Registro!$G317),"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",LEN(Registro!$G317))),({1,2,3,4,5,6,7,8,9,10,11,12,13,14,15,16,17,18,19,20,21,22,23,24,25,26,27,28,29,30}-1)*LEN(Registro!$G317)+1,LEN(Registro!$G317))),FIND("x",TRIM(MID(SUBSTITUTE(SUBSTITUTE(SUBSTITUTE(SUBSTITUTE(SUBSTITUTE(LOWER(Registro!$G317),"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",LEN(Registro!$G317))),({1,2,3,4,5,6,7,8,9,10,11,12,13,14,15,16,17,18,19,20,21,22,23,24,25,26,27,28,29,30}-1)*LEN(Registro!$G317)+1,LEN(Registro!$G317)))&amp;"x")+1,20))),"Revisar formato")))</f>
        <v/>
      </c>
      <c r="J317" s="9" t="str">
        <f>IF(AND(Registro!$E317="",Registro!$G317=""),"",IF(NOT(AND(ISNUMBER(I317),ISNUMBER(Registro!$H317))),"",IF(I317&lt;Registro!$H317,"FALTA BOLETOS",IF(I317=Registro!$H317,"CONFORME","DIFERENCIA"))))</f>
        <v/>
      </c>
      <c r="K317" s="11" t="str">
        <f>IF(Registro!$I317="","",IFERROR(SUMPRODUCT(--("0"&amp;TRIM(RIGHT(SUBSTITUTE(TRIM(MID(SUBSTITUTE(SUBSTITUTE(Registro!$I317,";",CHAR(10)),CHAR(10),REPT(" ",LEN(Registro!$I317))),({1,2,3,4,5,6,7,8,9,10,11,12,13,14,15,16,17,18,19,20,21,22,23,24,25,26,27,28,29,30}-1)*LEN(Registro!$I317)+1,LEN(Registro!$I317)))," ",REPT(" ",50)),50)))),"Revisar formato"))</f>
        <v/>
      </c>
      <c r="L317" s="11" t="str">
        <f>IF(Registro!$J317="","",IFERROR(SUMPRODUCT(--("0"&amp;TRIM(RIGHT(SUBSTITUTE(TRIM(MID(SUBSTITUTE(SUBSTITUTE(Registro!$J317,";",CHAR(10)),CHAR(10),REPT(" ",LEN(Registro!$J317))),({1,2,3,4,5,6,7,8,9,10,11,12,13,14,15,16,17,18,19,20,21,22,23,24,25,26,27,28,29,30}-1)*LEN(Registro!$J317)+1,LEN(Registro!$J317)))," ",REPT(" ",50)),50)))),"Revisar formato"))</f>
        <v/>
      </c>
      <c r="M317" s="11" t="str">
        <f>IF(AND(Registro!$H317="",Registro!$I317=""),"",IF(AND(ISTEXT(K317),K317&lt;&gt;""),"Revisar formato",N(Registro!$H317)-N(K317)))</f>
        <v/>
      </c>
      <c r="N317" s="11" t="str">
        <f t="shared" si="14"/>
        <v/>
      </c>
      <c r="O317" s="15" t="str">
        <f>IF(AND(A317=Consulta!$B$3,C317=Consulta!$H$3),B317*10000+ROW(),"")</f>
        <v/>
      </c>
    </row>
    <row r="318" spans="1:15" x14ac:dyDescent="0.25">
      <c r="A318" s="9" t="str">
        <f>IF(Registro!$A318="","",Registro!$A318)</f>
        <v/>
      </c>
      <c r="B318" s="8" t="str">
        <f>IF(Registro!$B318="","",Registro!$B318)</f>
        <v/>
      </c>
      <c r="C318" s="14" t="str">
        <f t="shared" si="12"/>
        <v/>
      </c>
      <c r="D318" s="10" t="str">
        <f>IF(Registro!$E318="","",IF(ISERROR(FIND("x",LOWER(Registro!$E318))),"-",IFERROR(SUMPRODUCT(--("0"&amp;LEFT(TRIM(MID(SUBSTITUTE(SUBSTITUTE(SUBSTITUTE(SUBSTITUTE(SUBSTITUTE(LOWER(Registro!$E318),"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",LEN(Registro!$E318))),({1,2,3,4,5,6,7,8,9,10,11,12,13,14,15,16,17,18,19,20,21,22,23,24,25,26,27,28,29,30}-1)*LEN(Registro!$E318)+1,LEN(Registro!$E318)))&amp;"x")-1))),"Revisar formato")))</f>
        <v/>
      </c>
      <c r="E318" s="11" t="str">
        <f>IF(Registro!$E318="","",IF(ISERROR(FIND("x",LOWER(Registro!$E318))),"-",IFERROR(SUMPRODUCT(--("0"&amp;LEFT(TRIM(MID(SUBSTITUTE(SUBSTITUTE(SUBSTITUTE(SUBSTITUTE(SUBSTITUTE(LOWER(Registro!$E318),"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",LEN(Registro!$E318))),({1,2,3,4,5,6,7,8,9,10,11,12,13,14,15,16,17,18,19,20,21,22,23,24,25,26,27,28,29,30}-1)*LEN(Registro!$E318)+1,LEN(Registro!$E318)))&amp;"x")-1)),--("0"&amp;MID(TRIM(MID(SUBSTITUTE(SUBSTITUTE(SUBSTITUTE(SUBSTITUTE(SUBSTITUTE(LOWER(Registro!$E318),"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",LEN(Registro!$E318))),({1,2,3,4,5,6,7,8,9,10,11,12,13,14,15,16,17,18,19,20,21,22,23,24,25,26,27,28,29,30}-1)*LEN(Registro!$E318)+1,LEN(Registro!$E318)))&amp;"x")+1,20))),"Revisar formato")))</f>
        <v/>
      </c>
      <c r="F318" s="11" t="str">
        <f>IF(Registro!$F318="","",N(Registro!$F318))</f>
        <v/>
      </c>
      <c r="G318" s="11" t="str">
        <f t="shared" si="13"/>
        <v/>
      </c>
      <c r="H318" s="10" t="str">
        <f>IF(Registro!$G318="","",IF(ISERROR(FIND("x",LOWER(Registro!$G318))),"-",IFERROR(SUMPRODUCT(--("0"&amp;LEFT(TRIM(MID(SUBSTITUTE(SUBSTITUTE(SUBSTITUTE(SUBSTITUTE(SUBSTITUTE(LOWER(Registro!$G318),"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",LEN(Registro!$G318))),({1,2,3,4,5,6,7,8,9,10,11,12,13,14,15,16,17,18,19,20,21,22,23,24,25,26,27,28,29,30}-1)*LEN(Registro!$G318)+1,LEN(Registro!$G318))),FIND("x",TRIM(MID(SUBSTITUTE(SUBSTITUTE(SUBSTITUTE(SUBSTITUTE(SUBSTITUTE(LOWER(Registro!$G318),"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",LEN(Registro!$G318))),({1,2,3,4,5,6,7,8,9,10,11,12,13,14,15,16,17,18,19,20,21,22,23,24,25,26,27,28,29,30}-1)*LEN(Registro!$G318)+1,LEN(Registro!$G318)))&amp;"x")-1))),"Revisar formato")))</f>
        <v/>
      </c>
      <c r="I318" s="11" t="str">
        <f>IF(Registro!$G318="","",IF(ISERROR(FIND("x",LOWER(Registro!$G318))),N(Registro!$H318),IFERROR(SUMPRODUCT(--("0"&amp;LEFT(TRIM(MID(SUBSTITUTE(SUBSTITUTE(SUBSTITUTE(SUBSTITUTE(SUBSTITUTE(LOWER(Registro!$G318),"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",LEN(Registro!$G318))),({1,2,3,4,5,6,7,8,9,10,11,12,13,14,15,16,17,18,19,20,21,22,23,24,25,26,27,28,29,30}-1)*LEN(Registro!$G318)+1,LEN(Registro!$G318))),FIND("x",TRIM(MID(SUBSTITUTE(SUBSTITUTE(SUBSTITUTE(SUBSTITUTE(SUBSTITUTE(LOWER(Registro!$G318),"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",LEN(Registro!$G318))),({1,2,3,4,5,6,7,8,9,10,11,12,13,14,15,16,17,18,19,20,21,22,23,24,25,26,27,28,29,30}-1)*LEN(Registro!$G318)+1,LEN(Registro!$G318)))&amp;"x")-1)),--("0"&amp;MID(TRIM(MID(SUBSTITUTE(SUBSTITUTE(SUBSTITUTE(SUBSTITUTE(SUBSTITUTE(LOWER(Registro!$G318),"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",LEN(Registro!$G318))),({1,2,3,4,5,6,7,8,9,10,11,12,13,14,15,16,17,18,19,20,21,22,23,24,25,26,27,28,29,30}-1)*LEN(Registro!$G318)+1,LEN(Registro!$G318))),FIND("x",TRIM(MID(SUBSTITUTE(SUBSTITUTE(SUBSTITUTE(SUBSTITUTE(SUBSTITUTE(LOWER(Registro!$G318),"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",LEN(Registro!$G318))),({1,2,3,4,5,6,7,8,9,10,11,12,13,14,15,16,17,18,19,20,21,22,23,24,25,26,27,28,29,30}-1)*LEN(Registro!$G318)+1,LEN(Registro!$G318)))&amp;"x")+1,20))),"Revisar formato")))</f>
        <v/>
      </c>
      <c r="J318" s="9" t="str">
        <f>IF(AND(Registro!$E318="",Registro!$G318=""),"",IF(NOT(AND(ISNUMBER(I318),ISNUMBER(Registro!$H318))),"",IF(I318&lt;Registro!$H318,"FALTA BOLETOS",IF(I318=Registro!$H318,"CONFORME","DIFERENCIA"))))</f>
        <v/>
      </c>
      <c r="K318" s="11" t="str">
        <f>IF(Registro!$I318="","",IFERROR(SUMPRODUCT(--("0"&amp;TRIM(RIGHT(SUBSTITUTE(TRIM(MID(SUBSTITUTE(SUBSTITUTE(Registro!$I318,";",CHAR(10)),CHAR(10),REPT(" ",LEN(Registro!$I318))),({1,2,3,4,5,6,7,8,9,10,11,12,13,14,15,16,17,18,19,20,21,22,23,24,25,26,27,28,29,30}-1)*LEN(Registro!$I318)+1,LEN(Registro!$I318)))," ",REPT(" ",50)),50)))),"Revisar formato"))</f>
        <v/>
      </c>
      <c r="L318" s="11" t="str">
        <f>IF(Registro!$J318="","",IFERROR(SUMPRODUCT(--("0"&amp;TRIM(RIGHT(SUBSTITUTE(TRIM(MID(SUBSTITUTE(SUBSTITUTE(Registro!$J318,";",CHAR(10)),CHAR(10),REPT(" ",LEN(Registro!$J318))),({1,2,3,4,5,6,7,8,9,10,11,12,13,14,15,16,17,18,19,20,21,22,23,24,25,26,27,28,29,30}-1)*LEN(Registro!$J318)+1,LEN(Registro!$J318)))," ",REPT(" ",50)),50)))),"Revisar formato"))</f>
        <v/>
      </c>
      <c r="M318" s="11" t="str">
        <f>IF(AND(Registro!$H318="",Registro!$I318=""),"",IF(AND(ISTEXT(K318),K318&lt;&gt;""),"Revisar formato",N(Registro!$H318)-N(K318)))</f>
        <v/>
      </c>
      <c r="N318" s="11" t="str">
        <f t="shared" si="14"/>
        <v/>
      </c>
      <c r="O318" s="15" t="str">
        <f>IF(AND(A318=Consulta!$B$3,C318=Consulta!$H$3),B318*10000+ROW(),"")</f>
        <v/>
      </c>
    </row>
    <row r="319" spans="1:15" x14ac:dyDescent="0.25">
      <c r="A319" s="9" t="str">
        <f>IF(Registro!$A319="","",Registro!$A319)</f>
        <v/>
      </c>
      <c r="B319" s="8" t="str">
        <f>IF(Registro!$B319="","",Registro!$B319)</f>
        <v/>
      </c>
      <c r="C319" s="14" t="str">
        <f t="shared" si="12"/>
        <v/>
      </c>
      <c r="D319" s="10" t="str">
        <f>IF(Registro!$E319="","",IF(ISERROR(FIND("x",LOWER(Registro!$E319))),"-",IFERROR(SUMPRODUCT(--("0"&amp;LEFT(TRIM(MID(SUBSTITUTE(SUBSTITUTE(SUBSTITUTE(SUBSTITUTE(SUBSTITUTE(LOWER(Registro!$E319),"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",LEN(Registro!$E319))),({1,2,3,4,5,6,7,8,9,10,11,12,13,14,15,16,17,18,19,20,21,22,23,24,25,26,27,28,29,30}-1)*LEN(Registro!$E319)+1,LEN(Registro!$E319)))&amp;"x")-1))),"Revisar formato")))</f>
        <v/>
      </c>
      <c r="E319" s="11" t="str">
        <f>IF(Registro!$E319="","",IF(ISERROR(FIND("x",LOWER(Registro!$E319))),"-",IFERROR(SUMPRODUCT(--("0"&amp;LEFT(TRIM(MID(SUBSTITUTE(SUBSTITUTE(SUBSTITUTE(SUBSTITUTE(SUBSTITUTE(LOWER(Registro!$E319),"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",LEN(Registro!$E319))),({1,2,3,4,5,6,7,8,9,10,11,12,13,14,15,16,17,18,19,20,21,22,23,24,25,26,27,28,29,30}-1)*LEN(Registro!$E319)+1,LEN(Registro!$E319)))&amp;"x")-1)),--("0"&amp;MID(TRIM(MID(SUBSTITUTE(SUBSTITUTE(SUBSTITUTE(SUBSTITUTE(SUBSTITUTE(LOWER(Registro!$E319),"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",LEN(Registro!$E319))),({1,2,3,4,5,6,7,8,9,10,11,12,13,14,15,16,17,18,19,20,21,22,23,24,25,26,27,28,29,30}-1)*LEN(Registro!$E319)+1,LEN(Registro!$E319)))&amp;"x")+1,20))),"Revisar formato")))</f>
        <v/>
      </c>
      <c r="F319" s="11" t="str">
        <f>IF(Registro!$F319="","",N(Registro!$F319))</f>
        <v/>
      </c>
      <c r="G319" s="11" t="str">
        <f t="shared" si="13"/>
        <v/>
      </c>
      <c r="H319" s="10" t="str">
        <f>IF(Registro!$G319="","",IF(ISERROR(FIND("x",LOWER(Registro!$G319))),"-",IFERROR(SUMPRODUCT(--("0"&amp;LEFT(TRIM(MID(SUBSTITUTE(SUBSTITUTE(SUBSTITUTE(SUBSTITUTE(SUBSTITUTE(LOWER(Registro!$G319),"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",LEN(Registro!$G319))),({1,2,3,4,5,6,7,8,9,10,11,12,13,14,15,16,17,18,19,20,21,22,23,24,25,26,27,28,29,30}-1)*LEN(Registro!$G319)+1,LEN(Registro!$G319))),FIND("x",TRIM(MID(SUBSTITUTE(SUBSTITUTE(SUBSTITUTE(SUBSTITUTE(SUBSTITUTE(LOWER(Registro!$G319),"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",LEN(Registro!$G319))),({1,2,3,4,5,6,7,8,9,10,11,12,13,14,15,16,17,18,19,20,21,22,23,24,25,26,27,28,29,30}-1)*LEN(Registro!$G319)+1,LEN(Registro!$G319)))&amp;"x")-1))),"Revisar formato")))</f>
        <v/>
      </c>
      <c r="I319" s="11" t="str">
        <f>IF(Registro!$G319="","",IF(ISERROR(FIND("x",LOWER(Registro!$G319))),N(Registro!$H319),IFERROR(SUMPRODUCT(--("0"&amp;LEFT(TRIM(MID(SUBSTITUTE(SUBSTITUTE(SUBSTITUTE(SUBSTITUTE(SUBSTITUTE(LOWER(Registro!$G319),"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",LEN(Registro!$G319))),({1,2,3,4,5,6,7,8,9,10,11,12,13,14,15,16,17,18,19,20,21,22,23,24,25,26,27,28,29,30}-1)*LEN(Registro!$G319)+1,LEN(Registro!$G319))),FIND("x",TRIM(MID(SUBSTITUTE(SUBSTITUTE(SUBSTITUTE(SUBSTITUTE(SUBSTITUTE(LOWER(Registro!$G319),"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",LEN(Registro!$G319))),({1,2,3,4,5,6,7,8,9,10,11,12,13,14,15,16,17,18,19,20,21,22,23,24,25,26,27,28,29,30}-1)*LEN(Registro!$G319)+1,LEN(Registro!$G319)))&amp;"x")-1)),--("0"&amp;MID(TRIM(MID(SUBSTITUTE(SUBSTITUTE(SUBSTITUTE(SUBSTITUTE(SUBSTITUTE(LOWER(Registro!$G319),"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",LEN(Registro!$G319))),({1,2,3,4,5,6,7,8,9,10,11,12,13,14,15,16,17,18,19,20,21,22,23,24,25,26,27,28,29,30}-1)*LEN(Registro!$G319)+1,LEN(Registro!$G319))),FIND("x",TRIM(MID(SUBSTITUTE(SUBSTITUTE(SUBSTITUTE(SUBSTITUTE(SUBSTITUTE(LOWER(Registro!$G319),"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",LEN(Registro!$G319))),({1,2,3,4,5,6,7,8,9,10,11,12,13,14,15,16,17,18,19,20,21,22,23,24,25,26,27,28,29,30}-1)*LEN(Registro!$G319)+1,LEN(Registro!$G319)))&amp;"x")+1,20))),"Revisar formato")))</f>
        <v/>
      </c>
      <c r="J319" s="9" t="str">
        <f>IF(AND(Registro!$E319="",Registro!$G319=""),"",IF(NOT(AND(ISNUMBER(I319),ISNUMBER(Registro!$H319))),"",IF(I319&lt;Registro!$H319,"FALTA BOLETOS",IF(I319=Registro!$H319,"CONFORME","DIFERENCIA"))))</f>
        <v/>
      </c>
      <c r="K319" s="11" t="str">
        <f>IF(Registro!$I319="","",IFERROR(SUMPRODUCT(--("0"&amp;TRIM(RIGHT(SUBSTITUTE(TRIM(MID(SUBSTITUTE(SUBSTITUTE(Registro!$I319,";",CHAR(10)),CHAR(10),REPT(" ",LEN(Registro!$I319))),({1,2,3,4,5,6,7,8,9,10,11,12,13,14,15,16,17,18,19,20,21,22,23,24,25,26,27,28,29,30}-1)*LEN(Registro!$I319)+1,LEN(Registro!$I319)))," ",REPT(" ",50)),50)))),"Revisar formato"))</f>
        <v/>
      </c>
      <c r="L319" s="11" t="str">
        <f>IF(Registro!$J319="","",IFERROR(SUMPRODUCT(--("0"&amp;TRIM(RIGHT(SUBSTITUTE(TRIM(MID(SUBSTITUTE(SUBSTITUTE(Registro!$J319,";",CHAR(10)),CHAR(10),REPT(" ",LEN(Registro!$J319))),({1,2,3,4,5,6,7,8,9,10,11,12,13,14,15,16,17,18,19,20,21,22,23,24,25,26,27,28,29,30}-1)*LEN(Registro!$J319)+1,LEN(Registro!$J319)))," ",REPT(" ",50)),50)))),"Revisar formato"))</f>
        <v/>
      </c>
      <c r="M319" s="11" t="str">
        <f>IF(AND(Registro!$H319="",Registro!$I319=""),"",IF(AND(ISTEXT(K319),K319&lt;&gt;""),"Revisar formato",N(Registro!$H319)-N(K319)))</f>
        <v/>
      </c>
      <c r="N319" s="11" t="str">
        <f t="shared" si="14"/>
        <v/>
      </c>
      <c r="O319" s="15" t="str">
        <f>IF(AND(A319=Consulta!$B$3,C319=Consulta!$H$3),B319*10000+ROW(),"")</f>
        <v/>
      </c>
    </row>
    <row r="320" spans="1:15" x14ac:dyDescent="0.25">
      <c r="A320" s="9" t="str">
        <f>IF(Registro!$A320="","",Registro!$A320)</f>
        <v/>
      </c>
      <c r="B320" s="8" t="str">
        <f>IF(Registro!$B320="","",Registro!$B320)</f>
        <v/>
      </c>
      <c r="C320" s="14" t="str">
        <f t="shared" si="12"/>
        <v/>
      </c>
      <c r="D320" s="10" t="str">
        <f>IF(Registro!$E320="","",IF(ISERROR(FIND("x",LOWER(Registro!$E320))),"-",IFERROR(SUMPRODUCT(--("0"&amp;LEFT(TRIM(MID(SUBSTITUTE(SUBSTITUTE(SUBSTITUTE(SUBSTITUTE(SUBSTITUTE(LOWER(Registro!$E320),"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",LEN(Registro!$E320))),({1,2,3,4,5,6,7,8,9,10,11,12,13,14,15,16,17,18,19,20,21,22,23,24,25,26,27,28,29,30}-1)*LEN(Registro!$E320)+1,LEN(Registro!$E320)))&amp;"x")-1))),"Revisar formato")))</f>
        <v/>
      </c>
      <c r="E320" s="11" t="str">
        <f>IF(Registro!$E320="","",IF(ISERROR(FIND("x",LOWER(Registro!$E320))),"-",IFERROR(SUMPRODUCT(--("0"&amp;LEFT(TRIM(MID(SUBSTITUTE(SUBSTITUTE(SUBSTITUTE(SUBSTITUTE(SUBSTITUTE(LOWER(Registro!$E320),"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",LEN(Registro!$E320))),({1,2,3,4,5,6,7,8,9,10,11,12,13,14,15,16,17,18,19,20,21,22,23,24,25,26,27,28,29,30}-1)*LEN(Registro!$E320)+1,LEN(Registro!$E320)))&amp;"x")-1)),--("0"&amp;MID(TRIM(MID(SUBSTITUTE(SUBSTITUTE(SUBSTITUTE(SUBSTITUTE(SUBSTITUTE(LOWER(Registro!$E320),"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",LEN(Registro!$E320))),({1,2,3,4,5,6,7,8,9,10,11,12,13,14,15,16,17,18,19,20,21,22,23,24,25,26,27,28,29,30}-1)*LEN(Registro!$E320)+1,LEN(Registro!$E320)))&amp;"x")+1,20))),"Revisar formato")))</f>
        <v/>
      </c>
      <c r="F320" s="11" t="str">
        <f>IF(Registro!$F320="","",N(Registro!$F320))</f>
        <v/>
      </c>
      <c r="G320" s="11" t="str">
        <f t="shared" si="13"/>
        <v/>
      </c>
      <c r="H320" s="10" t="str">
        <f>IF(Registro!$G320="","",IF(ISERROR(FIND("x",LOWER(Registro!$G320))),"-",IFERROR(SUMPRODUCT(--("0"&amp;LEFT(TRIM(MID(SUBSTITUTE(SUBSTITUTE(SUBSTITUTE(SUBSTITUTE(SUBSTITUTE(LOWER(Registro!$G320),"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",LEN(Registro!$G320))),({1,2,3,4,5,6,7,8,9,10,11,12,13,14,15,16,17,18,19,20,21,22,23,24,25,26,27,28,29,30}-1)*LEN(Registro!$G320)+1,LEN(Registro!$G320))),FIND("x",TRIM(MID(SUBSTITUTE(SUBSTITUTE(SUBSTITUTE(SUBSTITUTE(SUBSTITUTE(LOWER(Registro!$G320),"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",LEN(Registro!$G320))),({1,2,3,4,5,6,7,8,9,10,11,12,13,14,15,16,17,18,19,20,21,22,23,24,25,26,27,28,29,30}-1)*LEN(Registro!$G320)+1,LEN(Registro!$G320)))&amp;"x")-1))),"Revisar formato")))</f>
        <v/>
      </c>
      <c r="I320" s="11" t="str">
        <f>IF(Registro!$G320="","",IF(ISERROR(FIND("x",LOWER(Registro!$G320))),N(Registro!$H320),IFERROR(SUMPRODUCT(--("0"&amp;LEFT(TRIM(MID(SUBSTITUTE(SUBSTITUTE(SUBSTITUTE(SUBSTITUTE(SUBSTITUTE(LOWER(Registro!$G320),"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",LEN(Registro!$G320))),({1,2,3,4,5,6,7,8,9,10,11,12,13,14,15,16,17,18,19,20,21,22,23,24,25,26,27,28,29,30}-1)*LEN(Registro!$G320)+1,LEN(Registro!$G320))),FIND("x",TRIM(MID(SUBSTITUTE(SUBSTITUTE(SUBSTITUTE(SUBSTITUTE(SUBSTITUTE(LOWER(Registro!$G320),"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",LEN(Registro!$G320))),({1,2,3,4,5,6,7,8,9,10,11,12,13,14,15,16,17,18,19,20,21,22,23,24,25,26,27,28,29,30}-1)*LEN(Registro!$G320)+1,LEN(Registro!$G320)))&amp;"x")-1)),--("0"&amp;MID(TRIM(MID(SUBSTITUTE(SUBSTITUTE(SUBSTITUTE(SUBSTITUTE(SUBSTITUTE(LOWER(Registro!$G320),"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",LEN(Registro!$G320))),({1,2,3,4,5,6,7,8,9,10,11,12,13,14,15,16,17,18,19,20,21,22,23,24,25,26,27,28,29,30}-1)*LEN(Registro!$G320)+1,LEN(Registro!$G320))),FIND("x",TRIM(MID(SUBSTITUTE(SUBSTITUTE(SUBSTITUTE(SUBSTITUTE(SUBSTITUTE(LOWER(Registro!$G320),"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",LEN(Registro!$G320))),({1,2,3,4,5,6,7,8,9,10,11,12,13,14,15,16,17,18,19,20,21,22,23,24,25,26,27,28,29,30}-1)*LEN(Registro!$G320)+1,LEN(Registro!$G320)))&amp;"x")+1,20))),"Revisar formato")))</f>
        <v/>
      </c>
      <c r="J320" s="9" t="str">
        <f>IF(AND(Registro!$E320="",Registro!$G320=""),"",IF(NOT(AND(ISNUMBER(I320),ISNUMBER(Registro!$H320))),"",IF(I320&lt;Registro!$H320,"FALTA BOLETOS",IF(I320=Registro!$H320,"CONFORME","DIFERENCIA"))))</f>
        <v/>
      </c>
      <c r="K320" s="11" t="str">
        <f>IF(Registro!$I320="","",IFERROR(SUMPRODUCT(--("0"&amp;TRIM(RIGHT(SUBSTITUTE(TRIM(MID(SUBSTITUTE(SUBSTITUTE(Registro!$I320,";",CHAR(10)),CHAR(10),REPT(" ",LEN(Registro!$I320))),({1,2,3,4,5,6,7,8,9,10,11,12,13,14,15,16,17,18,19,20,21,22,23,24,25,26,27,28,29,30}-1)*LEN(Registro!$I320)+1,LEN(Registro!$I320)))," ",REPT(" ",50)),50)))),"Revisar formato"))</f>
        <v/>
      </c>
      <c r="L320" s="11" t="str">
        <f>IF(Registro!$J320="","",IFERROR(SUMPRODUCT(--("0"&amp;TRIM(RIGHT(SUBSTITUTE(TRIM(MID(SUBSTITUTE(SUBSTITUTE(Registro!$J320,";",CHAR(10)),CHAR(10),REPT(" ",LEN(Registro!$J320))),({1,2,3,4,5,6,7,8,9,10,11,12,13,14,15,16,17,18,19,20,21,22,23,24,25,26,27,28,29,30}-1)*LEN(Registro!$J320)+1,LEN(Registro!$J320)))," ",REPT(" ",50)),50)))),"Revisar formato"))</f>
        <v/>
      </c>
      <c r="M320" s="11" t="str">
        <f>IF(AND(Registro!$H320="",Registro!$I320=""),"",IF(AND(ISTEXT(K320),K320&lt;&gt;""),"Revisar formato",N(Registro!$H320)-N(K320)))</f>
        <v/>
      </c>
      <c r="N320" s="11" t="str">
        <f t="shared" si="14"/>
        <v/>
      </c>
      <c r="O320" s="15" t="str">
        <f>IF(AND(A320=Consulta!$B$3,C320=Consulta!$H$3),B320*10000+ROW(),"")</f>
        <v/>
      </c>
    </row>
    <row r="321" spans="1:15" x14ac:dyDescent="0.25">
      <c r="A321" s="9" t="str">
        <f>IF(Registro!$A321="","",Registro!$A321)</f>
        <v/>
      </c>
      <c r="B321" s="8" t="str">
        <f>IF(Registro!$B321="","",Registro!$B321)</f>
        <v/>
      </c>
      <c r="C321" s="14" t="str">
        <f t="shared" si="12"/>
        <v/>
      </c>
      <c r="D321" s="10" t="str">
        <f>IF(Registro!$E321="","",IF(ISERROR(FIND("x",LOWER(Registro!$E321))),"-",IFERROR(SUMPRODUCT(--("0"&amp;LEFT(TRIM(MID(SUBSTITUTE(SUBSTITUTE(SUBSTITUTE(SUBSTITUTE(SUBSTITUTE(LOWER(Registro!$E321),"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",LEN(Registro!$E321))),({1,2,3,4,5,6,7,8,9,10,11,12,13,14,15,16,17,18,19,20,21,22,23,24,25,26,27,28,29,30}-1)*LEN(Registro!$E321)+1,LEN(Registro!$E321)))&amp;"x")-1))),"Revisar formato")))</f>
        <v/>
      </c>
      <c r="E321" s="11" t="str">
        <f>IF(Registro!$E321="","",IF(ISERROR(FIND("x",LOWER(Registro!$E321))),"-",IFERROR(SUMPRODUCT(--("0"&amp;LEFT(TRIM(MID(SUBSTITUTE(SUBSTITUTE(SUBSTITUTE(SUBSTITUTE(SUBSTITUTE(LOWER(Registro!$E321),"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",LEN(Registro!$E321))),({1,2,3,4,5,6,7,8,9,10,11,12,13,14,15,16,17,18,19,20,21,22,23,24,25,26,27,28,29,30}-1)*LEN(Registro!$E321)+1,LEN(Registro!$E321)))&amp;"x")-1)),--("0"&amp;MID(TRIM(MID(SUBSTITUTE(SUBSTITUTE(SUBSTITUTE(SUBSTITUTE(SUBSTITUTE(LOWER(Registro!$E321),"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",LEN(Registro!$E321))),({1,2,3,4,5,6,7,8,9,10,11,12,13,14,15,16,17,18,19,20,21,22,23,24,25,26,27,28,29,30}-1)*LEN(Registro!$E321)+1,LEN(Registro!$E321)))&amp;"x")+1,20))),"Revisar formato")))</f>
        <v/>
      </c>
      <c r="F321" s="11" t="str">
        <f>IF(Registro!$F321="","",N(Registro!$F321))</f>
        <v/>
      </c>
      <c r="G321" s="11" t="str">
        <f t="shared" si="13"/>
        <v/>
      </c>
      <c r="H321" s="10" t="str">
        <f>IF(Registro!$G321="","",IF(ISERROR(FIND("x",LOWER(Registro!$G321))),"-",IFERROR(SUMPRODUCT(--("0"&amp;LEFT(TRIM(MID(SUBSTITUTE(SUBSTITUTE(SUBSTITUTE(SUBSTITUTE(SUBSTITUTE(LOWER(Registro!$G321),"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",LEN(Registro!$G321))),({1,2,3,4,5,6,7,8,9,10,11,12,13,14,15,16,17,18,19,20,21,22,23,24,25,26,27,28,29,30}-1)*LEN(Registro!$G321)+1,LEN(Registro!$G321))),FIND("x",TRIM(MID(SUBSTITUTE(SUBSTITUTE(SUBSTITUTE(SUBSTITUTE(SUBSTITUTE(LOWER(Registro!$G321),"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",LEN(Registro!$G321))),({1,2,3,4,5,6,7,8,9,10,11,12,13,14,15,16,17,18,19,20,21,22,23,24,25,26,27,28,29,30}-1)*LEN(Registro!$G321)+1,LEN(Registro!$G321)))&amp;"x")-1))),"Revisar formato")))</f>
        <v/>
      </c>
      <c r="I321" s="11" t="str">
        <f>IF(Registro!$G321="","",IF(ISERROR(FIND("x",LOWER(Registro!$G321))),N(Registro!$H321),IFERROR(SUMPRODUCT(--("0"&amp;LEFT(TRIM(MID(SUBSTITUTE(SUBSTITUTE(SUBSTITUTE(SUBSTITUTE(SUBSTITUTE(LOWER(Registro!$G321),"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",LEN(Registro!$G321))),({1,2,3,4,5,6,7,8,9,10,11,12,13,14,15,16,17,18,19,20,21,22,23,24,25,26,27,28,29,30}-1)*LEN(Registro!$G321)+1,LEN(Registro!$G321))),FIND("x",TRIM(MID(SUBSTITUTE(SUBSTITUTE(SUBSTITUTE(SUBSTITUTE(SUBSTITUTE(LOWER(Registro!$G321),"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",LEN(Registro!$G321))),({1,2,3,4,5,6,7,8,9,10,11,12,13,14,15,16,17,18,19,20,21,22,23,24,25,26,27,28,29,30}-1)*LEN(Registro!$G321)+1,LEN(Registro!$G321)))&amp;"x")-1)),--("0"&amp;MID(TRIM(MID(SUBSTITUTE(SUBSTITUTE(SUBSTITUTE(SUBSTITUTE(SUBSTITUTE(LOWER(Registro!$G321),"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",LEN(Registro!$G321))),({1,2,3,4,5,6,7,8,9,10,11,12,13,14,15,16,17,18,19,20,21,22,23,24,25,26,27,28,29,30}-1)*LEN(Registro!$G321)+1,LEN(Registro!$G321))),FIND("x",TRIM(MID(SUBSTITUTE(SUBSTITUTE(SUBSTITUTE(SUBSTITUTE(SUBSTITUTE(LOWER(Registro!$G321),"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",LEN(Registro!$G321))),({1,2,3,4,5,6,7,8,9,10,11,12,13,14,15,16,17,18,19,20,21,22,23,24,25,26,27,28,29,30}-1)*LEN(Registro!$G321)+1,LEN(Registro!$G321)))&amp;"x")+1,20))),"Revisar formato")))</f>
        <v/>
      </c>
      <c r="J321" s="9" t="str">
        <f>IF(AND(Registro!$E321="",Registro!$G321=""),"",IF(NOT(AND(ISNUMBER(I321),ISNUMBER(Registro!$H321))),"",IF(I321&lt;Registro!$H321,"FALTA BOLETOS",IF(I321=Registro!$H321,"CONFORME","DIFERENCIA"))))</f>
        <v/>
      </c>
      <c r="K321" s="11" t="str">
        <f>IF(Registro!$I321="","",IFERROR(SUMPRODUCT(--("0"&amp;TRIM(RIGHT(SUBSTITUTE(TRIM(MID(SUBSTITUTE(SUBSTITUTE(Registro!$I321,";",CHAR(10)),CHAR(10),REPT(" ",LEN(Registro!$I321))),({1,2,3,4,5,6,7,8,9,10,11,12,13,14,15,16,17,18,19,20,21,22,23,24,25,26,27,28,29,30}-1)*LEN(Registro!$I321)+1,LEN(Registro!$I321)))," ",REPT(" ",50)),50)))),"Revisar formato"))</f>
        <v/>
      </c>
      <c r="L321" s="11" t="str">
        <f>IF(Registro!$J321="","",IFERROR(SUMPRODUCT(--("0"&amp;TRIM(RIGHT(SUBSTITUTE(TRIM(MID(SUBSTITUTE(SUBSTITUTE(Registro!$J321,";",CHAR(10)),CHAR(10),REPT(" ",LEN(Registro!$J321))),({1,2,3,4,5,6,7,8,9,10,11,12,13,14,15,16,17,18,19,20,21,22,23,24,25,26,27,28,29,30}-1)*LEN(Registro!$J321)+1,LEN(Registro!$J321)))," ",REPT(" ",50)),50)))),"Revisar formato"))</f>
        <v/>
      </c>
      <c r="M321" s="11" t="str">
        <f>IF(AND(Registro!$H321="",Registro!$I321=""),"",IF(AND(ISTEXT(K321),K321&lt;&gt;""),"Revisar formato",N(Registro!$H321)-N(K321)))</f>
        <v/>
      </c>
      <c r="N321" s="11" t="str">
        <f t="shared" si="14"/>
        <v/>
      </c>
      <c r="O321" s="15" t="str">
        <f>IF(AND(A321=Consulta!$B$3,C321=Consulta!$H$3),B321*10000+ROW(),"")</f>
        <v/>
      </c>
    </row>
    <row r="322" spans="1:15" x14ac:dyDescent="0.25">
      <c r="A322" s="9" t="str">
        <f>IF(Registro!$A322="","",Registro!$A322)</f>
        <v/>
      </c>
      <c r="B322" s="8" t="str">
        <f>IF(Registro!$B322="","",Registro!$B322)</f>
        <v/>
      </c>
      <c r="C322" s="14" t="str">
        <f t="shared" ref="C322:C385" si="15">IF(ISNUMBER(B322),YEAR(B322)*100+MONTH(B322),"")</f>
        <v/>
      </c>
      <c r="D322" s="10" t="str">
        <f>IF(Registro!$E322="","",IF(ISERROR(FIND("x",LOWER(Registro!$E322))),"-",IFERROR(SUMPRODUCT(--("0"&amp;LEFT(TRIM(MID(SUBSTITUTE(SUBSTITUTE(SUBSTITUTE(SUBSTITUTE(SUBSTITUTE(LOWER(Registro!$E322),"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",LEN(Registro!$E322))),({1,2,3,4,5,6,7,8,9,10,11,12,13,14,15,16,17,18,19,20,21,22,23,24,25,26,27,28,29,30}-1)*LEN(Registro!$E322)+1,LEN(Registro!$E322)))&amp;"x")-1))),"Revisar formato")))</f>
        <v/>
      </c>
      <c r="E322" s="11" t="str">
        <f>IF(Registro!$E322="","",IF(ISERROR(FIND("x",LOWER(Registro!$E322))),"-",IFERROR(SUMPRODUCT(--("0"&amp;LEFT(TRIM(MID(SUBSTITUTE(SUBSTITUTE(SUBSTITUTE(SUBSTITUTE(SUBSTITUTE(LOWER(Registro!$E322),"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",LEN(Registro!$E322))),({1,2,3,4,5,6,7,8,9,10,11,12,13,14,15,16,17,18,19,20,21,22,23,24,25,26,27,28,29,30}-1)*LEN(Registro!$E322)+1,LEN(Registro!$E322)))&amp;"x")-1)),--("0"&amp;MID(TRIM(MID(SUBSTITUTE(SUBSTITUTE(SUBSTITUTE(SUBSTITUTE(SUBSTITUTE(LOWER(Registro!$E322),"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",LEN(Registro!$E322))),({1,2,3,4,5,6,7,8,9,10,11,12,13,14,15,16,17,18,19,20,21,22,23,24,25,26,27,28,29,30}-1)*LEN(Registro!$E322)+1,LEN(Registro!$E322)))&amp;"x")+1,20))),"Revisar formato")))</f>
        <v/>
      </c>
      <c r="F322" s="11" t="str">
        <f>IF(Registro!$F322="","",N(Registro!$F322))</f>
        <v/>
      </c>
      <c r="G322" s="11" t="str">
        <f t="shared" ref="G322:G385" si="16">IF(AND(E322="",F322=""),"",IF(OR(E322="",ISNUMBER(E322)),N(E322)-N(F322),E322))</f>
        <v/>
      </c>
      <c r="H322" s="10" t="str">
        <f>IF(Registro!$G322="","",IF(ISERROR(FIND("x",LOWER(Registro!$G322))),"-",IFERROR(SUMPRODUCT(--("0"&amp;LEFT(TRIM(MID(SUBSTITUTE(SUBSTITUTE(SUBSTITUTE(SUBSTITUTE(SUBSTITUTE(LOWER(Registro!$G322),"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",LEN(Registro!$G322))),({1,2,3,4,5,6,7,8,9,10,11,12,13,14,15,16,17,18,19,20,21,22,23,24,25,26,27,28,29,30}-1)*LEN(Registro!$G322)+1,LEN(Registro!$G322))),FIND("x",TRIM(MID(SUBSTITUTE(SUBSTITUTE(SUBSTITUTE(SUBSTITUTE(SUBSTITUTE(LOWER(Registro!$G322),"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",LEN(Registro!$G322))),({1,2,3,4,5,6,7,8,9,10,11,12,13,14,15,16,17,18,19,20,21,22,23,24,25,26,27,28,29,30}-1)*LEN(Registro!$G322)+1,LEN(Registro!$G322)))&amp;"x")-1))),"Revisar formato")))</f>
        <v/>
      </c>
      <c r="I322" s="11" t="str">
        <f>IF(Registro!$G322="","",IF(ISERROR(FIND("x",LOWER(Registro!$G322))),N(Registro!$H322),IFERROR(SUMPRODUCT(--("0"&amp;LEFT(TRIM(MID(SUBSTITUTE(SUBSTITUTE(SUBSTITUTE(SUBSTITUTE(SUBSTITUTE(LOWER(Registro!$G322),"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",LEN(Registro!$G322))),({1,2,3,4,5,6,7,8,9,10,11,12,13,14,15,16,17,18,19,20,21,22,23,24,25,26,27,28,29,30}-1)*LEN(Registro!$G322)+1,LEN(Registro!$G322))),FIND("x",TRIM(MID(SUBSTITUTE(SUBSTITUTE(SUBSTITUTE(SUBSTITUTE(SUBSTITUTE(LOWER(Registro!$G322),"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",LEN(Registro!$G322))),({1,2,3,4,5,6,7,8,9,10,11,12,13,14,15,16,17,18,19,20,21,22,23,24,25,26,27,28,29,30}-1)*LEN(Registro!$G322)+1,LEN(Registro!$G322)))&amp;"x")-1)),--("0"&amp;MID(TRIM(MID(SUBSTITUTE(SUBSTITUTE(SUBSTITUTE(SUBSTITUTE(SUBSTITUTE(LOWER(Registro!$G322),"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",LEN(Registro!$G322))),({1,2,3,4,5,6,7,8,9,10,11,12,13,14,15,16,17,18,19,20,21,22,23,24,25,26,27,28,29,30}-1)*LEN(Registro!$G322)+1,LEN(Registro!$G322))),FIND("x",TRIM(MID(SUBSTITUTE(SUBSTITUTE(SUBSTITUTE(SUBSTITUTE(SUBSTITUTE(LOWER(Registro!$G322),"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",LEN(Registro!$G322))),({1,2,3,4,5,6,7,8,9,10,11,12,13,14,15,16,17,18,19,20,21,22,23,24,25,26,27,28,29,30}-1)*LEN(Registro!$G322)+1,LEN(Registro!$G322)))&amp;"x")+1,20))),"Revisar formato")))</f>
        <v/>
      </c>
      <c r="J322" s="9" t="str">
        <f>IF(AND(Registro!$E322="",Registro!$G322=""),"",IF(NOT(AND(ISNUMBER(I322),ISNUMBER(Registro!$H322))),"",IF(I322&lt;Registro!$H322,"FALTA BOLETOS",IF(I322=Registro!$H322,"CONFORME","DIFERENCIA"))))</f>
        <v/>
      </c>
      <c r="K322" s="11" t="str">
        <f>IF(Registro!$I322="","",IFERROR(SUMPRODUCT(--("0"&amp;TRIM(RIGHT(SUBSTITUTE(TRIM(MID(SUBSTITUTE(SUBSTITUTE(Registro!$I322,";",CHAR(10)),CHAR(10),REPT(" ",LEN(Registro!$I322))),({1,2,3,4,5,6,7,8,9,10,11,12,13,14,15,16,17,18,19,20,21,22,23,24,25,26,27,28,29,30}-1)*LEN(Registro!$I322)+1,LEN(Registro!$I322)))," ",REPT(" ",50)),50)))),"Revisar formato"))</f>
        <v/>
      </c>
      <c r="L322" s="11" t="str">
        <f>IF(Registro!$J322="","",IFERROR(SUMPRODUCT(--("0"&amp;TRIM(RIGHT(SUBSTITUTE(TRIM(MID(SUBSTITUTE(SUBSTITUTE(Registro!$J322,";",CHAR(10)),CHAR(10),REPT(" ",LEN(Registro!$J322))),({1,2,3,4,5,6,7,8,9,10,11,12,13,14,15,16,17,18,19,20,21,22,23,24,25,26,27,28,29,30}-1)*LEN(Registro!$J322)+1,LEN(Registro!$J322)))," ",REPT(" ",50)),50)))),"Revisar formato"))</f>
        <v/>
      </c>
      <c r="M322" s="11" t="str">
        <f>IF(AND(Registro!$H322="",Registro!$I322=""),"",IF(AND(ISTEXT(K322),K322&lt;&gt;""),"Revisar formato",N(Registro!$H322)-N(K322)))</f>
        <v/>
      </c>
      <c r="N322" s="11" t="str">
        <f t="shared" ref="N322:N385" si="17">IF(M322="","",IF(OR(M322="Revisar formato",AND(ISTEXT(L322),L322&lt;&gt;"")),"Revisar formato",M322-N(L322)))</f>
        <v/>
      </c>
      <c r="O322" s="15" t="str">
        <f>IF(AND(A322=Consulta!$B$3,C322=Consulta!$H$3),B322*10000+ROW(),"")</f>
        <v/>
      </c>
    </row>
    <row r="323" spans="1:15" x14ac:dyDescent="0.25">
      <c r="A323" s="9" t="str">
        <f>IF(Registro!$A323="","",Registro!$A323)</f>
        <v/>
      </c>
      <c r="B323" s="8" t="str">
        <f>IF(Registro!$B323="","",Registro!$B323)</f>
        <v/>
      </c>
      <c r="C323" s="14" t="str">
        <f t="shared" si="15"/>
        <v/>
      </c>
      <c r="D323" s="10" t="str">
        <f>IF(Registro!$E323="","",IF(ISERROR(FIND("x",LOWER(Registro!$E323))),"-",IFERROR(SUMPRODUCT(--("0"&amp;LEFT(TRIM(MID(SUBSTITUTE(SUBSTITUTE(SUBSTITUTE(SUBSTITUTE(SUBSTITUTE(LOWER(Registro!$E323),"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",LEN(Registro!$E323))),({1,2,3,4,5,6,7,8,9,10,11,12,13,14,15,16,17,18,19,20,21,22,23,24,25,26,27,28,29,30}-1)*LEN(Registro!$E323)+1,LEN(Registro!$E323)))&amp;"x")-1))),"Revisar formato")))</f>
        <v/>
      </c>
      <c r="E323" s="11" t="str">
        <f>IF(Registro!$E323="","",IF(ISERROR(FIND("x",LOWER(Registro!$E323))),"-",IFERROR(SUMPRODUCT(--("0"&amp;LEFT(TRIM(MID(SUBSTITUTE(SUBSTITUTE(SUBSTITUTE(SUBSTITUTE(SUBSTITUTE(LOWER(Registro!$E323),"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",LEN(Registro!$E323))),({1,2,3,4,5,6,7,8,9,10,11,12,13,14,15,16,17,18,19,20,21,22,23,24,25,26,27,28,29,30}-1)*LEN(Registro!$E323)+1,LEN(Registro!$E323)))&amp;"x")-1)),--("0"&amp;MID(TRIM(MID(SUBSTITUTE(SUBSTITUTE(SUBSTITUTE(SUBSTITUTE(SUBSTITUTE(LOWER(Registro!$E323),"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",LEN(Registro!$E323))),({1,2,3,4,5,6,7,8,9,10,11,12,13,14,15,16,17,18,19,20,21,22,23,24,25,26,27,28,29,30}-1)*LEN(Registro!$E323)+1,LEN(Registro!$E323)))&amp;"x")+1,20))),"Revisar formato")))</f>
        <v/>
      </c>
      <c r="F323" s="11" t="str">
        <f>IF(Registro!$F323="","",N(Registro!$F323))</f>
        <v/>
      </c>
      <c r="G323" s="11" t="str">
        <f t="shared" si="16"/>
        <v/>
      </c>
      <c r="H323" s="10" t="str">
        <f>IF(Registro!$G323="","",IF(ISERROR(FIND("x",LOWER(Registro!$G323))),"-",IFERROR(SUMPRODUCT(--("0"&amp;LEFT(TRIM(MID(SUBSTITUTE(SUBSTITUTE(SUBSTITUTE(SUBSTITUTE(SUBSTITUTE(LOWER(Registro!$G323),"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",LEN(Registro!$G323))),({1,2,3,4,5,6,7,8,9,10,11,12,13,14,15,16,17,18,19,20,21,22,23,24,25,26,27,28,29,30}-1)*LEN(Registro!$G323)+1,LEN(Registro!$G323))),FIND("x",TRIM(MID(SUBSTITUTE(SUBSTITUTE(SUBSTITUTE(SUBSTITUTE(SUBSTITUTE(LOWER(Registro!$G323),"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",LEN(Registro!$G323))),({1,2,3,4,5,6,7,8,9,10,11,12,13,14,15,16,17,18,19,20,21,22,23,24,25,26,27,28,29,30}-1)*LEN(Registro!$G323)+1,LEN(Registro!$G323)))&amp;"x")-1))),"Revisar formato")))</f>
        <v/>
      </c>
      <c r="I323" s="11" t="str">
        <f>IF(Registro!$G323="","",IF(ISERROR(FIND("x",LOWER(Registro!$G323))),N(Registro!$H323),IFERROR(SUMPRODUCT(--("0"&amp;LEFT(TRIM(MID(SUBSTITUTE(SUBSTITUTE(SUBSTITUTE(SUBSTITUTE(SUBSTITUTE(LOWER(Registro!$G323),"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",LEN(Registro!$G323))),({1,2,3,4,5,6,7,8,9,10,11,12,13,14,15,16,17,18,19,20,21,22,23,24,25,26,27,28,29,30}-1)*LEN(Registro!$G323)+1,LEN(Registro!$G323))),FIND("x",TRIM(MID(SUBSTITUTE(SUBSTITUTE(SUBSTITUTE(SUBSTITUTE(SUBSTITUTE(LOWER(Registro!$G323),"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",LEN(Registro!$G323))),({1,2,3,4,5,6,7,8,9,10,11,12,13,14,15,16,17,18,19,20,21,22,23,24,25,26,27,28,29,30}-1)*LEN(Registro!$G323)+1,LEN(Registro!$G323)))&amp;"x")-1)),--("0"&amp;MID(TRIM(MID(SUBSTITUTE(SUBSTITUTE(SUBSTITUTE(SUBSTITUTE(SUBSTITUTE(LOWER(Registro!$G323),"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",LEN(Registro!$G323))),({1,2,3,4,5,6,7,8,9,10,11,12,13,14,15,16,17,18,19,20,21,22,23,24,25,26,27,28,29,30}-1)*LEN(Registro!$G323)+1,LEN(Registro!$G323))),FIND("x",TRIM(MID(SUBSTITUTE(SUBSTITUTE(SUBSTITUTE(SUBSTITUTE(SUBSTITUTE(LOWER(Registro!$G323),"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",LEN(Registro!$G323))),({1,2,3,4,5,6,7,8,9,10,11,12,13,14,15,16,17,18,19,20,21,22,23,24,25,26,27,28,29,30}-1)*LEN(Registro!$G323)+1,LEN(Registro!$G323)))&amp;"x")+1,20))),"Revisar formato")))</f>
        <v/>
      </c>
      <c r="J323" s="9" t="str">
        <f>IF(AND(Registro!$E323="",Registro!$G323=""),"",IF(NOT(AND(ISNUMBER(I323),ISNUMBER(Registro!$H323))),"",IF(I323&lt;Registro!$H323,"FALTA BOLETOS",IF(I323=Registro!$H323,"CONFORME","DIFERENCIA"))))</f>
        <v/>
      </c>
      <c r="K323" s="11" t="str">
        <f>IF(Registro!$I323="","",IFERROR(SUMPRODUCT(--("0"&amp;TRIM(RIGHT(SUBSTITUTE(TRIM(MID(SUBSTITUTE(SUBSTITUTE(Registro!$I323,";",CHAR(10)),CHAR(10),REPT(" ",LEN(Registro!$I323))),({1,2,3,4,5,6,7,8,9,10,11,12,13,14,15,16,17,18,19,20,21,22,23,24,25,26,27,28,29,30}-1)*LEN(Registro!$I323)+1,LEN(Registro!$I323)))," ",REPT(" ",50)),50)))),"Revisar formato"))</f>
        <v/>
      </c>
      <c r="L323" s="11" t="str">
        <f>IF(Registro!$J323="","",IFERROR(SUMPRODUCT(--("0"&amp;TRIM(RIGHT(SUBSTITUTE(TRIM(MID(SUBSTITUTE(SUBSTITUTE(Registro!$J323,";",CHAR(10)),CHAR(10),REPT(" ",LEN(Registro!$J323))),({1,2,3,4,5,6,7,8,9,10,11,12,13,14,15,16,17,18,19,20,21,22,23,24,25,26,27,28,29,30}-1)*LEN(Registro!$J323)+1,LEN(Registro!$J323)))," ",REPT(" ",50)),50)))),"Revisar formato"))</f>
        <v/>
      </c>
      <c r="M323" s="11" t="str">
        <f>IF(AND(Registro!$H323="",Registro!$I323=""),"",IF(AND(ISTEXT(K323),K323&lt;&gt;""),"Revisar formato",N(Registro!$H323)-N(K323)))</f>
        <v/>
      </c>
      <c r="N323" s="11" t="str">
        <f t="shared" si="17"/>
        <v/>
      </c>
      <c r="O323" s="15" t="str">
        <f>IF(AND(A323=Consulta!$B$3,C323=Consulta!$H$3),B323*10000+ROW(),"")</f>
        <v/>
      </c>
    </row>
    <row r="324" spans="1:15" x14ac:dyDescent="0.25">
      <c r="A324" s="9" t="str">
        <f>IF(Registro!$A324="","",Registro!$A324)</f>
        <v/>
      </c>
      <c r="B324" s="8" t="str">
        <f>IF(Registro!$B324="","",Registro!$B324)</f>
        <v/>
      </c>
      <c r="C324" s="14" t="str">
        <f t="shared" si="15"/>
        <v/>
      </c>
      <c r="D324" s="10" t="str">
        <f>IF(Registro!$E324="","",IF(ISERROR(FIND("x",LOWER(Registro!$E324))),"-",IFERROR(SUMPRODUCT(--("0"&amp;LEFT(TRIM(MID(SUBSTITUTE(SUBSTITUTE(SUBSTITUTE(SUBSTITUTE(SUBSTITUTE(LOWER(Registro!$E324),"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",LEN(Registro!$E324))),({1,2,3,4,5,6,7,8,9,10,11,12,13,14,15,16,17,18,19,20,21,22,23,24,25,26,27,28,29,30}-1)*LEN(Registro!$E324)+1,LEN(Registro!$E324)))&amp;"x")-1))),"Revisar formato")))</f>
        <v/>
      </c>
      <c r="E324" s="11" t="str">
        <f>IF(Registro!$E324="","",IF(ISERROR(FIND("x",LOWER(Registro!$E324))),"-",IFERROR(SUMPRODUCT(--("0"&amp;LEFT(TRIM(MID(SUBSTITUTE(SUBSTITUTE(SUBSTITUTE(SUBSTITUTE(SUBSTITUTE(LOWER(Registro!$E324),"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",LEN(Registro!$E324))),({1,2,3,4,5,6,7,8,9,10,11,12,13,14,15,16,17,18,19,20,21,22,23,24,25,26,27,28,29,30}-1)*LEN(Registro!$E324)+1,LEN(Registro!$E324)))&amp;"x")-1)),--("0"&amp;MID(TRIM(MID(SUBSTITUTE(SUBSTITUTE(SUBSTITUTE(SUBSTITUTE(SUBSTITUTE(LOWER(Registro!$E324),"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",LEN(Registro!$E324))),({1,2,3,4,5,6,7,8,9,10,11,12,13,14,15,16,17,18,19,20,21,22,23,24,25,26,27,28,29,30}-1)*LEN(Registro!$E324)+1,LEN(Registro!$E324)))&amp;"x")+1,20))),"Revisar formato")))</f>
        <v/>
      </c>
      <c r="F324" s="11" t="str">
        <f>IF(Registro!$F324="","",N(Registro!$F324))</f>
        <v/>
      </c>
      <c r="G324" s="11" t="str">
        <f t="shared" si="16"/>
        <v/>
      </c>
      <c r="H324" s="10" t="str">
        <f>IF(Registro!$G324="","",IF(ISERROR(FIND("x",LOWER(Registro!$G324))),"-",IFERROR(SUMPRODUCT(--("0"&amp;LEFT(TRIM(MID(SUBSTITUTE(SUBSTITUTE(SUBSTITUTE(SUBSTITUTE(SUBSTITUTE(LOWER(Registro!$G324),"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",LEN(Registro!$G324))),({1,2,3,4,5,6,7,8,9,10,11,12,13,14,15,16,17,18,19,20,21,22,23,24,25,26,27,28,29,30}-1)*LEN(Registro!$G324)+1,LEN(Registro!$G324))),FIND("x",TRIM(MID(SUBSTITUTE(SUBSTITUTE(SUBSTITUTE(SUBSTITUTE(SUBSTITUTE(LOWER(Registro!$G324),"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",LEN(Registro!$G324))),({1,2,3,4,5,6,7,8,9,10,11,12,13,14,15,16,17,18,19,20,21,22,23,24,25,26,27,28,29,30}-1)*LEN(Registro!$G324)+1,LEN(Registro!$G324)))&amp;"x")-1))),"Revisar formato")))</f>
        <v/>
      </c>
      <c r="I324" s="11" t="str">
        <f>IF(Registro!$G324="","",IF(ISERROR(FIND("x",LOWER(Registro!$G324))),N(Registro!$H324),IFERROR(SUMPRODUCT(--("0"&amp;LEFT(TRIM(MID(SUBSTITUTE(SUBSTITUTE(SUBSTITUTE(SUBSTITUTE(SUBSTITUTE(LOWER(Registro!$G324),"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",LEN(Registro!$G324))),({1,2,3,4,5,6,7,8,9,10,11,12,13,14,15,16,17,18,19,20,21,22,23,24,25,26,27,28,29,30}-1)*LEN(Registro!$G324)+1,LEN(Registro!$G324))),FIND("x",TRIM(MID(SUBSTITUTE(SUBSTITUTE(SUBSTITUTE(SUBSTITUTE(SUBSTITUTE(LOWER(Registro!$G324),"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",LEN(Registro!$G324))),({1,2,3,4,5,6,7,8,9,10,11,12,13,14,15,16,17,18,19,20,21,22,23,24,25,26,27,28,29,30}-1)*LEN(Registro!$G324)+1,LEN(Registro!$G324)))&amp;"x")-1)),--("0"&amp;MID(TRIM(MID(SUBSTITUTE(SUBSTITUTE(SUBSTITUTE(SUBSTITUTE(SUBSTITUTE(LOWER(Registro!$G324),"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",LEN(Registro!$G324))),({1,2,3,4,5,6,7,8,9,10,11,12,13,14,15,16,17,18,19,20,21,22,23,24,25,26,27,28,29,30}-1)*LEN(Registro!$G324)+1,LEN(Registro!$G324))),FIND("x",TRIM(MID(SUBSTITUTE(SUBSTITUTE(SUBSTITUTE(SUBSTITUTE(SUBSTITUTE(LOWER(Registro!$G324),"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",LEN(Registro!$G324))),({1,2,3,4,5,6,7,8,9,10,11,12,13,14,15,16,17,18,19,20,21,22,23,24,25,26,27,28,29,30}-1)*LEN(Registro!$G324)+1,LEN(Registro!$G324)))&amp;"x")+1,20))),"Revisar formato")))</f>
        <v/>
      </c>
      <c r="J324" s="9" t="str">
        <f>IF(AND(Registro!$E324="",Registro!$G324=""),"",IF(NOT(AND(ISNUMBER(I324),ISNUMBER(Registro!$H324))),"",IF(I324&lt;Registro!$H324,"FALTA BOLETOS",IF(I324=Registro!$H324,"CONFORME","DIFERENCIA"))))</f>
        <v/>
      </c>
      <c r="K324" s="11" t="str">
        <f>IF(Registro!$I324="","",IFERROR(SUMPRODUCT(--("0"&amp;TRIM(RIGHT(SUBSTITUTE(TRIM(MID(SUBSTITUTE(SUBSTITUTE(Registro!$I324,";",CHAR(10)),CHAR(10),REPT(" ",LEN(Registro!$I324))),({1,2,3,4,5,6,7,8,9,10,11,12,13,14,15,16,17,18,19,20,21,22,23,24,25,26,27,28,29,30}-1)*LEN(Registro!$I324)+1,LEN(Registro!$I324)))," ",REPT(" ",50)),50)))),"Revisar formato"))</f>
        <v/>
      </c>
      <c r="L324" s="11" t="str">
        <f>IF(Registro!$J324="","",IFERROR(SUMPRODUCT(--("0"&amp;TRIM(RIGHT(SUBSTITUTE(TRIM(MID(SUBSTITUTE(SUBSTITUTE(Registro!$J324,";",CHAR(10)),CHAR(10),REPT(" ",LEN(Registro!$J324))),({1,2,3,4,5,6,7,8,9,10,11,12,13,14,15,16,17,18,19,20,21,22,23,24,25,26,27,28,29,30}-1)*LEN(Registro!$J324)+1,LEN(Registro!$J324)))," ",REPT(" ",50)),50)))),"Revisar formato"))</f>
        <v/>
      </c>
      <c r="M324" s="11" t="str">
        <f>IF(AND(Registro!$H324="",Registro!$I324=""),"",IF(AND(ISTEXT(K324),K324&lt;&gt;""),"Revisar formato",N(Registro!$H324)-N(K324)))</f>
        <v/>
      </c>
      <c r="N324" s="11" t="str">
        <f t="shared" si="17"/>
        <v/>
      </c>
      <c r="O324" s="15" t="str">
        <f>IF(AND(A324=Consulta!$B$3,C324=Consulta!$H$3),B324*10000+ROW(),"")</f>
        <v/>
      </c>
    </row>
    <row r="325" spans="1:15" x14ac:dyDescent="0.25">
      <c r="A325" s="9" t="str">
        <f>IF(Registro!$A325="","",Registro!$A325)</f>
        <v/>
      </c>
      <c r="B325" s="8" t="str">
        <f>IF(Registro!$B325="","",Registro!$B325)</f>
        <v/>
      </c>
      <c r="C325" s="14" t="str">
        <f t="shared" si="15"/>
        <v/>
      </c>
      <c r="D325" s="10" t="str">
        <f>IF(Registro!$E325="","",IF(ISERROR(FIND("x",LOWER(Registro!$E325))),"-",IFERROR(SUMPRODUCT(--("0"&amp;LEFT(TRIM(MID(SUBSTITUTE(SUBSTITUTE(SUBSTITUTE(SUBSTITUTE(SUBSTITUTE(LOWER(Registro!$E325),"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",LEN(Registro!$E325))),({1,2,3,4,5,6,7,8,9,10,11,12,13,14,15,16,17,18,19,20,21,22,23,24,25,26,27,28,29,30}-1)*LEN(Registro!$E325)+1,LEN(Registro!$E325)))&amp;"x")-1))),"Revisar formato")))</f>
        <v/>
      </c>
      <c r="E325" s="11" t="str">
        <f>IF(Registro!$E325="","",IF(ISERROR(FIND("x",LOWER(Registro!$E325))),"-",IFERROR(SUMPRODUCT(--("0"&amp;LEFT(TRIM(MID(SUBSTITUTE(SUBSTITUTE(SUBSTITUTE(SUBSTITUTE(SUBSTITUTE(LOWER(Registro!$E325),"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",LEN(Registro!$E325))),({1,2,3,4,5,6,7,8,9,10,11,12,13,14,15,16,17,18,19,20,21,22,23,24,25,26,27,28,29,30}-1)*LEN(Registro!$E325)+1,LEN(Registro!$E325)))&amp;"x")-1)),--("0"&amp;MID(TRIM(MID(SUBSTITUTE(SUBSTITUTE(SUBSTITUTE(SUBSTITUTE(SUBSTITUTE(LOWER(Registro!$E325),"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",LEN(Registro!$E325))),({1,2,3,4,5,6,7,8,9,10,11,12,13,14,15,16,17,18,19,20,21,22,23,24,25,26,27,28,29,30}-1)*LEN(Registro!$E325)+1,LEN(Registro!$E325)))&amp;"x")+1,20))),"Revisar formato")))</f>
        <v/>
      </c>
      <c r="F325" s="11" t="str">
        <f>IF(Registro!$F325="","",N(Registro!$F325))</f>
        <v/>
      </c>
      <c r="G325" s="11" t="str">
        <f t="shared" si="16"/>
        <v/>
      </c>
      <c r="H325" s="10" t="str">
        <f>IF(Registro!$G325="","",IF(ISERROR(FIND("x",LOWER(Registro!$G325))),"-",IFERROR(SUMPRODUCT(--("0"&amp;LEFT(TRIM(MID(SUBSTITUTE(SUBSTITUTE(SUBSTITUTE(SUBSTITUTE(SUBSTITUTE(LOWER(Registro!$G325),"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",LEN(Registro!$G325))),({1,2,3,4,5,6,7,8,9,10,11,12,13,14,15,16,17,18,19,20,21,22,23,24,25,26,27,28,29,30}-1)*LEN(Registro!$G325)+1,LEN(Registro!$G325))),FIND("x",TRIM(MID(SUBSTITUTE(SUBSTITUTE(SUBSTITUTE(SUBSTITUTE(SUBSTITUTE(LOWER(Registro!$G325),"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",LEN(Registro!$G325))),({1,2,3,4,5,6,7,8,9,10,11,12,13,14,15,16,17,18,19,20,21,22,23,24,25,26,27,28,29,30}-1)*LEN(Registro!$G325)+1,LEN(Registro!$G325)))&amp;"x")-1))),"Revisar formato")))</f>
        <v/>
      </c>
      <c r="I325" s="11" t="str">
        <f>IF(Registro!$G325="","",IF(ISERROR(FIND("x",LOWER(Registro!$G325))),N(Registro!$H325),IFERROR(SUMPRODUCT(--("0"&amp;LEFT(TRIM(MID(SUBSTITUTE(SUBSTITUTE(SUBSTITUTE(SUBSTITUTE(SUBSTITUTE(LOWER(Registro!$G325),"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",LEN(Registro!$G325))),({1,2,3,4,5,6,7,8,9,10,11,12,13,14,15,16,17,18,19,20,21,22,23,24,25,26,27,28,29,30}-1)*LEN(Registro!$G325)+1,LEN(Registro!$G325))),FIND("x",TRIM(MID(SUBSTITUTE(SUBSTITUTE(SUBSTITUTE(SUBSTITUTE(SUBSTITUTE(LOWER(Registro!$G325),"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",LEN(Registro!$G325))),({1,2,3,4,5,6,7,8,9,10,11,12,13,14,15,16,17,18,19,20,21,22,23,24,25,26,27,28,29,30}-1)*LEN(Registro!$G325)+1,LEN(Registro!$G325)))&amp;"x")-1)),--("0"&amp;MID(TRIM(MID(SUBSTITUTE(SUBSTITUTE(SUBSTITUTE(SUBSTITUTE(SUBSTITUTE(LOWER(Registro!$G325),"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",LEN(Registro!$G325))),({1,2,3,4,5,6,7,8,9,10,11,12,13,14,15,16,17,18,19,20,21,22,23,24,25,26,27,28,29,30}-1)*LEN(Registro!$G325)+1,LEN(Registro!$G325))),FIND("x",TRIM(MID(SUBSTITUTE(SUBSTITUTE(SUBSTITUTE(SUBSTITUTE(SUBSTITUTE(LOWER(Registro!$G325),"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",LEN(Registro!$G325))),({1,2,3,4,5,6,7,8,9,10,11,12,13,14,15,16,17,18,19,20,21,22,23,24,25,26,27,28,29,30}-1)*LEN(Registro!$G325)+1,LEN(Registro!$G325)))&amp;"x")+1,20))),"Revisar formato")))</f>
        <v/>
      </c>
      <c r="J325" s="9" t="str">
        <f>IF(AND(Registro!$E325="",Registro!$G325=""),"",IF(NOT(AND(ISNUMBER(I325),ISNUMBER(Registro!$H325))),"",IF(I325&lt;Registro!$H325,"FALTA BOLETOS",IF(I325=Registro!$H325,"CONFORME","DIFERENCIA"))))</f>
        <v/>
      </c>
      <c r="K325" s="11" t="str">
        <f>IF(Registro!$I325="","",IFERROR(SUMPRODUCT(--("0"&amp;TRIM(RIGHT(SUBSTITUTE(TRIM(MID(SUBSTITUTE(SUBSTITUTE(Registro!$I325,";",CHAR(10)),CHAR(10),REPT(" ",LEN(Registro!$I325))),({1,2,3,4,5,6,7,8,9,10,11,12,13,14,15,16,17,18,19,20,21,22,23,24,25,26,27,28,29,30}-1)*LEN(Registro!$I325)+1,LEN(Registro!$I325)))," ",REPT(" ",50)),50)))),"Revisar formato"))</f>
        <v/>
      </c>
      <c r="L325" s="11" t="str">
        <f>IF(Registro!$J325="","",IFERROR(SUMPRODUCT(--("0"&amp;TRIM(RIGHT(SUBSTITUTE(TRIM(MID(SUBSTITUTE(SUBSTITUTE(Registro!$J325,";",CHAR(10)),CHAR(10),REPT(" ",LEN(Registro!$J325))),({1,2,3,4,5,6,7,8,9,10,11,12,13,14,15,16,17,18,19,20,21,22,23,24,25,26,27,28,29,30}-1)*LEN(Registro!$J325)+1,LEN(Registro!$J325)))," ",REPT(" ",50)),50)))),"Revisar formato"))</f>
        <v/>
      </c>
      <c r="M325" s="11" t="str">
        <f>IF(AND(Registro!$H325="",Registro!$I325=""),"",IF(AND(ISTEXT(K325),K325&lt;&gt;""),"Revisar formato",N(Registro!$H325)-N(K325)))</f>
        <v/>
      </c>
      <c r="N325" s="11" t="str">
        <f t="shared" si="17"/>
        <v/>
      </c>
      <c r="O325" s="15" t="str">
        <f>IF(AND(A325=Consulta!$B$3,C325=Consulta!$H$3),B325*10000+ROW(),"")</f>
        <v/>
      </c>
    </row>
    <row r="326" spans="1:15" x14ac:dyDescent="0.25">
      <c r="A326" s="9" t="str">
        <f>IF(Registro!$A326="","",Registro!$A326)</f>
        <v/>
      </c>
      <c r="B326" s="8" t="str">
        <f>IF(Registro!$B326="","",Registro!$B326)</f>
        <v/>
      </c>
      <c r="C326" s="14" t="str">
        <f t="shared" si="15"/>
        <v/>
      </c>
      <c r="D326" s="10" t="str">
        <f>IF(Registro!$E326="","",IF(ISERROR(FIND("x",LOWER(Registro!$E326))),"-",IFERROR(SUMPRODUCT(--("0"&amp;LEFT(TRIM(MID(SUBSTITUTE(SUBSTITUTE(SUBSTITUTE(SUBSTITUTE(SUBSTITUTE(LOWER(Registro!$E326),"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",LEN(Registro!$E326))),({1,2,3,4,5,6,7,8,9,10,11,12,13,14,15,16,17,18,19,20,21,22,23,24,25,26,27,28,29,30}-1)*LEN(Registro!$E326)+1,LEN(Registro!$E326)))&amp;"x")-1))),"Revisar formato")))</f>
        <v/>
      </c>
      <c r="E326" s="11" t="str">
        <f>IF(Registro!$E326="","",IF(ISERROR(FIND("x",LOWER(Registro!$E326))),"-",IFERROR(SUMPRODUCT(--("0"&amp;LEFT(TRIM(MID(SUBSTITUTE(SUBSTITUTE(SUBSTITUTE(SUBSTITUTE(SUBSTITUTE(LOWER(Registro!$E326),"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",LEN(Registro!$E326))),({1,2,3,4,5,6,7,8,9,10,11,12,13,14,15,16,17,18,19,20,21,22,23,24,25,26,27,28,29,30}-1)*LEN(Registro!$E326)+1,LEN(Registro!$E326)))&amp;"x")-1)),--("0"&amp;MID(TRIM(MID(SUBSTITUTE(SUBSTITUTE(SUBSTITUTE(SUBSTITUTE(SUBSTITUTE(LOWER(Registro!$E326),"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",LEN(Registro!$E326))),({1,2,3,4,5,6,7,8,9,10,11,12,13,14,15,16,17,18,19,20,21,22,23,24,25,26,27,28,29,30}-1)*LEN(Registro!$E326)+1,LEN(Registro!$E326)))&amp;"x")+1,20))),"Revisar formato")))</f>
        <v/>
      </c>
      <c r="F326" s="11" t="str">
        <f>IF(Registro!$F326="","",N(Registro!$F326))</f>
        <v/>
      </c>
      <c r="G326" s="11" t="str">
        <f t="shared" si="16"/>
        <v/>
      </c>
      <c r="H326" s="10" t="str">
        <f>IF(Registro!$G326="","",IF(ISERROR(FIND("x",LOWER(Registro!$G326))),"-",IFERROR(SUMPRODUCT(--("0"&amp;LEFT(TRIM(MID(SUBSTITUTE(SUBSTITUTE(SUBSTITUTE(SUBSTITUTE(SUBSTITUTE(LOWER(Registro!$G326),"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",LEN(Registro!$G326))),({1,2,3,4,5,6,7,8,9,10,11,12,13,14,15,16,17,18,19,20,21,22,23,24,25,26,27,28,29,30}-1)*LEN(Registro!$G326)+1,LEN(Registro!$G326))),FIND("x",TRIM(MID(SUBSTITUTE(SUBSTITUTE(SUBSTITUTE(SUBSTITUTE(SUBSTITUTE(LOWER(Registro!$G326),"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",LEN(Registro!$G326))),({1,2,3,4,5,6,7,8,9,10,11,12,13,14,15,16,17,18,19,20,21,22,23,24,25,26,27,28,29,30}-1)*LEN(Registro!$G326)+1,LEN(Registro!$G326)))&amp;"x")-1))),"Revisar formato")))</f>
        <v/>
      </c>
      <c r="I326" s="11" t="str">
        <f>IF(Registro!$G326="","",IF(ISERROR(FIND("x",LOWER(Registro!$G326))),N(Registro!$H326),IFERROR(SUMPRODUCT(--("0"&amp;LEFT(TRIM(MID(SUBSTITUTE(SUBSTITUTE(SUBSTITUTE(SUBSTITUTE(SUBSTITUTE(LOWER(Registro!$G326),"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",LEN(Registro!$G326))),({1,2,3,4,5,6,7,8,9,10,11,12,13,14,15,16,17,18,19,20,21,22,23,24,25,26,27,28,29,30}-1)*LEN(Registro!$G326)+1,LEN(Registro!$G326))),FIND("x",TRIM(MID(SUBSTITUTE(SUBSTITUTE(SUBSTITUTE(SUBSTITUTE(SUBSTITUTE(LOWER(Registro!$G326),"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",LEN(Registro!$G326))),({1,2,3,4,5,6,7,8,9,10,11,12,13,14,15,16,17,18,19,20,21,22,23,24,25,26,27,28,29,30}-1)*LEN(Registro!$G326)+1,LEN(Registro!$G326)))&amp;"x")-1)),--("0"&amp;MID(TRIM(MID(SUBSTITUTE(SUBSTITUTE(SUBSTITUTE(SUBSTITUTE(SUBSTITUTE(LOWER(Registro!$G326),"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",LEN(Registro!$G326))),({1,2,3,4,5,6,7,8,9,10,11,12,13,14,15,16,17,18,19,20,21,22,23,24,25,26,27,28,29,30}-1)*LEN(Registro!$G326)+1,LEN(Registro!$G326))),FIND("x",TRIM(MID(SUBSTITUTE(SUBSTITUTE(SUBSTITUTE(SUBSTITUTE(SUBSTITUTE(LOWER(Registro!$G326),"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",LEN(Registro!$G326))),({1,2,3,4,5,6,7,8,9,10,11,12,13,14,15,16,17,18,19,20,21,22,23,24,25,26,27,28,29,30}-1)*LEN(Registro!$G326)+1,LEN(Registro!$G326)))&amp;"x")+1,20))),"Revisar formato")))</f>
        <v/>
      </c>
      <c r="J326" s="9" t="str">
        <f>IF(AND(Registro!$E326="",Registro!$G326=""),"",IF(NOT(AND(ISNUMBER(I326),ISNUMBER(Registro!$H326))),"",IF(I326&lt;Registro!$H326,"FALTA BOLETOS",IF(I326=Registro!$H326,"CONFORME","DIFERENCIA"))))</f>
        <v/>
      </c>
      <c r="K326" s="11" t="str">
        <f>IF(Registro!$I326="","",IFERROR(SUMPRODUCT(--("0"&amp;TRIM(RIGHT(SUBSTITUTE(TRIM(MID(SUBSTITUTE(SUBSTITUTE(Registro!$I326,";",CHAR(10)),CHAR(10),REPT(" ",LEN(Registro!$I326))),({1,2,3,4,5,6,7,8,9,10,11,12,13,14,15,16,17,18,19,20,21,22,23,24,25,26,27,28,29,30}-1)*LEN(Registro!$I326)+1,LEN(Registro!$I326)))," ",REPT(" ",50)),50)))),"Revisar formato"))</f>
        <v/>
      </c>
      <c r="L326" s="11" t="str">
        <f>IF(Registro!$J326="","",IFERROR(SUMPRODUCT(--("0"&amp;TRIM(RIGHT(SUBSTITUTE(TRIM(MID(SUBSTITUTE(SUBSTITUTE(Registro!$J326,";",CHAR(10)),CHAR(10),REPT(" ",LEN(Registro!$J326))),({1,2,3,4,5,6,7,8,9,10,11,12,13,14,15,16,17,18,19,20,21,22,23,24,25,26,27,28,29,30}-1)*LEN(Registro!$J326)+1,LEN(Registro!$J326)))," ",REPT(" ",50)),50)))),"Revisar formato"))</f>
        <v/>
      </c>
      <c r="M326" s="11" t="str">
        <f>IF(AND(Registro!$H326="",Registro!$I326=""),"",IF(AND(ISTEXT(K326),K326&lt;&gt;""),"Revisar formato",N(Registro!$H326)-N(K326)))</f>
        <v/>
      </c>
      <c r="N326" s="11" t="str">
        <f t="shared" si="17"/>
        <v/>
      </c>
      <c r="O326" s="15" t="str">
        <f>IF(AND(A326=Consulta!$B$3,C326=Consulta!$H$3),B326*10000+ROW(),"")</f>
        <v/>
      </c>
    </row>
    <row r="327" spans="1:15" x14ac:dyDescent="0.25">
      <c r="A327" s="9" t="str">
        <f>IF(Registro!$A327="","",Registro!$A327)</f>
        <v/>
      </c>
      <c r="B327" s="8" t="str">
        <f>IF(Registro!$B327="","",Registro!$B327)</f>
        <v/>
      </c>
      <c r="C327" s="14" t="str">
        <f t="shared" si="15"/>
        <v/>
      </c>
      <c r="D327" s="10" t="str">
        <f>IF(Registro!$E327="","",IF(ISERROR(FIND("x",LOWER(Registro!$E327))),"-",IFERROR(SUMPRODUCT(--("0"&amp;LEFT(TRIM(MID(SUBSTITUTE(SUBSTITUTE(SUBSTITUTE(SUBSTITUTE(SUBSTITUTE(LOWER(Registro!$E327),"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",LEN(Registro!$E327))),({1,2,3,4,5,6,7,8,9,10,11,12,13,14,15,16,17,18,19,20,21,22,23,24,25,26,27,28,29,30}-1)*LEN(Registro!$E327)+1,LEN(Registro!$E327)))&amp;"x")-1))),"Revisar formato")))</f>
        <v/>
      </c>
      <c r="E327" s="11" t="str">
        <f>IF(Registro!$E327="","",IF(ISERROR(FIND("x",LOWER(Registro!$E327))),"-",IFERROR(SUMPRODUCT(--("0"&amp;LEFT(TRIM(MID(SUBSTITUTE(SUBSTITUTE(SUBSTITUTE(SUBSTITUTE(SUBSTITUTE(LOWER(Registro!$E327),"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",LEN(Registro!$E327))),({1,2,3,4,5,6,7,8,9,10,11,12,13,14,15,16,17,18,19,20,21,22,23,24,25,26,27,28,29,30}-1)*LEN(Registro!$E327)+1,LEN(Registro!$E327)))&amp;"x")-1)),--("0"&amp;MID(TRIM(MID(SUBSTITUTE(SUBSTITUTE(SUBSTITUTE(SUBSTITUTE(SUBSTITUTE(LOWER(Registro!$E327),"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",LEN(Registro!$E327))),({1,2,3,4,5,6,7,8,9,10,11,12,13,14,15,16,17,18,19,20,21,22,23,24,25,26,27,28,29,30}-1)*LEN(Registro!$E327)+1,LEN(Registro!$E327)))&amp;"x")+1,20))),"Revisar formato")))</f>
        <v/>
      </c>
      <c r="F327" s="11" t="str">
        <f>IF(Registro!$F327="","",N(Registro!$F327))</f>
        <v/>
      </c>
      <c r="G327" s="11" t="str">
        <f t="shared" si="16"/>
        <v/>
      </c>
      <c r="H327" s="10" t="str">
        <f>IF(Registro!$G327="","",IF(ISERROR(FIND("x",LOWER(Registro!$G327))),"-",IFERROR(SUMPRODUCT(--("0"&amp;LEFT(TRIM(MID(SUBSTITUTE(SUBSTITUTE(SUBSTITUTE(SUBSTITUTE(SUBSTITUTE(LOWER(Registro!$G327),"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",LEN(Registro!$G327))),({1,2,3,4,5,6,7,8,9,10,11,12,13,14,15,16,17,18,19,20,21,22,23,24,25,26,27,28,29,30}-1)*LEN(Registro!$G327)+1,LEN(Registro!$G327))),FIND("x",TRIM(MID(SUBSTITUTE(SUBSTITUTE(SUBSTITUTE(SUBSTITUTE(SUBSTITUTE(LOWER(Registro!$G327),"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",LEN(Registro!$G327))),({1,2,3,4,5,6,7,8,9,10,11,12,13,14,15,16,17,18,19,20,21,22,23,24,25,26,27,28,29,30}-1)*LEN(Registro!$G327)+1,LEN(Registro!$G327)))&amp;"x")-1))),"Revisar formato")))</f>
        <v/>
      </c>
      <c r="I327" s="11" t="str">
        <f>IF(Registro!$G327="","",IF(ISERROR(FIND("x",LOWER(Registro!$G327))),N(Registro!$H327),IFERROR(SUMPRODUCT(--("0"&amp;LEFT(TRIM(MID(SUBSTITUTE(SUBSTITUTE(SUBSTITUTE(SUBSTITUTE(SUBSTITUTE(LOWER(Registro!$G327),"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",LEN(Registro!$G327))),({1,2,3,4,5,6,7,8,9,10,11,12,13,14,15,16,17,18,19,20,21,22,23,24,25,26,27,28,29,30}-1)*LEN(Registro!$G327)+1,LEN(Registro!$G327))),FIND("x",TRIM(MID(SUBSTITUTE(SUBSTITUTE(SUBSTITUTE(SUBSTITUTE(SUBSTITUTE(LOWER(Registro!$G327),"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",LEN(Registro!$G327))),({1,2,3,4,5,6,7,8,9,10,11,12,13,14,15,16,17,18,19,20,21,22,23,24,25,26,27,28,29,30}-1)*LEN(Registro!$G327)+1,LEN(Registro!$G327)))&amp;"x")-1)),--("0"&amp;MID(TRIM(MID(SUBSTITUTE(SUBSTITUTE(SUBSTITUTE(SUBSTITUTE(SUBSTITUTE(LOWER(Registro!$G327),"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",LEN(Registro!$G327))),({1,2,3,4,5,6,7,8,9,10,11,12,13,14,15,16,17,18,19,20,21,22,23,24,25,26,27,28,29,30}-1)*LEN(Registro!$G327)+1,LEN(Registro!$G327))),FIND("x",TRIM(MID(SUBSTITUTE(SUBSTITUTE(SUBSTITUTE(SUBSTITUTE(SUBSTITUTE(LOWER(Registro!$G327),"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",LEN(Registro!$G327))),({1,2,3,4,5,6,7,8,9,10,11,12,13,14,15,16,17,18,19,20,21,22,23,24,25,26,27,28,29,30}-1)*LEN(Registro!$G327)+1,LEN(Registro!$G327)))&amp;"x")+1,20))),"Revisar formato")))</f>
        <v/>
      </c>
      <c r="J327" s="9" t="str">
        <f>IF(AND(Registro!$E327="",Registro!$G327=""),"",IF(NOT(AND(ISNUMBER(I327),ISNUMBER(Registro!$H327))),"",IF(I327&lt;Registro!$H327,"FALTA BOLETOS",IF(I327=Registro!$H327,"CONFORME","DIFERENCIA"))))</f>
        <v/>
      </c>
      <c r="K327" s="11" t="str">
        <f>IF(Registro!$I327="","",IFERROR(SUMPRODUCT(--("0"&amp;TRIM(RIGHT(SUBSTITUTE(TRIM(MID(SUBSTITUTE(SUBSTITUTE(Registro!$I327,";",CHAR(10)),CHAR(10),REPT(" ",LEN(Registro!$I327))),({1,2,3,4,5,6,7,8,9,10,11,12,13,14,15,16,17,18,19,20,21,22,23,24,25,26,27,28,29,30}-1)*LEN(Registro!$I327)+1,LEN(Registro!$I327)))," ",REPT(" ",50)),50)))),"Revisar formato"))</f>
        <v/>
      </c>
      <c r="L327" s="11" t="str">
        <f>IF(Registro!$J327="","",IFERROR(SUMPRODUCT(--("0"&amp;TRIM(RIGHT(SUBSTITUTE(TRIM(MID(SUBSTITUTE(SUBSTITUTE(Registro!$J327,";",CHAR(10)),CHAR(10),REPT(" ",LEN(Registro!$J327))),({1,2,3,4,5,6,7,8,9,10,11,12,13,14,15,16,17,18,19,20,21,22,23,24,25,26,27,28,29,30}-1)*LEN(Registro!$J327)+1,LEN(Registro!$J327)))," ",REPT(" ",50)),50)))),"Revisar formato"))</f>
        <v/>
      </c>
      <c r="M327" s="11" t="str">
        <f>IF(AND(Registro!$H327="",Registro!$I327=""),"",IF(AND(ISTEXT(K327),K327&lt;&gt;""),"Revisar formato",N(Registro!$H327)-N(K327)))</f>
        <v/>
      </c>
      <c r="N327" s="11" t="str">
        <f t="shared" si="17"/>
        <v/>
      </c>
      <c r="O327" s="15" t="str">
        <f>IF(AND(A327=Consulta!$B$3,C327=Consulta!$H$3),B327*10000+ROW(),"")</f>
        <v/>
      </c>
    </row>
    <row r="328" spans="1:15" x14ac:dyDescent="0.25">
      <c r="A328" s="9" t="str">
        <f>IF(Registro!$A328="","",Registro!$A328)</f>
        <v/>
      </c>
      <c r="B328" s="8" t="str">
        <f>IF(Registro!$B328="","",Registro!$B328)</f>
        <v/>
      </c>
      <c r="C328" s="14" t="str">
        <f t="shared" si="15"/>
        <v/>
      </c>
      <c r="D328" s="10" t="str">
        <f>IF(Registro!$E328="","",IF(ISERROR(FIND("x",LOWER(Registro!$E328))),"-",IFERROR(SUMPRODUCT(--("0"&amp;LEFT(TRIM(MID(SUBSTITUTE(SUBSTITUTE(SUBSTITUTE(SUBSTITUTE(SUBSTITUTE(LOWER(Registro!$E328),"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",LEN(Registro!$E328))),({1,2,3,4,5,6,7,8,9,10,11,12,13,14,15,16,17,18,19,20,21,22,23,24,25,26,27,28,29,30}-1)*LEN(Registro!$E328)+1,LEN(Registro!$E328)))&amp;"x")-1))),"Revisar formato")))</f>
        <v/>
      </c>
      <c r="E328" s="11" t="str">
        <f>IF(Registro!$E328="","",IF(ISERROR(FIND("x",LOWER(Registro!$E328))),"-",IFERROR(SUMPRODUCT(--("0"&amp;LEFT(TRIM(MID(SUBSTITUTE(SUBSTITUTE(SUBSTITUTE(SUBSTITUTE(SUBSTITUTE(LOWER(Registro!$E328),"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",LEN(Registro!$E328))),({1,2,3,4,5,6,7,8,9,10,11,12,13,14,15,16,17,18,19,20,21,22,23,24,25,26,27,28,29,30}-1)*LEN(Registro!$E328)+1,LEN(Registro!$E328)))&amp;"x")-1)),--("0"&amp;MID(TRIM(MID(SUBSTITUTE(SUBSTITUTE(SUBSTITUTE(SUBSTITUTE(SUBSTITUTE(LOWER(Registro!$E328),"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",LEN(Registro!$E328))),({1,2,3,4,5,6,7,8,9,10,11,12,13,14,15,16,17,18,19,20,21,22,23,24,25,26,27,28,29,30}-1)*LEN(Registro!$E328)+1,LEN(Registro!$E328)))&amp;"x")+1,20))),"Revisar formato")))</f>
        <v/>
      </c>
      <c r="F328" s="11" t="str">
        <f>IF(Registro!$F328="","",N(Registro!$F328))</f>
        <v/>
      </c>
      <c r="G328" s="11" t="str">
        <f t="shared" si="16"/>
        <v/>
      </c>
      <c r="H328" s="10" t="str">
        <f>IF(Registro!$G328="","",IF(ISERROR(FIND("x",LOWER(Registro!$G328))),"-",IFERROR(SUMPRODUCT(--("0"&amp;LEFT(TRIM(MID(SUBSTITUTE(SUBSTITUTE(SUBSTITUTE(SUBSTITUTE(SUBSTITUTE(LOWER(Registro!$G328),"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",LEN(Registro!$G328))),({1,2,3,4,5,6,7,8,9,10,11,12,13,14,15,16,17,18,19,20,21,22,23,24,25,26,27,28,29,30}-1)*LEN(Registro!$G328)+1,LEN(Registro!$G328))),FIND("x",TRIM(MID(SUBSTITUTE(SUBSTITUTE(SUBSTITUTE(SUBSTITUTE(SUBSTITUTE(LOWER(Registro!$G328),"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",LEN(Registro!$G328))),({1,2,3,4,5,6,7,8,9,10,11,12,13,14,15,16,17,18,19,20,21,22,23,24,25,26,27,28,29,30}-1)*LEN(Registro!$G328)+1,LEN(Registro!$G328)))&amp;"x")-1))),"Revisar formato")))</f>
        <v/>
      </c>
      <c r="I328" s="11" t="str">
        <f>IF(Registro!$G328="","",IF(ISERROR(FIND("x",LOWER(Registro!$G328))),N(Registro!$H328),IFERROR(SUMPRODUCT(--("0"&amp;LEFT(TRIM(MID(SUBSTITUTE(SUBSTITUTE(SUBSTITUTE(SUBSTITUTE(SUBSTITUTE(LOWER(Registro!$G328),"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",LEN(Registro!$G328))),({1,2,3,4,5,6,7,8,9,10,11,12,13,14,15,16,17,18,19,20,21,22,23,24,25,26,27,28,29,30}-1)*LEN(Registro!$G328)+1,LEN(Registro!$G328))),FIND("x",TRIM(MID(SUBSTITUTE(SUBSTITUTE(SUBSTITUTE(SUBSTITUTE(SUBSTITUTE(LOWER(Registro!$G328),"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",LEN(Registro!$G328))),({1,2,3,4,5,6,7,8,9,10,11,12,13,14,15,16,17,18,19,20,21,22,23,24,25,26,27,28,29,30}-1)*LEN(Registro!$G328)+1,LEN(Registro!$G328)))&amp;"x")-1)),--("0"&amp;MID(TRIM(MID(SUBSTITUTE(SUBSTITUTE(SUBSTITUTE(SUBSTITUTE(SUBSTITUTE(LOWER(Registro!$G328),"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",LEN(Registro!$G328))),({1,2,3,4,5,6,7,8,9,10,11,12,13,14,15,16,17,18,19,20,21,22,23,24,25,26,27,28,29,30}-1)*LEN(Registro!$G328)+1,LEN(Registro!$G328))),FIND("x",TRIM(MID(SUBSTITUTE(SUBSTITUTE(SUBSTITUTE(SUBSTITUTE(SUBSTITUTE(LOWER(Registro!$G328),"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",LEN(Registro!$G328))),({1,2,3,4,5,6,7,8,9,10,11,12,13,14,15,16,17,18,19,20,21,22,23,24,25,26,27,28,29,30}-1)*LEN(Registro!$G328)+1,LEN(Registro!$G328)))&amp;"x")+1,20))),"Revisar formato")))</f>
        <v/>
      </c>
      <c r="J328" s="9" t="str">
        <f>IF(AND(Registro!$E328="",Registro!$G328=""),"",IF(NOT(AND(ISNUMBER(I328),ISNUMBER(Registro!$H328))),"",IF(I328&lt;Registro!$H328,"FALTA BOLETOS",IF(I328=Registro!$H328,"CONFORME","DIFERENCIA"))))</f>
        <v/>
      </c>
      <c r="K328" s="11" t="str">
        <f>IF(Registro!$I328="","",IFERROR(SUMPRODUCT(--("0"&amp;TRIM(RIGHT(SUBSTITUTE(TRIM(MID(SUBSTITUTE(SUBSTITUTE(Registro!$I328,";",CHAR(10)),CHAR(10),REPT(" ",LEN(Registro!$I328))),({1,2,3,4,5,6,7,8,9,10,11,12,13,14,15,16,17,18,19,20,21,22,23,24,25,26,27,28,29,30}-1)*LEN(Registro!$I328)+1,LEN(Registro!$I328)))," ",REPT(" ",50)),50)))),"Revisar formato"))</f>
        <v/>
      </c>
      <c r="L328" s="11" t="str">
        <f>IF(Registro!$J328="","",IFERROR(SUMPRODUCT(--("0"&amp;TRIM(RIGHT(SUBSTITUTE(TRIM(MID(SUBSTITUTE(SUBSTITUTE(Registro!$J328,";",CHAR(10)),CHAR(10),REPT(" ",LEN(Registro!$J328))),({1,2,3,4,5,6,7,8,9,10,11,12,13,14,15,16,17,18,19,20,21,22,23,24,25,26,27,28,29,30}-1)*LEN(Registro!$J328)+1,LEN(Registro!$J328)))," ",REPT(" ",50)),50)))),"Revisar formato"))</f>
        <v/>
      </c>
      <c r="M328" s="11" t="str">
        <f>IF(AND(Registro!$H328="",Registro!$I328=""),"",IF(AND(ISTEXT(K328),K328&lt;&gt;""),"Revisar formato",N(Registro!$H328)-N(K328)))</f>
        <v/>
      </c>
      <c r="N328" s="11" t="str">
        <f t="shared" si="17"/>
        <v/>
      </c>
      <c r="O328" s="15" t="str">
        <f>IF(AND(A328=Consulta!$B$3,C328=Consulta!$H$3),B328*10000+ROW(),"")</f>
        <v/>
      </c>
    </row>
    <row r="329" spans="1:15" x14ac:dyDescent="0.25">
      <c r="A329" s="9" t="str">
        <f>IF(Registro!$A329="","",Registro!$A329)</f>
        <v/>
      </c>
      <c r="B329" s="8" t="str">
        <f>IF(Registro!$B329="","",Registro!$B329)</f>
        <v/>
      </c>
      <c r="C329" s="14" t="str">
        <f t="shared" si="15"/>
        <v/>
      </c>
      <c r="D329" s="10" t="str">
        <f>IF(Registro!$E329="","",IF(ISERROR(FIND("x",LOWER(Registro!$E329))),"-",IFERROR(SUMPRODUCT(--("0"&amp;LEFT(TRIM(MID(SUBSTITUTE(SUBSTITUTE(SUBSTITUTE(SUBSTITUTE(SUBSTITUTE(LOWER(Registro!$E329),"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",LEN(Registro!$E329))),({1,2,3,4,5,6,7,8,9,10,11,12,13,14,15,16,17,18,19,20,21,22,23,24,25,26,27,28,29,30}-1)*LEN(Registro!$E329)+1,LEN(Registro!$E329)))&amp;"x")-1))),"Revisar formato")))</f>
        <v/>
      </c>
      <c r="E329" s="11" t="str">
        <f>IF(Registro!$E329="","",IF(ISERROR(FIND("x",LOWER(Registro!$E329))),"-",IFERROR(SUMPRODUCT(--("0"&amp;LEFT(TRIM(MID(SUBSTITUTE(SUBSTITUTE(SUBSTITUTE(SUBSTITUTE(SUBSTITUTE(LOWER(Registro!$E329),"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",LEN(Registro!$E329))),({1,2,3,4,5,6,7,8,9,10,11,12,13,14,15,16,17,18,19,20,21,22,23,24,25,26,27,28,29,30}-1)*LEN(Registro!$E329)+1,LEN(Registro!$E329)))&amp;"x")-1)),--("0"&amp;MID(TRIM(MID(SUBSTITUTE(SUBSTITUTE(SUBSTITUTE(SUBSTITUTE(SUBSTITUTE(LOWER(Registro!$E329),"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",LEN(Registro!$E329))),({1,2,3,4,5,6,7,8,9,10,11,12,13,14,15,16,17,18,19,20,21,22,23,24,25,26,27,28,29,30}-1)*LEN(Registro!$E329)+1,LEN(Registro!$E329)))&amp;"x")+1,20))),"Revisar formato")))</f>
        <v/>
      </c>
      <c r="F329" s="11" t="str">
        <f>IF(Registro!$F329="","",N(Registro!$F329))</f>
        <v/>
      </c>
      <c r="G329" s="11" t="str">
        <f t="shared" si="16"/>
        <v/>
      </c>
      <c r="H329" s="10" t="str">
        <f>IF(Registro!$G329="","",IF(ISERROR(FIND("x",LOWER(Registro!$G329))),"-",IFERROR(SUMPRODUCT(--("0"&amp;LEFT(TRIM(MID(SUBSTITUTE(SUBSTITUTE(SUBSTITUTE(SUBSTITUTE(SUBSTITUTE(LOWER(Registro!$G329),"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",LEN(Registro!$G329))),({1,2,3,4,5,6,7,8,9,10,11,12,13,14,15,16,17,18,19,20,21,22,23,24,25,26,27,28,29,30}-1)*LEN(Registro!$G329)+1,LEN(Registro!$G329))),FIND("x",TRIM(MID(SUBSTITUTE(SUBSTITUTE(SUBSTITUTE(SUBSTITUTE(SUBSTITUTE(LOWER(Registro!$G329),"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",LEN(Registro!$G329))),({1,2,3,4,5,6,7,8,9,10,11,12,13,14,15,16,17,18,19,20,21,22,23,24,25,26,27,28,29,30}-1)*LEN(Registro!$G329)+1,LEN(Registro!$G329)))&amp;"x")-1))),"Revisar formato")))</f>
        <v/>
      </c>
      <c r="I329" s="11" t="str">
        <f>IF(Registro!$G329="","",IF(ISERROR(FIND("x",LOWER(Registro!$G329))),N(Registro!$H329),IFERROR(SUMPRODUCT(--("0"&amp;LEFT(TRIM(MID(SUBSTITUTE(SUBSTITUTE(SUBSTITUTE(SUBSTITUTE(SUBSTITUTE(LOWER(Registro!$G329),"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",LEN(Registro!$G329))),({1,2,3,4,5,6,7,8,9,10,11,12,13,14,15,16,17,18,19,20,21,22,23,24,25,26,27,28,29,30}-1)*LEN(Registro!$G329)+1,LEN(Registro!$G329))),FIND("x",TRIM(MID(SUBSTITUTE(SUBSTITUTE(SUBSTITUTE(SUBSTITUTE(SUBSTITUTE(LOWER(Registro!$G329),"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",LEN(Registro!$G329))),({1,2,3,4,5,6,7,8,9,10,11,12,13,14,15,16,17,18,19,20,21,22,23,24,25,26,27,28,29,30}-1)*LEN(Registro!$G329)+1,LEN(Registro!$G329)))&amp;"x")-1)),--("0"&amp;MID(TRIM(MID(SUBSTITUTE(SUBSTITUTE(SUBSTITUTE(SUBSTITUTE(SUBSTITUTE(LOWER(Registro!$G329),"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",LEN(Registro!$G329))),({1,2,3,4,5,6,7,8,9,10,11,12,13,14,15,16,17,18,19,20,21,22,23,24,25,26,27,28,29,30}-1)*LEN(Registro!$G329)+1,LEN(Registro!$G329))),FIND("x",TRIM(MID(SUBSTITUTE(SUBSTITUTE(SUBSTITUTE(SUBSTITUTE(SUBSTITUTE(LOWER(Registro!$G329),"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",LEN(Registro!$G329))),({1,2,3,4,5,6,7,8,9,10,11,12,13,14,15,16,17,18,19,20,21,22,23,24,25,26,27,28,29,30}-1)*LEN(Registro!$G329)+1,LEN(Registro!$G329)))&amp;"x")+1,20))),"Revisar formato")))</f>
        <v/>
      </c>
      <c r="J329" s="9" t="str">
        <f>IF(AND(Registro!$E329="",Registro!$G329=""),"",IF(NOT(AND(ISNUMBER(I329),ISNUMBER(Registro!$H329))),"",IF(I329&lt;Registro!$H329,"FALTA BOLETOS",IF(I329=Registro!$H329,"CONFORME","DIFERENCIA"))))</f>
        <v/>
      </c>
      <c r="K329" s="11" t="str">
        <f>IF(Registro!$I329="","",IFERROR(SUMPRODUCT(--("0"&amp;TRIM(RIGHT(SUBSTITUTE(TRIM(MID(SUBSTITUTE(SUBSTITUTE(Registro!$I329,";",CHAR(10)),CHAR(10),REPT(" ",LEN(Registro!$I329))),({1,2,3,4,5,6,7,8,9,10,11,12,13,14,15,16,17,18,19,20,21,22,23,24,25,26,27,28,29,30}-1)*LEN(Registro!$I329)+1,LEN(Registro!$I329)))," ",REPT(" ",50)),50)))),"Revisar formato"))</f>
        <v/>
      </c>
      <c r="L329" s="11" t="str">
        <f>IF(Registro!$J329="","",IFERROR(SUMPRODUCT(--("0"&amp;TRIM(RIGHT(SUBSTITUTE(TRIM(MID(SUBSTITUTE(SUBSTITUTE(Registro!$J329,";",CHAR(10)),CHAR(10),REPT(" ",LEN(Registro!$J329))),({1,2,3,4,5,6,7,8,9,10,11,12,13,14,15,16,17,18,19,20,21,22,23,24,25,26,27,28,29,30}-1)*LEN(Registro!$J329)+1,LEN(Registro!$J329)))," ",REPT(" ",50)),50)))),"Revisar formato"))</f>
        <v/>
      </c>
      <c r="M329" s="11" t="str">
        <f>IF(AND(Registro!$H329="",Registro!$I329=""),"",IF(AND(ISTEXT(K329),K329&lt;&gt;""),"Revisar formato",N(Registro!$H329)-N(K329)))</f>
        <v/>
      </c>
      <c r="N329" s="11" t="str">
        <f t="shared" si="17"/>
        <v/>
      </c>
      <c r="O329" s="15" t="str">
        <f>IF(AND(A329=Consulta!$B$3,C329=Consulta!$H$3),B329*10000+ROW(),"")</f>
        <v/>
      </c>
    </row>
    <row r="330" spans="1:15" x14ac:dyDescent="0.25">
      <c r="A330" s="9" t="str">
        <f>IF(Registro!$A330="","",Registro!$A330)</f>
        <v/>
      </c>
      <c r="B330" s="8" t="str">
        <f>IF(Registro!$B330="","",Registro!$B330)</f>
        <v/>
      </c>
      <c r="C330" s="14" t="str">
        <f t="shared" si="15"/>
        <v/>
      </c>
      <c r="D330" s="10" t="str">
        <f>IF(Registro!$E330="","",IF(ISERROR(FIND("x",LOWER(Registro!$E330))),"-",IFERROR(SUMPRODUCT(--("0"&amp;LEFT(TRIM(MID(SUBSTITUTE(SUBSTITUTE(SUBSTITUTE(SUBSTITUTE(SUBSTITUTE(LOWER(Registro!$E330),"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",LEN(Registro!$E330))),({1,2,3,4,5,6,7,8,9,10,11,12,13,14,15,16,17,18,19,20,21,22,23,24,25,26,27,28,29,30}-1)*LEN(Registro!$E330)+1,LEN(Registro!$E330)))&amp;"x")-1))),"Revisar formato")))</f>
        <v/>
      </c>
      <c r="E330" s="11" t="str">
        <f>IF(Registro!$E330="","",IF(ISERROR(FIND("x",LOWER(Registro!$E330))),"-",IFERROR(SUMPRODUCT(--("0"&amp;LEFT(TRIM(MID(SUBSTITUTE(SUBSTITUTE(SUBSTITUTE(SUBSTITUTE(SUBSTITUTE(LOWER(Registro!$E330),"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",LEN(Registro!$E330))),({1,2,3,4,5,6,7,8,9,10,11,12,13,14,15,16,17,18,19,20,21,22,23,24,25,26,27,28,29,30}-1)*LEN(Registro!$E330)+1,LEN(Registro!$E330)))&amp;"x")-1)),--("0"&amp;MID(TRIM(MID(SUBSTITUTE(SUBSTITUTE(SUBSTITUTE(SUBSTITUTE(SUBSTITUTE(LOWER(Registro!$E330),"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",LEN(Registro!$E330))),({1,2,3,4,5,6,7,8,9,10,11,12,13,14,15,16,17,18,19,20,21,22,23,24,25,26,27,28,29,30}-1)*LEN(Registro!$E330)+1,LEN(Registro!$E330)))&amp;"x")+1,20))),"Revisar formato")))</f>
        <v/>
      </c>
      <c r="F330" s="11" t="str">
        <f>IF(Registro!$F330="","",N(Registro!$F330))</f>
        <v/>
      </c>
      <c r="G330" s="11" t="str">
        <f t="shared" si="16"/>
        <v/>
      </c>
      <c r="H330" s="10" t="str">
        <f>IF(Registro!$G330="","",IF(ISERROR(FIND("x",LOWER(Registro!$G330))),"-",IFERROR(SUMPRODUCT(--("0"&amp;LEFT(TRIM(MID(SUBSTITUTE(SUBSTITUTE(SUBSTITUTE(SUBSTITUTE(SUBSTITUTE(LOWER(Registro!$G330),"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",LEN(Registro!$G330))),({1,2,3,4,5,6,7,8,9,10,11,12,13,14,15,16,17,18,19,20,21,22,23,24,25,26,27,28,29,30}-1)*LEN(Registro!$G330)+1,LEN(Registro!$G330))),FIND("x",TRIM(MID(SUBSTITUTE(SUBSTITUTE(SUBSTITUTE(SUBSTITUTE(SUBSTITUTE(LOWER(Registro!$G330),"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",LEN(Registro!$G330))),({1,2,3,4,5,6,7,8,9,10,11,12,13,14,15,16,17,18,19,20,21,22,23,24,25,26,27,28,29,30}-1)*LEN(Registro!$G330)+1,LEN(Registro!$G330)))&amp;"x")-1))),"Revisar formato")))</f>
        <v/>
      </c>
      <c r="I330" s="11" t="str">
        <f>IF(Registro!$G330="","",IF(ISERROR(FIND("x",LOWER(Registro!$G330))),N(Registro!$H330),IFERROR(SUMPRODUCT(--("0"&amp;LEFT(TRIM(MID(SUBSTITUTE(SUBSTITUTE(SUBSTITUTE(SUBSTITUTE(SUBSTITUTE(LOWER(Registro!$G330),"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",LEN(Registro!$G330))),({1,2,3,4,5,6,7,8,9,10,11,12,13,14,15,16,17,18,19,20,21,22,23,24,25,26,27,28,29,30}-1)*LEN(Registro!$G330)+1,LEN(Registro!$G330))),FIND("x",TRIM(MID(SUBSTITUTE(SUBSTITUTE(SUBSTITUTE(SUBSTITUTE(SUBSTITUTE(LOWER(Registro!$G330),"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",LEN(Registro!$G330))),({1,2,3,4,5,6,7,8,9,10,11,12,13,14,15,16,17,18,19,20,21,22,23,24,25,26,27,28,29,30}-1)*LEN(Registro!$G330)+1,LEN(Registro!$G330)))&amp;"x")-1)),--("0"&amp;MID(TRIM(MID(SUBSTITUTE(SUBSTITUTE(SUBSTITUTE(SUBSTITUTE(SUBSTITUTE(LOWER(Registro!$G330),"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",LEN(Registro!$G330))),({1,2,3,4,5,6,7,8,9,10,11,12,13,14,15,16,17,18,19,20,21,22,23,24,25,26,27,28,29,30}-1)*LEN(Registro!$G330)+1,LEN(Registro!$G330))),FIND("x",TRIM(MID(SUBSTITUTE(SUBSTITUTE(SUBSTITUTE(SUBSTITUTE(SUBSTITUTE(LOWER(Registro!$G330),"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",LEN(Registro!$G330))),({1,2,3,4,5,6,7,8,9,10,11,12,13,14,15,16,17,18,19,20,21,22,23,24,25,26,27,28,29,30}-1)*LEN(Registro!$G330)+1,LEN(Registro!$G330)))&amp;"x")+1,20))),"Revisar formato")))</f>
        <v/>
      </c>
      <c r="J330" s="9" t="str">
        <f>IF(AND(Registro!$E330="",Registro!$G330=""),"",IF(NOT(AND(ISNUMBER(I330),ISNUMBER(Registro!$H330))),"",IF(I330&lt;Registro!$H330,"FALTA BOLETOS",IF(I330=Registro!$H330,"CONFORME","DIFERENCIA"))))</f>
        <v/>
      </c>
      <c r="K330" s="11" t="str">
        <f>IF(Registro!$I330="","",IFERROR(SUMPRODUCT(--("0"&amp;TRIM(RIGHT(SUBSTITUTE(TRIM(MID(SUBSTITUTE(SUBSTITUTE(Registro!$I330,";",CHAR(10)),CHAR(10),REPT(" ",LEN(Registro!$I330))),({1,2,3,4,5,6,7,8,9,10,11,12,13,14,15,16,17,18,19,20,21,22,23,24,25,26,27,28,29,30}-1)*LEN(Registro!$I330)+1,LEN(Registro!$I330)))," ",REPT(" ",50)),50)))),"Revisar formato"))</f>
        <v/>
      </c>
      <c r="L330" s="11" t="str">
        <f>IF(Registro!$J330="","",IFERROR(SUMPRODUCT(--("0"&amp;TRIM(RIGHT(SUBSTITUTE(TRIM(MID(SUBSTITUTE(SUBSTITUTE(Registro!$J330,";",CHAR(10)),CHAR(10),REPT(" ",LEN(Registro!$J330))),({1,2,3,4,5,6,7,8,9,10,11,12,13,14,15,16,17,18,19,20,21,22,23,24,25,26,27,28,29,30}-1)*LEN(Registro!$J330)+1,LEN(Registro!$J330)))," ",REPT(" ",50)),50)))),"Revisar formato"))</f>
        <v/>
      </c>
      <c r="M330" s="11" t="str">
        <f>IF(AND(Registro!$H330="",Registro!$I330=""),"",IF(AND(ISTEXT(K330),K330&lt;&gt;""),"Revisar formato",N(Registro!$H330)-N(K330)))</f>
        <v/>
      </c>
      <c r="N330" s="11" t="str">
        <f t="shared" si="17"/>
        <v/>
      </c>
      <c r="O330" s="15" t="str">
        <f>IF(AND(A330=Consulta!$B$3,C330=Consulta!$H$3),B330*10000+ROW(),"")</f>
        <v/>
      </c>
    </row>
    <row r="331" spans="1:15" x14ac:dyDescent="0.25">
      <c r="A331" s="9" t="str">
        <f>IF(Registro!$A331="","",Registro!$A331)</f>
        <v/>
      </c>
      <c r="B331" s="8" t="str">
        <f>IF(Registro!$B331="","",Registro!$B331)</f>
        <v/>
      </c>
      <c r="C331" s="14" t="str">
        <f t="shared" si="15"/>
        <v/>
      </c>
      <c r="D331" s="10" t="str">
        <f>IF(Registro!$E331="","",IF(ISERROR(FIND("x",LOWER(Registro!$E331))),"-",IFERROR(SUMPRODUCT(--("0"&amp;LEFT(TRIM(MID(SUBSTITUTE(SUBSTITUTE(SUBSTITUTE(SUBSTITUTE(SUBSTITUTE(LOWER(Registro!$E331),"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",LEN(Registro!$E331))),({1,2,3,4,5,6,7,8,9,10,11,12,13,14,15,16,17,18,19,20,21,22,23,24,25,26,27,28,29,30}-1)*LEN(Registro!$E331)+1,LEN(Registro!$E331)))&amp;"x")-1))),"Revisar formato")))</f>
        <v/>
      </c>
      <c r="E331" s="11" t="str">
        <f>IF(Registro!$E331="","",IF(ISERROR(FIND("x",LOWER(Registro!$E331))),"-",IFERROR(SUMPRODUCT(--("0"&amp;LEFT(TRIM(MID(SUBSTITUTE(SUBSTITUTE(SUBSTITUTE(SUBSTITUTE(SUBSTITUTE(LOWER(Registro!$E331),"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",LEN(Registro!$E331))),({1,2,3,4,5,6,7,8,9,10,11,12,13,14,15,16,17,18,19,20,21,22,23,24,25,26,27,28,29,30}-1)*LEN(Registro!$E331)+1,LEN(Registro!$E331)))&amp;"x")-1)),--("0"&amp;MID(TRIM(MID(SUBSTITUTE(SUBSTITUTE(SUBSTITUTE(SUBSTITUTE(SUBSTITUTE(LOWER(Registro!$E331),"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",LEN(Registro!$E331))),({1,2,3,4,5,6,7,8,9,10,11,12,13,14,15,16,17,18,19,20,21,22,23,24,25,26,27,28,29,30}-1)*LEN(Registro!$E331)+1,LEN(Registro!$E331)))&amp;"x")+1,20))),"Revisar formato")))</f>
        <v/>
      </c>
      <c r="F331" s="11" t="str">
        <f>IF(Registro!$F331="","",N(Registro!$F331))</f>
        <v/>
      </c>
      <c r="G331" s="11" t="str">
        <f t="shared" si="16"/>
        <v/>
      </c>
      <c r="H331" s="10" t="str">
        <f>IF(Registro!$G331="","",IF(ISERROR(FIND("x",LOWER(Registro!$G331))),"-",IFERROR(SUMPRODUCT(--("0"&amp;LEFT(TRIM(MID(SUBSTITUTE(SUBSTITUTE(SUBSTITUTE(SUBSTITUTE(SUBSTITUTE(LOWER(Registro!$G331),"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",LEN(Registro!$G331))),({1,2,3,4,5,6,7,8,9,10,11,12,13,14,15,16,17,18,19,20,21,22,23,24,25,26,27,28,29,30}-1)*LEN(Registro!$G331)+1,LEN(Registro!$G331))),FIND("x",TRIM(MID(SUBSTITUTE(SUBSTITUTE(SUBSTITUTE(SUBSTITUTE(SUBSTITUTE(LOWER(Registro!$G331),"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",LEN(Registro!$G331))),({1,2,3,4,5,6,7,8,9,10,11,12,13,14,15,16,17,18,19,20,21,22,23,24,25,26,27,28,29,30}-1)*LEN(Registro!$G331)+1,LEN(Registro!$G331)))&amp;"x")-1))),"Revisar formato")))</f>
        <v/>
      </c>
      <c r="I331" s="11" t="str">
        <f>IF(Registro!$G331="","",IF(ISERROR(FIND("x",LOWER(Registro!$G331))),N(Registro!$H331),IFERROR(SUMPRODUCT(--("0"&amp;LEFT(TRIM(MID(SUBSTITUTE(SUBSTITUTE(SUBSTITUTE(SUBSTITUTE(SUBSTITUTE(LOWER(Registro!$G331),"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",LEN(Registro!$G331))),({1,2,3,4,5,6,7,8,9,10,11,12,13,14,15,16,17,18,19,20,21,22,23,24,25,26,27,28,29,30}-1)*LEN(Registro!$G331)+1,LEN(Registro!$G331))),FIND("x",TRIM(MID(SUBSTITUTE(SUBSTITUTE(SUBSTITUTE(SUBSTITUTE(SUBSTITUTE(LOWER(Registro!$G331),"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",LEN(Registro!$G331))),({1,2,3,4,5,6,7,8,9,10,11,12,13,14,15,16,17,18,19,20,21,22,23,24,25,26,27,28,29,30}-1)*LEN(Registro!$G331)+1,LEN(Registro!$G331)))&amp;"x")-1)),--("0"&amp;MID(TRIM(MID(SUBSTITUTE(SUBSTITUTE(SUBSTITUTE(SUBSTITUTE(SUBSTITUTE(LOWER(Registro!$G331),"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",LEN(Registro!$G331))),({1,2,3,4,5,6,7,8,9,10,11,12,13,14,15,16,17,18,19,20,21,22,23,24,25,26,27,28,29,30}-1)*LEN(Registro!$G331)+1,LEN(Registro!$G331))),FIND("x",TRIM(MID(SUBSTITUTE(SUBSTITUTE(SUBSTITUTE(SUBSTITUTE(SUBSTITUTE(LOWER(Registro!$G331),"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",LEN(Registro!$G331))),({1,2,3,4,5,6,7,8,9,10,11,12,13,14,15,16,17,18,19,20,21,22,23,24,25,26,27,28,29,30}-1)*LEN(Registro!$G331)+1,LEN(Registro!$G331)))&amp;"x")+1,20))),"Revisar formato")))</f>
        <v/>
      </c>
      <c r="J331" s="9" t="str">
        <f>IF(AND(Registro!$E331="",Registro!$G331=""),"",IF(NOT(AND(ISNUMBER(I331),ISNUMBER(Registro!$H331))),"",IF(I331&lt;Registro!$H331,"FALTA BOLETOS",IF(I331=Registro!$H331,"CONFORME","DIFERENCIA"))))</f>
        <v/>
      </c>
      <c r="K331" s="11" t="str">
        <f>IF(Registro!$I331="","",IFERROR(SUMPRODUCT(--("0"&amp;TRIM(RIGHT(SUBSTITUTE(TRIM(MID(SUBSTITUTE(SUBSTITUTE(Registro!$I331,";",CHAR(10)),CHAR(10),REPT(" ",LEN(Registro!$I331))),({1,2,3,4,5,6,7,8,9,10,11,12,13,14,15,16,17,18,19,20,21,22,23,24,25,26,27,28,29,30}-1)*LEN(Registro!$I331)+1,LEN(Registro!$I331)))," ",REPT(" ",50)),50)))),"Revisar formato"))</f>
        <v/>
      </c>
      <c r="L331" s="11" t="str">
        <f>IF(Registro!$J331="","",IFERROR(SUMPRODUCT(--("0"&amp;TRIM(RIGHT(SUBSTITUTE(TRIM(MID(SUBSTITUTE(SUBSTITUTE(Registro!$J331,";",CHAR(10)),CHAR(10),REPT(" ",LEN(Registro!$J331))),({1,2,3,4,5,6,7,8,9,10,11,12,13,14,15,16,17,18,19,20,21,22,23,24,25,26,27,28,29,30}-1)*LEN(Registro!$J331)+1,LEN(Registro!$J331)))," ",REPT(" ",50)),50)))),"Revisar formato"))</f>
        <v/>
      </c>
      <c r="M331" s="11" t="str">
        <f>IF(AND(Registro!$H331="",Registro!$I331=""),"",IF(AND(ISTEXT(K331),K331&lt;&gt;""),"Revisar formato",N(Registro!$H331)-N(K331)))</f>
        <v/>
      </c>
      <c r="N331" s="11" t="str">
        <f t="shared" si="17"/>
        <v/>
      </c>
      <c r="O331" s="15" t="str">
        <f>IF(AND(A331=Consulta!$B$3,C331=Consulta!$H$3),B331*10000+ROW(),"")</f>
        <v/>
      </c>
    </row>
    <row r="332" spans="1:15" x14ac:dyDescent="0.25">
      <c r="A332" s="9" t="str">
        <f>IF(Registro!$A332="","",Registro!$A332)</f>
        <v/>
      </c>
      <c r="B332" s="8" t="str">
        <f>IF(Registro!$B332="","",Registro!$B332)</f>
        <v/>
      </c>
      <c r="C332" s="14" t="str">
        <f t="shared" si="15"/>
        <v/>
      </c>
      <c r="D332" s="10" t="str">
        <f>IF(Registro!$E332="","",IF(ISERROR(FIND("x",LOWER(Registro!$E332))),"-",IFERROR(SUMPRODUCT(--("0"&amp;LEFT(TRIM(MID(SUBSTITUTE(SUBSTITUTE(SUBSTITUTE(SUBSTITUTE(SUBSTITUTE(LOWER(Registro!$E332),"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",LEN(Registro!$E332))),({1,2,3,4,5,6,7,8,9,10,11,12,13,14,15,16,17,18,19,20,21,22,23,24,25,26,27,28,29,30}-1)*LEN(Registro!$E332)+1,LEN(Registro!$E332)))&amp;"x")-1))),"Revisar formato")))</f>
        <v/>
      </c>
      <c r="E332" s="11" t="str">
        <f>IF(Registro!$E332="","",IF(ISERROR(FIND("x",LOWER(Registro!$E332))),"-",IFERROR(SUMPRODUCT(--("0"&amp;LEFT(TRIM(MID(SUBSTITUTE(SUBSTITUTE(SUBSTITUTE(SUBSTITUTE(SUBSTITUTE(LOWER(Registro!$E332),"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",LEN(Registro!$E332))),({1,2,3,4,5,6,7,8,9,10,11,12,13,14,15,16,17,18,19,20,21,22,23,24,25,26,27,28,29,30}-1)*LEN(Registro!$E332)+1,LEN(Registro!$E332)))&amp;"x")-1)),--("0"&amp;MID(TRIM(MID(SUBSTITUTE(SUBSTITUTE(SUBSTITUTE(SUBSTITUTE(SUBSTITUTE(LOWER(Registro!$E332),"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",LEN(Registro!$E332))),({1,2,3,4,5,6,7,8,9,10,11,12,13,14,15,16,17,18,19,20,21,22,23,24,25,26,27,28,29,30}-1)*LEN(Registro!$E332)+1,LEN(Registro!$E332)))&amp;"x")+1,20))),"Revisar formato")))</f>
        <v/>
      </c>
      <c r="F332" s="11" t="str">
        <f>IF(Registro!$F332="","",N(Registro!$F332))</f>
        <v/>
      </c>
      <c r="G332" s="11" t="str">
        <f t="shared" si="16"/>
        <v/>
      </c>
      <c r="H332" s="10" t="str">
        <f>IF(Registro!$G332="","",IF(ISERROR(FIND("x",LOWER(Registro!$G332))),"-",IFERROR(SUMPRODUCT(--("0"&amp;LEFT(TRIM(MID(SUBSTITUTE(SUBSTITUTE(SUBSTITUTE(SUBSTITUTE(SUBSTITUTE(LOWER(Registro!$G332),"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",LEN(Registro!$G332))),({1,2,3,4,5,6,7,8,9,10,11,12,13,14,15,16,17,18,19,20,21,22,23,24,25,26,27,28,29,30}-1)*LEN(Registro!$G332)+1,LEN(Registro!$G332))),FIND("x",TRIM(MID(SUBSTITUTE(SUBSTITUTE(SUBSTITUTE(SUBSTITUTE(SUBSTITUTE(LOWER(Registro!$G332),"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",LEN(Registro!$G332))),({1,2,3,4,5,6,7,8,9,10,11,12,13,14,15,16,17,18,19,20,21,22,23,24,25,26,27,28,29,30}-1)*LEN(Registro!$G332)+1,LEN(Registro!$G332)))&amp;"x")-1))),"Revisar formato")))</f>
        <v/>
      </c>
      <c r="I332" s="11" t="str">
        <f>IF(Registro!$G332="","",IF(ISERROR(FIND("x",LOWER(Registro!$G332))),N(Registro!$H332),IFERROR(SUMPRODUCT(--("0"&amp;LEFT(TRIM(MID(SUBSTITUTE(SUBSTITUTE(SUBSTITUTE(SUBSTITUTE(SUBSTITUTE(LOWER(Registro!$G332),"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",LEN(Registro!$G332))),({1,2,3,4,5,6,7,8,9,10,11,12,13,14,15,16,17,18,19,20,21,22,23,24,25,26,27,28,29,30}-1)*LEN(Registro!$G332)+1,LEN(Registro!$G332))),FIND("x",TRIM(MID(SUBSTITUTE(SUBSTITUTE(SUBSTITUTE(SUBSTITUTE(SUBSTITUTE(LOWER(Registro!$G332),"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",LEN(Registro!$G332))),({1,2,3,4,5,6,7,8,9,10,11,12,13,14,15,16,17,18,19,20,21,22,23,24,25,26,27,28,29,30}-1)*LEN(Registro!$G332)+1,LEN(Registro!$G332)))&amp;"x")-1)),--("0"&amp;MID(TRIM(MID(SUBSTITUTE(SUBSTITUTE(SUBSTITUTE(SUBSTITUTE(SUBSTITUTE(LOWER(Registro!$G332),"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",LEN(Registro!$G332))),({1,2,3,4,5,6,7,8,9,10,11,12,13,14,15,16,17,18,19,20,21,22,23,24,25,26,27,28,29,30}-1)*LEN(Registro!$G332)+1,LEN(Registro!$G332))),FIND("x",TRIM(MID(SUBSTITUTE(SUBSTITUTE(SUBSTITUTE(SUBSTITUTE(SUBSTITUTE(LOWER(Registro!$G332),"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",LEN(Registro!$G332))),({1,2,3,4,5,6,7,8,9,10,11,12,13,14,15,16,17,18,19,20,21,22,23,24,25,26,27,28,29,30}-1)*LEN(Registro!$G332)+1,LEN(Registro!$G332)))&amp;"x")+1,20))),"Revisar formato")))</f>
        <v/>
      </c>
      <c r="J332" s="9" t="str">
        <f>IF(AND(Registro!$E332="",Registro!$G332=""),"",IF(NOT(AND(ISNUMBER(I332),ISNUMBER(Registro!$H332))),"",IF(I332&lt;Registro!$H332,"FALTA BOLETOS",IF(I332=Registro!$H332,"CONFORME","DIFERENCIA"))))</f>
        <v/>
      </c>
      <c r="K332" s="11" t="str">
        <f>IF(Registro!$I332="","",IFERROR(SUMPRODUCT(--("0"&amp;TRIM(RIGHT(SUBSTITUTE(TRIM(MID(SUBSTITUTE(SUBSTITUTE(Registro!$I332,";",CHAR(10)),CHAR(10),REPT(" ",LEN(Registro!$I332))),({1,2,3,4,5,6,7,8,9,10,11,12,13,14,15,16,17,18,19,20,21,22,23,24,25,26,27,28,29,30}-1)*LEN(Registro!$I332)+1,LEN(Registro!$I332)))," ",REPT(" ",50)),50)))),"Revisar formato"))</f>
        <v/>
      </c>
      <c r="L332" s="11" t="str">
        <f>IF(Registro!$J332="","",IFERROR(SUMPRODUCT(--("0"&amp;TRIM(RIGHT(SUBSTITUTE(TRIM(MID(SUBSTITUTE(SUBSTITUTE(Registro!$J332,";",CHAR(10)),CHAR(10),REPT(" ",LEN(Registro!$J332))),({1,2,3,4,5,6,7,8,9,10,11,12,13,14,15,16,17,18,19,20,21,22,23,24,25,26,27,28,29,30}-1)*LEN(Registro!$J332)+1,LEN(Registro!$J332)))," ",REPT(" ",50)),50)))),"Revisar formato"))</f>
        <v/>
      </c>
      <c r="M332" s="11" t="str">
        <f>IF(AND(Registro!$H332="",Registro!$I332=""),"",IF(AND(ISTEXT(K332),K332&lt;&gt;""),"Revisar formato",N(Registro!$H332)-N(K332)))</f>
        <v/>
      </c>
      <c r="N332" s="11" t="str">
        <f t="shared" si="17"/>
        <v/>
      </c>
      <c r="O332" s="15" t="str">
        <f>IF(AND(A332=Consulta!$B$3,C332=Consulta!$H$3),B332*10000+ROW(),"")</f>
        <v/>
      </c>
    </row>
    <row r="333" spans="1:15" x14ac:dyDescent="0.25">
      <c r="A333" s="9" t="str">
        <f>IF(Registro!$A333="","",Registro!$A333)</f>
        <v/>
      </c>
      <c r="B333" s="8" t="str">
        <f>IF(Registro!$B333="","",Registro!$B333)</f>
        <v/>
      </c>
      <c r="C333" s="14" t="str">
        <f t="shared" si="15"/>
        <v/>
      </c>
      <c r="D333" s="10" t="str">
        <f>IF(Registro!$E333="","",IF(ISERROR(FIND("x",LOWER(Registro!$E333))),"-",IFERROR(SUMPRODUCT(--("0"&amp;LEFT(TRIM(MID(SUBSTITUTE(SUBSTITUTE(SUBSTITUTE(SUBSTITUTE(SUBSTITUTE(LOWER(Registro!$E333),"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",LEN(Registro!$E333))),({1,2,3,4,5,6,7,8,9,10,11,12,13,14,15,16,17,18,19,20,21,22,23,24,25,26,27,28,29,30}-1)*LEN(Registro!$E333)+1,LEN(Registro!$E333)))&amp;"x")-1))),"Revisar formato")))</f>
        <v/>
      </c>
      <c r="E333" s="11" t="str">
        <f>IF(Registro!$E333="","",IF(ISERROR(FIND("x",LOWER(Registro!$E333))),"-",IFERROR(SUMPRODUCT(--("0"&amp;LEFT(TRIM(MID(SUBSTITUTE(SUBSTITUTE(SUBSTITUTE(SUBSTITUTE(SUBSTITUTE(LOWER(Registro!$E333),"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",LEN(Registro!$E333))),({1,2,3,4,5,6,7,8,9,10,11,12,13,14,15,16,17,18,19,20,21,22,23,24,25,26,27,28,29,30}-1)*LEN(Registro!$E333)+1,LEN(Registro!$E333)))&amp;"x")-1)),--("0"&amp;MID(TRIM(MID(SUBSTITUTE(SUBSTITUTE(SUBSTITUTE(SUBSTITUTE(SUBSTITUTE(LOWER(Registro!$E333),"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",LEN(Registro!$E333))),({1,2,3,4,5,6,7,8,9,10,11,12,13,14,15,16,17,18,19,20,21,22,23,24,25,26,27,28,29,30}-1)*LEN(Registro!$E333)+1,LEN(Registro!$E333)))&amp;"x")+1,20))),"Revisar formato")))</f>
        <v/>
      </c>
      <c r="F333" s="11" t="str">
        <f>IF(Registro!$F333="","",N(Registro!$F333))</f>
        <v/>
      </c>
      <c r="G333" s="11" t="str">
        <f t="shared" si="16"/>
        <v/>
      </c>
      <c r="H333" s="10" t="str">
        <f>IF(Registro!$G333="","",IF(ISERROR(FIND("x",LOWER(Registro!$G333))),"-",IFERROR(SUMPRODUCT(--("0"&amp;LEFT(TRIM(MID(SUBSTITUTE(SUBSTITUTE(SUBSTITUTE(SUBSTITUTE(SUBSTITUTE(LOWER(Registro!$G333),"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",LEN(Registro!$G333))),({1,2,3,4,5,6,7,8,9,10,11,12,13,14,15,16,17,18,19,20,21,22,23,24,25,26,27,28,29,30}-1)*LEN(Registro!$G333)+1,LEN(Registro!$G333))),FIND("x",TRIM(MID(SUBSTITUTE(SUBSTITUTE(SUBSTITUTE(SUBSTITUTE(SUBSTITUTE(LOWER(Registro!$G333),"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",LEN(Registro!$G333))),({1,2,3,4,5,6,7,8,9,10,11,12,13,14,15,16,17,18,19,20,21,22,23,24,25,26,27,28,29,30}-1)*LEN(Registro!$G333)+1,LEN(Registro!$G333)))&amp;"x")-1))),"Revisar formato")))</f>
        <v/>
      </c>
      <c r="I333" s="11" t="str">
        <f>IF(Registro!$G333="","",IF(ISERROR(FIND("x",LOWER(Registro!$G333))),N(Registro!$H333),IFERROR(SUMPRODUCT(--("0"&amp;LEFT(TRIM(MID(SUBSTITUTE(SUBSTITUTE(SUBSTITUTE(SUBSTITUTE(SUBSTITUTE(LOWER(Registro!$G333),"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",LEN(Registro!$G333))),({1,2,3,4,5,6,7,8,9,10,11,12,13,14,15,16,17,18,19,20,21,22,23,24,25,26,27,28,29,30}-1)*LEN(Registro!$G333)+1,LEN(Registro!$G333))),FIND("x",TRIM(MID(SUBSTITUTE(SUBSTITUTE(SUBSTITUTE(SUBSTITUTE(SUBSTITUTE(LOWER(Registro!$G333),"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",LEN(Registro!$G333))),({1,2,3,4,5,6,7,8,9,10,11,12,13,14,15,16,17,18,19,20,21,22,23,24,25,26,27,28,29,30}-1)*LEN(Registro!$G333)+1,LEN(Registro!$G333)))&amp;"x")-1)),--("0"&amp;MID(TRIM(MID(SUBSTITUTE(SUBSTITUTE(SUBSTITUTE(SUBSTITUTE(SUBSTITUTE(LOWER(Registro!$G333),"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",LEN(Registro!$G333))),({1,2,3,4,5,6,7,8,9,10,11,12,13,14,15,16,17,18,19,20,21,22,23,24,25,26,27,28,29,30}-1)*LEN(Registro!$G333)+1,LEN(Registro!$G333))),FIND("x",TRIM(MID(SUBSTITUTE(SUBSTITUTE(SUBSTITUTE(SUBSTITUTE(SUBSTITUTE(LOWER(Registro!$G333),"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",LEN(Registro!$G333))),({1,2,3,4,5,6,7,8,9,10,11,12,13,14,15,16,17,18,19,20,21,22,23,24,25,26,27,28,29,30}-1)*LEN(Registro!$G333)+1,LEN(Registro!$G333)))&amp;"x")+1,20))),"Revisar formato")))</f>
        <v/>
      </c>
      <c r="J333" s="9" t="str">
        <f>IF(AND(Registro!$E333="",Registro!$G333=""),"",IF(NOT(AND(ISNUMBER(I333),ISNUMBER(Registro!$H333))),"",IF(I333&lt;Registro!$H333,"FALTA BOLETOS",IF(I333=Registro!$H333,"CONFORME","DIFERENCIA"))))</f>
        <v/>
      </c>
      <c r="K333" s="11" t="str">
        <f>IF(Registro!$I333="","",IFERROR(SUMPRODUCT(--("0"&amp;TRIM(RIGHT(SUBSTITUTE(TRIM(MID(SUBSTITUTE(SUBSTITUTE(Registro!$I333,";",CHAR(10)),CHAR(10),REPT(" ",LEN(Registro!$I333))),({1,2,3,4,5,6,7,8,9,10,11,12,13,14,15,16,17,18,19,20,21,22,23,24,25,26,27,28,29,30}-1)*LEN(Registro!$I333)+1,LEN(Registro!$I333)))," ",REPT(" ",50)),50)))),"Revisar formato"))</f>
        <v/>
      </c>
      <c r="L333" s="11" t="str">
        <f>IF(Registro!$J333="","",IFERROR(SUMPRODUCT(--("0"&amp;TRIM(RIGHT(SUBSTITUTE(TRIM(MID(SUBSTITUTE(SUBSTITUTE(Registro!$J333,";",CHAR(10)),CHAR(10),REPT(" ",LEN(Registro!$J333))),({1,2,3,4,5,6,7,8,9,10,11,12,13,14,15,16,17,18,19,20,21,22,23,24,25,26,27,28,29,30}-1)*LEN(Registro!$J333)+1,LEN(Registro!$J333)))," ",REPT(" ",50)),50)))),"Revisar formato"))</f>
        <v/>
      </c>
      <c r="M333" s="11" t="str">
        <f>IF(AND(Registro!$H333="",Registro!$I333=""),"",IF(AND(ISTEXT(K333),K333&lt;&gt;""),"Revisar formato",N(Registro!$H333)-N(K333)))</f>
        <v/>
      </c>
      <c r="N333" s="11" t="str">
        <f t="shared" si="17"/>
        <v/>
      </c>
      <c r="O333" s="15" t="str">
        <f>IF(AND(A333=Consulta!$B$3,C333=Consulta!$H$3),B333*10000+ROW(),"")</f>
        <v/>
      </c>
    </row>
    <row r="334" spans="1:15" x14ac:dyDescent="0.25">
      <c r="A334" s="9" t="str">
        <f>IF(Registro!$A334="","",Registro!$A334)</f>
        <v/>
      </c>
      <c r="B334" s="8" t="str">
        <f>IF(Registro!$B334="","",Registro!$B334)</f>
        <v/>
      </c>
      <c r="C334" s="14" t="str">
        <f t="shared" si="15"/>
        <v/>
      </c>
      <c r="D334" s="10" t="str">
        <f>IF(Registro!$E334="","",IF(ISERROR(FIND("x",LOWER(Registro!$E334))),"-",IFERROR(SUMPRODUCT(--("0"&amp;LEFT(TRIM(MID(SUBSTITUTE(SUBSTITUTE(SUBSTITUTE(SUBSTITUTE(SUBSTITUTE(LOWER(Registro!$E334),"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",LEN(Registro!$E334))),({1,2,3,4,5,6,7,8,9,10,11,12,13,14,15,16,17,18,19,20,21,22,23,24,25,26,27,28,29,30}-1)*LEN(Registro!$E334)+1,LEN(Registro!$E334)))&amp;"x")-1))),"Revisar formato")))</f>
        <v/>
      </c>
      <c r="E334" s="11" t="str">
        <f>IF(Registro!$E334="","",IF(ISERROR(FIND("x",LOWER(Registro!$E334))),"-",IFERROR(SUMPRODUCT(--("0"&amp;LEFT(TRIM(MID(SUBSTITUTE(SUBSTITUTE(SUBSTITUTE(SUBSTITUTE(SUBSTITUTE(LOWER(Registro!$E334),"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",LEN(Registro!$E334))),({1,2,3,4,5,6,7,8,9,10,11,12,13,14,15,16,17,18,19,20,21,22,23,24,25,26,27,28,29,30}-1)*LEN(Registro!$E334)+1,LEN(Registro!$E334)))&amp;"x")-1)),--("0"&amp;MID(TRIM(MID(SUBSTITUTE(SUBSTITUTE(SUBSTITUTE(SUBSTITUTE(SUBSTITUTE(LOWER(Registro!$E334),"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",LEN(Registro!$E334))),({1,2,3,4,5,6,7,8,9,10,11,12,13,14,15,16,17,18,19,20,21,22,23,24,25,26,27,28,29,30}-1)*LEN(Registro!$E334)+1,LEN(Registro!$E334)))&amp;"x")+1,20))),"Revisar formato")))</f>
        <v/>
      </c>
      <c r="F334" s="11" t="str">
        <f>IF(Registro!$F334="","",N(Registro!$F334))</f>
        <v/>
      </c>
      <c r="G334" s="11" t="str">
        <f t="shared" si="16"/>
        <v/>
      </c>
      <c r="H334" s="10" t="str">
        <f>IF(Registro!$G334="","",IF(ISERROR(FIND("x",LOWER(Registro!$G334))),"-",IFERROR(SUMPRODUCT(--("0"&amp;LEFT(TRIM(MID(SUBSTITUTE(SUBSTITUTE(SUBSTITUTE(SUBSTITUTE(SUBSTITUTE(LOWER(Registro!$G334),"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",LEN(Registro!$G334))),({1,2,3,4,5,6,7,8,9,10,11,12,13,14,15,16,17,18,19,20,21,22,23,24,25,26,27,28,29,30}-1)*LEN(Registro!$G334)+1,LEN(Registro!$G334))),FIND("x",TRIM(MID(SUBSTITUTE(SUBSTITUTE(SUBSTITUTE(SUBSTITUTE(SUBSTITUTE(LOWER(Registro!$G334),"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",LEN(Registro!$G334))),({1,2,3,4,5,6,7,8,9,10,11,12,13,14,15,16,17,18,19,20,21,22,23,24,25,26,27,28,29,30}-1)*LEN(Registro!$G334)+1,LEN(Registro!$G334)))&amp;"x")-1))),"Revisar formato")))</f>
        <v/>
      </c>
      <c r="I334" s="11" t="str">
        <f>IF(Registro!$G334="","",IF(ISERROR(FIND("x",LOWER(Registro!$G334))),N(Registro!$H334),IFERROR(SUMPRODUCT(--("0"&amp;LEFT(TRIM(MID(SUBSTITUTE(SUBSTITUTE(SUBSTITUTE(SUBSTITUTE(SUBSTITUTE(LOWER(Registro!$G334),"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",LEN(Registro!$G334))),({1,2,3,4,5,6,7,8,9,10,11,12,13,14,15,16,17,18,19,20,21,22,23,24,25,26,27,28,29,30}-1)*LEN(Registro!$G334)+1,LEN(Registro!$G334))),FIND("x",TRIM(MID(SUBSTITUTE(SUBSTITUTE(SUBSTITUTE(SUBSTITUTE(SUBSTITUTE(LOWER(Registro!$G334),"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",LEN(Registro!$G334))),({1,2,3,4,5,6,7,8,9,10,11,12,13,14,15,16,17,18,19,20,21,22,23,24,25,26,27,28,29,30}-1)*LEN(Registro!$G334)+1,LEN(Registro!$G334)))&amp;"x")-1)),--("0"&amp;MID(TRIM(MID(SUBSTITUTE(SUBSTITUTE(SUBSTITUTE(SUBSTITUTE(SUBSTITUTE(LOWER(Registro!$G334),"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",LEN(Registro!$G334))),({1,2,3,4,5,6,7,8,9,10,11,12,13,14,15,16,17,18,19,20,21,22,23,24,25,26,27,28,29,30}-1)*LEN(Registro!$G334)+1,LEN(Registro!$G334))),FIND("x",TRIM(MID(SUBSTITUTE(SUBSTITUTE(SUBSTITUTE(SUBSTITUTE(SUBSTITUTE(LOWER(Registro!$G334),"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",LEN(Registro!$G334))),({1,2,3,4,5,6,7,8,9,10,11,12,13,14,15,16,17,18,19,20,21,22,23,24,25,26,27,28,29,30}-1)*LEN(Registro!$G334)+1,LEN(Registro!$G334)))&amp;"x")+1,20))),"Revisar formato")))</f>
        <v/>
      </c>
      <c r="J334" s="9" t="str">
        <f>IF(AND(Registro!$E334="",Registro!$G334=""),"",IF(NOT(AND(ISNUMBER(I334),ISNUMBER(Registro!$H334))),"",IF(I334&lt;Registro!$H334,"FALTA BOLETOS",IF(I334=Registro!$H334,"CONFORME","DIFERENCIA"))))</f>
        <v/>
      </c>
      <c r="K334" s="11" t="str">
        <f>IF(Registro!$I334="","",IFERROR(SUMPRODUCT(--("0"&amp;TRIM(RIGHT(SUBSTITUTE(TRIM(MID(SUBSTITUTE(SUBSTITUTE(Registro!$I334,";",CHAR(10)),CHAR(10),REPT(" ",LEN(Registro!$I334))),({1,2,3,4,5,6,7,8,9,10,11,12,13,14,15,16,17,18,19,20,21,22,23,24,25,26,27,28,29,30}-1)*LEN(Registro!$I334)+1,LEN(Registro!$I334)))," ",REPT(" ",50)),50)))),"Revisar formato"))</f>
        <v/>
      </c>
      <c r="L334" s="11" t="str">
        <f>IF(Registro!$J334="","",IFERROR(SUMPRODUCT(--("0"&amp;TRIM(RIGHT(SUBSTITUTE(TRIM(MID(SUBSTITUTE(SUBSTITUTE(Registro!$J334,";",CHAR(10)),CHAR(10),REPT(" ",LEN(Registro!$J334))),({1,2,3,4,5,6,7,8,9,10,11,12,13,14,15,16,17,18,19,20,21,22,23,24,25,26,27,28,29,30}-1)*LEN(Registro!$J334)+1,LEN(Registro!$J334)))," ",REPT(" ",50)),50)))),"Revisar formato"))</f>
        <v/>
      </c>
      <c r="M334" s="11" t="str">
        <f>IF(AND(Registro!$H334="",Registro!$I334=""),"",IF(AND(ISTEXT(K334),K334&lt;&gt;""),"Revisar formato",N(Registro!$H334)-N(K334)))</f>
        <v/>
      </c>
      <c r="N334" s="11" t="str">
        <f t="shared" si="17"/>
        <v/>
      </c>
      <c r="O334" s="15" t="str">
        <f>IF(AND(A334=Consulta!$B$3,C334=Consulta!$H$3),B334*10000+ROW(),"")</f>
        <v/>
      </c>
    </row>
    <row r="335" spans="1:15" x14ac:dyDescent="0.25">
      <c r="A335" s="9" t="str">
        <f>IF(Registro!$A335="","",Registro!$A335)</f>
        <v/>
      </c>
      <c r="B335" s="8" t="str">
        <f>IF(Registro!$B335="","",Registro!$B335)</f>
        <v/>
      </c>
      <c r="C335" s="14" t="str">
        <f t="shared" si="15"/>
        <v/>
      </c>
      <c r="D335" s="10" t="str">
        <f>IF(Registro!$E335="","",IF(ISERROR(FIND("x",LOWER(Registro!$E335))),"-",IFERROR(SUMPRODUCT(--("0"&amp;LEFT(TRIM(MID(SUBSTITUTE(SUBSTITUTE(SUBSTITUTE(SUBSTITUTE(SUBSTITUTE(LOWER(Registro!$E335),"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",LEN(Registro!$E335))),({1,2,3,4,5,6,7,8,9,10,11,12,13,14,15,16,17,18,19,20,21,22,23,24,25,26,27,28,29,30}-1)*LEN(Registro!$E335)+1,LEN(Registro!$E335)))&amp;"x")-1))),"Revisar formato")))</f>
        <v/>
      </c>
      <c r="E335" s="11" t="str">
        <f>IF(Registro!$E335="","",IF(ISERROR(FIND("x",LOWER(Registro!$E335))),"-",IFERROR(SUMPRODUCT(--("0"&amp;LEFT(TRIM(MID(SUBSTITUTE(SUBSTITUTE(SUBSTITUTE(SUBSTITUTE(SUBSTITUTE(LOWER(Registro!$E335),"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",LEN(Registro!$E335))),({1,2,3,4,5,6,7,8,9,10,11,12,13,14,15,16,17,18,19,20,21,22,23,24,25,26,27,28,29,30}-1)*LEN(Registro!$E335)+1,LEN(Registro!$E335)))&amp;"x")-1)),--("0"&amp;MID(TRIM(MID(SUBSTITUTE(SUBSTITUTE(SUBSTITUTE(SUBSTITUTE(SUBSTITUTE(LOWER(Registro!$E335),"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",LEN(Registro!$E335))),({1,2,3,4,5,6,7,8,9,10,11,12,13,14,15,16,17,18,19,20,21,22,23,24,25,26,27,28,29,30}-1)*LEN(Registro!$E335)+1,LEN(Registro!$E335)))&amp;"x")+1,20))),"Revisar formato")))</f>
        <v/>
      </c>
      <c r="F335" s="11" t="str">
        <f>IF(Registro!$F335="","",N(Registro!$F335))</f>
        <v/>
      </c>
      <c r="G335" s="11" t="str">
        <f t="shared" si="16"/>
        <v/>
      </c>
      <c r="H335" s="10" t="str">
        <f>IF(Registro!$G335="","",IF(ISERROR(FIND("x",LOWER(Registro!$G335))),"-",IFERROR(SUMPRODUCT(--("0"&amp;LEFT(TRIM(MID(SUBSTITUTE(SUBSTITUTE(SUBSTITUTE(SUBSTITUTE(SUBSTITUTE(LOWER(Registro!$G335),"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",LEN(Registro!$G335))),({1,2,3,4,5,6,7,8,9,10,11,12,13,14,15,16,17,18,19,20,21,22,23,24,25,26,27,28,29,30}-1)*LEN(Registro!$G335)+1,LEN(Registro!$G335))),FIND("x",TRIM(MID(SUBSTITUTE(SUBSTITUTE(SUBSTITUTE(SUBSTITUTE(SUBSTITUTE(LOWER(Registro!$G335),"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",LEN(Registro!$G335))),({1,2,3,4,5,6,7,8,9,10,11,12,13,14,15,16,17,18,19,20,21,22,23,24,25,26,27,28,29,30}-1)*LEN(Registro!$G335)+1,LEN(Registro!$G335)))&amp;"x")-1))),"Revisar formato")))</f>
        <v/>
      </c>
      <c r="I335" s="11" t="str">
        <f>IF(Registro!$G335="","",IF(ISERROR(FIND("x",LOWER(Registro!$G335))),N(Registro!$H335),IFERROR(SUMPRODUCT(--("0"&amp;LEFT(TRIM(MID(SUBSTITUTE(SUBSTITUTE(SUBSTITUTE(SUBSTITUTE(SUBSTITUTE(LOWER(Registro!$G335),"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",LEN(Registro!$G335))),({1,2,3,4,5,6,7,8,9,10,11,12,13,14,15,16,17,18,19,20,21,22,23,24,25,26,27,28,29,30}-1)*LEN(Registro!$G335)+1,LEN(Registro!$G335))),FIND("x",TRIM(MID(SUBSTITUTE(SUBSTITUTE(SUBSTITUTE(SUBSTITUTE(SUBSTITUTE(LOWER(Registro!$G335),"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",LEN(Registro!$G335))),({1,2,3,4,5,6,7,8,9,10,11,12,13,14,15,16,17,18,19,20,21,22,23,24,25,26,27,28,29,30}-1)*LEN(Registro!$G335)+1,LEN(Registro!$G335)))&amp;"x")-1)),--("0"&amp;MID(TRIM(MID(SUBSTITUTE(SUBSTITUTE(SUBSTITUTE(SUBSTITUTE(SUBSTITUTE(LOWER(Registro!$G335),"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",LEN(Registro!$G335))),({1,2,3,4,5,6,7,8,9,10,11,12,13,14,15,16,17,18,19,20,21,22,23,24,25,26,27,28,29,30}-1)*LEN(Registro!$G335)+1,LEN(Registro!$G335))),FIND("x",TRIM(MID(SUBSTITUTE(SUBSTITUTE(SUBSTITUTE(SUBSTITUTE(SUBSTITUTE(LOWER(Registro!$G335),"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",LEN(Registro!$G335))),({1,2,3,4,5,6,7,8,9,10,11,12,13,14,15,16,17,18,19,20,21,22,23,24,25,26,27,28,29,30}-1)*LEN(Registro!$G335)+1,LEN(Registro!$G335)))&amp;"x")+1,20))),"Revisar formato")))</f>
        <v/>
      </c>
      <c r="J335" s="9" t="str">
        <f>IF(AND(Registro!$E335="",Registro!$G335=""),"",IF(NOT(AND(ISNUMBER(I335),ISNUMBER(Registro!$H335))),"",IF(I335&lt;Registro!$H335,"FALTA BOLETOS",IF(I335=Registro!$H335,"CONFORME","DIFERENCIA"))))</f>
        <v/>
      </c>
      <c r="K335" s="11" t="str">
        <f>IF(Registro!$I335="","",IFERROR(SUMPRODUCT(--("0"&amp;TRIM(RIGHT(SUBSTITUTE(TRIM(MID(SUBSTITUTE(SUBSTITUTE(Registro!$I335,";",CHAR(10)),CHAR(10),REPT(" ",LEN(Registro!$I335))),({1,2,3,4,5,6,7,8,9,10,11,12,13,14,15,16,17,18,19,20,21,22,23,24,25,26,27,28,29,30}-1)*LEN(Registro!$I335)+1,LEN(Registro!$I335)))," ",REPT(" ",50)),50)))),"Revisar formato"))</f>
        <v/>
      </c>
      <c r="L335" s="11" t="str">
        <f>IF(Registro!$J335="","",IFERROR(SUMPRODUCT(--("0"&amp;TRIM(RIGHT(SUBSTITUTE(TRIM(MID(SUBSTITUTE(SUBSTITUTE(Registro!$J335,";",CHAR(10)),CHAR(10),REPT(" ",LEN(Registro!$J335))),({1,2,3,4,5,6,7,8,9,10,11,12,13,14,15,16,17,18,19,20,21,22,23,24,25,26,27,28,29,30}-1)*LEN(Registro!$J335)+1,LEN(Registro!$J335)))," ",REPT(" ",50)),50)))),"Revisar formato"))</f>
        <v/>
      </c>
      <c r="M335" s="11" t="str">
        <f>IF(AND(Registro!$H335="",Registro!$I335=""),"",IF(AND(ISTEXT(K335),K335&lt;&gt;""),"Revisar formato",N(Registro!$H335)-N(K335)))</f>
        <v/>
      </c>
      <c r="N335" s="11" t="str">
        <f t="shared" si="17"/>
        <v/>
      </c>
      <c r="O335" s="15" t="str">
        <f>IF(AND(A335=Consulta!$B$3,C335=Consulta!$H$3),B335*10000+ROW(),"")</f>
        <v/>
      </c>
    </row>
    <row r="336" spans="1:15" x14ac:dyDescent="0.25">
      <c r="A336" s="9" t="str">
        <f>IF(Registro!$A336="","",Registro!$A336)</f>
        <v/>
      </c>
      <c r="B336" s="8" t="str">
        <f>IF(Registro!$B336="","",Registro!$B336)</f>
        <v/>
      </c>
      <c r="C336" s="14" t="str">
        <f t="shared" si="15"/>
        <v/>
      </c>
      <c r="D336" s="10" t="str">
        <f>IF(Registro!$E336="","",IF(ISERROR(FIND("x",LOWER(Registro!$E336))),"-",IFERROR(SUMPRODUCT(--("0"&amp;LEFT(TRIM(MID(SUBSTITUTE(SUBSTITUTE(SUBSTITUTE(SUBSTITUTE(SUBSTITUTE(LOWER(Registro!$E336),"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",LEN(Registro!$E336))),({1,2,3,4,5,6,7,8,9,10,11,12,13,14,15,16,17,18,19,20,21,22,23,24,25,26,27,28,29,30}-1)*LEN(Registro!$E336)+1,LEN(Registro!$E336)))&amp;"x")-1))),"Revisar formato")))</f>
        <v/>
      </c>
      <c r="E336" s="11" t="str">
        <f>IF(Registro!$E336="","",IF(ISERROR(FIND("x",LOWER(Registro!$E336))),"-",IFERROR(SUMPRODUCT(--("0"&amp;LEFT(TRIM(MID(SUBSTITUTE(SUBSTITUTE(SUBSTITUTE(SUBSTITUTE(SUBSTITUTE(LOWER(Registro!$E336),"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",LEN(Registro!$E336))),({1,2,3,4,5,6,7,8,9,10,11,12,13,14,15,16,17,18,19,20,21,22,23,24,25,26,27,28,29,30}-1)*LEN(Registro!$E336)+1,LEN(Registro!$E336)))&amp;"x")-1)),--("0"&amp;MID(TRIM(MID(SUBSTITUTE(SUBSTITUTE(SUBSTITUTE(SUBSTITUTE(SUBSTITUTE(LOWER(Registro!$E336),"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",LEN(Registro!$E336))),({1,2,3,4,5,6,7,8,9,10,11,12,13,14,15,16,17,18,19,20,21,22,23,24,25,26,27,28,29,30}-1)*LEN(Registro!$E336)+1,LEN(Registro!$E336)))&amp;"x")+1,20))),"Revisar formato")))</f>
        <v/>
      </c>
      <c r="F336" s="11" t="str">
        <f>IF(Registro!$F336="","",N(Registro!$F336))</f>
        <v/>
      </c>
      <c r="G336" s="11" t="str">
        <f t="shared" si="16"/>
        <v/>
      </c>
      <c r="H336" s="10" t="str">
        <f>IF(Registro!$G336="","",IF(ISERROR(FIND("x",LOWER(Registro!$G336))),"-",IFERROR(SUMPRODUCT(--("0"&amp;LEFT(TRIM(MID(SUBSTITUTE(SUBSTITUTE(SUBSTITUTE(SUBSTITUTE(SUBSTITUTE(LOWER(Registro!$G336),"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",LEN(Registro!$G336))),({1,2,3,4,5,6,7,8,9,10,11,12,13,14,15,16,17,18,19,20,21,22,23,24,25,26,27,28,29,30}-1)*LEN(Registro!$G336)+1,LEN(Registro!$G336))),FIND("x",TRIM(MID(SUBSTITUTE(SUBSTITUTE(SUBSTITUTE(SUBSTITUTE(SUBSTITUTE(LOWER(Registro!$G336),"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",LEN(Registro!$G336))),({1,2,3,4,5,6,7,8,9,10,11,12,13,14,15,16,17,18,19,20,21,22,23,24,25,26,27,28,29,30}-1)*LEN(Registro!$G336)+1,LEN(Registro!$G336)))&amp;"x")-1))),"Revisar formato")))</f>
        <v/>
      </c>
      <c r="I336" s="11" t="str">
        <f>IF(Registro!$G336="","",IF(ISERROR(FIND("x",LOWER(Registro!$G336))),N(Registro!$H336),IFERROR(SUMPRODUCT(--("0"&amp;LEFT(TRIM(MID(SUBSTITUTE(SUBSTITUTE(SUBSTITUTE(SUBSTITUTE(SUBSTITUTE(LOWER(Registro!$G336),"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",LEN(Registro!$G336))),({1,2,3,4,5,6,7,8,9,10,11,12,13,14,15,16,17,18,19,20,21,22,23,24,25,26,27,28,29,30}-1)*LEN(Registro!$G336)+1,LEN(Registro!$G336))),FIND("x",TRIM(MID(SUBSTITUTE(SUBSTITUTE(SUBSTITUTE(SUBSTITUTE(SUBSTITUTE(LOWER(Registro!$G336),"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",LEN(Registro!$G336))),({1,2,3,4,5,6,7,8,9,10,11,12,13,14,15,16,17,18,19,20,21,22,23,24,25,26,27,28,29,30}-1)*LEN(Registro!$G336)+1,LEN(Registro!$G336)))&amp;"x")-1)),--("0"&amp;MID(TRIM(MID(SUBSTITUTE(SUBSTITUTE(SUBSTITUTE(SUBSTITUTE(SUBSTITUTE(LOWER(Registro!$G336),"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",LEN(Registro!$G336))),({1,2,3,4,5,6,7,8,9,10,11,12,13,14,15,16,17,18,19,20,21,22,23,24,25,26,27,28,29,30}-1)*LEN(Registro!$G336)+1,LEN(Registro!$G336))),FIND("x",TRIM(MID(SUBSTITUTE(SUBSTITUTE(SUBSTITUTE(SUBSTITUTE(SUBSTITUTE(LOWER(Registro!$G336),"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",LEN(Registro!$G336))),({1,2,3,4,5,6,7,8,9,10,11,12,13,14,15,16,17,18,19,20,21,22,23,24,25,26,27,28,29,30}-1)*LEN(Registro!$G336)+1,LEN(Registro!$G336)))&amp;"x")+1,20))),"Revisar formato")))</f>
        <v/>
      </c>
      <c r="J336" s="9" t="str">
        <f>IF(AND(Registro!$E336="",Registro!$G336=""),"",IF(NOT(AND(ISNUMBER(I336),ISNUMBER(Registro!$H336))),"",IF(I336&lt;Registro!$H336,"FALTA BOLETOS",IF(I336=Registro!$H336,"CONFORME","DIFERENCIA"))))</f>
        <v/>
      </c>
      <c r="K336" s="11" t="str">
        <f>IF(Registro!$I336="","",IFERROR(SUMPRODUCT(--("0"&amp;TRIM(RIGHT(SUBSTITUTE(TRIM(MID(SUBSTITUTE(SUBSTITUTE(Registro!$I336,";",CHAR(10)),CHAR(10),REPT(" ",LEN(Registro!$I336))),({1,2,3,4,5,6,7,8,9,10,11,12,13,14,15,16,17,18,19,20,21,22,23,24,25,26,27,28,29,30}-1)*LEN(Registro!$I336)+1,LEN(Registro!$I336)))," ",REPT(" ",50)),50)))),"Revisar formato"))</f>
        <v/>
      </c>
      <c r="L336" s="11" t="str">
        <f>IF(Registro!$J336="","",IFERROR(SUMPRODUCT(--("0"&amp;TRIM(RIGHT(SUBSTITUTE(TRIM(MID(SUBSTITUTE(SUBSTITUTE(Registro!$J336,";",CHAR(10)),CHAR(10),REPT(" ",LEN(Registro!$J336))),({1,2,3,4,5,6,7,8,9,10,11,12,13,14,15,16,17,18,19,20,21,22,23,24,25,26,27,28,29,30}-1)*LEN(Registro!$J336)+1,LEN(Registro!$J336)))," ",REPT(" ",50)),50)))),"Revisar formato"))</f>
        <v/>
      </c>
      <c r="M336" s="11" t="str">
        <f>IF(AND(Registro!$H336="",Registro!$I336=""),"",IF(AND(ISTEXT(K336),K336&lt;&gt;""),"Revisar formato",N(Registro!$H336)-N(K336)))</f>
        <v/>
      </c>
      <c r="N336" s="11" t="str">
        <f t="shared" si="17"/>
        <v/>
      </c>
      <c r="O336" s="15" t="str">
        <f>IF(AND(A336=Consulta!$B$3,C336=Consulta!$H$3),B336*10000+ROW(),"")</f>
        <v/>
      </c>
    </row>
    <row r="337" spans="1:15" x14ac:dyDescent="0.25">
      <c r="A337" s="9" t="str">
        <f>IF(Registro!$A337="","",Registro!$A337)</f>
        <v/>
      </c>
      <c r="B337" s="8" t="str">
        <f>IF(Registro!$B337="","",Registro!$B337)</f>
        <v/>
      </c>
      <c r="C337" s="14" t="str">
        <f t="shared" si="15"/>
        <v/>
      </c>
      <c r="D337" s="10" t="str">
        <f>IF(Registro!$E337="","",IF(ISERROR(FIND("x",LOWER(Registro!$E337))),"-",IFERROR(SUMPRODUCT(--("0"&amp;LEFT(TRIM(MID(SUBSTITUTE(SUBSTITUTE(SUBSTITUTE(SUBSTITUTE(SUBSTITUTE(LOWER(Registro!$E337),"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",LEN(Registro!$E337))),({1,2,3,4,5,6,7,8,9,10,11,12,13,14,15,16,17,18,19,20,21,22,23,24,25,26,27,28,29,30}-1)*LEN(Registro!$E337)+1,LEN(Registro!$E337)))&amp;"x")-1))),"Revisar formato")))</f>
        <v/>
      </c>
      <c r="E337" s="11" t="str">
        <f>IF(Registro!$E337="","",IF(ISERROR(FIND("x",LOWER(Registro!$E337))),"-",IFERROR(SUMPRODUCT(--("0"&amp;LEFT(TRIM(MID(SUBSTITUTE(SUBSTITUTE(SUBSTITUTE(SUBSTITUTE(SUBSTITUTE(LOWER(Registro!$E337),"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",LEN(Registro!$E337))),({1,2,3,4,5,6,7,8,9,10,11,12,13,14,15,16,17,18,19,20,21,22,23,24,25,26,27,28,29,30}-1)*LEN(Registro!$E337)+1,LEN(Registro!$E337)))&amp;"x")-1)),--("0"&amp;MID(TRIM(MID(SUBSTITUTE(SUBSTITUTE(SUBSTITUTE(SUBSTITUTE(SUBSTITUTE(LOWER(Registro!$E337),"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",LEN(Registro!$E337))),({1,2,3,4,5,6,7,8,9,10,11,12,13,14,15,16,17,18,19,20,21,22,23,24,25,26,27,28,29,30}-1)*LEN(Registro!$E337)+1,LEN(Registro!$E337)))&amp;"x")+1,20))),"Revisar formato")))</f>
        <v/>
      </c>
      <c r="F337" s="11" t="str">
        <f>IF(Registro!$F337="","",N(Registro!$F337))</f>
        <v/>
      </c>
      <c r="G337" s="11" t="str">
        <f t="shared" si="16"/>
        <v/>
      </c>
      <c r="H337" s="10" t="str">
        <f>IF(Registro!$G337="","",IF(ISERROR(FIND("x",LOWER(Registro!$G337))),"-",IFERROR(SUMPRODUCT(--("0"&amp;LEFT(TRIM(MID(SUBSTITUTE(SUBSTITUTE(SUBSTITUTE(SUBSTITUTE(SUBSTITUTE(LOWER(Registro!$G337),"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",LEN(Registro!$G337))),({1,2,3,4,5,6,7,8,9,10,11,12,13,14,15,16,17,18,19,20,21,22,23,24,25,26,27,28,29,30}-1)*LEN(Registro!$G337)+1,LEN(Registro!$G337))),FIND("x",TRIM(MID(SUBSTITUTE(SUBSTITUTE(SUBSTITUTE(SUBSTITUTE(SUBSTITUTE(LOWER(Registro!$G337),"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",LEN(Registro!$G337))),({1,2,3,4,5,6,7,8,9,10,11,12,13,14,15,16,17,18,19,20,21,22,23,24,25,26,27,28,29,30}-1)*LEN(Registro!$G337)+1,LEN(Registro!$G337)))&amp;"x")-1))),"Revisar formato")))</f>
        <v/>
      </c>
      <c r="I337" s="11" t="str">
        <f>IF(Registro!$G337="","",IF(ISERROR(FIND("x",LOWER(Registro!$G337))),N(Registro!$H337),IFERROR(SUMPRODUCT(--("0"&amp;LEFT(TRIM(MID(SUBSTITUTE(SUBSTITUTE(SUBSTITUTE(SUBSTITUTE(SUBSTITUTE(LOWER(Registro!$G337),"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",LEN(Registro!$G337))),({1,2,3,4,5,6,7,8,9,10,11,12,13,14,15,16,17,18,19,20,21,22,23,24,25,26,27,28,29,30}-1)*LEN(Registro!$G337)+1,LEN(Registro!$G337))),FIND("x",TRIM(MID(SUBSTITUTE(SUBSTITUTE(SUBSTITUTE(SUBSTITUTE(SUBSTITUTE(LOWER(Registro!$G337),"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",LEN(Registro!$G337))),({1,2,3,4,5,6,7,8,9,10,11,12,13,14,15,16,17,18,19,20,21,22,23,24,25,26,27,28,29,30}-1)*LEN(Registro!$G337)+1,LEN(Registro!$G337)))&amp;"x")-1)),--("0"&amp;MID(TRIM(MID(SUBSTITUTE(SUBSTITUTE(SUBSTITUTE(SUBSTITUTE(SUBSTITUTE(LOWER(Registro!$G337),"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",LEN(Registro!$G337))),({1,2,3,4,5,6,7,8,9,10,11,12,13,14,15,16,17,18,19,20,21,22,23,24,25,26,27,28,29,30}-1)*LEN(Registro!$G337)+1,LEN(Registro!$G337))),FIND("x",TRIM(MID(SUBSTITUTE(SUBSTITUTE(SUBSTITUTE(SUBSTITUTE(SUBSTITUTE(LOWER(Registro!$G337),"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",LEN(Registro!$G337))),({1,2,3,4,5,6,7,8,9,10,11,12,13,14,15,16,17,18,19,20,21,22,23,24,25,26,27,28,29,30}-1)*LEN(Registro!$G337)+1,LEN(Registro!$G337)))&amp;"x")+1,20))),"Revisar formato")))</f>
        <v/>
      </c>
      <c r="J337" s="9" t="str">
        <f>IF(AND(Registro!$E337="",Registro!$G337=""),"",IF(NOT(AND(ISNUMBER(I337),ISNUMBER(Registro!$H337))),"",IF(I337&lt;Registro!$H337,"FALTA BOLETOS",IF(I337=Registro!$H337,"CONFORME","DIFERENCIA"))))</f>
        <v/>
      </c>
      <c r="K337" s="11" t="str">
        <f>IF(Registro!$I337="","",IFERROR(SUMPRODUCT(--("0"&amp;TRIM(RIGHT(SUBSTITUTE(TRIM(MID(SUBSTITUTE(SUBSTITUTE(Registro!$I337,";",CHAR(10)),CHAR(10),REPT(" ",LEN(Registro!$I337))),({1,2,3,4,5,6,7,8,9,10,11,12,13,14,15,16,17,18,19,20,21,22,23,24,25,26,27,28,29,30}-1)*LEN(Registro!$I337)+1,LEN(Registro!$I337)))," ",REPT(" ",50)),50)))),"Revisar formato"))</f>
        <v/>
      </c>
      <c r="L337" s="11" t="str">
        <f>IF(Registro!$J337="","",IFERROR(SUMPRODUCT(--("0"&amp;TRIM(RIGHT(SUBSTITUTE(TRIM(MID(SUBSTITUTE(SUBSTITUTE(Registro!$J337,";",CHAR(10)),CHAR(10),REPT(" ",LEN(Registro!$J337))),({1,2,3,4,5,6,7,8,9,10,11,12,13,14,15,16,17,18,19,20,21,22,23,24,25,26,27,28,29,30}-1)*LEN(Registro!$J337)+1,LEN(Registro!$J337)))," ",REPT(" ",50)),50)))),"Revisar formato"))</f>
        <v/>
      </c>
      <c r="M337" s="11" t="str">
        <f>IF(AND(Registro!$H337="",Registro!$I337=""),"",IF(AND(ISTEXT(K337),K337&lt;&gt;""),"Revisar formato",N(Registro!$H337)-N(K337)))</f>
        <v/>
      </c>
      <c r="N337" s="11" t="str">
        <f t="shared" si="17"/>
        <v/>
      </c>
      <c r="O337" s="15" t="str">
        <f>IF(AND(A337=Consulta!$B$3,C337=Consulta!$H$3),B337*10000+ROW(),"")</f>
        <v/>
      </c>
    </row>
    <row r="338" spans="1:15" x14ac:dyDescent="0.25">
      <c r="A338" s="9" t="str">
        <f>IF(Registro!$A338="","",Registro!$A338)</f>
        <v/>
      </c>
      <c r="B338" s="8" t="str">
        <f>IF(Registro!$B338="","",Registro!$B338)</f>
        <v/>
      </c>
      <c r="C338" s="14" t="str">
        <f t="shared" si="15"/>
        <v/>
      </c>
      <c r="D338" s="10" t="str">
        <f>IF(Registro!$E338="","",IF(ISERROR(FIND("x",LOWER(Registro!$E338))),"-",IFERROR(SUMPRODUCT(--("0"&amp;LEFT(TRIM(MID(SUBSTITUTE(SUBSTITUTE(SUBSTITUTE(SUBSTITUTE(SUBSTITUTE(LOWER(Registro!$E338),"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",LEN(Registro!$E338))),({1,2,3,4,5,6,7,8,9,10,11,12,13,14,15,16,17,18,19,20,21,22,23,24,25,26,27,28,29,30}-1)*LEN(Registro!$E338)+1,LEN(Registro!$E338)))&amp;"x")-1))),"Revisar formato")))</f>
        <v/>
      </c>
      <c r="E338" s="11" t="str">
        <f>IF(Registro!$E338="","",IF(ISERROR(FIND("x",LOWER(Registro!$E338))),"-",IFERROR(SUMPRODUCT(--("0"&amp;LEFT(TRIM(MID(SUBSTITUTE(SUBSTITUTE(SUBSTITUTE(SUBSTITUTE(SUBSTITUTE(LOWER(Registro!$E338),"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",LEN(Registro!$E338))),({1,2,3,4,5,6,7,8,9,10,11,12,13,14,15,16,17,18,19,20,21,22,23,24,25,26,27,28,29,30}-1)*LEN(Registro!$E338)+1,LEN(Registro!$E338)))&amp;"x")-1)),--("0"&amp;MID(TRIM(MID(SUBSTITUTE(SUBSTITUTE(SUBSTITUTE(SUBSTITUTE(SUBSTITUTE(LOWER(Registro!$E338),"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",LEN(Registro!$E338))),({1,2,3,4,5,6,7,8,9,10,11,12,13,14,15,16,17,18,19,20,21,22,23,24,25,26,27,28,29,30}-1)*LEN(Registro!$E338)+1,LEN(Registro!$E338)))&amp;"x")+1,20))),"Revisar formato")))</f>
        <v/>
      </c>
      <c r="F338" s="11" t="str">
        <f>IF(Registro!$F338="","",N(Registro!$F338))</f>
        <v/>
      </c>
      <c r="G338" s="11" t="str">
        <f t="shared" si="16"/>
        <v/>
      </c>
      <c r="H338" s="10" t="str">
        <f>IF(Registro!$G338="","",IF(ISERROR(FIND("x",LOWER(Registro!$G338))),"-",IFERROR(SUMPRODUCT(--("0"&amp;LEFT(TRIM(MID(SUBSTITUTE(SUBSTITUTE(SUBSTITUTE(SUBSTITUTE(SUBSTITUTE(LOWER(Registro!$G338),"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",LEN(Registro!$G338))),({1,2,3,4,5,6,7,8,9,10,11,12,13,14,15,16,17,18,19,20,21,22,23,24,25,26,27,28,29,30}-1)*LEN(Registro!$G338)+1,LEN(Registro!$G338))),FIND("x",TRIM(MID(SUBSTITUTE(SUBSTITUTE(SUBSTITUTE(SUBSTITUTE(SUBSTITUTE(LOWER(Registro!$G338),"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",LEN(Registro!$G338))),({1,2,3,4,5,6,7,8,9,10,11,12,13,14,15,16,17,18,19,20,21,22,23,24,25,26,27,28,29,30}-1)*LEN(Registro!$G338)+1,LEN(Registro!$G338)))&amp;"x")-1))),"Revisar formato")))</f>
        <v/>
      </c>
      <c r="I338" s="11" t="str">
        <f>IF(Registro!$G338="","",IF(ISERROR(FIND("x",LOWER(Registro!$G338))),N(Registro!$H338),IFERROR(SUMPRODUCT(--("0"&amp;LEFT(TRIM(MID(SUBSTITUTE(SUBSTITUTE(SUBSTITUTE(SUBSTITUTE(SUBSTITUTE(LOWER(Registro!$G338),"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",LEN(Registro!$G338))),({1,2,3,4,5,6,7,8,9,10,11,12,13,14,15,16,17,18,19,20,21,22,23,24,25,26,27,28,29,30}-1)*LEN(Registro!$G338)+1,LEN(Registro!$G338))),FIND("x",TRIM(MID(SUBSTITUTE(SUBSTITUTE(SUBSTITUTE(SUBSTITUTE(SUBSTITUTE(LOWER(Registro!$G338),"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",LEN(Registro!$G338))),({1,2,3,4,5,6,7,8,9,10,11,12,13,14,15,16,17,18,19,20,21,22,23,24,25,26,27,28,29,30}-1)*LEN(Registro!$G338)+1,LEN(Registro!$G338)))&amp;"x")-1)),--("0"&amp;MID(TRIM(MID(SUBSTITUTE(SUBSTITUTE(SUBSTITUTE(SUBSTITUTE(SUBSTITUTE(LOWER(Registro!$G338),"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",LEN(Registro!$G338))),({1,2,3,4,5,6,7,8,9,10,11,12,13,14,15,16,17,18,19,20,21,22,23,24,25,26,27,28,29,30}-1)*LEN(Registro!$G338)+1,LEN(Registro!$G338))),FIND("x",TRIM(MID(SUBSTITUTE(SUBSTITUTE(SUBSTITUTE(SUBSTITUTE(SUBSTITUTE(LOWER(Registro!$G338),"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",LEN(Registro!$G338))),({1,2,3,4,5,6,7,8,9,10,11,12,13,14,15,16,17,18,19,20,21,22,23,24,25,26,27,28,29,30}-1)*LEN(Registro!$G338)+1,LEN(Registro!$G338)))&amp;"x")+1,20))),"Revisar formato")))</f>
        <v/>
      </c>
      <c r="J338" s="9" t="str">
        <f>IF(AND(Registro!$E338="",Registro!$G338=""),"",IF(NOT(AND(ISNUMBER(I338),ISNUMBER(Registro!$H338))),"",IF(I338&lt;Registro!$H338,"FALTA BOLETOS",IF(I338=Registro!$H338,"CONFORME","DIFERENCIA"))))</f>
        <v/>
      </c>
      <c r="K338" s="11" t="str">
        <f>IF(Registro!$I338="","",IFERROR(SUMPRODUCT(--("0"&amp;TRIM(RIGHT(SUBSTITUTE(TRIM(MID(SUBSTITUTE(SUBSTITUTE(Registro!$I338,";",CHAR(10)),CHAR(10),REPT(" ",LEN(Registro!$I338))),({1,2,3,4,5,6,7,8,9,10,11,12,13,14,15,16,17,18,19,20,21,22,23,24,25,26,27,28,29,30}-1)*LEN(Registro!$I338)+1,LEN(Registro!$I338)))," ",REPT(" ",50)),50)))),"Revisar formato"))</f>
        <v/>
      </c>
      <c r="L338" s="11" t="str">
        <f>IF(Registro!$J338="","",IFERROR(SUMPRODUCT(--("0"&amp;TRIM(RIGHT(SUBSTITUTE(TRIM(MID(SUBSTITUTE(SUBSTITUTE(Registro!$J338,";",CHAR(10)),CHAR(10),REPT(" ",LEN(Registro!$J338))),({1,2,3,4,5,6,7,8,9,10,11,12,13,14,15,16,17,18,19,20,21,22,23,24,25,26,27,28,29,30}-1)*LEN(Registro!$J338)+1,LEN(Registro!$J338)))," ",REPT(" ",50)),50)))),"Revisar formato"))</f>
        <v/>
      </c>
      <c r="M338" s="11" t="str">
        <f>IF(AND(Registro!$H338="",Registro!$I338=""),"",IF(AND(ISTEXT(K338),K338&lt;&gt;""),"Revisar formato",N(Registro!$H338)-N(K338)))</f>
        <v/>
      </c>
      <c r="N338" s="11" t="str">
        <f t="shared" si="17"/>
        <v/>
      </c>
      <c r="O338" s="15" t="str">
        <f>IF(AND(A338=Consulta!$B$3,C338=Consulta!$H$3),B338*10000+ROW(),"")</f>
        <v/>
      </c>
    </row>
    <row r="339" spans="1:15" x14ac:dyDescent="0.25">
      <c r="A339" s="9" t="str">
        <f>IF(Registro!$A339="","",Registro!$A339)</f>
        <v/>
      </c>
      <c r="B339" s="8" t="str">
        <f>IF(Registro!$B339="","",Registro!$B339)</f>
        <v/>
      </c>
      <c r="C339" s="14" t="str">
        <f t="shared" si="15"/>
        <v/>
      </c>
      <c r="D339" s="10" t="str">
        <f>IF(Registro!$E339="","",IF(ISERROR(FIND("x",LOWER(Registro!$E339))),"-",IFERROR(SUMPRODUCT(--("0"&amp;LEFT(TRIM(MID(SUBSTITUTE(SUBSTITUTE(SUBSTITUTE(SUBSTITUTE(SUBSTITUTE(LOWER(Registro!$E339),"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",LEN(Registro!$E339))),({1,2,3,4,5,6,7,8,9,10,11,12,13,14,15,16,17,18,19,20,21,22,23,24,25,26,27,28,29,30}-1)*LEN(Registro!$E339)+1,LEN(Registro!$E339)))&amp;"x")-1))),"Revisar formato")))</f>
        <v/>
      </c>
      <c r="E339" s="11" t="str">
        <f>IF(Registro!$E339="","",IF(ISERROR(FIND("x",LOWER(Registro!$E339))),"-",IFERROR(SUMPRODUCT(--("0"&amp;LEFT(TRIM(MID(SUBSTITUTE(SUBSTITUTE(SUBSTITUTE(SUBSTITUTE(SUBSTITUTE(LOWER(Registro!$E339),"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",LEN(Registro!$E339))),({1,2,3,4,5,6,7,8,9,10,11,12,13,14,15,16,17,18,19,20,21,22,23,24,25,26,27,28,29,30}-1)*LEN(Registro!$E339)+1,LEN(Registro!$E339)))&amp;"x")-1)),--("0"&amp;MID(TRIM(MID(SUBSTITUTE(SUBSTITUTE(SUBSTITUTE(SUBSTITUTE(SUBSTITUTE(LOWER(Registro!$E339),"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",LEN(Registro!$E339))),({1,2,3,4,5,6,7,8,9,10,11,12,13,14,15,16,17,18,19,20,21,22,23,24,25,26,27,28,29,30}-1)*LEN(Registro!$E339)+1,LEN(Registro!$E339)))&amp;"x")+1,20))),"Revisar formato")))</f>
        <v/>
      </c>
      <c r="F339" s="11" t="str">
        <f>IF(Registro!$F339="","",N(Registro!$F339))</f>
        <v/>
      </c>
      <c r="G339" s="11" t="str">
        <f t="shared" si="16"/>
        <v/>
      </c>
      <c r="H339" s="10" t="str">
        <f>IF(Registro!$G339="","",IF(ISERROR(FIND("x",LOWER(Registro!$G339))),"-",IFERROR(SUMPRODUCT(--("0"&amp;LEFT(TRIM(MID(SUBSTITUTE(SUBSTITUTE(SUBSTITUTE(SUBSTITUTE(SUBSTITUTE(LOWER(Registro!$G339),"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",LEN(Registro!$G339))),({1,2,3,4,5,6,7,8,9,10,11,12,13,14,15,16,17,18,19,20,21,22,23,24,25,26,27,28,29,30}-1)*LEN(Registro!$G339)+1,LEN(Registro!$G339))),FIND("x",TRIM(MID(SUBSTITUTE(SUBSTITUTE(SUBSTITUTE(SUBSTITUTE(SUBSTITUTE(LOWER(Registro!$G339),"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",LEN(Registro!$G339))),({1,2,3,4,5,6,7,8,9,10,11,12,13,14,15,16,17,18,19,20,21,22,23,24,25,26,27,28,29,30}-1)*LEN(Registro!$G339)+1,LEN(Registro!$G339)))&amp;"x")-1))),"Revisar formato")))</f>
        <v/>
      </c>
      <c r="I339" s="11" t="str">
        <f>IF(Registro!$G339="","",IF(ISERROR(FIND("x",LOWER(Registro!$G339))),N(Registro!$H339),IFERROR(SUMPRODUCT(--("0"&amp;LEFT(TRIM(MID(SUBSTITUTE(SUBSTITUTE(SUBSTITUTE(SUBSTITUTE(SUBSTITUTE(LOWER(Registro!$G339),"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",LEN(Registro!$G339))),({1,2,3,4,5,6,7,8,9,10,11,12,13,14,15,16,17,18,19,20,21,22,23,24,25,26,27,28,29,30}-1)*LEN(Registro!$G339)+1,LEN(Registro!$G339))),FIND("x",TRIM(MID(SUBSTITUTE(SUBSTITUTE(SUBSTITUTE(SUBSTITUTE(SUBSTITUTE(LOWER(Registro!$G339),"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",LEN(Registro!$G339))),({1,2,3,4,5,6,7,8,9,10,11,12,13,14,15,16,17,18,19,20,21,22,23,24,25,26,27,28,29,30}-1)*LEN(Registro!$G339)+1,LEN(Registro!$G339)))&amp;"x")-1)),--("0"&amp;MID(TRIM(MID(SUBSTITUTE(SUBSTITUTE(SUBSTITUTE(SUBSTITUTE(SUBSTITUTE(LOWER(Registro!$G339),"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",LEN(Registro!$G339))),({1,2,3,4,5,6,7,8,9,10,11,12,13,14,15,16,17,18,19,20,21,22,23,24,25,26,27,28,29,30}-1)*LEN(Registro!$G339)+1,LEN(Registro!$G339))),FIND("x",TRIM(MID(SUBSTITUTE(SUBSTITUTE(SUBSTITUTE(SUBSTITUTE(SUBSTITUTE(LOWER(Registro!$G339),"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",LEN(Registro!$G339))),({1,2,3,4,5,6,7,8,9,10,11,12,13,14,15,16,17,18,19,20,21,22,23,24,25,26,27,28,29,30}-1)*LEN(Registro!$G339)+1,LEN(Registro!$G339)))&amp;"x")+1,20))),"Revisar formato")))</f>
        <v/>
      </c>
      <c r="J339" s="9" t="str">
        <f>IF(AND(Registro!$E339="",Registro!$G339=""),"",IF(NOT(AND(ISNUMBER(I339),ISNUMBER(Registro!$H339))),"",IF(I339&lt;Registro!$H339,"FALTA BOLETOS",IF(I339=Registro!$H339,"CONFORME","DIFERENCIA"))))</f>
        <v/>
      </c>
      <c r="K339" s="11" t="str">
        <f>IF(Registro!$I339="","",IFERROR(SUMPRODUCT(--("0"&amp;TRIM(RIGHT(SUBSTITUTE(TRIM(MID(SUBSTITUTE(SUBSTITUTE(Registro!$I339,";",CHAR(10)),CHAR(10),REPT(" ",LEN(Registro!$I339))),({1,2,3,4,5,6,7,8,9,10,11,12,13,14,15,16,17,18,19,20,21,22,23,24,25,26,27,28,29,30}-1)*LEN(Registro!$I339)+1,LEN(Registro!$I339)))," ",REPT(" ",50)),50)))),"Revisar formato"))</f>
        <v/>
      </c>
      <c r="L339" s="11" t="str">
        <f>IF(Registro!$J339="","",IFERROR(SUMPRODUCT(--("0"&amp;TRIM(RIGHT(SUBSTITUTE(TRIM(MID(SUBSTITUTE(SUBSTITUTE(Registro!$J339,";",CHAR(10)),CHAR(10),REPT(" ",LEN(Registro!$J339))),({1,2,3,4,5,6,7,8,9,10,11,12,13,14,15,16,17,18,19,20,21,22,23,24,25,26,27,28,29,30}-1)*LEN(Registro!$J339)+1,LEN(Registro!$J339)))," ",REPT(" ",50)),50)))),"Revisar formato"))</f>
        <v/>
      </c>
      <c r="M339" s="11" t="str">
        <f>IF(AND(Registro!$H339="",Registro!$I339=""),"",IF(AND(ISTEXT(K339),K339&lt;&gt;""),"Revisar formato",N(Registro!$H339)-N(K339)))</f>
        <v/>
      </c>
      <c r="N339" s="11" t="str">
        <f t="shared" si="17"/>
        <v/>
      </c>
      <c r="O339" s="15" t="str">
        <f>IF(AND(A339=Consulta!$B$3,C339=Consulta!$H$3),B339*10000+ROW(),"")</f>
        <v/>
      </c>
    </row>
    <row r="340" spans="1:15" x14ac:dyDescent="0.25">
      <c r="A340" s="9" t="str">
        <f>IF(Registro!$A340="","",Registro!$A340)</f>
        <v/>
      </c>
      <c r="B340" s="8" t="str">
        <f>IF(Registro!$B340="","",Registro!$B340)</f>
        <v/>
      </c>
      <c r="C340" s="14" t="str">
        <f t="shared" si="15"/>
        <v/>
      </c>
      <c r="D340" s="10" t="str">
        <f>IF(Registro!$E340="","",IF(ISERROR(FIND("x",LOWER(Registro!$E340))),"-",IFERROR(SUMPRODUCT(--("0"&amp;LEFT(TRIM(MID(SUBSTITUTE(SUBSTITUTE(SUBSTITUTE(SUBSTITUTE(SUBSTITUTE(LOWER(Registro!$E340),"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",LEN(Registro!$E340))),({1,2,3,4,5,6,7,8,9,10,11,12,13,14,15,16,17,18,19,20,21,22,23,24,25,26,27,28,29,30}-1)*LEN(Registro!$E340)+1,LEN(Registro!$E340)))&amp;"x")-1))),"Revisar formato")))</f>
        <v/>
      </c>
      <c r="E340" s="11" t="str">
        <f>IF(Registro!$E340="","",IF(ISERROR(FIND("x",LOWER(Registro!$E340))),"-",IFERROR(SUMPRODUCT(--("0"&amp;LEFT(TRIM(MID(SUBSTITUTE(SUBSTITUTE(SUBSTITUTE(SUBSTITUTE(SUBSTITUTE(LOWER(Registro!$E340),"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",LEN(Registro!$E340))),({1,2,3,4,5,6,7,8,9,10,11,12,13,14,15,16,17,18,19,20,21,22,23,24,25,26,27,28,29,30}-1)*LEN(Registro!$E340)+1,LEN(Registro!$E340)))&amp;"x")-1)),--("0"&amp;MID(TRIM(MID(SUBSTITUTE(SUBSTITUTE(SUBSTITUTE(SUBSTITUTE(SUBSTITUTE(LOWER(Registro!$E340),"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",LEN(Registro!$E340))),({1,2,3,4,5,6,7,8,9,10,11,12,13,14,15,16,17,18,19,20,21,22,23,24,25,26,27,28,29,30}-1)*LEN(Registro!$E340)+1,LEN(Registro!$E340)))&amp;"x")+1,20))),"Revisar formato")))</f>
        <v/>
      </c>
      <c r="F340" s="11" t="str">
        <f>IF(Registro!$F340="","",N(Registro!$F340))</f>
        <v/>
      </c>
      <c r="G340" s="11" t="str">
        <f t="shared" si="16"/>
        <v/>
      </c>
      <c r="H340" s="10" t="str">
        <f>IF(Registro!$G340="","",IF(ISERROR(FIND("x",LOWER(Registro!$G340))),"-",IFERROR(SUMPRODUCT(--("0"&amp;LEFT(TRIM(MID(SUBSTITUTE(SUBSTITUTE(SUBSTITUTE(SUBSTITUTE(SUBSTITUTE(LOWER(Registro!$G340),"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",LEN(Registro!$G340))),({1,2,3,4,5,6,7,8,9,10,11,12,13,14,15,16,17,18,19,20,21,22,23,24,25,26,27,28,29,30}-1)*LEN(Registro!$G340)+1,LEN(Registro!$G340))),FIND("x",TRIM(MID(SUBSTITUTE(SUBSTITUTE(SUBSTITUTE(SUBSTITUTE(SUBSTITUTE(LOWER(Registro!$G340),"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",LEN(Registro!$G340))),({1,2,3,4,5,6,7,8,9,10,11,12,13,14,15,16,17,18,19,20,21,22,23,24,25,26,27,28,29,30}-1)*LEN(Registro!$G340)+1,LEN(Registro!$G340)))&amp;"x")-1))),"Revisar formato")))</f>
        <v/>
      </c>
      <c r="I340" s="11" t="str">
        <f>IF(Registro!$G340="","",IF(ISERROR(FIND("x",LOWER(Registro!$G340))),N(Registro!$H340),IFERROR(SUMPRODUCT(--("0"&amp;LEFT(TRIM(MID(SUBSTITUTE(SUBSTITUTE(SUBSTITUTE(SUBSTITUTE(SUBSTITUTE(LOWER(Registro!$G340),"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",LEN(Registro!$G340))),({1,2,3,4,5,6,7,8,9,10,11,12,13,14,15,16,17,18,19,20,21,22,23,24,25,26,27,28,29,30}-1)*LEN(Registro!$G340)+1,LEN(Registro!$G340))),FIND("x",TRIM(MID(SUBSTITUTE(SUBSTITUTE(SUBSTITUTE(SUBSTITUTE(SUBSTITUTE(LOWER(Registro!$G340),"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",LEN(Registro!$G340))),({1,2,3,4,5,6,7,8,9,10,11,12,13,14,15,16,17,18,19,20,21,22,23,24,25,26,27,28,29,30}-1)*LEN(Registro!$G340)+1,LEN(Registro!$G340)))&amp;"x")-1)),--("0"&amp;MID(TRIM(MID(SUBSTITUTE(SUBSTITUTE(SUBSTITUTE(SUBSTITUTE(SUBSTITUTE(LOWER(Registro!$G340),"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",LEN(Registro!$G340))),({1,2,3,4,5,6,7,8,9,10,11,12,13,14,15,16,17,18,19,20,21,22,23,24,25,26,27,28,29,30}-1)*LEN(Registro!$G340)+1,LEN(Registro!$G340))),FIND("x",TRIM(MID(SUBSTITUTE(SUBSTITUTE(SUBSTITUTE(SUBSTITUTE(SUBSTITUTE(LOWER(Registro!$G340),"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",LEN(Registro!$G340))),({1,2,3,4,5,6,7,8,9,10,11,12,13,14,15,16,17,18,19,20,21,22,23,24,25,26,27,28,29,30}-1)*LEN(Registro!$G340)+1,LEN(Registro!$G340)))&amp;"x")+1,20))),"Revisar formato")))</f>
        <v/>
      </c>
      <c r="J340" s="9" t="str">
        <f>IF(AND(Registro!$E340="",Registro!$G340=""),"",IF(NOT(AND(ISNUMBER(I340),ISNUMBER(Registro!$H340))),"",IF(I340&lt;Registro!$H340,"FALTA BOLETOS",IF(I340=Registro!$H340,"CONFORME","DIFERENCIA"))))</f>
        <v/>
      </c>
      <c r="K340" s="11" t="str">
        <f>IF(Registro!$I340="","",IFERROR(SUMPRODUCT(--("0"&amp;TRIM(RIGHT(SUBSTITUTE(TRIM(MID(SUBSTITUTE(SUBSTITUTE(Registro!$I340,";",CHAR(10)),CHAR(10),REPT(" ",LEN(Registro!$I340))),({1,2,3,4,5,6,7,8,9,10,11,12,13,14,15,16,17,18,19,20,21,22,23,24,25,26,27,28,29,30}-1)*LEN(Registro!$I340)+1,LEN(Registro!$I340)))," ",REPT(" ",50)),50)))),"Revisar formato"))</f>
        <v/>
      </c>
      <c r="L340" s="11" t="str">
        <f>IF(Registro!$J340="","",IFERROR(SUMPRODUCT(--("0"&amp;TRIM(RIGHT(SUBSTITUTE(TRIM(MID(SUBSTITUTE(SUBSTITUTE(Registro!$J340,";",CHAR(10)),CHAR(10),REPT(" ",LEN(Registro!$J340))),({1,2,3,4,5,6,7,8,9,10,11,12,13,14,15,16,17,18,19,20,21,22,23,24,25,26,27,28,29,30}-1)*LEN(Registro!$J340)+1,LEN(Registro!$J340)))," ",REPT(" ",50)),50)))),"Revisar formato"))</f>
        <v/>
      </c>
      <c r="M340" s="11" t="str">
        <f>IF(AND(Registro!$H340="",Registro!$I340=""),"",IF(AND(ISTEXT(K340),K340&lt;&gt;""),"Revisar formato",N(Registro!$H340)-N(K340)))</f>
        <v/>
      </c>
      <c r="N340" s="11" t="str">
        <f t="shared" si="17"/>
        <v/>
      </c>
      <c r="O340" s="15" t="str">
        <f>IF(AND(A340=Consulta!$B$3,C340=Consulta!$H$3),B340*10000+ROW(),"")</f>
        <v/>
      </c>
    </row>
    <row r="341" spans="1:15" x14ac:dyDescent="0.25">
      <c r="A341" s="9" t="str">
        <f>IF(Registro!$A341="","",Registro!$A341)</f>
        <v/>
      </c>
      <c r="B341" s="8" t="str">
        <f>IF(Registro!$B341="","",Registro!$B341)</f>
        <v/>
      </c>
      <c r="C341" s="14" t="str">
        <f t="shared" si="15"/>
        <v/>
      </c>
      <c r="D341" s="10" t="str">
        <f>IF(Registro!$E341="","",IF(ISERROR(FIND("x",LOWER(Registro!$E341))),"-",IFERROR(SUMPRODUCT(--("0"&amp;LEFT(TRIM(MID(SUBSTITUTE(SUBSTITUTE(SUBSTITUTE(SUBSTITUTE(SUBSTITUTE(LOWER(Registro!$E341),"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",LEN(Registro!$E341))),({1,2,3,4,5,6,7,8,9,10,11,12,13,14,15,16,17,18,19,20,21,22,23,24,25,26,27,28,29,30}-1)*LEN(Registro!$E341)+1,LEN(Registro!$E341)))&amp;"x")-1))),"Revisar formato")))</f>
        <v/>
      </c>
      <c r="E341" s="11" t="str">
        <f>IF(Registro!$E341="","",IF(ISERROR(FIND("x",LOWER(Registro!$E341))),"-",IFERROR(SUMPRODUCT(--("0"&amp;LEFT(TRIM(MID(SUBSTITUTE(SUBSTITUTE(SUBSTITUTE(SUBSTITUTE(SUBSTITUTE(LOWER(Registro!$E341),"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",LEN(Registro!$E341))),({1,2,3,4,5,6,7,8,9,10,11,12,13,14,15,16,17,18,19,20,21,22,23,24,25,26,27,28,29,30}-1)*LEN(Registro!$E341)+1,LEN(Registro!$E341)))&amp;"x")-1)),--("0"&amp;MID(TRIM(MID(SUBSTITUTE(SUBSTITUTE(SUBSTITUTE(SUBSTITUTE(SUBSTITUTE(LOWER(Registro!$E341),"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",LEN(Registro!$E341))),({1,2,3,4,5,6,7,8,9,10,11,12,13,14,15,16,17,18,19,20,21,22,23,24,25,26,27,28,29,30}-1)*LEN(Registro!$E341)+1,LEN(Registro!$E341)))&amp;"x")+1,20))),"Revisar formato")))</f>
        <v/>
      </c>
      <c r="F341" s="11" t="str">
        <f>IF(Registro!$F341="","",N(Registro!$F341))</f>
        <v/>
      </c>
      <c r="G341" s="11" t="str">
        <f t="shared" si="16"/>
        <v/>
      </c>
      <c r="H341" s="10" t="str">
        <f>IF(Registro!$G341="","",IF(ISERROR(FIND("x",LOWER(Registro!$G341))),"-",IFERROR(SUMPRODUCT(--("0"&amp;LEFT(TRIM(MID(SUBSTITUTE(SUBSTITUTE(SUBSTITUTE(SUBSTITUTE(SUBSTITUTE(LOWER(Registro!$G341),"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",LEN(Registro!$G341))),({1,2,3,4,5,6,7,8,9,10,11,12,13,14,15,16,17,18,19,20,21,22,23,24,25,26,27,28,29,30}-1)*LEN(Registro!$G341)+1,LEN(Registro!$G341))),FIND("x",TRIM(MID(SUBSTITUTE(SUBSTITUTE(SUBSTITUTE(SUBSTITUTE(SUBSTITUTE(LOWER(Registro!$G341),"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",LEN(Registro!$G341))),({1,2,3,4,5,6,7,8,9,10,11,12,13,14,15,16,17,18,19,20,21,22,23,24,25,26,27,28,29,30}-1)*LEN(Registro!$G341)+1,LEN(Registro!$G341)))&amp;"x")-1))),"Revisar formato")))</f>
        <v/>
      </c>
      <c r="I341" s="11" t="str">
        <f>IF(Registro!$G341="","",IF(ISERROR(FIND("x",LOWER(Registro!$G341))),N(Registro!$H341),IFERROR(SUMPRODUCT(--("0"&amp;LEFT(TRIM(MID(SUBSTITUTE(SUBSTITUTE(SUBSTITUTE(SUBSTITUTE(SUBSTITUTE(LOWER(Registro!$G341),"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",LEN(Registro!$G341))),({1,2,3,4,5,6,7,8,9,10,11,12,13,14,15,16,17,18,19,20,21,22,23,24,25,26,27,28,29,30}-1)*LEN(Registro!$G341)+1,LEN(Registro!$G341))),FIND("x",TRIM(MID(SUBSTITUTE(SUBSTITUTE(SUBSTITUTE(SUBSTITUTE(SUBSTITUTE(LOWER(Registro!$G341),"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",LEN(Registro!$G341))),({1,2,3,4,5,6,7,8,9,10,11,12,13,14,15,16,17,18,19,20,21,22,23,24,25,26,27,28,29,30}-1)*LEN(Registro!$G341)+1,LEN(Registro!$G341)))&amp;"x")-1)),--("0"&amp;MID(TRIM(MID(SUBSTITUTE(SUBSTITUTE(SUBSTITUTE(SUBSTITUTE(SUBSTITUTE(LOWER(Registro!$G341),"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",LEN(Registro!$G341))),({1,2,3,4,5,6,7,8,9,10,11,12,13,14,15,16,17,18,19,20,21,22,23,24,25,26,27,28,29,30}-1)*LEN(Registro!$G341)+1,LEN(Registro!$G341))),FIND("x",TRIM(MID(SUBSTITUTE(SUBSTITUTE(SUBSTITUTE(SUBSTITUTE(SUBSTITUTE(LOWER(Registro!$G341),"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",LEN(Registro!$G341))),({1,2,3,4,5,6,7,8,9,10,11,12,13,14,15,16,17,18,19,20,21,22,23,24,25,26,27,28,29,30}-1)*LEN(Registro!$G341)+1,LEN(Registro!$G341)))&amp;"x")+1,20))),"Revisar formato")))</f>
        <v/>
      </c>
      <c r="J341" s="9" t="str">
        <f>IF(AND(Registro!$E341="",Registro!$G341=""),"",IF(NOT(AND(ISNUMBER(I341),ISNUMBER(Registro!$H341))),"",IF(I341&lt;Registro!$H341,"FALTA BOLETOS",IF(I341=Registro!$H341,"CONFORME","DIFERENCIA"))))</f>
        <v/>
      </c>
      <c r="K341" s="11" t="str">
        <f>IF(Registro!$I341="","",IFERROR(SUMPRODUCT(--("0"&amp;TRIM(RIGHT(SUBSTITUTE(TRIM(MID(SUBSTITUTE(SUBSTITUTE(Registro!$I341,";",CHAR(10)),CHAR(10),REPT(" ",LEN(Registro!$I341))),({1,2,3,4,5,6,7,8,9,10,11,12,13,14,15,16,17,18,19,20,21,22,23,24,25,26,27,28,29,30}-1)*LEN(Registro!$I341)+1,LEN(Registro!$I341)))," ",REPT(" ",50)),50)))),"Revisar formato"))</f>
        <v/>
      </c>
      <c r="L341" s="11" t="str">
        <f>IF(Registro!$J341="","",IFERROR(SUMPRODUCT(--("0"&amp;TRIM(RIGHT(SUBSTITUTE(TRIM(MID(SUBSTITUTE(SUBSTITUTE(Registro!$J341,";",CHAR(10)),CHAR(10),REPT(" ",LEN(Registro!$J341))),({1,2,3,4,5,6,7,8,9,10,11,12,13,14,15,16,17,18,19,20,21,22,23,24,25,26,27,28,29,30}-1)*LEN(Registro!$J341)+1,LEN(Registro!$J341)))," ",REPT(" ",50)),50)))),"Revisar formato"))</f>
        <v/>
      </c>
      <c r="M341" s="11" t="str">
        <f>IF(AND(Registro!$H341="",Registro!$I341=""),"",IF(AND(ISTEXT(K341),K341&lt;&gt;""),"Revisar formato",N(Registro!$H341)-N(K341)))</f>
        <v/>
      </c>
      <c r="N341" s="11" t="str">
        <f t="shared" si="17"/>
        <v/>
      </c>
      <c r="O341" s="15" t="str">
        <f>IF(AND(A341=Consulta!$B$3,C341=Consulta!$H$3),B341*10000+ROW(),"")</f>
        <v/>
      </c>
    </row>
    <row r="342" spans="1:15" x14ac:dyDescent="0.25">
      <c r="A342" s="9" t="str">
        <f>IF(Registro!$A342="","",Registro!$A342)</f>
        <v/>
      </c>
      <c r="B342" s="8" t="str">
        <f>IF(Registro!$B342="","",Registro!$B342)</f>
        <v/>
      </c>
      <c r="C342" s="14" t="str">
        <f t="shared" si="15"/>
        <v/>
      </c>
      <c r="D342" s="10" t="str">
        <f>IF(Registro!$E342="","",IF(ISERROR(FIND("x",LOWER(Registro!$E342))),"-",IFERROR(SUMPRODUCT(--("0"&amp;LEFT(TRIM(MID(SUBSTITUTE(SUBSTITUTE(SUBSTITUTE(SUBSTITUTE(SUBSTITUTE(LOWER(Registro!$E342),"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",LEN(Registro!$E342))),({1,2,3,4,5,6,7,8,9,10,11,12,13,14,15,16,17,18,19,20,21,22,23,24,25,26,27,28,29,30}-1)*LEN(Registro!$E342)+1,LEN(Registro!$E342)))&amp;"x")-1))),"Revisar formato")))</f>
        <v/>
      </c>
      <c r="E342" s="11" t="str">
        <f>IF(Registro!$E342="","",IF(ISERROR(FIND("x",LOWER(Registro!$E342))),"-",IFERROR(SUMPRODUCT(--("0"&amp;LEFT(TRIM(MID(SUBSTITUTE(SUBSTITUTE(SUBSTITUTE(SUBSTITUTE(SUBSTITUTE(LOWER(Registro!$E342),"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",LEN(Registro!$E342))),({1,2,3,4,5,6,7,8,9,10,11,12,13,14,15,16,17,18,19,20,21,22,23,24,25,26,27,28,29,30}-1)*LEN(Registro!$E342)+1,LEN(Registro!$E342)))&amp;"x")-1)),--("0"&amp;MID(TRIM(MID(SUBSTITUTE(SUBSTITUTE(SUBSTITUTE(SUBSTITUTE(SUBSTITUTE(LOWER(Registro!$E342),"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",LEN(Registro!$E342))),({1,2,3,4,5,6,7,8,9,10,11,12,13,14,15,16,17,18,19,20,21,22,23,24,25,26,27,28,29,30}-1)*LEN(Registro!$E342)+1,LEN(Registro!$E342)))&amp;"x")+1,20))),"Revisar formato")))</f>
        <v/>
      </c>
      <c r="F342" s="11" t="str">
        <f>IF(Registro!$F342="","",N(Registro!$F342))</f>
        <v/>
      </c>
      <c r="G342" s="11" t="str">
        <f t="shared" si="16"/>
        <v/>
      </c>
      <c r="H342" s="10" t="str">
        <f>IF(Registro!$G342="","",IF(ISERROR(FIND("x",LOWER(Registro!$G342))),"-",IFERROR(SUMPRODUCT(--("0"&amp;LEFT(TRIM(MID(SUBSTITUTE(SUBSTITUTE(SUBSTITUTE(SUBSTITUTE(SUBSTITUTE(LOWER(Registro!$G342),"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",LEN(Registro!$G342))),({1,2,3,4,5,6,7,8,9,10,11,12,13,14,15,16,17,18,19,20,21,22,23,24,25,26,27,28,29,30}-1)*LEN(Registro!$G342)+1,LEN(Registro!$G342))),FIND("x",TRIM(MID(SUBSTITUTE(SUBSTITUTE(SUBSTITUTE(SUBSTITUTE(SUBSTITUTE(LOWER(Registro!$G342),"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",LEN(Registro!$G342))),({1,2,3,4,5,6,7,8,9,10,11,12,13,14,15,16,17,18,19,20,21,22,23,24,25,26,27,28,29,30}-1)*LEN(Registro!$G342)+1,LEN(Registro!$G342)))&amp;"x")-1))),"Revisar formato")))</f>
        <v/>
      </c>
      <c r="I342" s="11" t="str">
        <f>IF(Registro!$G342="","",IF(ISERROR(FIND("x",LOWER(Registro!$G342))),N(Registro!$H342),IFERROR(SUMPRODUCT(--("0"&amp;LEFT(TRIM(MID(SUBSTITUTE(SUBSTITUTE(SUBSTITUTE(SUBSTITUTE(SUBSTITUTE(LOWER(Registro!$G342),"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",LEN(Registro!$G342))),({1,2,3,4,5,6,7,8,9,10,11,12,13,14,15,16,17,18,19,20,21,22,23,24,25,26,27,28,29,30}-1)*LEN(Registro!$G342)+1,LEN(Registro!$G342))),FIND("x",TRIM(MID(SUBSTITUTE(SUBSTITUTE(SUBSTITUTE(SUBSTITUTE(SUBSTITUTE(LOWER(Registro!$G342),"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",LEN(Registro!$G342))),({1,2,3,4,5,6,7,8,9,10,11,12,13,14,15,16,17,18,19,20,21,22,23,24,25,26,27,28,29,30}-1)*LEN(Registro!$G342)+1,LEN(Registro!$G342)))&amp;"x")-1)),--("0"&amp;MID(TRIM(MID(SUBSTITUTE(SUBSTITUTE(SUBSTITUTE(SUBSTITUTE(SUBSTITUTE(LOWER(Registro!$G342),"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",LEN(Registro!$G342))),({1,2,3,4,5,6,7,8,9,10,11,12,13,14,15,16,17,18,19,20,21,22,23,24,25,26,27,28,29,30}-1)*LEN(Registro!$G342)+1,LEN(Registro!$G342))),FIND("x",TRIM(MID(SUBSTITUTE(SUBSTITUTE(SUBSTITUTE(SUBSTITUTE(SUBSTITUTE(LOWER(Registro!$G342),"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",LEN(Registro!$G342))),({1,2,3,4,5,6,7,8,9,10,11,12,13,14,15,16,17,18,19,20,21,22,23,24,25,26,27,28,29,30}-1)*LEN(Registro!$G342)+1,LEN(Registro!$G342)))&amp;"x")+1,20))),"Revisar formato")))</f>
        <v/>
      </c>
      <c r="J342" s="9" t="str">
        <f>IF(AND(Registro!$E342="",Registro!$G342=""),"",IF(NOT(AND(ISNUMBER(I342),ISNUMBER(Registro!$H342))),"",IF(I342&lt;Registro!$H342,"FALTA BOLETOS",IF(I342=Registro!$H342,"CONFORME","DIFERENCIA"))))</f>
        <v/>
      </c>
      <c r="K342" s="11" t="str">
        <f>IF(Registro!$I342="","",IFERROR(SUMPRODUCT(--("0"&amp;TRIM(RIGHT(SUBSTITUTE(TRIM(MID(SUBSTITUTE(SUBSTITUTE(Registro!$I342,";",CHAR(10)),CHAR(10),REPT(" ",LEN(Registro!$I342))),({1,2,3,4,5,6,7,8,9,10,11,12,13,14,15,16,17,18,19,20,21,22,23,24,25,26,27,28,29,30}-1)*LEN(Registro!$I342)+1,LEN(Registro!$I342)))," ",REPT(" ",50)),50)))),"Revisar formato"))</f>
        <v/>
      </c>
      <c r="L342" s="11" t="str">
        <f>IF(Registro!$J342="","",IFERROR(SUMPRODUCT(--("0"&amp;TRIM(RIGHT(SUBSTITUTE(TRIM(MID(SUBSTITUTE(SUBSTITUTE(Registro!$J342,";",CHAR(10)),CHAR(10),REPT(" ",LEN(Registro!$J342))),({1,2,3,4,5,6,7,8,9,10,11,12,13,14,15,16,17,18,19,20,21,22,23,24,25,26,27,28,29,30}-1)*LEN(Registro!$J342)+1,LEN(Registro!$J342)))," ",REPT(" ",50)),50)))),"Revisar formato"))</f>
        <v/>
      </c>
      <c r="M342" s="11" t="str">
        <f>IF(AND(Registro!$H342="",Registro!$I342=""),"",IF(AND(ISTEXT(K342),K342&lt;&gt;""),"Revisar formato",N(Registro!$H342)-N(K342)))</f>
        <v/>
      </c>
      <c r="N342" s="11" t="str">
        <f t="shared" si="17"/>
        <v/>
      </c>
      <c r="O342" s="15" t="str">
        <f>IF(AND(A342=Consulta!$B$3,C342=Consulta!$H$3),B342*10000+ROW(),"")</f>
        <v/>
      </c>
    </row>
    <row r="343" spans="1:15" x14ac:dyDescent="0.25">
      <c r="A343" s="9" t="str">
        <f>IF(Registro!$A343="","",Registro!$A343)</f>
        <v/>
      </c>
      <c r="B343" s="8" t="str">
        <f>IF(Registro!$B343="","",Registro!$B343)</f>
        <v/>
      </c>
      <c r="C343" s="14" t="str">
        <f t="shared" si="15"/>
        <v/>
      </c>
      <c r="D343" s="10" t="str">
        <f>IF(Registro!$E343="","",IF(ISERROR(FIND("x",LOWER(Registro!$E343))),"-",IFERROR(SUMPRODUCT(--("0"&amp;LEFT(TRIM(MID(SUBSTITUTE(SUBSTITUTE(SUBSTITUTE(SUBSTITUTE(SUBSTITUTE(LOWER(Registro!$E343),"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",LEN(Registro!$E343))),({1,2,3,4,5,6,7,8,9,10,11,12,13,14,15,16,17,18,19,20,21,22,23,24,25,26,27,28,29,30}-1)*LEN(Registro!$E343)+1,LEN(Registro!$E343)))&amp;"x")-1))),"Revisar formato")))</f>
        <v/>
      </c>
      <c r="E343" s="11" t="str">
        <f>IF(Registro!$E343="","",IF(ISERROR(FIND("x",LOWER(Registro!$E343))),"-",IFERROR(SUMPRODUCT(--("0"&amp;LEFT(TRIM(MID(SUBSTITUTE(SUBSTITUTE(SUBSTITUTE(SUBSTITUTE(SUBSTITUTE(LOWER(Registro!$E343),"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",LEN(Registro!$E343))),({1,2,3,4,5,6,7,8,9,10,11,12,13,14,15,16,17,18,19,20,21,22,23,24,25,26,27,28,29,30}-1)*LEN(Registro!$E343)+1,LEN(Registro!$E343)))&amp;"x")-1)),--("0"&amp;MID(TRIM(MID(SUBSTITUTE(SUBSTITUTE(SUBSTITUTE(SUBSTITUTE(SUBSTITUTE(LOWER(Registro!$E343),"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",LEN(Registro!$E343))),({1,2,3,4,5,6,7,8,9,10,11,12,13,14,15,16,17,18,19,20,21,22,23,24,25,26,27,28,29,30}-1)*LEN(Registro!$E343)+1,LEN(Registro!$E343)))&amp;"x")+1,20))),"Revisar formato")))</f>
        <v/>
      </c>
      <c r="F343" s="11" t="str">
        <f>IF(Registro!$F343="","",N(Registro!$F343))</f>
        <v/>
      </c>
      <c r="G343" s="11" t="str">
        <f t="shared" si="16"/>
        <v/>
      </c>
      <c r="H343" s="10" t="str">
        <f>IF(Registro!$G343="","",IF(ISERROR(FIND("x",LOWER(Registro!$G343))),"-",IFERROR(SUMPRODUCT(--("0"&amp;LEFT(TRIM(MID(SUBSTITUTE(SUBSTITUTE(SUBSTITUTE(SUBSTITUTE(SUBSTITUTE(LOWER(Registro!$G343),"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",LEN(Registro!$G343))),({1,2,3,4,5,6,7,8,9,10,11,12,13,14,15,16,17,18,19,20,21,22,23,24,25,26,27,28,29,30}-1)*LEN(Registro!$G343)+1,LEN(Registro!$G343))),FIND("x",TRIM(MID(SUBSTITUTE(SUBSTITUTE(SUBSTITUTE(SUBSTITUTE(SUBSTITUTE(LOWER(Registro!$G343),"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",LEN(Registro!$G343))),({1,2,3,4,5,6,7,8,9,10,11,12,13,14,15,16,17,18,19,20,21,22,23,24,25,26,27,28,29,30}-1)*LEN(Registro!$G343)+1,LEN(Registro!$G343)))&amp;"x")-1))),"Revisar formato")))</f>
        <v/>
      </c>
      <c r="I343" s="11" t="str">
        <f>IF(Registro!$G343="","",IF(ISERROR(FIND("x",LOWER(Registro!$G343))),N(Registro!$H343),IFERROR(SUMPRODUCT(--("0"&amp;LEFT(TRIM(MID(SUBSTITUTE(SUBSTITUTE(SUBSTITUTE(SUBSTITUTE(SUBSTITUTE(LOWER(Registro!$G343),"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",LEN(Registro!$G343))),({1,2,3,4,5,6,7,8,9,10,11,12,13,14,15,16,17,18,19,20,21,22,23,24,25,26,27,28,29,30}-1)*LEN(Registro!$G343)+1,LEN(Registro!$G343))),FIND("x",TRIM(MID(SUBSTITUTE(SUBSTITUTE(SUBSTITUTE(SUBSTITUTE(SUBSTITUTE(LOWER(Registro!$G343),"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",LEN(Registro!$G343))),({1,2,3,4,5,6,7,8,9,10,11,12,13,14,15,16,17,18,19,20,21,22,23,24,25,26,27,28,29,30}-1)*LEN(Registro!$G343)+1,LEN(Registro!$G343)))&amp;"x")-1)),--("0"&amp;MID(TRIM(MID(SUBSTITUTE(SUBSTITUTE(SUBSTITUTE(SUBSTITUTE(SUBSTITUTE(LOWER(Registro!$G343),"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",LEN(Registro!$G343))),({1,2,3,4,5,6,7,8,9,10,11,12,13,14,15,16,17,18,19,20,21,22,23,24,25,26,27,28,29,30}-1)*LEN(Registro!$G343)+1,LEN(Registro!$G343))),FIND("x",TRIM(MID(SUBSTITUTE(SUBSTITUTE(SUBSTITUTE(SUBSTITUTE(SUBSTITUTE(LOWER(Registro!$G343),"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",LEN(Registro!$G343))),({1,2,3,4,5,6,7,8,9,10,11,12,13,14,15,16,17,18,19,20,21,22,23,24,25,26,27,28,29,30}-1)*LEN(Registro!$G343)+1,LEN(Registro!$G343)))&amp;"x")+1,20))),"Revisar formato")))</f>
        <v/>
      </c>
      <c r="J343" s="9" t="str">
        <f>IF(AND(Registro!$E343="",Registro!$G343=""),"",IF(NOT(AND(ISNUMBER(I343),ISNUMBER(Registro!$H343))),"",IF(I343&lt;Registro!$H343,"FALTA BOLETOS",IF(I343=Registro!$H343,"CONFORME","DIFERENCIA"))))</f>
        <v/>
      </c>
      <c r="K343" s="11" t="str">
        <f>IF(Registro!$I343="","",IFERROR(SUMPRODUCT(--("0"&amp;TRIM(RIGHT(SUBSTITUTE(TRIM(MID(SUBSTITUTE(SUBSTITUTE(Registro!$I343,";",CHAR(10)),CHAR(10),REPT(" ",LEN(Registro!$I343))),({1,2,3,4,5,6,7,8,9,10,11,12,13,14,15,16,17,18,19,20,21,22,23,24,25,26,27,28,29,30}-1)*LEN(Registro!$I343)+1,LEN(Registro!$I343)))," ",REPT(" ",50)),50)))),"Revisar formato"))</f>
        <v/>
      </c>
      <c r="L343" s="11" t="str">
        <f>IF(Registro!$J343="","",IFERROR(SUMPRODUCT(--("0"&amp;TRIM(RIGHT(SUBSTITUTE(TRIM(MID(SUBSTITUTE(SUBSTITUTE(Registro!$J343,";",CHAR(10)),CHAR(10),REPT(" ",LEN(Registro!$J343))),({1,2,3,4,5,6,7,8,9,10,11,12,13,14,15,16,17,18,19,20,21,22,23,24,25,26,27,28,29,30}-1)*LEN(Registro!$J343)+1,LEN(Registro!$J343)))," ",REPT(" ",50)),50)))),"Revisar formato"))</f>
        <v/>
      </c>
      <c r="M343" s="11" t="str">
        <f>IF(AND(Registro!$H343="",Registro!$I343=""),"",IF(AND(ISTEXT(K343),K343&lt;&gt;""),"Revisar formato",N(Registro!$H343)-N(K343)))</f>
        <v/>
      </c>
      <c r="N343" s="11" t="str">
        <f t="shared" si="17"/>
        <v/>
      </c>
      <c r="O343" s="15" t="str">
        <f>IF(AND(A343=Consulta!$B$3,C343=Consulta!$H$3),B343*10000+ROW(),"")</f>
        <v/>
      </c>
    </row>
    <row r="344" spans="1:15" x14ac:dyDescent="0.25">
      <c r="A344" s="9" t="str">
        <f>IF(Registro!$A344="","",Registro!$A344)</f>
        <v/>
      </c>
      <c r="B344" s="8" t="str">
        <f>IF(Registro!$B344="","",Registro!$B344)</f>
        <v/>
      </c>
      <c r="C344" s="14" t="str">
        <f t="shared" si="15"/>
        <v/>
      </c>
      <c r="D344" s="10" t="str">
        <f>IF(Registro!$E344="","",IF(ISERROR(FIND("x",LOWER(Registro!$E344))),"-",IFERROR(SUMPRODUCT(--("0"&amp;LEFT(TRIM(MID(SUBSTITUTE(SUBSTITUTE(SUBSTITUTE(SUBSTITUTE(SUBSTITUTE(LOWER(Registro!$E344),"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",LEN(Registro!$E344))),({1,2,3,4,5,6,7,8,9,10,11,12,13,14,15,16,17,18,19,20,21,22,23,24,25,26,27,28,29,30}-1)*LEN(Registro!$E344)+1,LEN(Registro!$E344)))&amp;"x")-1))),"Revisar formato")))</f>
        <v/>
      </c>
      <c r="E344" s="11" t="str">
        <f>IF(Registro!$E344="","",IF(ISERROR(FIND("x",LOWER(Registro!$E344))),"-",IFERROR(SUMPRODUCT(--("0"&amp;LEFT(TRIM(MID(SUBSTITUTE(SUBSTITUTE(SUBSTITUTE(SUBSTITUTE(SUBSTITUTE(LOWER(Registro!$E344),"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",LEN(Registro!$E344))),({1,2,3,4,5,6,7,8,9,10,11,12,13,14,15,16,17,18,19,20,21,22,23,24,25,26,27,28,29,30}-1)*LEN(Registro!$E344)+1,LEN(Registro!$E344)))&amp;"x")-1)),--("0"&amp;MID(TRIM(MID(SUBSTITUTE(SUBSTITUTE(SUBSTITUTE(SUBSTITUTE(SUBSTITUTE(LOWER(Registro!$E344),"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",LEN(Registro!$E344))),({1,2,3,4,5,6,7,8,9,10,11,12,13,14,15,16,17,18,19,20,21,22,23,24,25,26,27,28,29,30}-1)*LEN(Registro!$E344)+1,LEN(Registro!$E344)))&amp;"x")+1,20))),"Revisar formato")))</f>
        <v/>
      </c>
      <c r="F344" s="11" t="str">
        <f>IF(Registro!$F344="","",N(Registro!$F344))</f>
        <v/>
      </c>
      <c r="G344" s="11" t="str">
        <f t="shared" si="16"/>
        <v/>
      </c>
      <c r="H344" s="10" t="str">
        <f>IF(Registro!$G344="","",IF(ISERROR(FIND("x",LOWER(Registro!$G344))),"-",IFERROR(SUMPRODUCT(--("0"&amp;LEFT(TRIM(MID(SUBSTITUTE(SUBSTITUTE(SUBSTITUTE(SUBSTITUTE(SUBSTITUTE(LOWER(Registro!$G344),"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",LEN(Registro!$G344))),({1,2,3,4,5,6,7,8,9,10,11,12,13,14,15,16,17,18,19,20,21,22,23,24,25,26,27,28,29,30}-1)*LEN(Registro!$G344)+1,LEN(Registro!$G344))),FIND("x",TRIM(MID(SUBSTITUTE(SUBSTITUTE(SUBSTITUTE(SUBSTITUTE(SUBSTITUTE(LOWER(Registro!$G344),"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",LEN(Registro!$G344))),({1,2,3,4,5,6,7,8,9,10,11,12,13,14,15,16,17,18,19,20,21,22,23,24,25,26,27,28,29,30}-1)*LEN(Registro!$G344)+1,LEN(Registro!$G344)))&amp;"x")-1))),"Revisar formato")))</f>
        <v/>
      </c>
      <c r="I344" s="11" t="str">
        <f>IF(Registro!$G344="","",IF(ISERROR(FIND("x",LOWER(Registro!$G344))),N(Registro!$H344),IFERROR(SUMPRODUCT(--("0"&amp;LEFT(TRIM(MID(SUBSTITUTE(SUBSTITUTE(SUBSTITUTE(SUBSTITUTE(SUBSTITUTE(LOWER(Registro!$G344),"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",LEN(Registro!$G344))),({1,2,3,4,5,6,7,8,9,10,11,12,13,14,15,16,17,18,19,20,21,22,23,24,25,26,27,28,29,30}-1)*LEN(Registro!$G344)+1,LEN(Registro!$G344))),FIND("x",TRIM(MID(SUBSTITUTE(SUBSTITUTE(SUBSTITUTE(SUBSTITUTE(SUBSTITUTE(LOWER(Registro!$G344),"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",LEN(Registro!$G344))),({1,2,3,4,5,6,7,8,9,10,11,12,13,14,15,16,17,18,19,20,21,22,23,24,25,26,27,28,29,30}-1)*LEN(Registro!$G344)+1,LEN(Registro!$G344)))&amp;"x")-1)),--("0"&amp;MID(TRIM(MID(SUBSTITUTE(SUBSTITUTE(SUBSTITUTE(SUBSTITUTE(SUBSTITUTE(LOWER(Registro!$G344),"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",LEN(Registro!$G344))),({1,2,3,4,5,6,7,8,9,10,11,12,13,14,15,16,17,18,19,20,21,22,23,24,25,26,27,28,29,30}-1)*LEN(Registro!$G344)+1,LEN(Registro!$G344))),FIND("x",TRIM(MID(SUBSTITUTE(SUBSTITUTE(SUBSTITUTE(SUBSTITUTE(SUBSTITUTE(LOWER(Registro!$G344),"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",LEN(Registro!$G344))),({1,2,3,4,5,6,7,8,9,10,11,12,13,14,15,16,17,18,19,20,21,22,23,24,25,26,27,28,29,30}-1)*LEN(Registro!$G344)+1,LEN(Registro!$G344)))&amp;"x")+1,20))),"Revisar formato")))</f>
        <v/>
      </c>
      <c r="J344" s="9" t="str">
        <f>IF(AND(Registro!$E344="",Registro!$G344=""),"",IF(NOT(AND(ISNUMBER(I344),ISNUMBER(Registro!$H344))),"",IF(I344&lt;Registro!$H344,"FALTA BOLETOS",IF(I344=Registro!$H344,"CONFORME","DIFERENCIA"))))</f>
        <v/>
      </c>
      <c r="K344" s="11" t="str">
        <f>IF(Registro!$I344="","",IFERROR(SUMPRODUCT(--("0"&amp;TRIM(RIGHT(SUBSTITUTE(TRIM(MID(SUBSTITUTE(SUBSTITUTE(Registro!$I344,";",CHAR(10)),CHAR(10),REPT(" ",LEN(Registro!$I344))),({1,2,3,4,5,6,7,8,9,10,11,12,13,14,15,16,17,18,19,20,21,22,23,24,25,26,27,28,29,30}-1)*LEN(Registro!$I344)+1,LEN(Registro!$I344)))," ",REPT(" ",50)),50)))),"Revisar formato"))</f>
        <v/>
      </c>
      <c r="L344" s="11" t="str">
        <f>IF(Registro!$J344="","",IFERROR(SUMPRODUCT(--("0"&amp;TRIM(RIGHT(SUBSTITUTE(TRIM(MID(SUBSTITUTE(SUBSTITUTE(Registro!$J344,";",CHAR(10)),CHAR(10),REPT(" ",LEN(Registro!$J344))),({1,2,3,4,5,6,7,8,9,10,11,12,13,14,15,16,17,18,19,20,21,22,23,24,25,26,27,28,29,30}-1)*LEN(Registro!$J344)+1,LEN(Registro!$J344)))," ",REPT(" ",50)),50)))),"Revisar formato"))</f>
        <v/>
      </c>
      <c r="M344" s="11" t="str">
        <f>IF(AND(Registro!$H344="",Registro!$I344=""),"",IF(AND(ISTEXT(K344),K344&lt;&gt;""),"Revisar formato",N(Registro!$H344)-N(K344)))</f>
        <v/>
      </c>
      <c r="N344" s="11" t="str">
        <f t="shared" si="17"/>
        <v/>
      </c>
      <c r="O344" s="15" t="str">
        <f>IF(AND(A344=Consulta!$B$3,C344=Consulta!$H$3),B344*10000+ROW(),"")</f>
        <v/>
      </c>
    </row>
    <row r="345" spans="1:15" x14ac:dyDescent="0.25">
      <c r="A345" s="9" t="str">
        <f>IF(Registro!$A345="","",Registro!$A345)</f>
        <v/>
      </c>
      <c r="B345" s="8" t="str">
        <f>IF(Registro!$B345="","",Registro!$B345)</f>
        <v/>
      </c>
      <c r="C345" s="14" t="str">
        <f t="shared" si="15"/>
        <v/>
      </c>
      <c r="D345" s="10" t="str">
        <f>IF(Registro!$E345="","",IF(ISERROR(FIND("x",LOWER(Registro!$E345))),"-",IFERROR(SUMPRODUCT(--("0"&amp;LEFT(TRIM(MID(SUBSTITUTE(SUBSTITUTE(SUBSTITUTE(SUBSTITUTE(SUBSTITUTE(LOWER(Registro!$E345),"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",LEN(Registro!$E345))),({1,2,3,4,5,6,7,8,9,10,11,12,13,14,15,16,17,18,19,20,21,22,23,24,25,26,27,28,29,30}-1)*LEN(Registro!$E345)+1,LEN(Registro!$E345)))&amp;"x")-1))),"Revisar formato")))</f>
        <v/>
      </c>
      <c r="E345" s="11" t="str">
        <f>IF(Registro!$E345="","",IF(ISERROR(FIND("x",LOWER(Registro!$E345))),"-",IFERROR(SUMPRODUCT(--("0"&amp;LEFT(TRIM(MID(SUBSTITUTE(SUBSTITUTE(SUBSTITUTE(SUBSTITUTE(SUBSTITUTE(LOWER(Registro!$E345),"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",LEN(Registro!$E345))),({1,2,3,4,5,6,7,8,9,10,11,12,13,14,15,16,17,18,19,20,21,22,23,24,25,26,27,28,29,30}-1)*LEN(Registro!$E345)+1,LEN(Registro!$E345)))&amp;"x")-1)),--("0"&amp;MID(TRIM(MID(SUBSTITUTE(SUBSTITUTE(SUBSTITUTE(SUBSTITUTE(SUBSTITUTE(LOWER(Registro!$E345),"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",LEN(Registro!$E345))),({1,2,3,4,5,6,7,8,9,10,11,12,13,14,15,16,17,18,19,20,21,22,23,24,25,26,27,28,29,30}-1)*LEN(Registro!$E345)+1,LEN(Registro!$E345)))&amp;"x")+1,20))),"Revisar formato")))</f>
        <v/>
      </c>
      <c r="F345" s="11" t="str">
        <f>IF(Registro!$F345="","",N(Registro!$F345))</f>
        <v/>
      </c>
      <c r="G345" s="11" t="str">
        <f t="shared" si="16"/>
        <v/>
      </c>
      <c r="H345" s="10" t="str">
        <f>IF(Registro!$G345="","",IF(ISERROR(FIND("x",LOWER(Registro!$G345))),"-",IFERROR(SUMPRODUCT(--("0"&amp;LEFT(TRIM(MID(SUBSTITUTE(SUBSTITUTE(SUBSTITUTE(SUBSTITUTE(SUBSTITUTE(LOWER(Registro!$G345),"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",LEN(Registro!$G345))),({1,2,3,4,5,6,7,8,9,10,11,12,13,14,15,16,17,18,19,20,21,22,23,24,25,26,27,28,29,30}-1)*LEN(Registro!$G345)+1,LEN(Registro!$G345))),FIND("x",TRIM(MID(SUBSTITUTE(SUBSTITUTE(SUBSTITUTE(SUBSTITUTE(SUBSTITUTE(LOWER(Registro!$G345),"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",LEN(Registro!$G345))),({1,2,3,4,5,6,7,8,9,10,11,12,13,14,15,16,17,18,19,20,21,22,23,24,25,26,27,28,29,30}-1)*LEN(Registro!$G345)+1,LEN(Registro!$G345)))&amp;"x")-1))),"Revisar formato")))</f>
        <v/>
      </c>
      <c r="I345" s="11" t="str">
        <f>IF(Registro!$G345="","",IF(ISERROR(FIND("x",LOWER(Registro!$G345))),N(Registro!$H345),IFERROR(SUMPRODUCT(--("0"&amp;LEFT(TRIM(MID(SUBSTITUTE(SUBSTITUTE(SUBSTITUTE(SUBSTITUTE(SUBSTITUTE(LOWER(Registro!$G345),"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",LEN(Registro!$G345))),({1,2,3,4,5,6,7,8,9,10,11,12,13,14,15,16,17,18,19,20,21,22,23,24,25,26,27,28,29,30}-1)*LEN(Registro!$G345)+1,LEN(Registro!$G345))),FIND("x",TRIM(MID(SUBSTITUTE(SUBSTITUTE(SUBSTITUTE(SUBSTITUTE(SUBSTITUTE(LOWER(Registro!$G345),"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",LEN(Registro!$G345))),({1,2,3,4,5,6,7,8,9,10,11,12,13,14,15,16,17,18,19,20,21,22,23,24,25,26,27,28,29,30}-1)*LEN(Registro!$G345)+1,LEN(Registro!$G345)))&amp;"x")-1)),--("0"&amp;MID(TRIM(MID(SUBSTITUTE(SUBSTITUTE(SUBSTITUTE(SUBSTITUTE(SUBSTITUTE(LOWER(Registro!$G345),"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",LEN(Registro!$G345))),({1,2,3,4,5,6,7,8,9,10,11,12,13,14,15,16,17,18,19,20,21,22,23,24,25,26,27,28,29,30}-1)*LEN(Registro!$G345)+1,LEN(Registro!$G345))),FIND("x",TRIM(MID(SUBSTITUTE(SUBSTITUTE(SUBSTITUTE(SUBSTITUTE(SUBSTITUTE(LOWER(Registro!$G345),"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",LEN(Registro!$G345))),({1,2,3,4,5,6,7,8,9,10,11,12,13,14,15,16,17,18,19,20,21,22,23,24,25,26,27,28,29,30}-1)*LEN(Registro!$G345)+1,LEN(Registro!$G345)))&amp;"x")+1,20))),"Revisar formato")))</f>
        <v/>
      </c>
      <c r="J345" s="9" t="str">
        <f>IF(AND(Registro!$E345="",Registro!$G345=""),"",IF(NOT(AND(ISNUMBER(I345),ISNUMBER(Registro!$H345))),"",IF(I345&lt;Registro!$H345,"FALTA BOLETOS",IF(I345=Registro!$H345,"CONFORME","DIFERENCIA"))))</f>
        <v/>
      </c>
      <c r="K345" s="11" t="str">
        <f>IF(Registro!$I345="","",IFERROR(SUMPRODUCT(--("0"&amp;TRIM(RIGHT(SUBSTITUTE(TRIM(MID(SUBSTITUTE(SUBSTITUTE(Registro!$I345,";",CHAR(10)),CHAR(10),REPT(" ",LEN(Registro!$I345))),({1,2,3,4,5,6,7,8,9,10,11,12,13,14,15,16,17,18,19,20,21,22,23,24,25,26,27,28,29,30}-1)*LEN(Registro!$I345)+1,LEN(Registro!$I345)))," ",REPT(" ",50)),50)))),"Revisar formato"))</f>
        <v/>
      </c>
      <c r="L345" s="11" t="str">
        <f>IF(Registro!$J345="","",IFERROR(SUMPRODUCT(--("0"&amp;TRIM(RIGHT(SUBSTITUTE(TRIM(MID(SUBSTITUTE(SUBSTITUTE(Registro!$J345,";",CHAR(10)),CHAR(10),REPT(" ",LEN(Registro!$J345))),({1,2,3,4,5,6,7,8,9,10,11,12,13,14,15,16,17,18,19,20,21,22,23,24,25,26,27,28,29,30}-1)*LEN(Registro!$J345)+1,LEN(Registro!$J345)))," ",REPT(" ",50)),50)))),"Revisar formato"))</f>
        <v/>
      </c>
      <c r="M345" s="11" t="str">
        <f>IF(AND(Registro!$H345="",Registro!$I345=""),"",IF(AND(ISTEXT(K345),K345&lt;&gt;""),"Revisar formato",N(Registro!$H345)-N(K345)))</f>
        <v/>
      </c>
      <c r="N345" s="11" t="str">
        <f t="shared" si="17"/>
        <v/>
      </c>
      <c r="O345" s="15" t="str">
        <f>IF(AND(A345=Consulta!$B$3,C345=Consulta!$H$3),B345*10000+ROW(),"")</f>
        <v/>
      </c>
    </row>
    <row r="346" spans="1:15" x14ac:dyDescent="0.25">
      <c r="A346" s="9" t="str">
        <f>IF(Registro!$A346="","",Registro!$A346)</f>
        <v/>
      </c>
      <c r="B346" s="8" t="str">
        <f>IF(Registro!$B346="","",Registro!$B346)</f>
        <v/>
      </c>
      <c r="C346" s="14" t="str">
        <f t="shared" si="15"/>
        <v/>
      </c>
      <c r="D346" s="10" t="str">
        <f>IF(Registro!$E346="","",IF(ISERROR(FIND("x",LOWER(Registro!$E346))),"-",IFERROR(SUMPRODUCT(--("0"&amp;LEFT(TRIM(MID(SUBSTITUTE(SUBSTITUTE(SUBSTITUTE(SUBSTITUTE(SUBSTITUTE(LOWER(Registro!$E346),"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",LEN(Registro!$E346))),({1,2,3,4,5,6,7,8,9,10,11,12,13,14,15,16,17,18,19,20,21,22,23,24,25,26,27,28,29,30}-1)*LEN(Registro!$E346)+1,LEN(Registro!$E346)))&amp;"x")-1))),"Revisar formato")))</f>
        <v/>
      </c>
      <c r="E346" s="11" t="str">
        <f>IF(Registro!$E346="","",IF(ISERROR(FIND("x",LOWER(Registro!$E346))),"-",IFERROR(SUMPRODUCT(--("0"&amp;LEFT(TRIM(MID(SUBSTITUTE(SUBSTITUTE(SUBSTITUTE(SUBSTITUTE(SUBSTITUTE(LOWER(Registro!$E346),"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",LEN(Registro!$E346))),({1,2,3,4,5,6,7,8,9,10,11,12,13,14,15,16,17,18,19,20,21,22,23,24,25,26,27,28,29,30}-1)*LEN(Registro!$E346)+1,LEN(Registro!$E346)))&amp;"x")-1)),--("0"&amp;MID(TRIM(MID(SUBSTITUTE(SUBSTITUTE(SUBSTITUTE(SUBSTITUTE(SUBSTITUTE(LOWER(Registro!$E346),"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",LEN(Registro!$E346))),({1,2,3,4,5,6,7,8,9,10,11,12,13,14,15,16,17,18,19,20,21,22,23,24,25,26,27,28,29,30}-1)*LEN(Registro!$E346)+1,LEN(Registro!$E346)))&amp;"x")+1,20))),"Revisar formato")))</f>
        <v/>
      </c>
      <c r="F346" s="11" t="str">
        <f>IF(Registro!$F346="","",N(Registro!$F346))</f>
        <v/>
      </c>
      <c r="G346" s="11" t="str">
        <f t="shared" si="16"/>
        <v/>
      </c>
      <c r="H346" s="10" t="str">
        <f>IF(Registro!$G346="","",IF(ISERROR(FIND("x",LOWER(Registro!$G346))),"-",IFERROR(SUMPRODUCT(--("0"&amp;LEFT(TRIM(MID(SUBSTITUTE(SUBSTITUTE(SUBSTITUTE(SUBSTITUTE(SUBSTITUTE(LOWER(Registro!$G346),"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",LEN(Registro!$G346))),({1,2,3,4,5,6,7,8,9,10,11,12,13,14,15,16,17,18,19,20,21,22,23,24,25,26,27,28,29,30}-1)*LEN(Registro!$G346)+1,LEN(Registro!$G346))),FIND("x",TRIM(MID(SUBSTITUTE(SUBSTITUTE(SUBSTITUTE(SUBSTITUTE(SUBSTITUTE(LOWER(Registro!$G346),"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",LEN(Registro!$G346))),({1,2,3,4,5,6,7,8,9,10,11,12,13,14,15,16,17,18,19,20,21,22,23,24,25,26,27,28,29,30}-1)*LEN(Registro!$G346)+1,LEN(Registro!$G346)))&amp;"x")-1))),"Revisar formato")))</f>
        <v/>
      </c>
      <c r="I346" s="11" t="str">
        <f>IF(Registro!$G346="","",IF(ISERROR(FIND("x",LOWER(Registro!$G346))),N(Registro!$H346),IFERROR(SUMPRODUCT(--("0"&amp;LEFT(TRIM(MID(SUBSTITUTE(SUBSTITUTE(SUBSTITUTE(SUBSTITUTE(SUBSTITUTE(LOWER(Registro!$G346),"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",LEN(Registro!$G346))),({1,2,3,4,5,6,7,8,9,10,11,12,13,14,15,16,17,18,19,20,21,22,23,24,25,26,27,28,29,30}-1)*LEN(Registro!$G346)+1,LEN(Registro!$G346))),FIND("x",TRIM(MID(SUBSTITUTE(SUBSTITUTE(SUBSTITUTE(SUBSTITUTE(SUBSTITUTE(LOWER(Registro!$G346),"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",LEN(Registro!$G346))),({1,2,3,4,5,6,7,8,9,10,11,12,13,14,15,16,17,18,19,20,21,22,23,24,25,26,27,28,29,30}-1)*LEN(Registro!$G346)+1,LEN(Registro!$G346)))&amp;"x")-1)),--("0"&amp;MID(TRIM(MID(SUBSTITUTE(SUBSTITUTE(SUBSTITUTE(SUBSTITUTE(SUBSTITUTE(LOWER(Registro!$G346),"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",LEN(Registro!$G346))),({1,2,3,4,5,6,7,8,9,10,11,12,13,14,15,16,17,18,19,20,21,22,23,24,25,26,27,28,29,30}-1)*LEN(Registro!$G346)+1,LEN(Registro!$G346))),FIND("x",TRIM(MID(SUBSTITUTE(SUBSTITUTE(SUBSTITUTE(SUBSTITUTE(SUBSTITUTE(LOWER(Registro!$G346),"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",LEN(Registro!$G346))),({1,2,3,4,5,6,7,8,9,10,11,12,13,14,15,16,17,18,19,20,21,22,23,24,25,26,27,28,29,30}-1)*LEN(Registro!$G346)+1,LEN(Registro!$G346)))&amp;"x")+1,20))),"Revisar formato")))</f>
        <v/>
      </c>
      <c r="J346" s="9" t="str">
        <f>IF(AND(Registro!$E346="",Registro!$G346=""),"",IF(NOT(AND(ISNUMBER(I346),ISNUMBER(Registro!$H346))),"",IF(I346&lt;Registro!$H346,"FALTA BOLETOS",IF(I346=Registro!$H346,"CONFORME","DIFERENCIA"))))</f>
        <v/>
      </c>
      <c r="K346" s="11" t="str">
        <f>IF(Registro!$I346="","",IFERROR(SUMPRODUCT(--("0"&amp;TRIM(RIGHT(SUBSTITUTE(TRIM(MID(SUBSTITUTE(SUBSTITUTE(Registro!$I346,";",CHAR(10)),CHAR(10),REPT(" ",LEN(Registro!$I346))),({1,2,3,4,5,6,7,8,9,10,11,12,13,14,15,16,17,18,19,20,21,22,23,24,25,26,27,28,29,30}-1)*LEN(Registro!$I346)+1,LEN(Registro!$I346)))," ",REPT(" ",50)),50)))),"Revisar formato"))</f>
        <v/>
      </c>
      <c r="L346" s="11" t="str">
        <f>IF(Registro!$J346="","",IFERROR(SUMPRODUCT(--("0"&amp;TRIM(RIGHT(SUBSTITUTE(TRIM(MID(SUBSTITUTE(SUBSTITUTE(Registro!$J346,";",CHAR(10)),CHAR(10),REPT(" ",LEN(Registro!$J346))),({1,2,3,4,5,6,7,8,9,10,11,12,13,14,15,16,17,18,19,20,21,22,23,24,25,26,27,28,29,30}-1)*LEN(Registro!$J346)+1,LEN(Registro!$J346)))," ",REPT(" ",50)),50)))),"Revisar formato"))</f>
        <v/>
      </c>
      <c r="M346" s="11" t="str">
        <f>IF(AND(Registro!$H346="",Registro!$I346=""),"",IF(AND(ISTEXT(K346),K346&lt;&gt;""),"Revisar formato",N(Registro!$H346)-N(K346)))</f>
        <v/>
      </c>
      <c r="N346" s="11" t="str">
        <f t="shared" si="17"/>
        <v/>
      </c>
      <c r="O346" s="15" t="str">
        <f>IF(AND(A346=Consulta!$B$3,C346=Consulta!$H$3),B346*10000+ROW(),"")</f>
        <v/>
      </c>
    </row>
    <row r="347" spans="1:15" x14ac:dyDescent="0.25">
      <c r="A347" s="9" t="str">
        <f>IF(Registro!$A347="","",Registro!$A347)</f>
        <v/>
      </c>
      <c r="B347" s="8" t="str">
        <f>IF(Registro!$B347="","",Registro!$B347)</f>
        <v/>
      </c>
      <c r="C347" s="14" t="str">
        <f t="shared" si="15"/>
        <v/>
      </c>
      <c r="D347" s="10" t="str">
        <f>IF(Registro!$E347="","",IF(ISERROR(FIND("x",LOWER(Registro!$E347))),"-",IFERROR(SUMPRODUCT(--("0"&amp;LEFT(TRIM(MID(SUBSTITUTE(SUBSTITUTE(SUBSTITUTE(SUBSTITUTE(SUBSTITUTE(LOWER(Registro!$E347),"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",LEN(Registro!$E347))),({1,2,3,4,5,6,7,8,9,10,11,12,13,14,15,16,17,18,19,20,21,22,23,24,25,26,27,28,29,30}-1)*LEN(Registro!$E347)+1,LEN(Registro!$E347)))&amp;"x")-1))),"Revisar formato")))</f>
        <v/>
      </c>
      <c r="E347" s="11" t="str">
        <f>IF(Registro!$E347="","",IF(ISERROR(FIND("x",LOWER(Registro!$E347))),"-",IFERROR(SUMPRODUCT(--("0"&amp;LEFT(TRIM(MID(SUBSTITUTE(SUBSTITUTE(SUBSTITUTE(SUBSTITUTE(SUBSTITUTE(LOWER(Registro!$E347),"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",LEN(Registro!$E347))),({1,2,3,4,5,6,7,8,9,10,11,12,13,14,15,16,17,18,19,20,21,22,23,24,25,26,27,28,29,30}-1)*LEN(Registro!$E347)+1,LEN(Registro!$E347)))&amp;"x")-1)),--("0"&amp;MID(TRIM(MID(SUBSTITUTE(SUBSTITUTE(SUBSTITUTE(SUBSTITUTE(SUBSTITUTE(LOWER(Registro!$E347),"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",LEN(Registro!$E347))),({1,2,3,4,5,6,7,8,9,10,11,12,13,14,15,16,17,18,19,20,21,22,23,24,25,26,27,28,29,30}-1)*LEN(Registro!$E347)+1,LEN(Registro!$E347)))&amp;"x")+1,20))),"Revisar formato")))</f>
        <v/>
      </c>
      <c r="F347" s="11" t="str">
        <f>IF(Registro!$F347="","",N(Registro!$F347))</f>
        <v/>
      </c>
      <c r="G347" s="11" t="str">
        <f t="shared" si="16"/>
        <v/>
      </c>
      <c r="H347" s="10" t="str">
        <f>IF(Registro!$G347="","",IF(ISERROR(FIND("x",LOWER(Registro!$G347))),"-",IFERROR(SUMPRODUCT(--("0"&amp;LEFT(TRIM(MID(SUBSTITUTE(SUBSTITUTE(SUBSTITUTE(SUBSTITUTE(SUBSTITUTE(LOWER(Registro!$G347),"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",LEN(Registro!$G347))),({1,2,3,4,5,6,7,8,9,10,11,12,13,14,15,16,17,18,19,20,21,22,23,24,25,26,27,28,29,30}-1)*LEN(Registro!$G347)+1,LEN(Registro!$G347))),FIND("x",TRIM(MID(SUBSTITUTE(SUBSTITUTE(SUBSTITUTE(SUBSTITUTE(SUBSTITUTE(LOWER(Registro!$G347),"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",LEN(Registro!$G347))),({1,2,3,4,5,6,7,8,9,10,11,12,13,14,15,16,17,18,19,20,21,22,23,24,25,26,27,28,29,30}-1)*LEN(Registro!$G347)+1,LEN(Registro!$G347)))&amp;"x")-1))),"Revisar formato")))</f>
        <v/>
      </c>
      <c r="I347" s="11" t="str">
        <f>IF(Registro!$G347="","",IF(ISERROR(FIND("x",LOWER(Registro!$G347))),N(Registro!$H347),IFERROR(SUMPRODUCT(--("0"&amp;LEFT(TRIM(MID(SUBSTITUTE(SUBSTITUTE(SUBSTITUTE(SUBSTITUTE(SUBSTITUTE(LOWER(Registro!$G347),"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",LEN(Registro!$G347))),({1,2,3,4,5,6,7,8,9,10,11,12,13,14,15,16,17,18,19,20,21,22,23,24,25,26,27,28,29,30}-1)*LEN(Registro!$G347)+1,LEN(Registro!$G347))),FIND("x",TRIM(MID(SUBSTITUTE(SUBSTITUTE(SUBSTITUTE(SUBSTITUTE(SUBSTITUTE(LOWER(Registro!$G347),"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",LEN(Registro!$G347))),({1,2,3,4,5,6,7,8,9,10,11,12,13,14,15,16,17,18,19,20,21,22,23,24,25,26,27,28,29,30}-1)*LEN(Registro!$G347)+1,LEN(Registro!$G347)))&amp;"x")-1)),--("0"&amp;MID(TRIM(MID(SUBSTITUTE(SUBSTITUTE(SUBSTITUTE(SUBSTITUTE(SUBSTITUTE(LOWER(Registro!$G347),"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",LEN(Registro!$G347))),({1,2,3,4,5,6,7,8,9,10,11,12,13,14,15,16,17,18,19,20,21,22,23,24,25,26,27,28,29,30}-1)*LEN(Registro!$G347)+1,LEN(Registro!$G347))),FIND("x",TRIM(MID(SUBSTITUTE(SUBSTITUTE(SUBSTITUTE(SUBSTITUTE(SUBSTITUTE(LOWER(Registro!$G347),"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",LEN(Registro!$G347))),({1,2,3,4,5,6,7,8,9,10,11,12,13,14,15,16,17,18,19,20,21,22,23,24,25,26,27,28,29,30}-1)*LEN(Registro!$G347)+1,LEN(Registro!$G347)))&amp;"x")+1,20))),"Revisar formato")))</f>
        <v/>
      </c>
      <c r="J347" s="9" t="str">
        <f>IF(AND(Registro!$E347="",Registro!$G347=""),"",IF(NOT(AND(ISNUMBER(I347),ISNUMBER(Registro!$H347))),"",IF(I347&lt;Registro!$H347,"FALTA BOLETOS",IF(I347=Registro!$H347,"CONFORME","DIFERENCIA"))))</f>
        <v/>
      </c>
      <c r="K347" s="11" t="str">
        <f>IF(Registro!$I347="","",IFERROR(SUMPRODUCT(--("0"&amp;TRIM(RIGHT(SUBSTITUTE(TRIM(MID(SUBSTITUTE(SUBSTITUTE(Registro!$I347,";",CHAR(10)),CHAR(10),REPT(" ",LEN(Registro!$I347))),({1,2,3,4,5,6,7,8,9,10,11,12,13,14,15,16,17,18,19,20,21,22,23,24,25,26,27,28,29,30}-1)*LEN(Registro!$I347)+1,LEN(Registro!$I347)))," ",REPT(" ",50)),50)))),"Revisar formato"))</f>
        <v/>
      </c>
      <c r="L347" s="11" t="str">
        <f>IF(Registro!$J347="","",IFERROR(SUMPRODUCT(--("0"&amp;TRIM(RIGHT(SUBSTITUTE(TRIM(MID(SUBSTITUTE(SUBSTITUTE(Registro!$J347,";",CHAR(10)),CHAR(10),REPT(" ",LEN(Registro!$J347))),({1,2,3,4,5,6,7,8,9,10,11,12,13,14,15,16,17,18,19,20,21,22,23,24,25,26,27,28,29,30}-1)*LEN(Registro!$J347)+1,LEN(Registro!$J347)))," ",REPT(" ",50)),50)))),"Revisar formato"))</f>
        <v/>
      </c>
      <c r="M347" s="11" t="str">
        <f>IF(AND(Registro!$H347="",Registro!$I347=""),"",IF(AND(ISTEXT(K347),K347&lt;&gt;""),"Revisar formato",N(Registro!$H347)-N(K347)))</f>
        <v/>
      </c>
      <c r="N347" s="11" t="str">
        <f t="shared" si="17"/>
        <v/>
      </c>
      <c r="O347" s="15" t="str">
        <f>IF(AND(A347=Consulta!$B$3,C347=Consulta!$H$3),B347*10000+ROW(),"")</f>
        <v/>
      </c>
    </row>
    <row r="348" spans="1:15" x14ac:dyDescent="0.25">
      <c r="A348" s="9" t="str">
        <f>IF(Registro!$A348="","",Registro!$A348)</f>
        <v/>
      </c>
      <c r="B348" s="8" t="str">
        <f>IF(Registro!$B348="","",Registro!$B348)</f>
        <v/>
      </c>
      <c r="C348" s="14" t="str">
        <f t="shared" si="15"/>
        <v/>
      </c>
      <c r="D348" s="10" t="str">
        <f>IF(Registro!$E348="","",IF(ISERROR(FIND("x",LOWER(Registro!$E348))),"-",IFERROR(SUMPRODUCT(--("0"&amp;LEFT(TRIM(MID(SUBSTITUTE(SUBSTITUTE(SUBSTITUTE(SUBSTITUTE(SUBSTITUTE(LOWER(Registro!$E348),"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",LEN(Registro!$E348))),({1,2,3,4,5,6,7,8,9,10,11,12,13,14,15,16,17,18,19,20,21,22,23,24,25,26,27,28,29,30}-1)*LEN(Registro!$E348)+1,LEN(Registro!$E348)))&amp;"x")-1))),"Revisar formato")))</f>
        <v/>
      </c>
      <c r="E348" s="11" t="str">
        <f>IF(Registro!$E348="","",IF(ISERROR(FIND("x",LOWER(Registro!$E348))),"-",IFERROR(SUMPRODUCT(--("0"&amp;LEFT(TRIM(MID(SUBSTITUTE(SUBSTITUTE(SUBSTITUTE(SUBSTITUTE(SUBSTITUTE(LOWER(Registro!$E348),"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",LEN(Registro!$E348))),({1,2,3,4,5,6,7,8,9,10,11,12,13,14,15,16,17,18,19,20,21,22,23,24,25,26,27,28,29,30}-1)*LEN(Registro!$E348)+1,LEN(Registro!$E348)))&amp;"x")-1)),--("0"&amp;MID(TRIM(MID(SUBSTITUTE(SUBSTITUTE(SUBSTITUTE(SUBSTITUTE(SUBSTITUTE(LOWER(Registro!$E348),"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",LEN(Registro!$E348))),({1,2,3,4,5,6,7,8,9,10,11,12,13,14,15,16,17,18,19,20,21,22,23,24,25,26,27,28,29,30}-1)*LEN(Registro!$E348)+1,LEN(Registro!$E348)))&amp;"x")+1,20))),"Revisar formato")))</f>
        <v/>
      </c>
      <c r="F348" s="11" t="str">
        <f>IF(Registro!$F348="","",N(Registro!$F348))</f>
        <v/>
      </c>
      <c r="G348" s="11" t="str">
        <f t="shared" si="16"/>
        <v/>
      </c>
      <c r="H348" s="10" t="str">
        <f>IF(Registro!$G348="","",IF(ISERROR(FIND("x",LOWER(Registro!$G348))),"-",IFERROR(SUMPRODUCT(--("0"&amp;LEFT(TRIM(MID(SUBSTITUTE(SUBSTITUTE(SUBSTITUTE(SUBSTITUTE(SUBSTITUTE(LOWER(Registro!$G348),"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",LEN(Registro!$G348))),({1,2,3,4,5,6,7,8,9,10,11,12,13,14,15,16,17,18,19,20,21,22,23,24,25,26,27,28,29,30}-1)*LEN(Registro!$G348)+1,LEN(Registro!$G348))),FIND("x",TRIM(MID(SUBSTITUTE(SUBSTITUTE(SUBSTITUTE(SUBSTITUTE(SUBSTITUTE(LOWER(Registro!$G348),"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",LEN(Registro!$G348))),({1,2,3,4,5,6,7,8,9,10,11,12,13,14,15,16,17,18,19,20,21,22,23,24,25,26,27,28,29,30}-1)*LEN(Registro!$G348)+1,LEN(Registro!$G348)))&amp;"x")-1))),"Revisar formato")))</f>
        <v/>
      </c>
      <c r="I348" s="11" t="str">
        <f>IF(Registro!$G348="","",IF(ISERROR(FIND("x",LOWER(Registro!$G348))),N(Registro!$H348),IFERROR(SUMPRODUCT(--("0"&amp;LEFT(TRIM(MID(SUBSTITUTE(SUBSTITUTE(SUBSTITUTE(SUBSTITUTE(SUBSTITUTE(LOWER(Registro!$G348),"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",LEN(Registro!$G348))),({1,2,3,4,5,6,7,8,9,10,11,12,13,14,15,16,17,18,19,20,21,22,23,24,25,26,27,28,29,30}-1)*LEN(Registro!$G348)+1,LEN(Registro!$G348))),FIND("x",TRIM(MID(SUBSTITUTE(SUBSTITUTE(SUBSTITUTE(SUBSTITUTE(SUBSTITUTE(LOWER(Registro!$G348),"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",LEN(Registro!$G348))),({1,2,3,4,5,6,7,8,9,10,11,12,13,14,15,16,17,18,19,20,21,22,23,24,25,26,27,28,29,30}-1)*LEN(Registro!$G348)+1,LEN(Registro!$G348)))&amp;"x")-1)),--("0"&amp;MID(TRIM(MID(SUBSTITUTE(SUBSTITUTE(SUBSTITUTE(SUBSTITUTE(SUBSTITUTE(LOWER(Registro!$G348),"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",LEN(Registro!$G348))),({1,2,3,4,5,6,7,8,9,10,11,12,13,14,15,16,17,18,19,20,21,22,23,24,25,26,27,28,29,30}-1)*LEN(Registro!$G348)+1,LEN(Registro!$G348))),FIND("x",TRIM(MID(SUBSTITUTE(SUBSTITUTE(SUBSTITUTE(SUBSTITUTE(SUBSTITUTE(LOWER(Registro!$G348),"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",LEN(Registro!$G348))),({1,2,3,4,5,6,7,8,9,10,11,12,13,14,15,16,17,18,19,20,21,22,23,24,25,26,27,28,29,30}-1)*LEN(Registro!$G348)+1,LEN(Registro!$G348)))&amp;"x")+1,20))),"Revisar formato")))</f>
        <v/>
      </c>
      <c r="J348" s="9" t="str">
        <f>IF(AND(Registro!$E348="",Registro!$G348=""),"",IF(NOT(AND(ISNUMBER(I348),ISNUMBER(Registro!$H348))),"",IF(I348&lt;Registro!$H348,"FALTA BOLETOS",IF(I348=Registro!$H348,"CONFORME","DIFERENCIA"))))</f>
        <v/>
      </c>
      <c r="K348" s="11" t="str">
        <f>IF(Registro!$I348="","",IFERROR(SUMPRODUCT(--("0"&amp;TRIM(RIGHT(SUBSTITUTE(TRIM(MID(SUBSTITUTE(SUBSTITUTE(Registro!$I348,";",CHAR(10)),CHAR(10),REPT(" ",LEN(Registro!$I348))),({1,2,3,4,5,6,7,8,9,10,11,12,13,14,15,16,17,18,19,20,21,22,23,24,25,26,27,28,29,30}-1)*LEN(Registro!$I348)+1,LEN(Registro!$I348)))," ",REPT(" ",50)),50)))),"Revisar formato"))</f>
        <v/>
      </c>
      <c r="L348" s="11" t="str">
        <f>IF(Registro!$J348="","",IFERROR(SUMPRODUCT(--("0"&amp;TRIM(RIGHT(SUBSTITUTE(TRIM(MID(SUBSTITUTE(SUBSTITUTE(Registro!$J348,";",CHAR(10)),CHAR(10),REPT(" ",LEN(Registro!$J348))),({1,2,3,4,5,6,7,8,9,10,11,12,13,14,15,16,17,18,19,20,21,22,23,24,25,26,27,28,29,30}-1)*LEN(Registro!$J348)+1,LEN(Registro!$J348)))," ",REPT(" ",50)),50)))),"Revisar formato"))</f>
        <v/>
      </c>
      <c r="M348" s="11" t="str">
        <f>IF(AND(Registro!$H348="",Registro!$I348=""),"",IF(AND(ISTEXT(K348),K348&lt;&gt;""),"Revisar formato",N(Registro!$H348)-N(K348)))</f>
        <v/>
      </c>
      <c r="N348" s="11" t="str">
        <f t="shared" si="17"/>
        <v/>
      </c>
      <c r="O348" s="15" t="str">
        <f>IF(AND(A348=Consulta!$B$3,C348=Consulta!$H$3),B348*10000+ROW(),"")</f>
        <v/>
      </c>
    </row>
    <row r="349" spans="1:15" x14ac:dyDescent="0.25">
      <c r="A349" s="9" t="str">
        <f>IF(Registro!$A349="","",Registro!$A349)</f>
        <v/>
      </c>
      <c r="B349" s="8" t="str">
        <f>IF(Registro!$B349="","",Registro!$B349)</f>
        <v/>
      </c>
      <c r="C349" s="14" t="str">
        <f t="shared" si="15"/>
        <v/>
      </c>
      <c r="D349" s="10" t="str">
        <f>IF(Registro!$E349="","",IF(ISERROR(FIND("x",LOWER(Registro!$E349))),"-",IFERROR(SUMPRODUCT(--("0"&amp;LEFT(TRIM(MID(SUBSTITUTE(SUBSTITUTE(SUBSTITUTE(SUBSTITUTE(SUBSTITUTE(LOWER(Registro!$E349),"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",LEN(Registro!$E349))),({1,2,3,4,5,6,7,8,9,10,11,12,13,14,15,16,17,18,19,20,21,22,23,24,25,26,27,28,29,30}-1)*LEN(Registro!$E349)+1,LEN(Registro!$E349)))&amp;"x")-1))),"Revisar formato")))</f>
        <v/>
      </c>
      <c r="E349" s="11" t="str">
        <f>IF(Registro!$E349="","",IF(ISERROR(FIND("x",LOWER(Registro!$E349))),"-",IFERROR(SUMPRODUCT(--("0"&amp;LEFT(TRIM(MID(SUBSTITUTE(SUBSTITUTE(SUBSTITUTE(SUBSTITUTE(SUBSTITUTE(LOWER(Registro!$E349),"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",LEN(Registro!$E349))),({1,2,3,4,5,6,7,8,9,10,11,12,13,14,15,16,17,18,19,20,21,22,23,24,25,26,27,28,29,30}-1)*LEN(Registro!$E349)+1,LEN(Registro!$E349)))&amp;"x")-1)),--("0"&amp;MID(TRIM(MID(SUBSTITUTE(SUBSTITUTE(SUBSTITUTE(SUBSTITUTE(SUBSTITUTE(LOWER(Registro!$E349),"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",LEN(Registro!$E349))),({1,2,3,4,5,6,7,8,9,10,11,12,13,14,15,16,17,18,19,20,21,22,23,24,25,26,27,28,29,30}-1)*LEN(Registro!$E349)+1,LEN(Registro!$E349)))&amp;"x")+1,20))),"Revisar formato")))</f>
        <v/>
      </c>
      <c r="F349" s="11" t="str">
        <f>IF(Registro!$F349="","",N(Registro!$F349))</f>
        <v/>
      </c>
      <c r="G349" s="11" t="str">
        <f t="shared" si="16"/>
        <v/>
      </c>
      <c r="H349" s="10" t="str">
        <f>IF(Registro!$G349="","",IF(ISERROR(FIND("x",LOWER(Registro!$G349))),"-",IFERROR(SUMPRODUCT(--("0"&amp;LEFT(TRIM(MID(SUBSTITUTE(SUBSTITUTE(SUBSTITUTE(SUBSTITUTE(SUBSTITUTE(LOWER(Registro!$G349),"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",LEN(Registro!$G349))),({1,2,3,4,5,6,7,8,9,10,11,12,13,14,15,16,17,18,19,20,21,22,23,24,25,26,27,28,29,30}-1)*LEN(Registro!$G349)+1,LEN(Registro!$G349))),FIND("x",TRIM(MID(SUBSTITUTE(SUBSTITUTE(SUBSTITUTE(SUBSTITUTE(SUBSTITUTE(LOWER(Registro!$G349),"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",LEN(Registro!$G349))),({1,2,3,4,5,6,7,8,9,10,11,12,13,14,15,16,17,18,19,20,21,22,23,24,25,26,27,28,29,30}-1)*LEN(Registro!$G349)+1,LEN(Registro!$G349)))&amp;"x")-1))),"Revisar formato")))</f>
        <v/>
      </c>
      <c r="I349" s="11" t="str">
        <f>IF(Registro!$G349="","",IF(ISERROR(FIND("x",LOWER(Registro!$G349))),N(Registro!$H349),IFERROR(SUMPRODUCT(--("0"&amp;LEFT(TRIM(MID(SUBSTITUTE(SUBSTITUTE(SUBSTITUTE(SUBSTITUTE(SUBSTITUTE(LOWER(Registro!$G349),"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",LEN(Registro!$G349))),({1,2,3,4,5,6,7,8,9,10,11,12,13,14,15,16,17,18,19,20,21,22,23,24,25,26,27,28,29,30}-1)*LEN(Registro!$G349)+1,LEN(Registro!$G349))),FIND("x",TRIM(MID(SUBSTITUTE(SUBSTITUTE(SUBSTITUTE(SUBSTITUTE(SUBSTITUTE(LOWER(Registro!$G349),"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",LEN(Registro!$G349))),({1,2,3,4,5,6,7,8,9,10,11,12,13,14,15,16,17,18,19,20,21,22,23,24,25,26,27,28,29,30}-1)*LEN(Registro!$G349)+1,LEN(Registro!$G349)))&amp;"x")-1)),--("0"&amp;MID(TRIM(MID(SUBSTITUTE(SUBSTITUTE(SUBSTITUTE(SUBSTITUTE(SUBSTITUTE(LOWER(Registro!$G349),"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",LEN(Registro!$G349))),({1,2,3,4,5,6,7,8,9,10,11,12,13,14,15,16,17,18,19,20,21,22,23,24,25,26,27,28,29,30}-1)*LEN(Registro!$G349)+1,LEN(Registro!$G349))),FIND("x",TRIM(MID(SUBSTITUTE(SUBSTITUTE(SUBSTITUTE(SUBSTITUTE(SUBSTITUTE(LOWER(Registro!$G349),"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",LEN(Registro!$G349))),({1,2,3,4,5,6,7,8,9,10,11,12,13,14,15,16,17,18,19,20,21,22,23,24,25,26,27,28,29,30}-1)*LEN(Registro!$G349)+1,LEN(Registro!$G349)))&amp;"x")+1,20))),"Revisar formato")))</f>
        <v/>
      </c>
      <c r="J349" s="9" t="str">
        <f>IF(AND(Registro!$E349="",Registro!$G349=""),"",IF(NOT(AND(ISNUMBER(I349),ISNUMBER(Registro!$H349))),"",IF(I349&lt;Registro!$H349,"FALTA BOLETOS",IF(I349=Registro!$H349,"CONFORME","DIFERENCIA"))))</f>
        <v/>
      </c>
      <c r="K349" s="11" t="str">
        <f>IF(Registro!$I349="","",IFERROR(SUMPRODUCT(--("0"&amp;TRIM(RIGHT(SUBSTITUTE(TRIM(MID(SUBSTITUTE(SUBSTITUTE(Registro!$I349,";",CHAR(10)),CHAR(10),REPT(" ",LEN(Registro!$I349))),({1,2,3,4,5,6,7,8,9,10,11,12,13,14,15,16,17,18,19,20,21,22,23,24,25,26,27,28,29,30}-1)*LEN(Registro!$I349)+1,LEN(Registro!$I349)))," ",REPT(" ",50)),50)))),"Revisar formato"))</f>
        <v/>
      </c>
      <c r="L349" s="11" t="str">
        <f>IF(Registro!$J349="","",IFERROR(SUMPRODUCT(--("0"&amp;TRIM(RIGHT(SUBSTITUTE(TRIM(MID(SUBSTITUTE(SUBSTITUTE(Registro!$J349,";",CHAR(10)),CHAR(10),REPT(" ",LEN(Registro!$J349))),({1,2,3,4,5,6,7,8,9,10,11,12,13,14,15,16,17,18,19,20,21,22,23,24,25,26,27,28,29,30}-1)*LEN(Registro!$J349)+1,LEN(Registro!$J349)))," ",REPT(" ",50)),50)))),"Revisar formato"))</f>
        <v/>
      </c>
      <c r="M349" s="11" t="str">
        <f>IF(AND(Registro!$H349="",Registro!$I349=""),"",IF(AND(ISTEXT(K349),K349&lt;&gt;""),"Revisar formato",N(Registro!$H349)-N(K349)))</f>
        <v/>
      </c>
      <c r="N349" s="11" t="str">
        <f t="shared" si="17"/>
        <v/>
      </c>
      <c r="O349" s="15" t="str">
        <f>IF(AND(A349=Consulta!$B$3,C349=Consulta!$H$3),B349*10000+ROW(),"")</f>
        <v/>
      </c>
    </row>
    <row r="350" spans="1:15" x14ac:dyDescent="0.25">
      <c r="A350" s="9" t="str">
        <f>IF(Registro!$A350="","",Registro!$A350)</f>
        <v/>
      </c>
      <c r="B350" s="8" t="str">
        <f>IF(Registro!$B350="","",Registro!$B350)</f>
        <v/>
      </c>
      <c r="C350" s="14" t="str">
        <f t="shared" si="15"/>
        <v/>
      </c>
      <c r="D350" s="10" t="str">
        <f>IF(Registro!$E350="","",IF(ISERROR(FIND("x",LOWER(Registro!$E350))),"-",IFERROR(SUMPRODUCT(--("0"&amp;LEFT(TRIM(MID(SUBSTITUTE(SUBSTITUTE(SUBSTITUTE(SUBSTITUTE(SUBSTITUTE(LOWER(Registro!$E350),"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",LEN(Registro!$E350))),({1,2,3,4,5,6,7,8,9,10,11,12,13,14,15,16,17,18,19,20,21,22,23,24,25,26,27,28,29,30}-1)*LEN(Registro!$E350)+1,LEN(Registro!$E350)))&amp;"x")-1))),"Revisar formato")))</f>
        <v/>
      </c>
      <c r="E350" s="11" t="str">
        <f>IF(Registro!$E350="","",IF(ISERROR(FIND("x",LOWER(Registro!$E350))),"-",IFERROR(SUMPRODUCT(--("0"&amp;LEFT(TRIM(MID(SUBSTITUTE(SUBSTITUTE(SUBSTITUTE(SUBSTITUTE(SUBSTITUTE(LOWER(Registro!$E350),"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",LEN(Registro!$E350))),({1,2,3,4,5,6,7,8,9,10,11,12,13,14,15,16,17,18,19,20,21,22,23,24,25,26,27,28,29,30}-1)*LEN(Registro!$E350)+1,LEN(Registro!$E350)))&amp;"x")-1)),--("0"&amp;MID(TRIM(MID(SUBSTITUTE(SUBSTITUTE(SUBSTITUTE(SUBSTITUTE(SUBSTITUTE(LOWER(Registro!$E350),"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",LEN(Registro!$E350))),({1,2,3,4,5,6,7,8,9,10,11,12,13,14,15,16,17,18,19,20,21,22,23,24,25,26,27,28,29,30}-1)*LEN(Registro!$E350)+1,LEN(Registro!$E350)))&amp;"x")+1,20))),"Revisar formato")))</f>
        <v/>
      </c>
      <c r="F350" s="11" t="str">
        <f>IF(Registro!$F350="","",N(Registro!$F350))</f>
        <v/>
      </c>
      <c r="G350" s="11" t="str">
        <f t="shared" si="16"/>
        <v/>
      </c>
      <c r="H350" s="10" t="str">
        <f>IF(Registro!$G350="","",IF(ISERROR(FIND("x",LOWER(Registro!$G350))),"-",IFERROR(SUMPRODUCT(--("0"&amp;LEFT(TRIM(MID(SUBSTITUTE(SUBSTITUTE(SUBSTITUTE(SUBSTITUTE(SUBSTITUTE(LOWER(Registro!$G350),"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",LEN(Registro!$G350))),({1,2,3,4,5,6,7,8,9,10,11,12,13,14,15,16,17,18,19,20,21,22,23,24,25,26,27,28,29,30}-1)*LEN(Registro!$G350)+1,LEN(Registro!$G350))),FIND("x",TRIM(MID(SUBSTITUTE(SUBSTITUTE(SUBSTITUTE(SUBSTITUTE(SUBSTITUTE(LOWER(Registro!$G350),"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",LEN(Registro!$G350))),({1,2,3,4,5,6,7,8,9,10,11,12,13,14,15,16,17,18,19,20,21,22,23,24,25,26,27,28,29,30}-1)*LEN(Registro!$G350)+1,LEN(Registro!$G350)))&amp;"x")-1))),"Revisar formato")))</f>
        <v/>
      </c>
      <c r="I350" s="11" t="str">
        <f>IF(Registro!$G350="","",IF(ISERROR(FIND("x",LOWER(Registro!$G350))),N(Registro!$H350),IFERROR(SUMPRODUCT(--("0"&amp;LEFT(TRIM(MID(SUBSTITUTE(SUBSTITUTE(SUBSTITUTE(SUBSTITUTE(SUBSTITUTE(LOWER(Registro!$G350),"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",LEN(Registro!$G350))),({1,2,3,4,5,6,7,8,9,10,11,12,13,14,15,16,17,18,19,20,21,22,23,24,25,26,27,28,29,30}-1)*LEN(Registro!$G350)+1,LEN(Registro!$G350))),FIND("x",TRIM(MID(SUBSTITUTE(SUBSTITUTE(SUBSTITUTE(SUBSTITUTE(SUBSTITUTE(LOWER(Registro!$G350),"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",LEN(Registro!$G350))),({1,2,3,4,5,6,7,8,9,10,11,12,13,14,15,16,17,18,19,20,21,22,23,24,25,26,27,28,29,30}-1)*LEN(Registro!$G350)+1,LEN(Registro!$G350)))&amp;"x")-1)),--("0"&amp;MID(TRIM(MID(SUBSTITUTE(SUBSTITUTE(SUBSTITUTE(SUBSTITUTE(SUBSTITUTE(LOWER(Registro!$G350),"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",LEN(Registro!$G350))),({1,2,3,4,5,6,7,8,9,10,11,12,13,14,15,16,17,18,19,20,21,22,23,24,25,26,27,28,29,30}-1)*LEN(Registro!$G350)+1,LEN(Registro!$G350))),FIND("x",TRIM(MID(SUBSTITUTE(SUBSTITUTE(SUBSTITUTE(SUBSTITUTE(SUBSTITUTE(LOWER(Registro!$G350),"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",LEN(Registro!$G350))),({1,2,3,4,5,6,7,8,9,10,11,12,13,14,15,16,17,18,19,20,21,22,23,24,25,26,27,28,29,30}-1)*LEN(Registro!$G350)+1,LEN(Registro!$G350)))&amp;"x")+1,20))),"Revisar formato")))</f>
        <v/>
      </c>
      <c r="J350" s="9" t="str">
        <f>IF(AND(Registro!$E350="",Registro!$G350=""),"",IF(NOT(AND(ISNUMBER(I350),ISNUMBER(Registro!$H350))),"",IF(I350&lt;Registro!$H350,"FALTA BOLETOS",IF(I350=Registro!$H350,"CONFORME","DIFERENCIA"))))</f>
        <v/>
      </c>
      <c r="K350" s="11" t="str">
        <f>IF(Registro!$I350="","",IFERROR(SUMPRODUCT(--("0"&amp;TRIM(RIGHT(SUBSTITUTE(TRIM(MID(SUBSTITUTE(SUBSTITUTE(Registro!$I350,";",CHAR(10)),CHAR(10),REPT(" ",LEN(Registro!$I350))),({1,2,3,4,5,6,7,8,9,10,11,12,13,14,15,16,17,18,19,20,21,22,23,24,25,26,27,28,29,30}-1)*LEN(Registro!$I350)+1,LEN(Registro!$I350)))," ",REPT(" ",50)),50)))),"Revisar formato"))</f>
        <v/>
      </c>
      <c r="L350" s="11" t="str">
        <f>IF(Registro!$J350="","",IFERROR(SUMPRODUCT(--("0"&amp;TRIM(RIGHT(SUBSTITUTE(TRIM(MID(SUBSTITUTE(SUBSTITUTE(Registro!$J350,";",CHAR(10)),CHAR(10),REPT(" ",LEN(Registro!$J350))),({1,2,3,4,5,6,7,8,9,10,11,12,13,14,15,16,17,18,19,20,21,22,23,24,25,26,27,28,29,30}-1)*LEN(Registro!$J350)+1,LEN(Registro!$J350)))," ",REPT(" ",50)),50)))),"Revisar formato"))</f>
        <v/>
      </c>
      <c r="M350" s="11" t="str">
        <f>IF(AND(Registro!$H350="",Registro!$I350=""),"",IF(AND(ISTEXT(K350),K350&lt;&gt;""),"Revisar formato",N(Registro!$H350)-N(K350)))</f>
        <v/>
      </c>
      <c r="N350" s="11" t="str">
        <f t="shared" si="17"/>
        <v/>
      </c>
      <c r="O350" s="15" t="str">
        <f>IF(AND(A350=Consulta!$B$3,C350=Consulta!$H$3),B350*10000+ROW(),"")</f>
        <v/>
      </c>
    </row>
    <row r="351" spans="1:15" x14ac:dyDescent="0.25">
      <c r="A351" s="9" t="str">
        <f>IF(Registro!$A351="","",Registro!$A351)</f>
        <v/>
      </c>
      <c r="B351" s="8" t="str">
        <f>IF(Registro!$B351="","",Registro!$B351)</f>
        <v/>
      </c>
      <c r="C351" s="14" t="str">
        <f t="shared" si="15"/>
        <v/>
      </c>
      <c r="D351" s="10" t="str">
        <f>IF(Registro!$E351="","",IF(ISERROR(FIND("x",LOWER(Registro!$E351))),"-",IFERROR(SUMPRODUCT(--("0"&amp;LEFT(TRIM(MID(SUBSTITUTE(SUBSTITUTE(SUBSTITUTE(SUBSTITUTE(SUBSTITUTE(LOWER(Registro!$E351),"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",LEN(Registro!$E351))),({1,2,3,4,5,6,7,8,9,10,11,12,13,14,15,16,17,18,19,20,21,22,23,24,25,26,27,28,29,30}-1)*LEN(Registro!$E351)+1,LEN(Registro!$E351)))&amp;"x")-1))),"Revisar formato")))</f>
        <v/>
      </c>
      <c r="E351" s="11" t="str">
        <f>IF(Registro!$E351="","",IF(ISERROR(FIND("x",LOWER(Registro!$E351))),"-",IFERROR(SUMPRODUCT(--("0"&amp;LEFT(TRIM(MID(SUBSTITUTE(SUBSTITUTE(SUBSTITUTE(SUBSTITUTE(SUBSTITUTE(LOWER(Registro!$E351),"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",LEN(Registro!$E351))),({1,2,3,4,5,6,7,8,9,10,11,12,13,14,15,16,17,18,19,20,21,22,23,24,25,26,27,28,29,30}-1)*LEN(Registro!$E351)+1,LEN(Registro!$E351)))&amp;"x")-1)),--("0"&amp;MID(TRIM(MID(SUBSTITUTE(SUBSTITUTE(SUBSTITUTE(SUBSTITUTE(SUBSTITUTE(LOWER(Registro!$E351),"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",LEN(Registro!$E351))),({1,2,3,4,5,6,7,8,9,10,11,12,13,14,15,16,17,18,19,20,21,22,23,24,25,26,27,28,29,30}-1)*LEN(Registro!$E351)+1,LEN(Registro!$E351)))&amp;"x")+1,20))),"Revisar formato")))</f>
        <v/>
      </c>
      <c r="F351" s="11" t="str">
        <f>IF(Registro!$F351="","",N(Registro!$F351))</f>
        <v/>
      </c>
      <c r="G351" s="11" t="str">
        <f t="shared" si="16"/>
        <v/>
      </c>
      <c r="H351" s="10" t="str">
        <f>IF(Registro!$G351="","",IF(ISERROR(FIND("x",LOWER(Registro!$G351))),"-",IFERROR(SUMPRODUCT(--("0"&amp;LEFT(TRIM(MID(SUBSTITUTE(SUBSTITUTE(SUBSTITUTE(SUBSTITUTE(SUBSTITUTE(LOWER(Registro!$G351),"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",LEN(Registro!$G351))),({1,2,3,4,5,6,7,8,9,10,11,12,13,14,15,16,17,18,19,20,21,22,23,24,25,26,27,28,29,30}-1)*LEN(Registro!$G351)+1,LEN(Registro!$G351))),FIND("x",TRIM(MID(SUBSTITUTE(SUBSTITUTE(SUBSTITUTE(SUBSTITUTE(SUBSTITUTE(LOWER(Registro!$G351),"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",LEN(Registro!$G351))),({1,2,3,4,5,6,7,8,9,10,11,12,13,14,15,16,17,18,19,20,21,22,23,24,25,26,27,28,29,30}-1)*LEN(Registro!$G351)+1,LEN(Registro!$G351)))&amp;"x")-1))),"Revisar formato")))</f>
        <v/>
      </c>
      <c r="I351" s="11" t="str">
        <f>IF(Registro!$G351="","",IF(ISERROR(FIND("x",LOWER(Registro!$G351))),N(Registro!$H351),IFERROR(SUMPRODUCT(--("0"&amp;LEFT(TRIM(MID(SUBSTITUTE(SUBSTITUTE(SUBSTITUTE(SUBSTITUTE(SUBSTITUTE(LOWER(Registro!$G351),"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",LEN(Registro!$G351))),({1,2,3,4,5,6,7,8,9,10,11,12,13,14,15,16,17,18,19,20,21,22,23,24,25,26,27,28,29,30}-1)*LEN(Registro!$G351)+1,LEN(Registro!$G351))),FIND("x",TRIM(MID(SUBSTITUTE(SUBSTITUTE(SUBSTITUTE(SUBSTITUTE(SUBSTITUTE(LOWER(Registro!$G351),"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",LEN(Registro!$G351))),({1,2,3,4,5,6,7,8,9,10,11,12,13,14,15,16,17,18,19,20,21,22,23,24,25,26,27,28,29,30}-1)*LEN(Registro!$G351)+1,LEN(Registro!$G351)))&amp;"x")-1)),--("0"&amp;MID(TRIM(MID(SUBSTITUTE(SUBSTITUTE(SUBSTITUTE(SUBSTITUTE(SUBSTITUTE(LOWER(Registro!$G351),"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",LEN(Registro!$G351))),({1,2,3,4,5,6,7,8,9,10,11,12,13,14,15,16,17,18,19,20,21,22,23,24,25,26,27,28,29,30}-1)*LEN(Registro!$G351)+1,LEN(Registro!$G351))),FIND("x",TRIM(MID(SUBSTITUTE(SUBSTITUTE(SUBSTITUTE(SUBSTITUTE(SUBSTITUTE(LOWER(Registro!$G351),"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",LEN(Registro!$G351))),({1,2,3,4,5,6,7,8,9,10,11,12,13,14,15,16,17,18,19,20,21,22,23,24,25,26,27,28,29,30}-1)*LEN(Registro!$G351)+1,LEN(Registro!$G351)))&amp;"x")+1,20))),"Revisar formato")))</f>
        <v/>
      </c>
      <c r="J351" s="9" t="str">
        <f>IF(AND(Registro!$E351="",Registro!$G351=""),"",IF(NOT(AND(ISNUMBER(I351),ISNUMBER(Registro!$H351))),"",IF(I351&lt;Registro!$H351,"FALTA BOLETOS",IF(I351=Registro!$H351,"CONFORME","DIFERENCIA"))))</f>
        <v/>
      </c>
      <c r="K351" s="11" t="str">
        <f>IF(Registro!$I351="","",IFERROR(SUMPRODUCT(--("0"&amp;TRIM(RIGHT(SUBSTITUTE(TRIM(MID(SUBSTITUTE(SUBSTITUTE(Registro!$I351,";",CHAR(10)),CHAR(10),REPT(" ",LEN(Registro!$I351))),({1,2,3,4,5,6,7,8,9,10,11,12,13,14,15,16,17,18,19,20,21,22,23,24,25,26,27,28,29,30}-1)*LEN(Registro!$I351)+1,LEN(Registro!$I351)))," ",REPT(" ",50)),50)))),"Revisar formato"))</f>
        <v/>
      </c>
      <c r="L351" s="11" t="str">
        <f>IF(Registro!$J351="","",IFERROR(SUMPRODUCT(--("0"&amp;TRIM(RIGHT(SUBSTITUTE(TRIM(MID(SUBSTITUTE(SUBSTITUTE(Registro!$J351,";",CHAR(10)),CHAR(10),REPT(" ",LEN(Registro!$J351))),({1,2,3,4,5,6,7,8,9,10,11,12,13,14,15,16,17,18,19,20,21,22,23,24,25,26,27,28,29,30}-1)*LEN(Registro!$J351)+1,LEN(Registro!$J351)))," ",REPT(" ",50)),50)))),"Revisar formato"))</f>
        <v/>
      </c>
      <c r="M351" s="11" t="str">
        <f>IF(AND(Registro!$H351="",Registro!$I351=""),"",IF(AND(ISTEXT(K351),K351&lt;&gt;""),"Revisar formato",N(Registro!$H351)-N(K351)))</f>
        <v/>
      </c>
      <c r="N351" s="11" t="str">
        <f t="shared" si="17"/>
        <v/>
      </c>
      <c r="O351" s="15" t="str">
        <f>IF(AND(A351=Consulta!$B$3,C351=Consulta!$H$3),B351*10000+ROW(),"")</f>
        <v/>
      </c>
    </row>
    <row r="352" spans="1:15" x14ac:dyDescent="0.25">
      <c r="A352" s="9" t="str">
        <f>IF(Registro!$A352="","",Registro!$A352)</f>
        <v/>
      </c>
      <c r="B352" s="8" t="str">
        <f>IF(Registro!$B352="","",Registro!$B352)</f>
        <v/>
      </c>
      <c r="C352" s="14" t="str">
        <f t="shared" si="15"/>
        <v/>
      </c>
      <c r="D352" s="10" t="str">
        <f>IF(Registro!$E352="","",IF(ISERROR(FIND("x",LOWER(Registro!$E352))),"-",IFERROR(SUMPRODUCT(--("0"&amp;LEFT(TRIM(MID(SUBSTITUTE(SUBSTITUTE(SUBSTITUTE(SUBSTITUTE(SUBSTITUTE(LOWER(Registro!$E352),"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",LEN(Registro!$E352))),({1,2,3,4,5,6,7,8,9,10,11,12,13,14,15,16,17,18,19,20,21,22,23,24,25,26,27,28,29,30}-1)*LEN(Registro!$E352)+1,LEN(Registro!$E352)))&amp;"x")-1))),"Revisar formato")))</f>
        <v/>
      </c>
      <c r="E352" s="11" t="str">
        <f>IF(Registro!$E352="","",IF(ISERROR(FIND("x",LOWER(Registro!$E352))),"-",IFERROR(SUMPRODUCT(--("0"&amp;LEFT(TRIM(MID(SUBSTITUTE(SUBSTITUTE(SUBSTITUTE(SUBSTITUTE(SUBSTITUTE(LOWER(Registro!$E352),"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",LEN(Registro!$E352))),({1,2,3,4,5,6,7,8,9,10,11,12,13,14,15,16,17,18,19,20,21,22,23,24,25,26,27,28,29,30}-1)*LEN(Registro!$E352)+1,LEN(Registro!$E352)))&amp;"x")-1)),--("0"&amp;MID(TRIM(MID(SUBSTITUTE(SUBSTITUTE(SUBSTITUTE(SUBSTITUTE(SUBSTITUTE(LOWER(Registro!$E352),"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",LEN(Registro!$E352))),({1,2,3,4,5,6,7,8,9,10,11,12,13,14,15,16,17,18,19,20,21,22,23,24,25,26,27,28,29,30}-1)*LEN(Registro!$E352)+1,LEN(Registro!$E352)))&amp;"x")+1,20))),"Revisar formato")))</f>
        <v/>
      </c>
      <c r="F352" s="11" t="str">
        <f>IF(Registro!$F352="","",N(Registro!$F352))</f>
        <v/>
      </c>
      <c r="G352" s="11" t="str">
        <f t="shared" si="16"/>
        <v/>
      </c>
      <c r="H352" s="10" t="str">
        <f>IF(Registro!$G352="","",IF(ISERROR(FIND("x",LOWER(Registro!$G352))),"-",IFERROR(SUMPRODUCT(--("0"&amp;LEFT(TRIM(MID(SUBSTITUTE(SUBSTITUTE(SUBSTITUTE(SUBSTITUTE(SUBSTITUTE(LOWER(Registro!$G352),"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",LEN(Registro!$G352))),({1,2,3,4,5,6,7,8,9,10,11,12,13,14,15,16,17,18,19,20,21,22,23,24,25,26,27,28,29,30}-1)*LEN(Registro!$G352)+1,LEN(Registro!$G352))),FIND("x",TRIM(MID(SUBSTITUTE(SUBSTITUTE(SUBSTITUTE(SUBSTITUTE(SUBSTITUTE(LOWER(Registro!$G352),"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",LEN(Registro!$G352))),({1,2,3,4,5,6,7,8,9,10,11,12,13,14,15,16,17,18,19,20,21,22,23,24,25,26,27,28,29,30}-1)*LEN(Registro!$G352)+1,LEN(Registro!$G352)))&amp;"x")-1))),"Revisar formato")))</f>
        <v/>
      </c>
      <c r="I352" s="11" t="str">
        <f>IF(Registro!$G352="","",IF(ISERROR(FIND("x",LOWER(Registro!$G352))),N(Registro!$H352),IFERROR(SUMPRODUCT(--("0"&amp;LEFT(TRIM(MID(SUBSTITUTE(SUBSTITUTE(SUBSTITUTE(SUBSTITUTE(SUBSTITUTE(LOWER(Registro!$G352),"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",LEN(Registro!$G352))),({1,2,3,4,5,6,7,8,9,10,11,12,13,14,15,16,17,18,19,20,21,22,23,24,25,26,27,28,29,30}-1)*LEN(Registro!$G352)+1,LEN(Registro!$G352))),FIND("x",TRIM(MID(SUBSTITUTE(SUBSTITUTE(SUBSTITUTE(SUBSTITUTE(SUBSTITUTE(LOWER(Registro!$G352),"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",LEN(Registro!$G352))),({1,2,3,4,5,6,7,8,9,10,11,12,13,14,15,16,17,18,19,20,21,22,23,24,25,26,27,28,29,30}-1)*LEN(Registro!$G352)+1,LEN(Registro!$G352)))&amp;"x")-1)),--("0"&amp;MID(TRIM(MID(SUBSTITUTE(SUBSTITUTE(SUBSTITUTE(SUBSTITUTE(SUBSTITUTE(LOWER(Registro!$G352),"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",LEN(Registro!$G352))),({1,2,3,4,5,6,7,8,9,10,11,12,13,14,15,16,17,18,19,20,21,22,23,24,25,26,27,28,29,30}-1)*LEN(Registro!$G352)+1,LEN(Registro!$G352))),FIND("x",TRIM(MID(SUBSTITUTE(SUBSTITUTE(SUBSTITUTE(SUBSTITUTE(SUBSTITUTE(LOWER(Registro!$G352),"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",LEN(Registro!$G352))),({1,2,3,4,5,6,7,8,9,10,11,12,13,14,15,16,17,18,19,20,21,22,23,24,25,26,27,28,29,30}-1)*LEN(Registro!$G352)+1,LEN(Registro!$G352)))&amp;"x")+1,20))),"Revisar formato")))</f>
        <v/>
      </c>
      <c r="J352" s="9" t="str">
        <f>IF(AND(Registro!$E352="",Registro!$G352=""),"",IF(NOT(AND(ISNUMBER(I352),ISNUMBER(Registro!$H352))),"",IF(I352&lt;Registro!$H352,"FALTA BOLETOS",IF(I352=Registro!$H352,"CONFORME","DIFERENCIA"))))</f>
        <v/>
      </c>
      <c r="K352" s="11" t="str">
        <f>IF(Registro!$I352="","",IFERROR(SUMPRODUCT(--("0"&amp;TRIM(RIGHT(SUBSTITUTE(TRIM(MID(SUBSTITUTE(SUBSTITUTE(Registro!$I352,";",CHAR(10)),CHAR(10),REPT(" ",LEN(Registro!$I352))),({1,2,3,4,5,6,7,8,9,10,11,12,13,14,15,16,17,18,19,20,21,22,23,24,25,26,27,28,29,30}-1)*LEN(Registro!$I352)+1,LEN(Registro!$I352)))," ",REPT(" ",50)),50)))),"Revisar formato"))</f>
        <v/>
      </c>
      <c r="L352" s="11" t="str">
        <f>IF(Registro!$J352="","",IFERROR(SUMPRODUCT(--("0"&amp;TRIM(RIGHT(SUBSTITUTE(TRIM(MID(SUBSTITUTE(SUBSTITUTE(Registro!$J352,";",CHAR(10)),CHAR(10),REPT(" ",LEN(Registro!$J352))),({1,2,3,4,5,6,7,8,9,10,11,12,13,14,15,16,17,18,19,20,21,22,23,24,25,26,27,28,29,30}-1)*LEN(Registro!$J352)+1,LEN(Registro!$J352)))," ",REPT(" ",50)),50)))),"Revisar formato"))</f>
        <v/>
      </c>
      <c r="M352" s="11" t="str">
        <f>IF(AND(Registro!$H352="",Registro!$I352=""),"",IF(AND(ISTEXT(K352),K352&lt;&gt;""),"Revisar formato",N(Registro!$H352)-N(K352)))</f>
        <v/>
      </c>
      <c r="N352" s="11" t="str">
        <f t="shared" si="17"/>
        <v/>
      </c>
      <c r="O352" s="15" t="str">
        <f>IF(AND(A352=Consulta!$B$3,C352=Consulta!$H$3),B352*10000+ROW(),"")</f>
        <v/>
      </c>
    </row>
    <row r="353" spans="1:15" x14ac:dyDescent="0.25">
      <c r="A353" s="9" t="str">
        <f>IF(Registro!$A353="","",Registro!$A353)</f>
        <v/>
      </c>
      <c r="B353" s="8" t="str">
        <f>IF(Registro!$B353="","",Registro!$B353)</f>
        <v/>
      </c>
      <c r="C353" s="14" t="str">
        <f t="shared" si="15"/>
        <v/>
      </c>
      <c r="D353" s="10" t="str">
        <f>IF(Registro!$E353="","",IF(ISERROR(FIND("x",LOWER(Registro!$E353))),"-",IFERROR(SUMPRODUCT(--("0"&amp;LEFT(TRIM(MID(SUBSTITUTE(SUBSTITUTE(SUBSTITUTE(SUBSTITUTE(SUBSTITUTE(LOWER(Registro!$E353),"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",LEN(Registro!$E353))),({1,2,3,4,5,6,7,8,9,10,11,12,13,14,15,16,17,18,19,20,21,22,23,24,25,26,27,28,29,30}-1)*LEN(Registro!$E353)+1,LEN(Registro!$E353)))&amp;"x")-1))),"Revisar formato")))</f>
        <v/>
      </c>
      <c r="E353" s="11" t="str">
        <f>IF(Registro!$E353="","",IF(ISERROR(FIND("x",LOWER(Registro!$E353))),"-",IFERROR(SUMPRODUCT(--("0"&amp;LEFT(TRIM(MID(SUBSTITUTE(SUBSTITUTE(SUBSTITUTE(SUBSTITUTE(SUBSTITUTE(LOWER(Registro!$E353),"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",LEN(Registro!$E353))),({1,2,3,4,5,6,7,8,9,10,11,12,13,14,15,16,17,18,19,20,21,22,23,24,25,26,27,28,29,30}-1)*LEN(Registro!$E353)+1,LEN(Registro!$E353)))&amp;"x")-1)),--("0"&amp;MID(TRIM(MID(SUBSTITUTE(SUBSTITUTE(SUBSTITUTE(SUBSTITUTE(SUBSTITUTE(LOWER(Registro!$E353),"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",LEN(Registro!$E353))),({1,2,3,4,5,6,7,8,9,10,11,12,13,14,15,16,17,18,19,20,21,22,23,24,25,26,27,28,29,30}-1)*LEN(Registro!$E353)+1,LEN(Registro!$E353)))&amp;"x")+1,20))),"Revisar formato")))</f>
        <v/>
      </c>
      <c r="F353" s="11" t="str">
        <f>IF(Registro!$F353="","",N(Registro!$F353))</f>
        <v/>
      </c>
      <c r="G353" s="11" t="str">
        <f t="shared" si="16"/>
        <v/>
      </c>
      <c r="H353" s="10" t="str">
        <f>IF(Registro!$G353="","",IF(ISERROR(FIND("x",LOWER(Registro!$G353))),"-",IFERROR(SUMPRODUCT(--("0"&amp;LEFT(TRIM(MID(SUBSTITUTE(SUBSTITUTE(SUBSTITUTE(SUBSTITUTE(SUBSTITUTE(LOWER(Registro!$G353),"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",LEN(Registro!$G353))),({1,2,3,4,5,6,7,8,9,10,11,12,13,14,15,16,17,18,19,20,21,22,23,24,25,26,27,28,29,30}-1)*LEN(Registro!$G353)+1,LEN(Registro!$G353))),FIND("x",TRIM(MID(SUBSTITUTE(SUBSTITUTE(SUBSTITUTE(SUBSTITUTE(SUBSTITUTE(LOWER(Registro!$G353),"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",LEN(Registro!$G353))),({1,2,3,4,5,6,7,8,9,10,11,12,13,14,15,16,17,18,19,20,21,22,23,24,25,26,27,28,29,30}-1)*LEN(Registro!$G353)+1,LEN(Registro!$G353)))&amp;"x")-1))),"Revisar formato")))</f>
        <v/>
      </c>
      <c r="I353" s="11" t="str">
        <f>IF(Registro!$G353="","",IF(ISERROR(FIND("x",LOWER(Registro!$G353))),N(Registro!$H353),IFERROR(SUMPRODUCT(--("0"&amp;LEFT(TRIM(MID(SUBSTITUTE(SUBSTITUTE(SUBSTITUTE(SUBSTITUTE(SUBSTITUTE(LOWER(Registro!$G353),"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",LEN(Registro!$G353))),({1,2,3,4,5,6,7,8,9,10,11,12,13,14,15,16,17,18,19,20,21,22,23,24,25,26,27,28,29,30}-1)*LEN(Registro!$G353)+1,LEN(Registro!$G353))),FIND("x",TRIM(MID(SUBSTITUTE(SUBSTITUTE(SUBSTITUTE(SUBSTITUTE(SUBSTITUTE(LOWER(Registro!$G353),"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",LEN(Registro!$G353))),({1,2,3,4,5,6,7,8,9,10,11,12,13,14,15,16,17,18,19,20,21,22,23,24,25,26,27,28,29,30}-1)*LEN(Registro!$G353)+1,LEN(Registro!$G353)))&amp;"x")-1)),--("0"&amp;MID(TRIM(MID(SUBSTITUTE(SUBSTITUTE(SUBSTITUTE(SUBSTITUTE(SUBSTITUTE(LOWER(Registro!$G353),"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",LEN(Registro!$G353))),({1,2,3,4,5,6,7,8,9,10,11,12,13,14,15,16,17,18,19,20,21,22,23,24,25,26,27,28,29,30}-1)*LEN(Registro!$G353)+1,LEN(Registro!$G353))),FIND("x",TRIM(MID(SUBSTITUTE(SUBSTITUTE(SUBSTITUTE(SUBSTITUTE(SUBSTITUTE(LOWER(Registro!$G353),"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",LEN(Registro!$G353))),({1,2,3,4,5,6,7,8,9,10,11,12,13,14,15,16,17,18,19,20,21,22,23,24,25,26,27,28,29,30}-1)*LEN(Registro!$G353)+1,LEN(Registro!$G353)))&amp;"x")+1,20))),"Revisar formato")))</f>
        <v/>
      </c>
      <c r="J353" s="9" t="str">
        <f>IF(AND(Registro!$E353="",Registro!$G353=""),"",IF(NOT(AND(ISNUMBER(I353),ISNUMBER(Registro!$H353))),"",IF(I353&lt;Registro!$H353,"FALTA BOLETOS",IF(I353=Registro!$H353,"CONFORME","DIFERENCIA"))))</f>
        <v/>
      </c>
      <c r="K353" s="11" t="str">
        <f>IF(Registro!$I353="","",IFERROR(SUMPRODUCT(--("0"&amp;TRIM(RIGHT(SUBSTITUTE(TRIM(MID(SUBSTITUTE(SUBSTITUTE(Registro!$I353,";",CHAR(10)),CHAR(10),REPT(" ",LEN(Registro!$I353))),({1,2,3,4,5,6,7,8,9,10,11,12,13,14,15,16,17,18,19,20,21,22,23,24,25,26,27,28,29,30}-1)*LEN(Registro!$I353)+1,LEN(Registro!$I353)))," ",REPT(" ",50)),50)))),"Revisar formato"))</f>
        <v/>
      </c>
      <c r="L353" s="11" t="str">
        <f>IF(Registro!$J353="","",IFERROR(SUMPRODUCT(--("0"&amp;TRIM(RIGHT(SUBSTITUTE(TRIM(MID(SUBSTITUTE(SUBSTITUTE(Registro!$J353,";",CHAR(10)),CHAR(10),REPT(" ",LEN(Registro!$J353))),({1,2,3,4,5,6,7,8,9,10,11,12,13,14,15,16,17,18,19,20,21,22,23,24,25,26,27,28,29,30}-1)*LEN(Registro!$J353)+1,LEN(Registro!$J353)))," ",REPT(" ",50)),50)))),"Revisar formato"))</f>
        <v/>
      </c>
      <c r="M353" s="11" t="str">
        <f>IF(AND(Registro!$H353="",Registro!$I353=""),"",IF(AND(ISTEXT(K353),K353&lt;&gt;""),"Revisar formato",N(Registro!$H353)-N(K353)))</f>
        <v/>
      </c>
      <c r="N353" s="11" t="str">
        <f t="shared" si="17"/>
        <v/>
      </c>
      <c r="O353" s="15" t="str">
        <f>IF(AND(A353=Consulta!$B$3,C353=Consulta!$H$3),B353*10000+ROW(),"")</f>
        <v/>
      </c>
    </row>
    <row r="354" spans="1:15" x14ac:dyDescent="0.25">
      <c r="A354" s="9" t="str">
        <f>IF(Registro!$A354="","",Registro!$A354)</f>
        <v/>
      </c>
      <c r="B354" s="8" t="str">
        <f>IF(Registro!$B354="","",Registro!$B354)</f>
        <v/>
      </c>
      <c r="C354" s="14" t="str">
        <f t="shared" si="15"/>
        <v/>
      </c>
      <c r="D354" s="10" t="str">
        <f>IF(Registro!$E354="","",IF(ISERROR(FIND("x",LOWER(Registro!$E354))),"-",IFERROR(SUMPRODUCT(--("0"&amp;LEFT(TRIM(MID(SUBSTITUTE(SUBSTITUTE(SUBSTITUTE(SUBSTITUTE(SUBSTITUTE(LOWER(Registro!$E354),"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",LEN(Registro!$E354))),({1,2,3,4,5,6,7,8,9,10,11,12,13,14,15,16,17,18,19,20,21,22,23,24,25,26,27,28,29,30}-1)*LEN(Registro!$E354)+1,LEN(Registro!$E354)))&amp;"x")-1))),"Revisar formato")))</f>
        <v/>
      </c>
      <c r="E354" s="11" t="str">
        <f>IF(Registro!$E354="","",IF(ISERROR(FIND("x",LOWER(Registro!$E354))),"-",IFERROR(SUMPRODUCT(--("0"&amp;LEFT(TRIM(MID(SUBSTITUTE(SUBSTITUTE(SUBSTITUTE(SUBSTITUTE(SUBSTITUTE(LOWER(Registro!$E354),"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",LEN(Registro!$E354))),({1,2,3,4,5,6,7,8,9,10,11,12,13,14,15,16,17,18,19,20,21,22,23,24,25,26,27,28,29,30}-1)*LEN(Registro!$E354)+1,LEN(Registro!$E354)))&amp;"x")-1)),--("0"&amp;MID(TRIM(MID(SUBSTITUTE(SUBSTITUTE(SUBSTITUTE(SUBSTITUTE(SUBSTITUTE(LOWER(Registro!$E354),"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",LEN(Registro!$E354))),({1,2,3,4,5,6,7,8,9,10,11,12,13,14,15,16,17,18,19,20,21,22,23,24,25,26,27,28,29,30}-1)*LEN(Registro!$E354)+1,LEN(Registro!$E354)))&amp;"x")+1,20))),"Revisar formato")))</f>
        <v/>
      </c>
      <c r="F354" s="11" t="str">
        <f>IF(Registro!$F354="","",N(Registro!$F354))</f>
        <v/>
      </c>
      <c r="G354" s="11" t="str">
        <f t="shared" si="16"/>
        <v/>
      </c>
      <c r="H354" s="10" t="str">
        <f>IF(Registro!$G354="","",IF(ISERROR(FIND("x",LOWER(Registro!$G354))),"-",IFERROR(SUMPRODUCT(--("0"&amp;LEFT(TRIM(MID(SUBSTITUTE(SUBSTITUTE(SUBSTITUTE(SUBSTITUTE(SUBSTITUTE(LOWER(Registro!$G354),"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",LEN(Registro!$G354))),({1,2,3,4,5,6,7,8,9,10,11,12,13,14,15,16,17,18,19,20,21,22,23,24,25,26,27,28,29,30}-1)*LEN(Registro!$G354)+1,LEN(Registro!$G354))),FIND("x",TRIM(MID(SUBSTITUTE(SUBSTITUTE(SUBSTITUTE(SUBSTITUTE(SUBSTITUTE(LOWER(Registro!$G354),"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",LEN(Registro!$G354))),({1,2,3,4,5,6,7,8,9,10,11,12,13,14,15,16,17,18,19,20,21,22,23,24,25,26,27,28,29,30}-1)*LEN(Registro!$G354)+1,LEN(Registro!$G354)))&amp;"x")-1))),"Revisar formato")))</f>
        <v/>
      </c>
      <c r="I354" s="11" t="str">
        <f>IF(Registro!$G354="","",IF(ISERROR(FIND("x",LOWER(Registro!$G354))),N(Registro!$H354),IFERROR(SUMPRODUCT(--("0"&amp;LEFT(TRIM(MID(SUBSTITUTE(SUBSTITUTE(SUBSTITUTE(SUBSTITUTE(SUBSTITUTE(LOWER(Registro!$G354),"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",LEN(Registro!$G354))),({1,2,3,4,5,6,7,8,9,10,11,12,13,14,15,16,17,18,19,20,21,22,23,24,25,26,27,28,29,30}-1)*LEN(Registro!$G354)+1,LEN(Registro!$G354))),FIND("x",TRIM(MID(SUBSTITUTE(SUBSTITUTE(SUBSTITUTE(SUBSTITUTE(SUBSTITUTE(LOWER(Registro!$G354),"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",LEN(Registro!$G354))),({1,2,3,4,5,6,7,8,9,10,11,12,13,14,15,16,17,18,19,20,21,22,23,24,25,26,27,28,29,30}-1)*LEN(Registro!$G354)+1,LEN(Registro!$G354)))&amp;"x")-1)),--("0"&amp;MID(TRIM(MID(SUBSTITUTE(SUBSTITUTE(SUBSTITUTE(SUBSTITUTE(SUBSTITUTE(LOWER(Registro!$G354),"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",LEN(Registro!$G354))),({1,2,3,4,5,6,7,8,9,10,11,12,13,14,15,16,17,18,19,20,21,22,23,24,25,26,27,28,29,30}-1)*LEN(Registro!$G354)+1,LEN(Registro!$G354))),FIND("x",TRIM(MID(SUBSTITUTE(SUBSTITUTE(SUBSTITUTE(SUBSTITUTE(SUBSTITUTE(LOWER(Registro!$G354),"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",LEN(Registro!$G354))),({1,2,3,4,5,6,7,8,9,10,11,12,13,14,15,16,17,18,19,20,21,22,23,24,25,26,27,28,29,30}-1)*LEN(Registro!$G354)+1,LEN(Registro!$G354)))&amp;"x")+1,20))),"Revisar formato")))</f>
        <v/>
      </c>
      <c r="J354" s="9" t="str">
        <f>IF(AND(Registro!$E354="",Registro!$G354=""),"",IF(NOT(AND(ISNUMBER(I354),ISNUMBER(Registro!$H354))),"",IF(I354&lt;Registro!$H354,"FALTA BOLETOS",IF(I354=Registro!$H354,"CONFORME","DIFERENCIA"))))</f>
        <v/>
      </c>
      <c r="K354" s="11" t="str">
        <f>IF(Registro!$I354="","",IFERROR(SUMPRODUCT(--("0"&amp;TRIM(RIGHT(SUBSTITUTE(TRIM(MID(SUBSTITUTE(SUBSTITUTE(Registro!$I354,";",CHAR(10)),CHAR(10),REPT(" ",LEN(Registro!$I354))),({1,2,3,4,5,6,7,8,9,10,11,12,13,14,15,16,17,18,19,20,21,22,23,24,25,26,27,28,29,30}-1)*LEN(Registro!$I354)+1,LEN(Registro!$I354)))," ",REPT(" ",50)),50)))),"Revisar formato"))</f>
        <v/>
      </c>
      <c r="L354" s="11" t="str">
        <f>IF(Registro!$J354="","",IFERROR(SUMPRODUCT(--("0"&amp;TRIM(RIGHT(SUBSTITUTE(TRIM(MID(SUBSTITUTE(SUBSTITUTE(Registro!$J354,";",CHAR(10)),CHAR(10),REPT(" ",LEN(Registro!$J354))),({1,2,3,4,5,6,7,8,9,10,11,12,13,14,15,16,17,18,19,20,21,22,23,24,25,26,27,28,29,30}-1)*LEN(Registro!$J354)+1,LEN(Registro!$J354)))," ",REPT(" ",50)),50)))),"Revisar formato"))</f>
        <v/>
      </c>
      <c r="M354" s="11" t="str">
        <f>IF(AND(Registro!$H354="",Registro!$I354=""),"",IF(AND(ISTEXT(K354),K354&lt;&gt;""),"Revisar formato",N(Registro!$H354)-N(K354)))</f>
        <v/>
      </c>
      <c r="N354" s="11" t="str">
        <f t="shared" si="17"/>
        <v/>
      </c>
      <c r="O354" s="15" t="str">
        <f>IF(AND(A354=Consulta!$B$3,C354=Consulta!$H$3),B354*10000+ROW(),"")</f>
        <v/>
      </c>
    </row>
    <row r="355" spans="1:15" x14ac:dyDescent="0.25">
      <c r="A355" s="9" t="str">
        <f>IF(Registro!$A355="","",Registro!$A355)</f>
        <v/>
      </c>
      <c r="B355" s="8" t="str">
        <f>IF(Registro!$B355="","",Registro!$B355)</f>
        <v/>
      </c>
      <c r="C355" s="14" t="str">
        <f t="shared" si="15"/>
        <v/>
      </c>
      <c r="D355" s="10" t="str">
        <f>IF(Registro!$E355="","",IF(ISERROR(FIND("x",LOWER(Registro!$E355))),"-",IFERROR(SUMPRODUCT(--("0"&amp;LEFT(TRIM(MID(SUBSTITUTE(SUBSTITUTE(SUBSTITUTE(SUBSTITUTE(SUBSTITUTE(LOWER(Registro!$E355),"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",LEN(Registro!$E355))),({1,2,3,4,5,6,7,8,9,10,11,12,13,14,15,16,17,18,19,20,21,22,23,24,25,26,27,28,29,30}-1)*LEN(Registro!$E355)+1,LEN(Registro!$E355)))&amp;"x")-1))),"Revisar formato")))</f>
        <v/>
      </c>
      <c r="E355" s="11" t="str">
        <f>IF(Registro!$E355="","",IF(ISERROR(FIND("x",LOWER(Registro!$E355))),"-",IFERROR(SUMPRODUCT(--("0"&amp;LEFT(TRIM(MID(SUBSTITUTE(SUBSTITUTE(SUBSTITUTE(SUBSTITUTE(SUBSTITUTE(LOWER(Registro!$E355),"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",LEN(Registro!$E355))),({1,2,3,4,5,6,7,8,9,10,11,12,13,14,15,16,17,18,19,20,21,22,23,24,25,26,27,28,29,30}-1)*LEN(Registro!$E355)+1,LEN(Registro!$E355)))&amp;"x")-1)),--("0"&amp;MID(TRIM(MID(SUBSTITUTE(SUBSTITUTE(SUBSTITUTE(SUBSTITUTE(SUBSTITUTE(LOWER(Registro!$E355),"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",LEN(Registro!$E355))),({1,2,3,4,5,6,7,8,9,10,11,12,13,14,15,16,17,18,19,20,21,22,23,24,25,26,27,28,29,30}-1)*LEN(Registro!$E355)+1,LEN(Registro!$E355)))&amp;"x")+1,20))),"Revisar formato")))</f>
        <v/>
      </c>
      <c r="F355" s="11" t="str">
        <f>IF(Registro!$F355="","",N(Registro!$F355))</f>
        <v/>
      </c>
      <c r="G355" s="11" t="str">
        <f t="shared" si="16"/>
        <v/>
      </c>
      <c r="H355" s="10" t="str">
        <f>IF(Registro!$G355="","",IF(ISERROR(FIND("x",LOWER(Registro!$G355))),"-",IFERROR(SUMPRODUCT(--("0"&amp;LEFT(TRIM(MID(SUBSTITUTE(SUBSTITUTE(SUBSTITUTE(SUBSTITUTE(SUBSTITUTE(LOWER(Registro!$G355),"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",LEN(Registro!$G355))),({1,2,3,4,5,6,7,8,9,10,11,12,13,14,15,16,17,18,19,20,21,22,23,24,25,26,27,28,29,30}-1)*LEN(Registro!$G355)+1,LEN(Registro!$G355))),FIND("x",TRIM(MID(SUBSTITUTE(SUBSTITUTE(SUBSTITUTE(SUBSTITUTE(SUBSTITUTE(LOWER(Registro!$G355),"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",LEN(Registro!$G355))),({1,2,3,4,5,6,7,8,9,10,11,12,13,14,15,16,17,18,19,20,21,22,23,24,25,26,27,28,29,30}-1)*LEN(Registro!$G355)+1,LEN(Registro!$G355)))&amp;"x")-1))),"Revisar formato")))</f>
        <v/>
      </c>
      <c r="I355" s="11" t="str">
        <f>IF(Registro!$G355="","",IF(ISERROR(FIND("x",LOWER(Registro!$G355))),N(Registro!$H355),IFERROR(SUMPRODUCT(--("0"&amp;LEFT(TRIM(MID(SUBSTITUTE(SUBSTITUTE(SUBSTITUTE(SUBSTITUTE(SUBSTITUTE(LOWER(Registro!$G355),"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",LEN(Registro!$G355))),({1,2,3,4,5,6,7,8,9,10,11,12,13,14,15,16,17,18,19,20,21,22,23,24,25,26,27,28,29,30}-1)*LEN(Registro!$G355)+1,LEN(Registro!$G355))),FIND("x",TRIM(MID(SUBSTITUTE(SUBSTITUTE(SUBSTITUTE(SUBSTITUTE(SUBSTITUTE(LOWER(Registro!$G355),"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",LEN(Registro!$G355))),({1,2,3,4,5,6,7,8,9,10,11,12,13,14,15,16,17,18,19,20,21,22,23,24,25,26,27,28,29,30}-1)*LEN(Registro!$G355)+1,LEN(Registro!$G355)))&amp;"x")-1)),--("0"&amp;MID(TRIM(MID(SUBSTITUTE(SUBSTITUTE(SUBSTITUTE(SUBSTITUTE(SUBSTITUTE(LOWER(Registro!$G355),"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",LEN(Registro!$G355))),({1,2,3,4,5,6,7,8,9,10,11,12,13,14,15,16,17,18,19,20,21,22,23,24,25,26,27,28,29,30}-1)*LEN(Registro!$G355)+1,LEN(Registro!$G355))),FIND("x",TRIM(MID(SUBSTITUTE(SUBSTITUTE(SUBSTITUTE(SUBSTITUTE(SUBSTITUTE(LOWER(Registro!$G355),"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",LEN(Registro!$G355))),({1,2,3,4,5,6,7,8,9,10,11,12,13,14,15,16,17,18,19,20,21,22,23,24,25,26,27,28,29,30}-1)*LEN(Registro!$G355)+1,LEN(Registro!$G355)))&amp;"x")+1,20))),"Revisar formato")))</f>
        <v/>
      </c>
      <c r="J355" s="9" t="str">
        <f>IF(AND(Registro!$E355="",Registro!$G355=""),"",IF(NOT(AND(ISNUMBER(I355),ISNUMBER(Registro!$H355))),"",IF(I355&lt;Registro!$H355,"FALTA BOLETOS",IF(I355=Registro!$H355,"CONFORME","DIFERENCIA"))))</f>
        <v/>
      </c>
      <c r="K355" s="11" t="str">
        <f>IF(Registro!$I355="","",IFERROR(SUMPRODUCT(--("0"&amp;TRIM(RIGHT(SUBSTITUTE(TRIM(MID(SUBSTITUTE(SUBSTITUTE(Registro!$I355,";",CHAR(10)),CHAR(10),REPT(" ",LEN(Registro!$I355))),({1,2,3,4,5,6,7,8,9,10,11,12,13,14,15,16,17,18,19,20,21,22,23,24,25,26,27,28,29,30}-1)*LEN(Registro!$I355)+1,LEN(Registro!$I355)))," ",REPT(" ",50)),50)))),"Revisar formato"))</f>
        <v/>
      </c>
      <c r="L355" s="11" t="str">
        <f>IF(Registro!$J355="","",IFERROR(SUMPRODUCT(--("0"&amp;TRIM(RIGHT(SUBSTITUTE(TRIM(MID(SUBSTITUTE(SUBSTITUTE(Registro!$J355,";",CHAR(10)),CHAR(10),REPT(" ",LEN(Registro!$J355))),({1,2,3,4,5,6,7,8,9,10,11,12,13,14,15,16,17,18,19,20,21,22,23,24,25,26,27,28,29,30}-1)*LEN(Registro!$J355)+1,LEN(Registro!$J355)))," ",REPT(" ",50)),50)))),"Revisar formato"))</f>
        <v/>
      </c>
      <c r="M355" s="11" t="str">
        <f>IF(AND(Registro!$H355="",Registro!$I355=""),"",IF(AND(ISTEXT(K355),K355&lt;&gt;""),"Revisar formato",N(Registro!$H355)-N(K355)))</f>
        <v/>
      </c>
      <c r="N355" s="11" t="str">
        <f t="shared" si="17"/>
        <v/>
      </c>
      <c r="O355" s="15" t="str">
        <f>IF(AND(A355=Consulta!$B$3,C355=Consulta!$H$3),B355*10000+ROW(),"")</f>
        <v/>
      </c>
    </row>
    <row r="356" spans="1:15" x14ac:dyDescent="0.25">
      <c r="A356" s="9" t="str">
        <f>IF(Registro!$A356="","",Registro!$A356)</f>
        <v/>
      </c>
      <c r="B356" s="8" t="str">
        <f>IF(Registro!$B356="","",Registro!$B356)</f>
        <v/>
      </c>
      <c r="C356" s="14" t="str">
        <f t="shared" si="15"/>
        <v/>
      </c>
      <c r="D356" s="10" t="str">
        <f>IF(Registro!$E356="","",IF(ISERROR(FIND("x",LOWER(Registro!$E356))),"-",IFERROR(SUMPRODUCT(--("0"&amp;LEFT(TRIM(MID(SUBSTITUTE(SUBSTITUTE(SUBSTITUTE(SUBSTITUTE(SUBSTITUTE(LOWER(Registro!$E356),"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",LEN(Registro!$E356))),({1,2,3,4,5,6,7,8,9,10,11,12,13,14,15,16,17,18,19,20,21,22,23,24,25,26,27,28,29,30}-1)*LEN(Registro!$E356)+1,LEN(Registro!$E356)))&amp;"x")-1))),"Revisar formato")))</f>
        <v/>
      </c>
      <c r="E356" s="11" t="str">
        <f>IF(Registro!$E356="","",IF(ISERROR(FIND("x",LOWER(Registro!$E356))),"-",IFERROR(SUMPRODUCT(--("0"&amp;LEFT(TRIM(MID(SUBSTITUTE(SUBSTITUTE(SUBSTITUTE(SUBSTITUTE(SUBSTITUTE(LOWER(Registro!$E356),"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",LEN(Registro!$E356))),({1,2,3,4,5,6,7,8,9,10,11,12,13,14,15,16,17,18,19,20,21,22,23,24,25,26,27,28,29,30}-1)*LEN(Registro!$E356)+1,LEN(Registro!$E356)))&amp;"x")-1)),--("0"&amp;MID(TRIM(MID(SUBSTITUTE(SUBSTITUTE(SUBSTITUTE(SUBSTITUTE(SUBSTITUTE(LOWER(Registro!$E356),"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",LEN(Registro!$E356))),({1,2,3,4,5,6,7,8,9,10,11,12,13,14,15,16,17,18,19,20,21,22,23,24,25,26,27,28,29,30}-1)*LEN(Registro!$E356)+1,LEN(Registro!$E356)))&amp;"x")+1,20))),"Revisar formato")))</f>
        <v/>
      </c>
      <c r="F356" s="11" t="str">
        <f>IF(Registro!$F356="","",N(Registro!$F356))</f>
        <v/>
      </c>
      <c r="G356" s="11" t="str">
        <f t="shared" si="16"/>
        <v/>
      </c>
      <c r="H356" s="10" t="str">
        <f>IF(Registro!$G356="","",IF(ISERROR(FIND("x",LOWER(Registro!$G356))),"-",IFERROR(SUMPRODUCT(--("0"&amp;LEFT(TRIM(MID(SUBSTITUTE(SUBSTITUTE(SUBSTITUTE(SUBSTITUTE(SUBSTITUTE(LOWER(Registro!$G356),"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",LEN(Registro!$G356))),({1,2,3,4,5,6,7,8,9,10,11,12,13,14,15,16,17,18,19,20,21,22,23,24,25,26,27,28,29,30}-1)*LEN(Registro!$G356)+1,LEN(Registro!$G356))),FIND("x",TRIM(MID(SUBSTITUTE(SUBSTITUTE(SUBSTITUTE(SUBSTITUTE(SUBSTITUTE(LOWER(Registro!$G356),"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",LEN(Registro!$G356))),({1,2,3,4,5,6,7,8,9,10,11,12,13,14,15,16,17,18,19,20,21,22,23,24,25,26,27,28,29,30}-1)*LEN(Registro!$G356)+1,LEN(Registro!$G356)))&amp;"x")-1))),"Revisar formato")))</f>
        <v/>
      </c>
      <c r="I356" s="11" t="str">
        <f>IF(Registro!$G356="","",IF(ISERROR(FIND("x",LOWER(Registro!$G356))),N(Registro!$H356),IFERROR(SUMPRODUCT(--("0"&amp;LEFT(TRIM(MID(SUBSTITUTE(SUBSTITUTE(SUBSTITUTE(SUBSTITUTE(SUBSTITUTE(LOWER(Registro!$G356),"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",LEN(Registro!$G356))),({1,2,3,4,5,6,7,8,9,10,11,12,13,14,15,16,17,18,19,20,21,22,23,24,25,26,27,28,29,30}-1)*LEN(Registro!$G356)+1,LEN(Registro!$G356))),FIND("x",TRIM(MID(SUBSTITUTE(SUBSTITUTE(SUBSTITUTE(SUBSTITUTE(SUBSTITUTE(LOWER(Registro!$G356),"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",LEN(Registro!$G356))),({1,2,3,4,5,6,7,8,9,10,11,12,13,14,15,16,17,18,19,20,21,22,23,24,25,26,27,28,29,30}-1)*LEN(Registro!$G356)+1,LEN(Registro!$G356)))&amp;"x")-1)),--("0"&amp;MID(TRIM(MID(SUBSTITUTE(SUBSTITUTE(SUBSTITUTE(SUBSTITUTE(SUBSTITUTE(LOWER(Registro!$G356),"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",LEN(Registro!$G356))),({1,2,3,4,5,6,7,8,9,10,11,12,13,14,15,16,17,18,19,20,21,22,23,24,25,26,27,28,29,30}-1)*LEN(Registro!$G356)+1,LEN(Registro!$G356))),FIND("x",TRIM(MID(SUBSTITUTE(SUBSTITUTE(SUBSTITUTE(SUBSTITUTE(SUBSTITUTE(LOWER(Registro!$G356),"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",LEN(Registro!$G356))),({1,2,3,4,5,6,7,8,9,10,11,12,13,14,15,16,17,18,19,20,21,22,23,24,25,26,27,28,29,30}-1)*LEN(Registro!$G356)+1,LEN(Registro!$G356)))&amp;"x")+1,20))),"Revisar formato")))</f>
        <v/>
      </c>
      <c r="J356" s="9" t="str">
        <f>IF(AND(Registro!$E356="",Registro!$G356=""),"",IF(NOT(AND(ISNUMBER(I356),ISNUMBER(Registro!$H356))),"",IF(I356&lt;Registro!$H356,"FALTA BOLETOS",IF(I356=Registro!$H356,"CONFORME","DIFERENCIA"))))</f>
        <v/>
      </c>
      <c r="K356" s="11" t="str">
        <f>IF(Registro!$I356="","",IFERROR(SUMPRODUCT(--("0"&amp;TRIM(RIGHT(SUBSTITUTE(TRIM(MID(SUBSTITUTE(SUBSTITUTE(Registro!$I356,";",CHAR(10)),CHAR(10),REPT(" ",LEN(Registro!$I356))),({1,2,3,4,5,6,7,8,9,10,11,12,13,14,15,16,17,18,19,20,21,22,23,24,25,26,27,28,29,30}-1)*LEN(Registro!$I356)+1,LEN(Registro!$I356)))," ",REPT(" ",50)),50)))),"Revisar formato"))</f>
        <v/>
      </c>
      <c r="L356" s="11" t="str">
        <f>IF(Registro!$J356="","",IFERROR(SUMPRODUCT(--("0"&amp;TRIM(RIGHT(SUBSTITUTE(TRIM(MID(SUBSTITUTE(SUBSTITUTE(Registro!$J356,";",CHAR(10)),CHAR(10),REPT(" ",LEN(Registro!$J356))),({1,2,3,4,5,6,7,8,9,10,11,12,13,14,15,16,17,18,19,20,21,22,23,24,25,26,27,28,29,30}-1)*LEN(Registro!$J356)+1,LEN(Registro!$J356)))," ",REPT(" ",50)),50)))),"Revisar formato"))</f>
        <v/>
      </c>
      <c r="M356" s="11" t="str">
        <f>IF(AND(Registro!$H356="",Registro!$I356=""),"",IF(AND(ISTEXT(K356),K356&lt;&gt;""),"Revisar formato",N(Registro!$H356)-N(K356)))</f>
        <v/>
      </c>
      <c r="N356" s="11" t="str">
        <f t="shared" si="17"/>
        <v/>
      </c>
      <c r="O356" s="15" t="str">
        <f>IF(AND(A356=Consulta!$B$3,C356=Consulta!$H$3),B356*10000+ROW(),"")</f>
        <v/>
      </c>
    </row>
    <row r="357" spans="1:15" x14ac:dyDescent="0.25">
      <c r="A357" s="9" t="str">
        <f>IF(Registro!$A357="","",Registro!$A357)</f>
        <v/>
      </c>
      <c r="B357" s="8" t="str">
        <f>IF(Registro!$B357="","",Registro!$B357)</f>
        <v/>
      </c>
      <c r="C357" s="14" t="str">
        <f t="shared" si="15"/>
        <v/>
      </c>
      <c r="D357" s="10" t="str">
        <f>IF(Registro!$E357="","",IF(ISERROR(FIND("x",LOWER(Registro!$E357))),"-",IFERROR(SUMPRODUCT(--("0"&amp;LEFT(TRIM(MID(SUBSTITUTE(SUBSTITUTE(SUBSTITUTE(SUBSTITUTE(SUBSTITUTE(LOWER(Registro!$E357),"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",LEN(Registro!$E357))),({1,2,3,4,5,6,7,8,9,10,11,12,13,14,15,16,17,18,19,20,21,22,23,24,25,26,27,28,29,30}-1)*LEN(Registro!$E357)+1,LEN(Registro!$E357)))&amp;"x")-1))),"Revisar formato")))</f>
        <v/>
      </c>
      <c r="E357" s="11" t="str">
        <f>IF(Registro!$E357="","",IF(ISERROR(FIND("x",LOWER(Registro!$E357))),"-",IFERROR(SUMPRODUCT(--("0"&amp;LEFT(TRIM(MID(SUBSTITUTE(SUBSTITUTE(SUBSTITUTE(SUBSTITUTE(SUBSTITUTE(LOWER(Registro!$E357),"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",LEN(Registro!$E357))),({1,2,3,4,5,6,7,8,9,10,11,12,13,14,15,16,17,18,19,20,21,22,23,24,25,26,27,28,29,30}-1)*LEN(Registro!$E357)+1,LEN(Registro!$E357)))&amp;"x")-1)),--("0"&amp;MID(TRIM(MID(SUBSTITUTE(SUBSTITUTE(SUBSTITUTE(SUBSTITUTE(SUBSTITUTE(LOWER(Registro!$E357),"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",LEN(Registro!$E357))),({1,2,3,4,5,6,7,8,9,10,11,12,13,14,15,16,17,18,19,20,21,22,23,24,25,26,27,28,29,30}-1)*LEN(Registro!$E357)+1,LEN(Registro!$E357)))&amp;"x")+1,20))),"Revisar formato")))</f>
        <v/>
      </c>
      <c r="F357" s="11" t="str">
        <f>IF(Registro!$F357="","",N(Registro!$F357))</f>
        <v/>
      </c>
      <c r="G357" s="11" t="str">
        <f t="shared" si="16"/>
        <v/>
      </c>
      <c r="H357" s="10" t="str">
        <f>IF(Registro!$G357="","",IF(ISERROR(FIND("x",LOWER(Registro!$G357))),"-",IFERROR(SUMPRODUCT(--("0"&amp;LEFT(TRIM(MID(SUBSTITUTE(SUBSTITUTE(SUBSTITUTE(SUBSTITUTE(SUBSTITUTE(LOWER(Registro!$G357),"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",LEN(Registro!$G357))),({1,2,3,4,5,6,7,8,9,10,11,12,13,14,15,16,17,18,19,20,21,22,23,24,25,26,27,28,29,30}-1)*LEN(Registro!$G357)+1,LEN(Registro!$G357))),FIND("x",TRIM(MID(SUBSTITUTE(SUBSTITUTE(SUBSTITUTE(SUBSTITUTE(SUBSTITUTE(LOWER(Registro!$G357),"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",LEN(Registro!$G357))),({1,2,3,4,5,6,7,8,9,10,11,12,13,14,15,16,17,18,19,20,21,22,23,24,25,26,27,28,29,30}-1)*LEN(Registro!$G357)+1,LEN(Registro!$G357)))&amp;"x")-1))),"Revisar formato")))</f>
        <v/>
      </c>
      <c r="I357" s="11" t="str">
        <f>IF(Registro!$G357="","",IF(ISERROR(FIND("x",LOWER(Registro!$G357))),N(Registro!$H357),IFERROR(SUMPRODUCT(--("0"&amp;LEFT(TRIM(MID(SUBSTITUTE(SUBSTITUTE(SUBSTITUTE(SUBSTITUTE(SUBSTITUTE(LOWER(Registro!$G357),"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",LEN(Registro!$G357))),({1,2,3,4,5,6,7,8,9,10,11,12,13,14,15,16,17,18,19,20,21,22,23,24,25,26,27,28,29,30}-1)*LEN(Registro!$G357)+1,LEN(Registro!$G357))),FIND("x",TRIM(MID(SUBSTITUTE(SUBSTITUTE(SUBSTITUTE(SUBSTITUTE(SUBSTITUTE(LOWER(Registro!$G357),"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",LEN(Registro!$G357))),({1,2,3,4,5,6,7,8,9,10,11,12,13,14,15,16,17,18,19,20,21,22,23,24,25,26,27,28,29,30}-1)*LEN(Registro!$G357)+1,LEN(Registro!$G357)))&amp;"x")-1)),--("0"&amp;MID(TRIM(MID(SUBSTITUTE(SUBSTITUTE(SUBSTITUTE(SUBSTITUTE(SUBSTITUTE(LOWER(Registro!$G357),"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",LEN(Registro!$G357))),({1,2,3,4,5,6,7,8,9,10,11,12,13,14,15,16,17,18,19,20,21,22,23,24,25,26,27,28,29,30}-1)*LEN(Registro!$G357)+1,LEN(Registro!$G357))),FIND("x",TRIM(MID(SUBSTITUTE(SUBSTITUTE(SUBSTITUTE(SUBSTITUTE(SUBSTITUTE(LOWER(Registro!$G357),"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",LEN(Registro!$G357))),({1,2,3,4,5,6,7,8,9,10,11,12,13,14,15,16,17,18,19,20,21,22,23,24,25,26,27,28,29,30}-1)*LEN(Registro!$G357)+1,LEN(Registro!$G357)))&amp;"x")+1,20))),"Revisar formato")))</f>
        <v/>
      </c>
      <c r="J357" s="9" t="str">
        <f>IF(AND(Registro!$E357="",Registro!$G357=""),"",IF(NOT(AND(ISNUMBER(I357),ISNUMBER(Registro!$H357))),"",IF(I357&lt;Registro!$H357,"FALTA BOLETOS",IF(I357=Registro!$H357,"CONFORME","DIFERENCIA"))))</f>
        <v/>
      </c>
      <c r="K357" s="11" t="str">
        <f>IF(Registro!$I357="","",IFERROR(SUMPRODUCT(--("0"&amp;TRIM(RIGHT(SUBSTITUTE(TRIM(MID(SUBSTITUTE(SUBSTITUTE(Registro!$I357,";",CHAR(10)),CHAR(10),REPT(" ",LEN(Registro!$I357))),({1,2,3,4,5,6,7,8,9,10,11,12,13,14,15,16,17,18,19,20,21,22,23,24,25,26,27,28,29,30}-1)*LEN(Registro!$I357)+1,LEN(Registro!$I357)))," ",REPT(" ",50)),50)))),"Revisar formato"))</f>
        <v/>
      </c>
      <c r="L357" s="11" t="str">
        <f>IF(Registro!$J357="","",IFERROR(SUMPRODUCT(--("0"&amp;TRIM(RIGHT(SUBSTITUTE(TRIM(MID(SUBSTITUTE(SUBSTITUTE(Registro!$J357,";",CHAR(10)),CHAR(10),REPT(" ",LEN(Registro!$J357))),({1,2,3,4,5,6,7,8,9,10,11,12,13,14,15,16,17,18,19,20,21,22,23,24,25,26,27,28,29,30}-1)*LEN(Registro!$J357)+1,LEN(Registro!$J357)))," ",REPT(" ",50)),50)))),"Revisar formato"))</f>
        <v/>
      </c>
      <c r="M357" s="11" t="str">
        <f>IF(AND(Registro!$H357="",Registro!$I357=""),"",IF(AND(ISTEXT(K357),K357&lt;&gt;""),"Revisar formato",N(Registro!$H357)-N(K357)))</f>
        <v/>
      </c>
      <c r="N357" s="11" t="str">
        <f t="shared" si="17"/>
        <v/>
      </c>
      <c r="O357" s="15" t="str">
        <f>IF(AND(A357=Consulta!$B$3,C357=Consulta!$H$3),B357*10000+ROW(),"")</f>
        <v/>
      </c>
    </row>
    <row r="358" spans="1:15" x14ac:dyDescent="0.25">
      <c r="A358" s="9" t="str">
        <f>IF(Registro!$A358="","",Registro!$A358)</f>
        <v/>
      </c>
      <c r="B358" s="8" t="str">
        <f>IF(Registro!$B358="","",Registro!$B358)</f>
        <v/>
      </c>
      <c r="C358" s="14" t="str">
        <f t="shared" si="15"/>
        <v/>
      </c>
      <c r="D358" s="10" t="str">
        <f>IF(Registro!$E358="","",IF(ISERROR(FIND("x",LOWER(Registro!$E358))),"-",IFERROR(SUMPRODUCT(--("0"&amp;LEFT(TRIM(MID(SUBSTITUTE(SUBSTITUTE(SUBSTITUTE(SUBSTITUTE(SUBSTITUTE(LOWER(Registro!$E358),"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",LEN(Registro!$E358))),({1,2,3,4,5,6,7,8,9,10,11,12,13,14,15,16,17,18,19,20,21,22,23,24,25,26,27,28,29,30}-1)*LEN(Registro!$E358)+1,LEN(Registro!$E358)))&amp;"x")-1))),"Revisar formato")))</f>
        <v/>
      </c>
      <c r="E358" s="11" t="str">
        <f>IF(Registro!$E358="","",IF(ISERROR(FIND("x",LOWER(Registro!$E358))),"-",IFERROR(SUMPRODUCT(--("0"&amp;LEFT(TRIM(MID(SUBSTITUTE(SUBSTITUTE(SUBSTITUTE(SUBSTITUTE(SUBSTITUTE(LOWER(Registro!$E358),"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",LEN(Registro!$E358))),({1,2,3,4,5,6,7,8,9,10,11,12,13,14,15,16,17,18,19,20,21,22,23,24,25,26,27,28,29,30}-1)*LEN(Registro!$E358)+1,LEN(Registro!$E358)))&amp;"x")-1)),--("0"&amp;MID(TRIM(MID(SUBSTITUTE(SUBSTITUTE(SUBSTITUTE(SUBSTITUTE(SUBSTITUTE(LOWER(Registro!$E358),"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",LEN(Registro!$E358))),({1,2,3,4,5,6,7,8,9,10,11,12,13,14,15,16,17,18,19,20,21,22,23,24,25,26,27,28,29,30}-1)*LEN(Registro!$E358)+1,LEN(Registro!$E358)))&amp;"x")+1,20))),"Revisar formato")))</f>
        <v/>
      </c>
      <c r="F358" s="11" t="str">
        <f>IF(Registro!$F358="","",N(Registro!$F358))</f>
        <v/>
      </c>
      <c r="G358" s="11" t="str">
        <f t="shared" si="16"/>
        <v/>
      </c>
      <c r="H358" s="10" t="str">
        <f>IF(Registro!$G358="","",IF(ISERROR(FIND("x",LOWER(Registro!$G358))),"-",IFERROR(SUMPRODUCT(--("0"&amp;LEFT(TRIM(MID(SUBSTITUTE(SUBSTITUTE(SUBSTITUTE(SUBSTITUTE(SUBSTITUTE(LOWER(Registro!$G358),"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",LEN(Registro!$G358))),({1,2,3,4,5,6,7,8,9,10,11,12,13,14,15,16,17,18,19,20,21,22,23,24,25,26,27,28,29,30}-1)*LEN(Registro!$G358)+1,LEN(Registro!$G358))),FIND("x",TRIM(MID(SUBSTITUTE(SUBSTITUTE(SUBSTITUTE(SUBSTITUTE(SUBSTITUTE(LOWER(Registro!$G358),"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",LEN(Registro!$G358))),({1,2,3,4,5,6,7,8,9,10,11,12,13,14,15,16,17,18,19,20,21,22,23,24,25,26,27,28,29,30}-1)*LEN(Registro!$G358)+1,LEN(Registro!$G358)))&amp;"x")-1))),"Revisar formato")))</f>
        <v/>
      </c>
      <c r="I358" s="11" t="str">
        <f>IF(Registro!$G358="","",IF(ISERROR(FIND("x",LOWER(Registro!$G358))),N(Registro!$H358),IFERROR(SUMPRODUCT(--("0"&amp;LEFT(TRIM(MID(SUBSTITUTE(SUBSTITUTE(SUBSTITUTE(SUBSTITUTE(SUBSTITUTE(LOWER(Registro!$G358),"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",LEN(Registro!$G358))),({1,2,3,4,5,6,7,8,9,10,11,12,13,14,15,16,17,18,19,20,21,22,23,24,25,26,27,28,29,30}-1)*LEN(Registro!$G358)+1,LEN(Registro!$G358))),FIND("x",TRIM(MID(SUBSTITUTE(SUBSTITUTE(SUBSTITUTE(SUBSTITUTE(SUBSTITUTE(LOWER(Registro!$G358),"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",LEN(Registro!$G358))),({1,2,3,4,5,6,7,8,9,10,11,12,13,14,15,16,17,18,19,20,21,22,23,24,25,26,27,28,29,30}-1)*LEN(Registro!$G358)+1,LEN(Registro!$G358)))&amp;"x")-1)),--("0"&amp;MID(TRIM(MID(SUBSTITUTE(SUBSTITUTE(SUBSTITUTE(SUBSTITUTE(SUBSTITUTE(LOWER(Registro!$G358),"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",LEN(Registro!$G358))),({1,2,3,4,5,6,7,8,9,10,11,12,13,14,15,16,17,18,19,20,21,22,23,24,25,26,27,28,29,30}-1)*LEN(Registro!$G358)+1,LEN(Registro!$G358))),FIND("x",TRIM(MID(SUBSTITUTE(SUBSTITUTE(SUBSTITUTE(SUBSTITUTE(SUBSTITUTE(LOWER(Registro!$G358),"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",LEN(Registro!$G358))),({1,2,3,4,5,6,7,8,9,10,11,12,13,14,15,16,17,18,19,20,21,22,23,24,25,26,27,28,29,30}-1)*LEN(Registro!$G358)+1,LEN(Registro!$G358)))&amp;"x")+1,20))),"Revisar formato")))</f>
        <v/>
      </c>
      <c r="J358" s="9" t="str">
        <f>IF(AND(Registro!$E358="",Registro!$G358=""),"",IF(NOT(AND(ISNUMBER(I358),ISNUMBER(Registro!$H358))),"",IF(I358&lt;Registro!$H358,"FALTA BOLETOS",IF(I358=Registro!$H358,"CONFORME","DIFERENCIA"))))</f>
        <v/>
      </c>
      <c r="K358" s="11" t="str">
        <f>IF(Registro!$I358="","",IFERROR(SUMPRODUCT(--("0"&amp;TRIM(RIGHT(SUBSTITUTE(TRIM(MID(SUBSTITUTE(SUBSTITUTE(Registro!$I358,";",CHAR(10)),CHAR(10),REPT(" ",LEN(Registro!$I358))),({1,2,3,4,5,6,7,8,9,10,11,12,13,14,15,16,17,18,19,20,21,22,23,24,25,26,27,28,29,30}-1)*LEN(Registro!$I358)+1,LEN(Registro!$I358)))," ",REPT(" ",50)),50)))),"Revisar formato"))</f>
        <v/>
      </c>
      <c r="L358" s="11" t="str">
        <f>IF(Registro!$J358="","",IFERROR(SUMPRODUCT(--("0"&amp;TRIM(RIGHT(SUBSTITUTE(TRIM(MID(SUBSTITUTE(SUBSTITUTE(Registro!$J358,";",CHAR(10)),CHAR(10),REPT(" ",LEN(Registro!$J358))),({1,2,3,4,5,6,7,8,9,10,11,12,13,14,15,16,17,18,19,20,21,22,23,24,25,26,27,28,29,30}-1)*LEN(Registro!$J358)+1,LEN(Registro!$J358)))," ",REPT(" ",50)),50)))),"Revisar formato"))</f>
        <v/>
      </c>
      <c r="M358" s="11" t="str">
        <f>IF(AND(Registro!$H358="",Registro!$I358=""),"",IF(AND(ISTEXT(K358),K358&lt;&gt;""),"Revisar formato",N(Registro!$H358)-N(K358)))</f>
        <v/>
      </c>
      <c r="N358" s="11" t="str">
        <f t="shared" si="17"/>
        <v/>
      </c>
      <c r="O358" s="15" t="str">
        <f>IF(AND(A358=Consulta!$B$3,C358=Consulta!$H$3),B358*10000+ROW(),"")</f>
        <v/>
      </c>
    </row>
    <row r="359" spans="1:15" x14ac:dyDescent="0.25">
      <c r="A359" s="9" t="str">
        <f>IF(Registro!$A359="","",Registro!$A359)</f>
        <v/>
      </c>
      <c r="B359" s="8" t="str">
        <f>IF(Registro!$B359="","",Registro!$B359)</f>
        <v/>
      </c>
      <c r="C359" s="14" t="str">
        <f t="shared" si="15"/>
        <v/>
      </c>
      <c r="D359" s="10" t="str">
        <f>IF(Registro!$E359="","",IF(ISERROR(FIND("x",LOWER(Registro!$E359))),"-",IFERROR(SUMPRODUCT(--("0"&amp;LEFT(TRIM(MID(SUBSTITUTE(SUBSTITUTE(SUBSTITUTE(SUBSTITUTE(SUBSTITUTE(LOWER(Registro!$E359),"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",LEN(Registro!$E359))),({1,2,3,4,5,6,7,8,9,10,11,12,13,14,15,16,17,18,19,20,21,22,23,24,25,26,27,28,29,30}-1)*LEN(Registro!$E359)+1,LEN(Registro!$E359)))&amp;"x")-1))),"Revisar formato")))</f>
        <v/>
      </c>
      <c r="E359" s="11" t="str">
        <f>IF(Registro!$E359="","",IF(ISERROR(FIND("x",LOWER(Registro!$E359))),"-",IFERROR(SUMPRODUCT(--("0"&amp;LEFT(TRIM(MID(SUBSTITUTE(SUBSTITUTE(SUBSTITUTE(SUBSTITUTE(SUBSTITUTE(LOWER(Registro!$E359),"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",LEN(Registro!$E359))),({1,2,3,4,5,6,7,8,9,10,11,12,13,14,15,16,17,18,19,20,21,22,23,24,25,26,27,28,29,30}-1)*LEN(Registro!$E359)+1,LEN(Registro!$E359)))&amp;"x")-1)),--("0"&amp;MID(TRIM(MID(SUBSTITUTE(SUBSTITUTE(SUBSTITUTE(SUBSTITUTE(SUBSTITUTE(LOWER(Registro!$E359),"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",LEN(Registro!$E359))),({1,2,3,4,5,6,7,8,9,10,11,12,13,14,15,16,17,18,19,20,21,22,23,24,25,26,27,28,29,30}-1)*LEN(Registro!$E359)+1,LEN(Registro!$E359)))&amp;"x")+1,20))),"Revisar formato")))</f>
        <v/>
      </c>
      <c r="F359" s="11" t="str">
        <f>IF(Registro!$F359="","",N(Registro!$F359))</f>
        <v/>
      </c>
      <c r="G359" s="11" t="str">
        <f t="shared" si="16"/>
        <v/>
      </c>
      <c r="H359" s="10" t="str">
        <f>IF(Registro!$G359="","",IF(ISERROR(FIND("x",LOWER(Registro!$G359))),"-",IFERROR(SUMPRODUCT(--("0"&amp;LEFT(TRIM(MID(SUBSTITUTE(SUBSTITUTE(SUBSTITUTE(SUBSTITUTE(SUBSTITUTE(LOWER(Registro!$G359),"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",LEN(Registro!$G359))),({1,2,3,4,5,6,7,8,9,10,11,12,13,14,15,16,17,18,19,20,21,22,23,24,25,26,27,28,29,30}-1)*LEN(Registro!$G359)+1,LEN(Registro!$G359))),FIND("x",TRIM(MID(SUBSTITUTE(SUBSTITUTE(SUBSTITUTE(SUBSTITUTE(SUBSTITUTE(LOWER(Registro!$G359),"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",LEN(Registro!$G359))),({1,2,3,4,5,6,7,8,9,10,11,12,13,14,15,16,17,18,19,20,21,22,23,24,25,26,27,28,29,30}-1)*LEN(Registro!$G359)+1,LEN(Registro!$G359)))&amp;"x")-1))),"Revisar formato")))</f>
        <v/>
      </c>
      <c r="I359" s="11" t="str">
        <f>IF(Registro!$G359="","",IF(ISERROR(FIND("x",LOWER(Registro!$G359))),N(Registro!$H359),IFERROR(SUMPRODUCT(--("0"&amp;LEFT(TRIM(MID(SUBSTITUTE(SUBSTITUTE(SUBSTITUTE(SUBSTITUTE(SUBSTITUTE(LOWER(Registro!$G359),"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",LEN(Registro!$G359))),({1,2,3,4,5,6,7,8,9,10,11,12,13,14,15,16,17,18,19,20,21,22,23,24,25,26,27,28,29,30}-1)*LEN(Registro!$G359)+1,LEN(Registro!$G359))),FIND("x",TRIM(MID(SUBSTITUTE(SUBSTITUTE(SUBSTITUTE(SUBSTITUTE(SUBSTITUTE(LOWER(Registro!$G359),"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",LEN(Registro!$G359))),({1,2,3,4,5,6,7,8,9,10,11,12,13,14,15,16,17,18,19,20,21,22,23,24,25,26,27,28,29,30}-1)*LEN(Registro!$G359)+1,LEN(Registro!$G359)))&amp;"x")-1)),--("0"&amp;MID(TRIM(MID(SUBSTITUTE(SUBSTITUTE(SUBSTITUTE(SUBSTITUTE(SUBSTITUTE(LOWER(Registro!$G359),"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",LEN(Registro!$G359))),({1,2,3,4,5,6,7,8,9,10,11,12,13,14,15,16,17,18,19,20,21,22,23,24,25,26,27,28,29,30}-1)*LEN(Registro!$G359)+1,LEN(Registro!$G359))),FIND("x",TRIM(MID(SUBSTITUTE(SUBSTITUTE(SUBSTITUTE(SUBSTITUTE(SUBSTITUTE(LOWER(Registro!$G359),"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",LEN(Registro!$G359))),({1,2,3,4,5,6,7,8,9,10,11,12,13,14,15,16,17,18,19,20,21,22,23,24,25,26,27,28,29,30}-1)*LEN(Registro!$G359)+1,LEN(Registro!$G359)))&amp;"x")+1,20))),"Revisar formato")))</f>
        <v/>
      </c>
      <c r="J359" s="9" t="str">
        <f>IF(AND(Registro!$E359="",Registro!$G359=""),"",IF(NOT(AND(ISNUMBER(I359),ISNUMBER(Registro!$H359))),"",IF(I359&lt;Registro!$H359,"FALTA BOLETOS",IF(I359=Registro!$H359,"CONFORME","DIFERENCIA"))))</f>
        <v/>
      </c>
      <c r="K359" s="11" t="str">
        <f>IF(Registro!$I359="","",IFERROR(SUMPRODUCT(--("0"&amp;TRIM(RIGHT(SUBSTITUTE(TRIM(MID(SUBSTITUTE(SUBSTITUTE(Registro!$I359,";",CHAR(10)),CHAR(10),REPT(" ",LEN(Registro!$I359))),({1,2,3,4,5,6,7,8,9,10,11,12,13,14,15,16,17,18,19,20,21,22,23,24,25,26,27,28,29,30}-1)*LEN(Registro!$I359)+1,LEN(Registro!$I359)))," ",REPT(" ",50)),50)))),"Revisar formato"))</f>
        <v/>
      </c>
      <c r="L359" s="11" t="str">
        <f>IF(Registro!$J359="","",IFERROR(SUMPRODUCT(--("0"&amp;TRIM(RIGHT(SUBSTITUTE(TRIM(MID(SUBSTITUTE(SUBSTITUTE(Registro!$J359,";",CHAR(10)),CHAR(10),REPT(" ",LEN(Registro!$J359))),({1,2,3,4,5,6,7,8,9,10,11,12,13,14,15,16,17,18,19,20,21,22,23,24,25,26,27,28,29,30}-1)*LEN(Registro!$J359)+1,LEN(Registro!$J359)))," ",REPT(" ",50)),50)))),"Revisar formato"))</f>
        <v/>
      </c>
      <c r="M359" s="11" t="str">
        <f>IF(AND(Registro!$H359="",Registro!$I359=""),"",IF(AND(ISTEXT(K359),K359&lt;&gt;""),"Revisar formato",N(Registro!$H359)-N(K359)))</f>
        <v/>
      </c>
      <c r="N359" s="11" t="str">
        <f t="shared" si="17"/>
        <v/>
      </c>
      <c r="O359" s="15" t="str">
        <f>IF(AND(A359=Consulta!$B$3,C359=Consulta!$H$3),B359*10000+ROW(),"")</f>
        <v/>
      </c>
    </row>
    <row r="360" spans="1:15" x14ac:dyDescent="0.25">
      <c r="A360" s="9" t="str">
        <f>IF(Registro!$A360="","",Registro!$A360)</f>
        <v/>
      </c>
      <c r="B360" s="8" t="str">
        <f>IF(Registro!$B360="","",Registro!$B360)</f>
        <v/>
      </c>
      <c r="C360" s="14" t="str">
        <f t="shared" si="15"/>
        <v/>
      </c>
      <c r="D360" s="10" t="str">
        <f>IF(Registro!$E360="","",IF(ISERROR(FIND("x",LOWER(Registro!$E360))),"-",IFERROR(SUMPRODUCT(--("0"&amp;LEFT(TRIM(MID(SUBSTITUTE(SUBSTITUTE(SUBSTITUTE(SUBSTITUTE(SUBSTITUTE(LOWER(Registro!$E360),"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",LEN(Registro!$E360))),({1,2,3,4,5,6,7,8,9,10,11,12,13,14,15,16,17,18,19,20,21,22,23,24,25,26,27,28,29,30}-1)*LEN(Registro!$E360)+1,LEN(Registro!$E360)))&amp;"x")-1))),"Revisar formato")))</f>
        <v/>
      </c>
      <c r="E360" s="11" t="str">
        <f>IF(Registro!$E360="","",IF(ISERROR(FIND("x",LOWER(Registro!$E360))),"-",IFERROR(SUMPRODUCT(--("0"&amp;LEFT(TRIM(MID(SUBSTITUTE(SUBSTITUTE(SUBSTITUTE(SUBSTITUTE(SUBSTITUTE(LOWER(Registro!$E360),"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",LEN(Registro!$E360))),({1,2,3,4,5,6,7,8,9,10,11,12,13,14,15,16,17,18,19,20,21,22,23,24,25,26,27,28,29,30}-1)*LEN(Registro!$E360)+1,LEN(Registro!$E360)))&amp;"x")-1)),--("0"&amp;MID(TRIM(MID(SUBSTITUTE(SUBSTITUTE(SUBSTITUTE(SUBSTITUTE(SUBSTITUTE(LOWER(Registro!$E360),"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",LEN(Registro!$E360))),({1,2,3,4,5,6,7,8,9,10,11,12,13,14,15,16,17,18,19,20,21,22,23,24,25,26,27,28,29,30}-1)*LEN(Registro!$E360)+1,LEN(Registro!$E360)))&amp;"x")+1,20))),"Revisar formato")))</f>
        <v/>
      </c>
      <c r="F360" s="11" t="str">
        <f>IF(Registro!$F360="","",N(Registro!$F360))</f>
        <v/>
      </c>
      <c r="G360" s="11" t="str">
        <f t="shared" si="16"/>
        <v/>
      </c>
      <c r="H360" s="10" t="str">
        <f>IF(Registro!$G360="","",IF(ISERROR(FIND("x",LOWER(Registro!$G360))),"-",IFERROR(SUMPRODUCT(--("0"&amp;LEFT(TRIM(MID(SUBSTITUTE(SUBSTITUTE(SUBSTITUTE(SUBSTITUTE(SUBSTITUTE(LOWER(Registro!$G360),"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",LEN(Registro!$G360))),({1,2,3,4,5,6,7,8,9,10,11,12,13,14,15,16,17,18,19,20,21,22,23,24,25,26,27,28,29,30}-1)*LEN(Registro!$G360)+1,LEN(Registro!$G360))),FIND("x",TRIM(MID(SUBSTITUTE(SUBSTITUTE(SUBSTITUTE(SUBSTITUTE(SUBSTITUTE(LOWER(Registro!$G360),"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",LEN(Registro!$G360))),({1,2,3,4,5,6,7,8,9,10,11,12,13,14,15,16,17,18,19,20,21,22,23,24,25,26,27,28,29,30}-1)*LEN(Registro!$G360)+1,LEN(Registro!$G360)))&amp;"x")-1))),"Revisar formato")))</f>
        <v/>
      </c>
      <c r="I360" s="11" t="str">
        <f>IF(Registro!$G360="","",IF(ISERROR(FIND("x",LOWER(Registro!$G360))),N(Registro!$H360),IFERROR(SUMPRODUCT(--("0"&amp;LEFT(TRIM(MID(SUBSTITUTE(SUBSTITUTE(SUBSTITUTE(SUBSTITUTE(SUBSTITUTE(LOWER(Registro!$G360),"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",LEN(Registro!$G360))),({1,2,3,4,5,6,7,8,9,10,11,12,13,14,15,16,17,18,19,20,21,22,23,24,25,26,27,28,29,30}-1)*LEN(Registro!$G360)+1,LEN(Registro!$G360))),FIND("x",TRIM(MID(SUBSTITUTE(SUBSTITUTE(SUBSTITUTE(SUBSTITUTE(SUBSTITUTE(LOWER(Registro!$G360),"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",LEN(Registro!$G360))),({1,2,3,4,5,6,7,8,9,10,11,12,13,14,15,16,17,18,19,20,21,22,23,24,25,26,27,28,29,30}-1)*LEN(Registro!$G360)+1,LEN(Registro!$G360)))&amp;"x")-1)),--("0"&amp;MID(TRIM(MID(SUBSTITUTE(SUBSTITUTE(SUBSTITUTE(SUBSTITUTE(SUBSTITUTE(LOWER(Registro!$G360),"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",LEN(Registro!$G360))),({1,2,3,4,5,6,7,8,9,10,11,12,13,14,15,16,17,18,19,20,21,22,23,24,25,26,27,28,29,30}-1)*LEN(Registro!$G360)+1,LEN(Registro!$G360))),FIND("x",TRIM(MID(SUBSTITUTE(SUBSTITUTE(SUBSTITUTE(SUBSTITUTE(SUBSTITUTE(LOWER(Registro!$G360),"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",LEN(Registro!$G360))),({1,2,3,4,5,6,7,8,9,10,11,12,13,14,15,16,17,18,19,20,21,22,23,24,25,26,27,28,29,30}-1)*LEN(Registro!$G360)+1,LEN(Registro!$G360)))&amp;"x")+1,20))),"Revisar formato")))</f>
        <v/>
      </c>
      <c r="J360" s="9" t="str">
        <f>IF(AND(Registro!$E360="",Registro!$G360=""),"",IF(NOT(AND(ISNUMBER(I360),ISNUMBER(Registro!$H360))),"",IF(I360&lt;Registro!$H360,"FALTA BOLETOS",IF(I360=Registro!$H360,"CONFORME","DIFERENCIA"))))</f>
        <v/>
      </c>
      <c r="K360" s="11" t="str">
        <f>IF(Registro!$I360="","",IFERROR(SUMPRODUCT(--("0"&amp;TRIM(RIGHT(SUBSTITUTE(TRIM(MID(SUBSTITUTE(SUBSTITUTE(Registro!$I360,";",CHAR(10)),CHAR(10),REPT(" ",LEN(Registro!$I360))),({1,2,3,4,5,6,7,8,9,10,11,12,13,14,15,16,17,18,19,20,21,22,23,24,25,26,27,28,29,30}-1)*LEN(Registro!$I360)+1,LEN(Registro!$I360)))," ",REPT(" ",50)),50)))),"Revisar formato"))</f>
        <v/>
      </c>
      <c r="L360" s="11" t="str">
        <f>IF(Registro!$J360="","",IFERROR(SUMPRODUCT(--("0"&amp;TRIM(RIGHT(SUBSTITUTE(TRIM(MID(SUBSTITUTE(SUBSTITUTE(Registro!$J360,";",CHAR(10)),CHAR(10),REPT(" ",LEN(Registro!$J360))),({1,2,3,4,5,6,7,8,9,10,11,12,13,14,15,16,17,18,19,20,21,22,23,24,25,26,27,28,29,30}-1)*LEN(Registro!$J360)+1,LEN(Registro!$J360)))," ",REPT(" ",50)),50)))),"Revisar formato"))</f>
        <v/>
      </c>
      <c r="M360" s="11" t="str">
        <f>IF(AND(Registro!$H360="",Registro!$I360=""),"",IF(AND(ISTEXT(K360),K360&lt;&gt;""),"Revisar formato",N(Registro!$H360)-N(K360)))</f>
        <v/>
      </c>
      <c r="N360" s="11" t="str">
        <f t="shared" si="17"/>
        <v/>
      </c>
      <c r="O360" s="15" t="str">
        <f>IF(AND(A360=Consulta!$B$3,C360=Consulta!$H$3),B360*10000+ROW(),"")</f>
        <v/>
      </c>
    </row>
    <row r="361" spans="1:15" x14ac:dyDescent="0.25">
      <c r="A361" s="9" t="str">
        <f>IF(Registro!$A361="","",Registro!$A361)</f>
        <v/>
      </c>
      <c r="B361" s="8" t="str">
        <f>IF(Registro!$B361="","",Registro!$B361)</f>
        <v/>
      </c>
      <c r="C361" s="14" t="str">
        <f t="shared" si="15"/>
        <v/>
      </c>
      <c r="D361" s="10" t="str">
        <f>IF(Registro!$E361="","",IF(ISERROR(FIND("x",LOWER(Registro!$E361))),"-",IFERROR(SUMPRODUCT(--("0"&amp;LEFT(TRIM(MID(SUBSTITUTE(SUBSTITUTE(SUBSTITUTE(SUBSTITUTE(SUBSTITUTE(LOWER(Registro!$E361),"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",LEN(Registro!$E361))),({1,2,3,4,5,6,7,8,9,10,11,12,13,14,15,16,17,18,19,20,21,22,23,24,25,26,27,28,29,30}-1)*LEN(Registro!$E361)+1,LEN(Registro!$E361)))&amp;"x")-1))),"Revisar formato")))</f>
        <v/>
      </c>
      <c r="E361" s="11" t="str">
        <f>IF(Registro!$E361="","",IF(ISERROR(FIND("x",LOWER(Registro!$E361))),"-",IFERROR(SUMPRODUCT(--("0"&amp;LEFT(TRIM(MID(SUBSTITUTE(SUBSTITUTE(SUBSTITUTE(SUBSTITUTE(SUBSTITUTE(LOWER(Registro!$E361),"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",LEN(Registro!$E361))),({1,2,3,4,5,6,7,8,9,10,11,12,13,14,15,16,17,18,19,20,21,22,23,24,25,26,27,28,29,30}-1)*LEN(Registro!$E361)+1,LEN(Registro!$E361)))&amp;"x")-1)),--("0"&amp;MID(TRIM(MID(SUBSTITUTE(SUBSTITUTE(SUBSTITUTE(SUBSTITUTE(SUBSTITUTE(LOWER(Registro!$E361),"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",LEN(Registro!$E361))),({1,2,3,4,5,6,7,8,9,10,11,12,13,14,15,16,17,18,19,20,21,22,23,24,25,26,27,28,29,30}-1)*LEN(Registro!$E361)+1,LEN(Registro!$E361)))&amp;"x")+1,20))),"Revisar formato")))</f>
        <v/>
      </c>
      <c r="F361" s="11" t="str">
        <f>IF(Registro!$F361="","",N(Registro!$F361))</f>
        <v/>
      </c>
      <c r="G361" s="11" t="str">
        <f t="shared" si="16"/>
        <v/>
      </c>
      <c r="H361" s="10" t="str">
        <f>IF(Registro!$G361="","",IF(ISERROR(FIND("x",LOWER(Registro!$G361))),"-",IFERROR(SUMPRODUCT(--("0"&amp;LEFT(TRIM(MID(SUBSTITUTE(SUBSTITUTE(SUBSTITUTE(SUBSTITUTE(SUBSTITUTE(LOWER(Registro!$G361),"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",LEN(Registro!$G361))),({1,2,3,4,5,6,7,8,9,10,11,12,13,14,15,16,17,18,19,20,21,22,23,24,25,26,27,28,29,30}-1)*LEN(Registro!$G361)+1,LEN(Registro!$G361))),FIND("x",TRIM(MID(SUBSTITUTE(SUBSTITUTE(SUBSTITUTE(SUBSTITUTE(SUBSTITUTE(LOWER(Registro!$G361),"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",LEN(Registro!$G361))),({1,2,3,4,5,6,7,8,9,10,11,12,13,14,15,16,17,18,19,20,21,22,23,24,25,26,27,28,29,30}-1)*LEN(Registro!$G361)+1,LEN(Registro!$G361)))&amp;"x")-1))),"Revisar formato")))</f>
        <v/>
      </c>
      <c r="I361" s="11" t="str">
        <f>IF(Registro!$G361="","",IF(ISERROR(FIND("x",LOWER(Registro!$G361))),N(Registro!$H361),IFERROR(SUMPRODUCT(--("0"&amp;LEFT(TRIM(MID(SUBSTITUTE(SUBSTITUTE(SUBSTITUTE(SUBSTITUTE(SUBSTITUTE(LOWER(Registro!$G361),"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",LEN(Registro!$G361))),({1,2,3,4,5,6,7,8,9,10,11,12,13,14,15,16,17,18,19,20,21,22,23,24,25,26,27,28,29,30}-1)*LEN(Registro!$G361)+1,LEN(Registro!$G361))),FIND("x",TRIM(MID(SUBSTITUTE(SUBSTITUTE(SUBSTITUTE(SUBSTITUTE(SUBSTITUTE(LOWER(Registro!$G361),"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",LEN(Registro!$G361))),({1,2,3,4,5,6,7,8,9,10,11,12,13,14,15,16,17,18,19,20,21,22,23,24,25,26,27,28,29,30}-1)*LEN(Registro!$G361)+1,LEN(Registro!$G361)))&amp;"x")-1)),--("0"&amp;MID(TRIM(MID(SUBSTITUTE(SUBSTITUTE(SUBSTITUTE(SUBSTITUTE(SUBSTITUTE(LOWER(Registro!$G361),"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",LEN(Registro!$G361))),({1,2,3,4,5,6,7,8,9,10,11,12,13,14,15,16,17,18,19,20,21,22,23,24,25,26,27,28,29,30}-1)*LEN(Registro!$G361)+1,LEN(Registro!$G361))),FIND("x",TRIM(MID(SUBSTITUTE(SUBSTITUTE(SUBSTITUTE(SUBSTITUTE(SUBSTITUTE(LOWER(Registro!$G361),"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",LEN(Registro!$G361))),({1,2,3,4,5,6,7,8,9,10,11,12,13,14,15,16,17,18,19,20,21,22,23,24,25,26,27,28,29,30}-1)*LEN(Registro!$G361)+1,LEN(Registro!$G361)))&amp;"x")+1,20))),"Revisar formato")))</f>
        <v/>
      </c>
      <c r="J361" s="9" t="str">
        <f>IF(AND(Registro!$E361="",Registro!$G361=""),"",IF(NOT(AND(ISNUMBER(I361),ISNUMBER(Registro!$H361))),"",IF(I361&lt;Registro!$H361,"FALTA BOLETOS",IF(I361=Registro!$H361,"CONFORME","DIFERENCIA"))))</f>
        <v/>
      </c>
      <c r="K361" s="11" t="str">
        <f>IF(Registro!$I361="","",IFERROR(SUMPRODUCT(--("0"&amp;TRIM(RIGHT(SUBSTITUTE(TRIM(MID(SUBSTITUTE(SUBSTITUTE(Registro!$I361,";",CHAR(10)),CHAR(10),REPT(" ",LEN(Registro!$I361))),({1,2,3,4,5,6,7,8,9,10,11,12,13,14,15,16,17,18,19,20,21,22,23,24,25,26,27,28,29,30}-1)*LEN(Registro!$I361)+1,LEN(Registro!$I361)))," ",REPT(" ",50)),50)))),"Revisar formato"))</f>
        <v/>
      </c>
      <c r="L361" s="11" t="str">
        <f>IF(Registro!$J361="","",IFERROR(SUMPRODUCT(--("0"&amp;TRIM(RIGHT(SUBSTITUTE(TRIM(MID(SUBSTITUTE(SUBSTITUTE(Registro!$J361,";",CHAR(10)),CHAR(10),REPT(" ",LEN(Registro!$J361))),({1,2,3,4,5,6,7,8,9,10,11,12,13,14,15,16,17,18,19,20,21,22,23,24,25,26,27,28,29,30}-1)*LEN(Registro!$J361)+1,LEN(Registro!$J361)))," ",REPT(" ",50)),50)))),"Revisar formato"))</f>
        <v/>
      </c>
      <c r="M361" s="11" t="str">
        <f>IF(AND(Registro!$H361="",Registro!$I361=""),"",IF(AND(ISTEXT(K361),K361&lt;&gt;""),"Revisar formato",N(Registro!$H361)-N(K361)))</f>
        <v/>
      </c>
      <c r="N361" s="11" t="str">
        <f t="shared" si="17"/>
        <v/>
      </c>
      <c r="O361" s="15" t="str">
        <f>IF(AND(A361=Consulta!$B$3,C361=Consulta!$H$3),B361*10000+ROW(),"")</f>
        <v/>
      </c>
    </row>
    <row r="362" spans="1:15" x14ac:dyDescent="0.25">
      <c r="A362" s="9" t="str">
        <f>IF(Registro!$A362="","",Registro!$A362)</f>
        <v/>
      </c>
      <c r="B362" s="8" t="str">
        <f>IF(Registro!$B362="","",Registro!$B362)</f>
        <v/>
      </c>
      <c r="C362" s="14" t="str">
        <f t="shared" si="15"/>
        <v/>
      </c>
      <c r="D362" s="10" t="str">
        <f>IF(Registro!$E362="","",IF(ISERROR(FIND("x",LOWER(Registro!$E362))),"-",IFERROR(SUMPRODUCT(--("0"&amp;LEFT(TRIM(MID(SUBSTITUTE(SUBSTITUTE(SUBSTITUTE(SUBSTITUTE(SUBSTITUTE(LOWER(Registro!$E362),"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",LEN(Registro!$E362))),({1,2,3,4,5,6,7,8,9,10,11,12,13,14,15,16,17,18,19,20,21,22,23,24,25,26,27,28,29,30}-1)*LEN(Registro!$E362)+1,LEN(Registro!$E362)))&amp;"x")-1))),"Revisar formato")))</f>
        <v/>
      </c>
      <c r="E362" s="11" t="str">
        <f>IF(Registro!$E362="","",IF(ISERROR(FIND("x",LOWER(Registro!$E362))),"-",IFERROR(SUMPRODUCT(--("0"&amp;LEFT(TRIM(MID(SUBSTITUTE(SUBSTITUTE(SUBSTITUTE(SUBSTITUTE(SUBSTITUTE(LOWER(Registro!$E362),"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",LEN(Registro!$E362))),({1,2,3,4,5,6,7,8,9,10,11,12,13,14,15,16,17,18,19,20,21,22,23,24,25,26,27,28,29,30}-1)*LEN(Registro!$E362)+1,LEN(Registro!$E362)))&amp;"x")-1)),--("0"&amp;MID(TRIM(MID(SUBSTITUTE(SUBSTITUTE(SUBSTITUTE(SUBSTITUTE(SUBSTITUTE(LOWER(Registro!$E362),"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",LEN(Registro!$E362))),({1,2,3,4,5,6,7,8,9,10,11,12,13,14,15,16,17,18,19,20,21,22,23,24,25,26,27,28,29,30}-1)*LEN(Registro!$E362)+1,LEN(Registro!$E362)))&amp;"x")+1,20))),"Revisar formato")))</f>
        <v/>
      </c>
      <c r="F362" s="11" t="str">
        <f>IF(Registro!$F362="","",N(Registro!$F362))</f>
        <v/>
      </c>
      <c r="G362" s="11" t="str">
        <f t="shared" si="16"/>
        <v/>
      </c>
      <c r="H362" s="10" t="str">
        <f>IF(Registro!$G362="","",IF(ISERROR(FIND("x",LOWER(Registro!$G362))),"-",IFERROR(SUMPRODUCT(--("0"&amp;LEFT(TRIM(MID(SUBSTITUTE(SUBSTITUTE(SUBSTITUTE(SUBSTITUTE(SUBSTITUTE(LOWER(Registro!$G362),"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",LEN(Registro!$G362))),({1,2,3,4,5,6,7,8,9,10,11,12,13,14,15,16,17,18,19,20,21,22,23,24,25,26,27,28,29,30}-1)*LEN(Registro!$G362)+1,LEN(Registro!$G362))),FIND("x",TRIM(MID(SUBSTITUTE(SUBSTITUTE(SUBSTITUTE(SUBSTITUTE(SUBSTITUTE(LOWER(Registro!$G362),"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",LEN(Registro!$G362))),({1,2,3,4,5,6,7,8,9,10,11,12,13,14,15,16,17,18,19,20,21,22,23,24,25,26,27,28,29,30}-1)*LEN(Registro!$G362)+1,LEN(Registro!$G362)))&amp;"x")-1))),"Revisar formato")))</f>
        <v/>
      </c>
      <c r="I362" s="11" t="str">
        <f>IF(Registro!$G362="","",IF(ISERROR(FIND("x",LOWER(Registro!$G362))),N(Registro!$H362),IFERROR(SUMPRODUCT(--("0"&amp;LEFT(TRIM(MID(SUBSTITUTE(SUBSTITUTE(SUBSTITUTE(SUBSTITUTE(SUBSTITUTE(LOWER(Registro!$G362),"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",LEN(Registro!$G362))),({1,2,3,4,5,6,7,8,9,10,11,12,13,14,15,16,17,18,19,20,21,22,23,24,25,26,27,28,29,30}-1)*LEN(Registro!$G362)+1,LEN(Registro!$G362))),FIND("x",TRIM(MID(SUBSTITUTE(SUBSTITUTE(SUBSTITUTE(SUBSTITUTE(SUBSTITUTE(LOWER(Registro!$G362),"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",LEN(Registro!$G362))),({1,2,3,4,5,6,7,8,9,10,11,12,13,14,15,16,17,18,19,20,21,22,23,24,25,26,27,28,29,30}-1)*LEN(Registro!$G362)+1,LEN(Registro!$G362)))&amp;"x")-1)),--("0"&amp;MID(TRIM(MID(SUBSTITUTE(SUBSTITUTE(SUBSTITUTE(SUBSTITUTE(SUBSTITUTE(LOWER(Registro!$G362),"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",LEN(Registro!$G362))),({1,2,3,4,5,6,7,8,9,10,11,12,13,14,15,16,17,18,19,20,21,22,23,24,25,26,27,28,29,30}-1)*LEN(Registro!$G362)+1,LEN(Registro!$G362))),FIND("x",TRIM(MID(SUBSTITUTE(SUBSTITUTE(SUBSTITUTE(SUBSTITUTE(SUBSTITUTE(LOWER(Registro!$G362),"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",LEN(Registro!$G362))),({1,2,3,4,5,6,7,8,9,10,11,12,13,14,15,16,17,18,19,20,21,22,23,24,25,26,27,28,29,30}-1)*LEN(Registro!$G362)+1,LEN(Registro!$G362)))&amp;"x")+1,20))),"Revisar formato")))</f>
        <v/>
      </c>
      <c r="J362" s="9" t="str">
        <f>IF(AND(Registro!$E362="",Registro!$G362=""),"",IF(NOT(AND(ISNUMBER(I362),ISNUMBER(Registro!$H362))),"",IF(I362&lt;Registro!$H362,"FALTA BOLETOS",IF(I362=Registro!$H362,"CONFORME","DIFERENCIA"))))</f>
        <v/>
      </c>
      <c r="K362" s="11" t="str">
        <f>IF(Registro!$I362="","",IFERROR(SUMPRODUCT(--("0"&amp;TRIM(RIGHT(SUBSTITUTE(TRIM(MID(SUBSTITUTE(SUBSTITUTE(Registro!$I362,";",CHAR(10)),CHAR(10),REPT(" ",LEN(Registro!$I362))),({1,2,3,4,5,6,7,8,9,10,11,12,13,14,15,16,17,18,19,20,21,22,23,24,25,26,27,28,29,30}-1)*LEN(Registro!$I362)+1,LEN(Registro!$I362)))," ",REPT(" ",50)),50)))),"Revisar formato"))</f>
        <v/>
      </c>
      <c r="L362" s="11" t="str">
        <f>IF(Registro!$J362="","",IFERROR(SUMPRODUCT(--("0"&amp;TRIM(RIGHT(SUBSTITUTE(TRIM(MID(SUBSTITUTE(SUBSTITUTE(Registro!$J362,";",CHAR(10)),CHAR(10),REPT(" ",LEN(Registro!$J362))),({1,2,3,4,5,6,7,8,9,10,11,12,13,14,15,16,17,18,19,20,21,22,23,24,25,26,27,28,29,30}-1)*LEN(Registro!$J362)+1,LEN(Registro!$J362)))," ",REPT(" ",50)),50)))),"Revisar formato"))</f>
        <v/>
      </c>
      <c r="M362" s="11" t="str">
        <f>IF(AND(Registro!$H362="",Registro!$I362=""),"",IF(AND(ISTEXT(K362),K362&lt;&gt;""),"Revisar formato",N(Registro!$H362)-N(K362)))</f>
        <v/>
      </c>
      <c r="N362" s="11" t="str">
        <f t="shared" si="17"/>
        <v/>
      </c>
      <c r="O362" s="15" t="str">
        <f>IF(AND(A362=Consulta!$B$3,C362=Consulta!$H$3),B362*10000+ROW(),"")</f>
        <v/>
      </c>
    </row>
    <row r="363" spans="1:15" x14ac:dyDescent="0.25">
      <c r="A363" s="9" t="str">
        <f>IF(Registro!$A363="","",Registro!$A363)</f>
        <v/>
      </c>
      <c r="B363" s="8" t="str">
        <f>IF(Registro!$B363="","",Registro!$B363)</f>
        <v/>
      </c>
      <c r="C363" s="14" t="str">
        <f t="shared" si="15"/>
        <v/>
      </c>
      <c r="D363" s="10" t="str">
        <f>IF(Registro!$E363="","",IF(ISERROR(FIND("x",LOWER(Registro!$E363))),"-",IFERROR(SUMPRODUCT(--("0"&amp;LEFT(TRIM(MID(SUBSTITUTE(SUBSTITUTE(SUBSTITUTE(SUBSTITUTE(SUBSTITUTE(LOWER(Registro!$E363),"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",LEN(Registro!$E363))),({1,2,3,4,5,6,7,8,9,10,11,12,13,14,15,16,17,18,19,20,21,22,23,24,25,26,27,28,29,30}-1)*LEN(Registro!$E363)+1,LEN(Registro!$E363)))&amp;"x")-1))),"Revisar formato")))</f>
        <v/>
      </c>
      <c r="E363" s="11" t="str">
        <f>IF(Registro!$E363="","",IF(ISERROR(FIND("x",LOWER(Registro!$E363))),"-",IFERROR(SUMPRODUCT(--("0"&amp;LEFT(TRIM(MID(SUBSTITUTE(SUBSTITUTE(SUBSTITUTE(SUBSTITUTE(SUBSTITUTE(LOWER(Registro!$E363),"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",LEN(Registro!$E363))),({1,2,3,4,5,6,7,8,9,10,11,12,13,14,15,16,17,18,19,20,21,22,23,24,25,26,27,28,29,30}-1)*LEN(Registro!$E363)+1,LEN(Registro!$E363)))&amp;"x")-1)),--("0"&amp;MID(TRIM(MID(SUBSTITUTE(SUBSTITUTE(SUBSTITUTE(SUBSTITUTE(SUBSTITUTE(LOWER(Registro!$E363),"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",LEN(Registro!$E363))),({1,2,3,4,5,6,7,8,9,10,11,12,13,14,15,16,17,18,19,20,21,22,23,24,25,26,27,28,29,30}-1)*LEN(Registro!$E363)+1,LEN(Registro!$E363)))&amp;"x")+1,20))),"Revisar formato")))</f>
        <v/>
      </c>
      <c r="F363" s="11" t="str">
        <f>IF(Registro!$F363="","",N(Registro!$F363))</f>
        <v/>
      </c>
      <c r="G363" s="11" t="str">
        <f t="shared" si="16"/>
        <v/>
      </c>
      <c r="H363" s="10" t="str">
        <f>IF(Registro!$G363="","",IF(ISERROR(FIND("x",LOWER(Registro!$G363))),"-",IFERROR(SUMPRODUCT(--("0"&amp;LEFT(TRIM(MID(SUBSTITUTE(SUBSTITUTE(SUBSTITUTE(SUBSTITUTE(SUBSTITUTE(LOWER(Registro!$G363),"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",LEN(Registro!$G363))),({1,2,3,4,5,6,7,8,9,10,11,12,13,14,15,16,17,18,19,20,21,22,23,24,25,26,27,28,29,30}-1)*LEN(Registro!$G363)+1,LEN(Registro!$G363))),FIND("x",TRIM(MID(SUBSTITUTE(SUBSTITUTE(SUBSTITUTE(SUBSTITUTE(SUBSTITUTE(LOWER(Registro!$G363),"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",LEN(Registro!$G363))),({1,2,3,4,5,6,7,8,9,10,11,12,13,14,15,16,17,18,19,20,21,22,23,24,25,26,27,28,29,30}-1)*LEN(Registro!$G363)+1,LEN(Registro!$G363)))&amp;"x")-1))),"Revisar formato")))</f>
        <v/>
      </c>
      <c r="I363" s="11" t="str">
        <f>IF(Registro!$G363="","",IF(ISERROR(FIND("x",LOWER(Registro!$G363))),N(Registro!$H363),IFERROR(SUMPRODUCT(--("0"&amp;LEFT(TRIM(MID(SUBSTITUTE(SUBSTITUTE(SUBSTITUTE(SUBSTITUTE(SUBSTITUTE(LOWER(Registro!$G363),"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",LEN(Registro!$G363))),({1,2,3,4,5,6,7,8,9,10,11,12,13,14,15,16,17,18,19,20,21,22,23,24,25,26,27,28,29,30}-1)*LEN(Registro!$G363)+1,LEN(Registro!$G363))),FIND("x",TRIM(MID(SUBSTITUTE(SUBSTITUTE(SUBSTITUTE(SUBSTITUTE(SUBSTITUTE(LOWER(Registro!$G363),"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",LEN(Registro!$G363))),({1,2,3,4,5,6,7,8,9,10,11,12,13,14,15,16,17,18,19,20,21,22,23,24,25,26,27,28,29,30}-1)*LEN(Registro!$G363)+1,LEN(Registro!$G363)))&amp;"x")-1)),--("0"&amp;MID(TRIM(MID(SUBSTITUTE(SUBSTITUTE(SUBSTITUTE(SUBSTITUTE(SUBSTITUTE(LOWER(Registro!$G363),"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",LEN(Registro!$G363))),({1,2,3,4,5,6,7,8,9,10,11,12,13,14,15,16,17,18,19,20,21,22,23,24,25,26,27,28,29,30}-1)*LEN(Registro!$G363)+1,LEN(Registro!$G363))),FIND("x",TRIM(MID(SUBSTITUTE(SUBSTITUTE(SUBSTITUTE(SUBSTITUTE(SUBSTITUTE(LOWER(Registro!$G363),"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",LEN(Registro!$G363))),({1,2,3,4,5,6,7,8,9,10,11,12,13,14,15,16,17,18,19,20,21,22,23,24,25,26,27,28,29,30}-1)*LEN(Registro!$G363)+1,LEN(Registro!$G363)))&amp;"x")+1,20))),"Revisar formato")))</f>
        <v/>
      </c>
      <c r="J363" s="9" t="str">
        <f>IF(AND(Registro!$E363="",Registro!$G363=""),"",IF(NOT(AND(ISNUMBER(I363),ISNUMBER(Registro!$H363))),"",IF(I363&lt;Registro!$H363,"FALTA BOLETOS",IF(I363=Registro!$H363,"CONFORME","DIFERENCIA"))))</f>
        <v/>
      </c>
      <c r="K363" s="11" t="str">
        <f>IF(Registro!$I363="","",IFERROR(SUMPRODUCT(--("0"&amp;TRIM(RIGHT(SUBSTITUTE(TRIM(MID(SUBSTITUTE(SUBSTITUTE(Registro!$I363,";",CHAR(10)),CHAR(10),REPT(" ",LEN(Registro!$I363))),({1,2,3,4,5,6,7,8,9,10,11,12,13,14,15,16,17,18,19,20,21,22,23,24,25,26,27,28,29,30}-1)*LEN(Registro!$I363)+1,LEN(Registro!$I363)))," ",REPT(" ",50)),50)))),"Revisar formato"))</f>
        <v/>
      </c>
      <c r="L363" s="11" t="str">
        <f>IF(Registro!$J363="","",IFERROR(SUMPRODUCT(--("0"&amp;TRIM(RIGHT(SUBSTITUTE(TRIM(MID(SUBSTITUTE(SUBSTITUTE(Registro!$J363,";",CHAR(10)),CHAR(10),REPT(" ",LEN(Registro!$J363))),({1,2,3,4,5,6,7,8,9,10,11,12,13,14,15,16,17,18,19,20,21,22,23,24,25,26,27,28,29,30}-1)*LEN(Registro!$J363)+1,LEN(Registro!$J363)))," ",REPT(" ",50)),50)))),"Revisar formato"))</f>
        <v/>
      </c>
      <c r="M363" s="11" t="str">
        <f>IF(AND(Registro!$H363="",Registro!$I363=""),"",IF(AND(ISTEXT(K363),K363&lt;&gt;""),"Revisar formato",N(Registro!$H363)-N(K363)))</f>
        <v/>
      </c>
      <c r="N363" s="11" t="str">
        <f t="shared" si="17"/>
        <v/>
      </c>
      <c r="O363" s="15" t="str">
        <f>IF(AND(A363=Consulta!$B$3,C363=Consulta!$H$3),B363*10000+ROW(),"")</f>
        <v/>
      </c>
    </row>
    <row r="364" spans="1:15" x14ac:dyDescent="0.25">
      <c r="A364" s="9" t="str">
        <f>IF(Registro!$A364="","",Registro!$A364)</f>
        <v/>
      </c>
      <c r="B364" s="8" t="str">
        <f>IF(Registro!$B364="","",Registro!$B364)</f>
        <v/>
      </c>
      <c r="C364" s="14" t="str">
        <f t="shared" si="15"/>
        <v/>
      </c>
      <c r="D364" s="10" t="str">
        <f>IF(Registro!$E364="","",IF(ISERROR(FIND("x",LOWER(Registro!$E364))),"-",IFERROR(SUMPRODUCT(--("0"&amp;LEFT(TRIM(MID(SUBSTITUTE(SUBSTITUTE(SUBSTITUTE(SUBSTITUTE(SUBSTITUTE(LOWER(Registro!$E364),"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",LEN(Registro!$E364))),({1,2,3,4,5,6,7,8,9,10,11,12,13,14,15,16,17,18,19,20,21,22,23,24,25,26,27,28,29,30}-1)*LEN(Registro!$E364)+1,LEN(Registro!$E364)))&amp;"x")-1))),"Revisar formato")))</f>
        <v/>
      </c>
      <c r="E364" s="11" t="str">
        <f>IF(Registro!$E364="","",IF(ISERROR(FIND("x",LOWER(Registro!$E364))),"-",IFERROR(SUMPRODUCT(--("0"&amp;LEFT(TRIM(MID(SUBSTITUTE(SUBSTITUTE(SUBSTITUTE(SUBSTITUTE(SUBSTITUTE(LOWER(Registro!$E364),"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",LEN(Registro!$E364))),({1,2,3,4,5,6,7,8,9,10,11,12,13,14,15,16,17,18,19,20,21,22,23,24,25,26,27,28,29,30}-1)*LEN(Registro!$E364)+1,LEN(Registro!$E364)))&amp;"x")-1)),--("0"&amp;MID(TRIM(MID(SUBSTITUTE(SUBSTITUTE(SUBSTITUTE(SUBSTITUTE(SUBSTITUTE(LOWER(Registro!$E364),"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",LEN(Registro!$E364))),({1,2,3,4,5,6,7,8,9,10,11,12,13,14,15,16,17,18,19,20,21,22,23,24,25,26,27,28,29,30}-1)*LEN(Registro!$E364)+1,LEN(Registro!$E364)))&amp;"x")+1,20))),"Revisar formato")))</f>
        <v/>
      </c>
      <c r="F364" s="11" t="str">
        <f>IF(Registro!$F364="","",N(Registro!$F364))</f>
        <v/>
      </c>
      <c r="G364" s="11" t="str">
        <f t="shared" si="16"/>
        <v/>
      </c>
      <c r="H364" s="10" t="str">
        <f>IF(Registro!$G364="","",IF(ISERROR(FIND("x",LOWER(Registro!$G364))),"-",IFERROR(SUMPRODUCT(--("0"&amp;LEFT(TRIM(MID(SUBSTITUTE(SUBSTITUTE(SUBSTITUTE(SUBSTITUTE(SUBSTITUTE(LOWER(Registro!$G364),"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",LEN(Registro!$G364))),({1,2,3,4,5,6,7,8,9,10,11,12,13,14,15,16,17,18,19,20,21,22,23,24,25,26,27,28,29,30}-1)*LEN(Registro!$G364)+1,LEN(Registro!$G364))),FIND("x",TRIM(MID(SUBSTITUTE(SUBSTITUTE(SUBSTITUTE(SUBSTITUTE(SUBSTITUTE(LOWER(Registro!$G364),"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",LEN(Registro!$G364))),({1,2,3,4,5,6,7,8,9,10,11,12,13,14,15,16,17,18,19,20,21,22,23,24,25,26,27,28,29,30}-1)*LEN(Registro!$G364)+1,LEN(Registro!$G364)))&amp;"x")-1))),"Revisar formato")))</f>
        <v/>
      </c>
      <c r="I364" s="11" t="str">
        <f>IF(Registro!$G364="","",IF(ISERROR(FIND("x",LOWER(Registro!$G364))),N(Registro!$H364),IFERROR(SUMPRODUCT(--("0"&amp;LEFT(TRIM(MID(SUBSTITUTE(SUBSTITUTE(SUBSTITUTE(SUBSTITUTE(SUBSTITUTE(LOWER(Registro!$G364),"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",LEN(Registro!$G364))),({1,2,3,4,5,6,7,8,9,10,11,12,13,14,15,16,17,18,19,20,21,22,23,24,25,26,27,28,29,30}-1)*LEN(Registro!$G364)+1,LEN(Registro!$G364))),FIND("x",TRIM(MID(SUBSTITUTE(SUBSTITUTE(SUBSTITUTE(SUBSTITUTE(SUBSTITUTE(LOWER(Registro!$G364),"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",LEN(Registro!$G364))),({1,2,3,4,5,6,7,8,9,10,11,12,13,14,15,16,17,18,19,20,21,22,23,24,25,26,27,28,29,30}-1)*LEN(Registro!$G364)+1,LEN(Registro!$G364)))&amp;"x")-1)),--("0"&amp;MID(TRIM(MID(SUBSTITUTE(SUBSTITUTE(SUBSTITUTE(SUBSTITUTE(SUBSTITUTE(LOWER(Registro!$G364),"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",LEN(Registro!$G364))),({1,2,3,4,5,6,7,8,9,10,11,12,13,14,15,16,17,18,19,20,21,22,23,24,25,26,27,28,29,30}-1)*LEN(Registro!$G364)+1,LEN(Registro!$G364))),FIND("x",TRIM(MID(SUBSTITUTE(SUBSTITUTE(SUBSTITUTE(SUBSTITUTE(SUBSTITUTE(LOWER(Registro!$G364),"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",LEN(Registro!$G364))),({1,2,3,4,5,6,7,8,9,10,11,12,13,14,15,16,17,18,19,20,21,22,23,24,25,26,27,28,29,30}-1)*LEN(Registro!$G364)+1,LEN(Registro!$G364)))&amp;"x")+1,20))),"Revisar formato")))</f>
        <v/>
      </c>
      <c r="J364" s="9" t="str">
        <f>IF(AND(Registro!$E364="",Registro!$G364=""),"",IF(NOT(AND(ISNUMBER(I364),ISNUMBER(Registro!$H364))),"",IF(I364&lt;Registro!$H364,"FALTA BOLETOS",IF(I364=Registro!$H364,"CONFORME","DIFERENCIA"))))</f>
        <v/>
      </c>
      <c r="K364" s="11" t="str">
        <f>IF(Registro!$I364="","",IFERROR(SUMPRODUCT(--("0"&amp;TRIM(RIGHT(SUBSTITUTE(TRIM(MID(SUBSTITUTE(SUBSTITUTE(Registro!$I364,";",CHAR(10)),CHAR(10),REPT(" ",LEN(Registro!$I364))),({1,2,3,4,5,6,7,8,9,10,11,12,13,14,15,16,17,18,19,20,21,22,23,24,25,26,27,28,29,30}-1)*LEN(Registro!$I364)+1,LEN(Registro!$I364)))," ",REPT(" ",50)),50)))),"Revisar formato"))</f>
        <v/>
      </c>
      <c r="L364" s="11" t="str">
        <f>IF(Registro!$J364="","",IFERROR(SUMPRODUCT(--("0"&amp;TRIM(RIGHT(SUBSTITUTE(TRIM(MID(SUBSTITUTE(SUBSTITUTE(Registro!$J364,";",CHAR(10)),CHAR(10),REPT(" ",LEN(Registro!$J364))),({1,2,3,4,5,6,7,8,9,10,11,12,13,14,15,16,17,18,19,20,21,22,23,24,25,26,27,28,29,30}-1)*LEN(Registro!$J364)+1,LEN(Registro!$J364)))," ",REPT(" ",50)),50)))),"Revisar formato"))</f>
        <v/>
      </c>
      <c r="M364" s="11" t="str">
        <f>IF(AND(Registro!$H364="",Registro!$I364=""),"",IF(AND(ISTEXT(K364),K364&lt;&gt;""),"Revisar formato",N(Registro!$H364)-N(K364)))</f>
        <v/>
      </c>
      <c r="N364" s="11" t="str">
        <f t="shared" si="17"/>
        <v/>
      </c>
      <c r="O364" s="15" t="str">
        <f>IF(AND(A364=Consulta!$B$3,C364=Consulta!$H$3),B364*10000+ROW(),"")</f>
        <v/>
      </c>
    </row>
    <row r="365" spans="1:15" x14ac:dyDescent="0.25">
      <c r="A365" s="9" t="str">
        <f>IF(Registro!$A365="","",Registro!$A365)</f>
        <v/>
      </c>
      <c r="B365" s="8" t="str">
        <f>IF(Registro!$B365="","",Registro!$B365)</f>
        <v/>
      </c>
      <c r="C365" s="14" t="str">
        <f t="shared" si="15"/>
        <v/>
      </c>
      <c r="D365" s="10" t="str">
        <f>IF(Registro!$E365="","",IF(ISERROR(FIND("x",LOWER(Registro!$E365))),"-",IFERROR(SUMPRODUCT(--("0"&amp;LEFT(TRIM(MID(SUBSTITUTE(SUBSTITUTE(SUBSTITUTE(SUBSTITUTE(SUBSTITUTE(LOWER(Registro!$E365),"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",LEN(Registro!$E365))),({1,2,3,4,5,6,7,8,9,10,11,12,13,14,15,16,17,18,19,20,21,22,23,24,25,26,27,28,29,30}-1)*LEN(Registro!$E365)+1,LEN(Registro!$E365)))&amp;"x")-1))),"Revisar formato")))</f>
        <v/>
      </c>
      <c r="E365" s="11" t="str">
        <f>IF(Registro!$E365="","",IF(ISERROR(FIND("x",LOWER(Registro!$E365))),"-",IFERROR(SUMPRODUCT(--("0"&amp;LEFT(TRIM(MID(SUBSTITUTE(SUBSTITUTE(SUBSTITUTE(SUBSTITUTE(SUBSTITUTE(LOWER(Registro!$E365),"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",LEN(Registro!$E365))),({1,2,3,4,5,6,7,8,9,10,11,12,13,14,15,16,17,18,19,20,21,22,23,24,25,26,27,28,29,30}-1)*LEN(Registro!$E365)+1,LEN(Registro!$E365)))&amp;"x")-1)),--("0"&amp;MID(TRIM(MID(SUBSTITUTE(SUBSTITUTE(SUBSTITUTE(SUBSTITUTE(SUBSTITUTE(LOWER(Registro!$E365),"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",LEN(Registro!$E365))),({1,2,3,4,5,6,7,8,9,10,11,12,13,14,15,16,17,18,19,20,21,22,23,24,25,26,27,28,29,30}-1)*LEN(Registro!$E365)+1,LEN(Registro!$E365)))&amp;"x")+1,20))),"Revisar formato")))</f>
        <v/>
      </c>
      <c r="F365" s="11" t="str">
        <f>IF(Registro!$F365="","",N(Registro!$F365))</f>
        <v/>
      </c>
      <c r="G365" s="11" t="str">
        <f t="shared" si="16"/>
        <v/>
      </c>
      <c r="H365" s="10" t="str">
        <f>IF(Registro!$G365="","",IF(ISERROR(FIND("x",LOWER(Registro!$G365))),"-",IFERROR(SUMPRODUCT(--("0"&amp;LEFT(TRIM(MID(SUBSTITUTE(SUBSTITUTE(SUBSTITUTE(SUBSTITUTE(SUBSTITUTE(LOWER(Registro!$G365),"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",LEN(Registro!$G365))),({1,2,3,4,5,6,7,8,9,10,11,12,13,14,15,16,17,18,19,20,21,22,23,24,25,26,27,28,29,30}-1)*LEN(Registro!$G365)+1,LEN(Registro!$G365))),FIND("x",TRIM(MID(SUBSTITUTE(SUBSTITUTE(SUBSTITUTE(SUBSTITUTE(SUBSTITUTE(LOWER(Registro!$G365),"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",LEN(Registro!$G365))),({1,2,3,4,5,6,7,8,9,10,11,12,13,14,15,16,17,18,19,20,21,22,23,24,25,26,27,28,29,30}-1)*LEN(Registro!$G365)+1,LEN(Registro!$G365)))&amp;"x")-1))),"Revisar formato")))</f>
        <v/>
      </c>
      <c r="I365" s="11" t="str">
        <f>IF(Registro!$G365="","",IF(ISERROR(FIND("x",LOWER(Registro!$G365))),N(Registro!$H365),IFERROR(SUMPRODUCT(--("0"&amp;LEFT(TRIM(MID(SUBSTITUTE(SUBSTITUTE(SUBSTITUTE(SUBSTITUTE(SUBSTITUTE(LOWER(Registro!$G365),"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",LEN(Registro!$G365))),({1,2,3,4,5,6,7,8,9,10,11,12,13,14,15,16,17,18,19,20,21,22,23,24,25,26,27,28,29,30}-1)*LEN(Registro!$G365)+1,LEN(Registro!$G365))),FIND("x",TRIM(MID(SUBSTITUTE(SUBSTITUTE(SUBSTITUTE(SUBSTITUTE(SUBSTITUTE(LOWER(Registro!$G365),"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",LEN(Registro!$G365))),({1,2,3,4,5,6,7,8,9,10,11,12,13,14,15,16,17,18,19,20,21,22,23,24,25,26,27,28,29,30}-1)*LEN(Registro!$G365)+1,LEN(Registro!$G365)))&amp;"x")-1)),--("0"&amp;MID(TRIM(MID(SUBSTITUTE(SUBSTITUTE(SUBSTITUTE(SUBSTITUTE(SUBSTITUTE(LOWER(Registro!$G365),"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",LEN(Registro!$G365))),({1,2,3,4,5,6,7,8,9,10,11,12,13,14,15,16,17,18,19,20,21,22,23,24,25,26,27,28,29,30}-1)*LEN(Registro!$G365)+1,LEN(Registro!$G365))),FIND("x",TRIM(MID(SUBSTITUTE(SUBSTITUTE(SUBSTITUTE(SUBSTITUTE(SUBSTITUTE(LOWER(Registro!$G365),"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",LEN(Registro!$G365))),({1,2,3,4,5,6,7,8,9,10,11,12,13,14,15,16,17,18,19,20,21,22,23,24,25,26,27,28,29,30}-1)*LEN(Registro!$G365)+1,LEN(Registro!$G365)))&amp;"x")+1,20))),"Revisar formato")))</f>
        <v/>
      </c>
      <c r="J365" s="9" t="str">
        <f>IF(AND(Registro!$E365="",Registro!$G365=""),"",IF(NOT(AND(ISNUMBER(I365),ISNUMBER(Registro!$H365))),"",IF(I365&lt;Registro!$H365,"FALTA BOLETOS",IF(I365=Registro!$H365,"CONFORME","DIFERENCIA"))))</f>
        <v/>
      </c>
      <c r="K365" s="11" t="str">
        <f>IF(Registro!$I365="","",IFERROR(SUMPRODUCT(--("0"&amp;TRIM(RIGHT(SUBSTITUTE(TRIM(MID(SUBSTITUTE(SUBSTITUTE(Registro!$I365,";",CHAR(10)),CHAR(10),REPT(" ",LEN(Registro!$I365))),({1,2,3,4,5,6,7,8,9,10,11,12,13,14,15,16,17,18,19,20,21,22,23,24,25,26,27,28,29,30}-1)*LEN(Registro!$I365)+1,LEN(Registro!$I365)))," ",REPT(" ",50)),50)))),"Revisar formato"))</f>
        <v/>
      </c>
      <c r="L365" s="11" t="str">
        <f>IF(Registro!$J365="","",IFERROR(SUMPRODUCT(--("0"&amp;TRIM(RIGHT(SUBSTITUTE(TRIM(MID(SUBSTITUTE(SUBSTITUTE(Registro!$J365,";",CHAR(10)),CHAR(10),REPT(" ",LEN(Registro!$J365))),({1,2,3,4,5,6,7,8,9,10,11,12,13,14,15,16,17,18,19,20,21,22,23,24,25,26,27,28,29,30}-1)*LEN(Registro!$J365)+1,LEN(Registro!$J365)))," ",REPT(" ",50)),50)))),"Revisar formato"))</f>
        <v/>
      </c>
      <c r="M365" s="11" t="str">
        <f>IF(AND(Registro!$H365="",Registro!$I365=""),"",IF(AND(ISTEXT(K365),K365&lt;&gt;""),"Revisar formato",N(Registro!$H365)-N(K365)))</f>
        <v/>
      </c>
      <c r="N365" s="11" t="str">
        <f t="shared" si="17"/>
        <v/>
      </c>
      <c r="O365" s="15" t="str">
        <f>IF(AND(A365=Consulta!$B$3,C365=Consulta!$H$3),B365*10000+ROW(),"")</f>
        <v/>
      </c>
    </row>
    <row r="366" spans="1:15" x14ac:dyDescent="0.25">
      <c r="A366" s="9" t="str">
        <f>IF(Registro!$A366="","",Registro!$A366)</f>
        <v/>
      </c>
      <c r="B366" s="8" t="str">
        <f>IF(Registro!$B366="","",Registro!$B366)</f>
        <v/>
      </c>
      <c r="C366" s="14" t="str">
        <f t="shared" si="15"/>
        <v/>
      </c>
      <c r="D366" s="10" t="str">
        <f>IF(Registro!$E366="","",IF(ISERROR(FIND("x",LOWER(Registro!$E366))),"-",IFERROR(SUMPRODUCT(--("0"&amp;LEFT(TRIM(MID(SUBSTITUTE(SUBSTITUTE(SUBSTITUTE(SUBSTITUTE(SUBSTITUTE(LOWER(Registro!$E366),"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",LEN(Registro!$E366))),({1,2,3,4,5,6,7,8,9,10,11,12,13,14,15,16,17,18,19,20,21,22,23,24,25,26,27,28,29,30}-1)*LEN(Registro!$E366)+1,LEN(Registro!$E366)))&amp;"x")-1))),"Revisar formato")))</f>
        <v/>
      </c>
      <c r="E366" s="11" t="str">
        <f>IF(Registro!$E366="","",IF(ISERROR(FIND("x",LOWER(Registro!$E366))),"-",IFERROR(SUMPRODUCT(--("0"&amp;LEFT(TRIM(MID(SUBSTITUTE(SUBSTITUTE(SUBSTITUTE(SUBSTITUTE(SUBSTITUTE(LOWER(Registro!$E366),"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",LEN(Registro!$E366))),({1,2,3,4,5,6,7,8,9,10,11,12,13,14,15,16,17,18,19,20,21,22,23,24,25,26,27,28,29,30}-1)*LEN(Registro!$E366)+1,LEN(Registro!$E366)))&amp;"x")-1)),--("0"&amp;MID(TRIM(MID(SUBSTITUTE(SUBSTITUTE(SUBSTITUTE(SUBSTITUTE(SUBSTITUTE(LOWER(Registro!$E366),"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",LEN(Registro!$E366))),({1,2,3,4,5,6,7,8,9,10,11,12,13,14,15,16,17,18,19,20,21,22,23,24,25,26,27,28,29,30}-1)*LEN(Registro!$E366)+1,LEN(Registro!$E366)))&amp;"x")+1,20))),"Revisar formato")))</f>
        <v/>
      </c>
      <c r="F366" s="11" t="str">
        <f>IF(Registro!$F366="","",N(Registro!$F366))</f>
        <v/>
      </c>
      <c r="G366" s="11" t="str">
        <f t="shared" si="16"/>
        <v/>
      </c>
      <c r="H366" s="10" t="str">
        <f>IF(Registro!$G366="","",IF(ISERROR(FIND("x",LOWER(Registro!$G366))),"-",IFERROR(SUMPRODUCT(--("0"&amp;LEFT(TRIM(MID(SUBSTITUTE(SUBSTITUTE(SUBSTITUTE(SUBSTITUTE(SUBSTITUTE(LOWER(Registro!$G366),"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",LEN(Registro!$G366))),({1,2,3,4,5,6,7,8,9,10,11,12,13,14,15,16,17,18,19,20,21,22,23,24,25,26,27,28,29,30}-1)*LEN(Registro!$G366)+1,LEN(Registro!$G366))),FIND("x",TRIM(MID(SUBSTITUTE(SUBSTITUTE(SUBSTITUTE(SUBSTITUTE(SUBSTITUTE(LOWER(Registro!$G366),"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",LEN(Registro!$G366))),({1,2,3,4,5,6,7,8,9,10,11,12,13,14,15,16,17,18,19,20,21,22,23,24,25,26,27,28,29,30}-1)*LEN(Registro!$G366)+1,LEN(Registro!$G366)))&amp;"x")-1))),"Revisar formato")))</f>
        <v/>
      </c>
      <c r="I366" s="11" t="str">
        <f>IF(Registro!$G366="","",IF(ISERROR(FIND("x",LOWER(Registro!$G366))),N(Registro!$H366),IFERROR(SUMPRODUCT(--("0"&amp;LEFT(TRIM(MID(SUBSTITUTE(SUBSTITUTE(SUBSTITUTE(SUBSTITUTE(SUBSTITUTE(LOWER(Registro!$G366),"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",LEN(Registro!$G366))),({1,2,3,4,5,6,7,8,9,10,11,12,13,14,15,16,17,18,19,20,21,22,23,24,25,26,27,28,29,30}-1)*LEN(Registro!$G366)+1,LEN(Registro!$G366))),FIND("x",TRIM(MID(SUBSTITUTE(SUBSTITUTE(SUBSTITUTE(SUBSTITUTE(SUBSTITUTE(LOWER(Registro!$G366),"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",LEN(Registro!$G366))),({1,2,3,4,5,6,7,8,9,10,11,12,13,14,15,16,17,18,19,20,21,22,23,24,25,26,27,28,29,30}-1)*LEN(Registro!$G366)+1,LEN(Registro!$G366)))&amp;"x")-1)),--("0"&amp;MID(TRIM(MID(SUBSTITUTE(SUBSTITUTE(SUBSTITUTE(SUBSTITUTE(SUBSTITUTE(LOWER(Registro!$G366),"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",LEN(Registro!$G366))),({1,2,3,4,5,6,7,8,9,10,11,12,13,14,15,16,17,18,19,20,21,22,23,24,25,26,27,28,29,30}-1)*LEN(Registro!$G366)+1,LEN(Registro!$G366))),FIND("x",TRIM(MID(SUBSTITUTE(SUBSTITUTE(SUBSTITUTE(SUBSTITUTE(SUBSTITUTE(LOWER(Registro!$G366),"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",LEN(Registro!$G366))),({1,2,3,4,5,6,7,8,9,10,11,12,13,14,15,16,17,18,19,20,21,22,23,24,25,26,27,28,29,30}-1)*LEN(Registro!$G366)+1,LEN(Registro!$G366)))&amp;"x")+1,20))),"Revisar formato")))</f>
        <v/>
      </c>
      <c r="J366" s="9" t="str">
        <f>IF(AND(Registro!$E366="",Registro!$G366=""),"",IF(NOT(AND(ISNUMBER(I366),ISNUMBER(Registro!$H366))),"",IF(I366&lt;Registro!$H366,"FALTA BOLETOS",IF(I366=Registro!$H366,"CONFORME","DIFERENCIA"))))</f>
        <v/>
      </c>
      <c r="K366" s="11" t="str">
        <f>IF(Registro!$I366="","",IFERROR(SUMPRODUCT(--("0"&amp;TRIM(RIGHT(SUBSTITUTE(TRIM(MID(SUBSTITUTE(SUBSTITUTE(Registro!$I366,";",CHAR(10)),CHAR(10),REPT(" ",LEN(Registro!$I366))),({1,2,3,4,5,6,7,8,9,10,11,12,13,14,15,16,17,18,19,20,21,22,23,24,25,26,27,28,29,30}-1)*LEN(Registro!$I366)+1,LEN(Registro!$I366)))," ",REPT(" ",50)),50)))),"Revisar formato"))</f>
        <v/>
      </c>
      <c r="L366" s="11" t="str">
        <f>IF(Registro!$J366="","",IFERROR(SUMPRODUCT(--("0"&amp;TRIM(RIGHT(SUBSTITUTE(TRIM(MID(SUBSTITUTE(SUBSTITUTE(Registro!$J366,";",CHAR(10)),CHAR(10),REPT(" ",LEN(Registro!$J366))),({1,2,3,4,5,6,7,8,9,10,11,12,13,14,15,16,17,18,19,20,21,22,23,24,25,26,27,28,29,30}-1)*LEN(Registro!$J366)+1,LEN(Registro!$J366)))," ",REPT(" ",50)),50)))),"Revisar formato"))</f>
        <v/>
      </c>
      <c r="M366" s="11" t="str">
        <f>IF(AND(Registro!$H366="",Registro!$I366=""),"",IF(AND(ISTEXT(K366),K366&lt;&gt;""),"Revisar formato",N(Registro!$H366)-N(K366)))</f>
        <v/>
      </c>
      <c r="N366" s="11" t="str">
        <f t="shared" si="17"/>
        <v/>
      </c>
      <c r="O366" s="15" t="str">
        <f>IF(AND(A366=Consulta!$B$3,C366=Consulta!$H$3),B366*10000+ROW(),"")</f>
        <v/>
      </c>
    </row>
    <row r="367" spans="1:15" x14ac:dyDescent="0.25">
      <c r="A367" s="9" t="str">
        <f>IF(Registro!$A367="","",Registro!$A367)</f>
        <v/>
      </c>
      <c r="B367" s="8" t="str">
        <f>IF(Registro!$B367="","",Registro!$B367)</f>
        <v/>
      </c>
      <c r="C367" s="14" t="str">
        <f t="shared" si="15"/>
        <v/>
      </c>
      <c r="D367" s="10" t="str">
        <f>IF(Registro!$E367="","",IF(ISERROR(FIND("x",LOWER(Registro!$E367))),"-",IFERROR(SUMPRODUCT(--("0"&amp;LEFT(TRIM(MID(SUBSTITUTE(SUBSTITUTE(SUBSTITUTE(SUBSTITUTE(SUBSTITUTE(LOWER(Registro!$E367),"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",LEN(Registro!$E367))),({1,2,3,4,5,6,7,8,9,10,11,12,13,14,15,16,17,18,19,20,21,22,23,24,25,26,27,28,29,30}-1)*LEN(Registro!$E367)+1,LEN(Registro!$E367)))&amp;"x")-1))),"Revisar formato")))</f>
        <v/>
      </c>
      <c r="E367" s="11" t="str">
        <f>IF(Registro!$E367="","",IF(ISERROR(FIND("x",LOWER(Registro!$E367))),"-",IFERROR(SUMPRODUCT(--("0"&amp;LEFT(TRIM(MID(SUBSTITUTE(SUBSTITUTE(SUBSTITUTE(SUBSTITUTE(SUBSTITUTE(LOWER(Registro!$E367),"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",LEN(Registro!$E367))),({1,2,3,4,5,6,7,8,9,10,11,12,13,14,15,16,17,18,19,20,21,22,23,24,25,26,27,28,29,30}-1)*LEN(Registro!$E367)+1,LEN(Registro!$E367)))&amp;"x")-1)),--("0"&amp;MID(TRIM(MID(SUBSTITUTE(SUBSTITUTE(SUBSTITUTE(SUBSTITUTE(SUBSTITUTE(LOWER(Registro!$E367),"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",LEN(Registro!$E367))),({1,2,3,4,5,6,7,8,9,10,11,12,13,14,15,16,17,18,19,20,21,22,23,24,25,26,27,28,29,30}-1)*LEN(Registro!$E367)+1,LEN(Registro!$E367)))&amp;"x")+1,20))),"Revisar formato")))</f>
        <v/>
      </c>
      <c r="F367" s="11" t="str">
        <f>IF(Registro!$F367="","",N(Registro!$F367))</f>
        <v/>
      </c>
      <c r="G367" s="11" t="str">
        <f t="shared" si="16"/>
        <v/>
      </c>
      <c r="H367" s="10" t="str">
        <f>IF(Registro!$G367="","",IF(ISERROR(FIND("x",LOWER(Registro!$G367))),"-",IFERROR(SUMPRODUCT(--("0"&amp;LEFT(TRIM(MID(SUBSTITUTE(SUBSTITUTE(SUBSTITUTE(SUBSTITUTE(SUBSTITUTE(LOWER(Registro!$G367),"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",LEN(Registro!$G367))),({1,2,3,4,5,6,7,8,9,10,11,12,13,14,15,16,17,18,19,20,21,22,23,24,25,26,27,28,29,30}-1)*LEN(Registro!$G367)+1,LEN(Registro!$G367))),FIND("x",TRIM(MID(SUBSTITUTE(SUBSTITUTE(SUBSTITUTE(SUBSTITUTE(SUBSTITUTE(LOWER(Registro!$G367),"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",LEN(Registro!$G367))),({1,2,3,4,5,6,7,8,9,10,11,12,13,14,15,16,17,18,19,20,21,22,23,24,25,26,27,28,29,30}-1)*LEN(Registro!$G367)+1,LEN(Registro!$G367)))&amp;"x")-1))),"Revisar formato")))</f>
        <v/>
      </c>
      <c r="I367" s="11" t="str">
        <f>IF(Registro!$G367="","",IF(ISERROR(FIND("x",LOWER(Registro!$G367))),N(Registro!$H367),IFERROR(SUMPRODUCT(--("0"&amp;LEFT(TRIM(MID(SUBSTITUTE(SUBSTITUTE(SUBSTITUTE(SUBSTITUTE(SUBSTITUTE(LOWER(Registro!$G367),"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",LEN(Registro!$G367))),({1,2,3,4,5,6,7,8,9,10,11,12,13,14,15,16,17,18,19,20,21,22,23,24,25,26,27,28,29,30}-1)*LEN(Registro!$G367)+1,LEN(Registro!$G367))),FIND("x",TRIM(MID(SUBSTITUTE(SUBSTITUTE(SUBSTITUTE(SUBSTITUTE(SUBSTITUTE(LOWER(Registro!$G367),"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",LEN(Registro!$G367))),({1,2,3,4,5,6,7,8,9,10,11,12,13,14,15,16,17,18,19,20,21,22,23,24,25,26,27,28,29,30}-1)*LEN(Registro!$G367)+1,LEN(Registro!$G367)))&amp;"x")-1)),--("0"&amp;MID(TRIM(MID(SUBSTITUTE(SUBSTITUTE(SUBSTITUTE(SUBSTITUTE(SUBSTITUTE(LOWER(Registro!$G367),"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",LEN(Registro!$G367))),({1,2,3,4,5,6,7,8,9,10,11,12,13,14,15,16,17,18,19,20,21,22,23,24,25,26,27,28,29,30}-1)*LEN(Registro!$G367)+1,LEN(Registro!$G367))),FIND("x",TRIM(MID(SUBSTITUTE(SUBSTITUTE(SUBSTITUTE(SUBSTITUTE(SUBSTITUTE(LOWER(Registro!$G367),"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",LEN(Registro!$G367))),({1,2,3,4,5,6,7,8,9,10,11,12,13,14,15,16,17,18,19,20,21,22,23,24,25,26,27,28,29,30}-1)*LEN(Registro!$G367)+1,LEN(Registro!$G367)))&amp;"x")+1,20))),"Revisar formato")))</f>
        <v/>
      </c>
      <c r="J367" s="9" t="str">
        <f>IF(AND(Registro!$E367="",Registro!$G367=""),"",IF(NOT(AND(ISNUMBER(I367),ISNUMBER(Registro!$H367))),"",IF(I367&lt;Registro!$H367,"FALTA BOLETOS",IF(I367=Registro!$H367,"CONFORME","DIFERENCIA"))))</f>
        <v/>
      </c>
      <c r="K367" s="11" t="str">
        <f>IF(Registro!$I367="","",IFERROR(SUMPRODUCT(--("0"&amp;TRIM(RIGHT(SUBSTITUTE(TRIM(MID(SUBSTITUTE(SUBSTITUTE(Registro!$I367,";",CHAR(10)),CHAR(10),REPT(" ",LEN(Registro!$I367))),({1,2,3,4,5,6,7,8,9,10,11,12,13,14,15,16,17,18,19,20,21,22,23,24,25,26,27,28,29,30}-1)*LEN(Registro!$I367)+1,LEN(Registro!$I367)))," ",REPT(" ",50)),50)))),"Revisar formato"))</f>
        <v/>
      </c>
      <c r="L367" s="11" t="str">
        <f>IF(Registro!$J367="","",IFERROR(SUMPRODUCT(--("0"&amp;TRIM(RIGHT(SUBSTITUTE(TRIM(MID(SUBSTITUTE(SUBSTITUTE(Registro!$J367,";",CHAR(10)),CHAR(10),REPT(" ",LEN(Registro!$J367))),({1,2,3,4,5,6,7,8,9,10,11,12,13,14,15,16,17,18,19,20,21,22,23,24,25,26,27,28,29,30}-1)*LEN(Registro!$J367)+1,LEN(Registro!$J367)))," ",REPT(" ",50)),50)))),"Revisar formato"))</f>
        <v/>
      </c>
      <c r="M367" s="11" t="str">
        <f>IF(AND(Registro!$H367="",Registro!$I367=""),"",IF(AND(ISTEXT(K367),K367&lt;&gt;""),"Revisar formato",N(Registro!$H367)-N(K367)))</f>
        <v/>
      </c>
      <c r="N367" s="11" t="str">
        <f t="shared" si="17"/>
        <v/>
      </c>
      <c r="O367" s="15" t="str">
        <f>IF(AND(A367=Consulta!$B$3,C367=Consulta!$H$3),B367*10000+ROW(),"")</f>
        <v/>
      </c>
    </row>
    <row r="368" spans="1:15" x14ac:dyDescent="0.25">
      <c r="A368" s="9" t="str">
        <f>IF(Registro!$A368="","",Registro!$A368)</f>
        <v/>
      </c>
      <c r="B368" s="8" t="str">
        <f>IF(Registro!$B368="","",Registro!$B368)</f>
        <v/>
      </c>
      <c r="C368" s="14" t="str">
        <f t="shared" si="15"/>
        <v/>
      </c>
      <c r="D368" s="10" t="str">
        <f>IF(Registro!$E368="","",IF(ISERROR(FIND("x",LOWER(Registro!$E368))),"-",IFERROR(SUMPRODUCT(--("0"&amp;LEFT(TRIM(MID(SUBSTITUTE(SUBSTITUTE(SUBSTITUTE(SUBSTITUTE(SUBSTITUTE(LOWER(Registro!$E368),"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",LEN(Registro!$E368))),({1,2,3,4,5,6,7,8,9,10,11,12,13,14,15,16,17,18,19,20,21,22,23,24,25,26,27,28,29,30}-1)*LEN(Registro!$E368)+1,LEN(Registro!$E368)))&amp;"x")-1))),"Revisar formato")))</f>
        <v/>
      </c>
      <c r="E368" s="11" t="str">
        <f>IF(Registro!$E368="","",IF(ISERROR(FIND("x",LOWER(Registro!$E368))),"-",IFERROR(SUMPRODUCT(--("0"&amp;LEFT(TRIM(MID(SUBSTITUTE(SUBSTITUTE(SUBSTITUTE(SUBSTITUTE(SUBSTITUTE(LOWER(Registro!$E368),"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",LEN(Registro!$E368))),({1,2,3,4,5,6,7,8,9,10,11,12,13,14,15,16,17,18,19,20,21,22,23,24,25,26,27,28,29,30}-1)*LEN(Registro!$E368)+1,LEN(Registro!$E368)))&amp;"x")-1)),--("0"&amp;MID(TRIM(MID(SUBSTITUTE(SUBSTITUTE(SUBSTITUTE(SUBSTITUTE(SUBSTITUTE(LOWER(Registro!$E368),"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",LEN(Registro!$E368))),({1,2,3,4,5,6,7,8,9,10,11,12,13,14,15,16,17,18,19,20,21,22,23,24,25,26,27,28,29,30}-1)*LEN(Registro!$E368)+1,LEN(Registro!$E368)))&amp;"x")+1,20))),"Revisar formato")))</f>
        <v/>
      </c>
      <c r="F368" s="11" t="str">
        <f>IF(Registro!$F368="","",N(Registro!$F368))</f>
        <v/>
      </c>
      <c r="G368" s="11" t="str">
        <f t="shared" si="16"/>
        <v/>
      </c>
      <c r="H368" s="10" t="str">
        <f>IF(Registro!$G368="","",IF(ISERROR(FIND("x",LOWER(Registro!$G368))),"-",IFERROR(SUMPRODUCT(--("0"&amp;LEFT(TRIM(MID(SUBSTITUTE(SUBSTITUTE(SUBSTITUTE(SUBSTITUTE(SUBSTITUTE(LOWER(Registro!$G368),"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",LEN(Registro!$G368))),({1,2,3,4,5,6,7,8,9,10,11,12,13,14,15,16,17,18,19,20,21,22,23,24,25,26,27,28,29,30}-1)*LEN(Registro!$G368)+1,LEN(Registro!$G368))),FIND("x",TRIM(MID(SUBSTITUTE(SUBSTITUTE(SUBSTITUTE(SUBSTITUTE(SUBSTITUTE(LOWER(Registro!$G368),"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",LEN(Registro!$G368))),({1,2,3,4,5,6,7,8,9,10,11,12,13,14,15,16,17,18,19,20,21,22,23,24,25,26,27,28,29,30}-1)*LEN(Registro!$G368)+1,LEN(Registro!$G368)))&amp;"x")-1))),"Revisar formato")))</f>
        <v/>
      </c>
      <c r="I368" s="11" t="str">
        <f>IF(Registro!$G368="","",IF(ISERROR(FIND("x",LOWER(Registro!$G368))),N(Registro!$H368),IFERROR(SUMPRODUCT(--("0"&amp;LEFT(TRIM(MID(SUBSTITUTE(SUBSTITUTE(SUBSTITUTE(SUBSTITUTE(SUBSTITUTE(LOWER(Registro!$G368),"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",LEN(Registro!$G368))),({1,2,3,4,5,6,7,8,9,10,11,12,13,14,15,16,17,18,19,20,21,22,23,24,25,26,27,28,29,30}-1)*LEN(Registro!$G368)+1,LEN(Registro!$G368))),FIND("x",TRIM(MID(SUBSTITUTE(SUBSTITUTE(SUBSTITUTE(SUBSTITUTE(SUBSTITUTE(LOWER(Registro!$G368),"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",LEN(Registro!$G368))),({1,2,3,4,5,6,7,8,9,10,11,12,13,14,15,16,17,18,19,20,21,22,23,24,25,26,27,28,29,30}-1)*LEN(Registro!$G368)+1,LEN(Registro!$G368)))&amp;"x")-1)),--("0"&amp;MID(TRIM(MID(SUBSTITUTE(SUBSTITUTE(SUBSTITUTE(SUBSTITUTE(SUBSTITUTE(LOWER(Registro!$G368),"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",LEN(Registro!$G368))),({1,2,3,4,5,6,7,8,9,10,11,12,13,14,15,16,17,18,19,20,21,22,23,24,25,26,27,28,29,30}-1)*LEN(Registro!$G368)+1,LEN(Registro!$G368))),FIND("x",TRIM(MID(SUBSTITUTE(SUBSTITUTE(SUBSTITUTE(SUBSTITUTE(SUBSTITUTE(LOWER(Registro!$G368),"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",LEN(Registro!$G368))),({1,2,3,4,5,6,7,8,9,10,11,12,13,14,15,16,17,18,19,20,21,22,23,24,25,26,27,28,29,30}-1)*LEN(Registro!$G368)+1,LEN(Registro!$G368)))&amp;"x")+1,20))),"Revisar formato")))</f>
        <v/>
      </c>
      <c r="J368" s="9" t="str">
        <f>IF(AND(Registro!$E368="",Registro!$G368=""),"",IF(NOT(AND(ISNUMBER(I368),ISNUMBER(Registro!$H368))),"",IF(I368&lt;Registro!$H368,"FALTA BOLETOS",IF(I368=Registro!$H368,"CONFORME","DIFERENCIA"))))</f>
        <v/>
      </c>
      <c r="K368" s="11" t="str">
        <f>IF(Registro!$I368="","",IFERROR(SUMPRODUCT(--("0"&amp;TRIM(RIGHT(SUBSTITUTE(TRIM(MID(SUBSTITUTE(SUBSTITUTE(Registro!$I368,";",CHAR(10)),CHAR(10),REPT(" ",LEN(Registro!$I368))),({1,2,3,4,5,6,7,8,9,10,11,12,13,14,15,16,17,18,19,20,21,22,23,24,25,26,27,28,29,30}-1)*LEN(Registro!$I368)+1,LEN(Registro!$I368)))," ",REPT(" ",50)),50)))),"Revisar formato"))</f>
        <v/>
      </c>
      <c r="L368" s="11" t="str">
        <f>IF(Registro!$J368="","",IFERROR(SUMPRODUCT(--("0"&amp;TRIM(RIGHT(SUBSTITUTE(TRIM(MID(SUBSTITUTE(SUBSTITUTE(Registro!$J368,";",CHAR(10)),CHAR(10),REPT(" ",LEN(Registro!$J368))),({1,2,3,4,5,6,7,8,9,10,11,12,13,14,15,16,17,18,19,20,21,22,23,24,25,26,27,28,29,30}-1)*LEN(Registro!$J368)+1,LEN(Registro!$J368)))," ",REPT(" ",50)),50)))),"Revisar formato"))</f>
        <v/>
      </c>
      <c r="M368" s="11" t="str">
        <f>IF(AND(Registro!$H368="",Registro!$I368=""),"",IF(AND(ISTEXT(K368),K368&lt;&gt;""),"Revisar formato",N(Registro!$H368)-N(K368)))</f>
        <v/>
      </c>
      <c r="N368" s="11" t="str">
        <f t="shared" si="17"/>
        <v/>
      </c>
      <c r="O368" s="15" t="str">
        <f>IF(AND(A368=Consulta!$B$3,C368=Consulta!$H$3),B368*10000+ROW(),"")</f>
        <v/>
      </c>
    </row>
    <row r="369" spans="1:15" x14ac:dyDescent="0.25">
      <c r="A369" s="9" t="str">
        <f>IF(Registro!$A369="","",Registro!$A369)</f>
        <v/>
      </c>
      <c r="B369" s="8" t="str">
        <f>IF(Registro!$B369="","",Registro!$B369)</f>
        <v/>
      </c>
      <c r="C369" s="14" t="str">
        <f t="shared" si="15"/>
        <v/>
      </c>
      <c r="D369" s="10" t="str">
        <f>IF(Registro!$E369="","",IF(ISERROR(FIND("x",LOWER(Registro!$E369))),"-",IFERROR(SUMPRODUCT(--("0"&amp;LEFT(TRIM(MID(SUBSTITUTE(SUBSTITUTE(SUBSTITUTE(SUBSTITUTE(SUBSTITUTE(LOWER(Registro!$E369),"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",LEN(Registro!$E369))),({1,2,3,4,5,6,7,8,9,10,11,12,13,14,15,16,17,18,19,20,21,22,23,24,25,26,27,28,29,30}-1)*LEN(Registro!$E369)+1,LEN(Registro!$E369)))&amp;"x")-1))),"Revisar formato")))</f>
        <v/>
      </c>
      <c r="E369" s="11" t="str">
        <f>IF(Registro!$E369="","",IF(ISERROR(FIND("x",LOWER(Registro!$E369))),"-",IFERROR(SUMPRODUCT(--("0"&amp;LEFT(TRIM(MID(SUBSTITUTE(SUBSTITUTE(SUBSTITUTE(SUBSTITUTE(SUBSTITUTE(LOWER(Registro!$E369),"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",LEN(Registro!$E369))),({1,2,3,4,5,6,7,8,9,10,11,12,13,14,15,16,17,18,19,20,21,22,23,24,25,26,27,28,29,30}-1)*LEN(Registro!$E369)+1,LEN(Registro!$E369)))&amp;"x")-1)),--("0"&amp;MID(TRIM(MID(SUBSTITUTE(SUBSTITUTE(SUBSTITUTE(SUBSTITUTE(SUBSTITUTE(LOWER(Registro!$E369),"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",LEN(Registro!$E369))),({1,2,3,4,5,6,7,8,9,10,11,12,13,14,15,16,17,18,19,20,21,22,23,24,25,26,27,28,29,30}-1)*LEN(Registro!$E369)+1,LEN(Registro!$E369)))&amp;"x")+1,20))),"Revisar formato")))</f>
        <v/>
      </c>
      <c r="F369" s="11" t="str">
        <f>IF(Registro!$F369="","",N(Registro!$F369))</f>
        <v/>
      </c>
      <c r="G369" s="11" t="str">
        <f t="shared" si="16"/>
        <v/>
      </c>
      <c r="H369" s="10" t="str">
        <f>IF(Registro!$G369="","",IF(ISERROR(FIND("x",LOWER(Registro!$G369))),"-",IFERROR(SUMPRODUCT(--("0"&amp;LEFT(TRIM(MID(SUBSTITUTE(SUBSTITUTE(SUBSTITUTE(SUBSTITUTE(SUBSTITUTE(LOWER(Registro!$G369),"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",LEN(Registro!$G369))),({1,2,3,4,5,6,7,8,9,10,11,12,13,14,15,16,17,18,19,20,21,22,23,24,25,26,27,28,29,30}-1)*LEN(Registro!$G369)+1,LEN(Registro!$G369))),FIND("x",TRIM(MID(SUBSTITUTE(SUBSTITUTE(SUBSTITUTE(SUBSTITUTE(SUBSTITUTE(LOWER(Registro!$G369),"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",LEN(Registro!$G369))),({1,2,3,4,5,6,7,8,9,10,11,12,13,14,15,16,17,18,19,20,21,22,23,24,25,26,27,28,29,30}-1)*LEN(Registro!$G369)+1,LEN(Registro!$G369)))&amp;"x")-1))),"Revisar formato")))</f>
        <v/>
      </c>
      <c r="I369" s="11" t="str">
        <f>IF(Registro!$G369="","",IF(ISERROR(FIND("x",LOWER(Registro!$G369))),N(Registro!$H369),IFERROR(SUMPRODUCT(--("0"&amp;LEFT(TRIM(MID(SUBSTITUTE(SUBSTITUTE(SUBSTITUTE(SUBSTITUTE(SUBSTITUTE(LOWER(Registro!$G369),"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",LEN(Registro!$G369))),({1,2,3,4,5,6,7,8,9,10,11,12,13,14,15,16,17,18,19,20,21,22,23,24,25,26,27,28,29,30}-1)*LEN(Registro!$G369)+1,LEN(Registro!$G369))),FIND("x",TRIM(MID(SUBSTITUTE(SUBSTITUTE(SUBSTITUTE(SUBSTITUTE(SUBSTITUTE(LOWER(Registro!$G369),"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",LEN(Registro!$G369))),({1,2,3,4,5,6,7,8,9,10,11,12,13,14,15,16,17,18,19,20,21,22,23,24,25,26,27,28,29,30}-1)*LEN(Registro!$G369)+1,LEN(Registro!$G369)))&amp;"x")-1)),--("0"&amp;MID(TRIM(MID(SUBSTITUTE(SUBSTITUTE(SUBSTITUTE(SUBSTITUTE(SUBSTITUTE(LOWER(Registro!$G369),"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",LEN(Registro!$G369))),({1,2,3,4,5,6,7,8,9,10,11,12,13,14,15,16,17,18,19,20,21,22,23,24,25,26,27,28,29,30}-1)*LEN(Registro!$G369)+1,LEN(Registro!$G369))),FIND("x",TRIM(MID(SUBSTITUTE(SUBSTITUTE(SUBSTITUTE(SUBSTITUTE(SUBSTITUTE(LOWER(Registro!$G369),"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",LEN(Registro!$G369))),({1,2,3,4,5,6,7,8,9,10,11,12,13,14,15,16,17,18,19,20,21,22,23,24,25,26,27,28,29,30}-1)*LEN(Registro!$G369)+1,LEN(Registro!$G369)))&amp;"x")+1,20))),"Revisar formato")))</f>
        <v/>
      </c>
      <c r="J369" s="9" t="str">
        <f>IF(AND(Registro!$E369="",Registro!$G369=""),"",IF(NOT(AND(ISNUMBER(I369),ISNUMBER(Registro!$H369))),"",IF(I369&lt;Registro!$H369,"FALTA BOLETOS",IF(I369=Registro!$H369,"CONFORME","DIFERENCIA"))))</f>
        <v/>
      </c>
      <c r="K369" s="11" t="str">
        <f>IF(Registro!$I369="","",IFERROR(SUMPRODUCT(--("0"&amp;TRIM(RIGHT(SUBSTITUTE(TRIM(MID(SUBSTITUTE(SUBSTITUTE(Registro!$I369,";",CHAR(10)),CHAR(10),REPT(" ",LEN(Registro!$I369))),({1,2,3,4,5,6,7,8,9,10,11,12,13,14,15,16,17,18,19,20,21,22,23,24,25,26,27,28,29,30}-1)*LEN(Registro!$I369)+1,LEN(Registro!$I369)))," ",REPT(" ",50)),50)))),"Revisar formato"))</f>
        <v/>
      </c>
      <c r="L369" s="11" t="str">
        <f>IF(Registro!$J369="","",IFERROR(SUMPRODUCT(--("0"&amp;TRIM(RIGHT(SUBSTITUTE(TRIM(MID(SUBSTITUTE(SUBSTITUTE(Registro!$J369,";",CHAR(10)),CHAR(10),REPT(" ",LEN(Registro!$J369))),({1,2,3,4,5,6,7,8,9,10,11,12,13,14,15,16,17,18,19,20,21,22,23,24,25,26,27,28,29,30}-1)*LEN(Registro!$J369)+1,LEN(Registro!$J369)))," ",REPT(" ",50)),50)))),"Revisar formato"))</f>
        <v/>
      </c>
      <c r="M369" s="11" t="str">
        <f>IF(AND(Registro!$H369="",Registro!$I369=""),"",IF(AND(ISTEXT(K369),K369&lt;&gt;""),"Revisar formato",N(Registro!$H369)-N(K369)))</f>
        <v/>
      </c>
      <c r="N369" s="11" t="str">
        <f t="shared" si="17"/>
        <v/>
      </c>
      <c r="O369" s="15" t="str">
        <f>IF(AND(A369=Consulta!$B$3,C369=Consulta!$H$3),B369*10000+ROW(),"")</f>
        <v/>
      </c>
    </row>
    <row r="370" spans="1:15" x14ac:dyDescent="0.25">
      <c r="A370" s="9" t="str">
        <f>IF(Registro!$A370="","",Registro!$A370)</f>
        <v/>
      </c>
      <c r="B370" s="8" t="str">
        <f>IF(Registro!$B370="","",Registro!$B370)</f>
        <v/>
      </c>
      <c r="C370" s="14" t="str">
        <f t="shared" si="15"/>
        <v/>
      </c>
      <c r="D370" s="10" t="str">
        <f>IF(Registro!$E370="","",IF(ISERROR(FIND("x",LOWER(Registro!$E370))),"-",IFERROR(SUMPRODUCT(--("0"&amp;LEFT(TRIM(MID(SUBSTITUTE(SUBSTITUTE(SUBSTITUTE(SUBSTITUTE(SUBSTITUTE(LOWER(Registro!$E370),"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",LEN(Registro!$E370))),({1,2,3,4,5,6,7,8,9,10,11,12,13,14,15,16,17,18,19,20,21,22,23,24,25,26,27,28,29,30}-1)*LEN(Registro!$E370)+1,LEN(Registro!$E370)))&amp;"x")-1))),"Revisar formato")))</f>
        <v/>
      </c>
      <c r="E370" s="11" t="str">
        <f>IF(Registro!$E370="","",IF(ISERROR(FIND("x",LOWER(Registro!$E370))),"-",IFERROR(SUMPRODUCT(--("0"&amp;LEFT(TRIM(MID(SUBSTITUTE(SUBSTITUTE(SUBSTITUTE(SUBSTITUTE(SUBSTITUTE(LOWER(Registro!$E370),"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",LEN(Registro!$E370))),({1,2,3,4,5,6,7,8,9,10,11,12,13,14,15,16,17,18,19,20,21,22,23,24,25,26,27,28,29,30}-1)*LEN(Registro!$E370)+1,LEN(Registro!$E370)))&amp;"x")-1)),--("0"&amp;MID(TRIM(MID(SUBSTITUTE(SUBSTITUTE(SUBSTITUTE(SUBSTITUTE(SUBSTITUTE(LOWER(Registro!$E370),"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",LEN(Registro!$E370))),({1,2,3,4,5,6,7,8,9,10,11,12,13,14,15,16,17,18,19,20,21,22,23,24,25,26,27,28,29,30}-1)*LEN(Registro!$E370)+1,LEN(Registro!$E370)))&amp;"x")+1,20))),"Revisar formato")))</f>
        <v/>
      </c>
      <c r="F370" s="11" t="str">
        <f>IF(Registro!$F370="","",N(Registro!$F370))</f>
        <v/>
      </c>
      <c r="G370" s="11" t="str">
        <f t="shared" si="16"/>
        <v/>
      </c>
      <c r="H370" s="10" t="str">
        <f>IF(Registro!$G370="","",IF(ISERROR(FIND("x",LOWER(Registro!$G370))),"-",IFERROR(SUMPRODUCT(--("0"&amp;LEFT(TRIM(MID(SUBSTITUTE(SUBSTITUTE(SUBSTITUTE(SUBSTITUTE(SUBSTITUTE(LOWER(Registro!$G370),"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",LEN(Registro!$G370))),({1,2,3,4,5,6,7,8,9,10,11,12,13,14,15,16,17,18,19,20,21,22,23,24,25,26,27,28,29,30}-1)*LEN(Registro!$G370)+1,LEN(Registro!$G370))),FIND("x",TRIM(MID(SUBSTITUTE(SUBSTITUTE(SUBSTITUTE(SUBSTITUTE(SUBSTITUTE(LOWER(Registro!$G370),"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",LEN(Registro!$G370))),({1,2,3,4,5,6,7,8,9,10,11,12,13,14,15,16,17,18,19,20,21,22,23,24,25,26,27,28,29,30}-1)*LEN(Registro!$G370)+1,LEN(Registro!$G370)))&amp;"x")-1))),"Revisar formato")))</f>
        <v/>
      </c>
      <c r="I370" s="11" t="str">
        <f>IF(Registro!$G370="","",IF(ISERROR(FIND("x",LOWER(Registro!$G370))),N(Registro!$H370),IFERROR(SUMPRODUCT(--("0"&amp;LEFT(TRIM(MID(SUBSTITUTE(SUBSTITUTE(SUBSTITUTE(SUBSTITUTE(SUBSTITUTE(LOWER(Registro!$G370),"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",LEN(Registro!$G370))),({1,2,3,4,5,6,7,8,9,10,11,12,13,14,15,16,17,18,19,20,21,22,23,24,25,26,27,28,29,30}-1)*LEN(Registro!$G370)+1,LEN(Registro!$G370))),FIND("x",TRIM(MID(SUBSTITUTE(SUBSTITUTE(SUBSTITUTE(SUBSTITUTE(SUBSTITUTE(LOWER(Registro!$G370),"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",LEN(Registro!$G370))),({1,2,3,4,5,6,7,8,9,10,11,12,13,14,15,16,17,18,19,20,21,22,23,24,25,26,27,28,29,30}-1)*LEN(Registro!$G370)+1,LEN(Registro!$G370)))&amp;"x")-1)),--("0"&amp;MID(TRIM(MID(SUBSTITUTE(SUBSTITUTE(SUBSTITUTE(SUBSTITUTE(SUBSTITUTE(LOWER(Registro!$G370),"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",LEN(Registro!$G370))),({1,2,3,4,5,6,7,8,9,10,11,12,13,14,15,16,17,18,19,20,21,22,23,24,25,26,27,28,29,30}-1)*LEN(Registro!$G370)+1,LEN(Registro!$G370))),FIND("x",TRIM(MID(SUBSTITUTE(SUBSTITUTE(SUBSTITUTE(SUBSTITUTE(SUBSTITUTE(LOWER(Registro!$G370),"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",LEN(Registro!$G370))),({1,2,3,4,5,6,7,8,9,10,11,12,13,14,15,16,17,18,19,20,21,22,23,24,25,26,27,28,29,30}-1)*LEN(Registro!$G370)+1,LEN(Registro!$G370)))&amp;"x")+1,20))),"Revisar formato")))</f>
        <v/>
      </c>
      <c r="J370" s="9" t="str">
        <f>IF(AND(Registro!$E370="",Registro!$G370=""),"",IF(NOT(AND(ISNUMBER(I370),ISNUMBER(Registro!$H370))),"",IF(I370&lt;Registro!$H370,"FALTA BOLETOS",IF(I370=Registro!$H370,"CONFORME","DIFERENCIA"))))</f>
        <v/>
      </c>
      <c r="K370" s="11" t="str">
        <f>IF(Registro!$I370="","",IFERROR(SUMPRODUCT(--("0"&amp;TRIM(RIGHT(SUBSTITUTE(TRIM(MID(SUBSTITUTE(SUBSTITUTE(Registro!$I370,";",CHAR(10)),CHAR(10),REPT(" ",LEN(Registro!$I370))),({1,2,3,4,5,6,7,8,9,10,11,12,13,14,15,16,17,18,19,20,21,22,23,24,25,26,27,28,29,30}-1)*LEN(Registro!$I370)+1,LEN(Registro!$I370)))," ",REPT(" ",50)),50)))),"Revisar formato"))</f>
        <v/>
      </c>
      <c r="L370" s="11" t="str">
        <f>IF(Registro!$J370="","",IFERROR(SUMPRODUCT(--("0"&amp;TRIM(RIGHT(SUBSTITUTE(TRIM(MID(SUBSTITUTE(SUBSTITUTE(Registro!$J370,";",CHAR(10)),CHAR(10),REPT(" ",LEN(Registro!$J370))),({1,2,3,4,5,6,7,8,9,10,11,12,13,14,15,16,17,18,19,20,21,22,23,24,25,26,27,28,29,30}-1)*LEN(Registro!$J370)+1,LEN(Registro!$J370)))," ",REPT(" ",50)),50)))),"Revisar formato"))</f>
        <v/>
      </c>
      <c r="M370" s="11" t="str">
        <f>IF(AND(Registro!$H370="",Registro!$I370=""),"",IF(AND(ISTEXT(K370),K370&lt;&gt;""),"Revisar formato",N(Registro!$H370)-N(K370)))</f>
        <v/>
      </c>
      <c r="N370" s="11" t="str">
        <f t="shared" si="17"/>
        <v/>
      </c>
      <c r="O370" s="15" t="str">
        <f>IF(AND(A370=Consulta!$B$3,C370=Consulta!$H$3),B370*10000+ROW(),"")</f>
        <v/>
      </c>
    </row>
    <row r="371" spans="1:15" x14ac:dyDescent="0.25">
      <c r="A371" s="9" t="str">
        <f>IF(Registro!$A371="","",Registro!$A371)</f>
        <v/>
      </c>
      <c r="B371" s="8" t="str">
        <f>IF(Registro!$B371="","",Registro!$B371)</f>
        <v/>
      </c>
      <c r="C371" s="14" t="str">
        <f t="shared" si="15"/>
        <v/>
      </c>
      <c r="D371" s="10" t="str">
        <f>IF(Registro!$E371="","",IF(ISERROR(FIND("x",LOWER(Registro!$E371))),"-",IFERROR(SUMPRODUCT(--("0"&amp;LEFT(TRIM(MID(SUBSTITUTE(SUBSTITUTE(SUBSTITUTE(SUBSTITUTE(SUBSTITUTE(LOWER(Registro!$E371),"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",LEN(Registro!$E371))),({1,2,3,4,5,6,7,8,9,10,11,12,13,14,15,16,17,18,19,20,21,22,23,24,25,26,27,28,29,30}-1)*LEN(Registro!$E371)+1,LEN(Registro!$E371)))&amp;"x")-1))),"Revisar formato")))</f>
        <v/>
      </c>
      <c r="E371" s="11" t="str">
        <f>IF(Registro!$E371="","",IF(ISERROR(FIND("x",LOWER(Registro!$E371))),"-",IFERROR(SUMPRODUCT(--("0"&amp;LEFT(TRIM(MID(SUBSTITUTE(SUBSTITUTE(SUBSTITUTE(SUBSTITUTE(SUBSTITUTE(LOWER(Registro!$E371),"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",LEN(Registro!$E371))),({1,2,3,4,5,6,7,8,9,10,11,12,13,14,15,16,17,18,19,20,21,22,23,24,25,26,27,28,29,30}-1)*LEN(Registro!$E371)+1,LEN(Registro!$E371)))&amp;"x")-1)),--("0"&amp;MID(TRIM(MID(SUBSTITUTE(SUBSTITUTE(SUBSTITUTE(SUBSTITUTE(SUBSTITUTE(LOWER(Registro!$E371),"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",LEN(Registro!$E371))),({1,2,3,4,5,6,7,8,9,10,11,12,13,14,15,16,17,18,19,20,21,22,23,24,25,26,27,28,29,30}-1)*LEN(Registro!$E371)+1,LEN(Registro!$E371)))&amp;"x")+1,20))),"Revisar formato")))</f>
        <v/>
      </c>
      <c r="F371" s="11" t="str">
        <f>IF(Registro!$F371="","",N(Registro!$F371))</f>
        <v/>
      </c>
      <c r="G371" s="11" t="str">
        <f t="shared" si="16"/>
        <v/>
      </c>
      <c r="H371" s="10" t="str">
        <f>IF(Registro!$G371="","",IF(ISERROR(FIND("x",LOWER(Registro!$G371))),"-",IFERROR(SUMPRODUCT(--("0"&amp;LEFT(TRIM(MID(SUBSTITUTE(SUBSTITUTE(SUBSTITUTE(SUBSTITUTE(SUBSTITUTE(LOWER(Registro!$G371),"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",LEN(Registro!$G371))),({1,2,3,4,5,6,7,8,9,10,11,12,13,14,15,16,17,18,19,20,21,22,23,24,25,26,27,28,29,30}-1)*LEN(Registro!$G371)+1,LEN(Registro!$G371))),FIND("x",TRIM(MID(SUBSTITUTE(SUBSTITUTE(SUBSTITUTE(SUBSTITUTE(SUBSTITUTE(LOWER(Registro!$G371),"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",LEN(Registro!$G371))),({1,2,3,4,5,6,7,8,9,10,11,12,13,14,15,16,17,18,19,20,21,22,23,24,25,26,27,28,29,30}-1)*LEN(Registro!$G371)+1,LEN(Registro!$G371)))&amp;"x")-1))),"Revisar formato")))</f>
        <v/>
      </c>
      <c r="I371" s="11" t="str">
        <f>IF(Registro!$G371="","",IF(ISERROR(FIND("x",LOWER(Registro!$G371))),N(Registro!$H371),IFERROR(SUMPRODUCT(--("0"&amp;LEFT(TRIM(MID(SUBSTITUTE(SUBSTITUTE(SUBSTITUTE(SUBSTITUTE(SUBSTITUTE(LOWER(Registro!$G371),"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",LEN(Registro!$G371))),({1,2,3,4,5,6,7,8,9,10,11,12,13,14,15,16,17,18,19,20,21,22,23,24,25,26,27,28,29,30}-1)*LEN(Registro!$G371)+1,LEN(Registro!$G371))),FIND("x",TRIM(MID(SUBSTITUTE(SUBSTITUTE(SUBSTITUTE(SUBSTITUTE(SUBSTITUTE(LOWER(Registro!$G371),"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",LEN(Registro!$G371))),({1,2,3,4,5,6,7,8,9,10,11,12,13,14,15,16,17,18,19,20,21,22,23,24,25,26,27,28,29,30}-1)*LEN(Registro!$G371)+1,LEN(Registro!$G371)))&amp;"x")-1)),--("0"&amp;MID(TRIM(MID(SUBSTITUTE(SUBSTITUTE(SUBSTITUTE(SUBSTITUTE(SUBSTITUTE(LOWER(Registro!$G371),"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",LEN(Registro!$G371))),({1,2,3,4,5,6,7,8,9,10,11,12,13,14,15,16,17,18,19,20,21,22,23,24,25,26,27,28,29,30}-1)*LEN(Registro!$G371)+1,LEN(Registro!$G371))),FIND("x",TRIM(MID(SUBSTITUTE(SUBSTITUTE(SUBSTITUTE(SUBSTITUTE(SUBSTITUTE(LOWER(Registro!$G371),"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",LEN(Registro!$G371))),({1,2,3,4,5,6,7,8,9,10,11,12,13,14,15,16,17,18,19,20,21,22,23,24,25,26,27,28,29,30}-1)*LEN(Registro!$G371)+1,LEN(Registro!$G371)))&amp;"x")+1,20))),"Revisar formato")))</f>
        <v/>
      </c>
      <c r="J371" s="9" t="str">
        <f>IF(AND(Registro!$E371="",Registro!$G371=""),"",IF(NOT(AND(ISNUMBER(I371),ISNUMBER(Registro!$H371))),"",IF(I371&lt;Registro!$H371,"FALTA BOLETOS",IF(I371=Registro!$H371,"CONFORME","DIFERENCIA"))))</f>
        <v/>
      </c>
      <c r="K371" s="11" t="str">
        <f>IF(Registro!$I371="","",IFERROR(SUMPRODUCT(--("0"&amp;TRIM(RIGHT(SUBSTITUTE(TRIM(MID(SUBSTITUTE(SUBSTITUTE(Registro!$I371,";",CHAR(10)),CHAR(10),REPT(" ",LEN(Registro!$I371))),({1,2,3,4,5,6,7,8,9,10,11,12,13,14,15,16,17,18,19,20,21,22,23,24,25,26,27,28,29,30}-1)*LEN(Registro!$I371)+1,LEN(Registro!$I371)))," ",REPT(" ",50)),50)))),"Revisar formato"))</f>
        <v/>
      </c>
      <c r="L371" s="11" t="str">
        <f>IF(Registro!$J371="","",IFERROR(SUMPRODUCT(--("0"&amp;TRIM(RIGHT(SUBSTITUTE(TRIM(MID(SUBSTITUTE(SUBSTITUTE(Registro!$J371,";",CHAR(10)),CHAR(10),REPT(" ",LEN(Registro!$J371))),({1,2,3,4,5,6,7,8,9,10,11,12,13,14,15,16,17,18,19,20,21,22,23,24,25,26,27,28,29,30}-1)*LEN(Registro!$J371)+1,LEN(Registro!$J371)))," ",REPT(" ",50)),50)))),"Revisar formato"))</f>
        <v/>
      </c>
      <c r="M371" s="11" t="str">
        <f>IF(AND(Registro!$H371="",Registro!$I371=""),"",IF(AND(ISTEXT(K371),K371&lt;&gt;""),"Revisar formato",N(Registro!$H371)-N(K371)))</f>
        <v/>
      </c>
      <c r="N371" s="11" t="str">
        <f t="shared" si="17"/>
        <v/>
      </c>
      <c r="O371" s="15" t="str">
        <f>IF(AND(A371=Consulta!$B$3,C371=Consulta!$H$3),B371*10000+ROW(),"")</f>
        <v/>
      </c>
    </row>
    <row r="372" spans="1:15" x14ac:dyDescent="0.25">
      <c r="A372" s="9" t="str">
        <f>IF(Registro!$A372="","",Registro!$A372)</f>
        <v/>
      </c>
      <c r="B372" s="8" t="str">
        <f>IF(Registro!$B372="","",Registro!$B372)</f>
        <v/>
      </c>
      <c r="C372" s="14" t="str">
        <f t="shared" si="15"/>
        <v/>
      </c>
      <c r="D372" s="10" t="str">
        <f>IF(Registro!$E372="","",IF(ISERROR(FIND("x",LOWER(Registro!$E372))),"-",IFERROR(SUMPRODUCT(--("0"&amp;LEFT(TRIM(MID(SUBSTITUTE(SUBSTITUTE(SUBSTITUTE(SUBSTITUTE(SUBSTITUTE(LOWER(Registro!$E372),"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",LEN(Registro!$E372))),({1,2,3,4,5,6,7,8,9,10,11,12,13,14,15,16,17,18,19,20,21,22,23,24,25,26,27,28,29,30}-1)*LEN(Registro!$E372)+1,LEN(Registro!$E372)))&amp;"x")-1))),"Revisar formato")))</f>
        <v/>
      </c>
      <c r="E372" s="11" t="str">
        <f>IF(Registro!$E372="","",IF(ISERROR(FIND("x",LOWER(Registro!$E372))),"-",IFERROR(SUMPRODUCT(--("0"&amp;LEFT(TRIM(MID(SUBSTITUTE(SUBSTITUTE(SUBSTITUTE(SUBSTITUTE(SUBSTITUTE(LOWER(Registro!$E372),"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",LEN(Registro!$E372))),({1,2,3,4,5,6,7,8,9,10,11,12,13,14,15,16,17,18,19,20,21,22,23,24,25,26,27,28,29,30}-1)*LEN(Registro!$E372)+1,LEN(Registro!$E372)))&amp;"x")-1)),--("0"&amp;MID(TRIM(MID(SUBSTITUTE(SUBSTITUTE(SUBSTITUTE(SUBSTITUTE(SUBSTITUTE(LOWER(Registro!$E372),"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",LEN(Registro!$E372))),({1,2,3,4,5,6,7,8,9,10,11,12,13,14,15,16,17,18,19,20,21,22,23,24,25,26,27,28,29,30}-1)*LEN(Registro!$E372)+1,LEN(Registro!$E372)))&amp;"x")+1,20))),"Revisar formato")))</f>
        <v/>
      </c>
      <c r="F372" s="11" t="str">
        <f>IF(Registro!$F372="","",N(Registro!$F372))</f>
        <v/>
      </c>
      <c r="G372" s="11" t="str">
        <f t="shared" si="16"/>
        <v/>
      </c>
      <c r="H372" s="10" t="str">
        <f>IF(Registro!$G372="","",IF(ISERROR(FIND("x",LOWER(Registro!$G372))),"-",IFERROR(SUMPRODUCT(--("0"&amp;LEFT(TRIM(MID(SUBSTITUTE(SUBSTITUTE(SUBSTITUTE(SUBSTITUTE(SUBSTITUTE(LOWER(Registro!$G372),"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",LEN(Registro!$G372))),({1,2,3,4,5,6,7,8,9,10,11,12,13,14,15,16,17,18,19,20,21,22,23,24,25,26,27,28,29,30}-1)*LEN(Registro!$G372)+1,LEN(Registro!$G372))),FIND("x",TRIM(MID(SUBSTITUTE(SUBSTITUTE(SUBSTITUTE(SUBSTITUTE(SUBSTITUTE(LOWER(Registro!$G372),"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",LEN(Registro!$G372))),({1,2,3,4,5,6,7,8,9,10,11,12,13,14,15,16,17,18,19,20,21,22,23,24,25,26,27,28,29,30}-1)*LEN(Registro!$G372)+1,LEN(Registro!$G372)))&amp;"x")-1))),"Revisar formato")))</f>
        <v/>
      </c>
      <c r="I372" s="11" t="str">
        <f>IF(Registro!$G372="","",IF(ISERROR(FIND("x",LOWER(Registro!$G372))),N(Registro!$H372),IFERROR(SUMPRODUCT(--("0"&amp;LEFT(TRIM(MID(SUBSTITUTE(SUBSTITUTE(SUBSTITUTE(SUBSTITUTE(SUBSTITUTE(LOWER(Registro!$G372),"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",LEN(Registro!$G372))),({1,2,3,4,5,6,7,8,9,10,11,12,13,14,15,16,17,18,19,20,21,22,23,24,25,26,27,28,29,30}-1)*LEN(Registro!$G372)+1,LEN(Registro!$G372))),FIND("x",TRIM(MID(SUBSTITUTE(SUBSTITUTE(SUBSTITUTE(SUBSTITUTE(SUBSTITUTE(LOWER(Registro!$G372),"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",LEN(Registro!$G372))),({1,2,3,4,5,6,7,8,9,10,11,12,13,14,15,16,17,18,19,20,21,22,23,24,25,26,27,28,29,30}-1)*LEN(Registro!$G372)+1,LEN(Registro!$G372)))&amp;"x")-1)),--("0"&amp;MID(TRIM(MID(SUBSTITUTE(SUBSTITUTE(SUBSTITUTE(SUBSTITUTE(SUBSTITUTE(LOWER(Registro!$G372),"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",LEN(Registro!$G372))),({1,2,3,4,5,6,7,8,9,10,11,12,13,14,15,16,17,18,19,20,21,22,23,24,25,26,27,28,29,30}-1)*LEN(Registro!$G372)+1,LEN(Registro!$G372))),FIND("x",TRIM(MID(SUBSTITUTE(SUBSTITUTE(SUBSTITUTE(SUBSTITUTE(SUBSTITUTE(LOWER(Registro!$G372),"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",LEN(Registro!$G372))),({1,2,3,4,5,6,7,8,9,10,11,12,13,14,15,16,17,18,19,20,21,22,23,24,25,26,27,28,29,30}-1)*LEN(Registro!$G372)+1,LEN(Registro!$G372)))&amp;"x")+1,20))),"Revisar formato")))</f>
        <v/>
      </c>
      <c r="J372" s="9" t="str">
        <f>IF(AND(Registro!$E372="",Registro!$G372=""),"",IF(NOT(AND(ISNUMBER(I372),ISNUMBER(Registro!$H372))),"",IF(I372&lt;Registro!$H372,"FALTA BOLETOS",IF(I372=Registro!$H372,"CONFORME","DIFERENCIA"))))</f>
        <v/>
      </c>
      <c r="K372" s="11" t="str">
        <f>IF(Registro!$I372="","",IFERROR(SUMPRODUCT(--("0"&amp;TRIM(RIGHT(SUBSTITUTE(TRIM(MID(SUBSTITUTE(SUBSTITUTE(Registro!$I372,";",CHAR(10)),CHAR(10),REPT(" ",LEN(Registro!$I372))),({1,2,3,4,5,6,7,8,9,10,11,12,13,14,15,16,17,18,19,20,21,22,23,24,25,26,27,28,29,30}-1)*LEN(Registro!$I372)+1,LEN(Registro!$I372)))," ",REPT(" ",50)),50)))),"Revisar formato"))</f>
        <v/>
      </c>
      <c r="L372" s="11" t="str">
        <f>IF(Registro!$J372="","",IFERROR(SUMPRODUCT(--("0"&amp;TRIM(RIGHT(SUBSTITUTE(TRIM(MID(SUBSTITUTE(SUBSTITUTE(Registro!$J372,";",CHAR(10)),CHAR(10),REPT(" ",LEN(Registro!$J372))),({1,2,3,4,5,6,7,8,9,10,11,12,13,14,15,16,17,18,19,20,21,22,23,24,25,26,27,28,29,30}-1)*LEN(Registro!$J372)+1,LEN(Registro!$J372)))," ",REPT(" ",50)),50)))),"Revisar formato"))</f>
        <v/>
      </c>
      <c r="M372" s="11" t="str">
        <f>IF(AND(Registro!$H372="",Registro!$I372=""),"",IF(AND(ISTEXT(K372),K372&lt;&gt;""),"Revisar formato",N(Registro!$H372)-N(K372)))</f>
        <v/>
      </c>
      <c r="N372" s="11" t="str">
        <f t="shared" si="17"/>
        <v/>
      </c>
      <c r="O372" s="15" t="str">
        <f>IF(AND(A372=Consulta!$B$3,C372=Consulta!$H$3),B372*10000+ROW(),"")</f>
        <v/>
      </c>
    </row>
    <row r="373" spans="1:15" x14ac:dyDescent="0.25">
      <c r="A373" s="9" t="str">
        <f>IF(Registro!$A373="","",Registro!$A373)</f>
        <v/>
      </c>
      <c r="B373" s="8" t="str">
        <f>IF(Registro!$B373="","",Registro!$B373)</f>
        <v/>
      </c>
      <c r="C373" s="14" t="str">
        <f t="shared" si="15"/>
        <v/>
      </c>
      <c r="D373" s="10" t="str">
        <f>IF(Registro!$E373="","",IF(ISERROR(FIND("x",LOWER(Registro!$E373))),"-",IFERROR(SUMPRODUCT(--("0"&amp;LEFT(TRIM(MID(SUBSTITUTE(SUBSTITUTE(SUBSTITUTE(SUBSTITUTE(SUBSTITUTE(LOWER(Registro!$E373),"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",LEN(Registro!$E373))),({1,2,3,4,5,6,7,8,9,10,11,12,13,14,15,16,17,18,19,20,21,22,23,24,25,26,27,28,29,30}-1)*LEN(Registro!$E373)+1,LEN(Registro!$E373)))&amp;"x")-1))),"Revisar formato")))</f>
        <v/>
      </c>
      <c r="E373" s="11" t="str">
        <f>IF(Registro!$E373="","",IF(ISERROR(FIND("x",LOWER(Registro!$E373))),"-",IFERROR(SUMPRODUCT(--("0"&amp;LEFT(TRIM(MID(SUBSTITUTE(SUBSTITUTE(SUBSTITUTE(SUBSTITUTE(SUBSTITUTE(LOWER(Registro!$E373),"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",LEN(Registro!$E373))),({1,2,3,4,5,6,7,8,9,10,11,12,13,14,15,16,17,18,19,20,21,22,23,24,25,26,27,28,29,30}-1)*LEN(Registro!$E373)+1,LEN(Registro!$E373)))&amp;"x")-1)),--("0"&amp;MID(TRIM(MID(SUBSTITUTE(SUBSTITUTE(SUBSTITUTE(SUBSTITUTE(SUBSTITUTE(LOWER(Registro!$E373),"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",LEN(Registro!$E373))),({1,2,3,4,5,6,7,8,9,10,11,12,13,14,15,16,17,18,19,20,21,22,23,24,25,26,27,28,29,30}-1)*LEN(Registro!$E373)+1,LEN(Registro!$E373)))&amp;"x")+1,20))),"Revisar formato")))</f>
        <v/>
      </c>
      <c r="F373" s="11" t="str">
        <f>IF(Registro!$F373="","",N(Registro!$F373))</f>
        <v/>
      </c>
      <c r="G373" s="11" t="str">
        <f t="shared" si="16"/>
        <v/>
      </c>
      <c r="H373" s="10" t="str">
        <f>IF(Registro!$G373="","",IF(ISERROR(FIND("x",LOWER(Registro!$G373))),"-",IFERROR(SUMPRODUCT(--("0"&amp;LEFT(TRIM(MID(SUBSTITUTE(SUBSTITUTE(SUBSTITUTE(SUBSTITUTE(SUBSTITUTE(LOWER(Registro!$G373),"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",LEN(Registro!$G373))),({1,2,3,4,5,6,7,8,9,10,11,12,13,14,15,16,17,18,19,20,21,22,23,24,25,26,27,28,29,30}-1)*LEN(Registro!$G373)+1,LEN(Registro!$G373))),FIND("x",TRIM(MID(SUBSTITUTE(SUBSTITUTE(SUBSTITUTE(SUBSTITUTE(SUBSTITUTE(LOWER(Registro!$G373),"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",LEN(Registro!$G373))),({1,2,3,4,5,6,7,8,9,10,11,12,13,14,15,16,17,18,19,20,21,22,23,24,25,26,27,28,29,30}-1)*LEN(Registro!$G373)+1,LEN(Registro!$G373)))&amp;"x")-1))),"Revisar formato")))</f>
        <v/>
      </c>
      <c r="I373" s="11" t="str">
        <f>IF(Registro!$G373="","",IF(ISERROR(FIND("x",LOWER(Registro!$G373))),N(Registro!$H373),IFERROR(SUMPRODUCT(--("0"&amp;LEFT(TRIM(MID(SUBSTITUTE(SUBSTITUTE(SUBSTITUTE(SUBSTITUTE(SUBSTITUTE(LOWER(Registro!$G373),"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",LEN(Registro!$G373))),({1,2,3,4,5,6,7,8,9,10,11,12,13,14,15,16,17,18,19,20,21,22,23,24,25,26,27,28,29,30}-1)*LEN(Registro!$G373)+1,LEN(Registro!$G373))),FIND("x",TRIM(MID(SUBSTITUTE(SUBSTITUTE(SUBSTITUTE(SUBSTITUTE(SUBSTITUTE(LOWER(Registro!$G373),"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",LEN(Registro!$G373))),({1,2,3,4,5,6,7,8,9,10,11,12,13,14,15,16,17,18,19,20,21,22,23,24,25,26,27,28,29,30}-1)*LEN(Registro!$G373)+1,LEN(Registro!$G373)))&amp;"x")-1)),--("0"&amp;MID(TRIM(MID(SUBSTITUTE(SUBSTITUTE(SUBSTITUTE(SUBSTITUTE(SUBSTITUTE(LOWER(Registro!$G373),"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",LEN(Registro!$G373))),({1,2,3,4,5,6,7,8,9,10,11,12,13,14,15,16,17,18,19,20,21,22,23,24,25,26,27,28,29,30}-1)*LEN(Registro!$G373)+1,LEN(Registro!$G373))),FIND("x",TRIM(MID(SUBSTITUTE(SUBSTITUTE(SUBSTITUTE(SUBSTITUTE(SUBSTITUTE(LOWER(Registro!$G373),"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",LEN(Registro!$G373))),({1,2,3,4,5,6,7,8,9,10,11,12,13,14,15,16,17,18,19,20,21,22,23,24,25,26,27,28,29,30}-1)*LEN(Registro!$G373)+1,LEN(Registro!$G373)))&amp;"x")+1,20))),"Revisar formato")))</f>
        <v/>
      </c>
      <c r="J373" s="9" t="str">
        <f>IF(AND(Registro!$E373="",Registro!$G373=""),"",IF(NOT(AND(ISNUMBER(I373),ISNUMBER(Registro!$H373))),"",IF(I373&lt;Registro!$H373,"FALTA BOLETOS",IF(I373=Registro!$H373,"CONFORME","DIFERENCIA"))))</f>
        <v/>
      </c>
      <c r="K373" s="11" t="str">
        <f>IF(Registro!$I373="","",IFERROR(SUMPRODUCT(--("0"&amp;TRIM(RIGHT(SUBSTITUTE(TRIM(MID(SUBSTITUTE(SUBSTITUTE(Registro!$I373,";",CHAR(10)),CHAR(10),REPT(" ",LEN(Registro!$I373))),({1,2,3,4,5,6,7,8,9,10,11,12,13,14,15,16,17,18,19,20,21,22,23,24,25,26,27,28,29,30}-1)*LEN(Registro!$I373)+1,LEN(Registro!$I373)))," ",REPT(" ",50)),50)))),"Revisar formato"))</f>
        <v/>
      </c>
      <c r="L373" s="11" t="str">
        <f>IF(Registro!$J373="","",IFERROR(SUMPRODUCT(--("0"&amp;TRIM(RIGHT(SUBSTITUTE(TRIM(MID(SUBSTITUTE(SUBSTITUTE(Registro!$J373,";",CHAR(10)),CHAR(10),REPT(" ",LEN(Registro!$J373))),({1,2,3,4,5,6,7,8,9,10,11,12,13,14,15,16,17,18,19,20,21,22,23,24,25,26,27,28,29,30}-1)*LEN(Registro!$J373)+1,LEN(Registro!$J373)))," ",REPT(" ",50)),50)))),"Revisar formato"))</f>
        <v/>
      </c>
      <c r="M373" s="11" t="str">
        <f>IF(AND(Registro!$H373="",Registro!$I373=""),"",IF(AND(ISTEXT(K373),K373&lt;&gt;""),"Revisar formato",N(Registro!$H373)-N(K373)))</f>
        <v/>
      </c>
      <c r="N373" s="11" t="str">
        <f t="shared" si="17"/>
        <v/>
      </c>
      <c r="O373" s="15" t="str">
        <f>IF(AND(A373=Consulta!$B$3,C373=Consulta!$H$3),B373*10000+ROW(),"")</f>
        <v/>
      </c>
    </row>
    <row r="374" spans="1:15" x14ac:dyDescent="0.25">
      <c r="A374" s="9" t="str">
        <f>IF(Registro!$A374="","",Registro!$A374)</f>
        <v/>
      </c>
      <c r="B374" s="8" t="str">
        <f>IF(Registro!$B374="","",Registro!$B374)</f>
        <v/>
      </c>
      <c r="C374" s="14" t="str">
        <f t="shared" si="15"/>
        <v/>
      </c>
      <c r="D374" s="10" t="str">
        <f>IF(Registro!$E374="","",IF(ISERROR(FIND("x",LOWER(Registro!$E374))),"-",IFERROR(SUMPRODUCT(--("0"&amp;LEFT(TRIM(MID(SUBSTITUTE(SUBSTITUTE(SUBSTITUTE(SUBSTITUTE(SUBSTITUTE(LOWER(Registro!$E374),"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",LEN(Registro!$E374))),({1,2,3,4,5,6,7,8,9,10,11,12,13,14,15,16,17,18,19,20,21,22,23,24,25,26,27,28,29,30}-1)*LEN(Registro!$E374)+1,LEN(Registro!$E374)))&amp;"x")-1))),"Revisar formato")))</f>
        <v/>
      </c>
      <c r="E374" s="11" t="str">
        <f>IF(Registro!$E374="","",IF(ISERROR(FIND("x",LOWER(Registro!$E374))),"-",IFERROR(SUMPRODUCT(--("0"&amp;LEFT(TRIM(MID(SUBSTITUTE(SUBSTITUTE(SUBSTITUTE(SUBSTITUTE(SUBSTITUTE(LOWER(Registro!$E374),"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",LEN(Registro!$E374))),({1,2,3,4,5,6,7,8,9,10,11,12,13,14,15,16,17,18,19,20,21,22,23,24,25,26,27,28,29,30}-1)*LEN(Registro!$E374)+1,LEN(Registro!$E374)))&amp;"x")-1)),--("0"&amp;MID(TRIM(MID(SUBSTITUTE(SUBSTITUTE(SUBSTITUTE(SUBSTITUTE(SUBSTITUTE(LOWER(Registro!$E374),"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",LEN(Registro!$E374))),({1,2,3,4,5,6,7,8,9,10,11,12,13,14,15,16,17,18,19,20,21,22,23,24,25,26,27,28,29,30}-1)*LEN(Registro!$E374)+1,LEN(Registro!$E374)))&amp;"x")+1,20))),"Revisar formato")))</f>
        <v/>
      </c>
      <c r="F374" s="11" t="str">
        <f>IF(Registro!$F374="","",N(Registro!$F374))</f>
        <v/>
      </c>
      <c r="G374" s="11" t="str">
        <f t="shared" si="16"/>
        <v/>
      </c>
      <c r="H374" s="10" t="str">
        <f>IF(Registro!$G374="","",IF(ISERROR(FIND("x",LOWER(Registro!$G374))),"-",IFERROR(SUMPRODUCT(--("0"&amp;LEFT(TRIM(MID(SUBSTITUTE(SUBSTITUTE(SUBSTITUTE(SUBSTITUTE(SUBSTITUTE(LOWER(Registro!$G374),"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",LEN(Registro!$G374))),({1,2,3,4,5,6,7,8,9,10,11,12,13,14,15,16,17,18,19,20,21,22,23,24,25,26,27,28,29,30}-1)*LEN(Registro!$G374)+1,LEN(Registro!$G374))),FIND("x",TRIM(MID(SUBSTITUTE(SUBSTITUTE(SUBSTITUTE(SUBSTITUTE(SUBSTITUTE(LOWER(Registro!$G374),"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",LEN(Registro!$G374))),({1,2,3,4,5,6,7,8,9,10,11,12,13,14,15,16,17,18,19,20,21,22,23,24,25,26,27,28,29,30}-1)*LEN(Registro!$G374)+1,LEN(Registro!$G374)))&amp;"x")-1))),"Revisar formato")))</f>
        <v/>
      </c>
      <c r="I374" s="11" t="str">
        <f>IF(Registro!$G374="","",IF(ISERROR(FIND("x",LOWER(Registro!$G374))),N(Registro!$H374),IFERROR(SUMPRODUCT(--("0"&amp;LEFT(TRIM(MID(SUBSTITUTE(SUBSTITUTE(SUBSTITUTE(SUBSTITUTE(SUBSTITUTE(LOWER(Registro!$G374),"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",LEN(Registro!$G374))),({1,2,3,4,5,6,7,8,9,10,11,12,13,14,15,16,17,18,19,20,21,22,23,24,25,26,27,28,29,30}-1)*LEN(Registro!$G374)+1,LEN(Registro!$G374))),FIND("x",TRIM(MID(SUBSTITUTE(SUBSTITUTE(SUBSTITUTE(SUBSTITUTE(SUBSTITUTE(LOWER(Registro!$G374),"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",LEN(Registro!$G374))),({1,2,3,4,5,6,7,8,9,10,11,12,13,14,15,16,17,18,19,20,21,22,23,24,25,26,27,28,29,30}-1)*LEN(Registro!$G374)+1,LEN(Registro!$G374)))&amp;"x")-1)),--("0"&amp;MID(TRIM(MID(SUBSTITUTE(SUBSTITUTE(SUBSTITUTE(SUBSTITUTE(SUBSTITUTE(LOWER(Registro!$G374),"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",LEN(Registro!$G374))),({1,2,3,4,5,6,7,8,9,10,11,12,13,14,15,16,17,18,19,20,21,22,23,24,25,26,27,28,29,30}-1)*LEN(Registro!$G374)+1,LEN(Registro!$G374))),FIND("x",TRIM(MID(SUBSTITUTE(SUBSTITUTE(SUBSTITUTE(SUBSTITUTE(SUBSTITUTE(LOWER(Registro!$G374),"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",LEN(Registro!$G374))),({1,2,3,4,5,6,7,8,9,10,11,12,13,14,15,16,17,18,19,20,21,22,23,24,25,26,27,28,29,30}-1)*LEN(Registro!$G374)+1,LEN(Registro!$G374)))&amp;"x")+1,20))),"Revisar formato")))</f>
        <v/>
      </c>
      <c r="J374" s="9" t="str">
        <f>IF(AND(Registro!$E374="",Registro!$G374=""),"",IF(NOT(AND(ISNUMBER(I374),ISNUMBER(Registro!$H374))),"",IF(I374&lt;Registro!$H374,"FALTA BOLETOS",IF(I374=Registro!$H374,"CONFORME","DIFERENCIA"))))</f>
        <v/>
      </c>
      <c r="K374" s="11" t="str">
        <f>IF(Registro!$I374="","",IFERROR(SUMPRODUCT(--("0"&amp;TRIM(RIGHT(SUBSTITUTE(TRIM(MID(SUBSTITUTE(SUBSTITUTE(Registro!$I374,";",CHAR(10)),CHAR(10),REPT(" ",LEN(Registro!$I374))),({1,2,3,4,5,6,7,8,9,10,11,12,13,14,15,16,17,18,19,20,21,22,23,24,25,26,27,28,29,30}-1)*LEN(Registro!$I374)+1,LEN(Registro!$I374)))," ",REPT(" ",50)),50)))),"Revisar formato"))</f>
        <v/>
      </c>
      <c r="L374" s="11" t="str">
        <f>IF(Registro!$J374="","",IFERROR(SUMPRODUCT(--("0"&amp;TRIM(RIGHT(SUBSTITUTE(TRIM(MID(SUBSTITUTE(SUBSTITUTE(Registro!$J374,";",CHAR(10)),CHAR(10),REPT(" ",LEN(Registro!$J374))),({1,2,3,4,5,6,7,8,9,10,11,12,13,14,15,16,17,18,19,20,21,22,23,24,25,26,27,28,29,30}-1)*LEN(Registro!$J374)+1,LEN(Registro!$J374)))," ",REPT(" ",50)),50)))),"Revisar formato"))</f>
        <v/>
      </c>
      <c r="M374" s="11" t="str">
        <f>IF(AND(Registro!$H374="",Registro!$I374=""),"",IF(AND(ISTEXT(K374),K374&lt;&gt;""),"Revisar formato",N(Registro!$H374)-N(K374)))</f>
        <v/>
      </c>
      <c r="N374" s="11" t="str">
        <f t="shared" si="17"/>
        <v/>
      </c>
      <c r="O374" s="15" t="str">
        <f>IF(AND(A374=Consulta!$B$3,C374=Consulta!$H$3),B374*10000+ROW(),"")</f>
        <v/>
      </c>
    </row>
    <row r="375" spans="1:15" x14ac:dyDescent="0.25">
      <c r="A375" s="9" t="str">
        <f>IF(Registro!$A375="","",Registro!$A375)</f>
        <v/>
      </c>
      <c r="B375" s="8" t="str">
        <f>IF(Registro!$B375="","",Registro!$B375)</f>
        <v/>
      </c>
      <c r="C375" s="14" t="str">
        <f t="shared" si="15"/>
        <v/>
      </c>
      <c r="D375" s="10" t="str">
        <f>IF(Registro!$E375="","",IF(ISERROR(FIND("x",LOWER(Registro!$E375))),"-",IFERROR(SUMPRODUCT(--("0"&amp;LEFT(TRIM(MID(SUBSTITUTE(SUBSTITUTE(SUBSTITUTE(SUBSTITUTE(SUBSTITUTE(LOWER(Registro!$E375),"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",LEN(Registro!$E375))),({1,2,3,4,5,6,7,8,9,10,11,12,13,14,15,16,17,18,19,20,21,22,23,24,25,26,27,28,29,30}-1)*LEN(Registro!$E375)+1,LEN(Registro!$E375)))&amp;"x")-1))),"Revisar formato")))</f>
        <v/>
      </c>
      <c r="E375" s="11" t="str">
        <f>IF(Registro!$E375="","",IF(ISERROR(FIND("x",LOWER(Registro!$E375))),"-",IFERROR(SUMPRODUCT(--("0"&amp;LEFT(TRIM(MID(SUBSTITUTE(SUBSTITUTE(SUBSTITUTE(SUBSTITUTE(SUBSTITUTE(LOWER(Registro!$E375),"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",LEN(Registro!$E375))),({1,2,3,4,5,6,7,8,9,10,11,12,13,14,15,16,17,18,19,20,21,22,23,24,25,26,27,28,29,30}-1)*LEN(Registro!$E375)+1,LEN(Registro!$E375)))&amp;"x")-1)),--("0"&amp;MID(TRIM(MID(SUBSTITUTE(SUBSTITUTE(SUBSTITUTE(SUBSTITUTE(SUBSTITUTE(LOWER(Registro!$E375),"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",LEN(Registro!$E375))),({1,2,3,4,5,6,7,8,9,10,11,12,13,14,15,16,17,18,19,20,21,22,23,24,25,26,27,28,29,30}-1)*LEN(Registro!$E375)+1,LEN(Registro!$E375)))&amp;"x")+1,20))),"Revisar formato")))</f>
        <v/>
      </c>
      <c r="F375" s="11" t="str">
        <f>IF(Registro!$F375="","",N(Registro!$F375))</f>
        <v/>
      </c>
      <c r="G375" s="11" t="str">
        <f t="shared" si="16"/>
        <v/>
      </c>
      <c r="H375" s="10" t="str">
        <f>IF(Registro!$G375="","",IF(ISERROR(FIND("x",LOWER(Registro!$G375))),"-",IFERROR(SUMPRODUCT(--("0"&amp;LEFT(TRIM(MID(SUBSTITUTE(SUBSTITUTE(SUBSTITUTE(SUBSTITUTE(SUBSTITUTE(LOWER(Registro!$G375),"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",LEN(Registro!$G375))),({1,2,3,4,5,6,7,8,9,10,11,12,13,14,15,16,17,18,19,20,21,22,23,24,25,26,27,28,29,30}-1)*LEN(Registro!$G375)+1,LEN(Registro!$G375))),FIND("x",TRIM(MID(SUBSTITUTE(SUBSTITUTE(SUBSTITUTE(SUBSTITUTE(SUBSTITUTE(LOWER(Registro!$G375),"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",LEN(Registro!$G375))),({1,2,3,4,5,6,7,8,9,10,11,12,13,14,15,16,17,18,19,20,21,22,23,24,25,26,27,28,29,30}-1)*LEN(Registro!$G375)+1,LEN(Registro!$G375)))&amp;"x")-1))),"Revisar formato")))</f>
        <v/>
      </c>
      <c r="I375" s="11" t="str">
        <f>IF(Registro!$G375="","",IF(ISERROR(FIND("x",LOWER(Registro!$G375))),N(Registro!$H375),IFERROR(SUMPRODUCT(--("0"&amp;LEFT(TRIM(MID(SUBSTITUTE(SUBSTITUTE(SUBSTITUTE(SUBSTITUTE(SUBSTITUTE(LOWER(Registro!$G375),"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",LEN(Registro!$G375))),({1,2,3,4,5,6,7,8,9,10,11,12,13,14,15,16,17,18,19,20,21,22,23,24,25,26,27,28,29,30}-1)*LEN(Registro!$G375)+1,LEN(Registro!$G375))),FIND("x",TRIM(MID(SUBSTITUTE(SUBSTITUTE(SUBSTITUTE(SUBSTITUTE(SUBSTITUTE(LOWER(Registro!$G375),"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",LEN(Registro!$G375))),({1,2,3,4,5,6,7,8,9,10,11,12,13,14,15,16,17,18,19,20,21,22,23,24,25,26,27,28,29,30}-1)*LEN(Registro!$G375)+1,LEN(Registro!$G375)))&amp;"x")-1)),--("0"&amp;MID(TRIM(MID(SUBSTITUTE(SUBSTITUTE(SUBSTITUTE(SUBSTITUTE(SUBSTITUTE(LOWER(Registro!$G375),"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",LEN(Registro!$G375))),({1,2,3,4,5,6,7,8,9,10,11,12,13,14,15,16,17,18,19,20,21,22,23,24,25,26,27,28,29,30}-1)*LEN(Registro!$G375)+1,LEN(Registro!$G375))),FIND("x",TRIM(MID(SUBSTITUTE(SUBSTITUTE(SUBSTITUTE(SUBSTITUTE(SUBSTITUTE(LOWER(Registro!$G375),"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",LEN(Registro!$G375))),({1,2,3,4,5,6,7,8,9,10,11,12,13,14,15,16,17,18,19,20,21,22,23,24,25,26,27,28,29,30}-1)*LEN(Registro!$G375)+1,LEN(Registro!$G375)))&amp;"x")+1,20))),"Revisar formato")))</f>
        <v/>
      </c>
      <c r="J375" s="9" t="str">
        <f>IF(AND(Registro!$E375="",Registro!$G375=""),"",IF(NOT(AND(ISNUMBER(I375),ISNUMBER(Registro!$H375))),"",IF(I375&lt;Registro!$H375,"FALTA BOLETOS",IF(I375=Registro!$H375,"CONFORME","DIFERENCIA"))))</f>
        <v/>
      </c>
      <c r="K375" s="11" t="str">
        <f>IF(Registro!$I375="","",IFERROR(SUMPRODUCT(--("0"&amp;TRIM(RIGHT(SUBSTITUTE(TRIM(MID(SUBSTITUTE(SUBSTITUTE(Registro!$I375,";",CHAR(10)),CHAR(10),REPT(" ",LEN(Registro!$I375))),({1,2,3,4,5,6,7,8,9,10,11,12,13,14,15,16,17,18,19,20,21,22,23,24,25,26,27,28,29,30}-1)*LEN(Registro!$I375)+1,LEN(Registro!$I375)))," ",REPT(" ",50)),50)))),"Revisar formato"))</f>
        <v/>
      </c>
      <c r="L375" s="11" t="str">
        <f>IF(Registro!$J375="","",IFERROR(SUMPRODUCT(--("0"&amp;TRIM(RIGHT(SUBSTITUTE(TRIM(MID(SUBSTITUTE(SUBSTITUTE(Registro!$J375,";",CHAR(10)),CHAR(10),REPT(" ",LEN(Registro!$J375))),({1,2,3,4,5,6,7,8,9,10,11,12,13,14,15,16,17,18,19,20,21,22,23,24,25,26,27,28,29,30}-1)*LEN(Registro!$J375)+1,LEN(Registro!$J375)))," ",REPT(" ",50)),50)))),"Revisar formato"))</f>
        <v/>
      </c>
      <c r="M375" s="11" t="str">
        <f>IF(AND(Registro!$H375="",Registro!$I375=""),"",IF(AND(ISTEXT(K375),K375&lt;&gt;""),"Revisar formato",N(Registro!$H375)-N(K375)))</f>
        <v/>
      </c>
      <c r="N375" s="11" t="str">
        <f t="shared" si="17"/>
        <v/>
      </c>
      <c r="O375" s="15" t="str">
        <f>IF(AND(A375=Consulta!$B$3,C375=Consulta!$H$3),B375*10000+ROW(),"")</f>
        <v/>
      </c>
    </row>
    <row r="376" spans="1:15" x14ac:dyDescent="0.25">
      <c r="A376" s="9" t="str">
        <f>IF(Registro!$A376="","",Registro!$A376)</f>
        <v/>
      </c>
      <c r="B376" s="8" t="str">
        <f>IF(Registro!$B376="","",Registro!$B376)</f>
        <v/>
      </c>
      <c r="C376" s="14" t="str">
        <f t="shared" si="15"/>
        <v/>
      </c>
      <c r="D376" s="10" t="str">
        <f>IF(Registro!$E376="","",IF(ISERROR(FIND("x",LOWER(Registro!$E376))),"-",IFERROR(SUMPRODUCT(--("0"&amp;LEFT(TRIM(MID(SUBSTITUTE(SUBSTITUTE(SUBSTITUTE(SUBSTITUTE(SUBSTITUTE(LOWER(Registro!$E376),"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",LEN(Registro!$E376))),({1,2,3,4,5,6,7,8,9,10,11,12,13,14,15,16,17,18,19,20,21,22,23,24,25,26,27,28,29,30}-1)*LEN(Registro!$E376)+1,LEN(Registro!$E376)))&amp;"x")-1))),"Revisar formato")))</f>
        <v/>
      </c>
      <c r="E376" s="11" t="str">
        <f>IF(Registro!$E376="","",IF(ISERROR(FIND("x",LOWER(Registro!$E376))),"-",IFERROR(SUMPRODUCT(--("0"&amp;LEFT(TRIM(MID(SUBSTITUTE(SUBSTITUTE(SUBSTITUTE(SUBSTITUTE(SUBSTITUTE(LOWER(Registro!$E376),"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",LEN(Registro!$E376))),({1,2,3,4,5,6,7,8,9,10,11,12,13,14,15,16,17,18,19,20,21,22,23,24,25,26,27,28,29,30}-1)*LEN(Registro!$E376)+1,LEN(Registro!$E376)))&amp;"x")-1)),--("0"&amp;MID(TRIM(MID(SUBSTITUTE(SUBSTITUTE(SUBSTITUTE(SUBSTITUTE(SUBSTITUTE(LOWER(Registro!$E376),"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",LEN(Registro!$E376))),({1,2,3,4,5,6,7,8,9,10,11,12,13,14,15,16,17,18,19,20,21,22,23,24,25,26,27,28,29,30}-1)*LEN(Registro!$E376)+1,LEN(Registro!$E376)))&amp;"x")+1,20))),"Revisar formato")))</f>
        <v/>
      </c>
      <c r="F376" s="11" t="str">
        <f>IF(Registro!$F376="","",N(Registro!$F376))</f>
        <v/>
      </c>
      <c r="G376" s="11" t="str">
        <f t="shared" si="16"/>
        <v/>
      </c>
      <c r="H376" s="10" t="str">
        <f>IF(Registro!$G376="","",IF(ISERROR(FIND("x",LOWER(Registro!$G376))),"-",IFERROR(SUMPRODUCT(--("0"&amp;LEFT(TRIM(MID(SUBSTITUTE(SUBSTITUTE(SUBSTITUTE(SUBSTITUTE(SUBSTITUTE(LOWER(Registro!$G376),"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",LEN(Registro!$G376))),({1,2,3,4,5,6,7,8,9,10,11,12,13,14,15,16,17,18,19,20,21,22,23,24,25,26,27,28,29,30}-1)*LEN(Registro!$G376)+1,LEN(Registro!$G376))),FIND("x",TRIM(MID(SUBSTITUTE(SUBSTITUTE(SUBSTITUTE(SUBSTITUTE(SUBSTITUTE(LOWER(Registro!$G376),"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",LEN(Registro!$G376))),({1,2,3,4,5,6,7,8,9,10,11,12,13,14,15,16,17,18,19,20,21,22,23,24,25,26,27,28,29,30}-1)*LEN(Registro!$G376)+1,LEN(Registro!$G376)))&amp;"x")-1))),"Revisar formato")))</f>
        <v/>
      </c>
      <c r="I376" s="11" t="str">
        <f>IF(Registro!$G376="","",IF(ISERROR(FIND("x",LOWER(Registro!$G376))),N(Registro!$H376),IFERROR(SUMPRODUCT(--("0"&amp;LEFT(TRIM(MID(SUBSTITUTE(SUBSTITUTE(SUBSTITUTE(SUBSTITUTE(SUBSTITUTE(LOWER(Registro!$G376),"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",LEN(Registro!$G376))),({1,2,3,4,5,6,7,8,9,10,11,12,13,14,15,16,17,18,19,20,21,22,23,24,25,26,27,28,29,30}-1)*LEN(Registro!$G376)+1,LEN(Registro!$G376))),FIND("x",TRIM(MID(SUBSTITUTE(SUBSTITUTE(SUBSTITUTE(SUBSTITUTE(SUBSTITUTE(LOWER(Registro!$G376),"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",LEN(Registro!$G376))),({1,2,3,4,5,6,7,8,9,10,11,12,13,14,15,16,17,18,19,20,21,22,23,24,25,26,27,28,29,30}-1)*LEN(Registro!$G376)+1,LEN(Registro!$G376)))&amp;"x")-1)),--("0"&amp;MID(TRIM(MID(SUBSTITUTE(SUBSTITUTE(SUBSTITUTE(SUBSTITUTE(SUBSTITUTE(LOWER(Registro!$G376),"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",LEN(Registro!$G376))),({1,2,3,4,5,6,7,8,9,10,11,12,13,14,15,16,17,18,19,20,21,22,23,24,25,26,27,28,29,30}-1)*LEN(Registro!$G376)+1,LEN(Registro!$G376))),FIND("x",TRIM(MID(SUBSTITUTE(SUBSTITUTE(SUBSTITUTE(SUBSTITUTE(SUBSTITUTE(LOWER(Registro!$G376),"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",LEN(Registro!$G376))),({1,2,3,4,5,6,7,8,9,10,11,12,13,14,15,16,17,18,19,20,21,22,23,24,25,26,27,28,29,30}-1)*LEN(Registro!$G376)+1,LEN(Registro!$G376)))&amp;"x")+1,20))),"Revisar formato")))</f>
        <v/>
      </c>
      <c r="J376" s="9" t="str">
        <f>IF(AND(Registro!$E376="",Registro!$G376=""),"",IF(NOT(AND(ISNUMBER(I376),ISNUMBER(Registro!$H376))),"",IF(I376&lt;Registro!$H376,"FALTA BOLETOS",IF(I376=Registro!$H376,"CONFORME","DIFERENCIA"))))</f>
        <v/>
      </c>
      <c r="K376" s="11" t="str">
        <f>IF(Registro!$I376="","",IFERROR(SUMPRODUCT(--("0"&amp;TRIM(RIGHT(SUBSTITUTE(TRIM(MID(SUBSTITUTE(SUBSTITUTE(Registro!$I376,";",CHAR(10)),CHAR(10),REPT(" ",LEN(Registro!$I376))),({1,2,3,4,5,6,7,8,9,10,11,12,13,14,15,16,17,18,19,20,21,22,23,24,25,26,27,28,29,30}-1)*LEN(Registro!$I376)+1,LEN(Registro!$I376)))," ",REPT(" ",50)),50)))),"Revisar formato"))</f>
        <v/>
      </c>
      <c r="L376" s="11" t="str">
        <f>IF(Registro!$J376="","",IFERROR(SUMPRODUCT(--("0"&amp;TRIM(RIGHT(SUBSTITUTE(TRIM(MID(SUBSTITUTE(SUBSTITUTE(Registro!$J376,";",CHAR(10)),CHAR(10),REPT(" ",LEN(Registro!$J376))),({1,2,3,4,5,6,7,8,9,10,11,12,13,14,15,16,17,18,19,20,21,22,23,24,25,26,27,28,29,30}-1)*LEN(Registro!$J376)+1,LEN(Registro!$J376)))," ",REPT(" ",50)),50)))),"Revisar formato"))</f>
        <v/>
      </c>
      <c r="M376" s="11" t="str">
        <f>IF(AND(Registro!$H376="",Registro!$I376=""),"",IF(AND(ISTEXT(K376),K376&lt;&gt;""),"Revisar formato",N(Registro!$H376)-N(K376)))</f>
        <v/>
      </c>
      <c r="N376" s="11" t="str">
        <f t="shared" si="17"/>
        <v/>
      </c>
      <c r="O376" s="15" t="str">
        <f>IF(AND(A376=Consulta!$B$3,C376=Consulta!$H$3),B376*10000+ROW(),"")</f>
        <v/>
      </c>
    </row>
    <row r="377" spans="1:15" x14ac:dyDescent="0.25">
      <c r="A377" s="9" t="str">
        <f>IF(Registro!$A377="","",Registro!$A377)</f>
        <v/>
      </c>
      <c r="B377" s="8" t="str">
        <f>IF(Registro!$B377="","",Registro!$B377)</f>
        <v/>
      </c>
      <c r="C377" s="14" t="str">
        <f t="shared" si="15"/>
        <v/>
      </c>
      <c r="D377" s="10" t="str">
        <f>IF(Registro!$E377="","",IF(ISERROR(FIND("x",LOWER(Registro!$E377))),"-",IFERROR(SUMPRODUCT(--("0"&amp;LEFT(TRIM(MID(SUBSTITUTE(SUBSTITUTE(SUBSTITUTE(SUBSTITUTE(SUBSTITUTE(LOWER(Registro!$E377),"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",LEN(Registro!$E377))),({1,2,3,4,5,6,7,8,9,10,11,12,13,14,15,16,17,18,19,20,21,22,23,24,25,26,27,28,29,30}-1)*LEN(Registro!$E377)+1,LEN(Registro!$E377)))&amp;"x")-1))),"Revisar formato")))</f>
        <v/>
      </c>
      <c r="E377" s="11" t="str">
        <f>IF(Registro!$E377="","",IF(ISERROR(FIND("x",LOWER(Registro!$E377))),"-",IFERROR(SUMPRODUCT(--("0"&amp;LEFT(TRIM(MID(SUBSTITUTE(SUBSTITUTE(SUBSTITUTE(SUBSTITUTE(SUBSTITUTE(LOWER(Registro!$E377),"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",LEN(Registro!$E377))),({1,2,3,4,5,6,7,8,9,10,11,12,13,14,15,16,17,18,19,20,21,22,23,24,25,26,27,28,29,30}-1)*LEN(Registro!$E377)+1,LEN(Registro!$E377)))&amp;"x")-1)),--("0"&amp;MID(TRIM(MID(SUBSTITUTE(SUBSTITUTE(SUBSTITUTE(SUBSTITUTE(SUBSTITUTE(LOWER(Registro!$E377),"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",LEN(Registro!$E377))),({1,2,3,4,5,6,7,8,9,10,11,12,13,14,15,16,17,18,19,20,21,22,23,24,25,26,27,28,29,30}-1)*LEN(Registro!$E377)+1,LEN(Registro!$E377)))&amp;"x")+1,20))),"Revisar formato")))</f>
        <v/>
      </c>
      <c r="F377" s="11" t="str">
        <f>IF(Registro!$F377="","",N(Registro!$F377))</f>
        <v/>
      </c>
      <c r="G377" s="11" t="str">
        <f t="shared" si="16"/>
        <v/>
      </c>
      <c r="H377" s="10" t="str">
        <f>IF(Registro!$G377="","",IF(ISERROR(FIND("x",LOWER(Registro!$G377))),"-",IFERROR(SUMPRODUCT(--("0"&amp;LEFT(TRIM(MID(SUBSTITUTE(SUBSTITUTE(SUBSTITUTE(SUBSTITUTE(SUBSTITUTE(LOWER(Registro!$G377),"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",LEN(Registro!$G377))),({1,2,3,4,5,6,7,8,9,10,11,12,13,14,15,16,17,18,19,20,21,22,23,24,25,26,27,28,29,30}-1)*LEN(Registro!$G377)+1,LEN(Registro!$G377))),FIND("x",TRIM(MID(SUBSTITUTE(SUBSTITUTE(SUBSTITUTE(SUBSTITUTE(SUBSTITUTE(LOWER(Registro!$G377),"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",LEN(Registro!$G377))),({1,2,3,4,5,6,7,8,9,10,11,12,13,14,15,16,17,18,19,20,21,22,23,24,25,26,27,28,29,30}-1)*LEN(Registro!$G377)+1,LEN(Registro!$G377)))&amp;"x")-1))),"Revisar formato")))</f>
        <v/>
      </c>
      <c r="I377" s="11" t="str">
        <f>IF(Registro!$G377="","",IF(ISERROR(FIND("x",LOWER(Registro!$G377))),N(Registro!$H377),IFERROR(SUMPRODUCT(--("0"&amp;LEFT(TRIM(MID(SUBSTITUTE(SUBSTITUTE(SUBSTITUTE(SUBSTITUTE(SUBSTITUTE(LOWER(Registro!$G377),"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",LEN(Registro!$G377))),({1,2,3,4,5,6,7,8,9,10,11,12,13,14,15,16,17,18,19,20,21,22,23,24,25,26,27,28,29,30}-1)*LEN(Registro!$G377)+1,LEN(Registro!$G377))),FIND("x",TRIM(MID(SUBSTITUTE(SUBSTITUTE(SUBSTITUTE(SUBSTITUTE(SUBSTITUTE(LOWER(Registro!$G377),"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",LEN(Registro!$G377))),({1,2,3,4,5,6,7,8,9,10,11,12,13,14,15,16,17,18,19,20,21,22,23,24,25,26,27,28,29,30}-1)*LEN(Registro!$G377)+1,LEN(Registro!$G377)))&amp;"x")-1)),--("0"&amp;MID(TRIM(MID(SUBSTITUTE(SUBSTITUTE(SUBSTITUTE(SUBSTITUTE(SUBSTITUTE(LOWER(Registro!$G377),"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",LEN(Registro!$G377))),({1,2,3,4,5,6,7,8,9,10,11,12,13,14,15,16,17,18,19,20,21,22,23,24,25,26,27,28,29,30}-1)*LEN(Registro!$G377)+1,LEN(Registro!$G377))),FIND("x",TRIM(MID(SUBSTITUTE(SUBSTITUTE(SUBSTITUTE(SUBSTITUTE(SUBSTITUTE(LOWER(Registro!$G377),"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",LEN(Registro!$G377))),({1,2,3,4,5,6,7,8,9,10,11,12,13,14,15,16,17,18,19,20,21,22,23,24,25,26,27,28,29,30}-1)*LEN(Registro!$G377)+1,LEN(Registro!$G377)))&amp;"x")+1,20))),"Revisar formato")))</f>
        <v/>
      </c>
      <c r="J377" s="9" t="str">
        <f>IF(AND(Registro!$E377="",Registro!$G377=""),"",IF(NOT(AND(ISNUMBER(I377),ISNUMBER(Registro!$H377))),"",IF(I377&lt;Registro!$H377,"FALTA BOLETOS",IF(I377=Registro!$H377,"CONFORME","DIFERENCIA"))))</f>
        <v/>
      </c>
      <c r="K377" s="11" t="str">
        <f>IF(Registro!$I377="","",IFERROR(SUMPRODUCT(--("0"&amp;TRIM(RIGHT(SUBSTITUTE(TRIM(MID(SUBSTITUTE(SUBSTITUTE(Registro!$I377,";",CHAR(10)),CHAR(10),REPT(" ",LEN(Registro!$I377))),({1,2,3,4,5,6,7,8,9,10,11,12,13,14,15,16,17,18,19,20,21,22,23,24,25,26,27,28,29,30}-1)*LEN(Registro!$I377)+1,LEN(Registro!$I377)))," ",REPT(" ",50)),50)))),"Revisar formato"))</f>
        <v/>
      </c>
      <c r="L377" s="11" t="str">
        <f>IF(Registro!$J377="","",IFERROR(SUMPRODUCT(--("0"&amp;TRIM(RIGHT(SUBSTITUTE(TRIM(MID(SUBSTITUTE(SUBSTITUTE(Registro!$J377,";",CHAR(10)),CHAR(10),REPT(" ",LEN(Registro!$J377))),({1,2,3,4,5,6,7,8,9,10,11,12,13,14,15,16,17,18,19,20,21,22,23,24,25,26,27,28,29,30}-1)*LEN(Registro!$J377)+1,LEN(Registro!$J377)))," ",REPT(" ",50)),50)))),"Revisar formato"))</f>
        <v/>
      </c>
      <c r="M377" s="11" t="str">
        <f>IF(AND(Registro!$H377="",Registro!$I377=""),"",IF(AND(ISTEXT(K377),K377&lt;&gt;""),"Revisar formato",N(Registro!$H377)-N(K377)))</f>
        <v/>
      </c>
      <c r="N377" s="11" t="str">
        <f t="shared" si="17"/>
        <v/>
      </c>
      <c r="O377" s="15" t="str">
        <f>IF(AND(A377=Consulta!$B$3,C377=Consulta!$H$3),B377*10000+ROW(),"")</f>
        <v/>
      </c>
    </row>
    <row r="378" spans="1:15" x14ac:dyDescent="0.25">
      <c r="A378" s="9" t="str">
        <f>IF(Registro!$A378="","",Registro!$A378)</f>
        <v/>
      </c>
      <c r="B378" s="8" t="str">
        <f>IF(Registro!$B378="","",Registro!$B378)</f>
        <v/>
      </c>
      <c r="C378" s="14" t="str">
        <f t="shared" si="15"/>
        <v/>
      </c>
      <c r="D378" s="10" t="str">
        <f>IF(Registro!$E378="","",IF(ISERROR(FIND("x",LOWER(Registro!$E378))),"-",IFERROR(SUMPRODUCT(--("0"&amp;LEFT(TRIM(MID(SUBSTITUTE(SUBSTITUTE(SUBSTITUTE(SUBSTITUTE(SUBSTITUTE(LOWER(Registro!$E378),"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",LEN(Registro!$E378))),({1,2,3,4,5,6,7,8,9,10,11,12,13,14,15,16,17,18,19,20,21,22,23,24,25,26,27,28,29,30}-1)*LEN(Registro!$E378)+1,LEN(Registro!$E378)))&amp;"x")-1))),"Revisar formato")))</f>
        <v/>
      </c>
      <c r="E378" s="11" t="str">
        <f>IF(Registro!$E378="","",IF(ISERROR(FIND("x",LOWER(Registro!$E378))),"-",IFERROR(SUMPRODUCT(--("0"&amp;LEFT(TRIM(MID(SUBSTITUTE(SUBSTITUTE(SUBSTITUTE(SUBSTITUTE(SUBSTITUTE(LOWER(Registro!$E378),"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",LEN(Registro!$E378))),({1,2,3,4,5,6,7,8,9,10,11,12,13,14,15,16,17,18,19,20,21,22,23,24,25,26,27,28,29,30}-1)*LEN(Registro!$E378)+1,LEN(Registro!$E378)))&amp;"x")-1)),--("0"&amp;MID(TRIM(MID(SUBSTITUTE(SUBSTITUTE(SUBSTITUTE(SUBSTITUTE(SUBSTITUTE(LOWER(Registro!$E378),"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",LEN(Registro!$E378))),({1,2,3,4,5,6,7,8,9,10,11,12,13,14,15,16,17,18,19,20,21,22,23,24,25,26,27,28,29,30}-1)*LEN(Registro!$E378)+1,LEN(Registro!$E378)))&amp;"x")+1,20))),"Revisar formato")))</f>
        <v/>
      </c>
      <c r="F378" s="11" t="str">
        <f>IF(Registro!$F378="","",N(Registro!$F378))</f>
        <v/>
      </c>
      <c r="G378" s="11" t="str">
        <f t="shared" si="16"/>
        <v/>
      </c>
      <c r="H378" s="10" t="str">
        <f>IF(Registro!$G378="","",IF(ISERROR(FIND("x",LOWER(Registro!$G378))),"-",IFERROR(SUMPRODUCT(--("0"&amp;LEFT(TRIM(MID(SUBSTITUTE(SUBSTITUTE(SUBSTITUTE(SUBSTITUTE(SUBSTITUTE(LOWER(Registro!$G378),"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",LEN(Registro!$G378))),({1,2,3,4,5,6,7,8,9,10,11,12,13,14,15,16,17,18,19,20,21,22,23,24,25,26,27,28,29,30}-1)*LEN(Registro!$G378)+1,LEN(Registro!$G378))),FIND("x",TRIM(MID(SUBSTITUTE(SUBSTITUTE(SUBSTITUTE(SUBSTITUTE(SUBSTITUTE(LOWER(Registro!$G378),"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",LEN(Registro!$G378))),({1,2,3,4,5,6,7,8,9,10,11,12,13,14,15,16,17,18,19,20,21,22,23,24,25,26,27,28,29,30}-1)*LEN(Registro!$G378)+1,LEN(Registro!$G378)))&amp;"x")-1))),"Revisar formato")))</f>
        <v/>
      </c>
      <c r="I378" s="11" t="str">
        <f>IF(Registro!$G378="","",IF(ISERROR(FIND("x",LOWER(Registro!$G378))),N(Registro!$H378),IFERROR(SUMPRODUCT(--("0"&amp;LEFT(TRIM(MID(SUBSTITUTE(SUBSTITUTE(SUBSTITUTE(SUBSTITUTE(SUBSTITUTE(LOWER(Registro!$G378),"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",LEN(Registro!$G378))),({1,2,3,4,5,6,7,8,9,10,11,12,13,14,15,16,17,18,19,20,21,22,23,24,25,26,27,28,29,30}-1)*LEN(Registro!$G378)+1,LEN(Registro!$G378))),FIND("x",TRIM(MID(SUBSTITUTE(SUBSTITUTE(SUBSTITUTE(SUBSTITUTE(SUBSTITUTE(LOWER(Registro!$G378),"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",LEN(Registro!$G378))),({1,2,3,4,5,6,7,8,9,10,11,12,13,14,15,16,17,18,19,20,21,22,23,24,25,26,27,28,29,30}-1)*LEN(Registro!$G378)+1,LEN(Registro!$G378)))&amp;"x")-1)),--("0"&amp;MID(TRIM(MID(SUBSTITUTE(SUBSTITUTE(SUBSTITUTE(SUBSTITUTE(SUBSTITUTE(LOWER(Registro!$G378),"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",LEN(Registro!$G378))),({1,2,3,4,5,6,7,8,9,10,11,12,13,14,15,16,17,18,19,20,21,22,23,24,25,26,27,28,29,30}-1)*LEN(Registro!$G378)+1,LEN(Registro!$G378))),FIND("x",TRIM(MID(SUBSTITUTE(SUBSTITUTE(SUBSTITUTE(SUBSTITUTE(SUBSTITUTE(LOWER(Registro!$G378),"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",LEN(Registro!$G378))),({1,2,3,4,5,6,7,8,9,10,11,12,13,14,15,16,17,18,19,20,21,22,23,24,25,26,27,28,29,30}-1)*LEN(Registro!$G378)+1,LEN(Registro!$G378)))&amp;"x")+1,20))),"Revisar formato")))</f>
        <v/>
      </c>
      <c r="J378" s="9" t="str">
        <f>IF(AND(Registro!$E378="",Registro!$G378=""),"",IF(NOT(AND(ISNUMBER(I378),ISNUMBER(Registro!$H378))),"",IF(I378&lt;Registro!$H378,"FALTA BOLETOS",IF(I378=Registro!$H378,"CONFORME","DIFERENCIA"))))</f>
        <v/>
      </c>
      <c r="K378" s="11" t="str">
        <f>IF(Registro!$I378="","",IFERROR(SUMPRODUCT(--("0"&amp;TRIM(RIGHT(SUBSTITUTE(TRIM(MID(SUBSTITUTE(SUBSTITUTE(Registro!$I378,";",CHAR(10)),CHAR(10),REPT(" ",LEN(Registro!$I378))),({1,2,3,4,5,6,7,8,9,10,11,12,13,14,15,16,17,18,19,20,21,22,23,24,25,26,27,28,29,30}-1)*LEN(Registro!$I378)+1,LEN(Registro!$I378)))," ",REPT(" ",50)),50)))),"Revisar formato"))</f>
        <v/>
      </c>
      <c r="L378" s="11" t="str">
        <f>IF(Registro!$J378="","",IFERROR(SUMPRODUCT(--("0"&amp;TRIM(RIGHT(SUBSTITUTE(TRIM(MID(SUBSTITUTE(SUBSTITUTE(Registro!$J378,";",CHAR(10)),CHAR(10),REPT(" ",LEN(Registro!$J378))),({1,2,3,4,5,6,7,8,9,10,11,12,13,14,15,16,17,18,19,20,21,22,23,24,25,26,27,28,29,30}-1)*LEN(Registro!$J378)+1,LEN(Registro!$J378)))," ",REPT(" ",50)),50)))),"Revisar formato"))</f>
        <v/>
      </c>
      <c r="M378" s="11" t="str">
        <f>IF(AND(Registro!$H378="",Registro!$I378=""),"",IF(AND(ISTEXT(K378),K378&lt;&gt;""),"Revisar formato",N(Registro!$H378)-N(K378)))</f>
        <v/>
      </c>
      <c r="N378" s="11" t="str">
        <f t="shared" si="17"/>
        <v/>
      </c>
      <c r="O378" s="15" t="str">
        <f>IF(AND(A378=Consulta!$B$3,C378=Consulta!$H$3),B378*10000+ROW(),"")</f>
        <v/>
      </c>
    </row>
    <row r="379" spans="1:15" x14ac:dyDescent="0.25">
      <c r="A379" s="9" t="str">
        <f>IF(Registro!$A379="","",Registro!$A379)</f>
        <v/>
      </c>
      <c r="B379" s="8" t="str">
        <f>IF(Registro!$B379="","",Registro!$B379)</f>
        <v/>
      </c>
      <c r="C379" s="14" t="str">
        <f t="shared" si="15"/>
        <v/>
      </c>
      <c r="D379" s="10" t="str">
        <f>IF(Registro!$E379="","",IF(ISERROR(FIND("x",LOWER(Registro!$E379))),"-",IFERROR(SUMPRODUCT(--("0"&amp;LEFT(TRIM(MID(SUBSTITUTE(SUBSTITUTE(SUBSTITUTE(SUBSTITUTE(SUBSTITUTE(LOWER(Registro!$E379),"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",LEN(Registro!$E379))),({1,2,3,4,5,6,7,8,9,10,11,12,13,14,15,16,17,18,19,20,21,22,23,24,25,26,27,28,29,30}-1)*LEN(Registro!$E379)+1,LEN(Registro!$E379)))&amp;"x")-1))),"Revisar formato")))</f>
        <v/>
      </c>
      <c r="E379" s="11" t="str">
        <f>IF(Registro!$E379="","",IF(ISERROR(FIND("x",LOWER(Registro!$E379))),"-",IFERROR(SUMPRODUCT(--("0"&amp;LEFT(TRIM(MID(SUBSTITUTE(SUBSTITUTE(SUBSTITUTE(SUBSTITUTE(SUBSTITUTE(LOWER(Registro!$E379),"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",LEN(Registro!$E379))),({1,2,3,4,5,6,7,8,9,10,11,12,13,14,15,16,17,18,19,20,21,22,23,24,25,26,27,28,29,30}-1)*LEN(Registro!$E379)+1,LEN(Registro!$E379)))&amp;"x")-1)),--("0"&amp;MID(TRIM(MID(SUBSTITUTE(SUBSTITUTE(SUBSTITUTE(SUBSTITUTE(SUBSTITUTE(LOWER(Registro!$E379),"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",LEN(Registro!$E379))),({1,2,3,4,5,6,7,8,9,10,11,12,13,14,15,16,17,18,19,20,21,22,23,24,25,26,27,28,29,30}-1)*LEN(Registro!$E379)+1,LEN(Registro!$E379)))&amp;"x")+1,20))),"Revisar formato")))</f>
        <v/>
      </c>
      <c r="F379" s="11" t="str">
        <f>IF(Registro!$F379="","",N(Registro!$F379))</f>
        <v/>
      </c>
      <c r="G379" s="11" t="str">
        <f t="shared" si="16"/>
        <v/>
      </c>
      <c r="H379" s="10" t="str">
        <f>IF(Registro!$G379="","",IF(ISERROR(FIND("x",LOWER(Registro!$G379))),"-",IFERROR(SUMPRODUCT(--("0"&amp;LEFT(TRIM(MID(SUBSTITUTE(SUBSTITUTE(SUBSTITUTE(SUBSTITUTE(SUBSTITUTE(LOWER(Registro!$G379),"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",LEN(Registro!$G379))),({1,2,3,4,5,6,7,8,9,10,11,12,13,14,15,16,17,18,19,20,21,22,23,24,25,26,27,28,29,30}-1)*LEN(Registro!$G379)+1,LEN(Registro!$G379))),FIND("x",TRIM(MID(SUBSTITUTE(SUBSTITUTE(SUBSTITUTE(SUBSTITUTE(SUBSTITUTE(LOWER(Registro!$G379),"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",LEN(Registro!$G379))),({1,2,3,4,5,6,7,8,9,10,11,12,13,14,15,16,17,18,19,20,21,22,23,24,25,26,27,28,29,30}-1)*LEN(Registro!$G379)+1,LEN(Registro!$G379)))&amp;"x")-1))),"Revisar formato")))</f>
        <v/>
      </c>
      <c r="I379" s="11" t="str">
        <f>IF(Registro!$G379="","",IF(ISERROR(FIND("x",LOWER(Registro!$G379))),N(Registro!$H379),IFERROR(SUMPRODUCT(--("0"&amp;LEFT(TRIM(MID(SUBSTITUTE(SUBSTITUTE(SUBSTITUTE(SUBSTITUTE(SUBSTITUTE(LOWER(Registro!$G379),"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",LEN(Registro!$G379))),({1,2,3,4,5,6,7,8,9,10,11,12,13,14,15,16,17,18,19,20,21,22,23,24,25,26,27,28,29,30}-1)*LEN(Registro!$G379)+1,LEN(Registro!$G379))),FIND("x",TRIM(MID(SUBSTITUTE(SUBSTITUTE(SUBSTITUTE(SUBSTITUTE(SUBSTITUTE(LOWER(Registro!$G379),"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",LEN(Registro!$G379))),({1,2,3,4,5,6,7,8,9,10,11,12,13,14,15,16,17,18,19,20,21,22,23,24,25,26,27,28,29,30}-1)*LEN(Registro!$G379)+1,LEN(Registro!$G379)))&amp;"x")-1)),--("0"&amp;MID(TRIM(MID(SUBSTITUTE(SUBSTITUTE(SUBSTITUTE(SUBSTITUTE(SUBSTITUTE(LOWER(Registro!$G379),"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",LEN(Registro!$G379))),({1,2,3,4,5,6,7,8,9,10,11,12,13,14,15,16,17,18,19,20,21,22,23,24,25,26,27,28,29,30}-1)*LEN(Registro!$G379)+1,LEN(Registro!$G379))),FIND("x",TRIM(MID(SUBSTITUTE(SUBSTITUTE(SUBSTITUTE(SUBSTITUTE(SUBSTITUTE(LOWER(Registro!$G379),"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",LEN(Registro!$G379))),({1,2,3,4,5,6,7,8,9,10,11,12,13,14,15,16,17,18,19,20,21,22,23,24,25,26,27,28,29,30}-1)*LEN(Registro!$G379)+1,LEN(Registro!$G379)))&amp;"x")+1,20))),"Revisar formato")))</f>
        <v/>
      </c>
      <c r="J379" s="9" t="str">
        <f>IF(AND(Registro!$E379="",Registro!$G379=""),"",IF(NOT(AND(ISNUMBER(I379),ISNUMBER(Registro!$H379))),"",IF(I379&lt;Registro!$H379,"FALTA BOLETOS",IF(I379=Registro!$H379,"CONFORME","DIFERENCIA"))))</f>
        <v/>
      </c>
      <c r="K379" s="11" t="str">
        <f>IF(Registro!$I379="","",IFERROR(SUMPRODUCT(--("0"&amp;TRIM(RIGHT(SUBSTITUTE(TRIM(MID(SUBSTITUTE(SUBSTITUTE(Registro!$I379,";",CHAR(10)),CHAR(10),REPT(" ",LEN(Registro!$I379))),({1,2,3,4,5,6,7,8,9,10,11,12,13,14,15,16,17,18,19,20,21,22,23,24,25,26,27,28,29,30}-1)*LEN(Registro!$I379)+1,LEN(Registro!$I379)))," ",REPT(" ",50)),50)))),"Revisar formato"))</f>
        <v/>
      </c>
      <c r="L379" s="11" t="str">
        <f>IF(Registro!$J379="","",IFERROR(SUMPRODUCT(--("0"&amp;TRIM(RIGHT(SUBSTITUTE(TRIM(MID(SUBSTITUTE(SUBSTITUTE(Registro!$J379,";",CHAR(10)),CHAR(10),REPT(" ",LEN(Registro!$J379))),({1,2,3,4,5,6,7,8,9,10,11,12,13,14,15,16,17,18,19,20,21,22,23,24,25,26,27,28,29,30}-1)*LEN(Registro!$J379)+1,LEN(Registro!$J379)))," ",REPT(" ",50)),50)))),"Revisar formato"))</f>
        <v/>
      </c>
      <c r="M379" s="11" t="str">
        <f>IF(AND(Registro!$H379="",Registro!$I379=""),"",IF(AND(ISTEXT(K379),K379&lt;&gt;""),"Revisar formato",N(Registro!$H379)-N(K379)))</f>
        <v/>
      </c>
      <c r="N379" s="11" t="str">
        <f t="shared" si="17"/>
        <v/>
      </c>
      <c r="O379" s="15" t="str">
        <f>IF(AND(A379=Consulta!$B$3,C379=Consulta!$H$3),B379*10000+ROW(),"")</f>
        <v/>
      </c>
    </row>
    <row r="380" spans="1:15" x14ac:dyDescent="0.25">
      <c r="A380" s="9" t="str">
        <f>IF(Registro!$A380="","",Registro!$A380)</f>
        <v/>
      </c>
      <c r="B380" s="8" t="str">
        <f>IF(Registro!$B380="","",Registro!$B380)</f>
        <v/>
      </c>
      <c r="C380" s="14" t="str">
        <f t="shared" si="15"/>
        <v/>
      </c>
      <c r="D380" s="10" t="str">
        <f>IF(Registro!$E380="","",IF(ISERROR(FIND("x",LOWER(Registro!$E380))),"-",IFERROR(SUMPRODUCT(--("0"&amp;LEFT(TRIM(MID(SUBSTITUTE(SUBSTITUTE(SUBSTITUTE(SUBSTITUTE(SUBSTITUTE(LOWER(Registro!$E380),"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",LEN(Registro!$E380))),({1,2,3,4,5,6,7,8,9,10,11,12,13,14,15,16,17,18,19,20,21,22,23,24,25,26,27,28,29,30}-1)*LEN(Registro!$E380)+1,LEN(Registro!$E380)))&amp;"x")-1))),"Revisar formato")))</f>
        <v/>
      </c>
      <c r="E380" s="11" t="str">
        <f>IF(Registro!$E380="","",IF(ISERROR(FIND("x",LOWER(Registro!$E380))),"-",IFERROR(SUMPRODUCT(--("0"&amp;LEFT(TRIM(MID(SUBSTITUTE(SUBSTITUTE(SUBSTITUTE(SUBSTITUTE(SUBSTITUTE(LOWER(Registro!$E380),"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",LEN(Registro!$E380))),({1,2,3,4,5,6,7,8,9,10,11,12,13,14,15,16,17,18,19,20,21,22,23,24,25,26,27,28,29,30}-1)*LEN(Registro!$E380)+1,LEN(Registro!$E380)))&amp;"x")-1)),--("0"&amp;MID(TRIM(MID(SUBSTITUTE(SUBSTITUTE(SUBSTITUTE(SUBSTITUTE(SUBSTITUTE(LOWER(Registro!$E380),"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",LEN(Registro!$E380))),({1,2,3,4,5,6,7,8,9,10,11,12,13,14,15,16,17,18,19,20,21,22,23,24,25,26,27,28,29,30}-1)*LEN(Registro!$E380)+1,LEN(Registro!$E380)))&amp;"x")+1,20))),"Revisar formato")))</f>
        <v/>
      </c>
      <c r="F380" s="11" t="str">
        <f>IF(Registro!$F380="","",N(Registro!$F380))</f>
        <v/>
      </c>
      <c r="G380" s="11" t="str">
        <f t="shared" si="16"/>
        <v/>
      </c>
      <c r="H380" s="10" t="str">
        <f>IF(Registro!$G380="","",IF(ISERROR(FIND("x",LOWER(Registro!$G380))),"-",IFERROR(SUMPRODUCT(--("0"&amp;LEFT(TRIM(MID(SUBSTITUTE(SUBSTITUTE(SUBSTITUTE(SUBSTITUTE(SUBSTITUTE(LOWER(Registro!$G380),"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",LEN(Registro!$G380))),({1,2,3,4,5,6,7,8,9,10,11,12,13,14,15,16,17,18,19,20,21,22,23,24,25,26,27,28,29,30}-1)*LEN(Registro!$G380)+1,LEN(Registro!$G380))),FIND("x",TRIM(MID(SUBSTITUTE(SUBSTITUTE(SUBSTITUTE(SUBSTITUTE(SUBSTITUTE(LOWER(Registro!$G380),"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",LEN(Registro!$G380))),({1,2,3,4,5,6,7,8,9,10,11,12,13,14,15,16,17,18,19,20,21,22,23,24,25,26,27,28,29,30}-1)*LEN(Registro!$G380)+1,LEN(Registro!$G380)))&amp;"x")-1))),"Revisar formato")))</f>
        <v/>
      </c>
      <c r="I380" s="11" t="str">
        <f>IF(Registro!$G380="","",IF(ISERROR(FIND("x",LOWER(Registro!$G380))),N(Registro!$H380),IFERROR(SUMPRODUCT(--("0"&amp;LEFT(TRIM(MID(SUBSTITUTE(SUBSTITUTE(SUBSTITUTE(SUBSTITUTE(SUBSTITUTE(LOWER(Registro!$G380),"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",LEN(Registro!$G380))),({1,2,3,4,5,6,7,8,9,10,11,12,13,14,15,16,17,18,19,20,21,22,23,24,25,26,27,28,29,30}-1)*LEN(Registro!$G380)+1,LEN(Registro!$G380))),FIND("x",TRIM(MID(SUBSTITUTE(SUBSTITUTE(SUBSTITUTE(SUBSTITUTE(SUBSTITUTE(LOWER(Registro!$G380),"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",LEN(Registro!$G380))),({1,2,3,4,5,6,7,8,9,10,11,12,13,14,15,16,17,18,19,20,21,22,23,24,25,26,27,28,29,30}-1)*LEN(Registro!$G380)+1,LEN(Registro!$G380)))&amp;"x")-1)),--("0"&amp;MID(TRIM(MID(SUBSTITUTE(SUBSTITUTE(SUBSTITUTE(SUBSTITUTE(SUBSTITUTE(LOWER(Registro!$G380),"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",LEN(Registro!$G380))),({1,2,3,4,5,6,7,8,9,10,11,12,13,14,15,16,17,18,19,20,21,22,23,24,25,26,27,28,29,30}-1)*LEN(Registro!$G380)+1,LEN(Registro!$G380))),FIND("x",TRIM(MID(SUBSTITUTE(SUBSTITUTE(SUBSTITUTE(SUBSTITUTE(SUBSTITUTE(LOWER(Registro!$G380),"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",LEN(Registro!$G380))),({1,2,3,4,5,6,7,8,9,10,11,12,13,14,15,16,17,18,19,20,21,22,23,24,25,26,27,28,29,30}-1)*LEN(Registro!$G380)+1,LEN(Registro!$G380)))&amp;"x")+1,20))),"Revisar formato")))</f>
        <v/>
      </c>
      <c r="J380" s="9" t="str">
        <f>IF(AND(Registro!$E380="",Registro!$G380=""),"",IF(NOT(AND(ISNUMBER(I380),ISNUMBER(Registro!$H380))),"",IF(I380&lt;Registro!$H380,"FALTA BOLETOS",IF(I380=Registro!$H380,"CONFORME","DIFERENCIA"))))</f>
        <v/>
      </c>
      <c r="K380" s="11" t="str">
        <f>IF(Registro!$I380="","",IFERROR(SUMPRODUCT(--("0"&amp;TRIM(RIGHT(SUBSTITUTE(TRIM(MID(SUBSTITUTE(SUBSTITUTE(Registro!$I380,";",CHAR(10)),CHAR(10),REPT(" ",LEN(Registro!$I380))),({1,2,3,4,5,6,7,8,9,10,11,12,13,14,15,16,17,18,19,20,21,22,23,24,25,26,27,28,29,30}-1)*LEN(Registro!$I380)+1,LEN(Registro!$I380)))," ",REPT(" ",50)),50)))),"Revisar formato"))</f>
        <v/>
      </c>
      <c r="L380" s="11" t="str">
        <f>IF(Registro!$J380="","",IFERROR(SUMPRODUCT(--("0"&amp;TRIM(RIGHT(SUBSTITUTE(TRIM(MID(SUBSTITUTE(SUBSTITUTE(Registro!$J380,";",CHAR(10)),CHAR(10),REPT(" ",LEN(Registro!$J380))),({1,2,3,4,5,6,7,8,9,10,11,12,13,14,15,16,17,18,19,20,21,22,23,24,25,26,27,28,29,30}-1)*LEN(Registro!$J380)+1,LEN(Registro!$J380)))," ",REPT(" ",50)),50)))),"Revisar formato"))</f>
        <v/>
      </c>
      <c r="M380" s="11" t="str">
        <f>IF(AND(Registro!$H380="",Registro!$I380=""),"",IF(AND(ISTEXT(K380),K380&lt;&gt;""),"Revisar formato",N(Registro!$H380)-N(K380)))</f>
        <v/>
      </c>
      <c r="N380" s="11" t="str">
        <f t="shared" si="17"/>
        <v/>
      </c>
      <c r="O380" s="15" t="str">
        <f>IF(AND(A380=Consulta!$B$3,C380=Consulta!$H$3),B380*10000+ROW(),"")</f>
        <v/>
      </c>
    </row>
    <row r="381" spans="1:15" x14ac:dyDescent="0.25">
      <c r="A381" s="9" t="str">
        <f>IF(Registro!$A381="","",Registro!$A381)</f>
        <v/>
      </c>
      <c r="B381" s="8" t="str">
        <f>IF(Registro!$B381="","",Registro!$B381)</f>
        <v/>
      </c>
      <c r="C381" s="14" t="str">
        <f t="shared" si="15"/>
        <v/>
      </c>
      <c r="D381" s="10" t="str">
        <f>IF(Registro!$E381="","",IF(ISERROR(FIND("x",LOWER(Registro!$E381))),"-",IFERROR(SUMPRODUCT(--("0"&amp;LEFT(TRIM(MID(SUBSTITUTE(SUBSTITUTE(SUBSTITUTE(SUBSTITUTE(SUBSTITUTE(LOWER(Registro!$E381),"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",LEN(Registro!$E381))),({1,2,3,4,5,6,7,8,9,10,11,12,13,14,15,16,17,18,19,20,21,22,23,24,25,26,27,28,29,30}-1)*LEN(Registro!$E381)+1,LEN(Registro!$E381)))&amp;"x")-1))),"Revisar formato")))</f>
        <v/>
      </c>
      <c r="E381" s="11" t="str">
        <f>IF(Registro!$E381="","",IF(ISERROR(FIND("x",LOWER(Registro!$E381))),"-",IFERROR(SUMPRODUCT(--("0"&amp;LEFT(TRIM(MID(SUBSTITUTE(SUBSTITUTE(SUBSTITUTE(SUBSTITUTE(SUBSTITUTE(LOWER(Registro!$E381),"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",LEN(Registro!$E381))),({1,2,3,4,5,6,7,8,9,10,11,12,13,14,15,16,17,18,19,20,21,22,23,24,25,26,27,28,29,30}-1)*LEN(Registro!$E381)+1,LEN(Registro!$E381)))&amp;"x")-1)),--("0"&amp;MID(TRIM(MID(SUBSTITUTE(SUBSTITUTE(SUBSTITUTE(SUBSTITUTE(SUBSTITUTE(LOWER(Registro!$E381),"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",LEN(Registro!$E381))),({1,2,3,4,5,6,7,8,9,10,11,12,13,14,15,16,17,18,19,20,21,22,23,24,25,26,27,28,29,30}-1)*LEN(Registro!$E381)+1,LEN(Registro!$E381)))&amp;"x")+1,20))),"Revisar formato")))</f>
        <v/>
      </c>
      <c r="F381" s="11" t="str">
        <f>IF(Registro!$F381="","",N(Registro!$F381))</f>
        <v/>
      </c>
      <c r="G381" s="11" t="str">
        <f t="shared" si="16"/>
        <v/>
      </c>
      <c r="H381" s="10" t="str">
        <f>IF(Registro!$G381="","",IF(ISERROR(FIND("x",LOWER(Registro!$G381))),"-",IFERROR(SUMPRODUCT(--("0"&amp;LEFT(TRIM(MID(SUBSTITUTE(SUBSTITUTE(SUBSTITUTE(SUBSTITUTE(SUBSTITUTE(LOWER(Registro!$G381),"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",LEN(Registro!$G381))),({1,2,3,4,5,6,7,8,9,10,11,12,13,14,15,16,17,18,19,20,21,22,23,24,25,26,27,28,29,30}-1)*LEN(Registro!$G381)+1,LEN(Registro!$G381))),FIND("x",TRIM(MID(SUBSTITUTE(SUBSTITUTE(SUBSTITUTE(SUBSTITUTE(SUBSTITUTE(LOWER(Registro!$G381),"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",LEN(Registro!$G381))),({1,2,3,4,5,6,7,8,9,10,11,12,13,14,15,16,17,18,19,20,21,22,23,24,25,26,27,28,29,30}-1)*LEN(Registro!$G381)+1,LEN(Registro!$G381)))&amp;"x")-1))),"Revisar formato")))</f>
        <v/>
      </c>
      <c r="I381" s="11" t="str">
        <f>IF(Registro!$G381="","",IF(ISERROR(FIND("x",LOWER(Registro!$G381))),N(Registro!$H381),IFERROR(SUMPRODUCT(--("0"&amp;LEFT(TRIM(MID(SUBSTITUTE(SUBSTITUTE(SUBSTITUTE(SUBSTITUTE(SUBSTITUTE(LOWER(Registro!$G381),"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",LEN(Registro!$G381))),({1,2,3,4,5,6,7,8,9,10,11,12,13,14,15,16,17,18,19,20,21,22,23,24,25,26,27,28,29,30}-1)*LEN(Registro!$G381)+1,LEN(Registro!$G381))),FIND("x",TRIM(MID(SUBSTITUTE(SUBSTITUTE(SUBSTITUTE(SUBSTITUTE(SUBSTITUTE(LOWER(Registro!$G381),"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",LEN(Registro!$G381))),({1,2,3,4,5,6,7,8,9,10,11,12,13,14,15,16,17,18,19,20,21,22,23,24,25,26,27,28,29,30}-1)*LEN(Registro!$G381)+1,LEN(Registro!$G381)))&amp;"x")-1)),--("0"&amp;MID(TRIM(MID(SUBSTITUTE(SUBSTITUTE(SUBSTITUTE(SUBSTITUTE(SUBSTITUTE(LOWER(Registro!$G381),"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",LEN(Registro!$G381))),({1,2,3,4,5,6,7,8,9,10,11,12,13,14,15,16,17,18,19,20,21,22,23,24,25,26,27,28,29,30}-1)*LEN(Registro!$G381)+1,LEN(Registro!$G381))),FIND("x",TRIM(MID(SUBSTITUTE(SUBSTITUTE(SUBSTITUTE(SUBSTITUTE(SUBSTITUTE(LOWER(Registro!$G381),"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",LEN(Registro!$G381))),({1,2,3,4,5,6,7,8,9,10,11,12,13,14,15,16,17,18,19,20,21,22,23,24,25,26,27,28,29,30}-1)*LEN(Registro!$G381)+1,LEN(Registro!$G381)))&amp;"x")+1,20))),"Revisar formato")))</f>
        <v/>
      </c>
      <c r="J381" s="9" t="str">
        <f>IF(AND(Registro!$E381="",Registro!$G381=""),"",IF(NOT(AND(ISNUMBER(I381),ISNUMBER(Registro!$H381))),"",IF(I381&lt;Registro!$H381,"FALTA BOLETOS",IF(I381=Registro!$H381,"CONFORME","DIFERENCIA"))))</f>
        <v/>
      </c>
      <c r="K381" s="11" t="str">
        <f>IF(Registro!$I381="","",IFERROR(SUMPRODUCT(--("0"&amp;TRIM(RIGHT(SUBSTITUTE(TRIM(MID(SUBSTITUTE(SUBSTITUTE(Registro!$I381,";",CHAR(10)),CHAR(10),REPT(" ",LEN(Registro!$I381))),({1,2,3,4,5,6,7,8,9,10,11,12,13,14,15,16,17,18,19,20,21,22,23,24,25,26,27,28,29,30}-1)*LEN(Registro!$I381)+1,LEN(Registro!$I381)))," ",REPT(" ",50)),50)))),"Revisar formato"))</f>
        <v/>
      </c>
      <c r="L381" s="11" t="str">
        <f>IF(Registro!$J381="","",IFERROR(SUMPRODUCT(--("0"&amp;TRIM(RIGHT(SUBSTITUTE(TRIM(MID(SUBSTITUTE(SUBSTITUTE(Registro!$J381,";",CHAR(10)),CHAR(10),REPT(" ",LEN(Registro!$J381))),({1,2,3,4,5,6,7,8,9,10,11,12,13,14,15,16,17,18,19,20,21,22,23,24,25,26,27,28,29,30}-1)*LEN(Registro!$J381)+1,LEN(Registro!$J381)))," ",REPT(" ",50)),50)))),"Revisar formato"))</f>
        <v/>
      </c>
      <c r="M381" s="11" t="str">
        <f>IF(AND(Registro!$H381="",Registro!$I381=""),"",IF(AND(ISTEXT(K381),K381&lt;&gt;""),"Revisar formato",N(Registro!$H381)-N(K381)))</f>
        <v/>
      </c>
      <c r="N381" s="11" t="str">
        <f t="shared" si="17"/>
        <v/>
      </c>
      <c r="O381" s="15" t="str">
        <f>IF(AND(A381=Consulta!$B$3,C381=Consulta!$H$3),B381*10000+ROW(),"")</f>
        <v/>
      </c>
    </row>
    <row r="382" spans="1:15" x14ac:dyDescent="0.25">
      <c r="A382" s="9" t="str">
        <f>IF(Registro!$A382="","",Registro!$A382)</f>
        <v/>
      </c>
      <c r="B382" s="8" t="str">
        <f>IF(Registro!$B382="","",Registro!$B382)</f>
        <v/>
      </c>
      <c r="C382" s="14" t="str">
        <f t="shared" si="15"/>
        <v/>
      </c>
      <c r="D382" s="10" t="str">
        <f>IF(Registro!$E382="","",IF(ISERROR(FIND("x",LOWER(Registro!$E382))),"-",IFERROR(SUMPRODUCT(--("0"&amp;LEFT(TRIM(MID(SUBSTITUTE(SUBSTITUTE(SUBSTITUTE(SUBSTITUTE(SUBSTITUTE(LOWER(Registro!$E382),"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",LEN(Registro!$E382))),({1,2,3,4,5,6,7,8,9,10,11,12,13,14,15,16,17,18,19,20,21,22,23,24,25,26,27,28,29,30}-1)*LEN(Registro!$E382)+1,LEN(Registro!$E382)))&amp;"x")-1))),"Revisar formato")))</f>
        <v/>
      </c>
      <c r="E382" s="11" t="str">
        <f>IF(Registro!$E382="","",IF(ISERROR(FIND("x",LOWER(Registro!$E382))),"-",IFERROR(SUMPRODUCT(--("0"&amp;LEFT(TRIM(MID(SUBSTITUTE(SUBSTITUTE(SUBSTITUTE(SUBSTITUTE(SUBSTITUTE(LOWER(Registro!$E382),"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",LEN(Registro!$E382))),({1,2,3,4,5,6,7,8,9,10,11,12,13,14,15,16,17,18,19,20,21,22,23,24,25,26,27,28,29,30}-1)*LEN(Registro!$E382)+1,LEN(Registro!$E382)))&amp;"x")-1)),--("0"&amp;MID(TRIM(MID(SUBSTITUTE(SUBSTITUTE(SUBSTITUTE(SUBSTITUTE(SUBSTITUTE(LOWER(Registro!$E382),"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",LEN(Registro!$E382))),({1,2,3,4,5,6,7,8,9,10,11,12,13,14,15,16,17,18,19,20,21,22,23,24,25,26,27,28,29,30}-1)*LEN(Registro!$E382)+1,LEN(Registro!$E382)))&amp;"x")+1,20))),"Revisar formato")))</f>
        <v/>
      </c>
      <c r="F382" s="11" t="str">
        <f>IF(Registro!$F382="","",N(Registro!$F382))</f>
        <v/>
      </c>
      <c r="G382" s="11" t="str">
        <f t="shared" si="16"/>
        <v/>
      </c>
      <c r="H382" s="10" t="str">
        <f>IF(Registro!$G382="","",IF(ISERROR(FIND("x",LOWER(Registro!$G382))),"-",IFERROR(SUMPRODUCT(--("0"&amp;LEFT(TRIM(MID(SUBSTITUTE(SUBSTITUTE(SUBSTITUTE(SUBSTITUTE(SUBSTITUTE(LOWER(Registro!$G382),"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",LEN(Registro!$G382))),({1,2,3,4,5,6,7,8,9,10,11,12,13,14,15,16,17,18,19,20,21,22,23,24,25,26,27,28,29,30}-1)*LEN(Registro!$G382)+1,LEN(Registro!$G382))),FIND("x",TRIM(MID(SUBSTITUTE(SUBSTITUTE(SUBSTITUTE(SUBSTITUTE(SUBSTITUTE(LOWER(Registro!$G382),"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",LEN(Registro!$G382))),({1,2,3,4,5,6,7,8,9,10,11,12,13,14,15,16,17,18,19,20,21,22,23,24,25,26,27,28,29,30}-1)*LEN(Registro!$G382)+1,LEN(Registro!$G382)))&amp;"x")-1))),"Revisar formato")))</f>
        <v/>
      </c>
      <c r="I382" s="11" t="str">
        <f>IF(Registro!$G382="","",IF(ISERROR(FIND("x",LOWER(Registro!$G382))),N(Registro!$H382),IFERROR(SUMPRODUCT(--("0"&amp;LEFT(TRIM(MID(SUBSTITUTE(SUBSTITUTE(SUBSTITUTE(SUBSTITUTE(SUBSTITUTE(LOWER(Registro!$G382),"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",LEN(Registro!$G382))),({1,2,3,4,5,6,7,8,9,10,11,12,13,14,15,16,17,18,19,20,21,22,23,24,25,26,27,28,29,30}-1)*LEN(Registro!$G382)+1,LEN(Registro!$G382))),FIND("x",TRIM(MID(SUBSTITUTE(SUBSTITUTE(SUBSTITUTE(SUBSTITUTE(SUBSTITUTE(LOWER(Registro!$G382),"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",LEN(Registro!$G382))),({1,2,3,4,5,6,7,8,9,10,11,12,13,14,15,16,17,18,19,20,21,22,23,24,25,26,27,28,29,30}-1)*LEN(Registro!$G382)+1,LEN(Registro!$G382)))&amp;"x")-1)),--("0"&amp;MID(TRIM(MID(SUBSTITUTE(SUBSTITUTE(SUBSTITUTE(SUBSTITUTE(SUBSTITUTE(LOWER(Registro!$G382),"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",LEN(Registro!$G382))),({1,2,3,4,5,6,7,8,9,10,11,12,13,14,15,16,17,18,19,20,21,22,23,24,25,26,27,28,29,30}-1)*LEN(Registro!$G382)+1,LEN(Registro!$G382))),FIND("x",TRIM(MID(SUBSTITUTE(SUBSTITUTE(SUBSTITUTE(SUBSTITUTE(SUBSTITUTE(LOWER(Registro!$G382),"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",LEN(Registro!$G382))),({1,2,3,4,5,6,7,8,9,10,11,12,13,14,15,16,17,18,19,20,21,22,23,24,25,26,27,28,29,30}-1)*LEN(Registro!$G382)+1,LEN(Registro!$G382)))&amp;"x")+1,20))),"Revisar formato")))</f>
        <v/>
      </c>
      <c r="J382" s="9" t="str">
        <f>IF(AND(Registro!$E382="",Registro!$G382=""),"",IF(NOT(AND(ISNUMBER(I382),ISNUMBER(Registro!$H382))),"",IF(I382&lt;Registro!$H382,"FALTA BOLETOS",IF(I382=Registro!$H382,"CONFORME","DIFERENCIA"))))</f>
        <v/>
      </c>
      <c r="K382" s="11" t="str">
        <f>IF(Registro!$I382="","",IFERROR(SUMPRODUCT(--("0"&amp;TRIM(RIGHT(SUBSTITUTE(TRIM(MID(SUBSTITUTE(SUBSTITUTE(Registro!$I382,";",CHAR(10)),CHAR(10),REPT(" ",LEN(Registro!$I382))),({1,2,3,4,5,6,7,8,9,10,11,12,13,14,15,16,17,18,19,20,21,22,23,24,25,26,27,28,29,30}-1)*LEN(Registro!$I382)+1,LEN(Registro!$I382)))," ",REPT(" ",50)),50)))),"Revisar formato"))</f>
        <v/>
      </c>
      <c r="L382" s="11" t="str">
        <f>IF(Registro!$J382="","",IFERROR(SUMPRODUCT(--("0"&amp;TRIM(RIGHT(SUBSTITUTE(TRIM(MID(SUBSTITUTE(SUBSTITUTE(Registro!$J382,";",CHAR(10)),CHAR(10),REPT(" ",LEN(Registro!$J382))),({1,2,3,4,5,6,7,8,9,10,11,12,13,14,15,16,17,18,19,20,21,22,23,24,25,26,27,28,29,30}-1)*LEN(Registro!$J382)+1,LEN(Registro!$J382)))," ",REPT(" ",50)),50)))),"Revisar formato"))</f>
        <v/>
      </c>
      <c r="M382" s="11" t="str">
        <f>IF(AND(Registro!$H382="",Registro!$I382=""),"",IF(AND(ISTEXT(K382),K382&lt;&gt;""),"Revisar formato",N(Registro!$H382)-N(K382)))</f>
        <v/>
      </c>
      <c r="N382" s="11" t="str">
        <f t="shared" si="17"/>
        <v/>
      </c>
      <c r="O382" s="15" t="str">
        <f>IF(AND(A382=Consulta!$B$3,C382=Consulta!$H$3),B382*10000+ROW(),"")</f>
        <v/>
      </c>
    </row>
    <row r="383" spans="1:15" x14ac:dyDescent="0.25">
      <c r="A383" s="9" t="str">
        <f>IF(Registro!$A383="","",Registro!$A383)</f>
        <v/>
      </c>
      <c r="B383" s="8" t="str">
        <f>IF(Registro!$B383="","",Registro!$B383)</f>
        <v/>
      </c>
      <c r="C383" s="14" t="str">
        <f t="shared" si="15"/>
        <v/>
      </c>
      <c r="D383" s="10" t="str">
        <f>IF(Registro!$E383="","",IF(ISERROR(FIND("x",LOWER(Registro!$E383))),"-",IFERROR(SUMPRODUCT(--("0"&amp;LEFT(TRIM(MID(SUBSTITUTE(SUBSTITUTE(SUBSTITUTE(SUBSTITUTE(SUBSTITUTE(LOWER(Registro!$E383),"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",LEN(Registro!$E383))),({1,2,3,4,5,6,7,8,9,10,11,12,13,14,15,16,17,18,19,20,21,22,23,24,25,26,27,28,29,30}-1)*LEN(Registro!$E383)+1,LEN(Registro!$E383)))&amp;"x")-1))),"Revisar formato")))</f>
        <v/>
      </c>
      <c r="E383" s="11" t="str">
        <f>IF(Registro!$E383="","",IF(ISERROR(FIND("x",LOWER(Registro!$E383))),"-",IFERROR(SUMPRODUCT(--("0"&amp;LEFT(TRIM(MID(SUBSTITUTE(SUBSTITUTE(SUBSTITUTE(SUBSTITUTE(SUBSTITUTE(LOWER(Registro!$E383),"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",LEN(Registro!$E383))),({1,2,3,4,5,6,7,8,9,10,11,12,13,14,15,16,17,18,19,20,21,22,23,24,25,26,27,28,29,30}-1)*LEN(Registro!$E383)+1,LEN(Registro!$E383)))&amp;"x")-1)),--("0"&amp;MID(TRIM(MID(SUBSTITUTE(SUBSTITUTE(SUBSTITUTE(SUBSTITUTE(SUBSTITUTE(LOWER(Registro!$E383),"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",LEN(Registro!$E383))),({1,2,3,4,5,6,7,8,9,10,11,12,13,14,15,16,17,18,19,20,21,22,23,24,25,26,27,28,29,30}-1)*LEN(Registro!$E383)+1,LEN(Registro!$E383)))&amp;"x")+1,20))),"Revisar formato")))</f>
        <v/>
      </c>
      <c r="F383" s="11" t="str">
        <f>IF(Registro!$F383="","",N(Registro!$F383))</f>
        <v/>
      </c>
      <c r="G383" s="11" t="str">
        <f t="shared" si="16"/>
        <v/>
      </c>
      <c r="H383" s="10" t="str">
        <f>IF(Registro!$G383="","",IF(ISERROR(FIND("x",LOWER(Registro!$G383))),"-",IFERROR(SUMPRODUCT(--("0"&amp;LEFT(TRIM(MID(SUBSTITUTE(SUBSTITUTE(SUBSTITUTE(SUBSTITUTE(SUBSTITUTE(LOWER(Registro!$G383),"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",LEN(Registro!$G383))),({1,2,3,4,5,6,7,8,9,10,11,12,13,14,15,16,17,18,19,20,21,22,23,24,25,26,27,28,29,30}-1)*LEN(Registro!$G383)+1,LEN(Registro!$G383))),FIND("x",TRIM(MID(SUBSTITUTE(SUBSTITUTE(SUBSTITUTE(SUBSTITUTE(SUBSTITUTE(LOWER(Registro!$G383),"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",LEN(Registro!$G383))),({1,2,3,4,5,6,7,8,9,10,11,12,13,14,15,16,17,18,19,20,21,22,23,24,25,26,27,28,29,30}-1)*LEN(Registro!$G383)+1,LEN(Registro!$G383)))&amp;"x")-1))),"Revisar formato")))</f>
        <v/>
      </c>
      <c r="I383" s="11" t="str">
        <f>IF(Registro!$G383="","",IF(ISERROR(FIND("x",LOWER(Registro!$G383))),N(Registro!$H383),IFERROR(SUMPRODUCT(--("0"&amp;LEFT(TRIM(MID(SUBSTITUTE(SUBSTITUTE(SUBSTITUTE(SUBSTITUTE(SUBSTITUTE(LOWER(Registro!$G383),"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",LEN(Registro!$G383))),({1,2,3,4,5,6,7,8,9,10,11,12,13,14,15,16,17,18,19,20,21,22,23,24,25,26,27,28,29,30}-1)*LEN(Registro!$G383)+1,LEN(Registro!$G383))),FIND("x",TRIM(MID(SUBSTITUTE(SUBSTITUTE(SUBSTITUTE(SUBSTITUTE(SUBSTITUTE(LOWER(Registro!$G383),"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",LEN(Registro!$G383))),({1,2,3,4,5,6,7,8,9,10,11,12,13,14,15,16,17,18,19,20,21,22,23,24,25,26,27,28,29,30}-1)*LEN(Registro!$G383)+1,LEN(Registro!$G383)))&amp;"x")-1)),--("0"&amp;MID(TRIM(MID(SUBSTITUTE(SUBSTITUTE(SUBSTITUTE(SUBSTITUTE(SUBSTITUTE(LOWER(Registro!$G383),"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",LEN(Registro!$G383))),({1,2,3,4,5,6,7,8,9,10,11,12,13,14,15,16,17,18,19,20,21,22,23,24,25,26,27,28,29,30}-1)*LEN(Registro!$G383)+1,LEN(Registro!$G383))),FIND("x",TRIM(MID(SUBSTITUTE(SUBSTITUTE(SUBSTITUTE(SUBSTITUTE(SUBSTITUTE(LOWER(Registro!$G383),"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",LEN(Registro!$G383))),({1,2,3,4,5,6,7,8,9,10,11,12,13,14,15,16,17,18,19,20,21,22,23,24,25,26,27,28,29,30}-1)*LEN(Registro!$G383)+1,LEN(Registro!$G383)))&amp;"x")+1,20))),"Revisar formato")))</f>
        <v/>
      </c>
      <c r="J383" s="9" t="str">
        <f>IF(AND(Registro!$E383="",Registro!$G383=""),"",IF(NOT(AND(ISNUMBER(I383),ISNUMBER(Registro!$H383))),"",IF(I383&lt;Registro!$H383,"FALTA BOLETOS",IF(I383=Registro!$H383,"CONFORME","DIFERENCIA"))))</f>
        <v/>
      </c>
      <c r="K383" s="11" t="str">
        <f>IF(Registro!$I383="","",IFERROR(SUMPRODUCT(--("0"&amp;TRIM(RIGHT(SUBSTITUTE(TRIM(MID(SUBSTITUTE(SUBSTITUTE(Registro!$I383,";",CHAR(10)),CHAR(10),REPT(" ",LEN(Registro!$I383))),({1,2,3,4,5,6,7,8,9,10,11,12,13,14,15,16,17,18,19,20,21,22,23,24,25,26,27,28,29,30}-1)*LEN(Registro!$I383)+1,LEN(Registro!$I383)))," ",REPT(" ",50)),50)))),"Revisar formato"))</f>
        <v/>
      </c>
      <c r="L383" s="11" t="str">
        <f>IF(Registro!$J383="","",IFERROR(SUMPRODUCT(--("0"&amp;TRIM(RIGHT(SUBSTITUTE(TRIM(MID(SUBSTITUTE(SUBSTITUTE(Registro!$J383,";",CHAR(10)),CHAR(10),REPT(" ",LEN(Registro!$J383))),({1,2,3,4,5,6,7,8,9,10,11,12,13,14,15,16,17,18,19,20,21,22,23,24,25,26,27,28,29,30}-1)*LEN(Registro!$J383)+1,LEN(Registro!$J383)))," ",REPT(" ",50)),50)))),"Revisar formato"))</f>
        <v/>
      </c>
      <c r="M383" s="11" t="str">
        <f>IF(AND(Registro!$H383="",Registro!$I383=""),"",IF(AND(ISTEXT(K383),K383&lt;&gt;""),"Revisar formato",N(Registro!$H383)-N(K383)))</f>
        <v/>
      </c>
      <c r="N383" s="11" t="str">
        <f t="shared" si="17"/>
        <v/>
      </c>
      <c r="O383" s="15" t="str">
        <f>IF(AND(A383=Consulta!$B$3,C383=Consulta!$H$3),B383*10000+ROW(),"")</f>
        <v/>
      </c>
    </row>
    <row r="384" spans="1:15" x14ac:dyDescent="0.25">
      <c r="A384" s="9" t="str">
        <f>IF(Registro!$A384="","",Registro!$A384)</f>
        <v/>
      </c>
      <c r="B384" s="8" t="str">
        <f>IF(Registro!$B384="","",Registro!$B384)</f>
        <v/>
      </c>
      <c r="C384" s="14" t="str">
        <f t="shared" si="15"/>
        <v/>
      </c>
      <c r="D384" s="10" t="str">
        <f>IF(Registro!$E384="","",IF(ISERROR(FIND("x",LOWER(Registro!$E384))),"-",IFERROR(SUMPRODUCT(--("0"&amp;LEFT(TRIM(MID(SUBSTITUTE(SUBSTITUTE(SUBSTITUTE(SUBSTITUTE(SUBSTITUTE(LOWER(Registro!$E384),"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",LEN(Registro!$E384))),({1,2,3,4,5,6,7,8,9,10,11,12,13,14,15,16,17,18,19,20,21,22,23,24,25,26,27,28,29,30}-1)*LEN(Registro!$E384)+1,LEN(Registro!$E384)))&amp;"x")-1))),"Revisar formato")))</f>
        <v/>
      </c>
      <c r="E384" s="11" t="str">
        <f>IF(Registro!$E384="","",IF(ISERROR(FIND("x",LOWER(Registro!$E384))),"-",IFERROR(SUMPRODUCT(--("0"&amp;LEFT(TRIM(MID(SUBSTITUTE(SUBSTITUTE(SUBSTITUTE(SUBSTITUTE(SUBSTITUTE(LOWER(Registro!$E384),"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",LEN(Registro!$E384))),({1,2,3,4,5,6,7,8,9,10,11,12,13,14,15,16,17,18,19,20,21,22,23,24,25,26,27,28,29,30}-1)*LEN(Registro!$E384)+1,LEN(Registro!$E384)))&amp;"x")-1)),--("0"&amp;MID(TRIM(MID(SUBSTITUTE(SUBSTITUTE(SUBSTITUTE(SUBSTITUTE(SUBSTITUTE(LOWER(Registro!$E384),"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",LEN(Registro!$E384))),({1,2,3,4,5,6,7,8,9,10,11,12,13,14,15,16,17,18,19,20,21,22,23,24,25,26,27,28,29,30}-1)*LEN(Registro!$E384)+1,LEN(Registro!$E384)))&amp;"x")+1,20))),"Revisar formato")))</f>
        <v/>
      </c>
      <c r="F384" s="11" t="str">
        <f>IF(Registro!$F384="","",N(Registro!$F384))</f>
        <v/>
      </c>
      <c r="G384" s="11" t="str">
        <f t="shared" si="16"/>
        <v/>
      </c>
      <c r="H384" s="10" t="str">
        <f>IF(Registro!$G384="","",IF(ISERROR(FIND("x",LOWER(Registro!$G384))),"-",IFERROR(SUMPRODUCT(--("0"&amp;LEFT(TRIM(MID(SUBSTITUTE(SUBSTITUTE(SUBSTITUTE(SUBSTITUTE(SUBSTITUTE(LOWER(Registro!$G384),"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",LEN(Registro!$G384))),({1,2,3,4,5,6,7,8,9,10,11,12,13,14,15,16,17,18,19,20,21,22,23,24,25,26,27,28,29,30}-1)*LEN(Registro!$G384)+1,LEN(Registro!$G384))),FIND("x",TRIM(MID(SUBSTITUTE(SUBSTITUTE(SUBSTITUTE(SUBSTITUTE(SUBSTITUTE(LOWER(Registro!$G384),"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",LEN(Registro!$G384))),({1,2,3,4,5,6,7,8,9,10,11,12,13,14,15,16,17,18,19,20,21,22,23,24,25,26,27,28,29,30}-1)*LEN(Registro!$G384)+1,LEN(Registro!$G384)))&amp;"x")-1))),"Revisar formato")))</f>
        <v/>
      </c>
      <c r="I384" s="11" t="str">
        <f>IF(Registro!$G384="","",IF(ISERROR(FIND("x",LOWER(Registro!$G384))),N(Registro!$H384),IFERROR(SUMPRODUCT(--("0"&amp;LEFT(TRIM(MID(SUBSTITUTE(SUBSTITUTE(SUBSTITUTE(SUBSTITUTE(SUBSTITUTE(LOWER(Registro!$G384),"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",LEN(Registro!$G384))),({1,2,3,4,5,6,7,8,9,10,11,12,13,14,15,16,17,18,19,20,21,22,23,24,25,26,27,28,29,30}-1)*LEN(Registro!$G384)+1,LEN(Registro!$G384))),FIND("x",TRIM(MID(SUBSTITUTE(SUBSTITUTE(SUBSTITUTE(SUBSTITUTE(SUBSTITUTE(LOWER(Registro!$G384),"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",LEN(Registro!$G384))),({1,2,3,4,5,6,7,8,9,10,11,12,13,14,15,16,17,18,19,20,21,22,23,24,25,26,27,28,29,30}-1)*LEN(Registro!$G384)+1,LEN(Registro!$G384)))&amp;"x")-1)),--("0"&amp;MID(TRIM(MID(SUBSTITUTE(SUBSTITUTE(SUBSTITUTE(SUBSTITUTE(SUBSTITUTE(LOWER(Registro!$G384),"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",LEN(Registro!$G384))),({1,2,3,4,5,6,7,8,9,10,11,12,13,14,15,16,17,18,19,20,21,22,23,24,25,26,27,28,29,30}-1)*LEN(Registro!$G384)+1,LEN(Registro!$G384))),FIND("x",TRIM(MID(SUBSTITUTE(SUBSTITUTE(SUBSTITUTE(SUBSTITUTE(SUBSTITUTE(LOWER(Registro!$G384),"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",LEN(Registro!$G384))),({1,2,3,4,5,6,7,8,9,10,11,12,13,14,15,16,17,18,19,20,21,22,23,24,25,26,27,28,29,30}-1)*LEN(Registro!$G384)+1,LEN(Registro!$G384)))&amp;"x")+1,20))),"Revisar formato")))</f>
        <v/>
      </c>
      <c r="J384" s="9" t="str">
        <f>IF(AND(Registro!$E384="",Registro!$G384=""),"",IF(NOT(AND(ISNUMBER(I384),ISNUMBER(Registro!$H384))),"",IF(I384&lt;Registro!$H384,"FALTA BOLETOS",IF(I384=Registro!$H384,"CONFORME","DIFERENCIA"))))</f>
        <v/>
      </c>
      <c r="K384" s="11" t="str">
        <f>IF(Registro!$I384="","",IFERROR(SUMPRODUCT(--("0"&amp;TRIM(RIGHT(SUBSTITUTE(TRIM(MID(SUBSTITUTE(SUBSTITUTE(Registro!$I384,";",CHAR(10)),CHAR(10),REPT(" ",LEN(Registro!$I384))),({1,2,3,4,5,6,7,8,9,10,11,12,13,14,15,16,17,18,19,20,21,22,23,24,25,26,27,28,29,30}-1)*LEN(Registro!$I384)+1,LEN(Registro!$I384)))," ",REPT(" ",50)),50)))),"Revisar formato"))</f>
        <v/>
      </c>
      <c r="L384" s="11" t="str">
        <f>IF(Registro!$J384="","",IFERROR(SUMPRODUCT(--("0"&amp;TRIM(RIGHT(SUBSTITUTE(TRIM(MID(SUBSTITUTE(SUBSTITUTE(Registro!$J384,";",CHAR(10)),CHAR(10),REPT(" ",LEN(Registro!$J384))),({1,2,3,4,5,6,7,8,9,10,11,12,13,14,15,16,17,18,19,20,21,22,23,24,25,26,27,28,29,30}-1)*LEN(Registro!$J384)+1,LEN(Registro!$J384)))," ",REPT(" ",50)),50)))),"Revisar formato"))</f>
        <v/>
      </c>
      <c r="M384" s="11" t="str">
        <f>IF(AND(Registro!$H384="",Registro!$I384=""),"",IF(AND(ISTEXT(K384),K384&lt;&gt;""),"Revisar formato",N(Registro!$H384)-N(K384)))</f>
        <v/>
      </c>
      <c r="N384" s="11" t="str">
        <f t="shared" si="17"/>
        <v/>
      </c>
      <c r="O384" s="15" t="str">
        <f>IF(AND(A384=Consulta!$B$3,C384=Consulta!$H$3),B384*10000+ROW(),"")</f>
        <v/>
      </c>
    </row>
    <row r="385" spans="1:15" x14ac:dyDescent="0.25">
      <c r="A385" s="9" t="str">
        <f>IF(Registro!$A385="","",Registro!$A385)</f>
        <v/>
      </c>
      <c r="B385" s="8" t="str">
        <f>IF(Registro!$B385="","",Registro!$B385)</f>
        <v/>
      </c>
      <c r="C385" s="14" t="str">
        <f t="shared" si="15"/>
        <v/>
      </c>
      <c r="D385" s="10" t="str">
        <f>IF(Registro!$E385="","",IF(ISERROR(FIND("x",LOWER(Registro!$E385))),"-",IFERROR(SUMPRODUCT(--("0"&amp;LEFT(TRIM(MID(SUBSTITUTE(SUBSTITUTE(SUBSTITUTE(SUBSTITUTE(SUBSTITUTE(LOWER(Registro!$E385),"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",LEN(Registro!$E385))),({1,2,3,4,5,6,7,8,9,10,11,12,13,14,15,16,17,18,19,20,21,22,23,24,25,26,27,28,29,30}-1)*LEN(Registro!$E385)+1,LEN(Registro!$E385)))&amp;"x")-1))),"Revisar formato")))</f>
        <v/>
      </c>
      <c r="E385" s="11" t="str">
        <f>IF(Registro!$E385="","",IF(ISERROR(FIND("x",LOWER(Registro!$E385))),"-",IFERROR(SUMPRODUCT(--("0"&amp;LEFT(TRIM(MID(SUBSTITUTE(SUBSTITUTE(SUBSTITUTE(SUBSTITUTE(SUBSTITUTE(LOWER(Registro!$E385),"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",LEN(Registro!$E385))),({1,2,3,4,5,6,7,8,9,10,11,12,13,14,15,16,17,18,19,20,21,22,23,24,25,26,27,28,29,30}-1)*LEN(Registro!$E385)+1,LEN(Registro!$E385)))&amp;"x")-1)),--("0"&amp;MID(TRIM(MID(SUBSTITUTE(SUBSTITUTE(SUBSTITUTE(SUBSTITUTE(SUBSTITUTE(LOWER(Registro!$E385),"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",LEN(Registro!$E385))),({1,2,3,4,5,6,7,8,9,10,11,12,13,14,15,16,17,18,19,20,21,22,23,24,25,26,27,28,29,30}-1)*LEN(Registro!$E385)+1,LEN(Registro!$E385)))&amp;"x")+1,20))),"Revisar formato")))</f>
        <v/>
      </c>
      <c r="F385" s="11" t="str">
        <f>IF(Registro!$F385="","",N(Registro!$F385))</f>
        <v/>
      </c>
      <c r="G385" s="11" t="str">
        <f t="shared" si="16"/>
        <v/>
      </c>
      <c r="H385" s="10" t="str">
        <f>IF(Registro!$G385="","",IF(ISERROR(FIND("x",LOWER(Registro!$G385))),"-",IFERROR(SUMPRODUCT(--("0"&amp;LEFT(TRIM(MID(SUBSTITUTE(SUBSTITUTE(SUBSTITUTE(SUBSTITUTE(SUBSTITUTE(LOWER(Registro!$G385),"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",LEN(Registro!$G385))),({1,2,3,4,5,6,7,8,9,10,11,12,13,14,15,16,17,18,19,20,21,22,23,24,25,26,27,28,29,30}-1)*LEN(Registro!$G385)+1,LEN(Registro!$G385))),FIND("x",TRIM(MID(SUBSTITUTE(SUBSTITUTE(SUBSTITUTE(SUBSTITUTE(SUBSTITUTE(LOWER(Registro!$G385),"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",LEN(Registro!$G385))),({1,2,3,4,5,6,7,8,9,10,11,12,13,14,15,16,17,18,19,20,21,22,23,24,25,26,27,28,29,30}-1)*LEN(Registro!$G385)+1,LEN(Registro!$G385)))&amp;"x")-1))),"Revisar formato")))</f>
        <v/>
      </c>
      <c r="I385" s="11" t="str">
        <f>IF(Registro!$G385="","",IF(ISERROR(FIND("x",LOWER(Registro!$G385))),N(Registro!$H385),IFERROR(SUMPRODUCT(--("0"&amp;LEFT(TRIM(MID(SUBSTITUTE(SUBSTITUTE(SUBSTITUTE(SUBSTITUTE(SUBSTITUTE(LOWER(Registro!$G385),"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",LEN(Registro!$G385))),({1,2,3,4,5,6,7,8,9,10,11,12,13,14,15,16,17,18,19,20,21,22,23,24,25,26,27,28,29,30}-1)*LEN(Registro!$G385)+1,LEN(Registro!$G385))),FIND("x",TRIM(MID(SUBSTITUTE(SUBSTITUTE(SUBSTITUTE(SUBSTITUTE(SUBSTITUTE(LOWER(Registro!$G385),"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",LEN(Registro!$G385))),({1,2,3,4,5,6,7,8,9,10,11,12,13,14,15,16,17,18,19,20,21,22,23,24,25,26,27,28,29,30}-1)*LEN(Registro!$G385)+1,LEN(Registro!$G385)))&amp;"x")-1)),--("0"&amp;MID(TRIM(MID(SUBSTITUTE(SUBSTITUTE(SUBSTITUTE(SUBSTITUTE(SUBSTITUTE(LOWER(Registro!$G385),"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",LEN(Registro!$G385))),({1,2,3,4,5,6,7,8,9,10,11,12,13,14,15,16,17,18,19,20,21,22,23,24,25,26,27,28,29,30}-1)*LEN(Registro!$G385)+1,LEN(Registro!$G385))),FIND("x",TRIM(MID(SUBSTITUTE(SUBSTITUTE(SUBSTITUTE(SUBSTITUTE(SUBSTITUTE(LOWER(Registro!$G385),"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",LEN(Registro!$G385))),({1,2,3,4,5,6,7,8,9,10,11,12,13,14,15,16,17,18,19,20,21,22,23,24,25,26,27,28,29,30}-1)*LEN(Registro!$G385)+1,LEN(Registro!$G385)))&amp;"x")+1,20))),"Revisar formato")))</f>
        <v/>
      </c>
      <c r="J385" s="9" t="str">
        <f>IF(AND(Registro!$E385="",Registro!$G385=""),"",IF(NOT(AND(ISNUMBER(I385),ISNUMBER(Registro!$H385))),"",IF(I385&lt;Registro!$H385,"FALTA BOLETOS",IF(I385=Registro!$H385,"CONFORME","DIFERENCIA"))))</f>
        <v/>
      </c>
      <c r="K385" s="11" t="str">
        <f>IF(Registro!$I385="","",IFERROR(SUMPRODUCT(--("0"&amp;TRIM(RIGHT(SUBSTITUTE(TRIM(MID(SUBSTITUTE(SUBSTITUTE(Registro!$I385,";",CHAR(10)),CHAR(10),REPT(" ",LEN(Registro!$I385))),({1,2,3,4,5,6,7,8,9,10,11,12,13,14,15,16,17,18,19,20,21,22,23,24,25,26,27,28,29,30}-1)*LEN(Registro!$I385)+1,LEN(Registro!$I385)))," ",REPT(" ",50)),50)))),"Revisar formato"))</f>
        <v/>
      </c>
      <c r="L385" s="11" t="str">
        <f>IF(Registro!$J385="","",IFERROR(SUMPRODUCT(--("0"&amp;TRIM(RIGHT(SUBSTITUTE(TRIM(MID(SUBSTITUTE(SUBSTITUTE(Registro!$J385,";",CHAR(10)),CHAR(10),REPT(" ",LEN(Registro!$J385))),({1,2,3,4,5,6,7,8,9,10,11,12,13,14,15,16,17,18,19,20,21,22,23,24,25,26,27,28,29,30}-1)*LEN(Registro!$J385)+1,LEN(Registro!$J385)))," ",REPT(" ",50)),50)))),"Revisar formato"))</f>
        <v/>
      </c>
      <c r="M385" s="11" t="str">
        <f>IF(AND(Registro!$H385="",Registro!$I385=""),"",IF(AND(ISTEXT(K385),K385&lt;&gt;""),"Revisar formato",N(Registro!$H385)-N(K385)))</f>
        <v/>
      </c>
      <c r="N385" s="11" t="str">
        <f t="shared" si="17"/>
        <v/>
      </c>
      <c r="O385" s="15" t="str">
        <f>IF(AND(A385=Consulta!$B$3,C385=Consulta!$H$3),B385*10000+ROW(),"")</f>
        <v/>
      </c>
    </row>
    <row r="386" spans="1:15" x14ac:dyDescent="0.25">
      <c r="A386" s="9" t="str">
        <f>IF(Registro!$A386="","",Registro!$A386)</f>
        <v/>
      </c>
      <c r="B386" s="8" t="str">
        <f>IF(Registro!$B386="","",Registro!$B386)</f>
        <v/>
      </c>
      <c r="C386" s="14" t="str">
        <f t="shared" ref="C386:C449" si="18">IF(ISNUMBER(B386),YEAR(B386)*100+MONTH(B386),"")</f>
        <v/>
      </c>
      <c r="D386" s="10" t="str">
        <f>IF(Registro!$E386="","",IF(ISERROR(FIND("x",LOWER(Registro!$E386))),"-",IFERROR(SUMPRODUCT(--("0"&amp;LEFT(TRIM(MID(SUBSTITUTE(SUBSTITUTE(SUBSTITUTE(SUBSTITUTE(SUBSTITUTE(LOWER(Registro!$E386),"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",LEN(Registro!$E386))),({1,2,3,4,5,6,7,8,9,10,11,12,13,14,15,16,17,18,19,20,21,22,23,24,25,26,27,28,29,30}-1)*LEN(Registro!$E386)+1,LEN(Registro!$E386)))&amp;"x")-1))),"Revisar formato")))</f>
        <v/>
      </c>
      <c r="E386" s="11" t="str">
        <f>IF(Registro!$E386="","",IF(ISERROR(FIND("x",LOWER(Registro!$E386))),"-",IFERROR(SUMPRODUCT(--("0"&amp;LEFT(TRIM(MID(SUBSTITUTE(SUBSTITUTE(SUBSTITUTE(SUBSTITUTE(SUBSTITUTE(LOWER(Registro!$E386),"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",LEN(Registro!$E386))),({1,2,3,4,5,6,7,8,9,10,11,12,13,14,15,16,17,18,19,20,21,22,23,24,25,26,27,28,29,30}-1)*LEN(Registro!$E386)+1,LEN(Registro!$E386)))&amp;"x")-1)),--("0"&amp;MID(TRIM(MID(SUBSTITUTE(SUBSTITUTE(SUBSTITUTE(SUBSTITUTE(SUBSTITUTE(LOWER(Registro!$E386),"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",LEN(Registro!$E386))),({1,2,3,4,5,6,7,8,9,10,11,12,13,14,15,16,17,18,19,20,21,22,23,24,25,26,27,28,29,30}-1)*LEN(Registro!$E386)+1,LEN(Registro!$E386)))&amp;"x")+1,20))),"Revisar formato")))</f>
        <v/>
      </c>
      <c r="F386" s="11" t="str">
        <f>IF(Registro!$F386="","",N(Registro!$F386))</f>
        <v/>
      </c>
      <c r="G386" s="11" t="str">
        <f t="shared" ref="G386:G449" si="19">IF(AND(E386="",F386=""),"",IF(OR(E386="",ISNUMBER(E386)),N(E386)-N(F386),E386))</f>
        <v/>
      </c>
      <c r="H386" s="10" t="str">
        <f>IF(Registro!$G386="","",IF(ISERROR(FIND("x",LOWER(Registro!$G386))),"-",IFERROR(SUMPRODUCT(--("0"&amp;LEFT(TRIM(MID(SUBSTITUTE(SUBSTITUTE(SUBSTITUTE(SUBSTITUTE(SUBSTITUTE(LOWER(Registro!$G386),"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",LEN(Registro!$G386))),({1,2,3,4,5,6,7,8,9,10,11,12,13,14,15,16,17,18,19,20,21,22,23,24,25,26,27,28,29,30}-1)*LEN(Registro!$G386)+1,LEN(Registro!$G386))),FIND("x",TRIM(MID(SUBSTITUTE(SUBSTITUTE(SUBSTITUTE(SUBSTITUTE(SUBSTITUTE(LOWER(Registro!$G386),"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",LEN(Registro!$G386))),({1,2,3,4,5,6,7,8,9,10,11,12,13,14,15,16,17,18,19,20,21,22,23,24,25,26,27,28,29,30}-1)*LEN(Registro!$G386)+1,LEN(Registro!$G386)))&amp;"x")-1))),"Revisar formato")))</f>
        <v/>
      </c>
      <c r="I386" s="11" t="str">
        <f>IF(Registro!$G386="","",IF(ISERROR(FIND("x",LOWER(Registro!$G386))),N(Registro!$H386),IFERROR(SUMPRODUCT(--("0"&amp;LEFT(TRIM(MID(SUBSTITUTE(SUBSTITUTE(SUBSTITUTE(SUBSTITUTE(SUBSTITUTE(LOWER(Registro!$G386),"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",LEN(Registro!$G386))),({1,2,3,4,5,6,7,8,9,10,11,12,13,14,15,16,17,18,19,20,21,22,23,24,25,26,27,28,29,30}-1)*LEN(Registro!$G386)+1,LEN(Registro!$G386))),FIND("x",TRIM(MID(SUBSTITUTE(SUBSTITUTE(SUBSTITUTE(SUBSTITUTE(SUBSTITUTE(LOWER(Registro!$G386),"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",LEN(Registro!$G386))),({1,2,3,4,5,6,7,8,9,10,11,12,13,14,15,16,17,18,19,20,21,22,23,24,25,26,27,28,29,30}-1)*LEN(Registro!$G386)+1,LEN(Registro!$G386)))&amp;"x")-1)),--("0"&amp;MID(TRIM(MID(SUBSTITUTE(SUBSTITUTE(SUBSTITUTE(SUBSTITUTE(SUBSTITUTE(LOWER(Registro!$G386),"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",LEN(Registro!$G386))),({1,2,3,4,5,6,7,8,9,10,11,12,13,14,15,16,17,18,19,20,21,22,23,24,25,26,27,28,29,30}-1)*LEN(Registro!$G386)+1,LEN(Registro!$G386))),FIND("x",TRIM(MID(SUBSTITUTE(SUBSTITUTE(SUBSTITUTE(SUBSTITUTE(SUBSTITUTE(LOWER(Registro!$G386),"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",LEN(Registro!$G386))),({1,2,3,4,5,6,7,8,9,10,11,12,13,14,15,16,17,18,19,20,21,22,23,24,25,26,27,28,29,30}-1)*LEN(Registro!$G386)+1,LEN(Registro!$G386)))&amp;"x")+1,20))),"Revisar formato")))</f>
        <v/>
      </c>
      <c r="J386" s="9" t="str">
        <f>IF(AND(Registro!$E386="",Registro!$G386=""),"",IF(NOT(AND(ISNUMBER(I386),ISNUMBER(Registro!$H386))),"",IF(I386&lt;Registro!$H386,"FALTA BOLETOS",IF(I386=Registro!$H386,"CONFORME","DIFERENCIA"))))</f>
        <v/>
      </c>
      <c r="K386" s="11" t="str">
        <f>IF(Registro!$I386="","",IFERROR(SUMPRODUCT(--("0"&amp;TRIM(RIGHT(SUBSTITUTE(TRIM(MID(SUBSTITUTE(SUBSTITUTE(Registro!$I386,";",CHAR(10)),CHAR(10),REPT(" ",LEN(Registro!$I386))),({1,2,3,4,5,6,7,8,9,10,11,12,13,14,15,16,17,18,19,20,21,22,23,24,25,26,27,28,29,30}-1)*LEN(Registro!$I386)+1,LEN(Registro!$I386)))," ",REPT(" ",50)),50)))),"Revisar formato"))</f>
        <v/>
      </c>
      <c r="L386" s="11" t="str">
        <f>IF(Registro!$J386="","",IFERROR(SUMPRODUCT(--("0"&amp;TRIM(RIGHT(SUBSTITUTE(TRIM(MID(SUBSTITUTE(SUBSTITUTE(Registro!$J386,";",CHAR(10)),CHAR(10),REPT(" ",LEN(Registro!$J386))),({1,2,3,4,5,6,7,8,9,10,11,12,13,14,15,16,17,18,19,20,21,22,23,24,25,26,27,28,29,30}-1)*LEN(Registro!$J386)+1,LEN(Registro!$J386)))," ",REPT(" ",50)),50)))),"Revisar formato"))</f>
        <v/>
      </c>
      <c r="M386" s="11" t="str">
        <f>IF(AND(Registro!$H386="",Registro!$I386=""),"",IF(AND(ISTEXT(K386),K386&lt;&gt;""),"Revisar formato",N(Registro!$H386)-N(K386)))</f>
        <v/>
      </c>
      <c r="N386" s="11" t="str">
        <f t="shared" ref="N386:N449" si="20">IF(M386="","",IF(OR(M386="Revisar formato",AND(ISTEXT(L386),L386&lt;&gt;"")),"Revisar formato",M386-N(L386)))</f>
        <v/>
      </c>
      <c r="O386" s="15" t="str">
        <f>IF(AND(A386=Consulta!$B$3,C386=Consulta!$H$3),B386*10000+ROW(),"")</f>
        <v/>
      </c>
    </row>
    <row r="387" spans="1:15" x14ac:dyDescent="0.25">
      <c r="A387" s="9" t="str">
        <f>IF(Registro!$A387="","",Registro!$A387)</f>
        <v/>
      </c>
      <c r="B387" s="8" t="str">
        <f>IF(Registro!$B387="","",Registro!$B387)</f>
        <v/>
      </c>
      <c r="C387" s="14" t="str">
        <f t="shared" si="18"/>
        <v/>
      </c>
      <c r="D387" s="10" t="str">
        <f>IF(Registro!$E387="","",IF(ISERROR(FIND("x",LOWER(Registro!$E387))),"-",IFERROR(SUMPRODUCT(--("0"&amp;LEFT(TRIM(MID(SUBSTITUTE(SUBSTITUTE(SUBSTITUTE(SUBSTITUTE(SUBSTITUTE(LOWER(Registro!$E387),"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",LEN(Registro!$E387))),({1,2,3,4,5,6,7,8,9,10,11,12,13,14,15,16,17,18,19,20,21,22,23,24,25,26,27,28,29,30}-1)*LEN(Registro!$E387)+1,LEN(Registro!$E387)))&amp;"x")-1))),"Revisar formato")))</f>
        <v/>
      </c>
      <c r="E387" s="11" t="str">
        <f>IF(Registro!$E387="","",IF(ISERROR(FIND("x",LOWER(Registro!$E387))),"-",IFERROR(SUMPRODUCT(--("0"&amp;LEFT(TRIM(MID(SUBSTITUTE(SUBSTITUTE(SUBSTITUTE(SUBSTITUTE(SUBSTITUTE(LOWER(Registro!$E387),"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",LEN(Registro!$E387))),({1,2,3,4,5,6,7,8,9,10,11,12,13,14,15,16,17,18,19,20,21,22,23,24,25,26,27,28,29,30}-1)*LEN(Registro!$E387)+1,LEN(Registro!$E387)))&amp;"x")-1)),--("0"&amp;MID(TRIM(MID(SUBSTITUTE(SUBSTITUTE(SUBSTITUTE(SUBSTITUTE(SUBSTITUTE(LOWER(Registro!$E387),"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",LEN(Registro!$E387))),({1,2,3,4,5,6,7,8,9,10,11,12,13,14,15,16,17,18,19,20,21,22,23,24,25,26,27,28,29,30}-1)*LEN(Registro!$E387)+1,LEN(Registro!$E387)))&amp;"x")+1,20))),"Revisar formato")))</f>
        <v/>
      </c>
      <c r="F387" s="11" t="str">
        <f>IF(Registro!$F387="","",N(Registro!$F387))</f>
        <v/>
      </c>
      <c r="G387" s="11" t="str">
        <f t="shared" si="19"/>
        <v/>
      </c>
      <c r="H387" s="10" t="str">
        <f>IF(Registro!$G387="","",IF(ISERROR(FIND("x",LOWER(Registro!$G387))),"-",IFERROR(SUMPRODUCT(--("0"&amp;LEFT(TRIM(MID(SUBSTITUTE(SUBSTITUTE(SUBSTITUTE(SUBSTITUTE(SUBSTITUTE(LOWER(Registro!$G387),"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",LEN(Registro!$G387))),({1,2,3,4,5,6,7,8,9,10,11,12,13,14,15,16,17,18,19,20,21,22,23,24,25,26,27,28,29,30}-1)*LEN(Registro!$G387)+1,LEN(Registro!$G387))),FIND("x",TRIM(MID(SUBSTITUTE(SUBSTITUTE(SUBSTITUTE(SUBSTITUTE(SUBSTITUTE(LOWER(Registro!$G387),"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",LEN(Registro!$G387))),({1,2,3,4,5,6,7,8,9,10,11,12,13,14,15,16,17,18,19,20,21,22,23,24,25,26,27,28,29,30}-1)*LEN(Registro!$G387)+1,LEN(Registro!$G387)))&amp;"x")-1))),"Revisar formato")))</f>
        <v/>
      </c>
      <c r="I387" s="11" t="str">
        <f>IF(Registro!$G387="","",IF(ISERROR(FIND("x",LOWER(Registro!$G387))),N(Registro!$H387),IFERROR(SUMPRODUCT(--("0"&amp;LEFT(TRIM(MID(SUBSTITUTE(SUBSTITUTE(SUBSTITUTE(SUBSTITUTE(SUBSTITUTE(LOWER(Registro!$G387),"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",LEN(Registro!$G387))),({1,2,3,4,5,6,7,8,9,10,11,12,13,14,15,16,17,18,19,20,21,22,23,24,25,26,27,28,29,30}-1)*LEN(Registro!$G387)+1,LEN(Registro!$G387))),FIND("x",TRIM(MID(SUBSTITUTE(SUBSTITUTE(SUBSTITUTE(SUBSTITUTE(SUBSTITUTE(LOWER(Registro!$G387),"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",LEN(Registro!$G387))),({1,2,3,4,5,6,7,8,9,10,11,12,13,14,15,16,17,18,19,20,21,22,23,24,25,26,27,28,29,30}-1)*LEN(Registro!$G387)+1,LEN(Registro!$G387)))&amp;"x")-1)),--("0"&amp;MID(TRIM(MID(SUBSTITUTE(SUBSTITUTE(SUBSTITUTE(SUBSTITUTE(SUBSTITUTE(LOWER(Registro!$G387),"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",LEN(Registro!$G387))),({1,2,3,4,5,6,7,8,9,10,11,12,13,14,15,16,17,18,19,20,21,22,23,24,25,26,27,28,29,30}-1)*LEN(Registro!$G387)+1,LEN(Registro!$G387))),FIND("x",TRIM(MID(SUBSTITUTE(SUBSTITUTE(SUBSTITUTE(SUBSTITUTE(SUBSTITUTE(LOWER(Registro!$G387),"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",LEN(Registro!$G387))),({1,2,3,4,5,6,7,8,9,10,11,12,13,14,15,16,17,18,19,20,21,22,23,24,25,26,27,28,29,30}-1)*LEN(Registro!$G387)+1,LEN(Registro!$G387)))&amp;"x")+1,20))),"Revisar formato")))</f>
        <v/>
      </c>
      <c r="J387" s="9" t="str">
        <f>IF(AND(Registro!$E387="",Registro!$G387=""),"",IF(NOT(AND(ISNUMBER(I387),ISNUMBER(Registro!$H387))),"",IF(I387&lt;Registro!$H387,"FALTA BOLETOS",IF(I387=Registro!$H387,"CONFORME","DIFERENCIA"))))</f>
        <v/>
      </c>
      <c r="K387" s="11" t="str">
        <f>IF(Registro!$I387="","",IFERROR(SUMPRODUCT(--("0"&amp;TRIM(RIGHT(SUBSTITUTE(TRIM(MID(SUBSTITUTE(SUBSTITUTE(Registro!$I387,";",CHAR(10)),CHAR(10),REPT(" ",LEN(Registro!$I387))),({1,2,3,4,5,6,7,8,9,10,11,12,13,14,15,16,17,18,19,20,21,22,23,24,25,26,27,28,29,30}-1)*LEN(Registro!$I387)+1,LEN(Registro!$I387)))," ",REPT(" ",50)),50)))),"Revisar formato"))</f>
        <v/>
      </c>
      <c r="L387" s="11" t="str">
        <f>IF(Registro!$J387="","",IFERROR(SUMPRODUCT(--("0"&amp;TRIM(RIGHT(SUBSTITUTE(TRIM(MID(SUBSTITUTE(SUBSTITUTE(Registro!$J387,";",CHAR(10)),CHAR(10),REPT(" ",LEN(Registro!$J387))),({1,2,3,4,5,6,7,8,9,10,11,12,13,14,15,16,17,18,19,20,21,22,23,24,25,26,27,28,29,30}-1)*LEN(Registro!$J387)+1,LEN(Registro!$J387)))," ",REPT(" ",50)),50)))),"Revisar formato"))</f>
        <v/>
      </c>
      <c r="M387" s="11" t="str">
        <f>IF(AND(Registro!$H387="",Registro!$I387=""),"",IF(AND(ISTEXT(K387),K387&lt;&gt;""),"Revisar formato",N(Registro!$H387)-N(K387)))</f>
        <v/>
      </c>
      <c r="N387" s="11" t="str">
        <f t="shared" si="20"/>
        <v/>
      </c>
      <c r="O387" s="15" t="str">
        <f>IF(AND(A387=Consulta!$B$3,C387=Consulta!$H$3),B387*10000+ROW(),"")</f>
        <v/>
      </c>
    </row>
    <row r="388" spans="1:15" x14ac:dyDescent="0.25">
      <c r="A388" s="9" t="str">
        <f>IF(Registro!$A388="","",Registro!$A388)</f>
        <v/>
      </c>
      <c r="B388" s="8" t="str">
        <f>IF(Registro!$B388="","",Registro!$B388)</f>
        <v/>
      </c>
      <c r="C388" s="14" t="str">
        <f t="shared" si="18"/>
        <v/>
      </c>
      <c r="D388" s="10" t="str">
        <f>IF(Registro!$E388="","",IF(ISERROR(FIND("x",LOWER(Registro!$E388))),"-",IFERROR(SUMPRODUCT(--("0"&amp;LEFT(TRIM(MID(SUBSTITUTE(SUBSTITUTE(SUBSTITUTE(SUBSTITUTE(SUBSTITUTE(LOWER(Registro!$E388),"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",LEN(Registro!$E388))),({1,2,3,4,5,6,7,8,9,10,11,12,13,14,15,16,17,18,19,20,21,22,23,24,25,26,27,28,29,30}-1)*LEN(Registro!$E388)+1,LEN(Registro!$E388)))&amp;"x")-1))),"Revisar formato")))</f>
        <v/>
      </c>
      <c r="E388" s="11" t="str">
        <f>IF(Registro!$E388="","",IF(ISERROR(FIND("x",LOWER(Registro!$E388))),"-",IFERROR(SUMPRODUCT(--("0"&amp;LEFT(TRIM(MID(SUBSTITUTE(SUBSTITUTE(SUBSTITUTE(SUBSTITUTE(SUBSTITUTE(LOWER(Registro!$E388),"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",LEN(Registro!$E388))),({1,2,3,4,5,6,7,8,9,10,11,12,13,14,15,16,17,18,19,20,21,22,23,24,25,26,27,28,29,30}-1)*LEN(Registro!$E388)+1,LEN(Registro!$E388)))&amp;"x")-1)),--("0"&amp;MID(TRIM(MID(SUBSTITUTE(SUBSTITUTE(SUBSTITUTE(SUBSTITUTE(SUBSTITUTE(LOWER(Registro!$E388),"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",LEN(Registro!$E388))),({1,2,3,4,5,6,7,8,9,10,11,12,13,14,15,16,17,18,19,20,21,22,23,24,25,26,27,28,29,30}-1)*LEN(Registro!$E388)+1,LEN(Registro!$E388)))&amp;"x")+1,20))),"Revisar formato")))</f>
        <v/>
      </c>
      <c r="F388" s="11" t="str">
        <f>IF(Registro!$F388="","",N(Registro!$F388))</f>
        <v/>
      </c>
      <c r="G388" s="11" t="str">
        <f t="shared" si="19"/>
        <v/>
      </c>
      <c r="H388" s="10" t="str">
        <f>IF(Registro!$G388="","",IF(ISERROR(FIND("x",LOWER(Registro!$G388))),"-",IFERROR(SUMPRODUCT(--("0"&amp;LEFT(TRIM(MID(SUBSTITUTE(SUBSTITUTE(SUBSTITUTE(SUBSTITUTE(SUBSTITUTE(LOWER(Registro!$G388),"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",LEN(Registro!$G388))),({1,2,3,4,5,6,7,8,9,10,11,12,13,14,15,16,17,18,19,20,21,22,23,24,25,26,27,28,29,30}-1)*LEN(Registro!$G388)+1,LEN(Registro!$G388))),FIND("x",TRIM(MID(SUBSTITUTE(SUBSTITUTE(SUBSTITUTE(SUBSTITUTE(SUBSTITUTE(LOWER(Registro!$G388),"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",LEN(Registro!$G388))),({1,2,3,4,5,6,7,8,9,10,11,12,13,14,15,16,17,18,19,20,21,22,23,24,25,26,27,28,29,30}-1)*LEN(Registro!$G388)+1,LEN(Registro!$G388)))&amp;"x")-1))),"Revisar formato")))</f>
        <v/>
      </c>
      <c r="I388" s="11" t="str">
        <f>IF(Registro!$G388="","",IF(ISERROR(FIND("x",LOWER(Registro!$G388))),N(Registro!$H388),IFERROR(SUMPRODUCT(--("0"&amp;LEFT(TRIM(MID(SUBSTITUTE(SUBSTITUTE(SUBSTITUTE(SUBSTITUTE(SUBSTITUTE(LOWER(Registro!$G388),"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",LEN(Registro!$G388))),({1,2,3,4,5,6,7,8,9,10,11,12,13,14,15,16,17,18,19,20,21,22,23,24,25,26,27,28,29,30}-1)*LEN(Registro!$G388)+1,LEN(Registro!$G388))),FIND("x",TRIM(MID(SUBSTITUTE(SUBSTITUTE(SUBSTITUTE(SUBSTITUTE(SUBSTITUTE(LOWER(Registro!$G388),"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",LEN(Registro!$G388))),({1,2,3,4,5,6,7,8,9,10,11,12,13,14,15,16,17,18,19,20,21,22,23,24,25,26,27,28,29,30}-1)*LEN(Registro!$G388)+1,LEN(Registro!$G388)))&amp;"x")-1)),--("0"&amp;MID(TRIM(MID(SUBSTITUTE(SUBSTITUTE(SUBSTITUTE(SUBSTITUTE(SUBSTITUTE(LOWER(Registro!$G388),"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",LEN(Registro!$G388))),({1,2,3,4,5,6,7,8,9,10,11,12,13,14,15,16,17,18,19,20,21,22,23,24,25,26,27,28,29,30}-1)*LEN(Registro!$G388)+1,LEN(Registro!$G388))),FIND("x",TRIM(MID(SUBSTITUTE(SUBSTITUTE(SUBSTITUTE(SUBSTITUTE(SUBSTITUTE(LOWER(Registro!$G388),"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",LEN(Registro!$G388))),({1,2,3,4,5,6,7,8,9,10,11,12,13,14,15,16,17,18,19,20,21,22,23,24,25,26,27,28,29,30}-1)*LEN(Registro!$G388)+1,LEN(Registro!$G388)))&amp;"x")+1,20))),"Revisar formato")))</f>
        <v/>
      </c>
      <c r="J388" s="9" t="str">
        <f>IF(AND(Registro!$E388="",Registro!$G388=""),"",IF(NOT(AND(ISNUMBER(I388),ISNUMBER(Registro!$H388))),"",IF(I388&lt;Registro!$H388,"FALTA BOLETOS",IF(I388=Registro!$H388,"CONFORME","DIFERENCIA"))))</f>
        <v/>
      </c>
      <c r="K388" s="11" t="str">
        <f>IF(Registro!$I388="","",IFERROR(SUMPRODUCT(--("0"&amp;TRIM(RIGHT(SUBSTITUTE(TRIM(MID(SUBSTITUTE(SUBSTITUTE(Registro!$I388,";",CHAR(10)),CHAR(10),REPT(" ",LEN(Registro!$I388))),({1,2,3,4,5,6,7,8,9,10,11,12,13,14,15,16,17,18,19,20,21,22,23,24,25,26,27,28,29,30}-1)*LEN(Registro!$I388)+1,LEN(Registro!$I388)))," ",REPT(" ",50)),50)))),"Revisar formato"))</f>
        <v/>
      </c>
      <c r="L388" s="11" t="str">
        <f>IF(Registro!$J388="","",IFERROR(SUMPRODUCT(--("0"&amp;TRIM(RIGHT(SUBSTITUTE(TRIM(MID(SUBSTITUTE(SUBSTITUTE(Registro!$J388,";",CHAR(10)),CHAR(10),REPT(" ",LEN(Registro!$J388))),({1,2,3,4,5,6,7,8,9,10,11,12,13,14,15,16,17,18,19,20,21,22,23,24,25,26,27,28,29,30}-1)*LEN(Registro!$J388)+1,LEN(Registro!$J388)))," ",REPT(" ",50)),50)))),"Revisar formato"))</f>
        <v/>
      </c>
      <c r="M388" s="11" t="str">
        <f>IF(AND(Registro!$H388="",Registro!$I388=""),"",IF(AND(ISTEXT(K388),K388&lt;&gt;""),"Revisar formato",N(Registro!$H388)-N(K388)))</f>
        <v/>
      </c>
      <c r="N388" s="11" t="str">
        <f t="shared" si="20"/>
        <v/>
      </c>
      <c r="O388" s="15" t="str">
        <f>IF(AND(A388=Consulta!$B$3,C388=Consulta!$H$3),B388*10000+ROW(),"")</f>
        <v/>
      </c>
    </row>
    <row r="389" spans="1:15" x14ac:dyDescent="0.25">
      <c r="A389" s="9" t="str">
        <f>IF(Registro!$A389="","",Registro!$A389)</f>
        <v/>
      </c>
      <c r="B389" s="8" t="str">
        <f>IF(Registro!$B389="","",Registro!$B389)</f>
        <v/>
      </c>
      <c r="C389" s="14" t="str">
        <f t="shared" si="18"/>
        <v/>
      </c>
      <c r="D389" s="10" t="str">
        <f>IF(Registro!$E389="","",IF(ISERROR(FIND("x",LOWER(Registro!$E389))),"-",IFERROR(SUMPRODUCT(--("0"&amp;LEFT(TRIM(MID(SUBSTITUTE(SUBSTITUTE(SUBSTITUTE(SUBSTITUTE(SUBSTITUTE(LOWER(Registro!$E389),"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",LEN(Registro!$E389))),({1,2,3,4,5,6,7,8,9,10,11,12,13,14,15,16,17,18,19,20,21,22,23,24,25,26,27,28,29,30}-1)*LEN(Registro!$E389)+1,LEN(Registro!$E389)))&amp;"x")-1))),"Revisar formato")))</f>
        <v/>
      </c>
      <c r="E389" s="11" t="str">
        <f>IF(Registro!$E389="","",IF(ISERROR(FIND("x",LOWER(Registro!$E389))),"-",IFERROR(SUMPRODUCT(--("0"&amp;LEFT(TRIM(MID(SUBSTITUTE(SUBSTITUTE(SUBSTITUTE(SUBSTITUTE(SUBSTITUTE(LOWER(Registro!$E389),"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",LEN(Registro!$E389))),({1,2,3,4,5,6,7,8,9,10,11,12,13,14,15,16,17,18,19,20,21,22,23,24,25,26,27,28,29,30}-1)*LEN(Registro!$E389)+1,LEN(Registro!$E389)))&amp;"x")-1)),--("0"&amp;MID(TRIM(MID(SUBSTITUTE(SUBSTITUTE(SUBSTITUTE(SUBSTITUTE(SUBSTITUTE(LOWER(Registro!$E389),"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",LEN(Registro!$E389))),({1,2,3,4,5,6,7,8,9,10,11,12,13,14,15,16,17,18,19,20,21,22,23,24,25,26,27,28,29,30}-1)*LEN(Registro!$E389)+1,LEN(Registro!$E389)))&amp;"x")+1,20))),"Revisar formato")))</f>
        <v/>
      </c>
      <c r="F389" s="11" t="str">
        <f>IF(Registro!$F389="","",N(Registro!$F389))</f>
        <v/>
      </c>
      <c r="G389" s="11" t="str">
        <f t="shared" si="19"/>
        <v/>
      </c>
      <c r="H389" s="10" t="str">
        <f>IF(Registro!$G389="","",IF(ISERROR(FIND("x",LOWER(Registro!$G389))),"-",IFERROR(SUMPRODUCT(--("0"&amp;LEFT(TRIM(MID(SUBSTITUTE(SUBSTITUTE(SUBSTITUTE(SUBSTITUTE(SUBSTITUTE(LOWER(Registro!$G389),"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",LEN(Registro!$G389))),({1,2,3,4,5,6,7,8,9,10,11,12,13,14,15,16,17,18,19,20,21,22,23,24,25,26,27,28,29,30}-1)*LEN(Registro!$G389)+1,LEN(Registro!$G389))),FIND("x",TRIM(MID(SUBSTITUTE(SUBSTITUTE(SUBSTITUTE(SUBSTITUTE(SUBSTITUTE(LOWER(Registro!$G389),"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",LEN(Registro!$G389))),({1,2,3,4,5,6,7,8,9,10,11,12,13,14,15,16,17,18,19,20,21,22,23,24,25,26,27,28,29,30}-1)*LEN(Registro!$G389)+1,LEN(Registro!$G389)))&amp;"x")-1))),"Revisar formato")))</f>
        <v/>
      </c>
      <c r="I389" s="11" t="str">
        <f>IF(Registro!$G389="","",IF(ISERROR(FIND("x",LOWER(Registro!$G389))),N(Registro!$H389),IFERROR(SUMPRODUCT(--("0"&amp;LEFT(TRIM(MID(SUBSTITUTE(SUBSTITUTE(SUBSTITUTE(SUBSTITUTE(SUBSTITUTE(LOWER(Registro!$G389),"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",LEN(Registro!$G389))),({1,2,3,4,5,6,7,8,9,10,11,12,13,14,15,16,17,18,19,20,21,22,23,24,25,26,27,28,29,30}-1)*LEN(Registro!$G389)+1,LEN(Registro!$G389))),FIND("x",TRIM(MID(SUBSTITUTE(SUBSTITUTE(SUBSTITUTE(SUBSTITUTE(SUBSTITUTE(LOWER(Registro!$G389),"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",LEN(Registro!$G389))),({1,2,3,4,5,6,7,8,9,10,11,12,13,14,15,16,17,18,19,20,21,22,23,24,25,26,27,28,29,30}-1)*LEN(Registro!$G389)+1,LEN(Registro!$G389)))&amp;"x")-1)),--("0"&amp;MID(TRIM(MID(SUBSTITUTE(SUBSTITUTE(SUBSTITUTE(SUBSTITUTE(SUBSTITUTE(LOWER(Registro!$G389),"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",LEN(Registro!$G389))),({1,2,3,4,5,6,7,8,9,10,11,12,13,14,15,16,17,18,19,20,21,22,23,24,25,26,27,28,29,30}-1)*LEN(Registro!$G389)+1,LEN(Registro!$G389))),FIND("x",TRIM(MID(SUBSTITUTE(SUBSTITUTE(SUBSTITUTE(SUBSTITUTE(SUBSTITUTE(LOWER(Registro!$G389),"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",LEN(Registro!$G389))),({1,2,3,4,5,6,7,8,9,10,11,12,13,14,15,16,17,18,19,20,21,22,23,24,25,26,27,28,29,30}-1)*LEN(Registro!$G389)+1,LEN(Registro!$G389)))&amp;"x")+1,20))),"Revisar formato")))</f>
        <v/>
      </c>
      <c r="J389" s="9" t="str">
        <f>IF(AND(Registro!$E389="",Registro!$G389=""),"",IF(NOT(AND(ISNUMBER(I389),ISNUMBER(Registro!$H389))),"",IF(I389&lt;Registro!$H389,"FALTA BOLETOS",IF(I389=Registro!$H389,"CONFORME","DIFERENCIA"))))</f>
        <v/>
      </c>
      <c r="K389" s="11" t="str">
        <f>IF(Registro!$I389="","",IFERROR(SUMPRODUCT(--("0"&amp;TRIM(RIGHT(SUBSTITUTE(TRIM(MID(SUBSTITUTE(SUBSTITUTE(Registro!$I389,";",CHAR(10)),CHAR(10),REPT(" ",LEN(Registro!$I389))),({1,2,3,4,5,6,7,8,9,10,11,12,13,14,15,16,17,18,19,20,21,22,23,24,25,26,27,28,29,30}-1)*LEN(Registro!$I389)+1,LEN(Registro!$I389)))," ",REPT(" ",50)),50)))),"Revisar formato"))</f>
        <v/>
      </c>
      <c r="L389" s="11" t="str">
        <f>IF(Registro!$J389="","",IFERROR(SUMPRODUCT(--("0"&amp;TRIM(RIGHT(SUBSTITUTE(TRIM(MID(SUBSTITUTE(SUBSTITUTE(Registro!$J389,";",CHAR(10)),CHAR(10),REPT(" ",LEN(Registro!$J389))),({1,2,3,4,5,6,7,8,9,10,11,12,13,14,15,16,17,18,19,20,21,22,23,24,25,26,27,28,29,30}-1)*LEN(Registro!$J389)+1,LEN(Registro!$J389)))," ",REPT(" ",50)),50)))),"Revisar formato"))</f>
        <v/>
      </c>
      <c r="M389" s="11" t="str">
        <f>IF(AND(Registro!$H389="",Registro!$I389=""),"",IF(AND(ISTEXT(K389),K389&lt;&gt;""),"Revisar formato",N(Registro!$H389)-N(K389)))</f>
        <v/>
      </c>
      <c r="N389" s="11" t="str">
        <f t="shared" si="20"/>
        <v/>
      </c>
      <c r="O389" s="15" t="str">
        <f>IF(AND(A389=Consulta!$B$3,C389=Consulta!$H$3),B389*10000+ROW(),"")</f>
        <v/>
      </c>
    </row>
    <row r="390" spans="1:15" x14ac:dyDescent="0.25">
      <c r="A390" s="9" t="str">
        <f>IF(Registro!$A390="","",Registro!$A390)</f>
        <v/>
      </c>
      <c r="B390" s="8" t="str">
        <f>IF(Registro!$B390="","",Registro!$B390)</f>
        <v/>
      </c>
      <c r="C390" s="14" t="str">
        <f t="shared" si="18"/>
        <v/>
      </c>
      <c r="D390" s="10" t="str">
        <f>IF(Registro!$E390="","",IF(ISERROR(FIND("x",LOWER(Registro!$E390))),"-",IFERROR(SUMPRODUCT(--("0"&amp;LEFT(TRIM(MID(SUBSTITUTE(SUBSTITUTE(SUBSTITUTE(SUBSTITUTE(SUBSTITUTE(LOWER(Registro!$E390),"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",LEN(Registro!$E390))),({1,2,3,4,5,6,7,8,9,10,11,12,13,14,15,16,17,18,19,20,21,22,23,24,25,26,27,28,29,30}-1)*LEN(Registro!$E390)+1,LEN(Registro!$E390)))&amp;"x")-1))),"Revisar formato")))</f>
        <v/>
      </c>
      <c r="E390" s="11" t="str">
        <f>IF(Registro!$E390="","",IF(ISERROR(FIND("x",LOWER(Registro!$E390))),"-",IFERROR(SUMPRODUCT(--("0"&amp;LEFT(TRIM(MID(SUBSTITUTE(SUBSTITUTE(SUBSTITUTE(SUBSTITUTE(SUBSTITUTE(LOWER(Registro!$E390),"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",LEN(Registro!$E390))),({1,2,3,4,5,6,7,8,9,10,11,12,13,14,15,16,17,18,19,20,21,22,23,24,25,26,27,28,29,30}-1)*LEN(Registro!$E390)+1,LEN(Registro!$E390)))&amp;"x")-1)),--("0"&amp;MID(TRIM(MID(SUBSTITUTE(SUBSTITUTE(SUBSTITUTE(SUBSTITUTE(SUBSTITUTE(LOWER(Registro!$E390),"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",LEN(Registro!$E390))),({1,2,3,4,5,6,7,8,9,10,11,12,13,14,15,16,17,18,19,20,21,22,23,24,25,26,27,28,29,30}-1)*LEN(Registro!$E390)+1,LEN(Registro!$E390)))&amp;"x")+1,20))),"Revisar formato")))</f>
        <v/>
      </c>
      <c r="F390" s="11" t="str">
        <f>IF(Registro!$F390="","",N(Registro!$F390))</f>
        <v/>
      </c>
      <c r="G390" s="11" t="str">
        <f t="shared" si="19"/>
        <v/>
      </c>
      <c r="H390" s="10" t="str">
        <f>IF(Registro!$G390="","",IF(ISERROR(FIND("x",LOWER(Registro!$G390))),"-",IFERROR(SUMPRODUCT(--("0"&amp;LEFT(TRIM(MID(SUBSTITUTE(SUBSTITUTE(SUBSTITUTE(SUBSTITUTE(SUBSTITUTE(LOWER(Registro!$G390),"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",LEN(Registro!$G390))),({1,2,3,4,5,6,7,8,9,10,11,12,13,14,15,16,17,18,19,20,21,22,23,24,25,26,27,28,29,30}-1)*LEN(Registro!$G390)+1,LEN(Registro!$G390))),FIND("x",TRIM(MID(SUBSTITUTE(SUBSTITUTE(SUBSTITUTE(SUBSTITUTE(SUBSTITUTE(LOWER(Registro!$G390),"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",LEN(Registro!$G390))),({1,2,3,4,5,6,7,8,9,10,11,12,13,14,15,16,17,18,19,20,21,22,23,24,25,26,27,28,29,30}-1)*LEN(Registro!$G390)+1,LEN(Registro!$G390)))&amp;"x")-1))),"Revisar formato")))</f>
        <v/>
      </c>
      <c r="I390" s="11" t="str">
        <f>IF(Registro!$G390="","",IF(ISERROR(FIND("x",LOWER(Registro!$G390))),N(Registro!$H390),IFERROR(SUMPRODUCT(--("0"&amp;LEFT(TRIM(MID(SUBSTITUTE(SUBSTITUTE(SUBSTITUTE(SUBSTITUTE(SUBSTITUTE(LOWER(Registro!$G390),"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",LEN(Registro!$G390))),({1,2,3,4,5,6,7,8,9,10,11,12,13,14,15,16,17,18,19,20,21,22,23,24,25,26,27,28,29,30}-1)*LEN(Registro!$G390)+1,LEN(Registro!$G390))),FIND("x",TRIM(MID(SUBSTITUTE(SUBSTITUTE(SUBSTITUTE(SUBSTITUTE(SUBSTITUTE(LOWER(Registro!$G390),"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",LEN(Registro!$G390))),({1,2,3,4,5,6,7,8,9,10,11,12,13,14,15,16,17,18,19,20,21,22,23,24,25,26,27,28,29,30}-1)*LEN(Registro!$G390)+1,LEN(Registro!$G390)))&amp;"x")-1)),--("0"&amp;MID(TRIM(MID(SUBSTITUTE(SUBSTITUTE(SUBSTITUTE(SUBSTITUTE(SUBSTITUTE(LOWER(Registro!$G390),"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",LEN(Registro!$G390))),({1,2,3,4,5,6,7,8,9,10,11,12,13,14,15,16,17,18,19,20,21,22,23,24,25,26,27,28,29,30}-1)*LEN(Registro!$G390)+1,LEN(Registro!$G390))),FIND("x",TRIM(MID(SUBSTITUTE(SUBSTITUTE(SUBSTITUTE(SUBSTITUTE(SUBSTITUTE(LOWER(Registro!$G390),"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",LEN(Registro!$G390))),({1,2,3,4,5,6,7,8,9,10,11,12,13,14,15,16,17,18,19,20,21,22,23,24,25,26,27,28,29,30}-1)*LEN(Registro!$G390)+1,LEN(Registro!$G390)))&amp;"x")+1,20))),"Revisar formato")))</f>
        <v/>
      </c>
      <c r="J390" s="9" t="str">
        <f>IF(AND(Registro!$E390="",Registro!$G390=""),"",IF(NOT(AND(ISNUMBER(I390),ISNUMBER(Registro!$H390))),"",IF(I390&lt;Registro!$H390,"FALTA BOLETOS",IF(I390=Registro!$H390,"CONFORME","DIFERENCIA"))))</f>
        <v/>
      </c>
      <c r="K390" s="11" t="str">
        <f>IF(Registro!$I390="","",IFERROR(SUMPRODUCT(--("0"&amp;TRIM(RIGHT(SUBSTITUTE(TRIM(MID(SUBSTITUTE(SUBSTITUTE(Registro!$I390,";",CHAR(10)),CHAR(10),REPT(" ",LEN(Registro!$I390))),({1,2,3,4,5,6,7,8,9,10,11,12,13,14,15,16,17,18,19,20,21,22,23,24,25,26,27,28,29,30}-1)*LEN(Registro!$I390)+1,LEN(Registro!$I390)))," ",REPT(" ",50)),50)))),"Revisar formato"))</f>
        <v/>
      </c>
      <c r="L390" s="11" t="str">
        <f>IF(Registro!$J390="","",IFERROR(SUMPRODUCT(--("0"&amp;TRIM(RIGHT(SUBSTITUTE(TRIM(MID(SUBSTITUTE(SUBSTITUTE(Registro!$J390,";",CHAR(10)),CHAR(10),REPT(" ",LEN(Registro!$J390))),({1,2,3,4,5,6,7,8,9,10,11,12,13,14,15,16,17,18,19,20,21,22,23,24,25,26,27,28,29,30}-1)*LEN(Registro!$J390)+1,LEN(Registro!$J390)))," ",REPT(" ",50)),50)))),"Revisar formato"))</f>
        <v/>
      </c>
      <c r="M390" s="11" t="str">
        <f>IF(AND(Registro!$H390="",Registro!$I390=""),"",IF(AND(ISTEXT(K390),K390&lt;&gt;""),"Revisar formato",N(Registro!$H390)-N(K390)))</f>
        <v/>
      </c>
      <c r="N390" s="11" t="str">
        <f t="shared" si="20"/>
        <v/>
      </c>
      <c r="O390" s="15" t="str">
        <f>IF(AND(A390=Consulta!$B$3,C390=Consulta!$H$3),B390*10000+ROW(),"")</f>
        <v/>
      </c>
    </row>
    <row r="391" spans="1:15" x14ac:dyDescent="0.25">
      <c r="A391" s="9" t="str">
        <f>IF(Registro!$A391="","",Registro!$A391)</f>
        <v/>
      </c>
      <c r="B391" s="8" t="str">
        <f>IF(Registro!$B391="","",Registro!$B391)</f>
        <v/>
      </c>
      <c r="C391" s="14" t="str">
        <f t="shared" si="18"/>
        <v/>
      </c>
      <c r="D391" s="10" t="str">
        <f>IF(Registro!$E391="","",IF(ISERROR(FIND("x",LOWER(Registro!$E391))),"-",IFERROR(SUMPRODUCT(--("0"&amp;LEFT(TRIM(MID(SUBSTITUTE(SUBSTITUTE(SUBSTITUTE(SUBSTITUTE(SUBSTITUTE(LOWER(Registro!$E391),"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",LEN(Registro!$E391))),({1,2,3,4,5,6,7,8,9,10,11,12,13,14,15,16,17,18,19,20,21,22,23,24,25,26,27,28,29,30}-1)*LEN(Registro!$E391)+1,LEN(Registro!$E391)))&amp;"x")-1))),"Revisar formato")))</f>
        <v/>
      </c>
      <c r="E391" s="11" t="str">
        <f>IF(Registro!$E391="","",IF(ISERROR(FIND("x",LOWER(Registro!$E391))),"-",IFERROR(SUMPRODUCT(--("0"&amp;LEFT(TRIM(MID(SUBSTITUTE(SUBSTITUTE(SUBSTITUTE(SUBSTITUTE(SUBSTITUTE(LOWER(Registro!$E391),"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",LEN(Registro!$E391))),({1,2,3,4,5,6,7,8,9,10,11,12,13,14,15,16,17,18,19,20,21,22,23,24,25,26,27,28,29,30}-1)*LEN(Registro!$E391)+1,LEN(Registro!$E391)))&amp;"x")-1)),--("0"&amp;MID(TRIM(MID(SUBSTITUTE(SUBSTITUTE(SUBSTITUTE(SUBSTITUTE(SUBSTITUTE(LOWER(Registro!$E391),"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",LEN(Registro!$E391))),({1,2,3,4,5,6,7,8,9,10,11,12,13,14,15,16,17,18,19,20,21,22,23,24,25,26,27,28,29,30}-1)*LEN(Registro!$E391)+1,LEN(Registro!$E391)))&amp;"x")+1,20))),"Revisar formato")))</f>
        <v/>
      </c>
      <c r="F391" s="11" t="str">
        <f>IF(Registro!$F391="","",N(Registro!$F391))</f>
        <v/>
      </c>
      <c r="G391" s="11" t="str">
        <f t="shared" si="19"/>
        <v/>
      </c>
      <c r="H391" s="10" t="str">
        <f>IF(Registro!$G391="","",IF(ISERROR(FIND("x",LOWER(Registro!$G391))),"-",IFERROR(SUMPRODUCT(--("0"&amp;LEFT(TRIM(MID(SUBSTITUTE(SUBSTITUTE(SUBSTITUTE(SUBSTITUTE(SUBSTITUTE(LOWER(Registro!$G391),"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",LEN(Registro!$G391))),({1,2,3,4,5,6,7,8,9,10,11,12,13,14,15,16,17,18,19,20,21,22,23,24,25,26,27,28,29,30}-1)*LEN(Registro!$G391)+1,LEN(Registro!$G391))),FIND("x",TRIM(MID(SUBSTITUTE(SUBSTITUTE(SUBSTITUTE(SUBSTITUTE(SUBSTITUTE(LOWER(Registro!$G391),"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",LEN(Registro!$G391))),({1,2,3,4,5,6,7,8,9,10,11,12,13,14,15,16,17,18,19,20,21,22,23,24,25,26,27,28,29,30}-1)*LEN(Registro!$G391)+1,LEN(Registro!$G391)))&amp;"x")-1))),"Revisar formato")))</f>
        <v/>
      </c>
      <c r="I391" s="11" t="str">
        <f>IF(Registro!$G391="","",IF(ISERROR(FIND("x",LOWER(Registro!$G391))),N(Registro!$H391),IFERROR(SUMPRODUCT(--("0"&amp;LEFT(TRIM(MID(SUBSTITUTE(SUBSTITUTE(SUBSTITUTE(SUBSTITUTE(SUBSTITUTE(LOWER(Registro!$G391),"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",LEN(Registro!$G391))),({1,2,3,4,5,6,7,8,9,10,11,12,13,14,15,16,17,18,19,20,21,22,23,24,25,26,27,28,29,30}-1)*LEN(Registro!$G391)+1,LEN(Registro!$G391))),FIND("x",TRIM(MID(SUBSTITUTE(SUBSTITUTE(SUBSTITUTE(SUBSTITUTE(SUBSTITUTE(LOWER(Registro!$G391),"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",LEN(Registro!$G391))),({1,2,3,4,5,6,7,8,9,10,11,12,13,14,15,16,17,18,19,20,21,22,23,24,25,26,27,28,29,30}-1)*LEN(Registro!$G391)+1,LEN(Registro!$G391)))&amp;"x")-1)),--("0"&amp;MID(TRIM(MID(SUBSTITUTE(SUBSTITUTE(SUBSTITUTE(SUBSTITUTE(SUBSTITUTE(LOWER(Registro!$G391),"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",LEN(Registro!$G391))),({1,2,3,4,5,6,7,8,9,10,11,12,13,14,15,16,17,18,19,20,21,22,23,24,25,26,27,28,29,30}-1)*LEN(Registro!$G391)+1,LEN(Registro!$G391))),FIND("x",TRIM(MID(SUBSTITUTE(SUBSTITUTE(SUBSTITUTE(SUBSTITUTE(SUBSTITUTE(LOWER(Registro!$G391),"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",LEN(Registro!$G391))),({1,2,3,4,5,6,7,8,9,10,11,12,13,14,15,16,17,18,19,20,21,22,23,24,25,26,27,28,29,30}-1)*LEN(Registro!$G391)+1,LEN(Registro!$G391)))&amp;"x")+1,20))),"Revisar formato")))</f>
        <v/>
      </c>
      <c r="J391" s="9" t="str">
        <f>IF(AND(Registro!$E391="",Registro!$G391=""),"",IF(NOT(AND(ISNUMBER(I391),ISNUMBER(Registro!$H391))),"",IF(I391&lt;Registro!$H391,"FALTA BOLETOS",IF(I391=Registro!$H391,"CONFORME","DIFERENCIA"))))</f>
        <v/>
      </c>
      <c r="K391" s="11" t="str">
        <f>IF(Registro!$I391="","",IFERROR(SUMPRODUCT(--("0"&amp;TRIM(RIGHT(SUBSTITUTE(TRIM(MID(SUBSTITUTE(SUBSTITUTE(Registro!$I391,";",CHAR(10)),CHAR(10),REPT(" ",LEN(Registro!$I391))),({1,2,3,4,5,6,7,8,9,10,11,12,13,14,15,16,17,18,19,20,21,22,23,24,25,26,27,28,29,30}-1)*LEN(Registro!$I391)+1,LEN(Registro!$I391)))," ",REPT(" ",50)),50)))),"Revisar formato"))</f>
        <v/>
      </c>
      <c r="L391" s="11" t="str">
        <f>IF(Registro!$J391="","",IFERROR(SUMPRODUCT(--("0"&amp;TRIM(RIGHT(SUBSTITUTE(TRIM(MID(SUBSTITUTE(SUBSTITUTE(Registro!$J391,";",CHAR(10)),CHAR(10),REPT(" ",LEN(Registro!$J391))),({1,2,3,4,5,6,7,8,9,10,11,12,13,14,15,16,17,18,19,20,21,22,23,24,25,26,27,28,29,30}-1)*LEN(Registro!$J391)+1,LEN(Registro!$J391)))," ",REPT(" ",50)),50)))),"Revisar formato"))</f>
        <v/>
      </c>
      <c r="M391" s="11" t="str">
        <f>IF(AND(Registro!$H391="",Registro!$I391=""),"",IF(AND(ISTEXT(K391),K391&lt;&gt;""),"Revisar formato",N(Registro!$H391)-N(K391)))</f>
        <v/>
      </c>
      <c r="N391" s="11" t="str">
        <f t="shared" si="20"/>
        <v/>
      </c>
      <c r="O391" s="15" t="str">
        <f>IF(AND(A391=Consulta!$B$3,C391=Consulta!$H$3),B391*10000+ROW(),"")</f>
        <v/>
      </c>
    </row>
    <row r="392" spans="1:15" x14ac:dyDescent="0.25">
      <c r="A392" s="9" t="str">
        <f>IF(Registro!$A392="","",Registro!$A392)</f>
        <v/>
      </c>
      <c r="B392" s="8" t="str">
        <f>IF(Registro!$B392="","",Registro!$B392)</f>
        <v/>
      </c>
      <c r="C392" s="14" t="str">
        <f t="shared" si="18"/>
        <v/>
      </c>
      <c r="D392" s="10" t="str">
        <f>IF(Registro!$E392="","",IF(ISERROR(FIND("x",LOWER(Registro!$E392))),"-",IFERROR(SUMPRODUCT(--("0"&amp;LEFT(TRIM(MID(SUBSTITUTE(SUBSTITUTE(SUBSTITUTE(SUBSTITUTE(SUBSTITUTE(LOWER(Registro!$E392),"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",LEN(Registro!$E392))),({1,2,3,4,5,6,7,8,9,10,11,12,13,14,15,16,17,18,19,20,21,22,23,24,25,26,27,28,29,30}-1)*LEN(Registro!$E392)+1,LEN(Registro!$E392)))&amp;"x")-1))),"Revisar formato")))</f>
        <v/>
      </c>
      <c r="E392" s="11" t="str">
        <f>IF(Registro!$E392="","",IF(ISERROR(FIND("x",LOWER(Registro!$E392))),"-",IFERROR(SUMPRODUCT(--("0"&amp;LEFT(TRIM(MID(SUBSTITUTE(SUBSTITUTE(SUBSTITUTE(SUBSTITUTE(SUBSTITUTE(LOWER(Registro!$E392),"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",LEN(Registro!$E392))),({1,2,3,4,5,6,7,8,9,10,11,12,13,14,15,16,17,18,19,20,21,22,23,24,25,26,27,28,29,30}-1)*LEN(Registro!$E392)+1,LEN(Registro!$E392)))&amp;"x")-1)),--("0"&amp;MID(TRIM(MID(SUBSTITUTE(SUBSTITUTE(SUBSTITUTE(SUBSTITUTE(SUBSTITUTE(LOWER(Registro!$E392),"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",LEN(Registro!$E392))),({1,2,3,4,5,6,7,8,9,10,11,12,13,14,15,16,17,18,19,20,21,22,23,24,25,26,27,28,29,30}-1)*LEN(Registro!$E392)+1,LEN(Registro!$E392)))&amp;"x")+1,20))),"Revisar formato")))</f>
        <v/>
      </c>
      <c r="F392" s="11" t="str">
        <f>IF(Registro!$F392="","",N(Registro!$F392))</f>
        <v/>
      </c>
      <c r="G392" s="11" t="str">
        <f t="shared" si="19"/>
        <v/>
      </c>
      <c r="H392" s="10" t="str">
        <f>IF(Registro!$G392="","",IF(ISERROR(FIND("x",LOWER(Registro!$G392))),"-",IFERROR(SUMPRODUCT(--("0"&amp;LEFT(TRIM(MID(SUBSTITUTE(SUBSTITUTE(SUBSTITUTE(SUBSTITUTE(SUBSTITUTE(LOWER(Registro!$G392),"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",LEN(Registro!$G392))),({1,2,3,4,5,6,7,8,9,10,11,12,13,14,15,16,17,18,19,20,21,22,23,24,25,26,27,28,29,30}-1)*LEN(Registro!$G392)+1,LEN(Registro!$G392))),FIND("x",TRIM(MID(SUBSTITUTE(SUBSTITUTE(SUBSTITUTE(SUBSTITUTE(SUBSTITUTE(LOWER(Registro!$G392),"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",LEN(Registro!$G392))),({1,2,3,4,5,6,7,8,9,10,11,12,13,14,15,16,17,18,19,20,21,22,23,24,25,26,27,28,29,30}-1)*LEN(Registro!$G392)+1,LEN(Registro!$G392)))&amp;"x")-1))),"Revisar formato")))</f>
        <v/>
      </c>
      <c r="I392" s="11" t="str">
        <f>IF(Registro!$G392="","",IF(ISERROR(FIND("x",LOWER(Registro!$G392))),N(Registro!$H392),IFERROR(SUMPRODUCT(--("0"&amp;LEFT(TRIM(MID(SUBSTITUTE(SUBSTITUTE(SUBSTITUTE(SUBSTITUTE(SUBSTITUTE(LOWER(Registro!$G392),"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",LEN(Registro!$G392))),({1,2,3,4,5,6,7,8,9,10,11,12,13,14,15,16,17,18,19,20,21,22,23,24,25,26,27,28,29,30}-1)*LEN(Registro!$G392)+1,LEN(Registro!$G392))),FIND("x",TRIM(MID(SUBSTITUTE(SUBSTITUTE(SUBSTITUTE(SUBSTITUTE(SUBSTITUTE(LOWER(Registro!$G392),"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",LEN(Registro!$G392))),({1,2,3,4,5,6,7,8,9,10,11,12,13,14,15,16,17,18,19,20,21,22,23,24,25,26,27,28,29,30}-1)*LEN(Registro!$G392)+1,LEN(Registro!$G392)))&amp;"x")-1)),--("0"&amp;MID(TRIM(MID(SUBSTITUTE(SUBSTITUTE(SUBSTITUTE(SUBSTITUTE(SUBSTITUTE(LOWER(Registro!$G392),"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",LEN(Registro!$G392))),({1,2,3,4,5,6,7,8,9,10,11,12,13,14,15,16,17,18,19,20,21,22,23,24,25,26,27,28,29,30}-1)*LEN(Registro!$G392)+1,LEN(Registro!$G392))),FIND("x",TRIM(MID(SUBSTITUTE(SUBSTITUTE(SUBSTITUTE(SUBSTITUTE(SUBSTITUTE(LOWER(Registro!$G392),"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",LEN(Registro!$G392))),({1,2,3,4,5,6,7,8,9,10,11,12,13,14,15,16,17,18,19,20,21,22,23,24,25,26,27,28,29,30}-1)*LEN(Registro!$G392)+1,LEN(Registro!$G392)))&amp;"x")+1,20))),"Revisar formato")))</f>
        <v/>
      </c>
      <c r="J392" s="9" t="str">
        <f>IF(AND(Registro!$E392="",Registro!$G392=""),"",IF(NOT(AND(ISNUMBER(I392),ISNUMBER(Registro!$H392))),"",IF(I392&lt;Registro!$H392,"FALTA BOLETOS",IF(I392=Registro!$H392,"CONFORME","DIFERENCIA"))))</f>
        <v/>
      </c>
      <c r="K392" s="11" t="str">
        <f>IF(Registro!$I392="","",IFERROR(SUMPRODUCT(--("0"&amp;TRIM(RIGHT(SUBSTITUTE(TRIM(MID(SUBSTITUTE(SUBSTITUTE(Registro!$I392,";",CHAR(10)),CHAR(10),REPT(" ",LEN(Registro!$I392))),({1,2,3,4,5,6,7,8,9,10,11,12,13,14,15,16,17,18,19,20,21,22,23,24,25,26,27,28,29,30}-1)*LEN(Registro!$I392)+1,LEN(Registro!$I392)))," ",REPT(" ",50)),50)))),"Revisar formato"))</f>
        <v/>
      </c>
      <c r="L392" s="11" t="str">
        <f>IF(Registro!$J392="","",IFERROR(SUMPRODUCT(--("0"&amp;TRIM(RIGHT(SUBSTITUTE(TRIM(MID(SUBSTITUTE(SUBSTITUTE(Registro!$J392,";",CHAR(10)),CHAR(10),REPT(" ",LEN(Registro!$J392))),({1,2,3,4,5,6,7,8,9,10,11,12,13,14,15,16,17,18,19,20,21,22,23,24,25,26,27,28,29,30}-1)*LEN(Registro!$J392)+1,LEN(Registro!$J392)))," ",REPT(" ",50)),50)))),"Revisar formato"))</f>
        <v/>
      </c>
      <c r="M392" s="11" t="str">
        <f>IF(AND(Registro!$H392="",Registro!$I392=""),"",IF(AND(ISTEXT(K392),K392&lt;&gt;""),"Revisar formato",N(Registro!$H392)-N(K392)))</f>
        <v/>
      </c>
      <c r="N392" s="11" t="str">
        <f t="shared" si="20"/>
        <v/>
      </c>
      <c r="O392" s="15" t="str">
        <f>IF(AND(A392=Consulta!$B$3,C392=Consulta!$H$3),B392*10000+ROW(),"")</f>
        <v/>
      </c>
    </row>
    <row r="393" spans="1:15" x14ac:dyDescent="0.25">
      <c r="A393" s="9" t="str">
        <f>IF(Registro!$A393="","",Registro!$A393)</f>
        <v/>
      </c>
      <c r="B393" s="8" t="str">
        <f>IF(Registro!$B393="","",Registro!$B393)</f>
        <v/>
      </c>
      <c r="C393" s="14" t="str">
        <f t="shared" si="18"/>
        <v/>
      </c>
      <c r="D393" s="10" t="str">
        <f>IF(Registro!$E393="","",IF(ISERROR(FIND("x",LOWER(Registro!$E393))),"-",IFERROR(SUMPRODUCT(--("0"&amp;LEFT(TRIM(MID(SUBSTITUTE(SUBSTITUTE(SUBSTITUTE(SUBSTITUTE(SUBSTITUTE(LOWER(Registro!$E393),"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",LEN(Registro!$E393))),({1,2,3,4,5,6,7,8,9,10,11,12,13,14,15,16,17,18,19,20,21,22,23,24,25,26,27,28,29,30}-1)*LEN(Registro!$E393)+1,LEN(Registro!$E393)))&amp;"x")-1))),"Revisar formato")))</f>
        <v/>
      </c>
      <c r="E393" s="11" t="str">
        <f>IF(Registro!$E393="","",IF(ISERROR(FIND("x",LOWER(Registro!$E393))),"-",IFERROR(SUMPRODUCT(--("0"&amp;LEFT(TRIM(MID(SUBSTITUTE(SUBSTITUTE(SUBSTITUTE(SUBSTITUTE(SUBSTITUTE(LOWER(Registro!$E393),"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",LEN(Registro!$E393))),({1,2,3,4,5,6,7,8,9,10,11,12,13,14,15,16,17,18,19,20,21,22,23,24,25,26,27,28,29,30}-1)*LEN(Registro!$E393)+1,LEN(Registro!$E393)))&amp;"x")-1)),--("0"&amp;MID(TRIM(MID(SUBSTITUTE(SUBSTITUTE(SUBSTITUTE(SUBSTITUTE(SUBSTITUTE(LOWER(Registro!$E393),"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",LEN(Registro!$E393))),({1,2,3,4,5,6,7,8,9,10,11,12,13,14,15,16,17,18,19,20,21,22,23,24,25,26,27,28,29,30}-1)*LEN(Registro!$E393)+1,LEN(Registro!$E393)))&amp;"x")+1,20))),"Revisar formato")))</f>
        <v/>
      </c>
      <c r="F393" s="11" t="str">
        <f>IF(Registro!$F393="","",N(Registro!$F393))</f>
        <v/>
      </c>
      <c r="G393" s="11" t="str">
        <f t="shared" si="19"/>
        <v/>
      </c>
      <c r="H393" s="10" t="str">
        <f>IF(Registro!$G393="","",IF(ISERROR(FIND("x",LOWER(Registro!$G393))),"-",IFERROR(SUMPRODUCT(--("0"&amp;LEFT(TRIM(MID(SUBSTITUTE(SUBSTITUTE(SUBSTITUTE(SUBSTITUTE(SUBSTITUTE(LOWER(Registro!$G393),"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",LEN(Registro!$G393))),({1,2,3,4,5,6,7,8,9,10,11,12,13,14,15,16,17,18,19,20,21,22,23,24,25,26,27,28,29,30}-1)*LEN(Registro!$G393)+1,LEN(Registro!$G393))),FIND("x",TRIM(MID(SUBSTITUTE(SUBSTITUTE(SUBSTITUTE(SUBSTITUTE(SUBSTITUTE(LOWER(Registro!$G393),"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",LEN(Registro!$G393))),({1,2,3,4,5,6,7,8,9,10,11,12,13,14,15,16,17,18,19,20,21,22,23,24,25,26,27,28,29,30}-1)*LEN(Registro!$G393)+1,LEN(Registro!$G393)))&amp;"x")-1))),"Revisar formato")))</f>
        <v/>
      </c>
      <c r="I393" s="11" t="str">
        <f>IF(Registro!$G393="","",IF(ISERROR(FIND("x",LOWER(Registro!$G393))),N(Registro!$H393),IFERROR(SUMPRODUCT(--("0"&amp;LEFT(TRIM(MID(SUBSTITUTE(SUBSTITUTE(SUBSTITUTE(SUBSTITUTE(SUBSTITUTE(LOWER(Registro!$G393),"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",LEN(Registro!$G393))),({1,2,3,4,5,6,7,8,9,10,11,12,13,14,15,16,17,18,19,20,21,22,23,24,25,26,27,28,29,30}-1)*LEN(Registro!$G393)+1,LEN(Registro!$G393))),FIND("x",TRIM(MID(SUBSTITUTE(SUBSTITUTE(SUBSTITUTE(SUBSTITUTE(SUBSTITUTE(LOWER(Registro!$G393),"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",LEN(Registro!$G393))),({1,2,3,4,5,6,7,8,9,10,11,12,13,14,15,16,17,18,19,20,21,22,23,24,25,26,27,28,29,30}-1)*LEN(Registro!$G393)+1,LEN(Registro!$G393)))&amp;"x")-1)),--("0"&amp;MID(TRIM(MID(SUBSTITUTE(SUBSTITUTE(SUBSTITUTE(SUBSTITUTE(SUBSTITUTE(LOWER(Registro!$G393),"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",LEN(Registro!$G393))),({1,2,3,4,5,6,7,8,9,10,11,12,13,14,15,16,17,18,19,20,21,22,23,24,25,26,27,28,29,30}-1)*LEN(Registro!$G393)+1,LEN(Registro!$G393))),FIND("x",TRIM(MID(SUBSTITUTE(SUBSTITUTE(SUBSTITUTE(SUBSTITUTE(SUBSTITUTE(LOWER(Registro!$G393),"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",LEN(Registro!$G393))),({1,2,3,4,5,6,7,8,9,10,11,12,13,14,15,16,17,18,19,20,21,22,23,24,25,26,27,28,29,30}-1)*LEN(Registro!$G393)+1,LEN(Registro!$G393)))&amp;"x")+1,20))),"Revisar formato")))</f>
        <v/>
      </c>
      <c r="J393" s="9" t="str">
        <f>IF(AND(Registro!$E393="",Registro!$G393=""),"",IF(NOT(AND(ISNUMBER(I393),ISNUMBER(Registro!$H393))),"",IF(I393&lt;Registro!$H393,"FALTA BOLETOS",IF(I393=Registro!$H393,"CONFORME","DIFERENCIA"))))</f>
        <v/>
      </c>
      <c r="K393" s="11" t="str">
        <f>IF(Registro!$I393="","",IFERROR(SUMPRODUCT(--("0"&amp;TRIM(RIGHT(SUBSTITUTE(TRIM(MID(SUBSTITUTE(SUBSTITUTE(Registro!$I393,";",CHAR(10)),CHAR(10),REPT(" ",LEN(Registro!$I393))),({1,2,3,4,5,6,7,8,9,10,11,12,13,14,15,16,17,18,19,20,21,22,23,24,25,26,27,28,29,30}-1)*LEN(Registro!$I393)+1,LEN(Registro!$I393)))," ",REPT(" ",50)),50)))),"Revisar formato"))</f>
        <v/>
      </c>
      <c r="L393" s="11" t="str">
        <f>IF(Registro!$J393="","",IFERROR(SUMPRODUCT(--("0"&amp;TRIM(RIGHT(SUBSTITUTE(TRIM(MID(SUBSTITUTE(SUBSTITUTE(Registro!$J393,";",CHAR(10)),CHAR(10),REPT(" ",LEN(Registro!$J393))),({1,2,3,4,5,6,7,8,9,10,11,12,13,14,15,16,17,18,19,20,21,22,23,24,25,26,27,28,29,30}-1)*LEN(Registro!$J393)+1,LEN(Registro!$J393)))," ",REPT(" ",50)),50)))),"Revisar formato"))</f>
        <v/>
      </c>
      <c r="M393" s="11" t="str">
        <f>IF(AND(Registro!$H393="",Registro!$I393=""),"",IF(AND(ISTEXT(K393),K393&lt;&gt;""),"Revisar formato",N(Registro!$H393)-N(K393)))</f>
        <v/>
      </c>
      <c r="N393" s="11" t="str">
        <f t="shared" si="20"/>
        <v/>
      </c>
      <c r="O393" s="15" t="str">
        <f>IF(AND(A393=Consulta!$B$3,C393=Consulta!$H$3),B393*10000+ROW(),"")</f>
        <v/>
      </c>
    </row>
    <row r="394" spans="1:15" x14ac:dyDescent="0.25">
      <c r="A394" s="9" t="str">
        <f>IF(Registro!$A394="","",Registro!$A394)</f>
        <v/>
      </c>
      <c r="B394" s="8" t="str">
        <f>IF(Registro!$B394="","",Registro!$B394)</f>
        <v/>
      </c>
      <c r="C394" s="14" t="str">
        <f t="shared" si="18"/>
        <v/>
      </c>
      <c r="D394" s="10" t="str">
        <f>IF(Registro!$E394="","",IF(ISERROR(FIND("x",LOWER(Registro!$E394))),"-",IFERROR(SUMPRODUCT(--("0"&amp;LEFT(TRIM(MID(SUBSTITUTE(SUBSTITUTE(SUBSTITUTE(SUBSTITUTE(SUBSTITUTE(LOWER(Registro!$E394),"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",LEN(Registro!$E394))),({1,2,3,4,5,6,7,8,9,10,11,12,13,14,15,16,17,18,19,20,21,22,23,24,25,26,27,28,29,30}-1)*LEN(Registro!$E394)+1,LEN(Registro!$E394)))&amp;"x")-1))),"Revisar formato")))</f>
        <v/>
      </c>
      <c r="E394" s="11" t="str">
        <f>IF(Registro!$E394="","",IF(ISERROR(FIND("x",LOWER(Registro!$E394))),"-",IFERROR(SUMPRODUCT(--("0"&amp;LEFT(TRIM(MID(SUBSTITUTE(SUBSTITUTE(SUBSTITUTE(SUBSTITUTE(SUBSTITUTE(LOWER(Registro!$E394),"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",LEN(Registro!$E394))),({1,2,3,4,5,6,7,8,9,10,11,12,13,14,15,16,17,18,19,20,21,22,23,24,25,26,27,28,29,30}-1)*LEN(Registro!$E394)+1,LEN(Registro!$E394)))&amp;"x")-1)),--("0"&amp;MID(TRIM(MID(SUBSTITUTE(SUBSTITUTE(SUBSTITUTE(SUBSTITUTE(SUBSTITUTE(LOWER(Registro!$E394),"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",LEN(Registro!$E394))),({1,2,3,4,5,6,7,8,9,10,11,12,13,14,15,16,17,18,19,20,21,22,23,24,25,26,27,28,29,30}-1)*LEN(Registro!$E394)+1,LEN(Registro!$E394)))&amp;"x")+1,20))),"Revisar formato")))</f>
        <v/>
      </c>
      <c r="F394" s="11" t="str">
        <f>IF(Registro!$F394="","",N(Registro!$F394))</f>
        <v/>
      </c>
      <c r="G394" s="11" t="str">
        <f t="shared" si="19"/>
        <v/>
      </c>
      <c r="H394" s="10" t="str">
        <f>IF(Registro!$G394="","",IF(ISERROR(FIND("x",LOWER(Registro!$G394))),"-",IFERROR(SUMPRODUCT(--("0"&amp;LEFT(TRIM(MID(SUBSTITUTE(SUBSTITUTE(SUBSTITUTE(SUBSTITUTE(SUBSTITUTE(LOWER(Registro!$G394),"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",LEN(Registro!$G394))),({1,2,3,4,5,6,7,8,9,10,11,12,13,14,15,16,17,18,19,20,21,22,23,24,25,26,27,28,29,30}-1)*LEN(Registro!$G394)+1,LEN(Registro!$G394))),FIND("x",TRIM(MID(SUBSTITUTE(SUBSTITUTE(SUBSTITUTE(SUBSTITUTE(SUBSTITUTE(LOWER(Registro!$G394),"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",LEN(Registro!$G394))),({1,2,3,4,5,6,7,8,9,10,11,12,13,14,15,16,17,18,19,20,21,22,23,24,25,26,27,28,29,30}-1)*LEN(Registro!$G394)+1,LEN(Registro!$G394)))&amp;"x")-1))),"Revisar formato")))</f>
        <v/>
      </c>
      <c r="I394" s="11" t="str">
        <f>IF(Registro!$G394="","",IF(ISERROR(FIND("x",LOWER(Registro!$G394))),N(Registro!$H394),IFERROR(SUMPRODUCT(--("0"&amp;LEFT(TRIM(MID(SUBSTITUTE(SUBSTITUTE(SUBSTITUTE(SUBSTITUTE(SUBSTITUTE(LOWER(Registro!$G394),"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",LEN(Registro!$G394))),({1,2,3,4,5,6,7,8,9,10,11,12,13,14,15,16,17,18,19,20,21,22,23,24,25,26,27,28,29,30}-1)*LEN(Registro!$G394)+1,LEN(Registro!$G394))),FIND("x",TRIM(MID(SUBSTITUTE(SUBSTITUTE(SUBSTITUTE(SUBSTITUTE(SUBSTITUTE(LOWER(Registro!$G394),"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",LEN(Registro!$G394))),({1,2,3,4,5,6,7,8,9,10,11,12,13,14,15,16,17,18,19,20,21,22,23,24,25,26,27,28,29,30}-1)*LEN(Registro!$G394)+1,LEN(Registro!$G394)))&amp;"x")-1)),--("0"&amp;MID(TRIM(MID(SUBSTITUTE(SUBSTITUTE(SUBSTITUTE(SUBSTITUTE(SUBSTITUTE(LOWER(Registro!$G394),"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",LEN(Registro!$G394))),({1,2,3,4,5,6,7,8,9,10,11,12,13,14,15,16,17,18,19,20,21,22,23,24,25,26,27,28,29,30}-1)*LEN(Registro!$G394)+1,LEN(Registro!$G394))),FIND("x",TRIM(MID(SUBSTITUTE(SUBSTITUTE(SUBSTITUTE(SUBSTITUTE(SUBSTITUTE(LOWER(Registro!$G394),"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",LEN(Registro!$G394))),({1,2,3,4,5,6,7,8,9,10,11,12,13,14,15,16,17,18,19,20,21,22,23,24,25,26,27,28,29,30}-1)*LEN(Registro!$G394)+1,LEN(Registro!$G394)))&amp;"x")+1,20))),"Revisar formato")))</f>
        <v/>
      </c>
      <c r="J394" s="9" t="str">
        <f>IF(AND(Registro!$E394="",Registro!$G394=""),"",IF(NOT(AND(ISNUMBER(I394),ISNUMBER(Registro!$H394))),"",IF(I394&lt;Registro!$H394,"FALTA BOLETOS",IF(I394=Registro!$H394,"CONFORME","DIFERENCIA"))))</f>
        <v/>
      </c>
      <c r="K394" s="11" t="str">
        <f>IF(Registro!$I394="","",IFERROR(SUMPRODUCT(--("0"&amp;TRIM(RIGHT(SUBSTITUTE(TRIM(MID(SUBSTITUTE(SUBSTITUTE(Registro!$I394,";",CHAR(10)),CHAR(10),REPT(" ",LEN(Registro!$I394))),({1,2,3,4,5,6,7,8,9,10,11,12,13,14,15,16,17,18,19,20,21,22,23,24,25,26,27,28,29,30}-1)*LEN(Registro!$I394)+1,LEN(Registro!$I394)))," ",REPT(" ",50)),50)))),"Revisar formato"))</f>
        <v/>
      </c>
      <c r="L394" s="11" t="str">
        <f>IF(Registro!$J394="","",IFERROR(SUMPRODUCT(--("0"&amp;TRIM(RIGHT(SUBSTITUTE(TRIM(MID(SUBSTITUTE(SUBSTITUTE(Registro!$J394,";",CHAR(10)),CHAR(10),REPT(" ",LEN(Registro!$J394))),({1,2,3,4,5,6,7,8,9,10,11,12,13,14,15,16,17,18,19,20,21,22,23,24,25,26,27,28,29,30}-1)*LEN(Registro!$J394)+1,LEN(Registro!$J394)))," ",REPT(" ",50)),50)))),"Revisar formato"))</f>
        <v/>
      </c>
      <c r="M394" s="11" t="str">
        <f>IF(AND(Registro!$H394="",Registro!$I394=""),"",IF(AND(ISTEXT(K394),K394&lt;&gt;""),"Revisar formato",N(Registro!$H394)-N(K394)))</f>
        <v/>
      </c>
      <c r="N394" s="11" t="str">
        <f t="shared" si="20"/>
        <v/>
      </c>
      <c r="O394" s="15" t="str">
        <f>IF(AND(A394=Consulta!$B$3,C394=Consulta!$H$3),B394*10000+ROW(),"")</f>
        <v/>
      </c>
    </row>
    <row r="395" spans="1:15" x14ac:dyDescent="0.25">
      <c r="A395" s="9" t="str">
        <f>IF(Registro!$A395="","",Registro!$A395)</f>
        <v/>
      </c>
      <c r="B395" s="8" t="str">
        <f>IF(Registro!$B395="","",Registro!$B395)</f>
        <v/>
      </c>
      <c r="C395" s="14" t="str">
        <f t="shared" si="18"/>
        <v/>
      </c>
      <c r="D395" s="10" t="str">
        <f>IF(Registro!$E395="","",IF(ISERROR(FIND("x",LOWER(Registro!$E395))),"-",IFERROR(SUMPRODUCT(--("0"&amp;LEFT(TRIM(MID(SUBSTITUTE(SUBSTITUTE(SUBSTITUTE(SUBSTITUTE(SUBSTITUTE(LOWER(Registro!$E395),"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",LEN(Registro!$E395))),({1,2,3,4,5,6,7,8,9,10,11,12,13,14,15,16,17,18,19,20,21,22,23,24,25,26,27,28,29,30}-1)*LEN(Registro!$E395)+1,LEN(Registro!$E395)))&amp;"x")-1))),"Revisar formato")))</f>
        <v/>
      </c>
      <c r="E395" s="11" t="str">
        <f>IF(Registro!$E395="","",IF(ISERROR(FIND("x",LOWER(Registro!$E395))),"-",IFERROR(SUMPRODUCT(--("0"&amp;LEFT(TRIM(MID(SUBSTITUTE(SUBSTITUTE(SUBSTITUTE(SUBSTITUTE(SUBSTITUTE(LOWER(Registro!$E395),"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",LEN(Registro!$E395))),({1,2,3,4,5,6,7,8,9,10,11,12,13,14,15,16,17,18,19,20,21,22,23,24,25,26,27,28,29,30}-1)*LEN(Registro!$E395)+1,LEN(Registro!$E395)))&amp;"x")-1)),--("0"&amp;MID(TRIM(MID(SUBSTITUTE(SUBSTITUTE(SUBSTITUTE(SUBSTITUTE(SUBSTITUTE(LOWER(Registro!$E395),"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",LEN(Registro!$E395))),({1,2,3,4,5,6,7,8,9,10,11,12,13,14,15,16,17,18,19,20,21,22,23,24,25,26,27,28,29,30}-1)*LEN(Registro!$E395)+1,LEN(Registro!$E395)))&amp;"x")+1,20))),"Revisar formato")))</f>
        <v/>
      </c>
      <c r="F395" s="11" t="str">
        <f>IF(Registro!$F395="","",N(Registro!$F395))</f>
        <v/>
      </c>
      <c r="G395" s="11" t="str">
        <f t="shared" si="19"/>
        <v/>
      </c>
      <c r="H395" s="10" t="str">
        <f>IF(Registro!$G395="","",IF(ISERROR(FIND("x",LOWER(Registro!$G395))),"-",IFERROR(SUMPRODUCT(--("0"&amp;LEFT(TRIM(MID(SUBSTITUTE(SUBSTITUTE(SUBSTITUTE(SUBSTITUTE(SUBSTITUTE(LOWER(Registro!$G395),"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",LEN(Registro!$G395))),({1,2,3,4,5,6,7,8,9,10,11,12,13,14,15,16,17,18,19,20,21,22,23,24,25,26,27,28,29,30}-1)*LEN(Registro!$G395)+1,LEN(Registro!$G395))),FIND("x",TRIM(MID(SUBSTITUTE(SUBSTITUTE(SUBSTITUTE(SUBSTITUTE(SUBSTITUTE(LOWER(Registro!$G395),"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",LEN(Registro!$G395))),({1,2,3,4,5,6,7,8,9,10,11,12,13,14,15,16,17,18,19,20,21,22,23,24,25,26,27,28,29,30}-1)*LEN(Registro!$G395)+1,LEN(Registro!$G395)))&amp;"x")-1))),"Revisar formato")))</f>
        <v/>
      </c>
      <c r="I395" s="11" t="str">
        <f>IF(Registro!$G395="","",IF(ISERROR(FIND("x",LOWER(Registro!$G395))),N(Registro!$H395),IFERROR(SUMPRODUCT(--("0"&amp;LEFT(TRIM(MID(SUBSTITUTE(SUBSTITUTE(SUBSTITUTE(SUBSTITUTE(SUBSTITUTE(LOWER(Registro!$G395),"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",LEN(Registro!$G395))),({1,2,3,4,5,6,7,8,9,10,11,12,13,14,15,16,17,18,19,20,21,22,23,24,25,26,27,28,29,30}-1)*LEN(Registro!$G395)+1,LEN(Registro!$G395))),FIND("x",TRIM(MID(SUBSTITUTE(SUBSTITUTE(SUBSTITUTE(SUBSTITUTE(SUBSTITUTE(LOWER(Registro!$G395),"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",LEN(Registro!$G395))),({1,2,3,4,5,6,7,8,9,10,11,12,13,14,15,16,17,18,19,20,21,22,23,24,25,26,27,28,29,30}-1)*LEN(Registro!$G395)+1,LEN(Registro!$G395)))&amp;"x")-1)),--("0"&amp;MID(TRIM(MID(SUBSTITUTE(SUBSTITUTE(SUBSTITUTE(SUBSTITUTE(SUBSTITUTE(LOWER(Registro!$G395),"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",LEN(Registro!$G395))),({1,2,3,4,5,6,7,8,9,10,11,12,13,14,15,16,17,18,19,20,21,22,23,24,25,26,27,28,29,30}-1)*LEN(Registro!$G395)+1,LEN(Registro!$G395))),FIND("x",TRIM(MID(SUBSTITUTE(SUBSTITUTE(SUBSTITUTE(SUBSTITUTE(SUBSTITUTE(LOWER(Registro!$G395),"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",LEN(Registro!$G395))),({1,2,3,4,5,6,7,8,9,10,11,12,13,14,15,16,17,18,19,20,21,22,23,24,25,26,27,28,29,30}-1)*LEN(Registro!$G395)+1,LEN(Registro!$G395)))&amp;"x")+1,20))),"Revisar formato")))</f>
        <v/>
      </c>
      <c r="J395" s="9" t="str">
        <f>IF(AND(Registro!$E395="",Registro!$G395=""),"",IF(NOT(AND(ISNUMBER(I395),ISNUMBER(Registro!$H395))),"",IF(I395&lt;Registro!$H395,"FALTA BOLETOS",IF(I395=Registro!$H395,"CONFORME","DIFERENCIA"))))</f>
        <v/>
      </c>
      <c r="K395" s="11" t="str">
        <f>IF(Registro!$I395="","",IFERROR(SUMPRODUCT(--("0"&amp;TRIM(RIGHT(SUBSTITUTE(TRIM(MID(SUBSTITUTE(SUBSTITUTE(Registro!$I395,";",CHAR(10)),CHAR(10),REPT(" ",LEN(Registro!$I395))),({1,2,3,4,5,6,7,8,9,10,11,12,13,14,15,16,17,18,19,20,21,22,23,24,25,26,27,28,29,30}-1)*LEN(Registro!$I395)+1,LEN(Registro!$I395)))," ",REPT(" ",50)),50)))),"Revisar formato"))</f>
        <v/>
      </c>
      <c r="L395" s="11" t="str">
        <f>IF(Registro!$J395="","",IFERROR(SUMPRODUCT(--("0"&amp;TRIM(RIGHT(SUBSTITUTE(TRIM(MID(SUBSTITUTE(SUBSTITUTE(Registro!$J395,";",CHAR(10)),CHAR(10),REPT(" ",LEN(Registro!$J395))),({1,2,3,4,5,6,7,8,9,10,11,12,13,14,15,16,17,18,19,20,21,22,23,24,25,26,27,28,29,30}-1)*LEN(Registro!$J395)+1,LEN(Registro!$J395)))," ",REPT(" ",50)),50)))),"Revisar formato"))</f>
        <v/>
      </c>
      <c r="M395" s="11" t="str">
        <f>IF(AND(Registro!$H395="",Registro!$I395=""),"",IF(AND(ISTEXT(K395),K395&lt;&gt;""),"Revisar formato",N(Registro!$H395)-N(K395)))</f>
        <v/>
      </c>
      <c r="N395" s="11" t="str">
        <f t="shared" si="20"/>
        <v/>
      </c>
      <c r="O395" s="15" t="str">
        <f>IF(AND(A395=Consulta!$B$3,C395=Consulta!$H$3),B395*10000+ROW(),"")</f>
        <v/>
      </c>
    </row>
    <row r="396" spans="1:15" x14ac:dyDescent="0.25">
      <c r="A396" s="9" t="str">
        <f>IF(Registro!$A396="","",Registro!$A396)</f>
        <v/>
      </c>
      <c r="B396" s="8" t="str">
        <f>IF(Registro!$B396="","",Registro!$B396)</f>
        <v/>
      </c>
      <c r="C396" s="14" t="str">
        <f t="shared" si="18"/>
        <v/>
      </c>
      <c r="D396" s="10" t="str">
        <f>IF(Registro!$E396="","",IF(ISERROR(FIND("x",LOWER(Registro!$E396))),"-",IFERROR(SUMPRODUCT(--("0"&amp;LEFT(TRIM(MID(SUBSTITUTE(SUBSTITUTE(SUBSTITUTE(SUBSTITUTE(SUBSTITUTE(LOWER(Registro!$E396),"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",LEN(Registro!$E396))),({1,2,3,4,5,6,7,8,9,10,11,12,13,14,15,16,17,18,19,20,21,22,23,24,25,26,27,28,29,30}-1)*LEN(Registro!$E396)+1,LEN(Registro!$E396)))&amp;"x")-1))),"Revisar formato")))</f>
        <v/>
      </c>
      <c r="E396" s="11" t="str">
        <f>IF(Registro!$E396="","",IF(ISERROR(FIND("x",LOWER(Registro!$E396))),"-",IFERROR(SUMPRODUCT(--("0"&amp;LEFT(TRIM(MID(SUBSTITUTE(SUBSTITUTE(SUBSTITUTE(SUBSTITUTE(SUBSTITUTE(LOWER(Registro!$E396),"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",LEN(Registro!$E396))),({1,2,3,4,5,6,7,8,9,10,11,12,13,14,15,16,17,18,19,20,21,22,23,24,25,26,27,28,29,30}-1)*LEN(Registro!$E396)+1,LEN(Registro!$E396)))&amp;"x")-1)),--("0"&amp;MID(TRIM(MID(SUBSTITUTE(SUBSTITUTE(SUBSTITUTE(SUBSTITUTE(SUBSTITUTE(LOWER(Registro!$E396),"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",LEN(Registro!$E396))),({1,2,3,4,5,6,7,8,9,10,11,12,13,14,15,16,17,18,19,20,21,22,23,24,25,26,27,28,29,30}-1)*LEN(Registro!$E396)+1,LEN(Registro!$E396)))&amp;"x")+1,20))),"Revisar formato")))</f>
        <v/>
      </c>
      <c r="F396" s="11" t="str">
        <f>IF(Registro!$F396="","",N(Registro!$F396))</f>
        <v/>
      </c>
      <c r="G396" s="11" t="str">
        <f t="shared" si="19"/>
        <v/>
      </c>
      <c r="H396" s="10" t="str">
        <f>IF(Registro!$G396="","",IF(ISERROR(FIND("x",LOWER(Registro!$G396))),"-",IFERROR(SUMPRODUCT(--("0"&amp;LEFT(TRIM(MID(SUBSTITUTE(SUBSTITUTE(SUBSTITUTE(SUBSTITUTE(SUBSTITUTE(LOWER(Registro!$G396),"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",LEN(Registro!$G396))),({1,2,3,4,5,6,7,8,9,10,11,12,13,14,15,16,17,18,19,20,21,22,23,24,25,26,27,28,29,30}-1)*LEN(Registro!$G396)+1,LEN(Registro!$G396))),FIND("x",TRIM(MID(SUBSTITUTE(SUBSTITUTE(SUBSTITUTE(SUBSTITUTE(SUBSTITUTE(LOWER(Registro!$G396),"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",LEN(Registro!$G396))),({1,2,3,4,5,6,7,8,9,10,11,12,13,14,15,16,17,18,19,20,21,22,23,24,25,26,27,28,29,30}-1)*LEN(Registro!$G396)+1,LEN(Registro!$G396)))&amp;"x")-1))),"Revisar formato")))</f>
        <v/>
      </c>
      <c r="I396" s="11" t="str">
        <f>IF(Registro!$G396="","",IF(ISERROR(FIND("x",LOWER(Registro!$G396))),N(Registro!$H396),IFERROR(SUMPRODUCT(--("0"&amp;LEFT(TRIM(MID(SUBSTITUTE(SUBSTITUTE(SUBSTITUTE(SUBSTITUTE(SUBSTITUTE(LOWER(Registro!$G396),"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",LEN(Registro!$G396))),({1,2,3,4,5,6,7,8,9,10,11,12,13,14,15,16,17,18,19,20,21,22,23,24,25,26,27,28,29,30}-1)*LEN(Registro!$G396)+1,LEN(Registro!$G396))),FIND("x",TRIM(MID(SUBSTITUTE(SUBSTITUTE(SUBSTITUTE(SUBSTITUTE(SUBSTITUTE(LOWER(Registro!$G396),"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",LEN(Registro!$G396))),({1,2,3,4,5,6,7,8,9,10,11,12,13,14,15,16,17,18,19,20,21,22,23,24,25,26,27,28,29,30}-1)*LEN(Registro!$G396)+1,LEN(Registro!$G396)))&amp;"x")-1)),--("0"&amp;MID(TRIM(MID(SUBSTITUTE(SUBSTITUTE(SUBSTITUTE(SUBSTITUTE(SUBSTITUTE(LOWER(Registro!$G396),"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",LEN(Registro!$G396))),({1,2,3,4,5,6,7,8,9,10,11,12,13,14,15,16,17,18,19,20,21,22,23,24,25,26,27,28,29,30}-1)*LEN(Registro!$G396)+1,LEN(Registro!$G396))),FIND("x",TRIM(MID(SUBSTITUTE(SUBSTITUTE(SUBSTITUTE(SUBSTITUTE(SUBSTITUTE(LOWER(Registro!$G396),"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",LEN(Registro!$G396))),({1,2,3,4,5,6,7,8,9,10,11,12,13,14,15,16,17,18,19,20,21,22,23,24,25,26,27,28,29,30}-1)*LEN(Registro!$G396)+1,LEN(Registro!$G396)))&amp;"x")+1,20))),"Revisar formato")))</f>
        <v/>
      </c>
      <c r="J396" s="9" t="str">
        <f>IF(AND(Registro!$E396="",Registro!$G396=""),"",IF(NOT(AND(ISNUMBER(I396),ISNUMBER(Registro!$H396))),"",IF(I396&lt;Registro!$H396,"FALTA BOLETOS",IF(I396=Registro!$H396,"CONFORME","DIFERENCIA"))))</f>
        <v/>
      </c>
      <c r="K396" s="11" t="str">
        <f>IF(Registro!$I396="","",IFERROR(SUMPRODUCT(--("0"&amp;TRIM(RIGHT(SUBSTITUTE(TRIM(MID(SUBSTITUTE(SUBSTITUTE(Registro!$I396,";",CHAR(10)),CHAR(10),REPT(" ",LEN(Registro!$I396))),({1,2,3,4,5,6,7,8,9,10,11,12,13,14,15,16,17,18,19,20,21,22,23,24,25,26,27,28,29,30}-1)*LEN(Registro!$I396)+1,LEN(Registro!$I396)))," ",REPT(" ",50)),50)))),"Revisar formato"))</f>
        <v/>
      </c>
      <c r="L396" s="11" t="str">
        <f>IF(Registro!$J396="","",IFERROR(SUMPRODUCT(--("0"&amp;TRIM(RIGHT(SUBSTITUTE(TRIM(MID(SUBSTITUTE(SUBSTITUTE(Registro!$J396,";",CHAR(10)),CHAR(10),REPT(" ",LEN(Registro!$J396))),({1,2,3,4,5,6,7,8,9,10,11,12,13,14,15,16,17,18,19,20,21,22,23,24,25,26,27,28,29,30}-1)*LEN(Registro!$J396)+1,LEN(Registro!$J396)))," ",REPT(" ",50)),50)))),"Revisar formato"))</f>
        <v/>
      </c>
      <c r="M396" s="11" t="str">
        <f>IF(AND(Registro!$H396="",Registro!$I396=""),"",IF(AND(ISTEXT(K396),K396&lt;&gt;""),"Revisar formato",N(Registro!$H396)-N(K396)))</f>
        <v/>
      </c>
      <c r="N396" s="11" t="str">
        <f t="shared" si="20"/>
        <v/>
      </c>
      <c r="O396" s="15" t="str">
        <f>IF(AND(A396=Consulta!$B$3,C396=Consulta!$H$3),B396*10000+ROW(),"")</f>
        <v/>
      </c>
    </row>
    <row r="397" spans="1:15" x14ac:dyDescent="0.25">
      <c r="A397" s="9" t="str">
        <f>IF(Registro!$A397="","",Registro!$A397)</f>
        <v/>
      </c>
      <c r="B397" s="8" t="str">
        <f>IF(Registro!$B397="","",Registro!$B397)</f>
        <v/>
      </c>
      <c r="C397" s="14" t="str">
        <f t="shared" si="18"/>
        <v/>
      </c>
      <c r="D397" s="10" t="str">
        <f>IF(Registro!$E397="","",IF(ISERROR(FIND("x",LOWER(Registro!$E397))),"-",IFERROR(SUMPRODUCT(--("0"&amp;LEFT(TRIM(MID(SUBSTITUTE(SUBSTITUTE(SUBSTITUTE(SUBSTITUTE(SUBSTITUTE(LOWER(Registro!$E397),"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",LEN(Registro!$E397))),({1,2,3,4,5,6,7,8,9,10,11,12,13,14,15,16,17,18,19,20,21,22,23,24,25,26,27,28,29,30}-1)*LEN(Registro!$E397)+1,LEN(Registro!$E397)))&amp;"x")-1))),"Revisar formato")))</f>
        <v/>
      </c>
      <c r="E397" s="11" t="str">
        <f>IF(Registro!$E397="","",IF(ISERROR(FIND("x",LOWER(Registro!$E397))),"-",IFERROR(SUMPRODUCT(--("0"&amp;LEFT(TRIM(MID(SUBSTITUTE(SUBSTITUTE(SUBSTITUTE(SUBSTITUTE(SUBSTITUTE(LOWER(Registro!$E397),"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",LEN(Registro!$E397))),({1,2,3,4,5,6,7,8,9,10,11,12,13,14,15,16,17,18,19,20,21,22,23,24,25,26,27,28,29,30}-1)*LEN(Registro!$E397)+1,LEN(Registro!$E397)))&amp;"x")-1)),--("0"&amp;MID(TRIM(MID(SUBSTITUTE(SUBSTITUTE(SUBSTITUTE(SUBSTITUTE(SUBSTITUTE(LOWER(Registro!$E397),"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",LEN(Registro!$E397))),({1,2,3,4,5,6,7,8,9,10,11,12,13,14,15,16,17,18,19,20,21,22,23,24,25,26,27,28,29,30}-1)*LEN(Registro!$E397)+1,LEN(Registro!$E397)))&amp;"x")+1,20))),"Revisar formato")))</f>
        <v/>
      </c>
      <c r="F397" s="11" t="str">
        <f>IF(Registro!$F397="","",N(Registro!$F397))</f>
        <v/>
      </c>
      <c r="G397" s="11" t="str">
        <f t="shared" si="19"/>
        <v/>
      </c>
      <c r="H397" s="10" t="str">
        <f>IF(Registro!$G397="","",IF(ISERROR(FIND("x",LOWER(Registro!$G397))),"-",IFERROR(SUMPRODUCT(--("0"&amp;LEFT(TRIM(MID(SUBSTITUTE(SUBSTITUTE(SUBSTITUTE(SUBSTITUTE(SUBSTITUTE(LOWER(Registro!$G397),"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",LEN(Registro!$G397))),({1,2,3,4,5,6,7,8,9,10,11,12,13,14,15,16,17,18,19,20,21,22,23,24,25,26,27,28,29,30}-1)*LEN(Registro!$G397)+1,LEN(Registro!$G397))),FIND("x",TRIM(MID(SUBSTITUTE(SUBSTITUTE(SUBSTITUTE(SUBSTITUTE(SUBSTITUTE(LOWER(Registro!$G397),"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",LEN(Registro!$G397))),({1,2,3,4,5,6,7,8,9,10,11,12,13,14,15,16,17,18,19,20,21,22,23,24,25,26,27,28,29,30}-1)*LEN(Registro!$G397)+1,LEN(Registro!$G397)))&amp;"x")-1))),"Revisar formato")))</f>
        <v/>
      </c>
      <c r="I397" s="11" t="str">
        <f>IF(Registro!$G397="","",IF(ISERROR(FIND("x",LOWER(Registro!$G397))),N(Registro!$H397),IFERROR(SUMPRODUCT(--("0"&amp;LEFT(TRIM(MID(SUBSTITUTE(SUBSTITUTE(SUBSTITUTE(SUBSTITUTE(SUBSTITUTE(LOWER(Registro!$G397),"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",LEN(Registro!$G397))),({1,2,3,4,5,6,7,8,9,10,11,12,13,14,15,16,17,18,19,20,21,22,23,24,25,26,27,28,29,30}-1)*LEN(Registro!$G397)+1,LEN(Registro!$G397))),FIND("x",TRIM(MID(SUBSTITUTE(SUBSTITUTE(SUBSTITUTE(SUBSTITUTE(SUBSTITUTE(LOWER(Registro!$G397),"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",LEN(Registro!$G397))),({1,2,3,4,5,6,7,8,9,10,11,12,13,14,15,16,17,18,19,20,21,22,23,24,25,26,27,28,29,30}-1)*LEN(Registro!$G397)+1,LEN(Registro!$G397)))&amp;"x")-1)),--("0"&amp;MID(TRIM(MID(SUBSTITUTE(SUBSTITUTE(SUBSTITUTE(SUBSTITUTE(SUBSTITUTE(LOWER(Registro!$G397),"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",LEN(Registro!$G397))),({1,2,3,4,5,6,7,8,9,10,11,12,13,14,15,16,17,18,19,20,21,22,23,24,25,26,27,28,29,30}-1)*LEN(Registro!$G397)+1,LEN(Registro!$G397))),FIND("x",TRIM(MID(SUBSTITUTE(SUBSTITUTE(SUBSTITUTE(SUBSTITUTE(SUBSTITUTE(LOWER(Registro!$G397),"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",LEN(Registro!$G397))),({1,2,3,4,5,6,7,8,9,10,11,12,13,14,15,16,17,18,19,20,21,22,23,24,25,26,27,28,29,30}-1)*LEN(Registro!$G397)+1,LEN(Registro!$G397)))&amp;"x")+1,20))),"Revisar formato")))</f>
        <v/>
      </c>
      <c r="J397" s="9" t="str">
        <f>IF(AND(Registro!$E397="",Registro!$G397=""),"",IF(NOT(AND(ISNUMBER(I397),ISNUMBER(Registro!$H397))),"",IF(I397&lt;Registro!$H397,"FALTA BOLETOS",IF(I397=Registro!$H397,"CONFORME","DIFERENCIA"))))</f>
        <v/>
      </c>
      <c r="K397" s="11" t="str">
        <f>IF(Registro!$I397="","",IFERROR(SUMPRODUCT(--("0"&amp;TRIM(RIGHT(SUBSTITUTE(TRIM(MID(SUBSTITUTE(SUBSTITUTE(Registro!$I397,";",CHAR(10)),CHAR(10),REPT(" ",LEN(Registro!$I397))),({1,2,3,4,5,6,7,8,9,10,11,12,13,14,15,16,17,18,19,20,21,22,23,24,25,26,27,28,29,30}-1)*LEN(Registro!$I397)+1,LEN(Registro!$I397)))," ",REPT(" ",50)),50)))),"Revisar formato"))</f>
        <v/>
      </c>
      <c r="L397" s="11" t="str">
        <f>IF(Registro!$J397="","",IFERROR(SUMPRODUCT(--("0"&amp;TRIM(RIGHT(SUBSTITUTE(TRIM(MID(SUBSTITUTE(SUBSTITUTE(Registro!$J397,";",CHAR(10)),CHAR(10),REPT(" ",LEN(Registro!$J397))),({1,2,3,4,5,6,7,8,9,10,11,12,13,14,15,16,17,18,19,20,21,22,23,24,25,26,27,28,29,30}-1)*LEN(Registro!$J397)+1,LEN(Registro!$J397)))," ",REPT(" ",50)),50)))),"Revisar formato"))</f>
        <v/>
      </c>
      <c r="M397" s="11" t="str">
        <f>IF(AND(Registro!$H397="",Registro!$I397=""),"",IF(AND(ISTEXT(K397),K397&lt;&gt;""),"Revisar formato",N(Registro!$H397)-N(K397)))</f>
        <v/>
      </c>
      <c r="N397" s="11" t="str">
        <f t="shared" si="20"/>
        <v/>
      </c>
      <c r="O397" s="15" t="str">
        <f>IF(AND(A397=Consulta!$B$3,C397=Consulta!$H$3),B397*10000+ROW(),"")</f>
        <v/>
      </c>
    </row>
    <row r="398" spans="1:15" x14ac:dyDescent="0.25">
      <c r="A398" s="9" t="str">
        <f>IF(Registro!$A398="","",Registro!$A398)</f>
        <v/>
      </c>
      <c r="B398" s="8" t="str">
        <f>IF(Registro!$B398="","",Registro!$B398)</f>
        <v/>
      </c>
      <c r="C398" s="14" t="str">
        <f t="shared" si="18"/>
        <v/>
      </c>
      <c r="D398" s="10" t="str">
        <f>IF(Registro!$E398="","",IF(ISERROR(FIND("x",LOWER(Registro!$E398))),"-",IFERROR(SUMPRODUCT(--("0"&amp;LEFT(TRIM(MID(SUBSTITUTE(SUBSTITUTE(SUBSTITUTE(SUBSTITUTE(SUBSTITUTE(LOWER(Registro!$E398),"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",LEN(Registro!$E398))),({1,2,3,4,5,6,7,8,9,10,11,12,13,14,15,16,17,18,19,20,21,22,23,24,25,26,27,28,29,30}-1)*LEN(Registro!$E398)+1,LEN(Registro!$E398)))&amp;"x")-1))),"Revisar formato")))</f>
        <v/>
      </c>
      <c r="E398" s="11" t="str">
        <f>IF(Registro!$E398="","",IF(ISERROR(FIND("x",LOWER(Registro!$E398))),"-",IFERROR(SUMPRODUCT(--("0"&amp;LEFT(TRIM(MID(SUBSTITUTE(SUBSTITUTE(SUBSTITUTE(SUBSTITUTE(SUBSTITUTE(LOWER(Registro!$E398),"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",LEN(Registro!$E398))),({1,2,3,4,5,6,7,8,9,10,11,12,13,14,15,16,17,18,19,20,21,22,23,24,25,26,27,28,29,30}-1)*LEN(Registro!$E398)+1,LEN(Registro!$E398)))&amp;"x")-1)),--("0"&amp;MID(TRIM(MID(SUBSTITUTE(SUBSTITUTE(SUBSTITUTE(SUBSTITUTE(SUBSTITUTE(LOWER(Registro!$E398),"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",LEN(Registro!$E398))),({1,2,3,4,5,6,7,8,9,10,11,12,13,14,15,16,17,18,19,20,21,22,23,24,25,26,27,28,29,30}-1)*LEN(Registro!$E398)+1,LEN(Registro!$E398)))&amp;"x")+1,20))),"Revisar formato")))</f>
        <v/>
      </c>
      <c r="F398" s="11" t="str">
        <f>IF(Registro!$F398="","",N(Registro!$F398))</f>
        <v/>
      </c>
      <c r="G398" s="11" t="str">
        <f t="shared" si="19"/>
        <v/>
      </c>
      <c r="H398" s="10" t="str">
        <f>IF(Registro!$G398="","",IF(ISERROR(FIND("x",LOWER(Registro!$G398))),"-",IFERROR(SUMPRODUCT(--("0"&amp;LEFT(TRIM(MID(SUBSTITUTE(SUBSTITUTE(SUBSTITUTE(SUBSTITUTE(SUBSTITUTE(LOWER(Registro!$G398),"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",LEN(Registro!$G398))),({1,2,3,4,5,6,7,8,9,10,11,12,13,14,15,16,17,18,19,20,21,22,23,24,25,26,27,28,29,30}-1)*LEN(Registro!$G398)+1,LEN(Registro!$G398))),FIND("x",TRIM(MID(SUBSTITUTE(SUBSTITUTE(SUBSTITUTE(SUBSTITUTE(SUBSTITUTE(LOWER(Registro!$G398),"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",LEN(Registro!$G398))),({1,2,3,4,5,6,7,8,9,10,11,12,13,14,15,16,17,18,19,20,21,22,23,24,25,26,27,28,29,30}-1)*LEN(Registro!$G398)+1,LEN(Registro!$G398)))&amp;"x")-1))),"Revisar formato")))</f>
        <v/>
      </c>
      <c r="I398" s="11" t="str">
        <f>IF(Registro!$G398="","",IF(ISERROR(FIND("x",LOWER(Registro!$G398))),N(Registro!$H398),IFERROR(SUMPRODUCT(--("0"&amp;LEFT(TRIM(MID(SUBSTITUTE(SUBSTITUTE(SUBSTITUTE(SUBSTITUTE(SUBSTITUTE(LOWER(Registro!$G398),"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",LEN(Registro!$G398))),({1,2,3,4,5,6,7,8,9,10,11,12,13,14,15,16,17,18,19,20,21,22,23,24,25,26,27,28,29,30}-1)*LEN(Registro!$G398)+1,LEN(Registro!$G398))),FIND("x",TRIM(MID(SUBSTITUTE(SUBSTITUTE(SUBSTITUTE(SUBSTITUTE(SUBSTITUTE(LOWER(Registro!$G398),"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",LEN(Registro!$G398))),({1,2,3,4,5,6,7,8,9,10,11,12,13,14,15,16,17,18,19,20,21,22,23,24,25,26,27,28,29,30}-1)*LEN(Registro!$G398)+1,LEN(Registro!$G398)))&amp;"x")-1)),--("0"&amp;MID(TRIM(MID(SUBSTITUTE(SUBSTITUTE(SUBSTITUTE(SUBSTITUTE(SUBSTITUTE(LOWER(Registro!$G398),"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",LEN(Registro!$G398))),({1,2,3,4,5,6,7,8,9,10,11,12,13,14,15,16,17,18,19,20,21,22,23,24,25,26,27,28,29,30}-1)*LEN(Registro!$G398)+1,LEN(Registro!$G398))),FIND("x",TRIM(MID(SUBSTITUTE(SUBSTITUTE(SUBSTITUTE(SUBSTITUTE(SUBSTITUTE(LOWER(Registro!$G398),"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",LEN(Registro!$G398))),({1,2,3,4,5,6,7,8,9,10,11,12,13,14,15,16,17,18,19,20,21,22,23,24,25,26,27,28,29,30}-1)*LEN(Registro!$G398)+1,LEN(Registro!$G398)))&amp;"x")+1,20))),"Revisar formato")))</f>
        <v/>
      </c>
      <c r="J398" s="9" t="str">
        <f>IF(AND(Registro!$E398="",Registro!$G398=""),"",IF(NOT(AND(ISNUMBER(I398),ISNUMBER(Registro!$H398))),"",IF(I398&lt;Registro!$H398,"FALTA BOLETOS",IF(I398=Registro!$H398,"CONFORME","DIFERENCIA"))))</f>
        <v/>
      </c>
      <c r="K398" s="11" t="str">
        <f>IF(Registro!$I398="","",IFERROR(SUMPRODUCT(--("0"&amp;TRIM(RIGHT(SUBSTITUTE(TRIM(MID(SUBSTITUTE(SUBSTITUTE(Registro!$I398,";",CHAR(10)),CHAR(10),REPT(" ",LEN(Registro!$I398))),({1,2,3,4,5,6,7,8,9,10,11,12,13,14,15,16,17,18,19,20,21,22,23,24,25,26,27,28,29,30}-1)*LEN(Registro!$I398)+1,LEN(Registro!$I398)))," ",REPT(" ",50)),50)))),"Revisar formato"))</f>
        <v/>
      </c>
      <c r="L398" s="11" t="str">
        <f>IF(Registro!$J398="","",IFERROR(SUMPRODUCT(--("0"&amp;TRIM(RIGHT(SUBSTITUTE(TRIM(MID(SUBSTITUTE(SUBSTITUTE(Registro!$J398,";",CHAR(10)),CHAR(10),REPT(" ",LEN(Registro!$J398))),({1,2,3,4,5,6,7,8,9,10,11,12,13,14,15,16,17,18,19,20,21,22,23,24,25,26,27,28,29,30}-1)*LEN(Registro!$J398)+1,LEN(Registro!$J398)))," ",REPT(" ",50)),50)))),"Revisar formato"))</f>
        <v/>
      </c>
      <c r="M398" s="11" t="str">
        <f>IF(AND(Registro!$H398="",Registro!$I398=""),"",IF(AND(ISTEXT(K398),K398&lt;&gt;""),"Revisar formato",N(Registro!$H398)-N(K398)))</f>
        <v/>
      </c>
      <c r="N398" s="11" t="str">
        <f t="shared" si="20"/>
        <v/>
      </c>
      <c r="O398" s="15" t="str">
        <f>IF(AND(A398=Consulta!$B$3,C398=Consulta!$H$3),B398*10000+ROW(),"")</f>
        <v/>
      </c>
    </row>
    <row r="399" spans="1:15" x14ac:dyDescent="0.25">
      <c r="A399" s="9" t="str">
        <f>IF(Registro!$A399="","",Registro!$A399)</f>
        <v/>
      </c>
      <c r="B399" s="8" t="str">
        <f>IF(Registro!$B399="","",Registro!$B399)</f>
        <v/>
      </c>
      <c r="C399" s="14" t="str">
        <f t="shared" si="18"/>
        <v/>
      </c>
      <c r="D399" s="10" t="str">
        <f>IF(Registro!$E399="","",IF(ISERROR(FIND("x",LOWER(Registro!$E399))),"-",IFERROR(SUMPRODUCT(--("0"&amp;LEFT(TRIM(MID(SUBSTITUTE(SUBSTITUTE(SUBSTITUTE(SUBSTITUTE(SUBSTITUTE(LOWER(Registro!$E399),"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",LEN(Registro!$E399))),({1,2,3,4,5,6,7,8,9,10,11,12,13,14,15,16,17,18,19,20,21,22,23,24,25,26,27,28,29,30}-1)*LEN(Registro!$E399)+1,LEN(Registro!$E399)))&amp;"x")-1))),"Revisar formato")))</f>
        <v/>
      </c>
      <c r="E399" s="11" t="str">
        <f>IF(Registro!$E399="","",IF(ISERROR(FIND("x",LOWER(Registro!$E399))),"-",IFERROR(SUMPRODUCT(--("0"&amp;LEFT(TRIM(MID(SUBSTITUTE(SUBSTITUTE(SUBSTITUTE(SUBSTITUTE(SUBSTITUTE(LOWER(Registro!$E399),"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",LEN(Registro!$E399))),({1,2,3,4,5,6,7,8,9,10,11,12,13,14,15,16,17,18,19,20,21,22,23,24,25,26,27,28,29,30}-1)*LEN(Registro!$E399)+1,LEN(Registro!$E399)))&amp;"x")-1)),--("0"&amp;MID(TRIM(MID(SUBSTITUTE(SUBSTITUTE(SUBSTITUTE(SUBSTITUTE(SUBSTITUTE(LOWER(Registro!$E399),"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",LEN(Registro!$E399))),({1,2,3,4,5,6,7,8,9,10,11,12,13,14,15,16,17,18,19,20,21,22,23,24,25,26,27,28,29,30}-1)*LEN(Registro!$E399)+1,LEN(Registro!$E399)))&amp;"x")+1,20))),"Revisar formato")))</f>
        <v/>
      </c>
      <c r="F399" s="11" t="str">
        <f>IF(Registro!$F399="","",N(Registro!$F399))</f>
        <v/>
      </c>
      <c r="G399" s="11" t="str">
        <f t="shared" si="19"/>
        <v/>
      </c>
      <c r="H399" s="10" t="str">
        <f>IF(Registro!$G399="","",IF(ISERROR(FIND("x",LOWER(Registro!$G399))),"-",IFERROR(SUMPRODUCT(--("0"&amp;LEFT(TRIM(MID(SUBSTITUTE(SUBSTITUTE(SUBSTITUTE(SUBSTITUTE(SUBSTITUTE(LOWER(Registro!$G399),"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",LEN(Registro!$G399))),({1,2,3,4,5,6,7,8,9,10,11,12,13,14,15,16,17,18,19,20,21,22,23,24,25,26,27,28,29,30}-1)*LEN(Registro!$G399)+1,LEN(Registro!$G399))),FIND("x",TRIM(MID(SUBSTITUTE(SUBSTITUTE(SUBSTITUTE(SUBSTITUTE(SUBSTITUTE(LOWER(Registro!$G399),"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",LEN(Registro!$G399))),({1,2,3,4,5,6,7,8,9,10,11,12,13,14,15,16,17,18,19,20,21,22,23,24,25,26,27,28,29,30}-1)*LEN(Registro!$G399)+1,LEN(Registro!$G399)))&amp;"x")-1))),"Revisar formato")))</f>
        <v/>
      </c>
      <c r="I399" s="11" t="str">
        <f>IF(Registro!$G399="","",IF(ISERROR(FIND("x",LOWER(Registro!$G399))),N(Registro!$H399),IFERROR(SUMPRODUCT(--("0"&amp;LEFT(TRIM(MID(SUBSTITUTE(SUBSTITUTE(SUBSTITUTE(SUBSTITUTE(SUBSTITUTE(LOWER(Registro!$G399),"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",LEN(Registro!$G399))),({1,2,3,4,5,6,7,8,9,10,11,12,13,14,15,16,17,18,19,20,21,22,23,24,25,26,27,28,29,30}-1)*LEN(Registro!$G399)+1,LEN(Registro!$G399))),FIND("x",TRIM(MID(SUBSTITUTE(SUBSTITUTE(SUBSTITUTE(SUBSTITUTE(SUBSTITUTE(LOWER(Registro!$G399),"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",LEN(Registro!$G399))),({1,2,3,4,5,6,7,8,9,10,11,12,13,14,15,16,17,18,19,20,21,22,23,24,25,26,27,28,29,30}-1)*LEN(Registro!$G399)+1,LEN(Registro!$G399)))&amp;"x")-1)),--("0"&amp;MID(TRIM(MID(SUBSTITUTE(SUBSTITUTE(SUBSTITUTE(SUBSTITUTE(SUBSTITUTE(LOWER(Registro!$G399),"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",LEN(Registro!$G399))),({1,2,3,4,5,6,7,8,9,10,11,12,13,14,15,16,17,18,19,20,21,22,23,24,25,26,27,28,29,30}-1)*LEN(Registro!$G399)+1,LEN(Registro!$G399))),FIND("x",TRIM(MID(SUBSTITUTE(SUBSTITUTE(SUBSTITUTE(SUBSTITUTE(SUBSTITUTE(LOWER(Registro!$G399),"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",LEN(Registro!$G399))),({1,2,3,4,5,6,7,8,9,10,11,12,13,14,15,16,17,18,19,20,21,22,23,24,25,26,27,28,29,30}-1)*LEN(Registro!$G399)+1,LEN(Registro!$G399)))&amp;"x")+1,20))),"Revisar formato")))</f>
        <v/>
      </c>
      <c r="J399" s="9" t="str">
        <f>IF(AND(Registro!$E399="",Registro!$G399=""),"",IF(NOT(AND(ISNUMBER(I399),ISNUMBER(Registro!$H399))),"",IF(I399&lt;Registro!$H399,"FALTA BOLETOS",IF(I399=Registro!$H399,"CONFORME","DIFERENCIA"))))</f>
        <v/>
      </c>
      <c r="K399" s="11" t="str">
        <f>IF(Registro!$I399="","",IFERROR(SUMPRODUCT(--("0"&amp;TRIM(RIGHT(SUBSTITUTE(TRIM(MID(SUBSTITUTE(SUBSTITUTE(Registro!$I399,";",CHAR(10)),CHAR(10),REPT(" ",LEN(Registro!$I399))),({1,2,3,4,5,6,7,8,9,10,11,12,13,14,15,16,17,18,19,20,21,22,23,24,25,26,27,28,29,30}-1)*LEN(Registro!$I399)+1,LEN(Registro!$I399)))," ",REPT(" ",50)),50)))),"Revisar formato"))</f>
        <v/>
      </c>
      <c r="L399" s="11" t="str">
        <f>IF(Registro!$J399="","",IFERROR(SUMPRODUCT(--("0"&amp;TRIM(RIGHT(SUBSTITUTE(TRIM(MID(SUBSTITUTE(SUBSTITUTE(Registro!$J399,";",CHAR(10)),CHAR(10),REPT(" ",LEN(Registro!$J399))),({1,2,3,4,5,6,7,8,9,10,11,12,13,14,15,16,17,18,19,20,21,22,23,24,25,26,27,28,29,30}-1)*LEN(Registro!$J399)+1,LEN(Registro!$J399)))," ",REPT(" ",50)),50)))),"Revisar formato"))</f>
        <v/>
      </c>
      <c r="M399" s="11" t="str">
        <f>IF(AND(Registro!$H399="",Registro!$I399=""),"",IF(AND(ISTEXT(K399),K399&lt;&gt;""),"Revisar formato",N(Registro!$H399)-N(K399)))</f>
        <v/>
      </c>
      <c r="N399" s="11" t="str">
        <f t="shared" si="20"/>
        <v/>
      </c>
      <c r="O399" s="15" t="str">
        <f>IF(AND(A399=Consulta!$B$3,C399=Consulta!$H$3),B399*10000+ROW(),"")</f>
        <v/>
      </c>
    </row>
    <row r="400" spans="1:15" x14ac:dyDescent="0.25">
      <c r="A400" s="9" t="str">
        <f>IF(Registro!$A400="","",Registro!$A400)</f>
        <v/>
      </c>
      <c r="B400" s="8" t="str">
        <f>IF(Registro!$B400="","",Registro!$B400)</f>
        <v/>
      </c>
      <c r="C400" s="14" t="str">
        <f t="shared" si="18"/>
        <v/>
      </c>
      <c r="D400" s="10" t="str">
        <f>IF(Registro!$E400="","",IF(ISERROR(FIND("x",LOWER(Registro!$E400))),"-",IFERROR(SUMPRODUCT(--("0"&amp;LEFT(TRIM(MID(SUBSTITUTE(SUBSTITUTE(SUBSTITUTE(SUBSTITUTE(SUBSTITUTE(LOWER(Registro!$E400),"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",LEN(Registro!$E400))),({1,2,3,4,5,6,7,8,9,10,11,12,13,14,15,16,17,18,19,20,21,22,23,24,25,26,27,28,29,30}-1)*LEN(Registro!$E400)+1,LEN(Registro!$E400)))&amp;"x")-1))),"Revisar formato")))</f>
        <v/>
      </c>
      <c r="E400" s="11" t="str">
        <f>IF(Registro!$E400="","",IF(ISERROR(FIND("x",LOWER(Registro!$E400))),"-",IFERROR(SUMPRODUCT(--("0"&amp;LEFT(TRIM(MID(SUBSTITUTE(SUBSTITUTE(SUBSTITUTE(SUBSTITUTE(SUBSTITUTE(LOWER(Registro!$E400),"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",LEN(Registro!$E400))),({1,2,3,4,5,6,7,8,9,10,11,12,13,14,15,16,17,18,19,20,21,22,23,24,25,26,27,28,29,30}-1)*LEN(Registro!$E400)+1,LEN(Registro!$E400)))&amp;"x")-1)),--("0"&amp;MID(TRIM(MID(SUBSTITUTE(SUBSTITUTE(SUBSTITUTE(SUBSTITUTE(SUBSTITUTE(LOWER(Registro!$E400),"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",LEN(Registro!$E400))),({1,2,3,4,5,6,7,8,9,10,11,12,13,14,15,16,17,18,19,20,21,22,23,24,25,26,27,28,29,30}-1)*LEN(Registro!$E400)+1,LEN(Registro!$E400)))&amp;"x")+1,20))),"Revisar formato")))</f>
        <v/>
      </c>
      <c r="F400" s="11" t="str">
        <f>IF(Registro!$F400="","",N(Registro!$F400))</f>
        <v/>
      </c>
      <c r="G400" s="11" t="str">
        <f t="shared" si="19"/>
        <v/>
      </c>
      <c r="H400" s="10" t="str">
        <f>IF(Registro!$G400="","",IF(ISERROR(FIND("x",LOWER(Registro!$G400))),"-",IFERROR(SUMPRODUCT(--("0"&amp;LEFT(TRIM(MID(SUBSTITUTE(SUBSTITUTE(SUBSTITUTE(SUBSTITUTE(SUBSTITUTE(LOWER(Registro!$G400),"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",LEN(Registro!$G400))),({1,2,3,4,5,6,7,8,9,10,11,12,13,14,15,16,17,18,19,20,21,22,23,24,25,26,27,28,29,30}-1)*LEN(Registro!$G400)+1,LEN(Registro!$G400))),FIND("x",TRIM(MID(SUBSTITUTE(SUBSTITUTE(SUBSTITUTE(SUBSTITUTE(SUBSTITUTE(LOWER(Registro!$G400),"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",LEN(Registro!$G400))),({1,2,3,4,5,6,7,8,9,10,11,12,13,14,15,16,17,18,19,20,21,22,23,24,25,26,27,28,29,30}-1)*LEN(Registro!$G400)+1,LEN(Registro!$G400)))&amp;"x")-1))),"Revisar formato")))</f>
        <v/>
      </c>
      <c r="I400" s="11" t="str">
        <f>IF(Registro!$G400="","",IF(ISERROR(FIND("x",LOWER(Registro!$G400))),N(Registro!$H400),IFERROR(SUMPRODUCT(--("0"&amp;LEFT(TRIM(MID(SUBSTITUTE(SUBSTITUTE(SUBSTITUTE(SUBSTITUTE(SUBSTITUTE(LOWER(Registro!$G400),"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",LEN(Registro!$G400))),({1,2,3,4,5,6,7,8,9,10,11,12,13,14,15,16,17,18,19,20,21,22,23,24,25,26,27,28,29,30}-1)*LEN(Registro!$G400)+1,LEN(Registro!$G400))),FIND("x",TRIM(MID(SUBSTITUTE(SUBSTITUTE(SUBSTITUTE(SUBSTITUTE(SUBSTITUTE(LOWER(Registro!$G400),"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",LEN(Registro!$G400))),({1,2,3,4,5,6,7,8,9,10,11,12,13,14,15,16,17,18,19,20,21,22,23,24,25,26,27,28,29,30}-1)*LEN(Registro!$G400)+1,LEN(Registro!$G400)))&amp;"x")-1)),--("0"&amp;MID(TRIM(MID(SUBSTITUTE(SUBSTITUTE(SUBSTITUTE(SUBSTITUTE(SUBSTITUTE(LOWER(Registro!$G400),"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",LEN(Registro!$G400))),({1,2,3,4,5,6,7,8,9,10,11,12,13,14,15,16,17,18,19,20,21,22,23,24,25,26,27,28,29,30}-1)*LEN(Registro!$G400)+1,LEN(Registro!$G400))),FIND("x",TRIM(MID(SUBSTITUTE(SUBSTITUTE(SUBSTITUTE(SUBSTITUTE(SUBSTITUTE(LOWER(Registro!$G400),"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",LEN(Registro!$G400))),({1,2,3,4,5,6,7,8,9,10,11,12,13,14,15,16,17,18,19,20,21,22,23,24,25,26,27,28,29,30}-1)*LEN(Registro!$G400)+1,LEN(Registro!$G400)))&amp;"x")+1,20))),"Revisar formato")))</f>
        <v/>
      </c>
      <c r="J400" s="9" t="str">
        <f>IF(AND(Registro!$E400="",Registro!$G400=""),"",IF(NOT(AND(ISNUMBER(I400),ISNUMBER(Registro!$H400))),"",IF(I400&lt;Registro!$H400,"FALTA BOLETOS",IF(I400=Registro!$H400,"CONFORME","DIFERENCIA"))))</f>
        <v/>
      </c>
      <c r="K400" s="11" t="str">
        <f>IF(Registro!$I400="","",IFERROR(SUMPRODUCT(--("0"&amp;TRIM(RIGHT(SUBSTITUTE(TRIM(MID(SUBSTITUTE(SUBSTITUTE(Registro!$I400,";",CHAR(10)),CHAR(10),REPT(" ",LEN(Registro!$I400))),({1,2,3,4,5,6,7,8,9,10,11,12,13,14,15,16,17,18,19,20,21,22,23,24,25,26,27,28,29,30}-1)*LEN(Registro!$I400)+1,LEN(Registro!$I400)))," ",REPT(" ",50)),50)))),"Revisar formato"))</f>
        <v/>
      </c>
      <c r="L400" s="11" t="str">
        <f>IF(Registro!$J400="","",IFERROR(SUMPRODUCT(--("0"&amp;TRIM(RIGHT(SUBSTITUTE(TRIM(MID(SUBSTITUTE(SUBSTITUTE(Registro!$J400,";",CHAR(10)),CHAR(10),REPT(" ",LEN(Registro!$J400))),({1,2,3,4,5,6,7,8,9,10,11,12,13,14,15,16,17,18,19,20,21,22,23,24,25,26,27,28,29,30}-1)*LEN(Registro!$J400)+1,LEN(Registro!$J400)))," ",REPT(" ",50)),50)))),"Revisar formato"))</f>
        <v/>
      </c>
      <c r="M400" s="11" t="str">
        <f>IF(AND(Registro!$H400="",Registro!$I400=""),"",IF(AND(ISTEXT(K400),K400&lt;&gt;""),"Revisar formato",N(Registro!$H400)-N(K400)))</f>
        <v/>
      </c>
      <c r="N400" s="11" t="str">
        <f t="shared" si="20"/>
        <v/>
      </c>
      <c r="O400" s="15" t="str">
        <f>IF(AND(A400=Consulta!$B$3,C400=Consulta!$H$3),B400*10000+ROW(),"")</f>
        <v/>
      </c>
    </row>
    <row r="401" spans="1:15" x14ac:dyDescent="0.25">
      <c r="A401" s="9" t="str">
        <f>IF(Registro!$A401="","",Registro!$A401)</f>
        <v/>
      </c>
      <c r="B401" s="8" t="str">
        <f>IF(Registro!$B401="","",Registro!$B401)</f>
        <v/>
      </c>
      <c r="C401" s="14" t="str">
        <f t="shared" si="18"/>
        <v/>
      </c>
      <c r="D401" s="10" t="str">
        <f>IF(Registro!$E401="","",IF(ISERROR(FIND("x",LOWER(Registro!$E401))),"-",IFERROR(SUMPRODUCT(--("0"&amp;LEFT(TRIM(MID(SUBSTITUTE(SUBSTITUTE(SUBSTITUTE(SUBSTITUTE(SUBSTITUTE(LOWER(Registro!$E401),"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",LEN(Registro!$E401))),({1,2,3,4,5,6,7,8,9,10,11,12,13,14,15,16,17,18,19,20,21,22,23,24,25,26,27,28,29,30}-1)*LEN(Registro!$E401)+1,LEN(Registro!$E401)))&amp;"x")-1))),"Revisar formato")))</f>
        <v/>
      </c>
      <c r="E401" s="11" t="str">
        <f>IF(Registro!$E401="","",IF(ISERROR(FIND("x",LOWER(Registro!$E401))),"-",IFERROR(SUMPRODUCT(--("0"&amp;LEFT(TRIM(MID(SUBSTITUTE(SUBSTITUTE(SUBSTITUTE(SUBSTITUTE(SUBSTITUTE(LOWER(Registro!$E401),"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",LEN(Registro!$E401))),({1,2,3,4,5,6,7,8,9,10,11,12,13,14,15,16,17,18,19,20,21,22,23,24,25,26,27,28,29,30}-1)*LEN(Registro!$E401)+1,LEN(Registro!$E401)))&amp;"x")-1)),--("0"&amp;MID(TRIM(MID(SUBSTITUTE(SUBSTITUTE(SUBSTITUTE(SUBSTITUTE(SUBSTITUTE(LOWER(Registro!$E401),"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",LEN(Registro!$E401))),({1,2,3,4,5,6,7,8,9,10,11,12,13,14,15,16,17,18,19,20,21,22,23,24,25,26,27,28,29,30}-1)*LEN(Registro!$E401)+1,LEN(Registro!$E401)))&amp;"x")+1,20))),"Revisar formato")))</f>
        <v/>
      </c>
      <c r="F401" s="11" t="str">
        <f>IF(Registro!$F401="","",N(Registro!$F401))</f>
        <v/>
      </c>
      <c r="G401" s="11" t="str">
        <f t="shared" si="19"/>
        <v/>
      </c>
      <c r="H401" s="10" t="str">
        <f>IF(Registro!$G401="","",IF(ISERROR(FIND("x",LOWER(Registro!$G401))),"-",IFERROR(SUMPRODUCT(--("0"&amp;LEFT(TRIM(MID(SUBSTITUTE(SUBSTITUTE(SUBSTITUTE(SUBSTITUTE(SUBSTITUTE(LOWER(Registro!$G401),"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",LEN(Registro!$G401))),({1,2,3,4,5,6,7,8,9,10,11,12,13,14,15,16,17,18,19,20,21,22,23,24,25,26,27,28,29,30}-1)*LEN(Registro!$G401)+1,LEN(Registro!$G401))),FIND("x",TRIM(MID(SUBSTITUTE(SUBSTITUTE(SUBSTITUTE(SUBSTITUTE(SUBSTITUTE(LOWER(Registro!$G401),"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",LEN(Registro!$G401))),({1,2,3,4,5,6,7,8,9,10,11,12,13,14,15,16,17,18,19,20,21,22,23,24,25,26,27,28,29,30}-1)*LEN(Registro!$G401)+1,LEN(Registro!$G401)))&amp;"x")-1))),"Revisar formato")))</f>
        <v/>
      </c>
      <c r="I401" s="11" t="str">
        <f>IF(Registro!$G401="","",IF(ISERROR(FIND("x",LOWER(Registro!$G401))),N(Registro!$H401),IFERROR(SUMPRODUCT(--("0"&amp;LEFT(TRIM(MID(SUBSTITUTE(SUBSTITUTE(SUBSTITUTE(SUBSTITUTE(SUBSTITUTE(LOWER(Registro!$G401),"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",LEN(Registro!$G401))),({1,2,3,4,5,6,7,8,9,10,11,12,13,14,15,16,17,18,19,20,21,22,23,24,25,26,27,28,29,30}-1)*LEN(Registro!$G401)+1,LEN(Registro!$G401))),FIND("x",TRIM(MID(SUBSTITUTE(SUBSTITUTE(SUBSTITUTE(SUBSTITUTE(SUBSTITUTE(LOWER(Registro!$G401),"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",LEN(Registro!$G401))),({1,2,3,4,5,6,7,8,9,10,11,12,13,14,15,16,17,18,19,20,21,22,23,24,25,26,27,28,29,30}-1)*LEN(Registro!$G401)+1,LEN(Registro!$G401)))&amp;"x")-1)),--("0"&amp;MID(TRIM(MID(SUBSTITUTE(SUBSTITUTE(SUBSTITUTE(SUBSTITUTE(SUBSTITUTE(LOWER(Registro!$G401),"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",LEN(Registro!$G401))),({1,2,3,4,5,6,7,8,9,10,11,12,13,14,15,16,17,18,19,20,21,22,23,24,25,26,27,28,29,30}-1)*LEN(Registro!$G401)+1,LEN(Registro!$G401))),FIND("x",TRIM(MID(SUBSTITUTE(SUBSTITUTE(SUBSTITUTE(SUBSTITUTE(SUBSTITUTE(LOWER(Registro!$G401),"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",LEN(Registro!$G401))),({1,2,3,4,5,6,7,8,9,10,11,12,13,14,15,16,17,18,19,20,21,22,23,24,25,26,27,28,29,30}-1)*LEN(Registro!$G401)+1,LEN(Registro!$G401)))&amp;"x")+1,20))),"Revisar formato")))</f>
        <v/>
      </c>
      <c r="J401" s="9" t="str">
        <f>IF(AND(Registro!$E401="",Registro!$G401=""),"",IF(NOT(AND(ISNUMBER(I401),ISNUMBER(Registro!$H401))),"",IF(I401&lt;Registro!$H401,"FALTA BOLETOS",IF(I401=Registro!$H401,"CONFORME","DIFERENCIA"))))</f>
        <v/>
      </c>
      <c r="K401" s="11" t="str">
        <f>IF(Registro!$I401="","",IFERROR(SUMPRODUCT(--("0"&amp;TRIM(RIGHT(SUBSTITUTE(TRIM(MID(SUBSTITUTE(SUBSTITUTE(Registro!$I401,";",CHAR(10)),CHAR(10),REPT(" ",LEN(Registro!$I401))),({1,2,3,4,5,6,7,8,9,10,11,12,13,14,15,16,17,18,19,20,21,22,23,24,25,26,27,28,29,30}-1)*LEN(Registro!$I401)+1,LEN(Registro!$I401)))," ",REPT(" ",50)),50)))),"Revisar formato"))</f>
        <v/>
      </c>
      <c r="L401" s="11" t="str">
        <f>IF(Registro!$J401="","",IFERROR(SUMPRODUCT(--("0"&amp;TRIM(RIGHT(SUBSTITUTE(TRIM(MID(SUBSTITUTE(SUBSTITUTE(Registro!$J401,";",CHAR(10)),CHAR(10),REPT(" ",LEN(Registro!$J401))),({1,2,3,4,5,6,7,8,9,10,11,12,13,14,15,16,17,18,19,20,21,22,23,24,25,26,27,28,29,30}-1)*LEN(Registro!$J401)+1,LEN(Registro!$J401)))," ",REPT(" ",50)),50)))),"Revisar formato"))</f>
        <v/>
      </c>
      <c r="M401" s="11" t="str">
        <f>IF(AND(Registro!$H401="",Registro!$I401=""),"",IF(AND(ISTEXT(K401),K401&lt;&gt;""),"Revisar formato",N(Registro!$H401)-N(K401)))</f>
        <v/>
      </c>
      <c r="N401" s="11" t="str">
        <f t="shared" si="20"/>
        <v/>
      </c>
      <c r="O401" s="15" t="str">
        <f>IF(AND(A401=Consulta!$B$3,C401=Consulta!$H$3),B401*10000+ROW(),"")</f>
        <v/>
      </c>
    </row>
    <row r="402" spans="1:15" x14ac:dyDescent="0.25">
      <c r="A402" s="9" t="str">
        <f>IF(Registro!$A402="","",Registro!$A402)</f>
        <v/>
      </c>
      <c r="B402" s="8" t="str">
        <f>IF(Registro!$B402="","",Registro!$B402)</f>
        <v/>
      </c>
      <c r="C402" s="14" t="str">
        <f t="shared" si="18"/>
        <v/>
      </c>
      <c r="D402" s="10" t="str">
        <f>IF(Registro!$E402="","",IF(ISERROR(FIND("x",LOWER(Registro!$E402))),"-",IFERROR(SUMPRODUCT(--("0"&amp;LEFT(TRIM(MID(SUBSTITUTE(SUBSTITUTE(SUBSTITUTE(SUBSTITUTE(SUBSTITUTE(LOWER(Registro!$E402),"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",LEN(Registro!$E402))),({1,2,3,4,5,6,7,8,9,10,11,12,13,14,15,16,17,18,19,20,21,22,23,24,25,26,27,28,29,30}-1)*LEN(Registro!$E402)+1,LEN(Registro!$E402)))&amp;"x")-1))),"Revisar formato")))</f>
        <v/>
      </c>
      <c r="E402" s="11" t="str">
        <f>IF(Registro!$E402="","",IF(ISERROR(FIND("x",LOWER(Registro!$E402))),"-",IFERROR(SUMPRODUCT(--("0"&amp;LEFT(TRIM(MID(SUBSTITUTE(SUBSTITUTE(SUBSTITUTE(SUBSTITUTE(SUBSTITUTE(LOWER(Registro!$E402),"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",LEN(Registro!$E402))),({1,2,3,4,5,6,7,8,9,10,11,12,13,14,15,16,17,18,19,20,21,22,23,24,25,26,27,28,29,30}-1)*LEN(Registro!$E402)+1,LEN(Registro!$E402)))&amp;"x")-1)),--("0"&amp;MID(TRIM(MID(SUBSTITUTE(SUBSTITUTE(SUBSTITUTE(SUBSTITUTE(SUBSTITUTE(LOWER(Registro!$E402),"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",LEN(Registro!$E402))),({1,2,3,4,5,6,7,8,9,10,11,12,13,14,15,16,17,18,19,20,21,22,23,24,25,26,27,28,29,30}-1)*LEN(Registro!$E402)+1,LEN(Registro!$E402)))&amp;"x")+1,20))),"Revisar formato")))</f>
        <v/>
      </c>
      <c r="F402" s="11" t="str">
        <f>IF(Registro!$F402="","",N(Registro!$F402))</f>
        <v/>
      </c>
      <c r="G402" s="11" t="str">
        <f t="shared" si="19"/>
        <v/>
      </c>
      <c r="H402" s="10" t="str">
        <f>IF(Registro!$G402="","",IF(ISERROR(FIND("x",LOWER(Registro!$G402))),"-",IFERROR(SUMPRODUCT(--("0"&amp;LEFT(TRIM(MID(SUBSTITUTE(SUBSTITUTE(SUBSTITUTE(SUBSTITUTE(SUBSTITUTE(LOWER(Registro!$G402),"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",LEN(Registro!$G402))),({1,2,3,4,5,6,7,8,9,10,11,12,13,14,15,16,17,18,19,20,21,22,23,24,25,26,27,28,29,30}-1)*LEN(Registro!$G402)+1,LEN(Registro!$G402))),FIND("x",TRIM(MID(SUBSTITUTE(SUBSTITUTE(SUBSTITUTE(SUBSTITUTE(SUBSTITUTE(LOWER(Registro!$G402),"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",LEN(Registro!$G402))),({1,2,3,4,5,6,7,8,9,10,11,12,13,14,15,16,17,18,19,20,21,22,23,24,25,26,27,28,29,30}-1)*LEN(Registro!$G402)+1,LEN(Registro!$G402)))&amp;"x")-1))),"Revisar formato")))</f>
        <v/>
      </c>
      <c r="I402" s="11" t="str">
        <f>IF(Registro!$G402="","",IF(ISERROR(FIND("x",LOWER(Registro!$G402))),N(Registro!$H402),IFERROR(SUMPRODUCT(--("0"&amp;LEFT(TRIM(MID(SUBSTITUTE(SUBSTITUTE(SUBSTITUTE(SUBSTITUTE(SUBSTITUTE(LOWER(Registro!$G402),"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",LEN(Registro!$G402))),({1,2,3,4,5,6,7,8,9,10,11,12,13,14,15,16,17,18,19,20,21,22,23,24,25,26,27,28,29,30}-1)*LEN(Registro!$G402)+1,LEN(Registro!$G402))),FIND("x",TRIM(MID(SUBSTITUTE(SUBSTITUTE(SUBSTITUTE(SUBSTITUTE(SUBSTITUTE(LOWER(Registro!$G402),"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",LEN(Registro!$G402))),({1,2,3,4,5,6,7,8,9,10,11,12,13,14,15,16,17,18,19,20,21,22,23,24,25,26,27,28,29,30}-1)*LEN(Registro!$G402)+1,LEN(Registro!$G402)))&amp;"x")-1)),--("0"&amp;MID(TRIM(MID(SUBSTITUTE(SUBSTITUTE(SUBSTITUTE(SUBSTITUTE(SUBSTITUTE(LOWER(Registro!$G402),"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",LEN(Registro!$G402))),({1,2,3,4,5,6,7,8,9,10,11,12,13,14,15,16,17,18,19,20,21,22,23,24,25,26,27,28,29,30}-1)*LEN(Registro!$G402)+1,LEN(Registro!$G402))),FIND("x",TRIM(MID(SUBSTITUTE(SUBSTITUTE(SUBSTITUTE(SUBSTITUTE(SUBSTITUTE(LOWER(Registro!$G402),"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",LEN(Registro!$G402))),({1,2,3,4,5,6,7,8,9,10,11,12,13,14,15,16,17,18,19,20,21,22,23,24,25,26,27,28,29,30}-1)*LEN(Registro!$G402)+1,LEN(Registro!$G402)))&amp;"x")+1,20))),"Revisar formato")))</f>
        <v/>
      </c>
      <c r="J402" s="9" t="str">
        <f>IF(AND(Registro!$E402="",Registro!$G402=""),"",IF(NOT(AND(ISNUMBER(I402),ISNUMBER(Registro!$H402))),"",IF(I402&lt;Registro!$H402,"FALTA BOLETOS",IF(I402=Registro!$H402,"CONFORME","DIFERENCIA"))))</f>
        <v/>
      </c>
      <c r="K402" s="11" t="str">
        <f>IF(Registro!$I402="","",IFERROR(SUMPRODUCT(--("0"&amp;TRIM(RIGHT(SUBSTITUTE(TRIM(MID(SUBSTITUTE(SUBSTITUTE(Registro!$I402,";",CHAR(10)),CHAR(10),REPT(" ",LEN(Registro!$I402))),({1,2,3,4,5,6,7,8,9,10,11,12,13,14,15,16,17,18,19,20,21,22,23,24,25,26,27,28,29,30}-1)*LEN(Registro!$I402)+1,LEN(Registro!$I402)))," ",REPT(" ",50)),50)))),"Revisar formato"))</f>
        <v/>
      </c>
      <c r="L402" s="11" t="str">
        <f>IF(Registro!$J402="","",IFERROR(SUMPRODUCT(--("0"&amp;TRIM(RIGHT(SUBSTITUTE(TRIM(MID(SUBSTITUTE(SUBSTITUTE(Registro!$J402,";",CHAR(10)),CHAR(10),REPT(" ",LEN(Registro!$J402))),({1,2,3,4,5,6,7,8,9,10,11,12,13,14,15,16,17,18,19,20,21,22,23,24,25,26,27,28,29,30}-1)*LEN(Registro!$J402)+1,LEN(Registro!$J402)))," ",REPT(" ",50)),50)))),"Revisar formato"))</f>
        <v/>
      </c>
      <c r="M402" s="11" t="str">
        <f>IF(AND(Registro!$H402="",Registro!$I402=""),"",IF(AND(ISTEXT(K402),K402&lt;&gt;""),"Revisar formato",N(Registro!$H402)-N(K402)))</f>
        <v/>
      </c>
      <c r="N402" s="11" t="str">
        <f t="shared" si="20"/>
        <v/>
      </c>
      <c r="O402" s="15" t="str">
        <f>IF(AND(A402=Consulta!$B$3,C402=Consulta!$H$3),B402*10000+ROW(),"")</f>
        <v/>
      </c>
    </row>
    <row r="403" spans="1:15" x14ac:dyDescent="0.25">
      <c r="A403" s="9" t="str">
        <f>IF(Registro!$A403="","",Registro!$A403)</f>
        <v/>
      </c>
      <c r="B403" s="8" t="str">
        <f>IF(Registro!$B403="","",Registro!$B403)</f>
        <v/>
      </c>
      <c r="C403" s="14" t="str">
        <f t="shared" si="18"/>
        <v/>
      </c>
      <c r="D403" s="10" t="str">
        <f>IF(Registro!$E403="","",IF(ISERROR(FIND("x",LOWER(Registro!$E403))),"-",IFERROR(SUMPRODUCT(--("0"&amp;LEFT(TRIM(MID(SUBSTITUTE(SUBSTITUTE(SUBSTITUTE(SUBSTITUTE(SUBSTITUTE(LOWER(Registro!$E403),"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",LEN(Registro!$E403))),({1,2,3,4,5,6,7,8,9,10,11,12,13,14,15,16,17,18,19,20,21,22,23,24,25,26,27,28,29,30}-1)*LEN(Registro!$E403)+1,LEN(Registro!$E403)))&amp;"x")-1))),"Revisar formato")))</f>
        <v/>
      </c>
      <c r="E403" s="11" t="str">
        <f>IF(Registro!$E403="","",IF(ISERROR(FIND("x",LOWER(Registro!$E403))),"-",IFERROR(SUMPRODUCT(--("0"&amp;LEFT(TRIM(MID(SUBSTITUTE(SUBSTITUTE(SUBSTITUTE(SUBSTITUTE(SUBSTITUTE(LOWER(Registro!$E403),"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",LEN(Registro!$E403))),({1,2,3,4,5,6,7,8,9,10,11,12,13,14,15,16,17,18,19,20,21,22,23,24,25,26,27,28,29,30}-1)*LEN(Registro!$E403)+1,LEN(Registro!$E403)))&amp;"x")-1)),--("0"&amp;MID(TRIM(MID(SUBSTITUTE(SUBSTITUTE(SUBSTITUTE(SUBSTITUTE(SUBSTITUTE(LOWER(Registro!$E403),"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",LEN(Registro!$E403))),({1,2,3,4,5,6,7,8,9,10,11,12,13,14,15,16,17,18,19,20,21,22,23,24,25,26,27,28,29,30}-1)*LEN(Registro!$E403)+1,LEN(Registro!$E403)))&amp;"x")+1,20))),"Revisar formato")))</f>
        <v/>
      </c>
      <c r="F403" s="11" t="str">
        <f>IF(Registro!$F403="","",N(Registro!$F403))</f>
        <v/>
      </c>
      <c r="G403" s="11" t="str">
        <f t="shared" si="19"/>
        <v/>
      </c>
      <c r="H403" s="10" t="str">
        <f>IF(Registro!$G403="","",IF(ISERROR(FIND("x",LOWER(Registro!$G403))),"-",IFERROR(SUMPRODUCT(--("0"&amp;LEFT(TRIM(MID(SUBSTITUTE(SUBSTITUTE(SUBSTITUTE(SUBSTITUTE(SUBSTITUTE(LOWER(Registro!$G403),"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",LEN(Registro!$G403))),({1,2,3,4,5,6,7,8,9,10,11,12,13,14,15,16,17,18,19,20,21,22,23,24,25,26,27,28,29,30}-1)*LEN(Registro!$G403)+1,LEN(Registro!$G403))),FIND("x",TRIM(MID(SUBSTITUTE(SUBSTITUTE(SUBSTITUTE(SUBSTITUTE(SUBSTITUTE(LOWER(Registro!$G403),"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",LEN(Registro!$G403))),({1,2,3,4,5,6,7,8,9,10,11,12,13,14,15,16,17,18,19,20,21,22,23,24,25,26,27,28,29,30}-1)*LEN(Registro!$G403)+1,LEN(Registro!$G403)))&amp;"x")-1))),"Revisar formato")))</f>
        <v/>
      </c>
      <c r="I403" s="11" t="str">
        <f>IF(Registro!$G403="","",IF(ISERROR(FIND("x",LOWER(Registro!$G403))),N(Registro!$H403),IFERROR(SUMPRODUCT(--("0"&amp;LEFT(TRIM(MID(SUBSTITUTE(SUBSTITUTE(SUBSTITUTE(SUBSTITUTE(SUBSTITUTE(LOWER(Registro!$G403),"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",LEN(Registro!$G403))),({1,2,3,4,5,6,7,8,9,10,11,12,13,14,15,16,17,18,19,20,21,22,23,24,25,26,27,28,29,30}-1)*LEN(Registro!$G403)+1,LEN(Registro!$G403))),FIND("x",TRIM(MID(SUBSTITUTE(SUBSTITUTE(SUBSTITUTE(SUBSTITUTE(SUBSTITUTE(LOWER(Registro!$G403),"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",LEN(Registro!$G403))),({1,2,3,4,5,6,7,8,9,10,11,12,13,14,15,16,17,18,19,20,21,22,23,24,25,26,27,28,29,30}-1)*LEN(Registro!$G403)+1,LEN(Registro!$G403)))&amp;"x")-1)),--("0"&amp;MID(TRIM(MID(SUBSTITUTE(SUBSTITUTE(SUBSTITUTE(SUBSTITUTE(SUBSTITUTE(LOWER(Registro!$G403),"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",LEN(Registro!$G403))),({1,2,3,4,5,6,7,8,9,10,11,12,13,14,15,16,17,18,19,20,21,22,23,24,25,26,27,28,29,30}-1)*LEN(Registro!$G403)+1,LEN(Registro!$G403))),FIND("x",TRIM(MID(SUBSTITUTE(SUBSTITUTE(SUBSTITUTE(SUBSTITUTE(SUBSTITUTE(LOWER(Registro!$G403),"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",LEN(Registro!$G403))),({1,2,3,4,5,6,7,8,9,10,11,12,13,14,15,16,17,18,19,20,21,22,23,24,25,26,27,28,29,30}-1)*LEN(Registro!$G403)+1,LEN(Registro!$G403)))&amp;"x")+1,20))),"Revisar formato")))</f>
        <v/>
      </c>
      <c r="J403" s="9" t="str">
        <f>IF(AND(Registro!$E403="",Registro!$G403=""),"",IF(NOT(AND(ISNUMBER(I403),ISNUMBER(Registro!$H403))),"",IF(I403&lt;Registro!$H403,"FALTA BOLETOS",IF(I403=Registro!$H403,"CONFORME","DIFERENCIA"))))</f>
        <v/>
      </c>
      <c r="K403" s="11" t="str">
        <f>IF(Registro!$I403="","",IFERROR(SUMPRODUCT(--("0"&amp;TRIM(RIGHT(SUBSTITUTE(TRIM(MID(SUBSTITUTE(SUBSTITUTE(Registro!$I403,";",CHAR(10)),CHAR(10),REPT(" ",LEN(Registro!$I403))),({1,2,3,4,5,6,7,8,9,10,11,12,13,14,15,16,17,18,19,20,21,22,23,24,25,26,27,28,29,30}-1)*LEN(Registro!$I403)+1,LEN(Registro!$I403)))," ",REPT(" ",50)),50)))),"Revisar formato"))</f>
        <v/>
      </c>
      <c r="L403" s="11" t="str">
        <f>IF(Registro!$J403="","",IFERROR(SUMPRODUCT(--("0"&amp;TRIM(RIGHT(SUBSTITUTE(TRIM(MID(SUBSTITUTE(SUBSTITUTE(Registro!$J403,";",CHAR(10)),CHAR(10),REPT(" ",LEN(Registro!$J403))),({1,2,3,4,5,6,7,8,9,10,11,12,13,14,15,16,17,18,19,20,21,22,23,24,25,26,27,28,29,30}-1)*LEN(Registro!$J403)+1,LEN(Registro!$J403)))," ",REPT(" ",50)),50)))),"Revisar formato"))</f>
        <v/>
      </c>
      <c r="M403" s="11" t="str">
        <f>IF(AND(Registro!$H403="",Registro!$I403=""),"",IF(AND(ISTEXT(K403),K403&lt;&gt;""),"Revisar formato",N(Registro!$H403)-N(K403)))</f>
        <v/>
      </c>
      <c r="N403" s="11" t="str">
        <f t="shared" si="20"/>
        <v/>
      </c>
      <c r="O403" s="15" t="str">
        <f>IF(AND(A403=Consulta!$B$3,C403=Consulta!$H$3),B403*10000+ROW(),"")</f>
        <v/>
      </c>
    </row>
    <row r="404" spans="1:15" x14ac:dyDescent="0.25">
      <c r="A404" s="9" t="str">
        <f>IF(Registro!$A404="","",Registro!$A404)</f>
        <v/>
      </c>
      <c r="B404" s="8" t="str">
        <f>IF(Registro!$B404="","",Registro!$B404)</f>
        <v/>
      </c>
      <c r="C404" s="14" t="str">
        <f t="shared" si="18"/>
        <v/>
      </c>
      <c r="D404" s="10" t="str">
        <f>IF(Registro!$E404="","",IF(ISERROR(FIND("x",LOWER(Registro!$E404))),"-",IFERROR(SUMPRODUCT(--("0"&amp;LEFT(TRIM(MID(SUBSTITUTE(SUBSTITUTE(SUBSTITUTE(SUBSTITUTE(SUBSTITUTE(LOWER(Registro!$E404),"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",LEN(Registro!$E404))),({1,2,3,4,5,6,7,8,9,10,11,12,13,14,15,16,17,18,19,20,21,22,23,24,25,26,27,28,29,30}-1)*LEN(Registro!$E404)+1,LEN(Registro!$E404)))&amp;"x")-1))),"Revisar formato")))</f>
        <v/>
      </c>
      <c r="E404" s="11" t="str">
        <f>IF(Registro!$E404="","",IF(ISERROR(FIND("x",LOWER(Registro!$E404))),"-",IFERROR(SUMPRODUCT(--("0"&amp;LEFT(TRIM(MID(SUBSTITUTE(SUBSTITUTE(SUBSTITUTE(SUBSTITUTE(SUBSTITUTE(LOWER(Registro!$E404),"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",LEN(Registro!$E404))),({1,2,3,4,5,6,7,8,9,10,11,12,13,14,15,16,17,18,19,20,21,22,23,24,25,26,27,28,29,30}-1)*LEN(Registro!$E404)+1,LEN(Registro!$E404)))&amp;"x")-1)),--("0"&amp;MID(TRIM(MID(SUBSTITUTE(SUBSTITUTE(SUBSTITUTE(SUBSTITUTE(SUBSTITUTE(LOWER(Registro!$E404),"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",LEN(Registro!$E404))),({1,2,3,4,5,6,7,8,9,10,11,12,13,14,15,16,17,18,19,20,21,22,23,24,25,26,27,28,29,30}-1)*LEN(Registro!$E404)+1,LEN(Registro!$E404)))&amp;"x")+1,20))),"Revisar formato")))</f>
        <v/>
      </c>
      <c r="F404" s="11" t="str">
        <f>IF(Registro!$F404="","",N(Registro!$F404))</f>
        <v/>
      </c>
      <c r="G404" s="11" t="str">
        <f t="shared" si="19"/>
        <v/>
      </c>
      <c r="H404" s="10" t="str">
        <f>IF(Registro!$G404="","",IF(ISERROR(FIND("x",LOWER(Registro!$G404))),"-",IFERROR(SUMPRODUCT(--("0"&amp;LEFT(TRIM(MID(SUBSTITUTE(SUBSTITUTE(SUBSTITUTE(SUBSTITUTE(SUBSTITUTE(LOWER(Registro!$G404),"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",LEN(Registro!$G404))),({1,2,3,4,5,6,7,8,9,10,11,12,13,14,15,16,17,18,19,20,21,22,23,24,25,26,27,28,29,30}-1)*LEN(Registro!$G404)+1,LEN(Registro!$G404))),FIND("x",TRIM(MID(SUBSTITUTE(SUBSTITUTE(SUBSTITUTE(SUBSTITUTE(SUBSTITUTE(LOWER(Registro!$G404),"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",LEN(Registro!$G404))),({1,2,3,4,5,6,7,8,9,10,11,12,13,14,15,16,17,18,19,20,21,22,23,24,25,26,27,28,29,30}-1)*LEN(Registro!$G404)+1,LEN(Registro!$G404)))&amp;"x")-1))),"Revisar formato")))</f>
        <v/>
      </c>
      <c r="I404" s="11" t="str">
        <f>IF(Registro!$G404="","",IF(ISERROR(FIND("x",LOWER(Registro!$G404))),N(Registro!$H404),IFERROR(SUMPRODUCT(--("0"&amp;LEFT(TRIM(MID(SUBSTITUTE(SUBSTITUTE(SUBSTITUTE(SUBSTITUTE(SUBSTITUTE(LOWER(Registro!$G404),"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",LEN(Registro!$G404))),({1,2,3,4,5,6,7,8,9,10,11,12,13,14,15,16,17,18,19,20,21,22,23,24,25,26,27,28,29,30}-1)*LEN(Registro!$G404)+1,LEN(Registro!$G404))),FIND("x",TRIM(MID(SUBSTITUTE(SUBSTITUTE(SUBSTITUTE(SUBSTITUTE(SUBSTITUTE(LOWER(Registro!$G404),"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",LEN(Registro!$G404))),({1,2,3,4,5,6,7,8,9,10,11,12,13,14,15,16,17,18,19,20,21,22,23,24,25,26,27,28,29,30}-1)*LEN(Registro!$G404)+1,LEN(Registro!$G404)))&amp;"x")-1)),--("0"&amp;MID(TRIM(MID(SUBSTITUTE(SUBSTITUTE(SUBSTITUTE(SUBSTITUTE(SUBSTITUTE(LOWER(Registro!$G404),"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",LEN(Registro!$G404))),({1,2,3,4,5,6,7,8,9,10,11,12,13,14,15,16,17,18,19,20,21,22,23,24,25,26,27,28,29,30}-1)*LEN(Registro!$G404)+1,LEN(Registro!$G404))),FIND("x",TRIM(MID(SUBSTITUTE(SUBSTITUTE(SUBSTITUTE(SUBSTITUTE(SUBSTITUTE(LOWER(Registro!$G404),"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",LEN(Registro!$G404))),({1,2,3,4,5,6,7,8,9,10,11,12,13,14,15,16,17,18,19,20,21,22,23,24,25,26,27,28,29,30}-1)*LEN(Registro!$G404)+1,LEN(Registro!$G404)))&amp;"x")+1,20))),"Revisar formato")))</f>
        <v/>
      </c>
      <c r="J404" s="9" t="str">
        <f>IF(AND(Registro!$E404="",Registro!$G404=""),"",IF(NOT(AND(ISNUMBER(I404),ISNUMBER(Registro!$H404))),"",IF(I404&lt;Registro!$H404,"FALTA BOLETOS",IF(I404=Registro!$H404,"CONFORME","DIFERENCIA"))))</f>
        <v/>
      </c>
      <c r="K404" s="11" t="str">
        <f>IF(Registro!$I404="","",IFERROR(SUMPRODUCT(--("0"&amp;TRIM(RIGHT(SUBSTITUTE(TRIM(MID(SUBSTITUTE(SUBSTITUTE(Registro!$I404,";",CHAR(10)),CHAR(10),REPT(" ",LEN(Registro!$I404))),({1,2,3,4,5,6,7,8,9,10,11,12,13,14,15,16,17,18,19,20,21,22,23,24,25,26,27,28,29,30}-1)*LEN(Registro!$I404)+1,LEN(Registro!$I404)))," ",REPT(" ",50)),50)))),"Revisar formato"))</f>
        <v/>
      </c>
      <c r="L404" s="11" t="str">
        <f>IF(Registro!$J404="","",IFERROR(SUMPRODUCT(--("0"&amp;TRIM(RIGHT(SUBSTITUTE(TRIM(MID(SUBSTITUTE(SUBSTITUTE(Registro!$J404,";",CHAR(10)),CHAR(10),REPT(" ",LEN(Registro!$J404))),({1,2,3,4,5,6,7,8,9,10,11,12,13,14,15,16,17,18,19,20,21,22,23,24,25,26,27,28,29,30}-1)*LEN(Registro!$J404)+1,LEN(Registro!$J404)))," ",REPT(" ",50)),50)))),"Revisar formato"))</f>
        <v/>
      </c>
      <c r="M404" s="11" t="str">
        <f>IF(AND(Registro!$H404="",Registro!$I404=""),"",IF(AND(ISTEXT(K404),K404&lt;&gt;""),"Revisar formato",N(Registro!$H404)-N(K404)))</f>
        <v/>
      </c>
      <c r="N404" s="11" t="str">
        <f t="shared" si="20"/>
        <v/>
      </c>
      <c r="O404" s="15" t="str">
        <f>IF(AND(A404=Consulta!$B$3,C404=Consulta!$H$3),B404*10000+ROW(),"")</f>
        <v/>
      </c>
    </row>
    <row r="405" spans="1:15" x14ac:dyDescent="0.25">
      <c r="A405" s="9" t="str">
        <f>IF(Registro!$A405="","",Registro!$A405)</f>
        <v/>
      </c>
      <c r="B405" s="8" t="str">
        <f>IF(Registro!$B405="","",Registro!$B405)</f>
        <v/>
      </c>
      <c r="C405" s="14" t="str">
        <f t="shared" si="18"/>
        <v/>
      </c>
      <c r="D405" s="10" t="str">
        <f>IF(Registro!$E405="","",IF(ISERROR(FIND("x",LOWER(Registro!$E405))),"-",IFERROR(SUMPRODUCT(--("0"&amp;LEFT(TRIM(MID(SUBSTITUTE(SUBSTITUTE(SUBSTITUTE(SUBSTITUTE(SUBSTITUTE(LOWER(Registro!$E405),"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",LEN(Registro!$E405))),({1,2,3,4,5,6,7,8,9,10,11,12,13,14,15,16,17,18,19,20,21,22,23,24,25,26,27,28,29,30}-1)*LEN(Registro!$E405)+1,LEN(Registro!$E405)))&amp;"x")-1))),"Revisar formato")))</f>
        <v/>
      </c>
      <c r="E405" s="11" t="str">
        <f>IF(Registro!$E405="","",IF(ISERROR(FIND("x",LOWER(Registro!$E405))),"-",IFERROR(SUMPRODUCT(--("0"&amp;LEFT(TRIM(MID(SUBSTITUTE(SUBSTITUTE(SUBSTITUTE(SUBSTITUTE(SUBSTITUTE(LOWER(Registro!$E405),"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",LEN(Registro!$E405))),({1,2,3,4,5,6,7,8,9,10,11,12,13,14,15,16,17,18,19,20,21,22,23,24,25,26,27,28,29,30}-1)*LEN(Registro!$E405)+1,LEN(Registro!$E405)))&amp;"x")-1)),--("0"&amp;MID(TRIM(MID(SUBSTITUTE(SUBSTITUTE(SUBSTITUTE(SUBSTITUTE(SUBSTITUTE(LOWER(Registro!$E405),"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",LEN(Registro!$E405))),({1,2,3,4,5,6,7,8,9,10,11,12,13,14,15,16,17,18,19,20,21,22,23,24,25,26,27,28,29,30}-1)*LEN(Registro!$E405)+1,LEN(Registro!$E405)))&amp;"x")+1,20))),"Revisar formato")))</f>
        <v/>
      </c>
      <c r="F405" s="11" t="str">
        <f>IF(Registro!$F405="","",N(Registro!$F405))</f>
        <v/>
      </c>
      <c r="G405" s="11" t="str">
        <f t="shared" si="19"/>
        <v/>
      </c>
      <c r="H405" s="10" t="str">
        <f>IF(Registro!$G405="","",IF(ISERROR(FIND("x",LOWER(Registro!$G405))),"-",IFERROR(SUMPRODUCT(--("0"&amp;LEFT(TRIM(MID(SUBSTITUTE(SUBSTITUTE(SUBSTITUTE(SUBSTITUTE(SUBSTITUTE(LOWER(Registro!$G405),"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",LEN(Registro!$G405))),({1,2,3,4,5,6,7,8,9,10,11,12,13,14,15,16,17,18,19,20,21,22,23,24,25,26,27,28,29,30}-1)*LEN(Registro!$G405)+1,LEN(Registro!$G405))),FIND("x",TRIM(MID(SUBSTITUTE(SUBSTITUTE(SUBSTITUTE(SUBSTITUTE(SUBSTITUTE(LOWER(Registro!$G405),"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",LEN(Registro!$G405))),({1,2,3,4,5,6,7,8,9,10,11,12,13,14,15,16,17,18,19,20,21,22,23,24,25,26,27,28,29,30}-1)*LEN(Registro!$G405)+1,LEN(Registro!$G405)))&amp;"x")-1))),"Revisar formato")))</f>
        <v/>
      </c>
      <c r="I405" s="11" t="str">
        <f>IF(Registro!$G405="","",IF(ISERROR(FIND("x",LOWER(Registro!$G405))),N(Registro!$H405),IFERROR(SUMPRODUCT(--("0"&amp;LEFT(TRIM(MID(SUBSTITUTE(SUBSTITUTE(SUBSTITUTE(SUBSTITUTE(SUBSTITUTE(LOWER(Registro!$G405),"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",LEN(Registro!$G405))),({1,2,3,4,5,6,7,8,9,10,11,12,13,14,15,16,17,18,19,20,21,22,23,24,25,26,27,28,29,30}-1)*LEN(Registro!$G405)+1,LEN(Registro!$G405))),FIND("x",TRIM(MID(SUBSTITUTE(SUBSTITUTE(SUBSTITUTE(SUBSTITUTE(SUBSTITUTE(LOWER(Registro!$G405),"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",LEN(Registro!$G405))),({1,2,3,4,5,6,7,8,9,10,11,12,13,14,15,16,17,18,19,20,21,22,23,24,25,26,27,28,29,30}-1)*LEN(Registro!$G405)+1,LEN(Registro!$G405)))&amp;"x")-1)),--("0"&amp;MID(TRIM(MID(SUBSTITUTE(SUBSTITUTE(SUBSTITUTE(SUBSTITUTE(SUBSTITUTE(LOWER(Registro!$G405),"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",LEN(Registro!$G405))),({1,2,3,4,5,6,7,8,9,10,11,12,13,14,15,16,17,18,19,20,21,22,23,24,25,26,27,28,29,30}-1)*LEN(Registro!$G405)+1,LEN(Registro!$G405))),FIND("x",TRIM(MID(SUBSTITUTE(SUBSTITUTE(SUBSTITUTE(SUBSTITUTE(SUBSTITUTE(LOWER(Registro!$G405),"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",LEN(Registro!$G405))),({1,2,3,4,5,6,7,8,9,10,11,12,13,14,15,16,17,18,19,20,21,22,23,24,25,26,27,28,29,30}-1)*LEN(Registro!$G405)+1,LEN(Registro!$G405)))&amp;"x")+1,20))),"Revisar formato")))</f>
        <v/>
      </c>
      <c r="J405" s="9" t="str">
        <f>IF(AND(Registro!$E405="",Registro!$G405=""),"",IF(NOT(AND(ISNUMBER(I405),ISNUMBER(Registro!$H405))),"",IF(I405&lt;Registro!$H405,"FALTA BOLETOS",IF(I405=Registro!$H405,"CONFORME","DIFERENCIA"))))</f>
        <v/>
      </c>
      <c r="K405" s="11" t="str">
        <f>IF(Registro!$I405="","",IFERROR(SUMPRODUCT(--("0"&amp;TRIM(RIGHT(SUBSTITUTE(TRIM(MID(SUBSTITUTE(SUBSTITUTE(Registro!$I405,";",CHAR(10)),CHAR(10),REPT(" ",LEN(Registro!$I405))),({1,2,3,4,5,6,7,8,9,10,11,12,13,14,15,16,17,18,19,20,21,22,23,24,25,26,27,28,29,30}-1)*LEN(Registro!$I405)+1,LEN(Registro!$I405)))," ",REPT(" ",50)),50)))),"Revisar formato"))</f>
        <v/>
      </c>
      <c r="L405" s="11" t="str">
        <f>IF(Registro!$J405="","",IFERROR(SUMPRODUCT(--("0"&amp;TRIM(RIGHT(SUBSTITUTE(TRIM(MID(SUBSTITUTE(SUBSTITUTE(Registro!$J405,";",CHAR(10)),CHAR(10),REPT(" ",LEN(Registro!$J405))),({1,2,3,4,5,6,7,8,9,10,11,12,13,14,15,16,17,18,19,20,21,22,23,24,25,26,27,28,29,30}-1)*LEN(Registro!$J405)+1,LEN(Registro!$J405)))," ",REPT(" ",50)),50)))),"Revisar formato"))</f>
        <v/>
      </c>
      <c r="M405" s="11" t="str">
        <f>IF(AND(Registro!$H405="",Registro!$I405=""),"",IF(AND(ISTEXT(K405),K405&lt;&gt;""),"Revisar formato",N(Registro!$H405)-N(K405)))</f>
        <v/>
      </c>
      <c r="N405" s="11" t="str">
        <f t="shared" si="20"/>
        <v/>
      </c>
      <c r="O405" s="15" t="str">
        <f>IF(AND(A405=Consulta!$B$3,C405=Consulta!$H$3),B405*10000+ROW(),"")</f>
        <v/>
      </c>
    </row>
    <row r="406" spans="1:15" x14ac:dyDescent="0.25">
      <c r="A406" s="9" t="str">
        <f>IF(Registro!$A406="","",Registro!$A406)</f>
        <v/>
      </c>
      <c r="B406" s="8" t="str">
        <f>IF(Registro!$B406="","",Registro!$B406)</f>
        <v/>
      </c>
      <c r="C406" s="14" t="str">
        <f t="shared" si="18"/>
        <v/>
      </c>
      <c r="D406" s="10" t="str">
        <f>IF(Registro!$E406="","",IF(ISERROR(FIND("x",LOWER(Registro!$E406))),"-",IFERROR(SUMPRODUCT(--("0"&amp;LEFT(TRIM(MID(SUBSTITUTE(SUBSTITUTE(SUBSTITUTE(SUBSTITUTE(SUBSTITUTE(LOWER(Registro!$E406),"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",LEN(Registro!$E406))),({1,2,3,4,5,6,7,8,9,10,11,12,13,14,15,16,17,18,19,20,21,22,23,24,25,26,27,28,29,30}-1)*LEN(Registro!$E406)+1,LEN(Registro!$E406)))&amp;"x")-1))),"Revisar formato")))</f>
        <v/>
      </c>
      <c r="E406" s="11" t="str">
        <f>IF(Registro!$E406="","",IF(ISERROR(FIND("x",LOWER(Registro!$E406))),"-",IFERROR(SUMPRODUCT(--("0"&amp;LEFT(TRIM(MID(SUBSTITUTE(SUBSTITUTE(SUBSTITUTE(SUBSTITUTE(SUBSTITUTE(LOWER(Registro!$E406),"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",LEN(Registro!$E406))),({1,2,3,4,5,6,7,8,9,10,11,12,13,14,15,16,17,18,19,20,21,22,23,24,25,26,27,28,29,30}-1)*LEN(Registro!$E406)+1,LEN(Registro!$E406)))&amp;"x")-1)),--("0"&amp;MID(TRIM(MID(SUBSTITUTE(SUBSTITUTE(SUBSTITUTE(SUBSTITUTE(SUBSTITUTE(LOWER(Registro!$E406),"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",LEN(Registro!$E406))),({1,2,3,4,5,6,7,8,9,10,11,12,13,14,15,16,17,18,19,20,21,22,23,24,25,26,27,28,29,30}-1)*LEN(Registro!$E406)+1,LEN(Registro!$E406)))&amp;"x")+1,20))),"Revisar formato")))</f>
        <v/>
      </c>
      <c r="F406" s="11" t="str">
        <f>IF(Registro!$F406="","",N(Registro!$F406))</f>
        <v/>
      </c>
      <c r="G406" s="11" t="str">
        <f t="shared" si="19"/>
        <v/>
      </c>
      <c r="H406" s="10" t="str">
        <f>IF(Registro!$G406="","",IF(ISERROR(FIND("x",LOWER(Registro!$G406))),"-",IFERROR(SUMPRODUCT(--("0"&amp;LEFT(TRIM(MID(SUBSTITUTE(SUBSTITUTE(SUBSTITUTE(SUBSTITUTE(SUBSTITUTE(LOWER(Registro!$G406),"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",LEN(Registro!$G406))),({1,2,3,4,5,6,7,8,9,10,11,12,13,14,15,16,17,18,19,20,21,22,23,24,25,26,27,28,29,30}-1)*LEN(Registro!$G406)+1,LEN(Registro!$G406))),FIND("x",TRIM(MID(SUBSTITUTE(SUBSTITUTE(SUBSTITUTE(SUBSTITUTE(SUBSTITUTE(LOWER(Registro!$G406),"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",LEN(Registro!$G406))),({1,2,3,4,5,6,7,8,9,10,11,12,13,14,15,16,17,18,19,20,21,22,23,24,25,26,27,28,29,30}-1)*LEN(Registro!$G406)+1,LEN(Registro!$G406)))&amp;"x")-1))),"Revisar formato")))</f>
        <v/>
      </c>
      <c r="I406" s="11" t="str">
        <f>IF(Registro!$G406="","",IF(ISERROR(FIND("x",LOWER(Registro!$G406))),N(Registro!$H406),IFERROR(SUMPRODUCT(--("0"&amp;LEFT(TRIM(MID(SUBSTITUTE(SUBSTITUTE(SUBSTITUTE(SUBSTITUTE(SUBSTITUTE(LOWER(Registro!$G406),"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",LEN(Registro!$G406))),({1,2,3,4,5,6,7,8,9,10,11,12,13,14,15,16,17,18,19,20,21,22,23,24,25,26,27,28,29,30}-1)*LEN(Registro!$G406)+1,LEN(Registro!$G406))),FIND("x",TRIM(MID(SUBSTITUTE(SUBSTITUTE(SUBSTITUTE(SUBSTITUTE(SUBSTITUTE(LOWER(Registro!$G406),"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",LEN(Registro!$G406))),({1,2,3,4,5,6,7,8,9,10,11,12,13,14,15,16,17,18,19,20,21,22,23,24,25,26,27,28,29,30}-1)*LEN(Registro!$G406)+1,LEN(Registro!$G406)))&amp;"x")-1)),--("0"&amp;MID(TRIM(MID(SUBSTITUTE(SUBSTITUTE(SUBSTITUTE(SUBSTITUTE(SUBSTITUTE(LOWER(Registro!$G406),"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",LEN(Registro!$G406))),({1,2,3,4,5,6,7,8,9,10,11,12,13,14,15,16,17,18,19,20,21,22,23,24,25,26,27,28,29,30}-1)*LEN(Registro!$G406)+1,LEN(Registro!$G406))),FIND("x",TRIM(MID(SUBSTITUTE(SUBSTITUTE(SUBSTITUTE(SUBSTITUTE(SUBSTITUTE(LOWER(Registro!$G406),"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",LEN(Registro!$G406))),({1,2,3,4,5,6,7,8,9,10,11,12,13,14,15,16,17,18,19,20,21,22,23,24,25,26,27,28,29,30}-1)*LEN(Registro!$G406)+1,LEN(Registro!$G406)))&amp;"x")+1,20))),"Revisar formato")))</f>
        <v/>
      </c>
      <c r="J406" s="9" t="str">
        <f>IF(AND(Registro!$E406="",Registro!$G406=""),"",IF(NOT(AND(ISNUMBER(I406),ISNUMBER(Registro!$H406))),"",IF(I406&lt;Registro!$H406,"FALTA BOLETOS",IF(I406=Registro!$H406,"CONFORME","DIFERENCIA"))))</f>
        <v/>
      </c>
      <c r="K406" s="11" t="str">
        <f>IF(Registro!$I406="","",IFERROR(SUMPRODUCT(--("0"&amp;TRIM(RIGHT(SUBSTITUTE(TRIM(MID(SUBSTITUTE(SUBSTITUTE(Registro!$I406,";",CHAR(10)),CHAR(10),REPT(" ",LEN(Registro!$I406))),({1,2,3,4,5,6,7,8,9,10,11,12,13,14,15,16,17,18,19,20,21,22,23,24,25,26,27,28,29,30}-1)*LEN(Registro!$I406)+1,LEN(Registro!$I406)))," ",REPT(" ",50)),50)))),"Revisar formato"))</f>
        <v/>
      </c>
      <c r="L406" s="11" t="str">
        <f>IF(Registro!$J406="","",IFERROR(SUMPRODUCT(--("0"&amp;TRIM(RIGHT(SUBSTITUTE(TRIM(MID(SUBSTITUTE(SUBSTITUTE(Registro!$J406,";",CHAR(10)),CHAR(10),REPT(" ",LEN(Registro!$J406))),({1,2,3,4,5,6,7,8,9,10,11,12,13,14,15,16,17,18,19,20,21,22,23,24,25,26,27,28,29,30}-1)*LEN(Registro!$J406)+1,LEN(Registro!$J406)))," ",REPT(" ",50)),50)))),"Revisar formato"))</f>
        <v/>
      </c>
      <c r="M406" s="11" t="str">
        <f>IF(AND(Registro!$H406="",Registro!$I406=""),"",IF(AND(ISTEXT(K406),K406&lt;&gt;""),"Revisar formato",N(Registro!$H406)-N(K406)))</f>
        <v/>
      </c>
      <c r="N406" s="11" t="str">
        <f t="shared" si="20"/>
        <v/>
      </c>
      <c r="O406" s="15" t="str">
        <f>IF(AND(A406=Consulta!$B$3,C406=Consulta!$H$3),B406*10000+ROW(),"")</f>
        <v/>
      </c>
    </row>
    <row r="407" spans="1:15" x14ac:dyDescent="0.25">
      <c r="A407" s="9" t="str">
        <f>IF(Registro!$A407="","",Registro!$A407)</f>
        <v/>
      </c>
      <c r="B407" s="8" t="str">
        <f>IF(Registro!$B407="","",Registro!$B407)</f>
        <v/>
      </c>
      <c r="C407" s="14" t="str">
        <f t="shared" si="18"/>
        <v/>
      </c>
      <c r="D407" s="10" t="str">
        <f>IF(Registro!$E407="","",IF(ISERROR(FIND("x",LOWER(Registro!$E407))),"-",IFERROR(SUMPRODUCT(--("0"&amp;LEFT(TRIM(MID(SUBSTITUTE(SUBSTITUTE(SUBSTITUTE(SUBSTITUTE(SUBSTITUTE(LOWER(Registro!$E407),"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",LEN(Registro!$E407))),({1,2,3,4,5,6,7,8,9,10,11,12,13,14,15,16,17,18,19,20,21,22,23,24,25,26,27,28,29,30}-1)*LEN(Registro!$E407)+1,LEN(Registro!$E407)))&amp;"x")-1))),"Revisar formato")))</f>
        <v/>
      </c>
      <c r="E407" s="11" t="str">
        <f>IF(Registro!$E407="","",IF(ISERROR(FIND("x",LOWER(Registro!$E407))),"-",IFERROR(SUMPRODUCT(--("0"&amp;LEFT(TRIM(MID(SUBSTITUTE(SUBSTITUTE(SUBSTITUTE(SUBSTITUTE(SUBSTITUTE(LOWER(Registro!$E407),"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",LEN(Registro!$E407))),({1,2,3,4,5,6,7,8,9,10,11,12,13,14,15,16,17,18,19,20,21,22,23,24,25,26,27,28,29,30}-1)*LEN(Registro!$E407)+1,LEN(Registro!$E407)))&amp;"x")-1)),--("0"&amp;MID(TRIM(MID(SUBSTITUTE(SUBSTITUTE(SUBSTITUTE(SUBSTITUTE(SUBSTITUTE(LOWER(Registro!$E407),"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",LEN(Registro!$E407))),({1,2,3,4,5,6,7,8,9,10,11,12,13,14,15,16,17,18,19,20,21,22,23,24,25,26,27,28,29,30}-1)*LEN(Registro!$E407)+1,LEN(Registro!$E407)))&amp;"x")+1,20))),"Revisar formato")))</f>
        <v/>
      </c>
      <c r="F407" s="11" t="str">
        <f>IF(Registro!$F407="","",N(Registro!$F407))</f>
        <v/>
      </c>
      <c r="G407" s="11" t="str">
        <f t="shared" si="19"/>
        <v/>
      </c>
      <c r="H407" s="10" t="str">
        <f>IF(Registro!$G407="","",IF(ISERROR(FIND("x",LOWER(Registro!$G407))),"-",IFERROR(SUMPRODUCT(--("0"&amp;LEFT(TRIM(MID(SUBSTITUTE(SUBSTITUTE(SUBSTITUTE(SUBSTITUTE(SUBSTITUTE(LOWER(Registro!$G407),"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",LEN(Registro!$G407))),({1,2,3,4,5,6,7,8,9,10,11,12,13,14,15,16,17,18,19,20,21,22,23,24,25,26,27,28,29,30}-1)*LEN(Registro!$G407)+1,LEN(Registro!$G407))),FIND("x",TRIM(MID(SUBSTITUTE(SUBSTITUTE(SUBSTITUTE(SUBSTITUTE(SUBSTITUTE(LOWER(Registro!$G407),"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",LEN(Registro!$G407))),({1,2,3,4,5,6,7,8,9,10,11,12,13,14,15,16,17,18,19,20,21,22,23,24,25,26,27,28,29,30}-1)*LEN(Registro!$G407)+1,LEN(Registro!$G407)))&amp;"x")-1))),"Revisar formato")))</f>
        <v/>
      </c>
      <c r="I407" s="11" t="str">
        <f>IF(Registro!$G407="","",IF(ISERROR(FIND("x",LOWER(Registro!$G407))),N(Registro!$H407),IFERROR(SUMPRODUCT(--("0"&amp;LEFT(TRIM(MID(SUBSTITUTE(SUBSTITUTE(SUBSTITUTE(SUBSTITUTE(SUBSTITUTE(LOWER(Registro!$G407),"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",LEN(Registro!$G407))),({1,2,3,4,5,6,7,8,9,10,11,12,13,14,15,16,17,18,19,20,21,22,23,24,25,26,27,28,29,30}-1)*LEN(Registro!$G407)+1,LEN(Registro!$G407))),FIND("x",TRIM(MID(SUBSTITUTE(SUBSTITUTE(SUBSTITUTE(SUBSTITUTE(SUBSTITUTE(LOWER(Registro!$G407),"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",LEN(Registro!$G407))),({1,2,3,4,5,6,7,8,9,10,11,12,13,14,15,16,17,18,19,20,21,22,23,24,25,26,27,28,29,30}-1)*LEN(Registro!$G407)+1,LEN(Registro!$G407)))&amp;"x")-1)),--("0"&amp;MID(TRIM(MID(SUBSTITUTE(SUBSTITUTE(SUBSTITUTE(SUBSTITUTE(SUBSTITUTE(LOWER(Registro!$G407),"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",LEN(Registro!$G407))),({1,2,3,4,5,6,7,8,9,10,11,12,13,14,15,16,17,18,19,20,21,22,23,24,25,26,27,28,29,30}-1)*LEN(Registro!$G407)+1,LEN(Registro!$G407))),FIND("x",TRIM(MID(SUBSTITUTE(SUBSTITUTE(SUBSTITUTE(SUBSTITUTE(SUBSTITUTE(LOWER(Registro!$G407),"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",LEN(Registro!$G407))),({1,2,3,4,5,6,7,8,9,10,11,12,13,14,15,16,17,18,19,20,21,22,23,24,25,26,27,28,29,30}-1)*LEN(Registro!$G407)+1,LEN(Registro!$G407)))&amp;"x")+1,20))),"Revisar formato")))</f>
        <v/>
      </c>
      <c r="J407" s="9" t="str">
        <f>IF(AND(Registro!$E407="",Registro!$G407=""),"",IF(NOT(AND(ISNUMBER(I407),ISNUMBER(Registro!$H407))),"",IF(I407&lt;Registro!$H407,"FALTA BOLETOS",IF(I407=Registro!$H407,"CONFORME","DIFERENCIA"))))</f>
        <v/>
      </c>
      <c r="K407" s="11" t="str">
        <f>IF(Registro!$I407="","",IFERROR(SUMPRODUCT(--("0"&amp;TRIM(RIGHT(SUBSTITUTE(TRIM(MID(SUBSTITUTE(SUBSTITUTE(Registro!$I407,";",CHAR(10)),CHAR(10),REPT(" ",LEN(Registro!$I407))),({1,2,3,4,5,6,7,8,9,10,11,12,13,14,15,16,17,18,19,20,21,22,23,24,25,26,27,28,29,30}-1)*LEN(Registro!$I407)+1,LEN(Registro!$I407)))," ",REPT(" ",50)),50)))),"Revisar formato"))</f>
        <v/>
      </c>
      <c r="L407" s="11" t="str">
        <f>IF(Registro!$J407="","",IFERROR(SUMPRODUCT(--("0"&amp;TRIM(RIGHT(SUBSTITUTE(TRIM(MID(SUBSTITUTE(SUBSTITUTE(Registro!$J407,";",CHAR(10)),CHAR(10),REPT(" ",LEN(Registro!$J407))),({1,2,3,4,5,6,7,8,9,10,11,12,13,14,15,16,17,18,19,20,21,22,23,24,25,26,27,28,29,30}-1)*LEN(Registro!$J407)+1,LEN(Registro!$J407)))," ",REPT(" ",50)),50)))),"Revisar formato"))</f>
        <v/>
      </c>
      <c r="M407" s="11" t="str">
        <f>IF(AND(Registro!$H407="",Registro!$I407=""),"",IF(AND(ISTEXT(K407),K407&lt;&gt;""),"Revisar formato",N(Registro!$H407)-N(K407)))</f>
        <v/>
      </c>
      <c r="N407" s="11" t="str">
        <f t="shared" si="20"/>
        <v/>
      </c>
      <c r="O407" s="15" t="str">
        <f>IF(AND(A407=Consulta!$B$3,C407=Consulta!$H$3),B407*10000+ROW(),"")</f>
        <v/>
      </c>
    </row>
    <row r="408" spans="1:15" x14ac:dyDescent="0.25">
      <c r="A408" s="9" t="str">
        <f>IF(Registro!$A408="","",Registro!$A408)</f>
        <v/>
      </c>
      <c r="B408" s="8" t="str">
        <f>IF(Registro!$B408="","",Registro!$B408)</f>
        <v/>
      </c>
      <c r="C408" s="14" t="str">
        <f t="shared" si="18"/>
        <v/>
      </c>
      <c r="D408" s="10" t="str">
        <f>IF(Registro!$E408="","",IF(ISERROR(FIND("x",LOWER(Registro!$E408))),"-",IFERROR(SUMPRODUCT(--("0"&amp;LEFT(TRIM(MID(SUBSTITUTE(SUBSTITUTE(SUBSTITUTE(SUBSTITUTE(SUBSTITUTE(LOWER(Registro!$E408),"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",LEN(Registro!$E408))),({1,2,3,4,5,6,7,8,9,10,11,12,13,14,15,16,17,18,19,20,21,22,23,24,25,26,27,28,29,30}-1)*LEN(Registro!$E408)+1,LEN(Registro!$E408)))&amp;"x")-1))),"Revisar formato")))</f>
        <v/>
      </c>
      <c r="E408" s="11" t="str">
        <f>IF(Registro!$E408="","",IF(ISERROR(FIND("x",LOWER(Registro!$E408))),"-",IFERROR(SUMPRODUCT(--("0"&amp;LEFT(TRIM(MID(SUBSTITUTE(SUBSTITUTE(SUBSTITUTE(SUBSTITUTE(SUBSTITUTE(LOWER(Registro!$E408),"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",LEN(Registro!$E408))),({1,2,3,4,5,6,7,8,9,10,11,12,13,14,15,16,17,18,19,20,21,22,23,24,25,26,27,28,29,30}-1)*LEN(Registro!$E408)+1,LEN(Registro!$E408)))&amp;"x")-1)),--("0"&amp;MID(TRIM(MID(SUBSTITUTE(SUBSTITUTE(SUBSTITUTE(SUBSTITUTE(SUBSTITUTE(LOWER(Registro!$E408),"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",LEN(Registro!$E408))),({1,2,3,4,5,6,7,8,9,10,11,12,13,14,15,16,17,18,19,20,21,22,23,24,25,26,27,28,29,30}-1)*LEN(Registro!$E408)+1,LEN(Registro!$E408)))&amp;"x")+1,20))),"Revisar formato")))</f>
        <v/>
      </c>
      <c r="F408" s="11" t="str">
        <f>IF(Registro!$F408="","",N(Registro!$F408))</f>
        <v/>
      </c>
      <c r="G408" s="11" t="str">
        <f t="shared" si="19"/>
        <v/>
      </c>
      <c r="H408" s="10" t="str">
        <f>IF(Registro!$G408="","",IF(ISERROR(FIND("x",LOWER(Registro!$G408))),"-",IFERROR(SUMPRODUCT(--("0"&amp;LEFT(TRIM(MID(SUBSTITUTE(SUBSTITUTE(SUBSTITUTE(SUBSTITUTE(SUBSTITUTE(LOWER(Registro!$G408),"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",LEN(Registro!$G408))),({1,2,3,4,5,6,7,8,9,10,11,12,13,14,15,16,17,18,19,20,21,22,23,24,25,26,27,28,29,30}-1)*LEN(Registro!$G408)+1,LEN(Registro!$G408))),FIND("x",TRIM(MID(SUBSTITUTE(SUBSTITUTE(SUBSTITUTE(SUBSTITUTE(SUBSTITUTE(LOWER(Registro!$G408),"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",LEN(Registro!$G408))),({1,2,3,4,5,6,7,8,9,10,11,12,13,14,15,16,17,18,19,20,21,22,23,24,25,26,27,28,29,30}-1)*LEN(Registro!$G408)+1,LEN(Registro!$G408)))&amp;"x")-1))),"Revisar formato")))</f>
        <v/>
      </c>
      <c r="I408" s="11" t="str">
        <f>IF(Registro!$G408="","",IF(ISERROR(FIND("x",LOWER(Registro!$G408))),N(Registro!$H408),IFERROR(SUMPRODUCT(--("0"&amp;LEFT(TRIM(MID(SUBSTITUTE(SUBSTITUTE(SUBSTITUTE(SUBSTITUTE(SUBSTITUTE(LOWER(Registro!$G408),"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",LEN(Registro!$G408))),({1,2,3,4,5,6,7,8,9,10,11,12,13,14,15,16,17,18,19,20,21,22,23,24,25,26,27,28,29,30}-1)*LEN(Registro!$G408)+1,LEN(Registro!$G408))),FIND("x",TRIM(MID(SUBSTITUTE(SUBSTITUTE(SUBSTITUTE(SUBSTITUTE(SUBSTITUTE(LOWER(Registro!$G408),"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",LEN(Registro!$G408))),({1,2,3,4,5,6,7,8,9,10,11,12,13,14,15,16,17,18,19,20,21,22,23,24,25,26,27,28,29,30}-1)*LEN(Registro!$G408)+1,LEN(Registro!$G408)))&amp;"x")-1)),--("0"&amp;MID(TRIM(MID(SUBSTITUTE(SUBSTITUTE(SUBSTITUTE(SUBSTITUTE(SUBSTITUTE(LOWER(Registro!$G408),"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",LEN(Registro!$G408))),({1,2,3,4,5,6,7,8,9,10,11,12,13,14,15,16,17,18,19,20,21,22,23,24,25,26,27,28,29,30}-1)*LEN(Registro!$G408)+1,LEN(Registro!$G408))),FIND("x",TRIM(MID(SUBSTITUTE(SUBSTITUTE(SUBSTITUTE(SUBSTITUTE(SUBSTITUTE(LOWER(Registro!$G408),"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",LEN(Registro!$G408))),({1,2,3,4,5,6,7,8,9,10,11,12,13,14,15,16,17,18,19,20,21,22,23,24,25,26,27,28,29,30}-1)*LEN(Registro!$G408)+1,LEN(Registro!$G408)))&amp;"x")+1,20))),"Revisar formato")))</f>
        <v/>
      </c>
      <c r="J408" s="9" t="str">
        <f>IF(AND(Registro!$E408="",Registro!$G408=""),"",IF(NOT(AND(ISNUMBER(I408),ISNUMBER(Registro!$H408))),"",IF(I408&lt;Registro!$H408,"FALTA BOLETOS",IF(I408=Registro!$H408,"CONFORME","DIFERENCIA"))))</f>
        <v/>
      </c>
      <c r="K408" s="11" t="str">
        <f>IF(Registro!$I408="","",IFERROR(SUMPRODUCT(--("0"&amp;TRIM(RIGHT(SUBSTITUTE(TRIM(MID(SUBSTITUTE(SUBSTITUTE(Registro!$I408,";",CHAR(10)),CHAR(10),REPT(" ",LEN(Registro!$I408))),({1,2,3,4,5,6,7,8,9,10,11,12,13,14,15,16,17,18,19,20,21,22,23,24,25,26,27,28,29,30}-1)*LEN(Registro!$I408)+1,LEN(Registro!$I408)))," ",REPT(" ",50)),50)))),"Revisar formato"))</f>
        <v/>
      </c>
      <c r="L408" s="11" t="str">
        <f>IF(Registro!$J408="","",IFERROR(SUMPRODUCT(--("0"&amp;TRIM(RIGHT(SUBSTITUTE(TRIM(MID(SUBSTITUTE(SUBSTITUTE(Registro!$J408,";",CHAR(10)),CHAR(10),REPT(" ",LEN(Registro!$J408))),({1,2,3,4,5,6,7,8,9,10,11,12,13,14,15,16,17,18,19,20,21,22,23,24,25,26,27,28,29,30}-1)*LEN(Registro!$J408)+1,LEN(Registro!$J408)))," ",REPT(" ",50)),50)))),"Revisar formato"))</f>
        <v/>
      </c>
      <c r="M408" s="11" t="str">
        <f>IF(AND(Registro!$H408="",Registro!$I408=""),"",IF(AND(ISTEXT(K408),K408&lt;&gt;""),"Revisar formato",N(Registro!$H408)-N(K408)))</f>
        <v/>
      </c>
      <c r="N408" s="11" t="str">
        <f t="shared" si="20"/>
        <v/>
      </c>
      <c r="O408" s="15" t="str">
        <f>IF(AND(A408=Consulta!$B$3,C408=Consulta!$H$3),B408*10000+ROW(),"")</f>
        <v/>
      </c>
    </row>
    <row r="409" spans="1:15" x14ac:dyDescent="0.25">
      <c r="A409" s="9" t="str">
        <f>IF(Registro!$A409="","",Registro!$A409)</f>
        <v/>
      </c>
      <c r="B409" s="8" t="str">
        <f>IF(Registro!$B409="","",Registro!$B409)</f>
        <v/>
      </c>
      <c r="C409" s="14" t="str">
        <f t="shared" si="18"/>
        <v/>
      </c>
      <c r="D409" s="10" t="str">
        <f>IF(Registro!$E409="","",IF(ISERROR(FIND("x",LOWER(Registro!$E409))),"-",IFERROR(SUMPRODUCT(--("0"&amp;LEFT(TRIM(MID(SUBSTITUTE(SUBSTITUTE(SUBSTITUTE(SUBSTITUTE(SUBSTITUTE(LOWER(Registro!$E409),"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",LEN(Registro!$E409))),({1,2,3,4,5,6,7,8,9,10,11,12,13,14,15,16,17,18,19,20,21,22,23,24,25,26,27,28,29,30}-1)*LEN(Registro!$E409)+1,LEN(Registro!$E409)))&amp;"x")-1))),"Revisar formato")))</f>
        <v/>
      </c>
      <c r="E409" s="11" t="str">
        <f>IF(Registro!$E409="","",IF(ISERROR(FIND("x",LOWER(Registro!$E409))),"-",IFERROR(SUMPRODUCT(--("0"&amp;LEFT(TRIM(MID(SUBSTITUTE(SUBSTITUTE(SUBSTITUTE(SUBSTITUTE(SUBSTITUTE(LOWER(Registro!$E409),"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",LEN(Registro!$E409))),({1,2,3,4,5,6,7,8,9,10,11,12,13,14,15,16,17,18,19,20,21,22,23,24,25,26,27,28,29,30}-1)*LEN(Registro!$E409)+1,LEN(Registro!$E409)))&amp;"x")-1)),--("0"&amp;MID(TRIM(MID(SUBSTITUTE(SUBSTITUTE(SUBSTITUTE(SUBSTITUTE(SUBSTITUTE(LOWER(Registro!$E409),"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",LEN(Registro!$E409))),({1,2,3,4,5,6,7,8,9,10,11,12,13,14,15,16,17,18,19,20,21,22,23,24,25,26,27,28,29,30}-1)*LEN(Registro!$E409)+1,LEN(Registro!$E409)))&amp;"x")+1,20))),"Revisar formato")))</f>
        <v/>
      </c>
      <c r="F409" s="11" t="str">
        <f>IF(Registro!$F409="","",N(Registro!$F409))</f>
        <v/>
      </c>
      <c r="G409" s="11" t="str">
        <f t="shared" si="19"/>
        <v/>
      </c>
      <c r="H409" s="10" t="str">
        <f>IF(Registro!$G409="","",IF(ISERROR(FIND("x",LOWER(Registro!$G409))),"-",IFERROR(SUMPRODUCT(--("0"&amp;LEFT(TRIM(MID(SUBSTITUTE(SUBSTITUTE(SUBSTITUTE(SUBSTITUTE(SUBSTITUTE(LOWER(Registro!$G409),"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",LEN(Registro!$G409))),({1,2,3,4,5,6,7,8,9,10,11,12,13,14,15,16,17,18,19,20,21,22,23,24,25,26,27,28,29,30}-1)*LEN(Registro!$G409)+1,LEN(Registro!$G409))),FIND("x",TRIM(MID(SUBSTITUTE(SUBSTITUTE(SUBSTITUTE(SUBSTITUTE(SUBSTITUTE(LOWER(Registro!$G409),"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",LEN(Registro!$G409))),({1,2,3,4,5,6,7,8,9,10,11,12,13,14,15,16,17,18,19,20,21,22,23,24,25,26,27,28,29,30}-1)*LEN(Registro!$G409)+1,LEN(Registro!$G409)))&amp;"x")-1))),"Revisar formato")))</f>
        <v/>
      </c>
      <c r="I409" s="11" t="str">
        <f>IF(Registro!$G409="","",IF(ISERROR(FIND("x",LOWER(Registro!$G409))),N(Registro!$H409),IFERROR(SUMPRODUCT(--("0"&amp;LEFT(TRIM(MID(SUBSTITUTE(SUBSTITUTE(SUBSTITUTE(SUBSTITUTE(SUBSTITUTE(LOWER(Registro!$G409),"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",LEN(Registro!$G409))),({1,2,3,4,5,6,7,8,9,10,11,12,13,14,15,16,17,18,19,20,21,22,23,24,25,26,27,28,29,30}-1)*LEN(Registro!$G409)+1,LEN(Registro!$G409))),FIND("x",TRIM(MID(SUBSTITUTE(SUBSTITUTE(SUBSTITUTE(SUBSTITUTE(SUBSTITUTE(LOWER(Registro!$G409),"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",LEN(Registro!$G409))),({1,2,3,4,5,6,7,8,9,10,11,12,13,14,15,16,17,18,19,20,21,22,23,24,25,26,27,28,29,30}-1)*LEN(Registro!$G409)+1,LEN(Registro!$G409)))&amp;"x")-1)),--("0"&amp;MID(TRIM(MID(SUBSTITUTE(SUBSTITUTE(SUBSTITUTE(SUBSTITUTE(SUBSTITUTE(LOWER(Registro!$G409),"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",LEN(Registro!$G409))),({1,2,3,4,5,6,7,8,9,10,11,12,13,14,15,16,17,18,19,20,21,22,23,24,25,26,27,28,29,30}-1)*LEN(Registro!$G409)+1,LEN(Registro!$G409))),FIND("x",TRIM(MID(SUBSTITUTE(SUBSTITUTE(SUBSTITUTE(SUBSTITUTE(SUBSTITUTE(LOWER(Registro!$G409),"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",LEN(Registro!$G409))),({1,2,3,4,5,6,7,8,9,10,11,12,13,14,15,16,17,18,19,20,21,22,23,24,25,26,27,28,29,30}-1)*LEN(Registro!$G409)+1,LEN(Registro!$G409)))&amp;"x")+1,20))),"Revisar formato")))</f>
        <v/>
      </c>
      <c r="J409" s="9" t="str">
        <f>IF(AND(Registro!$E409="",Registro!$G409=""),"",IF(NOT(AND(ISNUMBER(I409),ISNUMBER(Registro!$H409))),"",IF(I409&lt;Registro!$H409,"FALTA BOLETOS",IF(I409=Registro!$H409,"CONFORME","DIFERENCIA"))))</f>
        <v/>
      </c>
      <c r="K409" s="11" t="str">
        <f>IF(Registro!$I409="","",IFERROR(SUMPRODUCT(--("0"&amp;TRIM(RIGHT(SUBSTITUTE(TRIM(MID(SUBSTITUTE(SUBSTITUTE(Registro!$I409,";",CHAR(10)),CHAR(10),REPT(" ",LEN(Registro!$I409))),({1,2,3,4,5,6,7,8,9,10,11,12,13,14,15,16,17,18,19,20,21,22,23,24,25,26,27,28,29,30}-1)*LEN(Registro!$I409)+1,LEN(Registro!$I409)))," ",REPT(" ",50)),50)))),"Revisar formato"))</f>
        <v/>
      </c>
      <c r="L409" s="11" t="str">
        <f>IF(Registro!$J409="","",IFERROR(SUMPRODUCT(--("0"&amp;TRIM(RIGHT(SUBSTITUTE(TRIM(MID(SUBSTITUTE(SUBSTITUTE(Registro!$J409,";",CHAR(10)),CHAR(10),REPT(" ",LEN(Registro!$J409))),({1,2,3,4,5,6,7,8,9,10,11,12,13,14,15,16,17,18,19,20,21,22,23,24,25,26,27,28,29,30}-1)*LEN(Registro!$J409)+1,LEN(Registro!$J409)))," ",REPT(" ",50)),50)))),"Revisar formato"))</f>
        <v/>
      </c>
      <c r="M409" s="11" t="str">
        <f>IF(AND(Registro!$H409="",Registro!$I409=""),"",IF(AND(ISTEXT(K409),K409&lt;&gt;""),"Revisar formato",N(Registro!$H409)-N(K409)))</f>
        <v/>
      </c>
      <c r="N409" s="11" t="str">
        <f t="shared" si="20"/>
        <v/>
      </c>
      <c r="O409" s="15" t="str">
        <f>IF(AND(A409=Consulta!$B$3,C409=Consulta!$H$3),B409*10000+ROW(),"")</f>
        <v/>
      </c>
    </row>
    <row r="410" spans="1:15" x14ac:dyDescent="0.25">
      <c r="A410" s="9" t="str">
        <f>IF(Registro!$A410="","",Registro!$A410)</f>
        <v/>
      </c>
      <c r="B410" s="8" t="str">
        <f>IF(Registro!$B410="","",Registro!$B410)</f>
        <v/>
      </c>
      <c r="C410" s="14" t="str">
        <f t="shared" si="18"/>
        <v/>
      </c>
      <c r="D410" s="10" t="str">
        <f>IF(Registro!$E410="","",IF(ISERROR(FIND("x",LOWER(Registro!$E410))),"-",IFERROR(SUMPRODUCT(--("0"&amp;LEFT(TRIM(MID(SUBSTITUTE(SUBSTITUTE(SUBSTITUTE(SUBSTITUTE(SUBSTITUTE(LOWER(Registro!$E410),"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",LEN(Registro!$E410))),({1,2,3,4,5,6,7,8,9,10,11,12,13,14,15,16,17,18,19,20,21,22,23,24,25,26,27,28,29,30}-1)*LEN(Registro!$E410)+1,LEN(Registro!$E410)))&amp;"x")-1))),"Revisar formato")))</f>
        <v/>
      </c>
      <c r="E410" s="11" t="str">
        <f>IF(Registro!$E410="","",IF(ISERROR(FIND("x",LOWER(Registro!$E410))),"-",IFERROR(SUMPRODUCT(--("0"&amp;LEFT(TRIM(MID(SUBSTITUTE(SUBSTITUTE(SUBSTITUTE(SUBSTITUTE(SUBSTITUTE(LOWER(Registro!$E410),"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",LEN(Registro!$E410))),({1,2,3,4,5,6,7,8,9,10,11,12,13,14,15,16,17,18,19,20,21,22,23,24,25,26,27,28,29,30}-1)*LEN(Registro!$E410)+1,LEN(Registro!$E410)))&amp;"x")-1)),--("0"&amp;MID(TRIM(MID(SUBSTITUTE(SUBSTITUTE(SUBSTITUTE(SUBSTITUTE(SUBSTITUTE(LOWER(Registro!$E410),"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",LEN(Registro!$E410))),({1,2,3,4,5,6,7,8,9,10,11,12,13,14,15,16,17,18,19,20,21,22,23,24,25,26,27,28,29,30}-1)*LEN(Registro!$E410)+1,LEN(Registro!$E410)))&amp;"x")+1,20))),"Revisar formato")))</f>
        <v/>
      </c>
      <c r="F410" s="11" t="str">
        <f>IF(Registro!$F410="","",N(Registro!$F410))</f>
        <v/>
      </c>
      <c r="G410" s="11" t="str">
        <f t="shared" si="19"/>
        <v/>
      </c>
      <c r="H410" s="10" t="str">
        <f>IF(Registro!$G410="","",IF(ISERROR(FIND("x",LOWER(Registro!$G410))),"-",IFERROR(SUMPRODUCT(--("0"&amp;LEFT(TRIM(MID(SUBSTITUTE(SUBSTITUTE(SUBSTITUTE(SUBSTITUTE(SUBSTITUTE(LOWER(Registro!$G410),"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",LEN(Registro!$G410))),({1,2,3,4,5,6,7,8,9,10,11,12,13,14,15,16,17,18,19,20,21,22,23,24,25,26,27,28,29,30}-1)*LEN(Registro!$G410)+1,LEN(Registro!$G410))),FIND("x",TRIM(MID(SUBSTITUTE(SUBSTITUTE(SUBSTITUTE(SUBSTITUTE(SUBSTITUTE(LOWER(Registro!$G410),"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",LEN(Registro!$G410))),({1,2,3,4,5,6,7,8,9,10,11,12,13,14,15,16,17,18,19,20,21,22,23,24,25,26,27,28,29,30}-1)*LEN(Registro!$G410)+1,LEN(Registro!$G410)))&amp;"x")-1))),"Revisar formato")))</f>
        <v/>
      </c>
      <c r="I410" s="11" t="str">
        <f>IF(Registro!$G410="","",IF(ISERROR(FIND("x",LOWER(Registro!$G410))),N(Registro!$H410),IFERROR(SUMPRODUCT(--("0"&amp;LEFT(TRIM(MID(SUBSTITUTE(SUBSTITUTE(SUBSTITUTE(SUBSTITUTE(SUBSTITUTE(LOWER(Registro!$G410),"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",LEN(Registro!$G410))),({1,2,3,4,5,6,7,8,9,10,11,12,13,14,15,16,17,18,19,20,21,22,23,24,25,26,27,28,29,30}-1)*LEN(Registro!$G410)+1,LEN(Registro!$G410))),FIND("x",TRIM(MID(SUBSTITUTE(SUBSTITUTE(SUBSTITUTE(SUBSTITUTE(SUBSTITUTE(LOWER(Registro!$G410),"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",LEN(Registro!$G410))),({1,2,3,4,5,6,7,8,9,10,11,12,13,14,15,16,17,18,19,20,21,22,23,24,25,26,27,28,29,30}-1)*LEN(Registro!$G410)+1,LEN(Registro!$G410)))&amp;"x")-1)),--("0"&amp;MID(TRIM(MID(SUBSTITUTE(SUBSTITUTE(SUBSTITUTE(SUBSTITUTE(SUBSTITUTE(LOWER(Registro!$G410),"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",LEN(Registro!$G410))),({1,2,3,4,5,6,7,8,9,10,11,12,13,14,15,16,17,18,19,20,21,22,23,24,25,26,27,28,29,30}-1)*LEN(Registro!$G410)+1,LEN(Registro!$G410))),FIND("x",TRIM(MID(SUBSTITUTE(SUBSTITUTE(SUBSTITUTE(SUBSTITUTE(SUBSTITUTE(LOWER(Registro!$G410),"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",LEN(Registro!$G410))),({1,2,3,4,5,6,7,8,9,10,11,12,13,14,15,16,17,18,19,20,21,22,23,24,25,26,27,28,29,30}-1)*LEN(Registro!$G410)+1,LEN(Registro!$G410)))&amp;"x")+1,20))),"Revisar formato")))</f>
        <v/>
      </c>
      <c r="J410" s="9" t="str">
        <f>IF(AND(Registro!$E410="",Registro!$G410=""),"",IF(NOT(AND(ISNUMBER(I410),ISNUMBER(Registro!$H410))),"",IF(I410&lt;Registro!$H410,"FALTA BOLETOS",IF(I410=Registro!$H410,"CONFORME","DIFERENCIA"))))</f>
        <v/>
      </c>
      <c r="K410" s="11" t="str">
        <f>IF(Registro!$I410="","",IFERROR(SUMPRODUCT(--("0"&amp;TRIM(RIGHT(SUBSTITUTE(TRIM(MID(SUBSTITUTE(SUBSTITUTE(Registro!$I410,";",CHAR(10)),CHAR(10),REPT(" ",LEN(Registro!$I410))),({1,2,3,4,5,6,7,8,9,10,11,12,13,14,15,16,17,18,19,20,21,22,23,24,25,26,27,28,29,30}-1)*LEN(Registro!$I410)+1,LEN(Registro!$I410)))," ",REPT(" ",50)),50)))),"Revisar formato"))</f>
        <v/>
      </c>
      <c r="L410" s="11" t="str">
        <f>IF(Registro!$J410="","",IFERROR(SUMPRODUCT(--("0"&amp;TRIM(RIGHT(SUBSTITUTE(TRIM(MID(SUBSTITUTE(SUBSTITUTE(Registro!$J410,";",CHAR(10)),CHAR(10),REPT(" ",LEN(Registro!$J410))),({1,2,3,4,5,6,7,8,9,10,11,12,13,14,15,16,17,18,19,20,21,22,23,24,25,26,27,28,29,30}-1)*LEN(Registro!$J410)+1,LEN(Registro!$J410)))," ",REPT(" ",50)),50)))),"Revisar formato"))</f>
        <v/>
      </c>
      <c r="M410" s="11" t="str">
        <f>IF(AND(Registro!$H410="",Registro!$I410=""),"",IF(AND(ISTEXT(K410),K410&lt;&gt;""),"Revisar formato",N(Registro!$H410)-N(K410)))</f>
        <v/>
      </c>
      <c r="N410" s="11" t="str">
        <f t="shared" si="20"/>
        <v/>
      </c>
      <c r="O410" s="15" t="str">
        <f>IF(AND(A410=Consulta!$B$3,C410=Consulta!$H$3),B410*10000+ROW(),"")</f>
        <v/>
      </c>
    </row>
    <row r="411" spans="1:15" x14ac:dyDescent="0.25">
      <c r="A411" s="9" t="str">
        <f>IF(Registro!$A411="","",Registro!$A411)</f>
        <v/>
      </c>
      <c r="B411" s="8" t="str">
        <f>IF(Registro!$B411="","",Registro!$B411)</f>
        <v/>
      </c>
      <c r="C411" s="14" t="str">
        <f t="shared" si="18"/>
        <v/>
      </c>
      <c r="D411" s="10" t="str">
        <f>IF(Registro!$E411="","",IF(ISERROR(FIND("x",LOWER(Registro!$E411))),"-",IFERROR(SUMPRODUCT(--("0"&amp;LEFT(TRIM(MID(SUBSTITUTE(SUBSTITUTE(SUBSTITUTE(SUBSTITUTE(SUBSTITUTE(LOWER(Registro!$E411),"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",LEN(Registro!$E411))),({1,2,3,4,5,6,7,8,9,10,11,12,13,14,15,16,17,18,19,20,21,22,23,24,25,26,27,28,29,30}-1)*LEN(Registro!$E411)+1,LEN(Registro!$E411)))&amp;"x")-1))),"Revisar formato")))</f>
        <v/>
      </c>
      <c r="E411" s="11" t="str">
        <f>IF(Registro!$E411="","",IF(ISERROR(FIND("x",LOWER(Registro!$E411))),"-",IFERROR(SUMPRODUCT(--("0"&amp;LEFT(TRIM(MID(SUBSTITUTE(SUBSTITUTE(SUBSTITUTE(SUBSTITUTE(SUBSTITUTE(LOWER(Registro!$E411),"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",LEN(Registro!$E411))),({1,2,3,4,5,6,7,8,9,10,11,12,13,14,15,16,17,18,19,20,21,22,23,24,25,26,27,28,29,30}-1)*LEN(Registro!$E411)+1,LEN(Registro!$E411)))&amp;"x")-1)),--("0"&amp;MID(TRIM(MID(SUBSTITUTE(SUBSTITUTE(SUBSTITUTE(SUBSTITUTE(SUBSTITUTE(LOWER(Registro!$E411),"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",LEN(Registro!$E411))),({1,2,3,4,5,6,7,8,9,10,11,12,13,14,15,16,17,18,19,20,21,22,23,24,25,26,27,28,29,30}-1)*LEN(Registro!$E411)+1,LEN(Registro!$E411)))&amp;"x")+1,20))),"Revisar formato")))</f>
        <v/>
      </c>
      <c r="F411" s="11" t="str">
        <f>IF(Registro!$F411="","",N(Registro!$F411))</f>
        <v/>
      </c>
      <c r="G411" s="11" t="str">
        <f t="shared" si="19"/>
        <v/>
      </c>
      <c r="H411" s="10" t="str">
        <f>IF(Registro!$G411="","",IF(ISERROR(FIND("x",LOWER(Registro!$G411))),"-",IFERROR(SUMPRODUCT(--("0"&amp;LEFT(TRIM(MID(SUBSTITUTE(SUBSTITUTE(SUBSTITUTE(SUBSTITUTE(SUBSTITUTE(LOWER(Registro!$G411),"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",LEN(Registro!$G411))),({1,2,3,4,5,6,7,8,9,10,11,12,13,14,15,16,17,18,19,20,21,22,23,24,25,26,27,28,29,30}-1)*LEN(Registro!$G411)+1,LEN(Registro!$G411))),FIND("x",TRIM(MID(SUBSTITUTE(SUBSTITUTE(SUBSTITUTE(SUBSTITUTE(SUBSTITUTE(LOWER(Registro!$G411),"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",LEN(Registro!$G411))),({1,2,3,4,5,6,7,8,9,10,11,12,13,14,15,16,17,18,19,20,21,22,23,24,25,26,27,28,29,30}-1)*LEN(Registro!$G411)+1,LEN(Registro!$G411)))&amp;"x")-1))),"Revisar formato")))</f>
        <v/>
      </c>
      <c r="I411" s="11" t="str">
        <f>IF(Registro!$G411="","",IF(ISERROR(FIND("x",LOWER(Registro!$G411))),N(Registro!$H411),IFERROR(SUMPRODUCT(--("0"&amp;LEFT(TRIM(MID(SUBSTITUTE(SUBSTITUTE(SUBSTITUTE(SUBSTITUTE(SUBSTITUTE(LOWER(Registro!$G411),"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",LEN(Registro!$G411))),({1,2,3,4,5,6,7,8,9,10,11,12,13,14,15,16,17,18,19,20,21,22,23,24,25,26,27,28,29,30}-1)*LEN(Registro!$G411)+1,LEN(Registro!$G411))),FIND("x",TRIM(MID(SUBSTITUTE(SUBSTITUTE(SUBSTITUTE(SUBSTITUTE(SUBSTITUTE(LOWER(Registro!$G411),"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",LEN(Registro!$G411))),({1,2,3,4,5,6,7,8,9,10,11,12,13,14,15,16,17,18,19,20,21,22,23,24,25,26,27,28,29,30}-1)*LEN(Registro!$G411)+1,LEN(Registro!$G411)))&amp;"x")-1)),--("0"&amp;MID(TRIM(MID(SUBSTITUTE(SUBSTITUTE(SUBSTITUTE(SUBSTITUTE(SUBSTITUTE(LOWER(Registro!$G411),"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",LEN(Registro!$G411))),({1,2,3,4,5,6,7,8,9,10,11,12,13,14,15,16,17,18,19,20,21,22,23,24,25,26,27,28,29,30}-1)*LEN(Registro!$G411)+1,LEN(Registro!$G411))),FIND("x",TRIM(MID(SUBSTITUTE(SUBSTITUTE(SUBSTITUTE(SUBSTITUTE(SUBSTITUTE(LOWER(Registro!$G411),"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",LEN(Registro!$G411))),({1,2,3,4,5,6,7,8,9,10,11,12,13,14,15,16,17,18,19,20,21,22,23,24,25,26,27,28,29,30}-1)*LEN(Registro!$G411)+1,LEN(Registro!$G411)))&amp;"x")+1,20))),"Revisar formato")))</f>
        <v/>
      </c>
      <c r="J411" s="9" t="str">
        <f>IF(AND(Registro!$E411="",Registro!$G411=""),"",IF(NOT(AND(ISNUMBER(I411),ISNUMBER(Registro!$H411))),"",IF(I411&lt;Registro!$H411,"FALTA BOLETOS",IF(I411=Registro!$H411,"CONFORME","DIFERENCIA"))))</f>
        <v/>
      </c>
      <c r="K411" s="11" t="str">
        <f>IF(Registro!$I411="","",IFERROR(SUMPRODUCT(--("0"&amp;TRIM(RIGHT(SUBSTITUTE(TRIM(MID(SUBSTITUTE(SUBSTITUTE(Registro!$I411,";",CHAR(10)),CHAR(10),REPT(" ",LEN(Registro!$I411))),({1,2,3,4,5,6,7,8,9,10,11,12,13,14,15,16,17,18,19,20,21,22,23,24,25,26,27,28,29,30}-1)*LEN(Registro!$I411)+1,LEN(Registro!$I411)))," ",REPT(" ",50)),50)))),"Revisar formato"))</f>
        <v/>
      </c>
      <c r="L411" s="11" t="str">
        <f>IF(Registro!$J411="","",IFERROR(SUMPRODUCT(--("0"&amp;TRIM(RIGHT(SUBSTITUTE(TRIM(MID(SUBSTITUTE(SUBSTITUTE(Registro!$J411,";",CHAR(10)),CHAR(10),REPT(" ",LEN(Registro!$J411))),({1,2,3,4,5,6,7,8,9,10,11,12,13,14,15,16,17,18,19,20,21,22,23,24,25,26,27,28,29,30}-1)*LEN(Registro!$J411)+1,LEN(Registro!$J411)))," ",REPT(" ",50)),50)))),"Revisar formato"))</f>
        <v/>
      </c>
      <c r="M411" s="11" t="str">
        <f>IF(AND(Registro!$H411="",Registro!$I411=""),"",IF(AND(ISTEXT(K411),K411&lt;&gt;""),"Revisar formato",N(Registro!$H411)-N(K411)))</f>
        <v/>
      </c>
      <c r="N411" s="11" t="str">
        <f t="shared" si="20"/>
        <v/>
      </c>
      <c r="O411" s="15" t="str">
        <f>IF(AND(A411=Consulta!$B$3,C411=Consulta!$H$3),B411*10000+ROW(),"")</f>
        <v/>
      </c>
    </row>
    <row r="412" spans="1:15" x14ac:dyDescent="0.25">
      <c r="A412" s="9" t="str">
        <f>IF(Registro!$A412="","",Registro!$A412)</f>
        <v/>
      </c>
      <c r="B412" s="8" t="str">
        <f>IF(Registro!$B412="","",Registro!$B412)</f>
        <v/>
      </c>
      <c r="C412" s="14" t="str">
        <f t="shared" si="18"/>
        <v/>
      </c>
      <c r="D412" s="10" t="str">
        <f>IF(Registro!$E412="","",IF(ISERROR(FIND("x",LOWER(Registro!$E412))),"-",IFERROR(SUMPRODUCT(--("0"&amp;LEFT(TRIM(MID(SUBSTITUTE(SUBSTITUTE(SUBSTITUTE(SUBSTITUTE(SUBSTITUTE(LOWER(Registro!$E412),"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",LEN(Registro!$E412))),({1,2,3,4,5,6,7,8,9,10,11,12,13,14,15,16,17,18,19,20,21,22,23,24,25,26,27,28,29,30}-1)*LEN(Registro!$E412)+1,LEN(Registro!$E412)))&amp;"x")-1))),"Revisar formato")))</f>
        <v/>
      </c>
      <c r="E412" s="11" t="str">
        <f>IF(Registro!$E412="","",IF(ISERROR(FIND("x",LOWER(Registro!$E412))),"-",IFERROR(SUMPRODUCT(--("0"&amp;LEFT(TRIM(MID(SUBSTITUTE(SUBSTITUTE(SUBSTITUTE(SUBSTITUTE(SUBSTITUTE(LOWER(Registro!$E412),"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",LEN(Registro!$E412))),({1,2,3,4,5,6,7,8,9,10,11,12,13,14,15,16,17,18,19,20,21,22,23,24,25,26,27,28,29,30}-1)*LEN(Registro!$E412)+1,LEN(Registro!$E412)))&amp;"x")-1)),--("0"&amp;MID(TRIM(MID(SUBSTITUTE(SUBSTITUTE(SUBSTITUTE(SUBSTITUTE(SUBSTITUTE(LOWER(Registro!$E412),"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",LEN(Registro!$E412))),({1,2,3,4,5,6,7,8,9,10,11,12,13,14,15,16,17,18,19,20,21,22,23,24,25,26,27,28,29,30}-1)*LEN(Registro!$E412)+1,LEN(Registro!$E412)))&amp;"x")+1,20))),"Revisar formato")))</f>
        <v/>
      </c>
      <c r="F412" s="11" t="str">
        <f>IF(Registro!$F412="","",N(Registro!$F412))</f>
        <v/>
      </c>
      <c r="G412" s="11" t="str">
        <f t="shared" si="19"/>
        <v/>
      </c>
      <c r="H412" s="10" t="str">
        <f>IF(Registro!$G412="","",IF(ISERROR(FIND("x",LOWER(Registro!$G412))),"-",IFERROR(SUMPRODUCT(--("0"&amp;LEFT(TRIM(MID(SUBSTITUTE(SUBSTITUTE(SUBSTITUTE(SUBSTITUTE(SUBSTITUTE(LOWER(Registro!$G412),"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",LEN(Registro!$G412))),({1,2,3,4,5,6,7,8,9,10,11,12,13,14,15,16,17,18,19,20,21,22,23,24,25,26,27,28,29,30}-1)*LEN(Registro!$G412)+1,LEN(Registro!$G412))),FIND("x",TRIM(MID(SUBSTITUTE(SUBSTITUTE(SUBSTITUTE(SUBSTITUTE(SUBSTITUTE(LOWER(Registro!$G412),"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",LEN(Registro!$G412))),({1,2,3,4,5,6,7,8,9,10,11,12,13,14,15,16,17,18,19,20,21,22,23,24,25,26,27,28,29,30}-1)*LEN(Registro!$G412)+1,LEN(Registro!$G412)))&amp;"x")-1))),"Revisar formato")))</f>
        <v/>
      </c>
      <c r="I412" s="11" t="str">
        <f>IF(Registro!$G412="","",IF(ISERROR(FIND("x",LOWER(Registro!$G412))),N(Registro!$H412),IFERROR(SUMPRODUCT(--("0"&amp;LEFT(TRIM(MID(SUBSTITUTE(SUBSTITUTE(SUBSTITUTE(SUBSTITUTE(SUBSTITUTE(LOWER(Registro!$G412),"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",LEN(Registro!$G412))),({1,2,3,4,5,6,7,8,9,10,11,12,13,14,15,16,17,18,19,20,21,22,23,24,25,26,27,28,29,30}-1)*LEN(Registro!$G412)+1,LEN(Registro!$G412))),FIND("x",TRIM(MID(SUBSTITUTE(SUBSTITUTE(SUBSTITUTE(SUBSTITUTE(SUBSTITUTE(LOWER(Registro!$G412),"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",LEN(Registro!$G412))),({1,2,3,4,5,6,7,8,9,10,11,12,13,14,15,16,17,18,19,20,21,22,23,24,25,26,27,28,29,30}-1)*LEN(Registro!$G412)+1,LEN(Registro!$G412)))&amp;"x")-1)),--("0"&amp;MID(TRIM(MID(SUBSTITUTE(SUBSTITUTE(SUBSTITUTE(SUBSTITUTE(SUBSTITUTE(LOWER(Registro!$G412),"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",LEN(Registro!$G412))),({1,2,3,4,5,6,7,8,9,10,11,12,13,14,15,16,17,18,19,20,21,22,23,24,25,26,27,28,29,30}-1)*LEN(Registro!$G412)+1,LEN(Registro!$G412))),FIND("x",TRIM(MID(SUBSTITUTE(SUBSTITUTE(SUBSTITUTE(SUBSTITUTE(SUBSTITUTE(LOWER(Registro!$G412),"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",LEN(Registro!$G412))),({1,2,3,4,5,6,7,8,9,10,11,12,13,14,15,16,17,18,19,20,21,22,23,24,25,26,27,28,29,30}-1)*LEN(Registro!$G412)+1,LEN(Registro!$G412)))&amp;"x")+1,20))),"Revisar formato")))</f>
        <v/>
      </c>
      <c r="J412" s="9" t="str">
        <f>IF(AND(Registro!$E412="",Registro!$G412=""),"",IF(NOT(AND(ISNUMBER(I412),ISNUMBER(Registro!$H412))),"",IF(I412&lt;Registro!$H412,"FALTA BOLETOS",IF(I412=Registro!$H412,"CONFORME","DIFERENCIA"))))</f>
        <v/>
      </c>
      <c r="K412" s="11" t="str">
        <f>IF(Registro!$I412="","",IFERROR(SUMPRODUCT(--("0"&amp;TRIM(RIGHT(SUBSTITUTE(TRIM(MID(SUBSTITUTE(SUBSTITUTE(Registro!$I412,";",CHAR(10)),CHAR(10),REPT(" ",LEN(Registro!$I412))),({1,2,3,4,5,6,7,8,9,10,11,12,13,14,15,16,17,18,19,20,21,22,23,24,25,26,27,28,29,30}-1)*LEN(Registro!$I412)+1,LEN(Registro!$I412)))," ",REPT(" ",50)),50)))),"Revisar formato"))</f>
        <v/>
      </c>
      <c r="L412" s="11" t="str">
        <f>IF(Registro!$J412="","",IFERROR(SUMPRODUCT(--("0"&amp;TRIM(RIGHT(SUBSTITUTE(TRIM(MID(SUBSTITUTE(SUBSTITUTE(Registro!$J412,";",CHAR(10)),CHAR(10),REPT(" ",LEN(Registro!$J412))),({1,2,3,4,5,6,7,8,9,10,11,12,13,14,15,16,17,18,19,20,21,22,23,24,25,26,27,28,29,30}-1)*LEN(Registro!$J412)+1,LEN(Registro!$J412)))," ",REPT(" ",50)),50)))),"Revisar formato"))</f>
        <v/>
      </c>
      <c r="M412" s="11" t="str">
        <f>IF(AND(Registro!$H412="",Registro!$I412=""),"",IF(AND(ISTEXT(K412),K412&lt;&gt;""),"Revisar formato",N(Registro!$H412)-N(K412)))</f>
        <v/>
      </c>
      <c r="N412" s="11" t="str">
        <f t="shared" si="20"/>
        <v/>
      </c>
      <c r="O412" s="15" t="str">
        <f>IF(AND(A412=Consulta!$B$3,C412=Consulta!$H$3),B412*10000+ROW(),"")</f>
        <v/>
      </c>
    </row>
    <row r="413" spans="1:15" x14ac:dyDescent="0.25">
      <c r="A413" s="9" t="str">
        <f>IF(Registro!$A413="","",Registro!$A413)</f>
        <v/>
      </c>
      <c r="B413" s="8" t="str">
        <f>IF(Registro!$B413="","",Registro!$B413)</f>
        <v/>
      </c>
      <c r="C413" s="14" t="str">
        <f t="shared" si="18"/>
        <v/>
      </c>
      <c r="D413" s="10" t="str">
        <f>IF(Registro!$E413="","",IF(ISERROR(FIND("x",LOWER(Registro!$E413))),"-",IFERROR(SUMPRODUCT(--("0"&amp;LEFT(TRIM(MID(SUBSTITUTE(SUBSTITUTE(SUBSTITUTE(SUBSTITUTE(SUBSTITUTE(LOWER(Registro!$E413),"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",LEN(Registro!$E413))),({1,2,3,4,5,6,7,8,9,10,11,12,13,14,15,16,17,18,19,20,21,22,23,24,25,26,27,28,29,30}-1)*LEN(Registro!$E413)+1,LEN(Registro!$E413)))&amp;"x")-1))),"Revisar formato")))</f>
        <v/>
      </c>
      <c r="E413" s="11" t="str">
        <f>IF(Registro!$E413="","",IF(ISERROR(FIND("x",LOWER(Registro!$E413))),"-",IFERROR(SUMPRODUCT(--("0"&amp;LEFT(TRIM(MID(SUBSTITUTE(SUBSTITUTE(SUBSTITUTE(SUBSTITUTE(SUBSTITUTE(LOWER(Registro!$E413),"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",LEN(Registro!$E413))),({1,2,3,4,5,6,7,8,9,10,11,12,13,14,15,16,17,18,19,20,21,22,23,24,25,26,27,28,29,30}-1)*LEN(Registro!$E413)+1,LEN(Registro!$E413)))&amp;"x")-1)),--("0"&amp;MID(TRIM(MID(SUBSTITUTE(SUBSTITUTE(SUBSTITUTE(SUBSTITUTE(SUBSTITUTE(LOWER(Registro!$E413),"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",LEN(Registro!$E413))),({1,2,3,4,5,6,7,8,9,10,11,12,13,14,15,16,17,18,19,20,21,22,23,24,25,26,27,28,29,30}-1)*LEN(Registro!$E413)+1,LEN(Registro!$E413)))&amp;"x")+1,20))),"Revisar formato")))</f>
        <v/>
      </c>
      <c r="F413" s="11" t="str">
        <f>IF(Registro!$F413="","",N(Registro!$F413))</f>
        <v/>
      </c>
      <c r="G413" s="11" t="str">
        <f t="shared" si="19"/>
        <v/>
      </c>
      <c r="H413" s="10" t="str">
        <f>IF(Registro!$G413="","",IF(ISERROR(FIND("x",LOWER(Registro!$G413))),"-",IFERROR(SUMPRODUCT(--("0"&amp;LEFT(TRIM(MID(SUBSTITUTE(SUBSTITUTE(SUBSTITUTE(SUBSTITUTE(SUBSTITUTE(LOWER(Registro!$G413),"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",LEN(Registro!$G413))),({1,2,3,4,5,6,7,8,9,10,11,12,13,14,15,16,17,18,19,20,21,22,23,24,25,26,27,28,29,30}-1)*LEN(Registro!$G413)+1,LEN(Registro!$G413))),FIND("x",TRIM(MID(SUBSTITUTE(SUBSTITUTE(SUBSTITUTE(SUBSTITUTE(SUBSTITUTE(LOWER(Registro!$G413),"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",LEN(Registro!$G413))),({1,2,3,4,5,6,7,8,9,10,11,12,13,14,15,16,17,18,19,20,21,22,23,24,25,26,27,28,29,30}-1)*LEN(Registro!$G413)+1,LEN(Registro!$G413)))&amp;"x")-1))),"Revisar formato")))</f>
        <v/>
      </c>
      <c r="I413" s="11" t="str">
        <f>IF(Registro!$G413="","",IF(ISERROR(FIND("x",LOWER(Registro!$G413))),N(Registro!$H413),IFERROR(SUMPRODUCT(--("0"&amp;LEFT(TRIM(MID(SUBSTITUTE(SUBSTITUTE(SUBSTITUTE(SUBSTITUTE(SUBSTITUTE(LOWER(Registro!$G413),"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",LEN(Registro!$G413))),({1,2,3,4,5,6,7,8,9,10,11,12,13,14,15,16,17,18,19,20,21,22,23,24,25,26,27,28,29,30}-1)*LEN(Registro!$G413)+1,LEN(Registro!$G413))),FIND("x",TRIM(MID(SUBSTITUTE(SUBSTITUTE(SUBSTITUTE(SUBSTITUTE(SUBSTITUTE(LOWER(Registro!$G413),"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",LEN(Registro!$G413))),({1,2,3,4,5,6,7,8,9,10,11,12,13,14,15,16,17,18,19,20,21,22,23,24,25,26,27,28,29,30}-1)*LEN(Registro!$G413)+1,LEN(Registro!$G413)))&amp;"x")-1)),--("0"&amp;MID(TRIM(MID(SUBSTITUTE(SUBSTITUTE(SUBSTITUTE(SUBSTITUTE(SUBSTITUTE(LOWER(Registro!$G413),"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",LEN(Registro!$G413))),({1,2,3,4,5,6,7,8,9,10,11,12,13,14,15,16,17,18,19,20,21,22,23,24,25,26,27,28,29,30}-1)*LEN(Registro!$G413)+1,LEN(Registro!$G413))),FIND("x",TRIM(MID(SUBSTITUTE(SUBSTITUTE(SUBSTITUTE(SUBSTITUTE(SUBSTITUTE(LOWER(Registro!$G413),"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",LEN(Registro!$G413))),({1,2,3,4,5,6,7,8,9,10,11,12,13,14,15,16,17,18,19,20,21,22,23,24,25,26,27,28,29,30}-1)*LEN(Registro!$G413)+1,LEN(Registro!$G413)))&amp;"x")+1,20))),"Revisar formato")))</f>
        <v/>
      </c>
      <c r="J413" s="9" t="str">
        <f>IF(AND(Registro!$E413="",Registro!$G413=""),"",IF(NOT(AND(ISNUMBER(I413),ISNUMBER(Registro!$H413))),"",IF(I413&lt;Registro!$H413,"FALTA BOLETOS",IF(I413=Registro!$H413,"CONFORME","DIFERENCIA"))))</f>
        <v/>
      </c>
      <c r="K413" s="11" t="str">
        <f>IF(Registro!$I413="","",IFERROR(SUMPRODUCT(--("0"&amp;TRIM(RIGHT(SUBSTITUTE(TRIM(MID(SUBSTITUTE(SUBSTITUTE(Registro!$I413,";",CHAR(10)),CHAR(10),REPT(" ",LEN(Registro!$I413))),({1,2,3,4,5,6,7,8,9,10,11,12,13,14,15,16,17,18,19,20,21,22,23,24,25,26,27,28,29,30}-1)*LEN(Registro!$I413)+1,LEN(Registro!$I413)))," ",REPT(" ",50)),50)))),"Revisar formato"))</f>
        <v/>
      </c>
      <c r="L413" s="11" t="str">
        <f>IF(Registro!$J413="","",IFERROR(SUMPRODUCT(--("0"&amp;TRIM(RIGHT(SUBSTITUTE(TRIM(MID(SUBSTITUTE(SUBSTITUTE(Registro!$J413,";",CHAR(10)),CHAR(10),REPT(" ",LEN(Registro!$J413))),({1,2,3,4,5,6,7,8,9,10,11,12,13,14,15,16,17,18,19,20,21,22,23,24,25,26,27,28,29,30}-1)*LEN(Registro!$J413)+1,LEN(Registro!$J413)))," ",REPT(" ",50)),50)))),"Revisar formato"))</f>
        <v/>
      </c>
      <c r="M413" s="11" t="str">
        <f>IF(AND(Registro!$H413="",Registro!$I413=""),"",IF(AND(ISTEXT(K413),K413&lt;&gt;""),"Revisar formato",N(Registro!$H413)-N(K413)))</f>
        <v/>
      </c>
      <c r="N413" s="11" t="str">
        <f t="shared" si="20"/>
        <v/>
      </c>
      <c r="O413" s="15" t="str">
        <f>IF(AND(A413=Consulta!$B$3,C413=Consulta!$H$3),B413*10000+ROW(),"")</f>
        <v/>
      </c>
    </row>
    <row r="414" spans="1:15" x14ac:dyDescent="0.25">
      <c r="A414" s="9" t="str">
        <f>IF(Registro!$A414="","",Registro!$A414)</f>
        <v/>
      </c>
      <c r="B414" s="8" t="str">
        <f>IF(Registro!$B414="","",Registro!$B414)</f>
        <v/>
      </c>
      <c r="C414" s="14" t="str">
        <f t="shared" si="18"/>
        <v/>
      </c>
      <c r="D414" s="10" t="str">
        <f>IF(Registro!$E414="","",IF(ISERROR(FIND("x",LOWER(Registro!$E414))),"-",IFERROR(SUMPRODUCT(--("0"&amp;LEFT(TRIM(MID(SUBSTITUTE(SUBSTITUTE(SUBSTITUTE(SUBSTITUTE(SUBSTITUTE(LOWER(Registro!$E414),"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",LEN(Registro!$E414))),({1,2,3,4,5,6,7,8,9,10,11,12,13,14,15,16,17,18,19,20,21,22,23,24,25,26,27,28,29,30}-1)*LEN(Registro!$E414)+1,LEN(Registro!$E414)))&amp;"x")-1))),"Revisar formato")))</f>
        <v/>
      </c>
      <c r="E414" s="11" t="str">
        <f>IF(Registro!$E414="","",IF(ISERROR(FIND("x",LOWER(Registro!$E414))),"-",IFERROR(SUMPRODUCT(--("0"&amp;LEFT(TRIM(MID(SUBSTITUTE(SUBSTITUTE(SUBSTITUTE(SUBSTITUTE(SUBSTITUTE(LOWER(Registro!$E414),"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",LEN(Registro!$E414))),({1,2,3,4,5,6,7,8,9,10,11,12,13,14,15,16,17,18,19,20,21,22,23,24,25,26,27,28,29,30}-1)*LEN(Registro!$E414)+1,LEN(Registro!$E414)))&amp;"x")-1)),--("0"&amp;MID(TRIM(MID(SUBSTITUTE(SUBSTITUTE(SUBSTITUTE(SUBSTITUTE(SUBSTITUTE(LOWER(Registro!$E414),"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",LEN(Registro!$E414))),({1,2,3,4,5,6,7,8,9,10,11,12,13,14,15,16,17,18,19,20,21,22,23,24,25,26,27,28,29,30}-1)*LEN(Registro!$E414)+1,LEN(Registro!$E414)))&amp;"x")+1,20))),"Revisar formato")))</f>
        <v/>
      </c>
      <c r="F414" s="11" t="str">
        <f>IF(Registro!$F414="","",N(Registro!$F414))</f>
        <v/>
      </c>
      <c r="G414" s="11" t="str">
        <f t="shared" si="19"/>
        <v/>
      </c>
      <c r="H414" s="10" t="str">
        <f>IF(Registro!$G414="","",IF(ISERROR(FIND("x",LOWER(Registro!$G414))),"-",IFERROR(SUMPRODUCT(--("0"&amp;LEFT(TRIM(MID(SUBSTITUTE(SUBSTITUTE(SUBSTITUTE(SUBSTITUTE(SUBSTITUTE(LOWER(Registro!$G414),"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",LEN(Registro!$G414))),({1,2,3,4,5,6,7,8,9,10,11,12,13,14,15,16,17,18,19,20,21,22,23,24,25,26,27,28,29,30}-1)*LEN(Registro!$G414)+1,LEN(Registro!$G414))),FIND("x",TRIM(MID(SUBSTITUTE(SUBSTITUTE(SUBSTITUTE(SUBSTITUTE(SUBSTITUTE(LOWER(Registro!$G414),"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",LEN(Registro!$G414))),({1,2,3,4,5,6,7,8,9,10,11,12,13,14,15,16,17,18,19,20,21,22,23,24,25,26,27,28,29,30}-1)*LEN(Registro!$G414)+1,LEN(Registro!$G414)))&amp;"x")-1))),"Revisar formato")))</f>
        <v/>
      </c>
      <c r="I414" s="11" t="str">
        <f>IF(Registro!$G414="","",IF(ISERROR(FIND("x",LOWER(Registro!$G414))),N(Registro!$H414),IFERROR(SUMPRODUCT(--("0"&amp;LEFT(TRIM(MID(SUBSTITUTE(SUBSTITUTE(SUBSTITUTE(SUBSTITUTE(SUBSTITUTE(LOWER(Registro!$G414),"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",LEN(Registro!$G414))),({1,2,3,4,5,6,7,8,9,10,11,12,13,14,15,16,17,18,19,20,21,22,23,24,25,26,27,28,29,30}-1)*LEN(Registro!$G414)+1,LEN(Registro!$G414))),FIND("x",TRIM(MID(SUBSTITUTE(SUBSTITUTE(SUBSTITUTE(SUBSTITUTE(SUBSTITUTE(LOWER(Registro!$G414),"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",LEN(Registro!$G414))),({1,2,3,4,5,6,7,8,9,10,11,12,13,14,15,16,17,18,19,20,21,22,23,24,25,26,27,28,29,30}-1)*LEN(Registro!$G414)+1,LEN(Registro!$G414)))&amp;"x")-1)),--("0"&amp;MID(TRIM(MID(SUBSTITUTE(SUBSTITUTE(SUBSTITUTE(SUBSTITUTE(SUBSTITUTE(LOWER(Registro!$G414),"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",LEN(Registro!$G414))),({1,2,3,4,5,6,7,8,9,10,11,12,13,14,15,16,17,18,19,20,21,22,23,24,25,26,27,28,29,30}-1)*LEN(Registro!$G414)+1,LEN(Registro!$G414))),FIND("x",TRIM(MID(SUBSTITUTE(SUBSTITUTE(SUBSTITUTE(SUBSTITUTE(SUBSTITUTE(LOWER(Registro!$G414),"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",LEN(Registro!$G414))),({1,2,3,4,5,6,7,8,9,10,11,12,13,14,15,16,17,18,19,20,21,22,23,24,25,26,27,28,29,30}-1)*LEN(Registro!$G414)+1,LEN(Registro!$G414)))&amp;"x")+1,20))),"Revisar formato")))</f>
        <v/>
      </c>
      <c r="J414" s="9" t="str">
        <f>IF(AND(Registro!$E414="",Registro!$G414=""),"",IF(NOT(AND(ISNUMBER(I414),ISNUMBER(Registro!$H414))),"",IF(I414&lt;Registro!$H414,"FALTA BOLETOS",IF(I414=Registro!$H414,"CONFORME","DIFERENCIA"))))</f>
        <v/>
      </c>
      <c r="K414" s="11" t="str">
        <f>IF(Registro!$I414="","",IFERROR(SUMPRODUCT(--("0"&amp;TRIM(RIGHT(SUBSTITUTE(TRIM(MID(SUBSTITUTE(SUBSTITUTE(Registro!$I414,";",CHAR(10)),CHAR(10),REPT(" ",LEN(Registro!$I414))),({1,2,3,4,5,6,7,8,9,10,11,12,13,14,15,16,17,18,19,20,21,22,23,24,25,26,27,28,29,30}-1)*LEN(Registro!$I414)+1,LEN(Registro!$I414)))," ",REPT(" ",50)),50)))),"Revisar formato"))</f>
        <v/>
      </c>
      <c r="L414" s="11" t="str">
        <f>IF(Registro!$J414="","",IFERROR(SUMPRODUCT(--("0"&amp;TRIM(RIGHT(SUBSTITUTE(TRIM(MID(SUBSTITUTE(SUBSTITUTE(Registro!$J414,";",CHAR(10)),CHAR(10),REPT(" ",LEN(Registro!$J414))),({1,2,3,4,5,6,7,8,9,10,11,12,13,14,15,16,17,18,19,20,21,22,23,24,25,26,27,28,29,30}-1)*LEN(Registro!$J414)+1,LEN(Registro!$J414)))," ",REPT(" ",50)),50)))),"Revisar formato"))</f>
        <v/>
      </c>
      <c r="M414" s="11" t="str">
        <f>IF(AND(Registro!$H414="",Registro!$I414=""),"",IF(AND(ISTEXT(K414),K414&lt;&gt;""),"Revisar formato",N(Registro!$H414)-N(K414)))</f>
        <v/>
      </c>
      <c r="N414" s="11" t="str">
        <f t="shared" si="20"/>
        <v/>
      </c>
      <c r="O414" s="15" t="str">
        <f>IF(AND(A414=Consulta!$B$3,C414=Consulta!$H$3),B414*10000+ROW(),"")</f>
        <v/>
      </c>
    </row>
    <row r="415" spans="1:15" x14ac:dyDescent="0.25">
      <c r="A415" s="9" t="str">
        <f>IF(Registro!$A415="","",Registro!$A415)</f>
        <v/>
      </c>
      <c r="B415" s="8" t="str">
        <f>IF(Registro!$B415="","",Registro!$B415)</f>
        <v/>
      </c>
      <c r="C415" s="14" t="str">
        <f t="shared" si="18"/>
        <v/>
      </c>
      <c r="D415" s="10" t="str">
        <f>IF(Registro!$E415="","",IF(ISERROR(FIND("x",LOWER(Registro!$E415))),"-",IFERROR(SUMPRODUCT(--("0"&amp;LEFT(TRIM(MID(SUBSTITUTE(SUBSTITUTE(SUBSTITUTE(SUBSTITUTE(SUBSTITUTE(LOWER(Registro!$E415),"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",LEN(Registro!$E415))),({1,2,3,4,5,6,7,8,9,10,11,12,13,14,15,16,17,18,19,20,21,22,23,24,25,26,27,28,29,30}-1)*LEN(Registro!$E415)+1,LEN(Registro!$E415)))&amp;"x")-1))),"Revisar formato")))</f>
        <v/>
      </c>
      <c r="E415" s="11" t="str">
        <f>IF(Registro!$E415="","",IF(ISERROR(FIND("x",LOWER(Registro!$E415))),"-",IFERROR(SUMPRODUCT(--("0"&amp;LEFT(TRIM(MID(SUBSTITUTE(SUBSTITUTE(SUBSTITUTE(SUBSTITUTE(SUBSTITUTE(LOWER(Registro!$E415),"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",LEN(Registro!$E415))),({1,2,3,4,5,6,7,8,9,10,11,12,13,14,15,16,17,18,19,20,21,22,23,24,25,26,27,28,29,30}-1)*LEN(Registro!$E415)+1,LEN(Registro!$E415)))&amp;"x")-1)),--("0"&amp;MID(TRIM(MID(SUBSTITUTE(SUBSTITUTE(SUBSTITUTE(SUBSTITUTE(SUBSTITUTE(LOWER(Registro!$E415),"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",LEN(Registro!$E415))),({1,2,3,4,5,6,7,8,9,10,11,12,13,14,15,16,17,18,19,20,21,22,23,24,25,26,27,28,29,30}-1)*LEN(Registro!$E415)+1,LEN(Registro!$E415)))&amp;"x")+1,20))),"Revisar formato")))</f>
        <v/>
      </c>
      <c r="F415" s="11" t="str">
        <f>IF(Registro!$F415="","",N(Registro!$F415))</f>
        <v/>
      </c>
      <c r="G415" s="11" t="str">
        <f t="shared" si="19"/>
        <v/>
      </c>
      <c r="H415" s="10" t="str">
        <f>IF(Registro!$G415="","",IF(ISERROR(FIND("x",LOWER(Registro!$G415))),"-",IFERROR(SUMPRODUCT(--("0"&amp;LEFT(TRIM(MID(SUBSTITUTE(SUBSTITUTE(SUBSTITUTE(SUBSTITUTE(SUBSTITUTE(LOWER(Registro!$G415),"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",LEN(Registro!$G415))),({1,2,3,4,5,6,7,8,9,10,11,12,13,14,15,16,17,18,19,20,21,22,23,24,25,26,27,28,29,30}-1)*LEN(Registro!$G415)+1,LEN(Registro!$G415))),FIND("x",TRIM(MID(SUBSTITUTE(SUBSTITUTE(SUBSTITUTE(SUBSTITUTE(SUBSTITUTE(LOWER(Registro!$G415),"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",LEN(Registro!$G415))),({1,2,3,4,5,6,7,8,9,10,11,12,13,14,15,16,17,18,19,20,21,22,23,24,25,26,27,28,29,30}-1)*LEN(Registro!$G415)+1,LEN(Registro!$G415)))&amp;"x")-1))),"Revisar formato")))</f>
        <v/>
      </c>
      <c r="I415" s="11" t="str">
        <f>IF(Registro!$G415="","",IF(ISERROR(FIND("x",LOWER(Registro!$G415))),N(Registro!$H415),IFERROR(SUMPRODUCT(--("0"&amp;LEFT(TRIM(MID(SUBSTITUTE(SUBSTITUTE(SUBSTITUTE(SUBSTITUTE(SUBSTITUTE(LOWER(Registro!$G415),"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",LEN(Registro!$G415))),({1,2,3,4,5,6,7,8,9,10,11,12,13,14,15,16,17,18,19,20,21,22,23,24,25,26,27,28,29,30}-1)*LEN(Registro!$G415)+1,LEN(Registro!$G415))),FIND("x",TRIM(MID(SUBSTITUTE(SUBSTITUTE(SUBSTITUTE(SUBSTITUTE(SUBSTITUTE(LOWER(Registro!$G415),"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",LEN(Registro!$G415))),({1,2,3,4,5,6,7,8,9,10,11,12,13,14,15,16,17,18,19,20,21,22,23,24,25,26,27,28,29,30}-1)*LEN(Registro!$G415)+1,LEN(Registro!$G415)))&amp;"x")-1)),--("0"&amp;MID(TRIM(MID(SUBSTITUTE(SUBSTITUTE(SUBSTITUTE(SUBSTITUTE(SUBSTITUTE(LOWER(Registro!$G415),"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",LEN(Registro!$G415))),({1,2,3,4,5,6,7,8,9,10,11,12,13,14,15,16,17,18,19,20,21,22,23,24,25,26,27,28,29,30}-1)*LEN(Registro!$G415)+1,LEN(Registro!$G415))),FIND("x",TRIM(MID(SUBSTITUTE(SUBSTITUTE(SUBSTITUTE(SUBSTITUTE(SUBSTITUTE(LOWER(Registro!$G415),"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",LEN(Registro!$G415))),({1,2,3,4,5,6,7,8,9,10,11,12,13,14,15,16,17,18,19,20,21,22,23,24,25,26,27,28,29,30}-1)*LEN(Registro!$G415)+1,LEN(Registro!$G415)))&amp;"x")+1,20))),"Revisar formato")))</f>
        <v/>
      </c>
      <c r="J415" s="9" t="str">
        <f>IF(AND(Registro!$E415="",Registro!$G415=""),"",IF(NOT(AND(ISNUMBER(I415),ISNUMBER(Registro!$H415))),"",IF(I415&lt;Registro!$H415,"FALTA BOLETOS",IF(I415=Registro!$H415,"CONFORME","DIFERENCIA"))))</f>
        <v/>
      </c>
      <c r="K415" s="11" t="str">
        <f>IF(Registro!$I415="","",IFERROR(SUMPRODUCT(--("0"&amp;TRIM(RIGHT(SUBSTITUTE(TRIM(MID(SUBSTITUTE(SUBSTITUTE(Registro!$I415,";",CHAR(10)),CHAR(10),REPT(" ",LEN(Registro!$I415))),({1,2,3,4,5,6,7,8,9,10,11,12,13,14,15,16,17,18,19,20,21,22,23,24,25,26,27,28,29,30}-1)*LEN(Registro!$I415)+1,LEN(Registro!$I415)))," ",REPT(" ",50)),50)))),"Revisar formato"))</f>
        <v/>
      </c>
      <c r="L415" s="11" t="str">
        <f>IF(Registro!$J415="","",IFERROR(SUMPRODUCT(--("0"&amp;TRIM(RIGHT(SUBSTITUTE(TRIM(MID(SUBSTITUTE(SUBSTITUTE(Registro!$J415,";",CHAR(10)),CHAR(10),REPT(" ",LEN(Registro!$J415))),({1,2,3,4,5,6,7,8,9,10,11,12,13,14,15,16,17,18,19,20,21,22,23,24,25,26,27,28,29,30}-1)*LEN(Registro!$J415)+1,LEN(Registro!$J415)))," ",REPT(" ",50)),50)))),"Revisar formato"))</f>
        <v/>
      </c>
      <c r="M415" s="11" t="str">
        <f>IF(AND(Registro!$H415="",Registro!$I415=""),"",IF(AND(ISTEXT(K415),K415&lt;&gt;""),"Revisar formato",N(Registro!$H415)-N(K415)))</f>
        <v/>
      </c>
      <c r="N415" s="11" t="str">
        <f t="shared" si="20"/>
        <v/>
      </c>
      <c r="O415" s="15" t="str">
        <f>IF(AND(A415=Consulta!$B$3,C415=Consulta!$H$3),B415*10000+ROW(),"")</f>
        <v/>
      </c>
    </row>
    <row r="416" spans="1:15" x14ac:dyDescent="0.25">
      <c r="A416" s="9" t="str">
        <f>IF(Registro!$A416="","",Registro!$A416)</f>
        <v/>
      </c>
      <c r="B416" s="8" t="str">
        <f>IF(Registro!$B416="","",Registro!$B416)</f>
        <v/>
      </c>
      <c r="C416" s="14" t="str">
        <f t="shared" si="18"/>
        <v/>
      </c>
      <c r="D416" s="10" t="str">
        <f>IF(Registro!$E416="","",IF(ISERROR(FIND("x",LOWER(Registro!$E416))),"-",IFERROR(SUMPRODUCT(--("0"&amp;LEFT(TRIM(MID(SUBSTITUTE(SUBSTITUTE(SUBSTITUTE(SUBSTITUTE(SUBSTITUTE(LOWER(Registro!$E416),"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",LEN(Registro!$E416))),({1,2,3,4,5,6,7,8,9,10,11,12,13,14,15,16,17,18,19,20,21,22,23,24,25,26,27,28,29,30}-1)*LEN(Registro!$E416)+1,LEN(Registro!$E416)))&amp;"x")-1))),"Revisar formato")))</f>
        <v/>
      </c>
      <c r="E416" s="11" t="str">
        <f>IF(Registro!$E416="","",IF(ISERROR(FIND("x",LOWER(Registro!$E416))),"-",IFERROR(SUMPRODUCT(--("0"&amp;LEFT(TRIM(MID(SUBSTITUTE(SUBSTITUTE(SUBSTITUTE(SUBSTITUTE(SUBSTITUTE(LOWER(Registro!$E416),"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",LEN(Registro!$E416))),({1,2,3,4,5,6,7,8,9,10,11,12,13,14,15,16,17,18,19,20,21,22,23,24,25,26,27,28,29,30}-1)*LEN(Registro!$E416)+1,LEN(Registro!$E416)))&amp;"x")-1)),--("0"&amp;MID(TRIM(MID(SUBSTITUTE(SUBSTITUTE(SUBSTITUTE(SUBSTITUTE(SUBSTITUTE(LOWER(Registro!$E416),"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",LEN(Registro!$E416))),({1,2,3,4,5,6,7,8,9,10,11,12,13,14,15,16,17,18,19,20,21,22,23,24,25,26,27,28,29,30}-1)*LEN(Registro!$E416)+1,LEN(Registro!$E416)))&amp;"x")+1,20))),"Revisar formato")))</f>
        <v/>
      </c>
      <c r="F416" s="11" t="str">
        <f>IF(Registro!$F416="","",N(Registro!$F416))</f>
        <v/>
      </c>
      <c r="G416" s="11" t="str">
        <f t="shared" si="19"/>
        <v/>
      </c>
      <c r="H416" s="10" t="str">
        <f>IF(Registro!$G416="","",IF(ISERROR(FIND("x",LOWER(Registro!$G416))),"-",IFERROR(SUMPRODUCT(--("0"&amp;LEFT(TRIM(MID(SUBSTITUTE(SUBSTITUTE(SUBSTITUTE(SUBSTITUTE(SUBSTITUTE(LOWER(Registro!$G416),"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",LEN(Registro!$G416))),({1,2,3,4,5,6,7,8,9,10,11,12,13,14,15,16,17,18,19,20,21,22,23,24,25,26,27,28,29,30}-1)*LEN(Registro!$G416)+1,LEN(Registro!$G416))),FIND("x",TRIM(MID(SUBSTITUTE(SUBSTITUTE(SUBSTITUTE(SUBSTITUTE(SUBSTITUTE(LOWER(Registro!$G416),"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",LEN(Registro!$G416))),({1,2,3,4,5,6,7,8,9,10,11,12,13,14,15,16,17,18,19,20,21,22,23,24,25,26,27,28,29,30}-1)*LEN(Registro!$G416)+1,LEN(Registro!$G416)))&amp;"x")-1))),"Revisar formato")))</f>
        <v/>
      </c>
      <c r="I416" s="11" t="str">
        <f>IF(Registro!$G416="","",IF(ISERROR(FIND("x",LOWER(Registro!$G416))),N(Registro!$H416),IFERROR(SUMPRODUCT(--("0"&amp;LEFT(TRIM(MID(SUBSTITUTE(SUBSTITUTE(SUBSTITUTE(SUBSTITUTE(SUBSTITUTE(LOWER(Registro!$G416),"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",LEN(Registro!$G416))),({1,2,3,4,5,6,7,8,9,10,11,12,13,14,15,16,17,18,19,20,21,22,23,24,25,26,27,28,29,30}-1)*LEN(Registro!$G416)+1,LEN(Registro!$G416))),FIND("x",TRIM(MID(SUBSTITUTE(SUBSTITUTE(SUBSTITUTE(SUBSTITUTE(SUBSTITUTE(LOWER(Registro!$G416),"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",LEN(Registro!$G416))),({1,2,3,4,5,6,7,8,9,10,11,12,13,14,15,16,17,18,19,20,21,22,23,24,25,26,27,28,29,30}-1)*LEN(Registro!$G416)+1,LEN(Registro!$G416)))&amp;"x")-1)),--("0"&amp;MID(TRIM(MID(SUBSTITUTE(SUBSTITUTE(SUBSTITUTE(SUBSTITUTE(SUBSTITUTE(LOWER(Registro!$G416),"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",LEN(Registro!$G416))),({1,2,3,4,5,6,7,8,9,10,11,12,13,14,15,16,17,18,19,20,21,22,23,24,25,26,27,28,29,30}-1)*LEN(Registro!$G416)+1,LEN(Registro!$G416))),FIND("x",TRIM(MID(SUBSTITUTE(SUBSTITUTE(SUBSTITUTE(SUBSTITUTE(SUBSTITUTE(LOWER(Registro!$G416),"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",LEN(Registro!$G416))),({1,2,3,4,5,6,7,8,9,10,11,12,13,14,15,16,17,18,19,20,21,22,23,24,25,26,27,28,29,30}-1)*LEN(Registro!$G416)+1,LEN(Registro!$G416)))&amp;"x")+1,20))),"Revisar formato")))</f>
        <v/>
      </c>
      <c r="J416" s="9" t="str">
        <f>IF(AND(Registro!$E416="",Registro!$G416=""),"",IF(NOT(AND(ISNUMBER(I416),ISNUMBER(Registro!$H416))),"",IF(I416&lt;Registro!$H416,"FALTA BOLETOS",IF(I416=Registro!$H416,"CONFORME","DIFERENCIA"))))</f>
        <v/>
      </c>
      <c r="K416" s="11" t="str">
        <f>IF(Registro!$I416="","",IFERROR(SUMPRODUCT(--("0"&amp;TRIM(RIGHT(SUBSTITUTE(TRIM(MID(SUBSTITUTE(SUBSTITUTE(Registro!$I416,";",CHAR(10)),CHAR(10),REPT(" ",LEN(Registro!$I416))),({1,2,3,4,5,6,7,8,9,10,11,12,13,14,15,16,17,18,19,20,21,22,23,24,25,26,27,28,29,30}-1)*LEN(Registro!$I416)+1,LEN(Registro!$I416)))," ",REPT(" ",50)),50)))),"Revisar formato"))</f>
        <v/>
      </c>
      <c r="L416" s="11" t="str">
        <f>IF(Registro!$J416="","",IFERROR(SUMPRODUCT(--("0"&amp;TRIM(RIGHT(SUBSTITUTE(TRIM(MID(SUBSTITUTE(SUBSTITUTE(Registro!$J416,";",CHAR(10)),CHAR(10),REPT(" ",LEN(Registro!$J416))),({1,2,3,4,5,6,7,8,9,10,11,12,13,14,15,16,17,18,19,20,21,22,23,24,25,26,27,28,29,30}-1)*LEN(Registro!$J416)+1,LEN(Registro!$J416)))," ",REPT(" ",50)),50)))),"Revisar formato"))</f>
        <v/>
      </c>
      <c r="M416" s="11" t="str">
        <f>IF(AND(Registro!$H416="",Registro!$I416=""),"",IF(AND(ISTEXT(K416),K416&lt;&gt;""),"Revisar formato",N(Registro!$H416)-N(K416)))</f>
        <v/>
      </c>
      <c r="N416" s="11" t="str">
        <f t="shared" si="20"/>
        <v/>
      </c>
      <c r="O416" s="15" t="str">
        <f>IF(AND(A416=Consulta!$B$3,C416=Consulta!$H$3),B416*10000+ROW(),"")</f>
        <v/>
      </c>
    </row>
    <row r="417" spans="1:15" x14ac:dyDescent="0.25">
      <c r="A417" s="9" t="str">
        <f>IF(Registro!$A417="","",Registro!$A417)</f>
        <v/>
      </c>
      <c r="B417" s="8" t="str">
        <f>IF(Registro!$B417="","",Registro!$B417)</f>
        <v/>
      </c>
      <c r="C417" s="14" t="str">
        <f t="shared" si="18"/>
        <v/>
      </c>
      <c r="D417" s="10" t="str">
        <f>IF(Registro!$E417="","",IF(ISERROR(FIND("x",LOWER(Registro!$E417))),"-",IFERROR(SUMPRODUCT(--("0"&amp;LEFT(TRIM(MID(SUBSTITUTE(SUBSTITUTE(SUBSTITUTE(SUBSTITUTE(SUBSTITUTE(LOWER(Registro!$E417),"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",LEN(Registro!$E417))),({1,2,3,4,5,6,7,8,9,10,11,12,13,14,15,16,17,18,19,20,21,22,23,24,25,26,27,28,29,30}-1)*LEN(Registro!$E417)+1,LEN(Registro!$E417)))&amp;"x")-1))),"Revisar formato")))</f>
        <v/>
      </c>
      <c r="E417" s="11" t="str">
        <f>IF(Registro!$E417="","",IF(ISERROR(FIND("x",LOWER(Registro!$E417))),"-",IFERROR(SUMPRODUCT(--("0"&amp;LEFT(TRIM(MID(SUBSTITUTE(SUBSTITUTE(SUBSTITUTE(SUBSTITUTE(SUBSTITUTE(LOWER(Registro!$E417),"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",LEN(Registro!$E417))),({1,2,3,4,5,6,7,8,9,10,11,12,13,14,15,16,17,18,19,20,21,22,23,24,25,26,27,28,29,30}-1)*LEN(Registro!$E417)+1,LEN(Registro!$E417)))&amp;"x")-1)),--("0"&amp;MID(TRIM(MID(SUBSTITUTE(SUBSTITUTE(SUBSTITUTE(SUBSTITUTE(SUBSTITUTE(LOWER(Registro!$E417),"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",LEN(Registro!$E417))),({1,2,3,4,5,6,7,8,9,10,11,12,13,14,15,16,17,18,19,20,21,22,23,24,25,26,27,28,29,30}-1)*LEN(Registro!$E417)+1,LEN(Registro!$E417)))&amp;"x")+1,20))),"Revisar formato")))</f>
        <v/>
      </c>
      <c r="F417" s="11" t="str">
        <f>IF(Registro!$F417="","",N(Registro!$F417))</f>
        <v/>
      </c>
      <c r="G417" s="11" t="str">
        <f t="shared" si="19"/>
        <v/>
      </c>
      <c r="H417" s="10" t="str">
        <f>IF(Registro!$G417="","",IF(ISERROR(FIND("x",LOWER(Registro!$G417))),"-",IFERROR(SUMPRODUCT(--("0"&amp;LEFT(TRIM(MID(SUBSTITUTE(SUBSTITUTE(SUBSTITUTE(SUBSTITUTE(SUBSTITUTE(LOWER(Registro!$G417),"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",LEN(Registro!$G417))),({1,2,3,4,5,6,7,8,9,10,11,12,13,14,15,16,17,18,19,20,21,22,23,24,25,26,27,28,29,30}-1)*LEN(Registro!$G417)+1,LEN(Registro!$G417))),FIND("x",TRIM(MID(SUBSTITUTE(SUBSTITUTE(SUBSTITUTE(SUBSTITUTE(SUBSTITUTE(LOWER(Registro!$G417),"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",LEN(Registro!$G417))),({1,2,3,4,5,6,7,8,9,10,11,12,13,14,15,16,17,18,19,20,21,22,23,24,25,26,27,28,29,30}-1)*LEN(Registro!$G417)+1,LEN(Registro!$G417)))&amp;"x")-1))),"Revisar formato")))</f>
        <v/>
      </c>
      <c r="I417" s="11" t="str">
        <f>IF(Registro!$G417="","",IF(ISERROR(FIND("x",LOWER(Registro!$G417))),N(Registro!$H417),IFERROR(SUMPRODUCT(--("0"&amp;LEFT(TRIM(MID(SUBSTITUTE(SUBSTITUTE(SUBSTITUTE(SUBSTITUTE(SUBSTITUTE(LOWER(Registro!$G417),"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",LEN(Registro!$G417))),({1,2,3,4,5,6,7,8,9,10,11,12,13,14,15,16,17,18,19,20,21,22,23,24,25,26,27,28,29,30}-1)*LEN(Registro!$G417)+1,LEN(Registro!$G417))),FIND("x",TRIM(MID(SUBSTITUTE(SUBSTITUTE(SUBSTITUTE(SUBSTITUTE(SUBSTITUTE(LOWER(Registro!$G417),"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",LEN(Registro!$G417))),({1,2,3,4,5,6,7,8,9,10,11,12,13,14,15,16,17,18,19,20,21,22,23,24,25,26,27,28,29,30}-1)*LEN(Registro!$G417)+1,LEN(Registro!$G417)))&amp;"x")-1)),--("0"&amp;MID(TRIM(MID(SUBSTITUTE(SUBSTITUTE(SUBSTITUTE(SUBSTITUTE(SUBSTITUTE(LOWER(Registro!$G417),"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",LEN(Registro!$G417))),({1,2,3,4,5,6,7,8,9,10,11,12,13,14,15,16,17,18,19,20,21,22,23,24,25,26,27,28,29,30}-1)*LEN(Registro!$G417)+1,LEN(Registro!$G417))),FIND("x",TRIM(MID(SUBSTITUTE(SUBSTITUTE(SUBSTITUTE(SUBSTITUTE(SUBSTITUTE(LOWER(Registro!$G417),"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",LEN(Registro!$G417))),({1,2,3,4,5,6,7,8,9,10,11,12,13,14,15,16,17,18,19,20,21,22,23,24,25,26,27,28,29,30}-1)*LEN(Registro!$G417)+1,LEN(Registro!$G417)))&amp;"x")+1,20))),"Revisar formato")))</f>
        <v/>
      </c>
      <c r="J417" s="9" t="str">
        <f>IF(AND(Registro!$E417="",Registro!$G417=""),"",IF(NOT(AND(ISNUMBER(I417),ISNUMBER(Registro!$H417))),"",IF(I417&lt;Registro!$H417,"FALTA BOLETOS",IF(I417=Registro!$H417,"CONFORME","DIFERENCIA"))))</f>
        <v/>
      </c>
      <c r="K417" s="11" t="str">
        <f>IF(Registro!$I417="","",IFERROR(SUMPRODUCT(--("0"&amp;TRIM(RIGHT(SUBSTITUTE(TRIM(MID(SUBSTITUTE(SUBSTITUTE(Registro!$I417,";",CHAR(10)),CHAR(10),REPT(" ",LEN(Registro!$I417))),({1,2,3,4,5,6,7,8,9,10,11,12,13,14,15,16,17,18,19,20,21,22,23,24,25,26,27,28,29,30}-1)*LEN(Registro!$I417)+1,LEN(Registro!$I417)))," ",REPT(" ",50)),50)))),"Revisar formato"))</f>
        <v/>
      </c>
      <c r="L417" s="11" t="str">
        <f>IF(Registro!$J417="","",IFERROR(SUMPRODUCT(--("0"&amp;TRIM(RIGHT(SUBSTITUTE(TRIM(MID(SUBSTITUTE(SUBSTITUTE(Registro!$J417,";",CHAR(10)),CHAR(10),REPT(" ",LEN(Registro!$J417))),({1,2,3,4,5,6,7,8,9,10,11,12,13,14,15,16,17,18,19,20,21,22,23,24,25,26,27,28,29,30}-1)*LEN(Registro!$J417)+1,LEN(Registro!$J417)))," ",REPT(" ",50)),50)))),"Revisar formato"))</f>
        <v/>
      </c>
      <c r="M417" s="11" t="str">
        <f>IF(AND(Registro!$H417="",Registro!$I417=""),"",IF(AND(ISTEXT(K417),K417&lt;&gt;""),"Revisar formato",N(Registro!$H417)-N(K417)))</f>
        <v/>
      </c>
      <c r="N417" s="11" t="str">
        <f t="shared" si="20"/>
        <v/>
      </c>
      <c r="O417" s="15" t="str">
        <f>IF(AND(A417=Consulta!$B$3,C417=Consulta!$H$3),B417*10000+ROW(),"")</f>
        <v/>
      </c>
    </row>
    <row r="418" spans="1:15" x14ac:dyDescent="0.25">
      <c r="A418" s="9" t="str">
        <f>IF(Registro!$A418="","",Registro!$A418)</f>
        <v/>
      </c>
      <c r="B418" s="8" t="str">
        <f>IF(Registro!$B418="","",Registro!$B418)</f>
        <v/>
      </c>
      <c r="C418" s="14" t="str">
        <f t="shared" si="18"/>
        <v/>
      </c>
      <c r="D418" s="10" t="str">
        <f>IF(Registro!$E418="","",IF(ISERROR(FIND("x",LOWER(Registro!$E418))),"-",IFERROR(SUMPRODUCT(--("0"&amp;LEFT(TRIM(MID(SUBSTITUTE(SUBSTITUTE(SUBSTITUTE(SUBSTITUTE(SUBSTITUTE(LOWER(Registro!$E418),"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",LEN(Registro!$E418))),({1,2,3,4,5,6,7,8,9,10,11,12,13,14,15,16,17,18,19,20,21,22,23,24,25,26,27,28,29,30}-1)*LEN(Registro!$E418)+1,LEN(Registro!$E418)))&amp;"x")-1))),"Revisar formato")))</f>
        <v/>
      </c>
      <c r="E418" s="11" t="str">
        <f>IF(Registro!$E418="","",IF(ISERROR(FIND("x",LOWER(Registro!$E418))),"-",IFERROR(SUMPRODUCT(--("0"&amp;LEFT(TRIM(MID(SUBSTITUTE(SUBSTITUTE(SUBSTITUTE(SUBSTITUTE(SUBSTITUTE(LOWER(Registro!$E418),"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",LEN(Registro!$E418))),({1,2,3,4,5,6,7,8,9,10,11,12,13,14,15,16,17,18,19,20,21,22,23,24,25,26,27,28,29,30}-1)*LEN(Registro!$E418)+1,LEN(Registro!$E418)))&amp;"x")-1)),--("0"&amp;MID(TRIM(MID(SUBSTITUTE(SUBSTITUTE(SUBSTITUTE(SUBSTITUTE(SUBSTITUTE(LOWER(Registro!$E418),"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",LEN(Registro!$E418))),({1,2,3,4,5,6,7,8,9,10,11,12,13,14,15,16,17,18,19,20,21,22,23,24,25,26,27,28,29,30}-1)*LEN(Registro!$E418)+1,LEN(Registro!$E418)))&amp;"x")+1,20))),"Revisar formato")))</f>
        <v/>
      </c>
      <c r="F418" s="11" t="str">
        <f>IF(Registro!$F418="","",N(Registro!$F418))</f>
        <v/>
      </c>
      <c r="G418" s="11" t="str">
        <f t="shared" si="19"/>
        <v/>
      </c>
      <c r="H418" s="10" t="str">
        <f>IF(Registro!$G418="","",IF(ISERROR(FIND("x",LOWER(Registro!$G418))),"-",IFERROR(SUMPRODUCT(--("0"&amp;LEFT(TRIM(MID(SUBSTITUTE(SUBSTITUTE(SUBSTITUTE(SUBSTITUTE(SUBSTITUTE(LOWER(Registro!$G418),"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",LEN(Registro!$G418))),({1,2,3,4,5,6,7,8,9,10,11,12,13,14,15,16,17,18,19,20,21,22,23,24,25,26,27,28,29,30}-1)*LEN(Registro!$G418)+1,LEN(Registro!$G418))),FIND("x",TRIM(MID(SUBSTITUTE(SUBSTITUTE(SUBSTITUTE(SUBSTITUTE(SUBSTITUTE(LOWER(Registro!$G418),"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",LEN(Registro!$G418))),({1,2,3,4,5,6,7,8,9,10,11,12,13,14,15,16,17,18,19,20,21,22,23,24,25,26,27,28,29,30}-1)*LEN(Registro!$G418)+1,LEN(Registro!$G418)))&amp;"x")-1))),"Revisar formato")))</f>
        <v/>
      </c>
      <c r="I418" s="11" t="str">
        <f>IF(Registro!$G418="","",IF(ISERROR(FIND("x",LOWER(Registro!$G418))),N(Registro!$H418),IFERROR(SUMPRODUCT(--("0"&amp;LEFT(TRIM(MID(SUBSTITUTE(SUBSTITUTE(SUBSTITUTE(SUBSTITUTE(SUBSTITUTE(LOWER(Registro!$G418),"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",LEN(Registro!$G418))),({1,2,3,4,5,6,7,8,9,10,11,12,13,14,15,16,17,18,19,20,21,22,23,24,25,26,27,28,29,30}-1)*LEN(Registro!$G418)+1,LEN(Registro!$G418))),FIND("x",TRIM(MID(SUBSTITUTE(SUBSTITUTE(SUBSTITUTE(SUBSTITUTE(SUBSTITUTE(LOWER(Registro!$G418),"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",LEN(Registro!$G418))),({1,2,3,4,5,6,7,8,9,10,11,12,13,14,15,16,17,18,19,20,21,22,23,24,25,26,27,28,29,30}-1)*LEN(Registro!$G418)+1,LEN(Registro!$G418)))&amp;"x")-1)),--("0"&amp;MID(TRIM(MID(SUBSTITUTE(SUBSTITUTE(SUBSTITUTE(SUBSTITUTE(SUBSTITUTE(LOWER(Registro!$G418),"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",LEN(Registro!$G418))),({1,2,3,4,5,6,7,8,9,10,11,12,13,14,15,16,17,18,19,20,21,22,23,24,25,26,27,28,29,30}-1)*LEN(Registro!$G418)+1,LEN(Registro!$G418))),FIND("x",TRIM(MID(SUBSTITUTE(SUBSTITUTE(SUBSTITUTE(SUBSTITUTE(SUBSTITUTE(LOWER(Registro!$G418),"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",LEN(Registro!$G418))),({1,2,3,4,5,6,7,8,9,10,11,12,13,14,15,16,17,18,19,20,21,22,23,24,25,26,27,28,29,30}-1)*LEN(Registro!$G418)+1,LEN(Registro!$G418)))&amp;"x")+1,20))),"Revisar formato")))</f>
        <v/>
      </c>
      <c r="J418" s="9" t="str">
        <f>IF(AND(Registro!$E418="",Registro!$G418=""),"",IF(NOT(AND(ISNUMBER(I418),ISNUMBER(Registro!$H418))),"",IF(I418&lt;Registro!$H418,"FALTA BOLETOS",IF(I418=Registro!$H418,"CONFORME","DIFERENCIA"))))</f>
        <v/>
      </c>
      <c r="K418" s="11" t="str">
        <f>IF(Registro!$I418="","",IFERROR(SUMPRODUCT(--("0"&amp;TRIM(RIGHT(SUBSTITUTE(TRIM(MID(SUBSTITUTE(SUBSTITUTE(Registro!$I418,";",CHAR(10)),CHAR(10),REPT(" ",LEN(Registro!$I418))),({1,2,3,4,5,6,7,8,9,10,11,12,13,14,15,16,17,18,19,20,21,22,23,24,25,26,27,28,29,30}-1)*LEN(Registro!$I418)+1,LEN(Registro!$I418)))," ",REPT(" ",50)),50)))),"Revisar formato"))</f>
        <v/>
      </c>
      <c r="L418" s="11" t="str">
        <f>IF(Registro!$J418="","",IFERROR(SUMPRODUCT(--("0"&amp;TRIM(RIGHT(SUBSTITUTE(TRIM(MID(SUBSTITUTE(SUBSTITUTE(Registro!$J418,";",CHAR(10)),CHAR(10),REPT(" ",LEN(Registro!$J418))),({1,2,3,4,5,6,7,8,9,10,11,12,13,14,15,16,17,18,19,20,21,22,23,24,25,26,27,28,29,30}-1)*LEN(Registro!$J418)+1,LEN(Registro!$J418)))," ",REPT(" ",50)),50)))),"Revisar formato"))</f>
        <v/>
      </c>
      <c r="M418" s="11" t="str">
        <f>IF(AND(Registro!$H418="",Registro!$I418=""),"",IF(AND(ISTEXT(K418),K418&lt;&gt;""),"Revisar formato",N(Registro!$H418)-N(K418)))</f>
        <v/>
      </c>
      <c r="N418" s="11" t="str">
        <f t="shared" si="20"/>
        <v/>
      </c>
      <c r="O418" s="15" t="str">
        <f>IF(AND(A418=Consulta!$B$3,C418=Consulta!$H$3),B418*10000+ROW(),"")</f>
        <v/>
      </c>
    </row>
    <row r="419" spans="1:15" x14ac:dyDescent="0.25">
      <c r="A419" s="9" t="str">
        <f>IF(Registro!$A419="","",Registro!$A419)</f>
        <v/>
      </c>
      <c r="B419" s="8" t="str">
        <f>IF(Registro!$B419="","",Registro!$B419)</f>
        <v/>
      </c>
      <c r="C419" s="14" t="str">
        <f t="shared" si="18"/>
        <v/>
      </c>
      <c r="D419" s="10" t="str">
        <f>IF(Registro!$E419="","",IF(ISERROR(FIND("x",LOWER(Registro!$E419))),"-",IFERROR(SUMPRODUCT(--("0"&amp;LEFT(TRIM(MID(SUBSTITUTE(SUBSTITUTE(SUBSTITUTE(SUBSTITUTE(SUBSTITUTE(LOWER(Registro!$E419),"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",LEN(Registro!$E419))),({1,2,3,4,5,6,7,8,9,10,11,12,13,14,15,16,17,18,19,20,21,22,23,24,25,26,27,28,29,30}-1)*LEN(Registro!$E419)+1,LEN(Registro!$E419)))&amp;"x")-1))),"Revisar formato")))</f>
        <v/>
      </c>
      <c r="E419" s="11" t="str">
        <f>IF(Registro!$E419="","",IF(ISERROR(FIND("x",LOWER(Registro!$E419))),"-",IFERROR(SUMPRODUCT(--("0"&amp;LEFT(TRIM(MID(SUBSTITUTE(SUBSTITUTE(SUBSTITUTE(SUBSTITUTE(SUBSTITUTE(LOWER(Registro!$E419),"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",LEN(Registro!$E419))),({1,2,3,4,5,6,7,8,9,10,11,12,13,14,15,16,17,18,19,20,21,22,23,24,25,26,27,28,29,30}-1)*LEN(Registro!$E419)+1,LEN(Registro!$E419)))&amp;"x")-1)),--("0"&amp;MID(TRIM(MID(SUBSTITUTE(SUBSTITUTE(SUBSTITUTE(SUBSTITUTE(SUBSTITUTE(LOWER(Registro!$E419),"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",LEN(Registro!$E419))),({1,2,3,4,5,6,7,8,9,10,11,12,13,14,15,16,17,18,19,20,21,22,23,24,25,26,27,28,29,30}-1)*LEN(Registro!$E419)+1,LEN(Registro!$E419)))&amp;"x")+1,20))),"Revisar formato")))</f>
        <v/>
      </c>
      <c r="F419" s="11" t="str">
        <f>IF(Registro!$F419="","",N(Registro!$F419))</f>
        <v/>
      </c>
      <c r="G419" s="11" t="str">
        <f t="shared" si="19"/>
        <v/>
      </c>
      <c r="H419" s="10" t="str">
        <f>IF(Registro!$G419="","",IF(ISERROR(FIND("x",LOWER(Registro!$G419))),"-",IFERROR(SUMPRODUCT(--("0"&amp;LEFT(TRIM(MID(SUBSTITUTE(SUBSTITUTE(SUBSTITUTE(SUBSTITUTE(SUBSTITUTE(LOWER(Registro!$G419),"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",LEN(Registro!$G419))),({1,2,3,4,5,6,7,8,9,10,11,12,13,14,15,16,17,18,19,20,21,22,23,24,25,26,27,28,29,30}-1)*LEN(Registro!$G419)+1,LEN(Registro!$G419))),FIND("x",TRIM(MID(SUBSTITUTE(SUBSTITUTE(SUBSTITUTE(SUBSTITUTE(SUBSTITUTE(LOWER(Registro!$G419),"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",LEN(Registro!$G419))),({1,2,3,4,5,6,7,8,9,10,11,12,13,14,15,16,17,18,19,20,21,22,23,24,25,26,27,28,29,30}-1)*LEN(Registro!$G419)+1,LEN(Registro!$G419)))&amp;"x")-1))),"Revisar formato")))</f>
        <v/>
      </c>
      <c r="I419" s="11" t="str">
        <f>IF(Registro!$G419="","",IF(ISERROR(FIND("x",LOWER(Registro!$G419))),N(Registro!$H419),IFERROR(SUMPRODUCT(--("0"&amp;LEFT(TRIM(MID(SUBSTITUTE(SUBSTITUTE(SUBSTITUTE(SUBSTITUTE(SUBSTITUTE(LOWER(Registro!$G419),"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",LEN(Registro!$G419))),({1,2,3,4,5,6,7,8,9,10,11,12,13,14,15,16,17,18,19,20,21,22,23,24,25,26,27,28,29,30}-1)*LEN(Registro!$G419)+1,LEN(Registro!$G419))),FIND("x",TRIM(MID(SUBSTITUTE(SUBSTITUTE(SUBSTITUTE(SUBSTITUTE(SUBSTITUTE(LOWER(Registro!$G419),"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",LEN(Registro!$G419))),({1,2,3,4,5,6,7,8,9,10,11,12,13,14,15,16,17,18,19,20,21,22,23,24,25,26,27,28,29,30}-1)*LEN(Registro!$G419)+1,LEN(Registro!$G419)))&amp;"x")-1)),--("0"&amp;MID(TRIM(MID(SUBSTITUTE(SUBSTITUTE(SUBSTITUTE(SUBSTITUTE(SUBSTITUTE(LOWER(Registro!$G419),"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",LEN(Registro!$G419))),({1,2,3,4,5,6,7,8,9,10,11,12,13,14,15,16,17,18,19,20,21,22,23,24,25,26,27,28,29,30}-1)*LEN(Registro!$G419)+1,LEN(Registro!$G419))),FIND("x",TRIM(MID(SUBSTITUTE(SUBSTITUTE(SUBSTITUTE(SUBSTITUTE(SUBSTITUTE(LOWER(Registro!$G419),"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",LEN(Registro!$G419))),({1,2,3,4,5,6,7,8,9,10,11,12,13,14,15,16,17,18,19,20,21,22,23,24,25,26,27,28,29,30}-1)*LEN(Registro!$G419)+1,LEN(Registro!$G419)))&amp;"x")+1,20))),"Revisar formato")))</f>
        <v/>
      </c>
      <c r="J419" s="9" t="str">
        <f>IF(AND(Registro!$E419="",Registro!$G419=""),"",IF(NOT(AND(ISNUMBER(I419),ISNUMBER(Registro!$H419))),"",IF(I419&lt;Registro!$H419,"FALTA BOLETOS",IF(I419=Registro!$H419,"CONFORME","DIFERENCIA"))))</f>
        <v/>
      </c>
      <c r="K419" s="11" t="str">
        <f>IF(Registro!$I419="","",IFERROR(SUMPRODUCT(--("0"&amp;TRIM(RIGHT(SUBSTITUTE(TRIM(MID(SUBSTITUTE(SUBSTITUTE(Registro!$I419,";",CHAR(10)),CHAR(10),REPT(" ",LEN(Registro!$I419))),({1,2,3,4,5,6,7,8,9,10,11,12,13,14,15,16,17,18,19,20,21,22,23,24,25,26,27,28,29,30}-1)*LEN(Registro!$I419)+1,LEN(Registro!$I419)))," ",REPT(" ",50)),50)))),"Revisar formato"))</f>
        <v/>
      </c>
      <c r="L419" s="11" t="str">
        <f>IF(Registro!$J419="","",IFERROR(SUMPRODUCT(--("0"&amp;TRIM(RIGHT(SUBSTITUTE(TRIM(MID(SUBSTITUTE(SUBSTITUTE(Registro!$J419,";",CHAR(10)),CHAR(10),REPT(" ",LEN(Registro!$J419))),({1,2,3,4,5,6,7,8,9,10,11,12,13,14,15,16,17,18,19,20,21,22,23,24,25,26,27,28,29,30}-1)*LEN(Registro!$J419)+1,LEN(Registro!$J419)))," ",REPT(" ",50)),50)))),"Revisar formato"))</f>
        <v/>
      </c>
      <c r="M419" s="11" t="str">
        <f>IF(AND(Registro!$H419="",Registro!$I419=""),"",IF(AND(ISTEXT(K419),K419&lt;&gt;""),"Revisar formato",N(Registro!$H419)-N(K419)))</f>
        <v/>
      </c>
      <c r="N419" s="11" t="str">
        <f t="shared" si="20"/>
        <v/>
      </c>
      <c r="O419" s="15" t="str">
        <f>IF(AND(A419=Consulta!$B$3,C419=Consulta!$H$3),B419*10000+ROW(),"")</f>
        <v/>
      </c>
    </row>
    <row r="420" spans="1:15" x14ac:dyDescent="0.25">
      <c r="A420" s="9" t="str">
        <f>IF(Registro!$A420="","",Registro!$A420)</f>
        <v/>
      </c>
      <c r="B420" s="8" t="str">
        <f>IF(Registro!$B420="","",Registro!$B420)</f>
        <v/>
      </c>
      <c r="C420" s="14" t="str">
        <f t="shared" si="18"/>
        <v/>
      </c>
      <c r="D420" s="10" t="str">
        <f>IF(Registro!$E420="","",IF(ISERROR(FIND("x",LOWER(Registro!$E420))),"-",IFERROR(SUMPRODUCT(--("0"&amp;LEFT(TRIM(MID(SUBSTITUTE(SUBSTITUTE(SUBSTITUTE(SUBSTITUTE(SUBSTITUTE(LOWER(Registro!$E420),"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",LEN(Registro!$E420))),({1,2,3,4,5,6,7,8,9,10,11,12,13,14,15,16,17,18,19,20,21,22,23,24,25,26,27,28,29,30}-1)*LEN(Registro!$E420)+1,LEN(Registro!$E420)))&amp;"x")-1))),"Revisar formato")))</f>
        <v/>
      </c>
      <c r="E420" s="11" t="str">
        <f>IF(Registro!$E420="","",IF(ISERROR(FIND("x",LOWER(Registro!$E420))),"-",IFERROR(SUMPRODUCT(--("0"&amp;LEFT(TRIM(MID(SUBSTITUTE(SUBSTITUTE(SUBSTITUTE(SUBSTITUTE(SUBSTITUTE(LOWER(Registro!$E420),"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",LEN(Registro!$E420))),({1,2,3,4,5,6,7,8,9,10,11,12,13,14,15,16,17,18,19,20,21,22,23,24,25,26,27,28,29,30}-1)*LEN(Registro!$E420)+1,LEN(Registro!$E420)))&amp;"x")-1)),--("0"&amp;MID(TRIM(MID(SUBSTITUTE(SUBSTITUTE(SUBSTITUTE(SUBSTITUTE(SUBSTITUTE(LOWER(Registro!$E420),"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",LEN(Registro!$E420))),({1,2,3,4,5,6,7,8,9,10,11,12,13,14,15,16,17,18,19,20,21,22,23,24,25,26,27,28,29,30}-1)*LEN(Registro!$E420)+1,LEN(Registro!$E420)))&amp;"x")+1,20))),"Revisar formato")))</f>
        <v/>
      </c>
      <c r="F420" s="11" t="str">
        <f>IF(Registro!$F420="","",N(Registro!$F420))</f>
        <v/>
      </c>
      <c r="G420" s="11" t="str">
        <f t="shared" si="19"/>
        <v/>
      </c>
      <c r="H420" s="10" t="str">
        <f>IF(Registro!$G420="","",IF(ISERROR(FIND("x",LOWER(Registro!$G420))),"-",IFERROR(SUMPRODUCT(--("0"&amp;LEFT(TRIM(MID(SUBSTITUTE(SUBSTITUTE(SUBSTITUTE(SUBSTITUTE(SUBSTITUTE(LOWER(Registro!$G420),"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",LEN(Registro!$G420))),({1,2,3,4,5,6,7,8,9,10,11,12,13,14,15,16,17,18,19,20,21,22,23,24,25,26,27,28,29,30}-1)*LEN(Registro!$G420)+1,LEN(Registro!$G420))),FIND("x",TRIM(MID(SUBSTITUTE(SUBSTITUTE(SUBSTITUTE(SUBSTITUTE(SUBSTITUTE(LOWER(Registro!$G420),"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",LEN(Registro!$G420))),({1,2,3,4,5,6,7,8,9,10,11,12,13,14,15,16,17,18,19,20,21,22,23,24,25,26,27,28,29,30}-1)*LEN(Registro!$G420)+1,LEN(Registro!$G420)))&amp;"x")-1))),"Revisar formato")))</f>
        <v/>
      </c>
      <c r="I420" s="11" t="str">
        <f>IF(Registro!$G420="","",IF(ISERROR(FIND("x",LOWER(Registro!$G420))),N(Registro!$H420),IFERROR(SUMPRODUCT(--("0"&amp;LEFT(TRIM(MID(SUBSTITUTE(SUBSTITUTE(SUBSTITUTE(SUBSTITUTE(SUBSTITUTE(LOWER(Registro!$G420),"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",LEN(Registro!$G420))),({1,2,3,4,5,6,7,8,9,10,11,12,13,14,15,16,17,18,19,20,21,22,23,24,25,26,27,28,29,30}-1)*LEN(Registro!$G420)+1,LEN(Registro!$G420))),FIND("x",TRIM(MID(SUBSTITUTE(SUBSTITUTE(SUBSTITUTE(SUBSTITUTE(SUBSTITUTE(LOWER(Registro!$G420),"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",LEN(Registro!$G420))),({1,2,3,4,5,6,7,8,9,10,11,12,13,14,15,16,17,18,19,20,21,22,23,24,25,26,27,28,29,30}-1)*LEN(Registro!$G420)+1,LEN(Registro!$G420)))&amp;"x")-1)),--("0"&amp;MID(TRIM(MID(SUBSTITUTE(SUBSTITUTE(SUBSTITUTE(SUBSTITUTE(SUBSTITUTE(LOWER(Registro!$G420),"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",LEN(Registro!$G420))),({1,2,3,4,5,6,7,8,9,10,11,12,13,14,15,16,17,18,19,20,21,22,23,24,25,26,27,28,29,30}-1)*LEN(Registro!$G420)+1,LEN(Registro!$G420))),FIND("x",TRIM(MID(SUBSTITUTE(SUBSTITUTE(SUBSTITUTE(SUBSTITUTE(SUBSTITUTE(LOWER(Registro!$G420),"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",LEN(Registro!$G420))),({1,2,3,4,5,6,7,8,9,10,11,12,13,14,15,16,17,18,19,20,21,22,23,24,25,26,27,28,29,30}-1)*LEN(Registro!$G420)+1,LEN(Registro!$G420)))&amp;"x")+1,20))),"Revisar formato")))</f>
        <v/>
      </c>
      <c r="J420" s="9" t="str">
        <f>IF(AND(Registro!$E420="",Registro!$G420=""),"",IF(NOT(AND(ISNUMBER(I420),ISNUMBER(Registro!$H420))),"",IF(I420&lt;Registro!$H420,"FALTA BOLETOS",IF(I420=Registro!$H420,"CONFORME","DIFERENCIA"))))</f>
        <v/>
      </c>
      <c r="K420" s="11" t="str">
        <f>IF(Registro!$I420="","",IFERROR(SUMPRODUCT(--("0"&amp;TRIM(RIGHT(SUBSTITUTE(TRIM(MID(SUBSTITUTE(SUBSTITUTE(Registro!$I420,";",CHAR(10)),CHAR(10),REPT(" ",LEN(Registro!$I420))),({1,2,3,4,5,6,7,8,9,10,11,12,13,14,15,16,17,18,19,20,21,22,23,24,25,26,27,28,29,30}-1)*LEN(Registro!$I420)+1,LEN(Registro!$I420)))," ",REPT(" ",50)),50)))),"Revisar formato"))</f>
        <v/>
      </c>
      <c r="L420" s="11" t="str">
        <f>IF(Registro!$J420="","",IFERROR(SUMPRODUCT(--("0"&amp;TRIM(RIGHT(SUBSTITUTE(TRIM(MID(SUBSTITUTE(SUBSTITUTE(Registro!$J420,";",CHAR(10)),CHAR(10),REPT(" ",LEN(Registro!$J420))),({1,2,3,4,5,6,7,8,9,10,11,12,13,14,15,16,17,18,19,20,21,22,23,24,25,26,27,28,29,30}-1)*LEN(Registro!$J420)+1,LEN(Registro!$J420)))," ",REPT(" ",50)),50)))),"Revisar formato"))</f>
        <v/>
      </c>
      <c r="M420" s="11" t="str">
        <f>IF(AND(Registro!$H420="",Registro!$I420=""),"",IF(AND(ISTEXT(K420),K420&lt;&gt;""),"Revisar formato",N(Registro!$H420)-N(K420)))</f>
        <v/>
      </c>
      <c r="N420" s="11" t="str">
        <f t="shared" si="20"/>
        <v/>
      </c>
      <c r="O420" s="15" t="str">
        <f>IF(AND(A420=Consulta!$B$3,C420=Consulta!$H$3),B420*10000+ROW(),"")</f>
        <v/>
      </c>
    </row>
    <row r="421" spans="1:15" x14ac:dyDescent="0.25">
      <c r="A421" s="9" t="str">
        <f>IF(Registro!$A421="","",Registro!$A421)</f>
        <v/>
      </c>
      <c r="B421" s="8" t="str">
        <f>IF(Registro!$B421="","",Registro!$B421)</f>
        <v/>
      </c>
      <c r="C421" s="14" t="str">
        <f t="shared" si="18"/>
        <v/>
      </c>
      <c r="D421" s="10" t="str">
        <f>IF(Registro!$E421="","",IF(ISERROR(FIND("x",LOWER(Registro!$E421))),"-",IFERROR(SUMPRODUCT(--("0"&amp;LEFT(TRIM(MID(SUBSTITUTE(SUBSTITUTE(SUBSTITUTE(SUBSTITUTE(SUBSTITUTE(LOWER(Registro!$E421),"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",LEN(Registro!$E421))),({1,2,3,4,5,6,7,8,9,10,11,12,13,14,15,16,17,18,19,20,21,22,23,24,25,26,27,28,29,30}-1)*LEN(Registro!$E421)+1,LEN(Registro!$E421)))&amp;"x")-1))),"Revisar formato")))</f>
        <v/>
      </c>
      <c r="E421" s="11" t="str">
        <f>IF(Registro!$E421="","",IF(ISERROR(FIND("x",LOWER(Registro!$E421))),"-",IFERROR(SUMPRODUCT(--("0"&amp;LEFT(TRIM(MID(SUBSTITUTE(SUBSTITUTE(SUBSTITUTE(SUBSTITUTE(SUBSTITUTE(LOWER(Registro!$E421),"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",LEN(Registro!$E421))),({1,2,3,4,5,6,7,8,9,10,11,12,13,14,15,16,17,18,19,20,21,22,23,24,25,26,27,28,29,30}-1)*LEN(Registro!$E421)+1,LEN(Registro!$E421)))&amp;"x")-1)),--("0"&amp;MID(TRIM(MID(SUBSTITUTE(SUBSTITUTE(SUBSTITUTE(SUBSTITUTE(SUBSTITUTE(LOWER(Registro!$E421),"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",LEN(Registro!$E421))),({1,2,3,4,5,6,7,8,9,10,11,12,13,14,15,16,17,18,19,20,21,22,23,24,25,26,27,28,29,30}-1)*LEN(Registro!$E421)+1,LEN(Registro!$E421)))&amp;"x")+1,20))),"Revisar formato")))</f>
        <v/>
      </c>
      <c r="F421" s="11" t="str">
        <f>IF(Registro!$F421="","",N(Registro!$F421))</f>
        <v/>
      </c>
      <c r="G421" s="11" t="str">
        <f t="shared" si="19"/>
        <v/>
      </c>
      <c r="H421" s="10" t="str">
        <f>IF(Registro!$G421="","",IF(ISERROR(FIND("x",LOWER(Registro!$G421))),"-",IFERROR(SUMPRODUCT(--("0"&amp;LEFT(TRIM(MID(SUBSTITUTE(SUBSTITUTE(SUBSTITUTE(SUBSTITUTE(SUBSTITUTE(LOWER(Registro!$G421),"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",LEN(Registro!$G421))),({1,2,3,4,5,6,7,8,9,10,11,12,13,14,15,16,17,18,19,20,21,22,23,24,25,26,27,28,29,30}-1)*LEN(Registro!$G421)+1,LEN(Registro!$G421))),FIND("x",TRIM(MID(SUBSTITUTE(SUBSTITUTE(SUBSTITUTE(SUBSTITUTE(SUBSTITUTE(LOWER(Registro!$G421),"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",LEN(Registro!$G421))),({1,2,3,4,5,6,7,8,9,10,11,12,13,14,15,16,17,18,19,20,21,22,23,24,25,26,27,28,29,30}-1)*LEN(Registro!$G421)+1,LEN(Registro!$G421)))&amp;"x")-1))),"Revisar formato")))</f>
        <v/>
      </c>
      <c r="I421" s="11" t="str">
        <f>IF(Registro!$G421="","",IF(ISERROR(FIND("x",LOWER(Registro!$G421))),N(Registro!$H421),IFERROR(SUMPRODUCT(--("0"&amp;LEFT(TRIM(MID(SUBSTITUTE(SUBSTITUTE(SUBSTITUTE(SUBSTITUTE(SUBSTITUTE(LOWER(Registro!$G421),"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",LEN(Registro!$G421))),({1,2,3,4,5,6,7,8,9,10,11,12,13,14,15,16,17,18,19,20,21,22,23,24,25,26,27,28,29,30}-1)*LEN(Registro!$G421)+1,LEN(Registro!$G421))),FIND("x",TRIM(MID(SUBSTITUTE(SUBSTITUTE(SUBSTITUTE(SUBSTITUTE(SUBSTITUTE(LOWER(Registro!$G421),"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",LEN(Registro!$G421))),({1,2,3,4,5,6,7,8,9,10,11,12,13,14,15,16,17,18,19,20,21,22,23,24,25,26,27,28,29,30}-1)*LEN(Registro!$G421)+1,LEN(Registro!$G421)))&amp;"x")-1)),--("0"&amp;MID(TRIM(MID(SUBSTITUTE(SUBSTITUTE(SUBSTITUTE(SUBSTITUTE(SUBSTITUTE(LOWER(Registro!$G421),"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",LEN(Registro!$G421))),({1,2,3,4,5,6,7,8,9,10,11,12,13,14,15,16,17,18,19,20,21,22,23,24,25,26,27,28,29,30}-1)*LEN(Registro!$G421)+1,LEN(Registro!$G421))),FIND("x",TRIM(MID(SUBSTITUTE(SUBSTITUTE(SUBSTITUTE(SUBSTITUTE(SUBSTITUTE(LOWER(Registro!$G421),"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",LEN(Registro!$G421))),({1,2,3,4,5,6,7,8,9,10,11,12,13,14,15,16,17,18,19,20,21,22,23,24,25,26,27,28,29,30}-1)*LEN(Registro!$G421)+1,LEN(Registro!$G421)))&amp;"x")+1,20))),"Revisar formato")))</f>
        <v/>
      </c>
      <c r="J421" s="9" t="str">
        <f>IF(AND(Registro!$E421="",Registro!$G421=""),"",IF(NOT(AND(ISNUMBER(I421),ISNUMBER(Registro!$H421))),"",IF(I421&lt;Registro!$H421,"FALTA BOLETOS",IF(I421=Registro!$H421,"CONFORME","DIFERENCIA"))))</f>
        <v/>
      </c>
      <c r="K421" s="11" t="str">
        <f>IF(Registro!$I421="","",IFERROR(SUMPRODUCT(--("0"&amp;TRIM(RIGHT(SUBSTITUTE(TRIM(MID(SUBSTITUTE(SUBSTITUTE(Registro!$I421,";",CHAR(10)),CHAR(10),REPT(" ",LEN(Registro!$I421))),({1,2,3,4,5,6,7,8,9,10,11,12,13,14,15,16,17,18,19,20,21,22,23,24,25,26,27,28,29,30}-1)*LEN(Registro!$I421)+1,LEN(Registro!$I421)))," ",REPT(" ",50)),50)))),"Revisar formato"))</f>
        <v/>
      </c>
      <c r="L421" s="11" t="str">
        <f>IF(Registro!$J421="","",IFERROR(SUMPRODUCT(--("0"&amp;TRIM(RIGHT(SUBSTITUTE(TRIM(MID(SUBSTITUTE(SUBSTITUTE(Registro!$J421,";",CHAR(10)),CHAR(10),REPT(" ",LEN(Registro!$J421))),({1,2,3,4,5,6,7,8,9,10,11,12,13,14,15,16,17,18,19,20,21,22,23,24,25,26,27,28,29,30}-1)*LEN(Registro!$J421)+1,LEN(Registro!$J421)))," ",REPT(" ",50)),50)))),"Revisar formato"))</f>
        <v/>
      </c>
      <c r="M421" s="11" t="str">
        <f>IF(AND(Registro!$H421="",Registro!$I421=""),"",IF(AND(ISTEXT(K421),K421&lt;&gt;""),"Revisar formato",N(Registro!$H421)-N(K421)))</f>
        <v/>
      </c>
      <c r="N421" s="11" t="str">
        <f t="shared" si="20"/>
        <v/>
      </c>
      <c r="O421" s="15" t="str">
        <f>IF(AND(A421=Consulta!$B$3,C421=Consulta!$H$3),B421*10000+ROW(),"")</f>
        <v/>
      </c>
    </row>
    <row r="422" spans="1:15" x14ac:dyDescent="0.25">
      <c r="A422" s="9" t="str">
        <f>IF(Registro!$A422="","",Registro!$A422)</f>
        <v/>
      </c>
      <c r="B422" s="8" t="str">
        <f>IF(Registro!$B422="","",Registro!$B422)</f>
        <v/>
      </c>
      <c r="C422" s="14" t="str">
        <f t="shared" si="18"/>
        <v/>
      </c>
      <c r="D422" s="10" t="str">
        <f>IF(Registro!$E422="","",IF(ISERROR(FIND("x",LOWER(Registro!$E422))),"-",IFERROR(SUMPRODUCT(--("0"&amp;LEFT(TRIM(MID(SUBSTITUTE(SUBSTITUTE(SUBSTITUTE(SUBSTITUTE(SUBSTITUTE(LOWER(Registro!$E422),"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",LEN(Registro!$E422))),({1,2,3,4,5,6,7,8,9,10,11,12,13,14,15,16,17,18,19,20,21,22,23,24,25,26,27,28,29,30}-1)*LEN(Registro!$E422)+1,LEN(Registro!$E422)))&amp;"x")-1))),"Revisar formato")))</f>
        <v/>
      </c>
      <c r="E422" s="11" t="str">
        <f>IF(Registro!$E422="","",IF(ISERROR(FIND("x",LOWER(Registro!$E422))),"-",IFERROR(SUMPRODUCT(--("0"&amp;LEFT(TRIM(MID(SUBSTITUTE(SUBSTITUTE(SUBSTITUTE(SUBSTITUTE(SUBSTITUTE(LOWER(Registro!$E422),"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",LEN(Registro!$E422))),({1,2,3,4,5,6,7,8,9,10,11,12,13,14,15,16,17,18,19,20,21,22,23,24,25,26,27,28,29,30}-1)*LEN(Registro!$E422)+1,LEN(Registro!$E422)))&amp;"x")-1)),--("0"&amp;MID(TRIM(MID(SUBSTITUTE(SUBSTITUTE(SUBSTITUTE(SUBSTITUTE(SUBSTITUTE(LOWER(Registro!$E422),"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",LEN(Registro!$E422))),({1,2,3,4,5,6,7,8,9,10,11,12,13,14,15,16,17,18,19,20,21,22,23,24,25,26,27,28,29,30}-1)*LEN(Registro!$E422)+1,LEN(Registro!$E422)))&amp;"x")+1,20))),"Revisar formato")))</f>
        <v/>
      </c>
      <c r="F422" s="11" t="str">
        <f>IF(Registro!$F422="","",N(Registro!$F422))</f>
        <v/>
      </c>
      <c r="G422" s="11" t="str">
        <f t="shared" si="19"/>
        <v/>
      </c>
      <c r="H422" s="10" t="str">
        <f>IF(Registro!$G422="","",IF(ISERROR(FIND("x",LOWER(Registro!$G422))),"-",IFERROR(SUMPRODUCT(--("0"&amp;LEFT(TRIM(MID(SUBSTITUTE(SUBSTITUTE(SUBSTITUTE(SUBSTITUTE(SUBSTITUTE(LOWER(Registro!$G422),"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",LEN(Registro!$G422))),({1,2,3,4,5,6,7,8,9,10,11,12,13,14,15,16,17,18,19,20,21,22,23,24,25,26,27,28,29,30}-1)*LEN(Registro!$G422)+1,LEN(Registro!$G422))),FIND("x",TRIM(MID(SUBSTITUTE(SUBSTITUTE(SUBSTITUTE(SUBSTITUTE(SUBSTITUTE(LOWER(Registro!$G422),"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",LEN(Registro!$G422))),({1,2,3,4,5,6,7,8,9,10,11,12,13,14,15,16,17,18,19,20,21,22,23,24,25,26,27,28,29,30}-1)*LEN(Registro!$G422)+1,LEN(Registro!$G422)))&amp;"x")-1))),"Revisar formato")))</f>
        <v/>
      </c>
      <c r="I422" s="11" t="str">
        <f>IF(Registro!$G422="","",IF(ISERROR(FIND("x",LOWER(Registro!$G422))),N(Registro!$H422),IFERROR(SUMPRODUCT(--("0"&amp;LEFT(TRIM(MID(SUBSTITUTE(SUBSTITUTE(SUBSTITUTE(SUBSTITUTE(SUBSTITUTE(LOWER(Registro!$G422),"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",LEN(Registro!$G422))),({1,2,3,4,5,6,7,8,9,10,11,12,13,14,15,16,17,18,19,20,21,22,23,24,25,26,27,28,29,30}-1)*LEN(Registro!$G422)+1,LEN(Registro!$G422))),FIND("x",TRIM(MID(SUBSTITUTE(SUBSTITUTE(SUBSTITUTE(SUBSTITUTE(SUBSTITUTE(LOWER(Registro!$G422),"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",LEN(Registro!$G422))),({1,2,3,4,5,6,7,8,9,10,11,12,13,14,15,16,17,18,19,20,21,22,23,24,25,26,27,28,29,30}-1)*LEN(Registro!$G422)+1,LEN(Registro!$G422)))&amp;"x")-1)),--("0"&amp;MID(TRIM(MID(SUBSTITUTE(SUBSTITUTE(SUBSTITUTE(SUBSTITUTE(SUBSTITUTE(LOWER(Registro!$G422),"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",LEN(Registro!$G422))),({1,2,3,4,5,6,7,8,9,10,11,12,13,14,15,16,17,18,19,20,21,22,23,24,25,26,27,28,29,30}-1)*LEN(Registro!$G422)+1,LEN(Registro!$G422))),FIND("x",TRIM(MID(SUBSTITUTE(SUBSTITUTE(SUBSTITUTE(SUBSTITUTE(SUBSTITUTE(LOWER(Registro!$G422),"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",LEN(Registro!$G422))),({1,2,3,4,5,6,7,8,9,10,11,12,13,14,15,16,17,18,19,20,21,22,23,24,25,26,27,28,29,30}-1)*LEN(Registro!$G422)+1,LEN(Registro!$G422)))&amp;"x")+1,20))),"Revisar formato")))</f>
        <v/>
      </c>
      <c r="J422" s="9" t="str">
        <f>IF(AND(Registro!$E422="",Registro!$G422=""),"",IF(NOT(AND(ISNUMBER(I422),ISNUMBER(Registro!$H422))),"",IF(I422&lt;Registro!$H422,"FALTA BOLETOS",IF(I422=Registro!$H422,"CONFORME","DIFERENCIA"))))</f>
        <v/>
      </c>
      <c r="K422" s="11" t="str">
        <f>IF(Registro!$I422="","",IFERROR(SUMPRODUCT(--("0"&amp;TRIM(RIGHT(SUBSTITUTE(TRIM(MID(SUBSTITUTE(SUBSTITUTE(Registro!$I422,";",CHAR(10)),CHAR(10),REPT(" ",LEN(Registro!$I422))),({1,2,3,4,5,6,7,8,9,10,11,12,13,14,15,16,17,18,19,20,21,22,23,24,25,26,27,28,29,30}-1)*LEN(Registro!$I422)+1,LEN(Registro!$I422)))," ",REPT(" ",50)),50)))),"Revisar formato"))</f>
        <v/>
      </c>
      <c r="L422" s="11" t="str">
        <f>IF(Registro!$J422="","",IFERROR(SUMPRODUCT(--("0"&amp;TRIM(RIGHT(SUBSTITUTE(TRIM(MID(SUBSTITUTE(SUBSTITUTE(Registro!$J422,";",CHAR(10)),CHAR(10),REPT(" ",LEN(Registro!$J422))),({1,2,3,4,5,6,7,8,9,10,11,12,13,14,15,16,17,18,19,20,21,22,23,24,25,26,27,28,29,30}-1)*LEN(Registro!$J422)+1,LEN(Registro!$J422)))," ",REPT(" ",50)),50)))),"Revisar formato"))</f>
        <v/>
      </c>
      <c r="M422" s="11" t="str">
        <f>IF(AND(Registro!$H422="",Registro!$I422=""),"",IF(AND(ISTEXT(K422),K422&lt;&gt;""),"Revisar formato",N(Registro!$H422)-N(K422)))</f>
        <v/>
      </c>
      <c r="N422" s="11" t="str">
        <f t="shared" si="20"/>
        <v/>
      </c>
      <c r="O422" s="15" t="str">
        <f>IF(AND(A422=Consulta!$B$3,C422=Consulta!$H$3),B422*10000+ROW(),"")</f>
        <v/>
      </c>
    </row>
    <row r="423" spans="1:15" x14ac:dyDescent="0.25">
      <c r="A423" s="9" t="str">
        <f>IF(Registro!$A423="","",Registro!$A423)</f>
        <v/>
      </c>
      <c r="B423" s="8" t="str">
        <f>IF(Registro!$B423="","",Registro!$B423)</f>
        <v/>
      </c>
      <c r="C423" s="14" t="str">
        <f t="shared" si="18"/>
        <v/>
      </c>
      <c r="D423" s="10" t="str">
        <f>IF(Registro!$E423="","",IF(ISERROR(FIND("x",LOWER(Registro!$E423))),"-",IFERROR(SUMPRODUCT(--("0"&amp;LEFT(TRIM(MID(SUBSTITUTE(SUBSTITUTE(SUBSTITUTE(SUBSTITUTE(SUBSTITUTE(LOWER(Registro!$E423),"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",LEN(Registro!$E423))),({1,2,3,4,5,6,7,8,9,10,11,12,13,14,15,16,17,18,19,20,21,22,23,24,25,26,27,28,29,30}-1)*LEN(Registro!$E423)+1,LEN(Registro!$E423)))&amp;"x")-1))),"Revisar formato")))</f>
        <v/>
      </c>
      <c r="E423" s="11" t="str">
        <f>IF(Registro!$E423="","",IF(ISERROR(FIND("x",LOWER(Registro!$E423))),"-",IFERROR(SUMPRODUCT(--("0"&amp;LEFT(TRIM(MID(SUBSTITUTE(SUBSTITUTE(SUBSTITUTE(SUBSTITUTE(SUBSTITUTE(LOWER(Registro!$E423),"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",LEN(Registro!$E423))),({1,2,3,4,5,6,7,8,9,10,11,12,13,14,15,16,17,18,19,20,21,22,23,24,25,26,27,28,29,30}-1)*LEN(Registro!$E423)+1,LEN(Registro!$E423)))&amp;"x")-1)),--("0"&amp;MID(TRIM(MID(SUBSTITUTE(SUBSTITUTE(SUBSTITUTE(SUBSTITUTE(SUBSTITUTE(LOWER(Registro!$E423),"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",LEN(Registro!$E423))),({1,2,3,4,5,6,7,8,9,10,11,12,13,14,15,16,17,18,19,20,21,22,23,24,25,26,27,28,29,30}-1)*LEN(Registro!$E423)+1,LEN(Registro!$E423)))&amp;"x")+1,20))),"Revisar formato")))</f>
        <v/>
      </c>
      <c r="F423" s="11" t="str">
        <f>IF(Registro!$F423="","",N(Registro!$F423))</f>
        <v/>
      </c>
      <c r="G423" s="11" t="str">
        <f t="shared" si="19"/>
        <v/>
      </c>
      <c r="H423" s="10" t="str">
        <f>IF(Registro!$G423="","",IF(ISERROR(FIND("x",LOWER(Registro!$G423))),"-",IFERROR(SUMPRODUCT(--("0"&amp;LEFT(TRIM(MID(SUBSTITUTE(SUBSTITUTE(SUBSTITUTE(SUBSTITUTE(SUBSTITUTE(LOWER(Registro!$G423),"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",LEN(Registro!$G423))),({1,2,3,4,5,6,7,8,9,10,11,12,13,14,15,16,17,18,19,20,21,22,23,24,25,26,27,28,29,30}-1)*LEN(Registro!$G423)+1,LEN(Registro!$G423))),FIND("x",TRIM(MID(SUBSTITUTE(SUBSTITUTE(SUBSTITUTE(SUBSTITUTE(SUBSTITUTE(LOWER(Registro!$G423),"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",LEN(Registro!$G423))),({1,2,3,4,5,6,7,8,9,10,11,12,13,14,15,16,17,18,19,20,21,22,23,24,25,26,27,28,29,30}-1)*LEN(Registro!$G423)+1,LEN(Registro!$G423)))&amp;"x")-1))),"Revisar formato")))</f>
        <v/>
      </c>
      <c r="I423" s="11" t="str">
        <f>IF(Registro!$G423="","",IF(ISERROR(FIND("x",LOWER(Registro!$G423))),N(Registro!$H423),IFERROR(SUMPRODUCT(--("0"&amp;LEFT(TRIM(MID(SUBSTITUTE(SUBSTITUTE(SUBSTITUTE(SUBSTITUTE(SUBSTITUTE(LOWER(Registro!$G423),"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",LEN(Registro!$G423))),({1,2,3,4,5,6,7,8,9,10,11,12,13,14,15,16,17,18,19,20,21,22,23,24,25,26,27,28,29,30}-1)*LEN(Registro!$G423)+1,LEN(Registro!$G423))),FIND("x",TRIM(MID(SUBSTITUTE(SUBSTITUTE(SUBSTITUTE(SUBSTITUTE(SUBSTITUTE(LOWER(Registro!$G423),"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",LEN(Registro!$G423))),({1,2,3,4,5,6,7,8,9,10,11,12,13,14,15,16,17,18,19,20,21,22,23,24,25,26,27,28,29,30}-1)*LEN(Registro!$G423)+1,LEN(Registro!$G423)))&amp;"x")-1)),--("0"&amp;MID(TRIM(MID(SUBSTITUTE(SUBSTITUTE(SUBSTITUTE(SUBSTITUTE(SUBSTITUTE(LOWER(Registro!$G423),"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",LEN(Registro!$G423))),({1,2,3,4,5,6,7,8,9,10,11,12,13,14,15,16,17,18,19,20,21,22,23,24,25,26,27,28,29,30}-1)*LEN(Registro!$G423)+1,LEN(Registro!$G423))),FIND("x",TRIM(MID(SUBSTITUTE(SUBSTITUTE(SUBSTITUTE(SUBSTITUTE(SUBSTITUTE(LOWER(Registro!$G423),"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",LEN(Registro!$G423))),({1,2,3,4,5,6,7,8,9,10,11,12,13,14,15,16,17,18,19,20,21,22,23,24,25,26,27,28,29,30}-1)*LEN(Registro!$G423)+1,LEN(Registro!$G423)))&amp;"x")+1,20))),"Revisar formato")))</f>
        <v/>
      </c>
      <c r="J423" s="9" t="str">
        <f>IF(AND(Registro!$E423="",Registro!$G423=""),"",IF(NOT(AND(ISNUMBER(I423),ISNUMBER(Registro!$H423))),"",IF(I423&lt;Registro!$H423,"FALTA BOLETOS",IF(I423=Registro!$H423,"CONFORME","DIFERENCIA"))))</f>
        <v/>
      </c>
      <c r="K423" s="11" t="str">
        <f>IF(Registro!$I423="","",IFERROR(SUMPRODUCT(--("0"&amp;TRIM(RIGHT(SUBSTITUTE(TRIM(MID(SUBSTITUTE(SUBSTITUTE(Registro!$I423,";",CHAR(10)),CHAR(10),REPT(" ",LEN(Registro!$I423))),({1,2,3,4,5,6,7,8,9,10,11,12,13,14,15,16,17,18,19,20,21,22,23,24,25,26,27,28,29,30}-1)*LEN(Registro!$I423)+1,LEN(Registro!$I423)))," ",REPT(" ",50)),50)))),"Revisar formato"))</f>
        <v/>
      </c>
      <c r="L423" s="11" t="str">
        <f>IF(Registro!$J423="","",IFERROR(SUMPRODUCT(--("0"&amp;TRIM(RIGHT(SUBSTITUTE(TRIM(MID(SUBSTITUTE(SUBSTITUTE(Registro!$J423,";",CHAR(10)),CHAR(10),REPT(" ",LEN(Registro!$J423))),({1,2,3,4,5,6,7,8,9,10,11,12,13,14,15,16,17,18,19,20,21,22,23,24,25,26,27,28,29,30}-1)*LEN(Registro!$J423)+1,LEN(Registro!$J423)))," ",REPT(" ",50)),50)))),"Revisar formato"))</f>
        <v/>
      </c>
      <c r="M423" s="11" t="str">
        <f>IF(AND(Registro!$H423="",Registro!$I423=""),"",IF(AND(ISTEXT(K423),K423&lt;&gt;""),"Revisar formato",N(Registro!$H423)-N(K423)))</f>
        <v/>
      </c>
      <c r="N423" s="11" t="str">
        <f t="shared" si="20"/>
        <v/>
      </c>
      <c r="O423" s="15" t="str">
        <f>IF(AND(A423=Consulta!$B$3,C423=Consulta!$H$3),B423*10000+ROW(),"")</f>
        <v/>
      </c>
    </row>
    <row r="424" spans="1:15" x14ac:dyDescent="0.25">
      <c r="A424" s="9" t="str">
        <f>IF(Registro!$A424="","",Registro!$A424)</f>
        <v/>
      </c>
      <c r="B424" s="8" t="str">
        <f>IF(Registro!$B424="","",Registro!$B424)</f>
        <v/>
      </c>
      <c r="C424" s="14" t="str">
        <f t="shared" si="18"/>
        <v/>
      </c>
      <c r="D424" s="10" t="str">
        <f>IF(Registro!$E424="","",IF(ISERROR(FIND("x",LOWER(Registro!$E424))),"-",IFERROR(SUMPRODUCT(--("0"&amp;LEFT(TRIM(MID(SUBSTITUTE(SUBSTITUTE(SUBSTITUTE(SUBSTITUTE(SUBSTITUTE(LOWER(Registro!$E424),"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",LEN(Registro!$E424))),({1,2,3,4,5,6,7,8,9,10,11,12,13,14,15,16,17,18,19,20,21,22,23,24,25,26,27,28,29,30}-1)*LEN(Registro!$E424)+1,LEN(Registro!$E424)))&amp;"x")-1))),"Revisar formato")))</f>
        <v/>
      </c>
      <c r="E424" s="11" t="str">
        <f>IF(Registro!$E424="","",IF(ISERROR(FIND("x",LOWER(Registro!$E424))),"-",IFERROR(SUMPRODUCT(--("0"&amp;LEFT(TRIM(MID(SUBSTITUTE(SUBSTITUTE(SUBSTITUTE(SUBSTITUTE(SUBSTITUTE(LOWER(Registro!$E424),"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",LEN(Registro!$E424))),({1,2,3,4,5,6,7,8,9,10,11,12,13,14,15,16,17,18,19,20,21,22,23,24,25,26,27,28,29,30}-1)*LEN(Registro!$E424)+1,LEN(Registro!$E424)))&amp;"x")-1)),--("0"&amp;MID(TRIM(MID(SUBSTITUTE(SUBSTITUTE(SUBSTITUTE(SUBSTITUTE(SUBSTITUTE(LOWER(Registro!$E424),"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",LEN(Registro!$E424))),({1,2,3,4,5,6,7,8,9,10,11,12,13,14,15,16,17,18,19,20,21,22,23,24,25,26,27,28,29,30}-1)*LEN(Registro!$E424)+1,LEN(Registro!$E424)))&amp;"x")+1,20))),"Revisar formato")))</f>
        <v/>
      </c>
      <c r="F424" s="11" t="str">
        <f>IF(Registro!$F424="","",N(Registro!$F424))</f>
        <v/>
      </c>
      <c r="G424" s="11" t="str">
        <f t="shared" si="19"/>
        <v/>
      </c>
      <c r="H424" s="10" t="str">
        <f>IF(Registro!$G424="","",IF(ISERROR(FIND("x",LOWER(Registro!$G424))),"-",IFERROR(SUMPRODUCT(--("0"&amp;LEFT(TRIM(MID(SUBSTITUTE(SUBSTITUTE(SUBSTITUTE(SUBSTITUTE(SUBSTITUTE(LOWER(Registro!$G424),"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",LEN(Registro!$G424))),({1,2,3,4,5,6,7,8,9,10,11,12,13,14,15,16,17,18,19,20,21,22,23,24,25,26,27,28,29,30}-1)*LEN(Registro!$G424)+1,LEN(Registro!$G424))),FIND("x",TRIM(MID(SUBSTITUTE(SUBSTITUTE(SUBSTITUTE(SUBSTITUTE(SUBSTITUTE(LOWER(Registro!$G424),"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",LEN(Registro!$G424))),({1,2,3,4,5,6,7,8,9,10,11,12,13,14,15,16,17,18,19,20,21,22,23,24,25,26,27,28,29,30}-1)*LEN(Registro!$G424)+1,LEN(Registro!$G424)))&amp;"x")-1))),"Revisar formato")))</f>
        <v/>
      </c>
      <c r="I424" s="11" t="str">
        <f>IF(Registro!$G424="","",IF(ISERROR(FIND("x",LOWER(Registro!$G424))),N(Registro!$H424),IFERROR(SUMPRODUCT(--("0"&amp;LEFT(TRIM(MID(SUBSTITUTE(SUBSTITUTE(SUBSTITUTE(SUBSTITUTE(SUBSTITUTE(LOWER(Registro!$G424),"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",LEN(Registro!$G424))),({1,2,3,4,5,6,7,8,9,10,11,12,13,14,15,16,17,18,19,20,21,22,23,24,25,26,27,28,29,30}-1)*LEN(Registro!$G424)+1,LEN(Registro!$G424))),FIND("x",TRIM(MID(SUBSTITUTE(SUBSTITUTE(SUBSTITUTE(SUBSTITUTE(SUBSTITUTE(LOWER(Registro!$G424),"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",LEN(Registro!$G424))),({1,2,3,4,5,6,7,8,9,10,11,12,13,14,15,16,17,18,19,20,21,22,23,24,25,26,27,28,29,30}-1)*LEN(Registro!$G424)+1,LEN(Registro!$G424)))&amp;"x")-1)),--("0"&amp;MID(TRIM(MID(SUBSTITUTE(SUBSTITUTE(SUBSTITUTE(SUBSTITUTE(SUBSTITUTE(LOWER(Registro!$G424),"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",LEN(Registro!$G424))),({1,2,3,4,5,6,7,8,9,10,11,12,13,14,15,16,17,18,19,20,21,22,23,24,25,26,27,28,29,30}-1)*LEN(Registro!$G424)+1,LEN(Registro!$G424))),FIND("x",TRIM(MID(SUBSTITUTE(SUBSTITUTE(SUBSTITUTE(SUBSTITUTE(SUBSTITUTE(LOWER(Registro!$G424),"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",LEN(Registro!$G424))),({1,2,3,4,5,6,7,8,9,10,11,12,13,14,15,16,17,18,19,20,21,22,23,24,25,26,27,28,29,30}-1)*LEN(Registro!$G424)+1,LEN(Registro!$G424)))&amp;"x")+1,20))),"Revisar formato")))</f>
        <v/>
      </c>
      <c r="J424" s="9" t="str">
        <f>IF(AND(Registro!$E424="",Registro!$G424=""),"",IF(NOT(AND(ISNUMBER(I424),ISNUMBER(Registro!$H424))),"",IF(I424&lt;Registro!$H424,"FALTA BOLETOS",IF(I424=Registro!$H424,"CONFORME","DIFERENCIA"))))</f>
        <v/>
      </c>
      <c r="K424" s="11" t="str">
        <f>IF(Registro!$I424="","",IFERROR(SUMPRODUCT(--("0"&amp;TRIM(RIGHT(SUBSTITUTE(TRIM(MID(SUBSTITUTE(SUBSTITUTE(Registro!$I424,";",CHAR(10)),CHAR(10),REPT(" ",LEN(Registro!$I424))),({1,2,3,4,5,6,7,8,9,10,11,12,13,14,15,16,17,18,19,20,21,22,23,24,25,26,27,28,29,30}-1)*LEN(Registro!$I424)+1,LEN(Registro!$I424)))," ",REPT(" ",50)),50)))),"Revisar formato"))</f>
        <v/>
      </c>
      <c r="L424" s="11" t="str">
        <f>IF(Registro!$J424="","",IFERROR(SUMPRODUCT(--("0"&amp;TRIM(RIGHT(SUBSTITUTE(TRIM(MID(SUBSTITUTE(SUBSTITUTE(Registro!$J424,";",CHAR(10)),CHAR(10),REPT(" ",LEN(Registro!$J424))),({1,2,3,4,5,6,7,8,9,10,11,12,13,14,15,16,17,18,19,20,21,22,23,24,25,26,27,28,29,30}-1)*LEN(Registro!$J424)+1,LEN(Registro!$J424)))," ",REPT(" ",50)),50)))),"Revisar formato"))</f>
        <v/>
      </c>
      <c r="M424" s="11" t="str">
        <f>IF(AND(Registro!$H424="",Registro!$I424=""),"",IF(AND(ISTEXT(K424),K424&lt;&gt;""),"Revisar formato",N(Registro!$H424)-N(K424)))</f>
        <v/>
      </c>
      <c r="N424" s="11" t="str">
        <f t="shared" si="20"/>
        <v/>
      </c>
      <c r="O424" s="15" t="str">
        <f>IF(AND(A424=Consulta!$B$3,C424=Consulta!$H$3),B424*10000+ROW(),"")</f>
        <v/>
      </c>
    </row>
    <row r="425" spans="1:15" x14ac:dyDescent="0.25">
      <c r="A425" s="9" t="str">
        <f>IF(Registro!$A425="","",Registro!$A425)</f>
        <v/>
      </c>
      <c r="B425" s="8" t="str">
        <f>IF(Registro!$B425="","",Registro!$B425)</f>
        <v/>
      </c>
      <c r="C425" s="14" t="str">
        <f t="shared" si="18"/>
        <v/>
      </c>
      <c r="D425" s="10" t="str">
        <f>IF(Registro!$E425="","",IF(ISERROR(FIND("x",LOWER(Registro!$E425))),"-",IFERROR(SUMPRODUCT(--("0"&amp;LEFT(TRIM(MID(SUBSTITUTE(SUBSTITUTE(SUBSTITUTE(SUBSTITUTE(SUBSTITUTE(LOWER(Registro!$E425),"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",LEN(Registro!$E425))),({1,2,3,4,5,6,7,8,9,10,11,12,13,14,15,16,17,18,19,20,21,22,23,24,25,26,27,28,29,30}-1)*LEN(Registro!$E425)+1,LEN(Registro!$E425)))&amp;"x")-1))),"Revisar formato")))</f>
        <v/>
      </c>
      <c r="E425" s="11" t="str">
        <f>IF(Registro!$E425="","",IF(ISERROR(FIND("x",LOWER(Registro!$E425))),"-",IFERROR(SUMPRODUCT(--("0"&amp;LEFT(TRIM(MID(SUBSTITUTE(SUBSTITUTE(SUBSTITUTE(SUBSTITUTE(SUBSTITUTE(LOWER(Registro!$E425),"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",LEN(Registro!$E425))),({1,2,3,4,5,6,7,8,9,10,11,12,13,14,15,16,17,18,19,20,21,22,23,24,25,26,27,28,29,30}-1)*LEN(Registro!$E425)+1,LEN(Registro!$E425)))&amp;"x")-1)),--("0"&amp;MID(TRIM(MID(SUBSTITUTE(SUBSTITUTE(SUBSTITUTE(SUBSTITUTE(SUBSTITUTE(LOWER(Registro!$E425),"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",LEN(Registro!$E425))),({1,2,3,4,5,6,7,8,9,10,11,12,13,14,15,16,17,18,19,20,21,22,23,24,25,26,27,28,29,30}-1)*LEN(Registro!$E425)+1,LEN(Registro!$E425)))&amp;"x")+1,20))),"Revisar formato")))</f>
        <v/>
      </c>
      <c r="F425" s="11" t="str">
        <f>IF(Registro!$F425="","",N(Registro!$F425))</f>
        <v/>
      </c>
      <c r="G425" s="11" t="str">
        <f t="shared" si="19"/>
        <v/>
      </c>
      <c r="H425" s="10" t="str">
        <f>IF(Registro!$G425="","",IF(ISERROR(FIND("x",LOWER(Registro!$G425))),"-",IFERROR(SUMPRODUCT(--("0"&amp;LEFT(TRIM(MID(SUBSTITUTE(SUBSTITUTE(SUBSTITUTE(SUBSTITUTE(SUBSTITUTE(LOWER(Registro!$G425),"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",LEN(Registro!$G425))),({1,2,3,4,5,6,7,8,9,10,11,12,13,14,15,16,17,18,19,20,21,22,23,24,25,26,27,28,29,30}-1)*LEN(Registro!$G425)+1,LEN(Registro!$G425))),FIND("x",TRIM(MID(SUBSTITUTE(SUBSTITUTE(SUBSTITUTE(SUBSTITUTE(SUBSTITUTE(LOWER(Registro!$G425),"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",LEN(Registro!$G425))),({1,2,3,4,5,6,7,8,9,10,11,12,13,14,15,16,17,18,19,20,21,22,23,24,25,26,27,28,29,30}-1)*LEN(Registro!$G425)+1,LEN(Registro!$G425)))&amp;"x")-1))),"Revisar formato")))</f>
        <v/>
      </c>
      <c r="I425" s="11" t="str">
        <f>IF(Registro!$G425="","",IF(ISERROR(FIND("x",LOWER(Registro!$G425))),N(Registro!$H425),IFERROR(SUMPRODUCT(--("0"&amp;LEFT(TRIM(MID(SUBSTITUTE(SUBSTITUTE(SUBSTITUTE(SUBSTITUTE(SUBSTITUTE(LOWER(Registro!$G425),"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",LEN(Registro!$G425))),({1,2,3,4,5,6,7,8,9,10,11,12,13,14,15,16,17,18,19,20,21,22,23,24,25,26,27,28,29,30}-1)*LEN(Registro!$G425)+1,LEN(Registro!$G425))),FIND("x",TRIM(MID(SUBSTITUTE(SUBSTITUTE(SUBSTITUTE(SUBSTITUTE(SUBSTITUTE(LOWER(Registro!$G425),"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",LEN(Registro!$G425))),({1,2,3,4,5,6,7,8,9,10,11,12,13,14,15,16,17,18,19,20,21,22,23,24,25,26,27,28,29,30}-1)*LEN(Registro!$G425)+1,LEN(Registro!$G425)))&amp;"x")-1)),--("0"&amp;MID(TRIM(MID(SUBSTITUTE(SUBSTITUTE(SUBSTITUTE(SUBSTITUTE(SUBSTITUTE(LOWER(Registro!$G425),"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",LEN(Registro!$G425))),({1,2,3,4,5,6,7,8,9,10,11,12,13,14,15,16,17,18,19,20,21,22,23,24,25,26,27,28,29,30}-1)*LEN(Registro!$G425)+1,LEN(Registro!$G425))),FIND("x",TRIM(MID(SUBSTITUTE(SUBSTITUTE(SUBSTITUTE(SUBSTITUTE(SUBSTITUTE(LOWER(Registro!$G425),"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",LEN(Registro!$G425))),({1,2,3,4,5,6,7,8,9,10,11,12,13,14,15,16,17,18,19,20,21,22,23,24,25,26,27,28,29,30}-1)*LEN(Registro!$G425)+1,LEN(Registro!$G425)))&amp;"x")+1,20))),"Revisar formato")))</f>
        <v/>
      </c>
      <c r="J425" s="9" t="str">
        <f>IF(AND(Registro!$E425="",Registro!$G425=""),"",IF(NOT(AND(ISNUMBER(I425),ISNUMBER(Registro!$H425))),"",IF(I425&lt;Registro!$H425,"FALTA BOLETOS",IF(I425=Registro!$H425,"CONFORME","DIFERENCIA"))))</f>
        <v/>
      </c>
      <c r="K425" s="11" t="str">
        <f>IF(Registro!$I425="","",IFERROR(SUMPRODUCT(--("0"&amp;TRIM(RIGHT(SUBSTITUTE(TRIM(MID(SUBSTITUTE(SUBSTITUTE(Registro!$I425,";",CHAR(10)),CHAR(10),REPT(" ",LEN(Registro!$I425))),({1,2,3,4,5,6,7,8,9,10,11,12,13,14,15,16,17,18,19,20,21,22,23,24,25,26,27,28,29,30}-1)*LEN(Registro!$I425)+1,LEN(Registro!$I425)))," ",REPT(" ",50)),50)))),"Revisar formato"))</f>
        <v/>
      </c>
      <c r="L425" s="11" t="str">
        <f>IF(Registro!$J425="","",IFERROR(SUMPRODUCT(--("0"&amp;TRIM(RIGHT(SUBSTITUTE(TRIM(MID(SUBSTITUTE(SUBSTITUTE(Registro!$J425,";",CHAR(10)),CHAR(10),REPT(" ",LEN(Registro!$J425))),({1,2,3,4,5,6,7,8,9,10,11,12,13,14,15,16,17,18,19,20,21,22,23,24,25,26,27,28,29,30}-1)*LEN(Registro!$J425)+1,LEN(Registro!$J425)))," ",REPT(" ",50)),50)))),"Revisar formato"))</f>
        <v/>
      </c>
      <c r="M425" s="11" t="str">
        <f>IF(AND(Registro!$H425="",Registro!$I425=""),"",IF(AND(ISTEXT(K425),K425&lt;&gt;""),"Revisar formato",N(Registro!$H425)-N(K425)))</f>
        <v/>
      </c>
      <c r="N425" s="11" t="str">
        <f t="shared" si="20"/>
        <v/>
      </c>
      <c r="O425" s="15" t="str">
        <f>IF(AND(A425=Consulta!$B$3,C425=Consulta!$H$3),B425*10000+ROW(),"")</f>
        <v/>
      </c>
    </row>
    <row r="426" spans="1:15" x14ac:dyDescent="0.25">
      <c r="A426" s="9" t="str">
        <f>IF(Registro!$A426="","",Registro!$A426)</f>
        <v/>
      </c>
      <c r="B426" s="8" t="str">
        <f>IF(Registro!$B426="","",Registro!$B426)</f>
        <v/>
      </c>
      <c r="C426" s="14" t="str">
        <f t="shared" si="18"/>
        <v/>
      </c>
      <c r="D426" s="10" t="str">
        <f>IF(Registro!$E426="","",IF(ISERROR(FIND("x",LOWER(Registro!$E426))),"-",IFERROR(SUMPRODUCT(--("0"&amp;LEFT(TRIM(MID(SUBSTITUTE(SUBSTITUTE(SUBSTITUTE(SUBSTITUTE(SUBSTITUTE(LOWER(Registro!$E426),"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",LEN(Registro!$E426))),({1,2,3,4,5,6,7,8,9,10,11,12,13,14,15,16,17,18,19,20,21,22,23,24,25,26,27,28,29,30}-1)*LEN(Registro!$E426)+1,LEN(Registro!$E426)))&amp;"x")-1))),"Revisar formato")))</f>
        <v/>
      </c>
      <c r="E426" s="11" t="str">
        <f>IF(Registro!$E426="","",IF(ISERROR(FIND("x",LOWER(Registro!$E426))),"-",IFERROR(SUMPRODUCT(--("0"&amp;LEFT(TRIM(MID(SUBSTITUTE(SUBSTITUTE(SUBSTITUTE(SUBSTITUTE(SUBSTITUTE(LOWER(Registro!$E426),"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",LEN(Registro!$E426))),({1,2,3,4,5,6,7,8,9,10,11,12,13,14,15,16,17,18,19,20,21,22,23,24,25,26,27,28,29,30}-1)*LEN(Registro!$E426)+1,LEN(Registro!$E426)))&amp;"x")-1)),--("0"&amp;MID(TRIM(MID(SUBSTITUTE(SUBSTITUTE(SUBSTITUTE(SUBSTITUTE(SUBSTITUTE(LOWER(Registro!$E426),"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",LEN(Registro!$E426))),({1,2,3,4,5,6,7,8,9,10,11,12,13,14,15,16,17,18,19,20,21,22,23,24,25,26,27,28,29,30}-1)*LEN(Registro!$E426)+1,LEN(Registro!$E426)))&amp;"x")+1,20))),"Revisar formato")))</f>
        <v/>
      </c>
      <c r="F426" s="11" t="str">
        <f>IF(Registro!$F426="","",N(Registro!$F426))</f>
        <v/>
      </c>
      <c r="G426" s="11" t="str">
        <f t="shared" si="19"/>
        <v/>
      </c>
      <c r="H426" s="10" t="str">
        <f>IF(Registro!$G426="","",IF(ISERROR(FIND("x",LOWER(Registro!$G426))),"-",IFERROR(SUMPRODUCT(--("0"&amp;LEFT(TRIM(MID(SUBSTITUTE(SUBSTITUTE(SUBSTITUTE(SUBSTITUTE(SUBSTITUTE(LOWER(Registro!$G426),"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",LEN(Registro!$G426))),({1,2,3,4,5,6,7,8,9,10,11,12,13,14,15,16,17,18,19,20,21,22,23,24,25,26,27,28,29,30}-1)*LEN(Registro!$G426)+1,LEN(Registro!$G426))),FIND("x",TRIM(MID(SUBSTITUTE(SUBSTITUTE(SUBSTITUTE(SUBSTITUTE(SUBSTITUTE(LOWER(Registro!$G426),"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",LEN(Registro!$G426))),({1,2,3,4,5,6,7,8,9,10,11,12,13,14,15,16,17,18,19,20,21,22,23,24,25,26,27,28,29,30}-1)*LEN(Registro!$G426)+1,LEN(Registro!$G426)))&amp;"x")-1))),"Revisar formato")))</f>
        <v/>
      </c>
      <c r="I426" s="11" t="str">
        <f>IF(Registro!$G426="","",IF(ISERROR(FIND("x",LOWER(Registro!$G426))),N(Registro!$H426),IFERROR(SUMPRODUCT(--("0"&amp;LEFT(TRIM(MID(SUBSTITUTE(SUBSTITUTE(SUBSTITUTE(SUBSTITUTE(SUBSTITUTE(LOWER(Registro!$G426),"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",LEN(Registro!$G426))),({1,2,3,4,5,6,7,8,9,10,11,12,13,14,15,16,17,18,19,20,21,22,23,24,25,26,27,28,29,30}-1)*LEN(Registro!$G426)+1,LEN(Registro!$G426))),FIND("x",TRIM(MID(SUBSTITUTE(SUBSTITUTE(SUBSTITUTE(SUBSTITUTE(SUBSTITUTE(LOWER(Registro!$G426),"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",LEN(Registro!$G426))),({1,2,3,4,5,6,7,8,9,10,11,12,13,14,15,16,17,18,19,20,21,22,23,24,25,26,27,28,29,30}-1)*LEN(Registro!$G426)+1,LEN(Registro!$G426)))&amp;"x")-1)),--("0"&amp;MID(TRIM(MID(SUBSTITUTE(SUBSTITUTE(SUBSTITUTE(SUBSTITUTE(SUBSTITUTE(LOWER(Registro!$G426),"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",LEN(Registro!$G426))),({1,2,3,4,5,6,7,8,9,10,11,12,13,14,15,16,17,18,19,20,21,22,23,24,25,26,27,28,29,30}-1)*LEN(Registro!$G426)+1,LEN(Registro!$G426))),FIND("x",TRIM(MID(SUBSTITUTE(SUBSTITUTE(SUBSTITUTE(SUBSTITUTE(SUBSTITUTE(LOWER(Registro!$G426),"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",LEN(Registro!$G426))),({1,2,3,4,5,6,7,8,9,10,11,12,13,14,15,16,17,18,19,20,21,22,23,24,25,26,27,28,29,30}-1)*LEN(Registro!$G426)+1,LEN(Registro!$G426)))&amp;"x")+1,20))),"Revisar formato")))</f>
        <v/>
      </c>
      <c r="J426" s="9" t="str">
        <f>IF(AND(Registro!$E426="",Registro!$G426=""),"",IF(NOT(AND(ISNUMBER(I426),ISNUMBER(Registro!$H426))),"",IF(I426&lt;Registro!$H426,"FALTA BOLETOS",IF(I426=Registro!$H426,"CONFORME","DIFERENCIA"))))</f>
        <v/>
      </c>
      <c r="K426" s="11" t="str">
        <f>IF(Registro!$I426="","",IFERROR(SUMPRODUCT(--("0"&amp;TRIM(RIGHT(SUBSTITUTE(TRIM(MID(SUBSTITUTE(SUBSTITUTE(Registro!$I426,";",CHAR(10)),CHAR(10),REPT(" ",LEN(Registro!$I426))),({1,2,3,4,5,6,7,8,9,10,11,12,13,14,15,16,17,18,19,20,21,22,23,24,25,26,27,28,29,30}-1)*LEN(Registro!$I426)+1,LEN(Registro!$I426)))," ",REPT(" ",50)),50)))),"Revisar formato"))</f>
        <v/>
      </c>
      <c r="L426" s="11" t="str">
        <f>IF(Registro!$J426="","",IFERROR(SUMPRODUCT(--("0"&amp;TRIM(RIGHT(SUBSTITUTE(TRIM(MID(SUBSTITUTE(SUBSTITUTE(Registro!$J426,";",CHAR(10)),CHAR(10),REPT(" ",LEN(Registro!$J426))),({1,2,3,4,5,6,7,8,9,10,11,12,13,14,15,16,17,18,19,20,21,22,23,24,25,26,27,28,29,30}-1)*LEN(Registro!$J426)+1,LEN(Registro!$J426)))," ",REPT(" ",50)),50)))),"Revisar formato"))</f>
        <v/>
      </c>
      <c r="M426" s="11" t="str">
        <f>IF(AND(Registro!$H426="",Registro!$I426=""),"",IF(AND(ISTEXT(K426),K426&lt;&gt;""),"Revisar formato",N(Registro!$H426)-N(K426)))</f>
        <v/>
      </c>
      <c r="N426" s="11" t="str">
        <f t="shared" si="20"/>
        <v/>
      </c>
      <c r="O426" s="15" t="str">
        <f>IF(AND(A426=Consulta!$B$3,C426=Consulta!$H$3),B426*10000+ROW(),"")</f>
        <v/>
      </c>
    </row>
    <row r="427" spans="1:15" x14ac:dyDescent="0.25">
      <c r="A427" s="9" t="str">
        <f>IF(Registro!$A427="","",Registro!$A427)</f>
        <v/>
      </c>
      <c r="B427" s="8" t="str">
        <f>IF(Registro!$B427="","",Registro!$B427)</f>
        <v/>
      </c>
      <c r="C427" s="14" t="str">
        <f t="shared" si="18"/>
        <v/>
      </c>
      <c r="D427" s="10" t="str">
        <f>IF(Registro!$E427="","",IF(ISERROR(FIND("x",LOWER(Registro!$E427))),"-",IFERROR(SUMPRODUCT(--("0"&amp;LEFT(TRIM(MID(SUBSTITUTE(SUBSTITUTE(SUBSTITUTE(SUBSTITUTE(SUBSTITUTE(LOWER(Registro!$E427),"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",LEN(Registro!$E427))),({1,2,3,4,5,6,7,8,9,10,11,12,13,14,15,16,17,18,19,20,21,22,23,24,25,26,27,28,29,30}-1)*LEN(Registro!$E427)+1,LEN(Registro!$E427)))&amp;"x")-1))),"Revisar formato")))</f>
        <v/>
      </c>
      <c r="E427" s="11" t="str">
        <f>IF(Registro!$E427="","",IF(ISERROR(FIND("x",LOWER(Registro!$E427))),"-",IFERROR(SUMPRODUCT(--("0"&amp;LEFT(TRIM(MID(SUBSTITUTE(SUBSTITUTE(SUBSTITUTE(SUBSTITUTE(SUBSTITUTE(LOWER(Registro!$E427),"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",LEN(Registro!$E427))),({1,2,3,4,5,6,7,8,9,10,11,12,13,14,15,16,17,18,19,20,21,22,23,24,25,26,27,28,29,30}-1)*LEN(Registro!$E427)+1,LEN(Registro!$E427)))&amp;"x")-1)),--("0"&amp;MID(TRIM(MID(SUBSTITUTE(SUBSTITUTE(SUBSTITUTE(SUBSTITUTE(SUBSTITUTE(LOWER(Registro!$E427),"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",LEN(Registro!$E427))),({1,2,3,4,5,6,7,8,9,10,11,12,13,14,15,16,17,18,19,20,21,22,23,24,25,26,27,28,29,30}-1)*LEN(Registro!$E427)+1,LEN(Registro!$E427)))&amp;"x")+1,20))),"Revisar formato")))</f>
        <v/>
      </c>
      <c r="F427" s="11" t="str">
        <f>IF(Registro!$F427="","",N(Registro!$F427))</f>
        <v/>
      </c>
      <c r="G427" s="11" t="str">
        <f t="shared" si="19"/>
        <v/>
      </c>
      <c r="H427" s="10" t="str">
        <f>IF(Registro!$G427="","",IF(ISERROR(FIND("x",LOWER(Registro!$G427))),"-",IFERROR(SUMPRODUCT(--("0"&amp;LEFT(TRIM(MID(SUBSTITUTE(SUBSTITUTE(SUBSTITUTE(SUBSTITUTE(SUBSTITUTE(LOWER(Registro!$G427),"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",LEN(Registro!$G427))),({1,2,3,4,5,6,7,8,9,10,11,12,13,14,15,16,17,18,19,20,21,22,23,24,25,26,27,28,29,30}-1)*LEN(Registro!$G427)+1,LEN(Registro!$G427))),FIND("x",TRIM(MID(SUBSTITUTE(SUBSTITUTE(SUBSTITUTE(SUBSTITUTE(SUBSTITUTE(LOWER(Registro!$G427),"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",LEN(Registro!$G427))),({1,2,3,4,5,6,7,8,9,10,11,12,13,14,15,16,17,18,19,20,21,22,23,24,25,26,27,28,29,30}-1)*LEN(Registro!$G427)+1,LEN(Registro!$G427)))&amp;"x")-1))),"Revisar formato")))</f>
        <v/>
      </c>
      <c r="I427" s="11" t="str">
        <f>IF(Registro!$G427="","",IF(ISERROR(FIND("x",LOWER(Registro!$G427))),N(Registro!$H427),IFERROR(SUMPRODUCT(--("0"&amp;LEFT(TRIM(MID(SUBSTITUTE(SUBSTITUTE(SUBSTITUTE(SUBSTITUTE(SUBSTITUTE(LOWER(Registro!$G427),"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",LEN(Registro!$G427))),({1,2,3,4,5,6,7,8,9,10,11,12,13,14,15,16,17,18,19,20,21,22,23,24,25,26,27,28,29,30}-1)*LEN(Registro!$G427)+1,LEN(Registro!$G427))),FIND("x",TRIM(MID(SUBSTITUTE(SUBSTITUTE(SUBSTITUTE(SUBSTITUTE(SUBSTITUTE(LOWER(Registro!$G427),"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",LEN(Registro!$G427))),({1,2,3,4,5,6,7,8,9,10,11,12,13,14,15,16,17,18,19,20,21,22,23,24,25,26,27,28,29,30}-1)*LEN(Registro!$G427)+1,LEN(Registro!$G427)))&amp;"x")-1)),--("0"&amp;MID(TRIM(MID(SUBSTITUTE(SUBSTITUTE(SUBSTITUTE(SUBSTITUTE(SUBSTITUTE(LOWER(Registro!$G427),"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",LEN(Registro!$G427))),({1,2,3,4,5,6,7,8,9,10,11,12,13,14,15,16,17,18,19,20,21,22,23,24,25,26,27,28,29,30}-1)*LEN(Registro!$G427)+1,LEN(Registro!$G427))),FIND("x",TRIM(MID(SUBSTITUTE(SUBSTITUTE(SUBSTITUTE(SUBSTITUTE(SUBSTITUTE(LOWER(Registro!$G427),"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",LEN(Registro!$G427))),({1,2,3,4,5,6,7,8,9,10,11,12,13,14,15,16,17,18,19,20,21,22,23,24,25,26,27,28,29,30}-1)*LEN(Registro!$G427)+1,LEN(Registro!$G427)))&amp;"x")+1,20))),"Revisar formato")))</f>
        <v/>
      </c>
      <c r="J427" s="9" t="str">
        <f>IF(AND(Registro!$E427="",Registro!$G427=""),"",IF(NOT(AND(ISNUMBER(I427),ISNUMBER(Registro!$H427))),"",IF(I427&lt;Registro!$H427,"FALTA BOLETOS",IF(I427=Registro!$H427,"CONFORME","DIFERENCIA"))))</f>
        <v/>
      </c>
      <c r="K427" s="11" t="str">
        <f>IF(Registro!$I427="","",IFERROR(SUMPRODUCT(--("0"&amp;TRIM(RIGHT(SUBSTITUTE(TRIM(MID(SUBSTITUTE(SUBSTITUTE(Registro!$I427,";",CHAR(10)),CHAR(10),REPT(" ",LEN(Registro!$I427))),({1,2,3,4,5,6,7,8,9,10,11,12,13,14,15,16,17,18,19,20,21,22,23,24,25,26,27,28,29,30}-1)*LEN(Registro!$I427)+1,LEN(Registro!$I427)))," ",REPT(" ",50)),50)))),"Revisar formato"))</f>
        <v/>
      </c>
      <c r="L427" s="11" t="str">
        <f>IF(Registro!$J427="","",IFERROR(SUMPRODUCT(--("0"&amp;TRIM(RIGHT(SUBSTITUTE(TRIM(MID(SUBSTITUTE(SUBSTITUTE(Registro!$J427,";",CHAR(10)),CHAR(10),REPT(" ",LEN(Registro!$J427))),({1,2,3,4,5,6,7,8,9,10,11,12,13,14,15,16,17,18,19,20,21,22,23,24,25,26,27,28,29,30}-1)*LEN(Registro!$J427)+1,LEN(Registro!$J427)))," ",REPT(" ",50)),50)))),"Revisar formato"))</f>
        <v/>
      </c>
      <c r="M427" s="11" t="str">
        <f>IF(AND(Registro!$H427="",Registro!$I427=""),"",IF(AND(ISTEXT(K427),K427&lt;&gt;""),"Revisar formato",N(Registro!$H427)-N(K427)))</f>
        <v/>
      </c>
      <c r="N427" s="11" t="str">
        <f t="shared" si="20"/>
        <v/>
      </c>
      <c r="O427" s="15" t="str">
        <f>IF(AND(A427=Consulta!$B$3,C427=Consulta!$H$3),B427*10000+ROW(),"")</f>
        <v/>
      </c>
    </row>
    <row r="428" spans="1:15" x14ac:dyDescent="0.25">
      <c r="A428" s="9" t="str">
        <f>IF(Registro!$A428="","",Registro!$A428)</f>
        <v/>
      </c>
      <c r="B428" s="8" t="str">
        <f>IF(Registro!$B428="","",Registro!$B428)</f>
        <v/>
      </c>
      <c r="C428" s="14" t="str">
        <f t="shared" si="18"/>
        <v/>
      </c>
      <c r="D428" s="10" t="str">
        <f>IF(Registro!$E428="","",IF(ISERROR(FIND("x",LOWER(Registro!$E428))),"-",IFERROR(SUMPRODUCT(--("0"&amp;LEFT(TRIM(MID(SUBSTITUTE(SUBSTITUTE(SUBSTITUTE(SUBSTITUTE(SUBSTITUTE(LOWER(Registro!$E428),"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",LEN(Registro!$E428))),({1,2,3,4,5,6,7,8,9,10,11,12,13,14,15,16,17,18,19,20,21,22,23,24,25,26,27,28,29,30}-1)*LEN(Registro!$E428)+1,LEN(Registro!$E428)))&amp;"x")-1))),"Revisar formato")))</f>
        <v/>
      </c>
      <c r="E428" s="11" t="str">
        <f>IF(Registro!$E428="","",IF(ISERROR(FIND("x",LOWER(Registro!$E428))),"-",IFERROR(SUMPRODUCT(--("0"&amp;LEFT(TRIM(MID(SUBSTITUTE(SUBSTITUTE(SUBSTITUTE(SUBSTITUTE(SUBSTITUTE(LOWER(Registro!$E428),"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",LEN(Registro!$E428))),({1,2,3,4,5,6,7,8,9,10,11,12,13,14,15,16,17,18,19,20,21,22,23,24,25,26,27,28,29,30}-1)*LEN(Registro!$E428)+1,LEN(Registro!$E428)))&amp;"x")-1)),--("0"&amp;MID(TRIM(MID(SUBSTITUTE(SUBSTITUTE(SUBSTITUTE(SUBSTITUTE(SUBSTITUTE(LOWER(Registro!$E428),"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",LEN(Registro!$E428))),({1,2,3,4,5,6,7,8,9,10,11,12,13,14,15,16,17,18,19,20,21,22,23,24,25,26,27,28,29,30}-1)*LEN(Registro!$E428)+1,LEN(Registro!$E428)))&amp;"x")+1,20))),"Revisar formato")))</f>
        <v/>
      </c>
      <c r="F428" s="11" t="str">
        <f>IF(Registro!$F428="","",N(Registro!$F428))</f>
        <v/>
      </c>
      <c r="G428" s="11" t="str">
        <f t="shared" si="19"/>
        <v/>
      </c>
      <c r="H428" s="10" t="str">
        <f>IF(Registro!$G428="","",IF(ISERROR(FIND("x",LOWER(Registro!$G428))),"-",IFERROR(SUMPRODUCT(--("0"&amp;LEFT(TRIM(MID(SUBSTITUTE(SUBSTITUTE(SUBSTITUTE(SUBSTITUTE(SUBSTITUTE(LOWER(Registro!$G428),"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",LEN(Registro!$G428))),({1,2,3,4,5,6,7,8,9,10,11,12,13,14,15,16,17,18,19,20,21,22,23,24,25,26,27,28,29,30}-1)*LEN(Registro!$G428)+1,LEN(Registro!$G428))),FIND("x",TRIM(MID(SUBSTITUTE(SUBSTITUTE(SUBSTITUTE(SUBSTITUTE(SUBSTITUTE(LOWER(Registro!$G428),"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",LEN(Registro!$G428))),({1,2,3,4,5,6,7,8,9,10,11,12,13,14,15,16,17,18,19,20,21,22,23,24,25,26,27,28,29,30}-1)*LEN(Registro!$G428)+1,LEN(Registro!$G428)))&amp;"x")-1))),"Revisar formato")))</f>
        <v/>
      </c>
      <c r="I428" s="11" t="str">
        <f>IF(Registro!$G428="","",IF(ISERROR(FIND("x",LOWER(Registro!$G428))),N(Registro!$H428),IFERROR(SUMPRODUCT(--("0"&amp;LEFT(TRIM(MID(SUBSTITUTE(SUBSTITUTE(SUBSTITUTE(SUBSTITUTE(SUBSTITUTE(LOWER(Registro!$G428),"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",LEN(Registro!$G428))),({1,2,3,4,5,6,7,8,9,10,11,12,13,14,15,16,17,18,19,20,21,22,23,24,25,26,27,28,29,30}-1)*LEN(Registro!$G428)+1,LEN(Registro!$G428))),FIND("x",TRIM(MID(SUBSTITUTE(SUBSTITUTE(SUBSTITUTE(SUBSTITUTE(SUBSTITUTE(LOWER(Registro!$G428),"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",LEN(Registro!$G428))),({1,2,3,4,5,6,7,8,9,10,11,12,13,14,15,16,17,18,19,20,21,22,23,24,25,26,27,28,29,30}-1)*LEN(Registro!$G428)+1,LEN(Registro!$G428)))&amp;"x")-1)),--("0"&amp;MID(TRIM(MID(SUBSTITUTE(SUBSTITUTE(SUBSTITUTE(SUBSTITUTE(SUBSTITUTE(LOWER(Registro!$G428),"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",LEN(Registro!$G428))),({1,2,3,4,5,6,7,8,9,10,11,12,13,14,15,16,17,18,19,20,21,22,23,24,25,26,27,28,29,30}-1)*LEN(Registro!$G428)+1,LEN(Registro!$G428))),FIND("x",TRIM(MID(SUBSTITUTE(SUBSTITUTE(SUBSTITUTE(SUBSTITUTE(SUBSTITUTE(LOWER(Registro!$G428),"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",LEN(Registro!$G428))),({1,2,3,4,5,6,7,8,9,10,11,12,13,14,15,16,17,18,19,20,21,22,23,24,25,26,27,28,29,30}-1)*LEN(Registro!$G428)+1,LEN(Registro!$G428)))&amp;"x")+1,20))),"Revisar formato")))</f>
        <v/>
      </c>
      <c r="J428" s="9" t="str">
        <f>IF(AND(Registro!$E428="",Registro!$G428=""),"",IF(NOT(AND(ISNUMBER(I428),ISNUMBER(Registro!$H428))),"",IF(I428&lt;Registro!$H428,"FALTA BOLETOS",IF(I428=Registro!$H428,"CONFORME","DIFERENCIA"))))</f>
        <v/>
      </c>
      <c r="K428" s="11" t="str">
        <f>IF(Registro!$I428="","",IFERROR(SUMPRODUCT(--("0"&amp;TRIM(RIGHT(SUBSTITUTE(TRIM(MID(SUBSTITUTE(SUBSTITUTE(Registro!$I428,";",CHAR(10)),CHAR(10),REPT(" ",LEN(Registro!$I428))),({1,2,3,4,5,6,7,8,9,10,11,12,13,14,15,16,17,18,19,20,21,22,23,24,25,26,27,28,29,30}-1)*LEN(Registro!$I428)+1,LEN(Registro!$I428)))," ",REPT(" ",50)),50)))),"Revisar formato"))</f>
        <v/>
      </c>
      <c r="L428" s="11" t="str">
        <f>IF(Registro!$J428="","",IFERROR(SUMPRODUCT(--("0"&amp;TRIM(RIGHT(SUBSTITUTE(TRIM(MID(SUBSTITUTE(SUBSTITUTE(Registro!$J428,";",CHAR(10)),CHAR(10),REPT(" ",LEN(Registro!$J428))),({1,2,3,4,5,6,7,8,9,10,11,12,13,14,15,16,17,18,19,20,21,22,23,24,25,26,27,28,29,30}-1)*LEN(Registro!$J428)+1,LEN(Registro!$J428)))," ",REPT(" ",50)),50)))),"Revisar formato"))</f>
        <v/>
      </c>
      <c r="M428" s="11" t="str">
        <f>IF(AND(Registro!$H428="",Registro!$I428=""),"",IF(AND(ISTEXT(K428),K428&lt;&gt;""),"Revisar formato",N(Registro!$H428)-N(K428)))</f>
        <v/>
      </c>
      <c r="N428" s="11" t="str">
        <f t="shared" si="20"/>
        <v/>
      </c>
      <c r="O428" s="15" t="str">
        <f>IF(AND(A428=Consulta!$B$3,C428=Consulta!$H$3),B428*10000+ROW(),"")</f>
        <v/>
      </c>
    </row>
    <row r="429" spans="1:15" x14ac:dyDescent="0.25">
      <c r="A429" s="9" t="str">
        <f>IF(Registro!$A429="","",Registro!$A429)</f>
        <v/>
      </c>
      <c r="B429" s="8" t="str">
        <f>IF(Registro!$B429="","",Registro!$B429)</f>
        <v/>
      </c>
      <c r="C429" s="14" t="str">
        <f t="shared" si="18"/>
        <v/>
      </c>
      <c r="D429" s="10" t="str">
        <f>IF(Registro!$E429="","",IF(ISERROR(FIND("x",LOWER(Registro!$E429))),"-",IFERROR(SUMPRODUCT(--("0"&amp;LEFT(TRIM(MID(SUBSTITUTE(SUBSTITUTE(SUBSTITUTE(SUBSTITUTE(SUBSTITUTE(LOWER(Registro!$E429),"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",LEN(Registro!$E429))),({1,2,3,4,5,6,7,8,9,10,11,12,13,14,15,16,17,18,19,20,21,22,23,24,25,26,27,28,29,30}-1)*LEN(Registro!$E429)+1,LEN(Registro!$E429)))&amp;"x")-1))),"Revisar formato")))</f>
        <v/>
      </c>
      <c r="E429" s="11" t="str">
        <f>IF(Registro!$E429="","",IF(ISERROR(FIND("x",LOWER(Registro!$E429))),"-",IFERROR(SUMPRODUCT(--("0"&amp;LEFT(TRIM(MID(SUBSTITUTE(SUBSTITUTE(SUBSTITUTE(SUBSTITUTE(SUBSTITUTE(LOWER(Registro!$E429),"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",LEN(Registro!$E429))),({1,2,3,4,5,6,7,8,9,10,11,12,13,14,15,16,17,18,19,20,21,22,23,24,25,26,27,28,29,30}-1)*LEN(Registro!$E429)+1,LEN(Registro!$E429)))&amp;"x")-1)),--("0"&amp;MID(TRIM(MID(SUBSTITUTE(SUBSTITUTE(SUBSTITUTE(SUBSTITUTE(SUBSTITUTE(LOWER(Registro!$E429),"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",LEN(Registro!$E429))),({1,2,3,4,5,6,7,8,9,10,11,12,13,14,15,16,17,18,19,20,21,22,23,24,25,26,27,28,29,30}-1)*LEN(Registro!$E429)+1,LEN(Registro!$E429)))&amp;"x")+1,20))),"Revisar formato")))</f>
        <v/>
      </c>
      <c r="F429" s="11" t="str">
        <f>IF(Registro!$F429="","",N(Registro!$F429))</f>
        <v/>
      </c>
      <c r="G429" s="11" t="str">
        <f t="shared" si="19"/>
        <v/>
      </c>
      <c r="H429" s="10" t="str">
        <f>IF(Registro!$G429="","",IF(ISERROR(FIND("x",LOWER(Registro!$G429))),"-",IFERROR(SUMPRODUCT(--("0"&amp;LEFT(TRIM(MID(SUBSTITUTE(SUBSTITUTE(SUBSTITUTE(SUBSTITUTE(SUBSTITUTE(LOWER(Registro!$G429),"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",LEN(Registro!$G429))),({1,2,3,4,5,6,7,8,9,10,11,12,13,14,15,16,17,18,19,20,21,22,23,24,25,26,27,28,29,30}-1)*LEN(Registro!$G429)+1,LEN(Registro!$G429))),FIND("x",TRIM(MID(SUBSTITUTE(SUBSTITUTE(SUBSTITUTE(SUBSTITUTE(SUBSTITUTE(LOWER(Registro!$G429),"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",LEN(Registro!$G429))),({1,2,3,4,5,6,7,8,9,10,11,12,13,14,15,16,17,18,19,20,21,22,23,24,25,26,27,28,29,30}-1)*LEN(Registro!$G429)+1,LEN(Registro!$G429)))&amp;"x")-1))),"Revisar formato")))</f>
        <v/>
      </c>
      <c r="I429" s="11" t="str">
        <f>IF(Registro!$G429="","",IF(ISERROR(FIND("x",LOWER(Registro!$G429))),N(Registro!$H429),IFERROR(SUMPRODUCT(--("0"&amp;LEFT(TRIM(MID(SUBSTITUTE(SUBSTITUTE(SUBSTITUTE(SUBSTITUTE(SUBSTITUTE(LOWER(Registro!$G429),"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",LEN(Registro!$G429))),({1,2,3,4,5,6,7,8,9,10,11,12,13,14,15,16,17,18,19,20,21,22,23,24,25,26,27,28,29,30}-1)*LEN(Registro!$G429)+1,LEN(Registro!$G429))),FIND("x",TRIM(MID(SUBSTITUTE(SUBSTITUTE(SUBSTITUTE(SUBSTITUTE(SUBSTITUTE(LOWER(Registro!$G429),"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",LEN(Registro!$G429))),({1,2,3,4,5,6,7,8,9,10,11,12,13,14,15,16,17,18,19,20,21,22,23,24,25,26,27,28,29,30}-1)*LEN(Registro!$G429)+1,LEN(Registro!$G429)))&amp;"x")-1)),--("0"&amp;MID(TRIM(MID(SUBSTITUTE(SUBSTITUTE(SUBSTITUTE(SUBSTITUTE(SUBSTITUTE(LOWER(Registro!$G429),"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",LEN(Registro!$G429))),({1,2,3,4,5,6,7,8,9,10,11,12,13,14,15,16,17,18,19,20,21,22,23,24,25,26,27,28,29,30}-1)*LEN(Registro!$G429)+1,LEN(Registro!$G429))),FIND("x",TRIM(MID(SUBSTITUTE(SUBSTITUTE(SUBSTITUTE(SUBSTITUTE(SUBSTITUTE(LOWER(Registro!$G429),"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",LEN(Registro!$G429))),({1,2,3,4,5,6,7,8,9,10,11,12,13,14,15,16,17,18,19,20,21,22,23,24,25,26,27,28,29,30}-1)*LEN(Registro!$G429)+1,LEN(Registro!$G429)))&amp;"x")+1,20))),"Revisar formato")))</f>
        <v/>
      </c>
      <c r="J429" s="9" t="str">
        <f>IF(AND(Registro!$E429="",Registro!$G429=""),"",IF(NOT(AND(ISNUMBER(I429),ISNUMBER(Registro!$H429))),"",IF(I429&lt;Registro!$H429,"FALTA BOLETOS",IF(I429=Registro!$H429,"CONFORME","DIFERENCIA"))))</f>
        <v/>
      </c>
      <c r="K429" s="11" t="str">
        <f>IF(Registro!$I429="","",IFERROR(SUMPRODUCT(--("0"&amp;TRIM(RIGHT(SUBSTITUTE(TRIM(MID(SUBSTITUTE(SUBSTITUTE(Registro!$I429,";",CHAR(10)),CHAR(10),REPT(" ",LEN(Registro!$I429))),({1,2,3,4,5,6,7,8,9,10,11,12,13,14,15,16,17,18,19,20,21,22,23,24,25,26,27,28,29,30}-1)*LEN(Registro!$I429)+1,LEN(Registro!$I429)))," ",REPT(" ",50)),50)))),"Revisar formato"))</f>
        <v/>
      </c>
      <c r="L429" s="11" t="str">
        <f>IF(Registro!$J429="","",IFERROR(SUMPRODUCT(--("0"&amp;TRIM(RIGHT(SUBSTITUTE(TRIM(MID(SUBSTITUTE(SUBSTITUTE(Registro!$J429,";",CHAR(10)),CHAR(10),REPT(" ",LEN(Registro!$J429))),({1,2,3,4,5,6,7,8,9,10,11,12,13,14,15,16,17,18,19,20,21,22,23,24,25,26,27,28,29,30}-1)*LEN(Registro!$J429)+1,LEN(Registro!$J429)))," ",REPT(" ",50)),50)))),"Revisar formato"))</f>
        <v/>
      </c>
      <c r="M429" s="11" t="str">
        <f>IF(AND(Registro!$H429="",Registro!$I429=""),"",IF(AND(ISTEXT(K429),K429&lt;&gt;""),"Revisar formato",N(Registro!$H429)-N(K429)))</f>
        <v/>
      </c>
      <c r="N429" s="11" t="str">
        <f t="shared" si="20"/>
        <v/>
      </c>
      <c r="O429" s="15" t="str">
        <f>IF(AND(A429=Consulta!$B$3,C429=Consulta!$H$3),B429*10000+ROW(),"")</f>
        <v/>
      </c>
    </row>
    <row r="430" spans="1:15" x14ac:dyDescent="0.25">
      <c r="A430" s="9" t="str">
        <f>IF(Registro!$A430="","",Registro!$A430)</f>
        <v/>
      </c>
      <c r="B430" s="8" t="str">
        <f>IF(Registro!$B430="","",Registro!$B430)</f>
        <v/>
      </c>
      <c r="C430" s="14" t="str">
        <f t="shared" si="18"/>
        <v/>
      </c>
      <c r="D430" s="10" t="str">
        <f>IF(Registro!$E430="","",IF(ISERROR(FIND("x",LOWER(Registro!$E430))),"-",IFERROR(SUMPRODUCT(--("0"&amp;LEFT(TRIM(MID(SUBSTITUTE(SUBSTITUTE(SUBSTITUTE(SUBSTITUTE(SUBSTITUTE(LOWER(Registro!$E430),"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",LEN(Registro!$E430))),({1,2,3,4,5,6,7,8,9,10,11,12,13,14,15,16,17,18,19,20,21,22,23,24,25,26,27,28,29,30}-1)*LEN(Registro!$E430)+1,LEN(Registro!$E430)))&amp;"x")-1))),"Revisar formato")))</f>
        <v/>
      </c>
      <c r="E430" s="11" t="str">
        <f>IF(Registro!$E430="","",IF(ISERROR(FIND("x",LOWER(Registro!$E430))),"-",IFERROR(SUMPRODUCT(--("0"&amp;LEFT(TRIM(MID(SUBSTITUTE(SUBSTITUTE(SUBSTITUTE(SUBSTITUTE(SUBSTITUTE(LOWER(Registro!$E430),"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",LEN(Registro!$E430))),({1,2,3,4,5,6,7,8,9,10,11,12,13,14,15,16,17,18,19,20,21,22,23,24,25,26,27,28,29,30}-1)*LEN(Registro!$E430)+1,LEN(Registro!$E430)))&amp;"x")-1)),--("0"&amp;MID(TRIM(MID(SUBSTITUTE(SUBSTITUTE(SUBSTITUTE(SUBSTITUTE(SUBSTITUTE(LOWER(Registro!$E430),"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",LEN(Registro!$E430))),({1,2,3,4,5,6,7,8,9,10,11,12,13,14,15,16,17,18,19,20,21,22,23,24,25,26,27,28,29,30}-1)*LEN(Registro!$E430)+1,LEN(Registro!$E430)))&amp;"x")+1,20))),"Revisar formato")))</f>
        <v/>
      </c>
      <c r="F430" s="11" t="str">
        <f>IF(Registro!$F430="","",N(Registro!$F430))</f>
        <v/>
      </c>
      <c r="G430" s="11" t="str">
        <f t="shared" si="19"/>
        <v/>
      </c>
      <c r="H430" s="10" t="str">
        <f>IF(Registro!$G430="","",IF(ISERROR(FIND("x",LOWER(Registro!$G430))),"-",IFERROR(SUMPRODUCT(--("0"&amp;LEFT(TRIM(MID(SUBSTITUTE(SUBSTITUTE(SUBSTITUTE(SUBSTITUTE(SUBSTITUTE(LOWER(Registro!$G430),"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",LEN(Registro!$G430))),({1,2,3,4,5,6,7,8,9,10,11,12,13,14,15,16,17,18,19,20,21,22,23,24,25,26,27,28,29,30}-1)*LEN(Registro!$G430)+1,LEN(Registro!$G430))),FIND("x",TRIM(MID(SUBSTITUTE(SUBSTITUTE(SUBSTITUTE(SUBSTITUTE(SUBSTITUTE(LOWER(Registro!$G430),"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",LEN(Registro!$G430))),({1,2,3,4,5,6,7,8,9,10,11,12,13,14,15,16,17,18,19,20,21,22,23,24,25,26,27,28,29,30}-1)*LEN(Registro!$G430)+1,LEN(Registro!$G430)))&amp;"x")-1))),"Revisar formato")))</f>
        <v/>
      </c>
      <c r="I430" s="11" t="str">
        <f>IF(Registro!$G430="","",IF(ISERROR(FIND("x",LOWER(Registro!$G430))),N(Registro!$H430),IFERROR(SUMPRODUCT(--("0"&amp;LEFT(TRIM(MID(SUBSTITUTE(SUBSTITUTE(SUBSTITUTE(SUBSTITUTE(SUBSTITUTE(LOWER(Registro!$G430),"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",LEN(Registro!$G430))),({1,2,3,4,5,6,7,8,9,10,11,12,13,14,15,16,17,18,19,20,21,22,23,24,25,26,27,28,29,30}-1)*LEN(Registro!$G430)+1,LEN(Registro!$G430))),FIND("x",TRIM(MID(SUBSTITUTE(SUBSTITUTE(SUBSTITUTE(SUBSTITUTE(SUBSTITUTE(LOWER(Registro!$G430),"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",LEN(Registro!$G430))),({1,2,3,4,5,6,7,8,9,10,11,12,13,14,15,16,17,18,19,20,21,22,23,24,25,26,27,28,29,30}-1)*LEN(Registro!$G430)+1,LEN(Registro!$G430)))&amp;"x")-1)),--("0"&amp;MID(TRIM(MID(SUBSTITUTE(SUBSTITUTE(SUBSTITUTE(SUBSTITUTE(SUBSTITUTE(LOWER(Registro!$G430),"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",LEN(Registro!$G430))),({1,2,3,4,5,6,7,8,9,10,11,12,13,14,15,16,17,18,19,20,21,22,23,24,25,26,27,28,29,30}-1)*LEN(Registro!$G430)+1,LEN(Registro!$G430))),FIND("x",TRIM(MID(SUBSTITUTE(SUBSTITUTE(SUBSTITUTE(SUBSTITUTE(SUBSTITUTE(LOWER(Registro!$G430),"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",LEN(Registro!$G430))),({1,2,3,4,5,6,7,8,9,10,11,12,13,14,15,16,17,18,19,20,21,22,23,24,25,26,27,28,29,30}-1)*LEN(Registro!$G430)+1,LEN(Registro!$G430)))&amp;"x")+1,20))),"Revisar formato")))</f>
        <v/>
      </c>
      <c r="J430" s="9" t="str">
        <f>IF(AND(Registro!$E430="",Registro!$G430=""),"",IF(NOT(AND(ISNUMBER(I430),ISNUMBER(Registro!$H430))),"",IF(I430&lt;Registro!$H430,"FALTA BOLETOS",IF(I430=Registro!$H430,"CONFORME","DIFERENCIA"))))</f>
        <v/>
      </c>
      <c r="K430" s="11" t="str">
        <f>IF(Registro!$I430="","",IFERROR(SUMPRODUCT(--("0"&amp;TRIM(RIGHT(SUBSTITUTE(TRIM(MID(SUBSTITUTE(SUBSTITUTE(Registro!$I430,";",CHAR(10)),CHAR(10),REPT(" ",LEN(Registro!$I430))),({1,2,3,4,5,6,7,8,9,10,11,12,13,14,15,16,17,18,19,20,21,22,23,24,25,26,27,28,29,30}-1)*LEN(Registro!$I430)+1,LEN(Registro!$I430)))," ",REPT(" ",50)),50)))),"Revisar formato"))</f>
        <v/>
      </c>
      <c r="L430" s="11" t="str">
        <f>IF(Registro!$J430="","",IFERROR(SUMPRODUCT(--("0"&amp;TRIM(RIGHT(SUBSTITUTE(TRIM(MID(SUBSTITUTE(SUBSTITUTE(Registro!$J430,";",CHAR(10)),CHAR(10),REPT(" ",LEN(Registro!$J430))),({1,2,3,4,5,6,7,8,9,10,11,12,13,14,15,16,17,18,19,20,21,22,23,24,25,26,27,28,29,30}-1)*LEN(Registro!$J430)+1,LEN(Registro!$J430)))," ",REPT(" ",50)),50)))),"Revisar formato"))</f>
        <v/>
      </c>
      <c r="M430" s="11" t="str">
        <f>IF(AND(Registro!$H430="",Registro!$I430=""),"",IF(AND(ISTEXT(K430),K430&lt;&gt;""),"Revisar formato",N(Registro!$H430)-N(K430)))</f>
        <v/>
      </c>
      <c r="N430" s="11" t="str">
        <f t="shared" si="20"/>
        <v/>
      </c>
      <c r="O430" s="15" t="str">
        <f>IF(AND(A430=Consulta!$B$3,C430=Consulta!$H$3),B430*10000+ROW(),"")</f>
        <v/>
      </c>
    </row>
    <row r="431" spans="1:15" x14ac:dyDescent="0.25">
      <c r="A431" s="9" t="str">
        <f>IF(Registro!$A431="","",Registro!$A431)</f>
        <v/>
      </c>
      <c r="B431" s="8" t="str">
        <f>IF(Registro!$B431="","",Registro!$B431)</f>
        <v/>
      </c>
      <c r="C431" s="14" t="str">
        <f t="shared" si="18"/>
        <v/>
      </c>
      <c r="D431" s="10" t="str">
        <f>IF(Registro!$E431="","",IF(ISERROR(FIND("x",LOWER(Registro!$E431))),"-",IFERROR(SUMPRODUCT(--("0"&amp;LEFT(TRIM(MID(SUBSTITUTE(SUBSTITUTE(SUBSTITUTE(SUBSTITUTE(SUBSTITUTE(LOWER(Registro!$E431),"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",LEN(Registro!$E431))),({1,2,3,4,5,6,7,8,9,10,11,12,13,14,15,16,17,18,19,20,21,22,23,24,25,26,27,28,29,30}-1)*LEN(Registro!$E431)+1,LEN(Registro!$E431)))&amp;"x")-1))),"Revisar formato")))</f>
        <v/>
      </c>
      <c r="E431" s="11" t="str">
        <f>IF(Registro!$E431="","",IF(ISERROR(FIND("x",LOWER(Registro!$E431))),"-",IFERROR(SUMPRODUCT(--("0"&amp;LEFT(TRIM(MID(SUBSTITUTE(SUBSTITUTE(SUBSTITUTE(SUBSTITUTE(SUBSTITUTE(LOWER(Registro!$E431),"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",LEN(Registro!$E431))),({1,2,3,4,5,6,7,8,9,10,11,12,13,14,15,16,17,18,19,20,21,22,23,24,25,26,27,28,29,30}-1)*LEN(Registro!$E431)+1,LEN(Registro!$E431)))&amp;"x")-1)),--("0"&amp;MID(TRIM(MID(SUBSTITUTE(SUBSTITUTE(SUBSTITUTE(SUBSTITUTE(SUBSTITUTE(LOWER(Registro!$E431),"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",LEN(Registro!$E431))),({1,2,3,4,5,6,7,8,9,10,11,12,13,14,15,16,17,18,19,20,21,22,23,24,25,26,27,28,29,30}-1)*LEN(Registro!$E431)+1,LEN(Registro!$E431)))&amp;"x")+1,20))),"Revisar formato")))</f>
        <v/>
      </c>
      <c r="F431" s="11" t="str">
        <f>IF(Registro!$F431="","",N(Registro!$F431))</f>
        <v/>
      </c>
      <c r="G431" s="11" t="str">
        <f t="shared" si="19"/>
        <v/>
      </c>
      <c r="H431" s="10" t="str">
        <f>IF(Registro!$G431="","",IF(ISERROR(FIND("x",LOWER(Registro!$G431))),"-",IFERROR(SUMPRODUCT(--("0"&amp;LEFT(TRIM(MID(SUBSTITUTE(SUBSTITUTE(SUBSTITUTE(SUBSTITUTE(SUBSTITUTE(LOWER(Registro!$G431),"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",LEN(Registro!$G431))),({1,2,3,4,5,6,7,8,9,10,11,12,13,14,15,16,17,18,19,20,21,22,23,24,25,26,27,28,29,30}-1)*LEN(Registro!$G431)+1,LEN(Registro!$G431))),FIND("x",TRIM(MID(SUBSTITUTE(SUBSTITUTE(SUBSTITUTE(SUBSTITUTE(SUBSTITUTE(LOWER(Registro!$G431),"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",LEN(Registro!$G431))),({1,2,3,4,5,6,7,8,9,10,11,12,13,14,15,16,17,18,19,20,21,22,23,24,25,26,27,28,29,30}-1)*LEN(Registro!$G431)+1,LEN(Registro!$G431)))&amp;"x")-1))),"Revisar formato")))</f>
        <v/>
      </c>
      <c r="I431" s="11" t="str">
        <f>IF(Registro!$G431="","",IF(ISERROR(FIND("x",LOWER(Registro!$G431))),N(Registro!$H431),IFERROR(SUMPRODUCT(--("0"&amp;LEFT(TRIM(MID(SUBSTITUTE(SUBSTITUTE(SUBSTITUTE(SUBSTITUTE(SUBSTITUTE(LOWER(Registro!$G431),"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",LEN(Registro!$G431))),({1,2,3,4,5,6,7,8,9,10,11,12,13,14,15,16,17,18,19,20,21,22,23,24,25,26,27,28,29,30}-1)*LEN(Registro!$G431)+1,LEN(Registro!$G431))),FIND("x",TRIM(MID(SUBSTITUTE(SUBSTITUTE(SUBSTITUTE(SUBSTITUTE(SUBSTITUTE(LOWER(Registro!$G431),"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",LEN(Registro!$G431))),({1,2,3,4,5,6,7,8,9,10,11,12,13,14,15,16,17,18,19,20,21,22,23,24,25,26,27,28,29,30}-1)*LEN(Registro!$G431)+1,LEN(Registro!$G431)))&amp;"x")-1)),--("0"&amp;MID(TRIM(MID(SUBSTITUTE(SUBSTITUTE(SUBSTITUTE(SUBSTITUTE(SUBSTITUTE(LOWER(Registro!$G431),"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",LEN(Registro!$G431))),({1,2,3,4,5,6,7,8,9,10,11,12,13,14,15,16,17,18,19,20,21,22,23,24,25,26,27,28,29,30}-1)*LEN(Registro!$G431)+1,LEN(Registro!$G431))),FIND("x",TRIM(MID(SUBSTITUTE(SUBSTITUTE(SUBSTITUTE(SUBSTITUTE(SUBSTITUTE(LOWER(Registro!$G431),"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",LEN(Registro!$G431))),({1,2,3,4,5,6,7,8,9,10,11,12,13,14,15,16,17,18,19,20,21,22,23,24,25,26,27,28,29,30}-1)*LEN(Registro!$G431)+1,LEN(Registro!$G431)))&amp;"x")+1,20))),"Revisar formato")))</f>
        <v/>
      </c>
      <c r="J431" s="9" t="str">
        <f>IF(AND(Registro!$E431="",Registro!$G431=""),"",IF(NOT(AND(ISNUMBER(I431),ISNUMBER(Registro!$H431))),"",IF(I431&lt;Registro!$H431,"FALTA BOLETOS",IF(I431=Registro!$H431,"CONFORME","DIFERENCIA"))))</f>
        <v/>
      </c>
      <c r="K431" s="11" t="str">
        <f>IF(Registro!$I431="","",IFERROR(SUMPRODUCT(--("0"&amp;TRIM(RIGHT(SUBSTITUTE(TRIM(MID(SUBSTITUTE(SUBSTITUTE(Registro!$I431,";",CHAR(10)),CHAR(10),REPT(" ",LEN(Registro!$I431))),({1,2,3,4,5,6,7,8,9,10,11,12,13,14,15,16,17,18,19,20,21,22,23,24,25,26,27,28,29,30}-1)*LEN(Registro!$I431)+1,LEN(Registro!$I431)))," ",REPT(" ",50)),50)))),"Revisar formato"))</f>
        <v/>
      </c>
      <c r="L431" s="11" t="str">
        <f>IF(Registro!$J431="","",IFERROR(SUMPRODUCT(--("0"&amp;TRIM(RIGHT(SUBSTITUTE(TRIM(MID(SUBSTITUTE(SUBSTITUTE(Registro!$J431,";",CHAR(10)),CHAR(10),REPT(" ",LEN(Registro!$J431))),({1,2,3,4,5,6,7,8,9,10,11,12,13,14,15,16,17,18,19,20,21,22,23,24,25,26,27,28,29,30}-1)*LEN(Registro!$J431)+1,LEN(Registro!$J431)))," ",REPT(" ",50)),50)))),"Revisar formato"))</f>
        <v/>
      </c>
      <c r="M431" s="11" t="str">
        <f>IF(AND(Registro!$H431="",Registro!$I431=""),"",IF(AND(ISTEXT(K431),K431&lt;&gt;""),"Revisar formato",N(Registro!$H431)-N(K431)))</f>
        <v/>
      </c>
      <c r="N431" s="11" t="str">
        <f t="shared" si="20"/>
        <v/>
      </c>
      <c r="O431" s="15" t="str">
        <f>IF(AND(A431=Consulta!$B$3,C431=Consulta!$H$3),B431*10000+ROW(),"")</f>
        <v/>
      </c>
    </row>
    <row r="432" spans="1:15" x14ac:dyDescent="0.25">
      <c r="A432" s="9" t="str">
        <f>IF(Registro!$A432="","",Registro!$A432)</f>
        <v/>
      </c>
      <c r="B432" s="8" t="str">
        <f>IF(Registro!$B432="","",Registro!$B432)</f>
        <v/>
      </c>
      <c r="C432" s="14" t="str">
        <f t="shared" si="18"/>
        <v/>
      </c>
      <c r="D432" s="10" t="str">
        <f>IF(Registro!$E432="","",IF(ISERROR(FIND("x",LOWER(Registro!$E432))),"-",IFERROR(SUMPRODUCT(--("0"&amp;LEFT(TRIM(MID(SUBSTITUTE(SUBSTITUTE(SUBSTITUTE(SUBSTITUTE(SUBSTITUTE(LOWER(Registro!$E432),"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",LEN(Registro!$E432))),({1,2,3,4,5,6,7,8,9,10,11,12,13,14,15,16,17,18,19,20,21,22,23,24,25,26,27,28,29,30}-1)*LEN(Registro!$E432)+1,LEN(Registro!$E432)))&amp;"x")-1))),"Revisar formato")))</f>
        <v/>
      </c>
      <c r="E432" s="11" t="str">
        <f>IF(Registro!$E432="","",IF(ISERROR(FIND("x",LOWER(Registro!$E432))),"-",IFERROR(SUMPRODUCT(--("0"&amp;LEFT(TRIM(MID(SUBSTITUTE(SUBSTITUTE(SUBSTITUTE(SUBSTITUTE(SUBSTITUTE(LOWER(Registro!$E432),"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",LEN(Registro!$E432))),({1,2,3,4,5,6,7,8,9,10,11,12,13,14,15,16,17,18,19,20,21,22,23,24,25,26,27,28,29,30}-1)*LEN(Registro!$E432)+1,LEN(Registro!$E432)))&amp;"x")-1)),--("0"&amp;MID(TRIM(MID(SUBSTITUTE(SUBSTITUTE(SUBSTITUTE(SUBSTITUTE(SUBSTITUTE(LOWER(Registro!$E432),"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",LEN(Registro!$E432))),({1,2,3,4,5,6,7,8,9,10,11,12,13,14,15,16,17,18,19,20,21,22,23,24,25,26,27,28,29,30}-1)*LEN(Registro!$E432)+1,LEN(Registro!$E432)))&amp;"x")+1,20))),"Revisar formato")))</f>
        <v/>
      </c>
      <c r="F432" s="11" t="str">
        <f>IF(Registro!$F432="","",N(Registro!$F432))</f>
        <v/>
      </c>
      <c r="G432" s="11" t="str">
        <f t="shared" si="19"/>
        <v/>
      </c>
      <c r="H432" s="10" t="str">
        <f>IF(Registro!$G432="","",IF(ISERROR(FIND("x",LOWER(Registro!$G432))),"-",IFERROR(SUMPRODUCT(--("0"&amp;LEFT(TRIM(MID(SUBSTITUTE(SUBSTITUTE(SUBSTITUTE(SUBSTITUTE(SUBSTITUTE(LOWER(Registro!$G432),"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",LEN(Registro!$G432))),({1,2,3,4,5,6,7,8,9,10,11,12,13,14,15,16,17,18,19,20,21,22,23,24,25,26,27,28,29,30}-1)*LEN(Registro!$G432)+1,LEN(Registro!$G432))),FIND("x",TRIM(MID(SUBSTITUTE(SUBSTITUTE(SUBSTITUTE(SUBSTITUTE(SUBSTITUTE(LOWER(Registro!$G432),"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",LEN(Registro!$G432))),({1,2,3,4,5,6,7,8,9,10,11,12,13,14,15,16,17,18,19,20,21,22,23,24,25,26,27,28,29,30}-1)*LEN(Registro!$G432)+1,LEN(Registro!$G432)))&amp;"x")-1))),"Revisar formato")))</f>
        <v/>
      </c>
      <c r="I432" s="11" t="str">
        <f>IF(Registro!$G432="","",IF(ISERROR(FIND("x",LOWER(Registro!$G432))),N(Registro!$H432),IFERROR(SUMPRODUCT(--("0"&amp;LEFT(TRIM(MID(SUBSTITUTE(SUBSTITUTE(SUBSTITUTE(SUBSTITUTE(SUBSTITUTE(LOWER(Registro!$G432),"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",LEN(Registro!$G432))),({1,2,3,4,5,6,7,8,9,10,11,12,13,14,15,16,17,18,19,20,21,22,23,24,25,26,27,28,29,30}-1)*LEN(Registro!$G432)+1,LEN(Registro!$G432))),FIND("x",TRIM(MID(SUBSTITUTE(SUBSTITUTE(SUBSTITUTE(SUBSTITUTE(SUBSTITUTE(LOWER(Registro!$G432),"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",LEN(Registro!$G432))),({1,2,3,4,5,6,7,8,9,10,11,12,13,14,15,16,17,18,19,20,21,22,23,24,25,26,27,28,29,30}-1)*LEN(Registro!$G432)+1,LEN(Registro!$G432)))&amp;"x")-1)),--("0"&amp;MID(TRIM(MID(SUBSTITUTE(SUBSTITUTE(SUBSTITUTE(SUBSTITUTE(SUBSTITUTE(LOWER(Registro!$G432),"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",LEN(Registro!$G432))),({1,2,3,4,5,6,7,8,9,10,11,12,13,14,15,16,17,18,19,20,21,22,23,24,25,26,27,28,29,30}-1)*LEN(Registro!$G432)+1,LEN(Registro!$G432))),FIND("x",TRIM(MID(SUBSTITUTE(SUBSTITUTE(SUBSTITUTE(SUBSTITUTE(SUBSTITUTE(LOWER(Registro!$G432),"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",LEN(Registro!$G432))),({1,2,3,4,5,6,7,8,9,10,11,12,13,14,15,16,17,18,19,20,21,22,23,24,25,26,27,28,29,30}-1)*LEN(Registro!$G432)+1,LEN(Registro!$G432)))&amp;"x")+1,20))),"Revisar formato")))</f>
        <v/>
      </c>
      <c r="J432" s="9" t="str">
        <f>IF(AND(Registro!$E432="",Registro!$G432=""),"",IF(NOT(AND(ISNUMBER(I432),ISNUMBER(Registro!$H432))),"",IF(I432&lt;Registro!$H432,"FALTA BOLETOS",IF(I432=Registro!$H432,"CONFORME","DIFERENCIA"))))</f>
        <v/>
      </c>
      <c r="K432" s="11" t="str">
        <f>IF(Registro!$I432="","",IFERROR(SUMPRODUCT(--("0"&amp;TRIM(RIGHT(SUBSTITUTE(TRIM(MID(SUBSTITUTE(SUBSTITUTE(Registro!$I432,";",CHAR(10)),CHAR(10),REPT(" ",LEN(Registro!$I432))),({1,2,3,4,5,6,7,8,9,10,11,12,13,14,15,16,17,18,19,20,21,22,23,24,25,26,27,28,29,30}-1)*LEN(Registro!$I432)+1,LEN(Registro!$I432)))," ",REPT(" ",50)),50)))),"Revisar formato"))</f>
        <v/>
      </c>
      <c r="L432" s="11" t="str">
        <f>IF(Registro!$J432="","",IFERROR(SUMPRODUCT(--("0"&amp;TRIM(RIGHT(SUBSTITUTE(TRIM(MID(SUBSTITUTE(SUBSTITUTE(Registro!$J432,";",CHAR(10)),CHAR(10),REPT(" ",LEN(Registro!$J432))),({1,2,3,4,5,6,7,8,9,10,11,12,13,14,15,16,17,18,19,20,21,22,23,24,25,26,27,28,29,30}-1)*LEN(Registro!$J432)+1,LEN(Registro!$J432)))," ",REPT(" ",50)),50)))),"Revisar formato"))</f>
        <v/>
      </c>
      <c r="M432" s="11" t="str">
        <f>IF(AND(Registro!$H432="",Registro!$I432=""),"",IF(AND(ISTEXT(K432),K432&lt;&gt;""),"Revisar formato",N(Registro!$H432)-N(K432)))</f>
        <v/>
      </c>
      <c r="N432" s="11" t="str">
        <f t="shared" si="20"/>
        <v/>
      </c>
      <c r="O432" s="15" t="str">
        <f>IF(AND(A432=Consulta!$B$3,C432=Consulta!$H$3),B432*10000+ROW(),"")</f>
        <v/>
      </c>
    </row>
    <row r="433" spans="1:15" x14ac:dyDescent="0.25">
      <c r="A433" s="9" t="str">
        <f>IF(Registro!$A433="","",Registro!$A433)</f>
        <v/>
      </c>
      <c r="B433" s="8" t="str">
        <f>IF(Registro!$B433="","",Registro!$B433)</f>
        <v/>
      </c>
      <c r="C433" s="14" t="str">
        <f t="shared" si="18"/>
        <v/>
      </c>
      <c r="D433" s="10" t="str">
        <f>IF(Registro!$E433="","",IF(ISERROR(FIND("x",LOWER(Registro!$E433))),"-",IFERROR(SUMPRODUCT(--("0"&amp;LEFT(TRIM(MID(SUBSTITUTE(SUBSTITUTE(SUBSTITUTE(SUBSTITUTE(SUBSTITUTE(LOWER(Registro!$E433),"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",LEN(Registro!$E433))),({1,2,3,4,5,6,7,8,9,10,11,12,13,14,15,16,17,18,19,20,21,22,23,24,25,26,27,28,29,30}-1)*LEN(Registro!$E433)+1,LEN(Registro!$E433)))&amp;"x")-1))),"Revisar formato")))</f>
        <v/>
      </c>
      <c r="E433" s="11" t="str">
        <f>IF(Registro!$E433="","",IF(ISERROR(FIND("x",LOWER(Registro!$E433))),"-",IFERROR(SUMPRODUCT(--("0"&amp;LEFT(TRIM(MID(SUBSTITUTE(SUBSTITUTE(SUBSTITUTE(SUBSTITUTE(SUBSTITUTE(LOWER(Registro!$E433),"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",LEN(Registro!$E433))),({1,2,3,4,5,6,7,8,9,10,11,12,13,14,15,16,17,18,19,20,21,22,23,24,25,26,27,28,29,30}-1)*LEN(Registro!$E433)+1,LEN(Registro!$E433)))&amp;"x")-1)),--("0"&amp;MID(TRIM(MID(SUBSTITUTE(SUBSTITUTE(SUBSTITUTE(SUBSTITUTE(SUBSTITUTE(LOWER(Registro!$E433),"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",LEN(Registro!$E433))),({1,2,3,4,5,6,7,8,9,10,11,12,13,14,15,16,17,18,19,20,21,22,23,24,25,26,27,28,29,30}-1)*LEN(Registro!$E433)+1,LEN(Registro!$E433)))&amp;"x")+1,20))),"Revisar formato")))</f>
        <v/>
      </c>
      <c r="F433" s="11" t="str">
        <f>IF(Registro!$F433="","",N(Registro!$F433))</f>
        <v/>
      </c>
      <c r="G433" s="11" t="str">
        <f t="shared" si="19"/>
        <v/>
      </c>
      <c r="H433" s="10" t="str">
        <f>IF(Registro!$G433="","",IF(ISERROR(FIND("x",LOWER(Registro!$G433))),"-",IFERROR(SUMPRODUCT(--("0"&amp;LEFT(TRIM(MID(SUBSTITUTE(SUBSTITUTE(SUBSTITUTE(SUBSTITUTE(SUBSTITUTE(LOWER(Registro!$G433),"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",LEN(Registro!$G433))),({1,2,3,4,5,6,7,8,9,10,11,12,13,14,15,16,17,18,19,20,21,22,23,24,25,26,27,28,29,30}-1)*LEN(Registro!$G433)+1,LEN(Registro!$G433))),FIND("x",TRIM(MID(SUBSTITUTE(SUBSTITUTE(SUBSTITUTE(SUBSTITUTE(SUBSTITUTE(LOWER(Registro!$G433),"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",LEN(Registro!$G433))),({1,2,3,4,5,6,7,8,9,10,11,12,13,14,15,16,17,18,19,20,21,22,23,24,25,26,27,28,29,30}-1)*LEN(Registro!$G433)+1,LEN(Registro!$G433)))&amp;"x")-1))),"Revisar formato")))</f>
        <v/>
      </c>
      <c r="I433" s="11" t="str">
        <f>IF(Registro!$G433="","",IF(ISERROR(FIND("x",LOWER(Registro!$G433))),N(Registro!$H433),IFERROR(SUMPRODUCT(--("0"&amp;LEFT(TRIM(MID(SUBSTITUTE(SUBSTITUTE(SUBSTITUTE(SUBSTITUTE(SUBSTITUTE(LOWER(Registro!$G433),"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",LEN(Registro!$G433))),({1,2,3,4,5,6,7,8,9,10,11,12,13,14,15,16,17,18,19,20,21,22,23,24,25,26,27,28,29,30}-1)*LEN(Registro!$G433)+1,LEN(Registro!$G433))),FIND("x",TRIM(MID(SUBSTITUTE(SUBSTITUTE(SUBSTITUTE(SUBSTITUTE(SUBSTITUTE(LOWER(Registro!$G433),"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",LEN(Registro!$G433))),({1,2,3,4,5,6,7,8,9,10,11,12,13,14,15,16,17,18,19,20,21,22,23,24,25,26,27,28,29,30}-1)*LEN(Registro!$G433)+1,LEN(Registro!$G433)))&amp;"x")-1)),--("0"&amp;MID(TRIM(MID(SUBSTITUTE(SUBSTITUTE(SUBSTITUTE(SUBSTITUTE(SUBSTITUTE(LOWER(Registro!$G433),"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",LEN(Registro!$G433))),({1,2,3,4,5,6,7,8,9,10,11,12,13,14,15,16,17,18,19,20,21,22,23,24,25,26,27,28,29,30}-1)*LEN(Registro!$G433)+1,LEN(Registro!$G433))),FIND("x",TRIM(MID(SUBSTITUTE(SUBSTITUTE(SUBSTITUTE(SUBSTITUTE(SUBSTITUTE(LOWER(Registro!$G433),"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",LEN(Registro!$G433))),({1,2,3,4,5,6,7,8,9,10,11,12,13,14,15,16,17,18,19,20,21,22,23,24,25,26,27,28,29,30}-1)*LEN(Registro!$G433)+1,LEN(Registro!$G433)))&amp;"x")+1,20))),"Revisar formato")))</f>
        <v/>
      </c>
      <c r="J433" s="9" t="str">
        <f>IF(AND(Registro!$E433="",Registro!$G433=""),"",IF(NOT(AND(ISNUMBER(I433),ISNUMBER(Registro!$H433))),"",IF(I433&lt;Registro!$H433,"FALTA BOLETOS",IF(I433=Registro!$H433,"CONFORME","DIFERENCIA"))))</f>
        <v/>
      </c>
      <c r="K433" s="11" t="str">
        <f>IF(Registro!$I433="","",IFERROR(SUMPRODUCT(--("0"&amp;TRIM(RIGHT(SUBSTITUTE(TRIM(MID(SUBSTITUTE(SUBSTITUTE(Registro!$I433,";",CHAR(10)),CHAR(10),REPT(" ",LEN(Registro!$I433))),({1,2,3,4,5,6,7,8,9,10,11,12,13,14,15,16,17,18,19,20,21,22,23,24,25,26,27,28,29,30}-1)*LEN(Registro!$I433)+1,LEN(Registro!$I433)))," ",REPT(" ",50)),50)))),"Revisar formato"))</f>
        <v/>
      </c>
      <c r="L433" s="11" t="str">
        <f>IF(Registro!$J433="","",IFERROR(SUMPRODUCT(--("0"&amp;TRIM(RIGHT(SUBSTITUTE(TRIM(MID(SUBSTITUTE(SUBSTITUTE(Registro!$J433,";",CHAR(10)),CHAR(10),REPT(" ",LEN(Registro!$J433))),({1,2,3,4,5,6,7,8,9,10,11,12,13,14,15,16,17,18,19,20,21,22,23,24,25,26,27,28,29,30}-1)*LEN(Registro!$J433)+1,LEN(Registro!$J433)))," ",REPT(" ",50)),50)))),"Revisar formato"))</f>
        <v/>
      </c>
      <c r="M433" s="11" t="str">
        <f>IF(AND(Registro!$H433="",Registro!$I433=""),"",IF(AND(ISTEXT(K433),K433&lt;&gt;""),"Revisar formato",N(Registro!$H433)-N(K433)))</f>
        <v/>
      </c>
      <c r="N433" s="11" t="str">
        <f t="shared" si="20"/>
        <v/>
      </c>
      <c r="O433" s="15" t="str">
        <f>IF(AND(A433=Consulta!$B$3,C433=Consulta!$H$3),B433*10000+ROW(),"")</f>
        <v/>
      </c>
    </row>
    <row r="434" spans="1:15" x14ac:dyDescent="0.25">
      <c r="A434" s="9" t="str">
        <f>IF(Registro!$A434="","",Registro!$A434)</f>
        <v/>
      </c>
      <c r="B434" s="8" t="str">
        <f>IF(Registro!$B434="","",Registro!$B434)</f>
        <v/>
      </c>
      <c r="C434" s="14" t="str">
        <f t="shared" si="18"/>
        <v/>
      </c>
      <c r="D434" s="10" t="str">
        <f>IF(Registro!$E434="","",IF(ISERROR(FIND("x",LOWER(Registro!$E434))),"-",IFERROR(SUMPRODUCT(--("0"&amp;LEFT(TRIM(MID(SUBSTITUTE(SUBSTITUTE(SUBSTITUTE(SUBSTITUTE(SUBSTITUTE(LOWER(Registro!$E434),"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",LEN(Registro!$E434))),({1,2,3,4,5,6,7,8,9,10,11,12,13,14,15,16,17,18,19,20,21,22,23,24,25,26,27,28,29,30}-1)*LEN(Registro!$E434)+1,LEN(Registro!$E434)))&amp;"x")-1))),"Revisar formato")))</f>
        <v/>
      </c>
      <c r="E434" s="11" t="str">
        <f>IF(Registro!$E434="","",IF(ISERROR(FIND("x",LOWER(Registro!$E434))),"-",IFERROR(SUMPRODUCT(--("0"&amp;LEFT(TRIM(MID(SUBSTITUTE(SUBSTITUTE(SUBSTITUTE(SUBSTITUTE(SUBSTITUTE(LOWER(Registro!$E434),"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",LEN(Registro!$E434))),({1,2,3,4,5,6,7,8,9,10,11,12,13,14,15,16,17,18,19,20,21,22,23,24,25,26,27,28,29,30}-1)*LEN(Registro!$E434)+1,LEN(Registro!$E434)))&amp;"x")-1)),--("0"&amp;MID(TRIM(MID(SUBSTITUTE(SUBSTITUTE(SUBSTITUTE(SUBSTITUTE(SUBSTITUTE(LOWER(Registro!$E434),"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",LEN(Registro!$E434))),({1,2,3,4,5,6,7,8,9,10,11,12,13,14,15,16,17,18,19,20,21,22,23,24,25,26,27,28,29,30}-1)*LEN(Registro!$E434)+1,LEN(Registro!$E434)))&amp;"x")+1,20))),"Revisar formato")))</f>
        <v/>
      </c>
      <c r="F434" s="11" t="str">
        <f>IF(Registro!$F434="","",N(Registro!$F434))</f>
        <v/>
      </c>
      <c r="G434" s="11" t="str">
        <f t="shared" si="19"/>
        <v/>
      </c>
      <c r="H434" s="10" t="str">
        <f>IF(Registro!$G434="","",IF(ISERROR(FIND("x",LOWER(Registro!$G434))),"-",IFERROR(SUMPRODUCT(--("0"&amp;LEFT(TRIM(MID(SUBSTITUTE(SUBSTITUTE(SUBSTITUTE(SUBSTITUTE(SUBSTITUTE(LOWER(Registro!$G434),"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",LEN(Registro!$G434))),({1,2,3,4,5,6,7,8,9,10,11,12,13,14,15,16,17,18,19,20,21,22,23,24,25,26,27,28,29,30}-1)*LEN(Registro!$G434)+1,LEN(Registro!$G434))),FIND("x",TRIM(MID(SUBSTITUTE(SUBSTITUTE(SUBSTITUTE(SUBSTITUTE(SUBSTITUTE(LOWER(Registro!$G434),"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",LEN(Registro!$G434))),({1,2,3,4,5,6,7,8,9,10,11,12,13,14,15,16,17,18,19,20,21,22,23,24,25,26,27,28,29,30}-1)*LEN(Registro!$G434)+1,LEN(Registro!$G434)))&amp;"x")-1))),"Revisar formato")))</f>
        <v/>
      </c>
      <c r="I434" s="11" t="str">
        <f>IF(Registro!$G434="","",IF(ISERROR(FIND("x",LOWER(Registro!$G434))),N(Registro!$H434),IFERROR(SUMPRODUCT(--("0"&amp;LEFT(TRIM(MID(SUBSTITUTE(SUBSTITUTE(SUBSTITUTE(SUBSTITUTE(SUBSTITUTE(LOWER(Registro!$G434),"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",LEN(Registro!$G434))),({1,2,3,4,5,6,7,8,9,10,11,12,13,14,15,16,17,18,19,20,21,22,23,24,25,26,27,28,29,30}-1)*LEN(Registro!$G434)+1,LEN(Registro!$G434))),FIND("x",TRIM(MID(SUBSTITUTE(SUBSTITUTE(SUBSTITUTE(SUBSTITUTE(SUBSTITUTE(LOWER(Registro!$G434),"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",LEN(Registro!$G434))),({1,2,3,4,5,6,7,8,9,10,11,12,13,14,15,16,17,18,19,20,21,22,23,24,25,26,27,28,29,30}-1)*LEN(Registro!$G434)+1,LEN(Registro!$G434)))&amp;"x")-1)),--("0"&amp;MID(TRIM(MID(SUBSTITUTE(SUBSTITUTE(SUBSTITUTE(SUBSTITUTE(SUBSTITUTE(LOWER(Registro!$G434),"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",LEN(Registro!$G434))),({1,2,3,4,5,6,7,8,9,10,11,12,13,14,15,16,17,18,19,20,21,22,23,24,25,26,27,28,29,30}-1)*LEN(Registro!$G434)+1,LEN(Registro!$G434))),FIND("x",TRIM(MID(SUBSTITUTE(SUBSTITUTE(SUBSTITUTE(SUBSTITUTE(SUBSTITUTE(LOWER(Registro!$G434),"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",LEN(Registro!$G434))),({1,2,3,4,5,6,7,8,9,10,11,12,13,14,15,16,17,18,19,20,21,22,23,24,25,26,27,28,29,30}-1)*LEN(Registro!$G434)+1,LEN(Registro!$G434)))&amp;"x")+1,20))),"Revisar formato")))</f>
        <v/>
      </c>
      <c r="J434" s="9" t="str">
        <f>IF(AND(Registro!$E434="",Registro!$G434=""),"",IF(NOT(AND(ISNUMBER(I434),ISNUMBER(Registro!$H434))),"",IF(I434&lt;Registro!$H434,"FALTA BOLETOS",IF(I434=Registro!$H434,"CONFORME","DIFERENCIA"))))</f>
        <v/>
      </c>
      <c r="K434" s="11" t="str">
        <f>IF(Registro!$I434="","",IFERROR(SUMPRODUCT(--("0"&amp;TRIM(RIGHT(SUBSTITUTE(TRIM(MID(SUBSTITUTE(SUBSTITUTE(Registro!$I434,";",CHAR(10)),CHAR(10),REPT(" ",LEN(Registro!$I434))),({1,2,3,4,5,6,7,8,9,10,11,12,13,14,15,16,17,18,19,20,21,22,23,24,25,26,27,28,29,30}-1)*LEN(Registro!$I434)+1,LEN(Registro!$I434)))," ",REPT(" ",50)),50)))),"Revisar formato"))</f>
        <v/>
      </c>
      <c r="L434" s="11" t="str">
        <f>IF(Registro!$J434="","",IFERROR(SUMPRODUCT(--("0"&amp;TRIM(RIGHT(SUBSTITUTE(TRIM(MID(SUBSTITUTE(SUBSTITUTE(Registro!$J434,";",CHAR(10)),CHAR(10),REPT(" ",LEN(Registro!$J434))),({1,2,3,4,5,6,7,8,9,10,11,12,13,14,15,16,17,18,19,20,21,22,23,24,25,26,27,28,29,30}-1)*LEN(Registro!$J434)+1,LEN(Registro!$J434)))," ",REPT(" ",50)),50)))),"Revisar formato"))</f>
        <v/>
      </c>
      <c r="M434" s="11" t="str">
        <f>IF(AND(Registro!$H434="",Registro!$I434=""),"",IF(AND(ISTEXT(K434),K434&lt;&gt;""),"Revisar formato",N(Registro!$H434)-N(K434)))</f>
        <v/>
      </c>
      <c r="N434" s="11" t="str">
        <f t="shared" si="20"/>
        <v/>
      </c>
      <c r="O434" s="15" t="str">
        <f>IF(AND(A434=Consulta!$B$3,C434=Consulta!$H$3),B434*10000+ROW(),"")</f>
        <v/>
      </c>
    </row>
    <row r="435" spans="1:15" x14ac:dyDescent="0.25">
      <c r="A435" s="9" t="str">
        <f>IF(Registro!$A435="","",Registro!$A435)</f>
        <v/>
      </c>
      <c r="B435" s="8" t="str">
        <f>IF(Registro!$B435="","",Registro!$B435)</f>
        <v/>
      </c>
      <c r="C435" s="14" t="str">
        <f t="shared" si="18"/>
        <v/>
      </c>
      <c r="D435" s="10" t="str">
        <f>IF(Registro!$E435="","",IF(ISERROR(FIND("x",LOWER(Registro!$E435))),"-",IFERROR(SUMPRODUCT(--("0"&amp;LEFT(TRIM(MID(SUBSTITUTE(SUBSTITUTE(SUBSTITUTE(SUBSTITUTE(SUBSTITUTE(LOWER(Registro!$E435),"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",LEN(Registro!$E435))),({1,2,3,4,5,6,7,8,9,10,11,12,13,14,15,16,17,18,19,20,21,22,23,24,25,26,27,28,29,30}-1)*LEN(Registro!$E435)+1,LEN(Registro!$E435)))&amp;"x")-1))),"Revisar formato")))</f>
        <v/>
      </c>
      <c r="E435" s="11" t="str">
        <f>IF(Registro!$E435="","",IF(ISERROR(FIND("x",LOWER(Registro!$E435))),"-",IFERROR(SUMPRODUCT(--("0"&amp;LEFT(TRIM(MID(SUBSTITUTE(SUBSTITUTE(SUBSTITUTE(SUBSTITUTE(SUBSTITUTE(LOWER(Registro!$E435),"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",LEN(Registro!$E435))),({1,2,3,4,5,6,7,8,9,10,11,12,13,14,15,16,17,18,19,20,21,22,23,24,25,26,27,28,29,30}-1)*LEN(Registro!$E435)+1,LEN(Registro!$E435)))&amp;"x")-1)),--("0"&amp;MID(TRIM(MID(SUBSTITUTE(SUBSTITUTE(SUBSTITUTE(SUBSTITUTE(SUBSTITUTE(LOWER(Registro!$E435),"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",LEN(Registro!$E435))),({1,2,3,4,5,6,7,8,9,10,11,12,13,14,15,16,17,18,19,20,21,22,23,24,25,26,27,28,29,30}-1)*LEN(Registro!$E435)+1,LEN(Registro!$E435)))&amp;"x")+1,20))),"Revisar formato")))</f>
        <v/>
      </c>
      <c r="F435" s="11" t="str">
        <f>IF(Registro!$F435="","",N(Registro!$F435))</f>
        <v/>
      </c>
      <c r="G435" s="11" t="str">
        <f t="shared" si="19"/>
        <v/>
      </c>
      <c r="H435" s="10" t="str">
        <f>IF(Registro!$G435="","",IF(ISERROR(FIND("x",LOWER(Registro!$G435))),"-",IFERROR(SUMPRODUCT(--("0"&amp;LEFT(TRIM(MID(SUBSTITUTE(SUBSTITUTE(SUBSTITUTE(SUBSTITUTE(SUBSTITUTE(LOWER(Registro!$G435),"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",LEN(Registro!$G435))),({1,2,3,4,5,6,7,8,9,10,11,12,13,14,15,16,17,18,19,20,21,22,23,24,25,26,27,28,29,30}-1)*LEN(Registro!$G435)+1,LEN(Registro!$G435))),FIND("x",TRIM(MID(SUBSTITUTE(SUBSTITUTE(SUBSTITUTE(SUBSTITUTE(SUBSTITUTE(LOWER(Registro!$G435),"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",LEN(Registro!$G435))),({1,2,3,4,5,6,7,8,9,10,11,12,13,14,15,16,17,18,19,20,21,22,23,24,25,26,27,28,29,30}-1)*LEN(Registro!$G435)+1,LEN(Registro!$G435)))&amp;"x")-1))),"Revisar formato")))</f>
        <v/>
      </c>
      <c r="I435" s="11" t="str">
        <f>IF(Registro!$G435="","",IF(ISERROR(FIND("x",LOWER(Registro!$G435))),N(Registro!$H435),IFERROR(SUMPRODUCT(--("0"&amp;LEFT(TRIM(MID(SUBSTITUTE(SUBSTITUTE(SUBSTITUTE(SUBSTITUTE(SUBSTITUTE(LOWER(Registro!$G435),"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",LEN(Registro!$G435))),({1,2,3,4,5,6,7,8,9,10,11,12,13,14,15,16,17,18,19,20,21,22,23,24,25,26,27,28,29,30}-1)*LEN(Registro!$G435)+1,LEN(Registro!$G435))),FIND("x",TRIM(MID(SUBSTITUTE(SUBSTITUTE(SUBSTITUTE(SUBSTITUTE(SUBSTITUTE(LOWER(Registro!$G435),"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",LEN(Registro!$G435))),({1,2,3,4,5,6,7,8,9,10,11,12,13,14,15,16,17,18,19,20,21,22,23,24,25,26,27,28,29,30}-1)*LEN(Registro!$G435)+1,LEN(Registro!$G435)))&amp;"x")-1)),--("0"&amp;MID(TRIM(MID(SUBSTITUTE(SUBSTITUTE(SUBSTITUTE(SUBSTITUTE(SUBSTITUTE(LOWER(Registro!$G435),"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",LEN(Registro!$G435))),({1,2,3,4,5,6,7,8,9,10,11,12,13,14,15,16,17,18,19,20,21,22,23,24,25,26,27,28,29,30}-1)*LEN(Registro!$G435)+1,LEN(Registro!$G435))),FIND("x",TRIM(MID(SUBSTITUTE(SUBSTITUTE(SUBSTITUTE(SUBSTITUTE(SUBSTITUTE(LOWER(Registro!$G435),"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",LEN(Registro!$G435))),({1,2,3,4,5,6,7,8,9,10,11,12,13,14,15,16,17,18,19,20,21,22,23,24,25,26,27,28,29,30}-1)*LEN(Registro!$G435)+1,LEN(Registro!$G435)))&amp;"x")+1,20))),"Revisar formato")))</f>
        <v/>
      </c>
      <c r="J435" s="9" t="str">
        <f>IF(AND(Registro!$E435="",Registro!$G435=""),"",IF(NOT(AND(ISNUMBER(I435),ISNUMBER(Registro!$H435))),"",IF(I435&lt;Registro!$H435,"FALTA BOLETOS",IF(I435=Registro!$H435,"CONFORME","DIFERENCIA"))))</f>
        <v/>
      </c>
      <c r="K435" s="11" t="str">
        <f>IF(Registro!$I435="","",IFERROR(SUMPRODUCT(--("0"&amp;TRIM(RIGHT(SUBSTITUTE(TRIM(MID(SUBSTITUTE(SUBSTITUTE(Registro!$I435,";",CHAR(10)),CHAR(10),REPT(" ",LEN(Registro!$I435))),({1,2,3,4,5,6,7,8,9,10,11,12,13,14,15,16,17,18,19,20,21,22,23,24,25,26,27,28,29,30}-1)*LEN(Registro!$I435)+1,LEN(Registro!$I435)))," ",REPT(" ",50)),50)))),"Revisar formato"))</f>
        <v/>
      </c>
      <c r="L435" s="11" t="str">
        <f>IF(Registro!$J435="","",IFERROR(SUMPRODUCT(--("0"&amp;TRIM(RIGHT(SUBSTITUTE(TRIM(MID(SUBSTITUTE(SUBSTITUTE(Registro!$J435,";",CHAR(10)),CHAR(10),REPT(" ",LEN(Registro!$J435))),({1,2,3,4,5,6,7,8,9,10,11,12,13,14,15,16,17,18,19,20,21,22,23,24,25,26,27,28,29,30}-1)*LEN(Registro!$J435)+1,LEN(Registro!$J435)))," ",REPT(" ",50)),50)))),"Revisar formato"))</f>
        <v/>
      </c>
      <c r="M435" s="11" t="str">
        <f>IF(AND(Registro!$H435="",Registro!$I435=""),"",IF(AND(ISTEXT(K435),K435&lt;&gt;""),"Revisar formato",N(Registro!$H435)-N(K435)))</f>
        <v/>
      </c>
      <c r="N435" s="11" t="str">
        <f t="shared" si="20"/>
        <v/>
      </c>
      <c r="O435" s="15" t="str">
        <f>IF(AND(A435=Consulta!$B$3,C435=Consulta!$H$3),B435*10000+ROW(),"")</f>
        <v/>
      </c>
    </row>
    <row r="436" spans="1:15" x14ac:dyDescent="0.25">
      <c r="A436" s="9" t="str">
        <f>IF(Registro!$A436="","",Registro!$A436)</f>
        <v/>
      </c>
      <c r="B436" s="8" t="str">
        <f>IF(Registro!$B436="","",Registro!$B436)</f>
        <v/>
      </c>
      <c r="C436" s="14" t="str">
        <f t="shared" si="18"/>
        <v/>
      </c>
      <c r="D436" s="10" t="str">
        <f>IF(Registro!$E436="","",IF(ISERROR(FIND("x",LOWER(Registro!$E436))),"-",IFERROR(SUMPRODUCT(--("0"&amp;LEFT(TRIM(MID(SUBSTITUTE(SUBSTITUTE(SUBSTITUTE(SUBSTITUTE(SUBSTITUTE(LOWER(Registro!$E436),"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",LEN(Registro!$E436))),({1,2,3,4,5,6,7,8,9,10,11,12,13,14,15,16,17,18,19,20,21,22,23,24,25,26,27,28,29,30}-1)*LEN(Registro!$E436)+1,LEN(Registro!$E436)))&amp;"x")-1))),"Revisar formato")))</f>
        <v/>
      </c>
      <c r="E436" s="11" t="str">
        <f>IF(Registro!$E436="","",IF(ISERROR(FIND("x",LOWER(Registro!$E436))),"-",IFERROR(SUMPRODUCT(--("0"&amp;LEFT(TRIM(MID(SUBSTITUTE(SUBSTITUTE(SUBSTITUTE(SUBSTITUTE(SUBSTITUTE(LOWER(Registro!$E436),"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",LEN(Registro!$E436))),({1,2,3,4,5,6,7,8,9,10,11,12,13,14,15,16,17,18,19,20,21,22,23,24,25,26,27,28,29,30}-1)*LEN(Registro!$E436)+1,LEN(Registro!$E436)))&amp;"x")-1)),--("0"&amp;MID(TRIM(MID(SUBSTITUTE(SUBSTITUTE(SUBSTITUTE(SUBSTITUTE(SUBSTITUTE(LOWER(Registro!$E436),"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",LEN(Registro!$E436))),({1,2,3,4,5,6,7,8,9,10,11,12,13,14,15,16,17,18,19,20,21,22,23,24,25,26,27,28,29,30}-1)*LEN(Registro!$E436)+1,LEN(Registro!$E436)))&amp;"x")+1,20))),"Revisar formato")))</f>
        <v/>
      </c>
      <c r="F436" s="11" t="str">
        <f>IF(Registro!$F436="","",N(Registro!$F436))</f>
        <v/>
      </c>
      <c r="G436" s="11" t="str">
        <f t="shared" si="19"/>
        <v/>
      </c>
      <c r="H436" s="10" t="str">
        <f>IF(Registro!$G436="","",IF(ISERROR(FIND("x",LOWER(Registro!$G436))),"-",IFERROR(SUMPRODUCT(--("0"&amp;LEFT(TRIM(MID(SUBSTITUTE(SUBSTITUTE(SUBSTITUTE(SUBSTITUTE(SUBSTITUTE(LOWER(Registro!$G436),"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",LEN(Registro!$G436))),({1,2,3,4,5,6,7,8,9,10,11,12,13,14,15,16,17,18,19,20,21,22,23,24,25,26,27,28,29,30}-1)*LEN(Registro!$G436)+1,LEN(Registro!$G436))),FIND("x",TRIM(MID(SUBSTITUTE(SUBSTITUTE(SUBSTITUTE(SUBSTITUTE(SUBSTITUTE(LOWER(Registro!$G436),"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",LEN(Registro!$G436))),({1,2,3,4,5,6,7,8,9,10,11,12,13,14,15,16,17,18,19,20,21,22,23,24,25,26,27,28,29,30}-1)*LEN(Registro!$G436)+1,LEN(Registro!$G436)))&amp;"x")-1))),"Revisar formato")))</f>
        <v/>
      </c>
      <c r="I436" s="11" t="str">
        <f>IF(Registro!$G436="","",IF(ISERROR(FIND("x",LOWER(Registro!$G436))),N(Registro!$H436),IFERROR(SUMPRODUCT(--("0"&amp;LEFT(TRIM(MID(SUBSTITUTE(SUBSTITUTE(SUBSTITUTE(SUBSTITUTE(SUBSTITUTE(LOWER(Registro!$G436),"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",LEN(Registro!$G436))),({1,2,3,4,5,6,7,8,9,10,11,12,13,14,15,16,17,18,19,20,21,22,23,24,25,26,27,28,29,30}-1)*LEN(Registro!$G436)+1,LEN(Registro!$G436))),FIND("x",TRIM(MID(SUBSTITUTE(SUBSTITUTE(SUBSTITUTE(SUBSTITUTE(SUBSTITUTE(LOWER(Registro!$G436),"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",LEN(Registro!$G436))),({1,2,3,4,5,6,7,8,9,10,11,12,13,14,15,16,17,18,19,20,21,22,23,24,25,26,27,28,29,30}-1)*LEN(Registro!$G436)+1,LEN(Registro!$G436)))&amp;"x")-1)),--("0"&amp;MID(TRIM(MID(SUBSTITUTE(SUBSTITUTE(SUBSTITUTE(SUBSTITUTE(SUBSTITUTE(LOWER(Registro!$G436),"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",LEN(Registro!$G436))),({1,2,3,4,5,6,7,8,9,10,11,12,13,14,15,16,17,18,19,20,21,22,23,24,25,26,27,28,29,30}-1)*LEN(Registro!$G436)+1,LEN(Registro!$G436))),FIND("x",TRIM(MID(SUBSTITUTE(SUBSTITUTE(SUBSTITUTE(SUBSTITUTE(SUBSTITUTE(LOWER(Registro!$G436),"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",LEN(Registro!$G436))),({1,2,3,4,5,6,7,8,9,10,11,12,13,14,15,16,17,18,19,20,21,22,23,24,25,26,27,28,29,30}-1)*LEN(Registro!$G436)+1,LEN(Registro!$G436)))&amp;"x")+1,20))),"Revisar formato")))</f>
        <v/>
      </c>
      <c r="J436" s="9" t="str">
        <f>IF(AND(Registro!$E436="",Registro!$G436=""),"",IF(NOT(AND(ISNUMBER(I436),ISNUMBER(Registro!$H436))),"",IF(I436&lt;Registro!$H436,"FALTA BOLETOS",IF(I436=Registro!$H436,"CONFORME","DIFERENCIA"))))</f>
        <v/>
      </c>
      <c r="K436" s="11" t="str">
        <f>IF(Registro!$I436="","",IFERROR(SUMPRODUCT(--("0"&amp;TRIM(RIGHT(SUBSTITUTE(TRIM(MID(SUBSTITUTE(SUBSTITUTE(Registro!$I436,";",CHAR(10)),CHAR(10),REPT(" ",LEN(Registro!$I436))),({1,2,3,4,5,6,7,8,9,10,11,12,13,14,15,16,17,18,19,20,21,22,23,24,25,26,27,28,29,30}-1)*LEN(Registro!$I436)+1,LEN(Registro!$I436)))," ",REPT(" ",50)),50)))),"Revisar formato"))</f>
        <v/>
      </c>
      <c r="L436" s="11" t="str">
        <f>IF(Registro!$J436="","",IFERROR(SUMPRODUCT(--("0"&amp;TRIM(RIGHT(SUBSTITUTE(TRIM(MID(SUBSTITUTE(SUBSTITUTE(Registro!$J436,";",CHAR(10)),CHAR(10),REPT(" ",LEN(Registro!$J436))),({1,2,3,4,5,6,7,8,9,10,11,12,13,14,15,16,17,18,19,20,21,22,23,24,25,26,27,28,29,30}-1)*LEN(Registro!$J436)+1,LEN(Registro!$J436)))," ",REPT(" ",50)),50)))),"Revisar formato"))</f>
        <v/>
      </c>
      <c r="M436" s="11" t="str">
        <f>IF(AND(Registro!$H436="",Registro!$I436=""),"",IF(AND(ISTEXT(K436),K436&lt;&gt;""),"Revisar formato",N(Registro!$H436)-N(K436)))</f>
        <v/>
      </c>
      <c r="N436" s="11" t="str">
        <f t="shared" si="20"/>
        <v/>
      </c>
      <c r="O436" s="15" t="str">
        <f>IF(AND(A436=Consulta!$B$3,C436=Consulta!$H$3),B436*10000+ROW(),"")</f>
        <v/>
      </c>
    </row>
    <row r="437" spans="1:15" x14ac:dyDescent="0.25">
      <c r="A437" s="9" t="str">
        <f>IF(Registro!$A437="","",Registro!$A437)</f>
        <v/>
      </c>
      <c r="B437" s="8" t="str">
        <f>IF(Registro!$B437="","",Registro!$B437)</f>
        <v/>
      </c>
      <c r="C437" s="14" t="str">
        <f t="shared" si="18"/>
        <v/>
      </c>
      <c r="D437" s="10" t="str">
        <f>IF(Registro!$E437="","",IF(ISERROR(FIND("x",LOWER(Registro!$E437))),"-",IFERROR(SUMPRODUCT(--("0"&amp;LEFT(TRIM(MID(SUBSTITUTE(SUBSTITUTE(SUBSTITUTE(SUBSTITUTE(SUBSTITUTE(LOWER(Registro!$E437),"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",LEN(Registro!$E437))),({1,2,3,4,5,6,7,8,9,10,11,12,13,14,15,16,17,18,19,20,21,22,23,24,25,26,27,28,29,30}-1)*LEN(Registro!$E437)+1,LEN(Registro!$E437)))&amp;"x")-1))),"Revisar formato")))</f>
        <v/>
      </c>
      <c r="E437" s="11" t="str">
        <f>IF(Registro!$E437="","",IF(ISERROR(FIND("x",LOWER(Registro!$E437))),"-",IFERROR(SUMPRODUCT(--("0"&amp;LEFT(TRIM(MID(SUBSTITUTE(SUBSTITUTE(SUBSTITUTE(SUBSTITUTE(SUBSTITUTE(LOWER(Registro!$E437),"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",LEN(Registro!$E437))),({1,2,3,4,5,6,7,8,9,10,11,12,13,14,15,16,17,18,19,20,21,22,23,24,25,26,27,28,29,30}-1)*LEN(Registro!$E437)+1,LEN(Registro!$E437)))&amp;"x")-1)),--("0"&amp;MID(TRIM(MID(SUBSTITUTE(SUBSTITUTE(SUBSTITUTE(SUBSTITUTE(SUBSTITUTE(LOWER(Registro!$E437),"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",LEN(Registro!$E437))),({1,2,3,4,5,6,7,8,9,10,11,12,13,14,15,16,17,18,19,20,21,22,23,24,25,26,27,28,29,30}-1)*LEN(Registro!$E437)+1,LEN(Registro!$E437)))&amp;"x")+1,20))),"Revisar formato")))</f>
        <v/>
      </c>
      <c r="F437" s="11" t="str">
        <f>IF(Registro!$F437="","",N(Registro!$F437))</f>
        <v/>
      </c>
      <c r="G437" s="11" t="str">
        <f t="shared" si="19"/>
        <v/>
      </c>
      <c r="H437" s="10" t="str">
        <f>IF(Registro!$G437="","",IF(ISERROR(FIND("x",LOWER(Registro!$G437))),"-",IFERROR(SUMPRODUCT(--("0"&amp;LEFT(TRIM(MID(SUBSTITUTE(SUBSTITUTE(SUBSTITUTE(SUBSTITUTE(SUBSTITUTE(LOWER(Registro!$G437),"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",LEN(Registro!$G437))),({1,2,3,4,5,6,7,8,9,10,11,12,13,14,15,16,17,18,19,20,21,22,23,24,25,26,27,28,29,30}-1)*LEN(Registro!$G437)+1,LEN(Registro!$G437))),FIND("x",TRIM(MID(SUBSTITUTE(SUBSTITUTE(SUBSTITUTE(SUBSTITUTE(SUBSTITUTE(LOWER(Registro!$G437),"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",LEN(Registro!$G437))),({1,2,3,4,5,6,7,8,9,10,11,12,13,14,15,16,17,18,19,20,21,22,23,24,25,26,27,28,29,30}-1)*LEN(Registro!$G437)+1,LEN(Registro!$G437)))&amp;"x")-1))),"Revisar formato")))</f>
        <v/>
      </c>
      <c r="I437" s="11" t="str">
        <f>IF(Registro!$G437="","",IF(ISERROR(FIND("x",LOWER(Registro!$G437))),N(Registro!$H437),IFERROR(SUMPRODUCT(--("0"&amp;LEFT(TRIM(MID(SUBSTITUTE(SUBSTITUTE(SUBSTITUTE(SUBSTITUTE(SUBSTITUTE(LOWER(Registro!$G437),"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",LEN(Registro!$G437))),({1,2,3,4,5,6,7,8,9,10,11,12,13,14,15,16,17,18,19,20,21,22,23,24,25,26,27,28,29,30}-1)*LEN(Registro!$G437)+1,LEN(Registro!$G437))),FIND("x",TRIM(MID(SUBSTITUTE(SUBSTITUTE(SUBSTITUTE(SUBSTITUTE(SUBSTITUTE(LOWER(Registro!$G437),"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",LEN(Registro!$G437))),({1,2,3,4,5,6,7,8,9,10,11,12,13,14,15,16,17,18,19,20,21,22,23,24,25,26,27,28,29,30}-1)*LEN(Registro!$G437)+1,LEN(Registro!$G437)))&amp;"x")-1)),--("0"&amp;MID(TRIM(MID(SUBSTITUTE(SUBSTITUTE(SUBSTITUTE(SUBSTITUTE(SUBSTITUTE(LOWER(Registro!$G437),"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",LEN(Registro!$G437))),({1,2,3,4,5,6,7,8,9,10,11,12,13,14,15,16,17,18,19,20,21,22,23,24,25,26,27,28,29,30}-1)*LEN(Registro!$G437)+1,LEN(Registro!$G437))),FIND("x",TRIM(MID(SUBSTITUTE(SUBSTITUTE(SUBSTITUTE(SUBSTITUTE(SUBSTITUTE(LOWER(Registro!$G437),"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",LEN(Registro!$G437))),({1,2,3,4,5,6,7,8,9,10,11,12,13,14,15,16,17,18,19,20,21,22,23,24,25,26,27,28,29,30}-1)*LEN(Registro!$G437)+1,LEN(Registro!$G437)))&amp;"x")+1,20))),"Revisar formato")))</f>
        <v/>
      </c>
      <c r="J437" s="9" t="str">
        <f>IF(AND(Registro!$E437="",Registro!$G437=""),"",IF(NOT(AND(ISNUMBER(I437),ISNUMBER(Registro!$H437))),"",IF(I437&lt;Registro!$H437,"FALTA BOLETOS",IF(I437=Registro!$H437,"CONFORME","DIFERENCIA"))))</f>
        <v/>
      </c>
      <c r="K437" s="11" t="str">
        <f>IF(Registro!$I437="","",IFERROR(SUMPRODUCT(--("0"&amp;TRIM(RIGHT(SUBSTITUTE(TRIM(MID(SUBSTITUTE(SUBSTITUTE(Registro!$I437,";",CHAR(10)),CHAR(10),REPT(" ",LEN(Registro!$I437))),({1,2,3,4,5,6,7,8,9,10,11,12,13,14,15,16,17,18,19,20,21,22,23,24,25,26,27,28,29,30}-1)*LEN(Registro!$I437)+1,LEN(Registro!$I437)))," ",REPT(" ",50)),50)))),"Revisar formato"))</f>
        <v/>
      </c>
      <c r="L437" s="11" t="str">
        <f>IF(Registro!$J437="","",IFERROR(SUMPRODUCT(--("0"&amp;TRIM(RIGHT(SUBSTITUTE(TRIM(MID(SUBSTITUTE(SUBSTITUTE(Registro!$J437,";",CHAR(10)),CHAR(10),REPT(" ",LEN(Registro!$J437))),({1,2,3,4,5,6,7,8,9,10,11,12,13,14,15,16,17,18,19,20,21,22,23,24,25,26,27,28,29,30}-1)*LEN(Registro!$J437)+1,LEN(Registro!$J437)))," ",REPT(" ",50)),50)))),"Revisar formato"))</f>
        <v/>
      </c>
      <c r="M437" s="11" t="str">
        <f>IF(AND(Registro!$H437="",Registro!$I437=""),"",IF(AND(ISTEXT(K437),K437&lt;&gt;""),"Revisar formato",N(Registro!$H437)-N(K437)))</f>
        <v/>
      </c>
      <c r="N437" s="11" t="str">
        <f t="shared" si="20"/>
        <v/>
      </c>
      <c r="O437" s="15" t="str">
        <f>IF(AND(A437=Consulta!$B$3,C437=Consulta!$H$3),B437*10000+ROW(),"")</f>
        <v/>
      </c>
    </row>
    <row r="438" spans="1:15" x14ac:dyDescent="0.25">
      <c r="A438" s="9" t="str">
        <f>IF(Registro!$A438="","",Registro!$A438)</f>
        <v/>
      </c>
      <c r="B438" s="8" t="str">
        <f>IF(Registro!$B438="","",Registro!$B438)</f>
        <v/>
      </c>
      <c r="C438" s="14" t="str">
        <f t="shared" si="18"/>
        <v/>
      </c>
      <c r="D438" s="10" t="str">
        <f>IF(Registro!$E438="","",IF(ISERROR(FIND("x",LOWER(Registro!$E438))),"-",IFERROR(SUMPRODUCT(--("0"&amp;LEFT(TRIM(MID(SUBSTITUTE(SUBSTITUTE(SUBSTITUTE(SUBSTITUTE(SUBSTITUTE(LOWER(Registro!$E438),"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",LEN(Registro!$E438))),({1,2,3,4,5,6,7,8,9,10,11,12,13,14,15,16,17,18,19,20,21,22,23,24,25,26,27,28,29,30}-1)*LEN(Registro!$E438)+1,LEN(Registro!$E438)))&amp;"x")-1))),"Revisar formato")))</f>
        <v/>
      </c>
      <c r="E438" s="11" t="str">
        <f>IF(Registro!$E438="","",IF(ISERROR(FIND("x",LOWER(Registro!$E438))),"-",IFERROR(SUMPRODUCT(--("0"&amp;LEFT(TRIM(MID(SUBSTITUTE(SUBSTITUTE(SUBSTITUTE(SUBSTITUTE(SUBSTITUTE(LOWER(Registro!$E438),"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",LEN(Registro!$E438))),({1,2,3,4,5,6,7,8,9,10,11,12,13,14,15,16,17,18,19,20,21,22,23,24,25,26,27,28,29,30}-1)*LEN(Registro!$E438)+1,LEN(Registro!$E438)))&amp;"x")-1)),--("0"&amp;MID(TRIM(MID(SUBSTITUTE(SUBSTITUTE(SUBSTITUTE(SUBSTITUTE(SUBSTITUTE(LOWER(Registro!$E438),"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",LEN(Registro!$E438))),({1,2,3,4,5,6,7,8,9,10,11,12,13,14,15,16,17,18,19,20,21,22,23,24,25,26,27,28,29,30}-1)*LEN(Registro!$E438)+1,LEN(Registro!$E438)))&amp;"x")+1,20))),"Revisar formato")))</f>
        <v/>
      </c>
      <c r="F438" s="11" t="str">
        <f>IF(Registro!$F438="","",N(Registro!$F438))</f>
        <v/>
      </c>
      <c r="G438" s="11" t="str">
        <f t="shared" si="19"/>
        <v/>
      </c>
      <c r="H438" s="10" t="str">
        <f>IF(Registro!$G438="","",IF(ISERROR(FIND("x",LOWER(Registro!$G438))),"-",IFERROR(SUMPRODUCT(--("0"&amp;LEFT(TRIM(MID(SUBSTITUTE(SUBSTITUTE(SUBSTITUTE(SUBSTITUTE(SUBSTITUTE(LOWER(Registro!$G438),"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",LEN(Registro!$G438))),({1,2,3,4,5,6,7,8,9,10,11,12,13,14,15,16,17,18,19,20,21,22,23,24,25,26,27,28,29,30}-1)*LEN(Registro!$G438)+1,LEN(Registro!$G438))),FIND("x",TRIM(MID(SUBSTITUTE(SUBSTITUTE(SUBSTITUTE(SUBSTITUTE(SUBSTITUTE(LOWER(Registro!$G438),"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",LEN(Registro!$G438))),({1,2,3,4,5,6,7,8,9,10,11,12,13,14,15,16,17,18,19,20,21,22,23,24,25,26,27,28,29,30}-1)*LEN(Registro!$G438)+1,LEN(Registro!$G438)))&amp;"x")-1))),"Revisar formato")))</f>
        <v/>
      </c>
      <c r="I438" s="11" t="str">
        <f>IF(Registro!$G438="","",IF(ISERROR(FIND("x",LOWER(Registro!$G438))),N(Registro!$H438),IFERROR(SUMPRODUCT(--("0"&amp;LEFT(TRIM(MID(SUBSTITUTE(SUBSTITUTE(SUBSTITUTE(SUBSTITUTE(SUBSTITUTE(LOWER(Registro!$G438),"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",LEN(Registro!$G438))),({1,2,3,4,5,6,7,8,9,10,11,12,13,14,15,16,17,18,19,20,21,22,23,24,25,26,27,28,29,30}-1)*LEN(Registro!$G438)+1,LEN(Registro!$G438))),FIND("x",TRIM(MID(SUBSTITUTE(SUBSTITUTE(SUBSTITUTE(SUBSTITUTE(SUBSTITUTE(LOWER(Registro!$G438),"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",LEN(Registro!$G438))),({1,2,3,4,5,6,7,8,9,10,11,12,13,14,15,16,17,18,19,20,21,22,23,24,25,26,27,28,29,30}-1)*LEN(Registro!$G438)+1,LEN(Registro!$G438)))&amp;"x")-1)),--("0"&amp;MID(TRIM(MID(SUBSTITUTE(SUBSTITUTE(SUBSTITUTE(SUBSTITUTE(SUBSTITUTE(LOWER(Registro!$G438),"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",LEN(Registro!$G438))),({1,2,3,4,5,6,7,8,9,10,11,12,13,14,15,16,17,18,19,20,21,22,23,24,25,26,27,28,29,30}-1)*LEN(Registro!$G438)+1,LEN(Registro!$G438))),FIND("x",TRIM(MID(SUBSTITUTE(SUBSTITUTE(SUBSTITUTE(SUBSTITUTE(SUBSTITUTE(LOWER(Registro!$G438),"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",LEN(Registro!$G438))),({1,2,3,4,5,6,7,8,9,10,11,12,13,14,15,16,17,18,19,20,21,22,23,24,25,26,27,28,29,30}-1)*LEN(Registro!$G438)+1,LEN(Registro!$G438)))&amp;"x")+1,20))),"Revisar formato")))</f>
        <v/>
      </c>
      <c r="J438" s="9" t="str">
        <f>IF(AND(Registro!$E438="",Registro!$G438=""),"",IF(NOT(AND(ISNUMBER(I438),ISNUMBER(Registro!$H438))),"",IF(I438&lt;Registro!$H438,"FALTA BOLETOS",IF(I438=Registro!$H438,"CONFORME","DIFERENCIA"))))</f>
        <v/>
      </c>
      <c r="K438" s="11" t="str">
        <f>IF(Registro!$I438="","",IFERROR(SUMPRODUCT(--("0"&amp;TRIM(RIGHT(SUBSTITUTE(TRIM(MID(SUBSTITUTE(SUBSTITUTE(Registro!$I438,";",CHAR(10)),CHAR(10),REPT(" ",LEN(Registro!$I438))),({1,2,3,4,5,6,7,8,9,10,11,12,13,14,15,16,17,18,19,20,21,22,23,24,25,26,27,28,29,30}-1)*LEN(Registro!$I438)+1,LEN(Registro!$I438)))," ",REPT(" ",50)),50)))),"Revisar formato"))</f>
        <v/>
      </c>
      <c r="L438" s="11" t="str">
        <f>IF(Registro!$J438="","",IFERROR(SUMPRODUCT(--("0"&amp;TRIM(RIGHT(SUBSTITUTE(TRIM(MID(SUBSTITUTE(SUBSTITUTE(Registro!$J438,";",CHAR(10)),CHAR(10),REPT(" ",LEN(Registro!$J438))),({1,2,3,4,5,6,7,8,9,10,11,12,13,14,15,16,17,18,19,20,21,22,23,24,25,26,27,28,29,30}-1)*LEN(Registro!$J438)+1,LEN(Registro!$J438)))," ",REPT(" ",50)),50)))),"Revisar formato"))</f>
        <v/>
      </c>
      <c r="M438" s="11" t="str">
        <f>IF(AND(Registro!$H438="",Registro!$I438=""),"",IF(AND(ISTEXT(K438),K438&lt;&gt;""),"Revisar formato",N(Registro!$H438)-N(K438)))</f>
        <v/>
      </c>
      <c r="N438" s="11" t="str">
        <f t="shared" si="20"/>
        <v/>
      </c>
      <c r="O438" s="15" t="str">
        <f>IF(AND(A438=Consulta!$B$3,C438=Consulta!$H$3),B438*10000+ROW(),"")</f>
        <v/>
      </c>
    </row>
    <row r="439" spans="1:15" x14ac:dyDescent="0.25">
      <c r="A439" s="9" t="str">
        <f>IF(Registro!$A439="","",Registro!$A439)</f>
        <v/>
      </c>
      <c r="B439" s="8" t="str">
        <f>IF(Registro!$B439="","",Registro!$B439)</f>
        <v/>
      </c>
      <c r="C439" s="14" t="str">
        <f t="shared" si="18"/>
        <v/>
      </c>
      <c r="D439" s="10" t="str">
        <f>IF(Registro!$E439="","",IF(ISERROR(FIND("x",LOWER(Registro!$E439))),"-",IFERROR(SUMPRODUCT(--("0"&amp;LEFT(TRIM(MID(SUBSTITUTE(SUBSTITUTE(SUBSTITUTE(SUBSTITUTE(SUBSTITUTE(LOWER(Registro!$E439),"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",LEN(Registro!$E439))),({1,2,3,4,5,6,7,8,9,10,11,12,13,14,15,16,17,18,19,20,21,22,23,24,25,26,27,28,29,30}-1)*LEN(Registro!$E439)+1,LEN(Registro!$E439)))&amp;"x")-1))),"Revisar formato")))</f>
        <v/>
      </c>
      <c r="E439" s="11" t="str">
        <f>IF(Registro!$E439="","",IF(ISERROR(FIND("x",LOWER(Registro!$E439))),"-",IFERROR(SUMPRODUCT(--("0"&amp;LEFT(TRIM(MID(SUBSTITUTE(SUBSTITUTE(SUBSTITUTE(SUBSTITUTE(SUBSTITUTE(LOWER(Registro!$E439),"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",LEN(Registro!$E439))),({1,2,3,4,5,6,7,8,9,10,11,12,13,14,15,16,17,18,19,20,21,22,23,24,25,26,27,28,29,30}-1)*LEN(Registro!$E439)+1,LEN(Registro!$E439)))&amp;"x")-1)),--("0"&amp;MID(TRIM(MID(SUBSTITUTE(SUBSTITUTE(SUBSTITUTE(SUBSTITUTE(SUBSTITUTE(LOWER(Registro!$E439),"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",LEN(Registro!$E439))),({1,2,3,4,5,6,7,8,9,10,11,12,13,14,15,16,17,18,19,20,21,22,23,24,25,26,27,28,29,30}-1)*LEN(Registro!$E439)+1,LEN(Registro!$E439)))&amp;"x")+1,20))),"Revisar formato")))</f>
        <v/>
      </c>
      <c r="F439" s="11" t="str">
        <f>IF(Registro!$F439="","",N(Registro!$F439))</f>
        <v/>
      </c>
      <c r="G439" s="11" t="str">
        <f t="shared" si="19"/>
        <v/>
      </c>
      <c r="H439" s="10" t="str">
        <f>IF(Registro!$G439="","",IF(ISERROR(FIND("x",LOWER(Registro!$G439))),"-",IFERROR(SUMPRODUCT(--("0"&amp;LEFT(TRIM(MID(SUBSTITUTE(SUBSTITUTE(SUBSTITUTE(SUBSTITUTE(SUBSTITUTE(LOWER(Registro!$G439),"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",LEN(Registro!$G439))),({1,2,3,4,5,6,7,8,9,10,11,12,13,14,15,16,17,18,19,20,21,22,23,24,25,26,27,28,29,30}-1)*LEN(Registro!$G439)+1,LEN(Registro!$G439))),FIND("x",TRIM(MID(SUBSTITUTE(SUBSTITUTE(SUBSTITUTE(SUBSTITUTE(SUBSTITUTE(LOWER(Registro!$G439),"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",LEN(Registro!$G439))),({1,2,3,4,5,6,7,8,9,10,11,12,13,14,15,16,17,18,19,20,21,22,23,24,25,26,27,28,29,30}-1)*LEN(Registro!$G439)+1,LEN(Registro!$G439)))&amp;"x")-1))),"Revisar formato")))</f>
        <v/>
      </c>
      <c r="I439" s="11" t="str">
        <f>IF(Registro!$G439="","",IF(ISERROR(FIND("x",LOWER(Registro!$G439))),N(Registro!$H439),IFERROR(SUMPRODUCT(--("0"&amp;LEFT(TRIM(MID(SUBSTITUTE(SUBSTITUTE(SUBSTITUTE(SUBSTITUTE(SUBSTITUTE(LOWER(Registro!$G439),"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",LEN(Registro!$G439))),({1,2,3,4,5,6,7,8,9,10,11,12,13,14,15,16,17,18,19,20,21,22,23,24,25,26,27,28,29,30}-1)*LEN(Registro!$G439)+1,LEN(Registro!$G439))),FIND("x",TRIM(MID(SUBSTITUTE(SUBSTITUTE(SUBSTITUTE(SUBSTITUTE(SUBSTITUTE(LOWER(Registro!$G439),"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",LEN(Registro!$G439))),({1,2,3,4,5,6,7,8,9,10,11,12,13,14,15,16,17,18,19,20,21,22,23,24,25,26,27,28,29,30}-1)*LEN(Registro!$G439)+1,LEN(Registro!$G439)))&amp;"x")-1)),--("0"&amp;MID(TRIM(MID(SUBSTITUTE(SUBSTITUTE(SUBSTITUTE(SUBSTITUTE(SUBSTITUTE(LOWER(Registro!$G439),"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",LEN(Registro!$G439))),({1,2,3,4,5,6,7,8,9,10,11,12,13,14,15,16,17,18,19,20,21,22,23,24,25,26,27,28,29,30}-1)*LEN(Registro!$G439)+1,LEN(Registro!$G439))),FIND("x",TRIM(MID(SUBSTITUTE(SUBSTITUTE(SUBSTITUTE(SUBSTITUTE(SUBSTITUTE(LOWER(Registro!$G439),"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",LEN(Registro!$G439))),({1,2,3,4,5,6,7,8,9,10,11,12,13,14,15,16,17,18,19,20,21,22,23,24,25,26,27,28,29,30}-1)*LEN(Registro!$G439)+1,LEN(Registro!$G439)))&amp;"x")+1,20))),"Revisar formato")))</f>
        <v/>
      </c>
      <c r="J439" s="9" t="str">
        <f>IF(AND(Registro!$E439="",Registro!$G439=""),"",IF(NOT(AND(ISNUMBER(I439),ISNUMBER(Registro!$H439))),"",IF(I439&lt;Registro!$H439,"FALTA BOLETOS",IF(I439=Registro!$H439,"CONFORME","DIFERENCIA"))))</f>
        <v/>
      </c>
      <c r="K439" s="11" t="str">
        <f>IF(Registro!$I439="","",IFERROR(SUMPRODUCT(--("0"&amp;TRIM(RIGHT(SUBSTITUTE(TRIM(MID(SUBSTITUTE(SUBSTITUTE(Registro!$I439,";",CHAR(10)),CHAR(10),REPT(" ",LEN(Registro!$I439))),({1,2,3,4,5,6,7,8,9,10,11,12,13,14,15,16,17,18,19,20,21,22,23,24,25,26,27,28,29,30}-1)*LEN(Registro!$I439)+1,LEN(Registro!$I439)))," ",REPT(" ",50)),50)))),"Revisar formato"))</f>
        <v/>
      </c>
      <c r="L439" s="11" t="str">
        <f>IF(Registro!$J439="","",IFERROR(SUMPRODUCT(--("0"&amp;TRIM(RIGHT(SUBSTITUTE(TRIM(MID(SUBSTITUTE(SUBSTITUTE(Registro!$J439,";",CHAR(10)),CHAR(10),REPT(" ",LEN(Registro!$J439))),({1,2,3,4,5,6,7,8,9,10,11,12,13,14,15,16,17,18,19,20,21,22,23,24,25,26,27,28,29,30}-1)*LEN(Registro!$J439)+1,LEN(Registro!$J439)))," ",REPT(" ",50)),50)))),"Revisar formato"))</f>
        <v/>
      </c>
      <c r="M439" s="11" t="str">
        <f>IF(AND(Registro!$H439="",Registro!$I439=""),"",IF(AND(ISTEXT(K439),K439&lt;&gt;""),"Revisar formato",N(Registro!$H439)-N(K439)))</f>
        <v/>
      </c>
      <c r="N439" s="11" t="str">
        <f t="shared" si="20"/>
        <v/>
      </c>
      <c r="O439" s="15" t="str">
        <f>IF(AND(A439=Consulta!$B$3,C439=Consulta!$H$3),B439*10000+ROW(),"")</f>
        <v/>
      </c>
    </row>
    <row r="440" spans="1:15" x14ac:dyDescent="0.25">
      <c r="A440" s="9" t="str">
        <f>IF(Registro!$A440="","",Registro!$A440)</f>
        <v/>
      </c>
      <c r="B440" s="8" t="str">
        <f>IF(Registro!$B440="","",Registro!$B440)</f>
        <v/>
      </c>
      <c r="C440" s="14" t="str">
        <f t="shared" si="18"/>
        <v/>
      </c>
      <c r="D440" s="10" t="str">
        <f>IF(Registro!$E440="","",IF(ISERROR(FIND("x",LOWER(Registro!$E440))),"-",IFERROR(SUMPRODUCT(--("0"&amp;LEFT(TRIM(MID(SUBSTITUTE(SUBSTITUTE(SUBSTITUTE(SUBSTITUTE(SUBSTITUTE(LOWER(Registro!$E440),"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",LEN(Registro!$E440))),({1,2,3,4,5,6,7,8,9,10,11,12,13,14,15,16,17,18,19,20,21,22,23,24,25,26,27,28,29,30}-1)*LEN(Registro!$E440)+1,LEN(Registro!$E440)))&amp;"x")-1))),"Revisar formato")))</f>
        <v/>
      </c>
      <c r="E440" s="11" t="str">
        <f>IF(Registro!$E440="","",IF(ISERROR(FIND("x",LOWER(Registro!$E440))),"-",IFERROR(SUMPRODUCT(--("0"&amp;LEFT(TRIM(MID(SUBSTITUTE(SUBSTITUTE(SUBSTITUTE(SUBSTITUTE(SUBSTITUTE(LOWER(Registro!$E440),"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",LEN(Registro!$E440))),({1,2,3,4,5,6,7,8,9,10,11,12,13,14,15,16,17,18,19,20,21,22,23,24,25,26,27,28,29,30}-1)*LEN(Registro!$E440)+1,LEN(Registro!$E440)))&amp;"x")-1)),--("0"&amp;MID(TRIM(MID(SUBSTITUTE(SUBSTITUTE(SUBSTITUTE(SUBSTITUTE(SUBSTITUTE(LOWER(Registro!$E440),"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",LEN(Registro!$E440))),({1,2,3,4,5,6,7,8,9,10,11,12,13,14,15,16,17,18,19,20,21,22,23,24,25,26,27,28,29,30}-1)*LEN(Registro!$E440)+1,LEN(Registro!$E440)))&amp;"x")+1,20))),"Revisar formato")))</f>
        <v/>
      </c>
      <c r="F440" s="11" t="str">
        <f>IF(Registro!$F440="","",N(Registro!$F440))</f>
        <v/>
      </c>
      <c r="G440" s="11" t="str">
        <f t="shared" si="19"/>
        <v/>
      </c>
      <c r="H440" s="10" t="str">
        <f>IF(Registro!$G440="","",IF(ISERROR(FIND("x",LOWER(Registro!$G440))),"-",IFERROR(SUMPRODUCT(--("0"&amp;LEFT(TRIM(MID(SUBSTITUTE(SUBSTITUTE(SUBSTITUTE(SUBSTITUTE(SUBSTITUTE(LOWER(Registro!$G440),"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",LEN(Registro!$G440))),({1,2,3,4,5,6,7,8,9,10,11,12,13,14,15,16,17,18,19,20,21,22,23,24,25,26,27,28,29,30}-1)*LEN(Registro!$G440)+1,LEN(Registro!$G440))),FIND("x",TRIM(MID(SUBSTITUTE(SUBSTITUTE(SUBSTITUTE(SUBSTITUTE(SUBSTITUTE(LOWER(Registro!$G440),"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",LEN(Registro!$G440))),({1,2,3,4,5,6,7,8,9,10,11,12,13,14,15,16,17,18,19,20,21,22,23,24,25,26,27,28,29,30}-1)*LEN(Registro!$G440)+1,LEN(Registro!$G440)))&amp;"x")-1))),"Revisar formato")))</f>
        <v/>
      </c>
      <c r="I440" s="11" t="str">
        <f>IF(Registro!$G440="","",IF(ISERROR(FIND("x",LOWER(Registro!$G440))),N(Registro!$H440),IFERROR(SUMPRODUCT(--("0"&amp;LEFT(TRIM(MID(SUBSTITUTE(SUBSTITUTE(SUBSTITUTE(SUBSTITUTE(SUBSTITUTE(LOWER(Registro!$G440),"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",LEN(Registro!$G440))),({1,2,3,4,5,6,7,8,9,10,11,12,13,14,15,16,17,18,19,20,21,22,23,24,25,26,27,28,29,30}-1)*LEN(Registro!$G440)+1,LEN(Registro!$G440))),FIND("x",TRIM(MID(SUBSTITUTE(SUBSTITUTE(SUBSTITUTE(SUBSTITUTE(SUBSTITUTE(LOWER(Registro!$G440),"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",LEN(Registro!$G440))),({1,2,3,4,5,6,7,8,9,10,11,12,13,14,15,16,17,18,19,20,21,22,23,24,25,26,27,28,29,30}-1)*LEN(Registro!$G440)+1,LEN(Registro!$G440)))&amp;"x")-1)),--("0"&amp;MID(TRIM(MID(SUBSTITUTE(SUBSTITUTE(SUBSTITUTE(SUBSTITUTE(SUBSTITUTE(LOWER(Registro!$G440),"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",LEN(Registro!$G440))),({1,2,3,4,5,6,7,8,9,10,11,12,13,14,15,16,17,18,19,20,21,22,23,24,25,26,27,28,29,30}-1)*LEN(Registro!$G440)+1,LEN(Registro!$G440))),FIND("x",TRIM(MID(SUBSTITUTE(SUBSTITUTE(SUBSTITUTE(SUBSTITUTE(SUBSTITUTE(LOWER(Registro!$G440),"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",LEN(Registro!$G440))),({1,2,3,4,5,6,7,8,9,10,11,12,13,14,15,16,17,18,19,20,21,22,23,24,25,26,27,28,29,30}-1)*LEN(Registro!$G440)+1,LEN(Registro!$G440)))&amp;"x")+1,20))),"Revisar formato")))</f>
        <v/>
      </c>
      <c r="J440" s="9" t="str">
        <f>IF(AND(Registro!$E440="",Registro!$G440=""),"",IF(NOT(AND(ISNUMBER(I440),ISNUMBER(Registro!$H440))),"",IF(I440&lt;Registro!$H440,"FALTA BOLETOS",IF(I440=Registro!$H440,"CONFORME","DIFERENCIA"))))</f>
        <v/>
      </c>
      <c r="K440" s="11" t="str">
        <f>IF(Registro!$I440="","",IFERROR(SUMPRODUCT(--("0"&amp;TRIM(RIGHT(SUBSTITUTE(TRIM(MID(SUBSTITUTE(SUBSTITUTE(Registro!$I440,";",CHAR(10)),CHAR(10),REPT(" ",LEN(Registro!$I440))),({1,2,3,4,5,6,7,8,9,10,11,12,13,14,15,16,17,18,19,20,21,22,23,24,25,26,27,28,29,30}-1)*LEN(Registro!$I440)+1,LEN(Registro!$I440)))," ",REPT(" ",50)),50)))),"Revisar formato"))</f>
        <v/>
      </c>
      <c r="L440" s="11" t="str">
        <f>IF(Registro!$J440="","",IFERROR(SUMPRODUCT(--("0"&amp;TRIM(RIGHT(SUBSTITUTE(TRIM(MID(SUBSTITUTE(SUBSTITUTE(Registro!$J440,";",CHAR(10)),CHAR(10),REPT(" ",LEN(Registro!$J440))),({1,2,3,4,5,6,7,8,9,10,11,12,13,14,15,16,17,18,19,20,21,22,23,24,25,26,27,28,29,30}-1)*LEN(Registro!$J440)+1,LEN(Registro!$J440)))," ",REPT(" ",50)),50)))),"Revisar formato"))</f>
        <v/>
      </c>
      <c r="M440" s="11" t="str">
        <f>IF(AND(Registro!$H440="",Registro!$I440=""),"",IF(AND(ISTEXT(K440),K440&lt;&gt;""),"Revisar formato",N(Registro!$H440)-N(K440)))</f>
        <v/>
      </c>
      <c r="N440" s="11" t="str">
        <f t="shared" si="20"/>
        <v/>
      </c>
      <c r="O440" s="15" t="str">
        <f>IF(AND(A440=Consulta!$B$3,C440=Consulta!$H$3),B440*10000+ROW(),"")</f>
        <v/>
      </c>
    </row>
    <row r="441" spans="1:15" x14ac:dyDescent="0.25">
      <c r="A441" s="9" t="str">
        <f>IF(Registro!$A441="","",Registro!$A441)</f>
        <v/>
      </c>
      <c r="B441" s="8" t="str">
        <f>IF(Registro!$B441="","",Registro!$B441)</f>
        <v/>
      </c>
      <c r="C441" s="14" t="str">
        <f t="shared" si="18"/>
        <v/>
      </c>
      <c r="D441" s="10" t="str">
        <f>IF(Registro!$E441="","",IF(ISERROR(FIND("x",LOWER(Registro!$E441))),"-",IFERROR(SUMPRODUCT(--("0"&amp;LEFT(TRIM(MID(SUBSTITUTE(SUBSTITUTE(SUBSTITUTE(SUBSTITUTE(SUBSTITUTE(LOWER(Registro!$E441),"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",LEN(Registro!$E441))),({1,2,3,4,5,6,7,8,9,10,11,12,13,14,15,16,17,18,19,20,21,22,23,24,25,26,27,28,29,30}-1)*LEN(Registro!$E441)+1,LEN(Registro!$E441)))&amp;"x")-1))),"Revisar formato")))</f>
        <v/>
      </c>
      <c r="E441" s="11" t="str">
        <f>IF(Registro!$E441="","",IF(ISERROR(FIND("x",LOWER(Registro!$E441))),"-",IFERROR(SUMPRODUCT(--("0"&amp;LEFT(TRIM(MID(SUBSTITUTE(SUBSTITUTE(SUBSTITUTE(SUBSTITUTE(SUBSTITUTE(LOWER(Registro!$E441),"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",LEN(Registro!$E441))),({1,2,3,4,5,6,7,8,9,10,11,12,13,14,15,16,17,18,19,20,21,22,23,24,25,26,27,28,29,30}-1)*LEN(Registro!$E441)+1,LEN(Registro!$E441)))&amp;"x")-1)),--("0"&amp;MID(TRIM(MID(SUBSTITUTE(SUBSTITUTE(SUBSTITUTE(SUBSTITUTE(SUBSTITUTE(LOWER(Registro!$E441),"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",LEN(Registro!$E441))),({1,2,3,4,5,6,7,8,9,10,11,12,13,14,15,16,17,18,19,20,21,22,23,24,25,26,27,28,29,30}-1)*LEN(Registro!$E441)+1,LEN(Registro!$E441)))&amp;"x")+1,20))),"Revisar formato")))</f>
        <v/>
      </c>
      <c r="F441" s="11" t="str">
        <f>IF(Registro!$F441="","",N(Registro!$F441))</f>
        <v/>
      </c>
      <c r="G441" s="11" t="str">
        <f t="shared" si="19"/>
        <v/>
      </c>
      <c r="H441" s="10" t="str">
        <f>IF(Registro!$G441="","",IF(ISERROR(FIND("x",LOWER(Registro!$G441))),"-",IFERROR(SUMPRODUCT(--("0"&amp;LEFT(TRIM(MID(SUBSTITUTE(SUBSTITUTE(SUBSTITUTE(SUBSTITUTE(SUBSTITUTE(LOWER(Registro!$G441),"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",LEN(Registro!$G441))),({1,2,3,4,5,6,7,8,9,10,11,12,13,14,15,16,17,18,19,20,21,22,23,24,25,26,27,28,29,30}-1)*LEN(Registro!$G441)+1,LEN(Registro!$G441))),FIND("x",TRIM(MID(SUBSTITUTE(SUBSTITUTE(SUBSTITUTE(SUBSTITUTE(SUBSTITUTE(LOWER(Registro!$G441),"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",LEN(Registro!$G441))),({1,2,3,4,5,6,7,8,9,10,11,12,13,14,15,16,17,18,19,20,21,22,23,24,25,26,27,28,29,30}-1)*LEN(Registro!$G441)+1,LEN(Registro!$G441)))&amp;"x")-1))),"Revisar formato")))</f>
        <v/>
      </c>
      <c r="I441" s="11" t="str">
        <f>IF(Registro!$G441="","",IF(ISERROR(FIND("x",LOWER(Registro!$G441))),N(Registro!$H441),IFERROR(SUMPRODUCT(--("0"&amp;LEFT(TRIM(MID(SUBSTITUTE(SUBSTITUTE(SUBSTITUTE(SUBSTITUTE(SUBSTITUTE(LOWER(Registro!$G441),"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",LEN(Registro!$G441))),({1,2,3,4,5,6,7,8,9,10,11,12,13,14,15,16,17,18,19,20,21,22,23,24,25,26,27,28,29,30}-1)*LEN(Registro!$G441)+1,LEN(Registro!$G441))),FIND("x",TRIM(MID(SUBSTITUTE(SUBSTITUTE(SUBSTITUTE(SUBSTITUTE(SUBSTITUTE(LOWER(Registro!$G441),"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",LEN(Registro!$G441))),({1,2,3,4,5,6,7,8,9,10,11,12,13,14,15,16,17,18,19,20,21,22,23,24,25,26,27,28,29,30}-1)*LEN(Registro!$G441)+1,LEN(Registro!$G441)))&amp;"x")-1)),--("0"&amp;MID(TRIM(MID(SUBSTITUTE(SUBSTITUTE(SUBSTITUTE(SUBSTITUTE(SUBSTITUTE(LOWER(Registro!$G441),"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",LEN(Registro!$G441))),({1,2,3,4,5,6,7,8,9,10,11,12,13,14,15,16,17,18,19,20,21,22,23,24,25,26,27,28,29,30}-1)*LEN(Registro!$G441)+1,LEN(Registro!$G441))),FIND("x",TRIM(MID(SUBSTITUTE(SUBSTITUTE(SUBSTITUTE(SUBSTITUTE(SUBSTITUTE(LOWER(Registro!$G441),"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",LEN(Registro!$G441))),({1,2,3,4,5,6,7,8,9,10,11,12,13,14,15,16,17,18,19,20,21,22,23,24,25,26,27,28,29,30}-1)*LEN(Registro!$G441)+1,LEN(Registro!$G441)))&amp;"x")+1,20))),"Revisar formato")))</f>
        <v/>
      </c>
      <c r="J441" s="9" t="str">
        <f>IF(AND(Registro!$E441="",Registro!$G441=""),"",IF(NOT(AND(ISNUMBER(I441),ISNUMBER(Registro!$H441))),"",IF(I441&lt;Registro!$H441,"FALTA BOLETOS",IF(I441=Registro!$H441,"CONFORME","DIFERENCIA"))))</f>
        <v/>
      </c>
      <c r="K441" s="11" t="str">
        <f>IF(Registro!$I441="","",IFERROR(SUMPRODUCT(--("0"&amp;TRIM(RIGHT(SUBSTITUTE(TRIM(MID(SUBSTITUTE(SUBSTITUTE(Registro!$I441,";",CHAR(10)),CHAR(10),REPT(" ",LEN(Registro!$I441))),({1,2,3,4,5,6,7,8,9,10,11,12,13,14,15,16,17,18,19,20,21,22,23,24,25,26,27,28,29,30}-1)*LEN(Registro!$I441)+1,LEN(Registro!$I441)))," ",REPT(" ",50)),50)))),"Revisar formato"))</f>
        <v/>
      </c>
      <c r="L441" s="11" t="str">
        <f>IF(Registro!$J441="","",IFERROR(SUMPRODUCT(--("0"&amp;TRIM(RIGHT(SUBSTITUTE(TRIM(MID(SUBSTITUTE(SUBSTITUTE(Registro!$J441,";",CHAR(10)),CHAR(10),REPT(" ",LEN(Registro!$J441))),({1,2,3,4,5,6,7,8,9,10,11,12,13,14,15,16,17,18,19,20,21,22,23,24,25,26,27,28,29,30}-1)*LEN(Registro!$J441)+1,LEN(Registro!$J441)))," ",REPT(" ",50)),50)))),"Revisar formato"))</f>
        <v/>
      </c>
      <c r="M441" s="11" t="str">
        <f>IF(AND(Registro!$H441="",Registro!$I441=""),"",IF(AND(ISTEXT(K441),K441&lt;&gt;""),"Revisar formato",N(Registro!$H441)-N(K441)))</f>
        <v/>
      </c>
      <c r="N441" s="11" t="str">
        <f t="shared" si="20"/>
        <v/>
      </c>
      <c r="O441" s="15" t="str">
        <f>IF(AND(A441=Consulta!$B$3,C441=Consulta!$H$3),B441*10000+ROW(),"")</f>
        <v/>
      </c>
    </row>
    <row r="442" spans="1:15" x14ac:dyDescent="0.25">
      <c r="A442" s="9" t="str">
        <f>IF(Registro!$A442="","",Registro!$A442)</f>
        <v/>
      </c>
      <c r="B442" s="8" t="str">
        <f>IF(Registro!$B442="","",Registro!$B442)</f>
        <v/>
      </c>
      <c r="C442" s="14" t="str">
        <f t="shared" si="18"/>
        <v/>
      </c>
      <c r="D442" s="10" t="str">
        <f>IF(Registro!$E442="","",IF(ISERROR(FIND("x",LOWER(Registro!$E442))),"-",IFERROR(SUMPRODUCT(--("0"&amp;LEFT(TRIM(MID(SUBSTITUTE(SUBSTITUTE(SUBSTITUTE(SUBSTITUTE(SUBSTITUTE(LOWER(Registro!$E442),"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",LEN(Registro!$E442))),({1,2,3,4,5,6,7,8,9,10,11,12,13,14,15,16,17,18,19,20,21,22,23,24,25,26,27,28,29,30}-1)*LEN(Registro!$E442)+1,LEN(Registro!$E442)))&amp;"x")-1))),"Revisar formato")))</f>
        <v/>
      </c>
      <c r="E442" s="11" t="str">
        <f>IF(Registro!$E442="","",IF(ISERROR(FIND("x",LOWER(Registro!$E442))),"-",IFERROR(SUMPRODUCT(--("0"&amp;LEFT(TRIM(MID(SUBSTITUTE(SUBSTITUTE(SUBSTITUTE(SUBSTITUTE(SUBSTITUTE(LOWER(Registro!$E442),"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",LEN(Registro!$E442))),({1,2,3,4,5,6,7,8,9,10,11,12,13,14,15,16,17,18,19,20,21,22,23,24,25,26,27,28,29,30}-1)*LEN(Registro!$E442)+1,LEN(Registro!$E442)))&amp;"x")-1)),--("0"&amp;MID(TRIM(MID(SUBSTITUTE(SUBSTITUTE(SUBSTITUTE(SUBSTITUTE(SUBSTITUTE(LOWER(Registro!$E442),"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",LEN(Registro!$E442))),({1,2,3,4,5,6,7,8,9,10,11,12,13,14,15,16,17,18,19,20,21,22,23,24,25,26,27,28,29,30}-1)*LEN(Registro!$E442)+1,LEN(Registro!$E442)))&amp;"x")+1,20))),"Revisar formato")))</f>
        <v/>
      </c>
      <c r="F442" s="11" t="str">
        <f>IF(Registro!$F442="","",N(Registro!$F442))</f>
        <v/>
      </c>
      <c r="G442" s="11" t="str">
        <f t="shared" si="19"/>
        <v/>
      </c>
      <c r="H442" s="10" t="str">
        <f>IF(Registro!$G442="","",IF(ISERROR(FIND("x",LOWER(Registro!$G442))),"-",IFERROR(SUMPRODUCT(--("0"&amp;LEFT(TRIM(MID(SUBSTITUTE(SUBSTITUTE(SUBSTITUTE(SUBSTITUTE(SUBSTITUTE(LOWER(Registro!$G442),"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",LEN(Registro!$G442))),({1,2,3,4,5,6,7,8,9,10,11,12,13,14,15,16,17,18,19,20,21,22,23,24,25,26,27,28,29,30}-1)*LEN(Registro!$G442)+1,LEN(Registro!$G442))),FIND("x",TRIM(MID(SUBSTITUTE(SUBSTITUTE(SUBSTITUTE(SUBSTITUTE(SUBSTITUTE(LOWER(Registro!$G442),"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",LEN(Registro!$G442))),({1,2,3,4,5,6,7,8,9,10,11,12,13,14,15,16,17,18,19,20,21,22,23,24,25,26,27,28,29,30}-1)*LEN(Registro!$G442)+1,LEN(Registro!$G442)))&amp;"x")-1))),"Revisar formato")))</f>
        <v/>
      </c>
      <c r="I442" s="11" t="str">
        <f>IF(Registro!$G442="","",IF(ISERROR(FIND("x",LOWER(Registro!$G442))),N(Registro!$H442),IFERROR(SUMPRODUCT(--("0"&amp;LEFT(TRIM(MID(SUBSTITUTE(SUBSTITUTE(SUBSTITUTE(SUBSTITUTE(SUBSTITUTE(LOWER(Registro!$G442),"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",LEN(Registro!$G442))),({1,2,3,4,5,6,7,8,9,10,11,12,13,14,15,16,17,18,19,20,21,22,23,24,25,26,27,28,29,30}-1)*LEN(Registro!$G442)+1,LEN(Registro!$G442))),FIND("x",TRIM(MID(SUBSTITUTE(SUBSTITUTE(SUBSTITUTE(SUBSTITUTE(SUBSTITUTE(LOWER(Registro!$G442),"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",LEN(Registro!$G442))),({1,2,3,4,5,6,7,8,9,10,11,12,13,14,15,16,17,18,19,20,21,22,23,24,25,26,27,28,29,30}-1)*LEN(Registro!$G442)+1,LEN(Registro!$G442)))&amp;"x")-1)),--("0"&amp;MID(TRIM(MID(SUBSTITUTE(SUBSTITUTE(SUBSTITUTE(SUBSTITUTE(SUBSTITUTE(LOWER(Registro!$G442),"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",LEN(Registro!$G442))),({1,2,3,4,5,6,7,8,9,10,11,12,13,14,15,16,17,18,19,20,21,22,23,24,25,26,27,28,29,30}-1)*LEN(Registro!$G442)+1,LEN(Registro!$G442))),FIND("x",TRIM(MID(SUBSTITUTE(SUBSTITUTE(SUBSTITUTE(SUBSTITUTE(SUBSTITUTE(LOWER(Registro!$G442),"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",LEN(Registro!$G442))),({1,2,3,4,5,6,7,8,9,10,11,12,13,14,15,16,17,18,19,20,21,22,23,24,25,26,27,28,29,30}-1)*LEN(Registro!$G442)+1,LEN(Registro!$G442)))&amp;"x")+1,20))),"Revisar formato")))</f>
        <v/>
      </c>
      <c r="J442" s="9" t="str">
        <f>IF(AND(Registro!$E442="",Registro!$G442=""),"",IF(NOT(AND(ISNUMBER(I442),ISNUMBER(Registro!$H442))),"",IF(I442&lt;Registro!$H442,"FALTA BOLETOS",IF(I442=Registro!$H442,"CONFORME","DIFERENCIA"))))</f>
        <v/>
      </c>
      <c r="K442" s="11" t="str">
        <f>IF(Registro!$I442="","",IFERROR(SUMPRODUCT(--("0"&amp;TRIM(RIGHT(SUBSTITUTE(TRIM(MID(SUBSTITUTE(SUBSTITUTE(Registro!$I442,";",CHAR(10)),CHAR(10),REPT(" ",LEN(Registro!$I442))),({1,2,3,4,5,6,7,8,9,10,11,12,13,14,15,16,17,18,19,20,21,22,23,24,25,26,27,28,29,30}-1)*LEN(Registro!$I442)+1,LEN(Registro!$I442)))," ",REPT(" ",50)),50)))),"Revisar formato"))</f>
        <v/>
      </c>
      <c r="L442" s="11" t="str">
        <f>IF(Registro!$J442="","",IFERROR(SUMPRODUCT(--("0"&amp;TRIM(RIGHT(SUBSTITUTE(TRIM(MID(SUBSTITUTE(SUBSTITUTE(Registro!$J442,";",CHAR(10)),CHAR(10),REPT(" ",LEN(Registro!$J442))),({1,2,3,4,5,6,7,8,9,10,11,12,13,14,15,16,17,18,19,20,21,22,23,24,25,26,27,28,29,30}-1)*LEN(Registro!$J442)+1,LEN(Registro!$J442)))," ",REPT(" ",50)),50)))),"Revisar formato"))</f>
        <v/>
      </c>
      <c r="M442" s="11" t="str">
        <f>IF(AND(Registro!$H442="",Registro!$I442=""),"",IF(AND(ISTEXT(K442),K442&lt;&gt;""),"Revisar formato",N(Registro!$H442)-N(K442)))</f>
        <v/>
      </c>
      <c r="N442" s="11" t="str">
        <f t="shared" si="20"/>
        <v/>
      </c>
      <c r="O442" s="15" t="str">
        <f>IF(AND(A442=Consulta!$B$3,C442=Consulta!$H$3),B442*10000+ROW(),"")</f>
        <v/>
      </c>
    </row>
    <row r="443" spans="1:15" x14ac:dyDescent="0.25">
      <c r="A443" s="9" t="str">
        <f>IF(Registro!$A443="","",Registro!$A443)</f>
        <v/>
      </c>
      <c r="B443" s="8" t="str">
        <f>IF(Registro!$B443="","",Registro!$B443)</f>
        <v/>
      </c>
      <c r="C443" s="14" t="str">
        <f t="shared" si="18"/>
        <v/>
      </c>
      <c r="D443" s="10" t="str">
        <f>IF(Registro!$E443="","",IF(ISERROR(FIND("x",LOWER(Registro!$E443))),"-",IFERROR(SUMPRODUCT(--("0"&amp;LEFT(TRIM(MID(SUBSTITUTE(SUBSTITUTE(SUBSTITUTE(SUBSTITUTE(SUBSTITUTE(LOWER(Registro!$E443),"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",LEN(Registro!$E443))),({1,2,3,4,5,6,7,8,9,10,11,12,13,14,15,16,17,18,19,20,21,22,23,24,25,26,27,28,29,30}-1)*LEN(Registro!$E443)+1,LEN(Registro!$E443)))&amp;"x")-1))),"Revisar formato")))</f>
        <v/>
      </c>
      <c r="E443" s="11" t="str">
        <f>IF(Registro!$E443="","",IF(ISERROR(FIND("x",LOWER(Registro!$E443))),"-",IFERROR(SUMPRODUCT(--("0"&amp;LEFT(TRIM(MID(SUBSTITUTE(SUBSTITUTE(SUBSTITUTE(SUBSTITUTE(SUBSTITUTE(LOWER(Registro!$E443),"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",LEN(Registro!$E443))),({1,2,3,4,5,6,7,8,9,10,11,12,13,14,15,16,17,18,19,20,21,22,23,24,25,26,27,28,29,30}-1)*LEN(Registro!$E443)+1,LEN(Registro!$E443)))&amp;"x")-1)),--("0"&amp;MID(TRIM(MID(SUBSTITUTE(SUBSTITUTE(SUBSTITUTE(SUBSTITUTE(SUBSTITUTE(LOWER(Registro!$E443),"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",LEN(Registro!$E443))),({1,2,3,4,5,6,7,8,9,10,11,12,13,14,15,16,17,18,19,20,21,22,23,24,25,26,27,28,29,30}-1)*LEN(Registro!$E443)+1,LEN(Registro!$E443)))&amp;"x")+1,20))),"Revisar formato")))</f>
        <v/>
      </c>
      <c r="F443" s="11" t="str">
        <f>IF(Registro!$F443="","",N(Registro!$F443))</f>
        <v/>
      </c>
      <c r="G443" s="11" t="str">
        <f t="shared" si="19"/>
        <v/>
      </c>
      <c r="H443" s="10" t="str">
        <f>IF(Registro!$G443="","",IF(ISERROR(FIND("x",LOWER(Registro!$G443))),"-",IFERROR(SUMPRODUCT(--("0"&amp;LEFT(TRIM(MID(SUBSTITUTE(SUBSTITUTE(SUBSTITUTE(SUBSTITUTE(SUBSTITUTE(LOWER(Registro!$G443),"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",LEN(Registro!$G443))),({1,2,3,4,5,6,7,8,9,10,11,12,13,14,15,16,17,18,19,20,21,22,23,24,25,26,27,28,29,30}-1)*LEN(Registro!$G443)+1,LEN(Registro!$G443))),FIND("x",TRIM(MID(SUBSTITUTE(SUBSTITUTE(SUBSTITUTE(SUBSTITUTE(SUBSTITUTE(LOWER(Registro!$G443),"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",LEN(Registro!$G443))),({1,2,3,4,5,6,7,8,9,10,11,12,13,14,15,16,17,18,19,20,21,22,23,24,25,26,27,28,29,30}-1)*LEN(Registro!$G443)+1,LEN(Registro!$G443)))&amp;"x")-1))),"Revisar formato")))</f>
        <v/>
      </c>
      <c r="I443" s="11" t="str">
        <f>IF(Registro!$G443="","",IF(ISERROR(FIND("x",LOWER(Registro!$G443))),N(Registro!$H443),IFERROR(SUMPRODUCT(--("0"&amp;LEFT(TRIM(MID(SUBSTITUTE(SUBSTITUTE(SUBSTITUTE(SUBSTITUTE(SUBSTITUTE(LOWER(Registro!$G443),"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",LEN(Registro!$G443))),({1,2,3,4,5,6,7,8,9,10,11,12,13,14,15,16,17,18,19,20,21,22,23,24,25,26,27,28,29,30}-1)*LEN(Registro!$G443)+1,LEN(Registro!$G443))),FIND("x",TRIM(MID(SUBSTITUTE(SUBSTITUTE(SUBSTITUTE(SUBSTITUTE(SUBSTITUTE(LOWER(Registro!$G443),"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",LEN(Registro!$G443))),({1,2,3,4,5,6,7,8,9,10,11,12,13,14,15,16,17,18,19,20,21,22,23,24,25,26,27,28,29,30}-1)*LEN(Registro!$G443)+1,LEN(Registro!$G443)))&amp;"x")-1)),--("0"&amp;MID(TRIM(MID(SUBSTITUTE(SUBSTITUTE(SUBSTITUTE(SUBSTITUTE(SUBSTITUTE(LOWER(Registro!$G443),"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",LEN(Registro!$G443))),({1,2,3,4,5,6,7,8,9,10,11,12,13,14,15,16,17,18,19,20,21,22,23,24,25,26,27,28,29,30}-1)*LEN(Registro!$G443)+1,LEN(Registro!$G443))),FIND("x",TRIM(MID(SUBSTITUTE(SUBSTITUTE(SUBSTITUTE(SUBSTITUTE(SUBSTITUTE(LOWER(Registro!$G443),"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",LEN(Registro!$G443))),({1,2,3,4,5,6,7,8,9,10,11,12,13,14,15,16,17,18,19,20,21,22,23,24,25,26,27,28,29,30}-1)*LEN(Registro!$G443)+1,LEN(Registro!$G443)))&amp;"x")+1,20))),"Revisar formato")))</f>
        <v/>
      </c>
      <c r="J443" s="9" t="str">
        <f>IF(AND(Registro!$E443="",Registro!$G443=""),"",IF(NOT(AND(ISNUMBER(I443),ISNUMBER(Registro!$H443))),"",IF(I443&lt;Registro!$H443,"FALTA BOLETOS",IF(I443=Registro!$H443,"CONFORME","DIFERENCIA"))))</f>
        <v/>
      </c>
      <c r="K443" s="11" t="str">
        <f>IF(Registro!$I443="","",IFERROR(SUMPRODUCT(--("0"&amp;TRIM(RIGHT(SUBSTITUTE(TRIM(MID(SUBSTITUTE(SUBSTITUTE(Registro!$I443,";",CHAR(10)),CHAR(10),REPT(" ",LEN(Registro!$I443))),({1,2,3,4,5,6,7,8,9,10,11,12,13,14,15,16,17,18,19,20,21,22,23,24,25,26,27,28,29,30}-1)*LEN(Registro!$I443)+1,LEN(Registro!$I443)))," ",REPT(" ",50)),50)))),"Revisar formato"))</f>
        <v/>
      </c>
      <c r="L443" s="11" t="str">
        <f>IF(Registro!$J443="","",IFERROR(SUMPRODUCT(--("0"&amp;TRIM(RIGHT(SUBSTITUTE(TRIM(MID(SUBSTITUTE(SUBSTITUTE(Registro!$J443,";",CHAR(10)),CHAR(10),REPT(" ",LEN(Registro!$J443))),({1,2,3,4,5,6,7,8,9,10,11,12,13,14,15,16,17,18,19,20,21,22,23,24,25,26,27,28,29,30}-1)*LEN(Registro!$J443)+1,LEN(Registro!$J443)))," ",REPT(" ",50)),50)))),"Revisar formato"))</f>
        <v/>
      </c>
      <c r="M443" s="11" t="str">
        <f>IF(AND(Registro!$H443="",Registro!$I443=""),"",IF(AND(ISTEXT(K443),K443&lt;&gt;""),"Revisar formato",N(Registro!$H443)-N(K443)))</f>
        <v/>
      </c>
      <c r="N443" s="11" t="str">
        <f t="shared" si="20"/>
        <v/>
      </c>
      <c r="O443" s="15" t="str">
        <f>IF(AND(A443=Consulta!$B$3,C443=Consulta!$H$3),B443*10000+ROW(),"")</f>
        <v/>
      </c>
    </row>
    <row r="444" spans="1:15" x14ac:dyDescent="0.25">
      <c r="A444" s="9" t="str">
        <f>IF(Registro!$A444="","",Registro!$A444)</f>
        <v/>
      </c>
      <c r="B444" s="8" t="str">
        <f>IF(Registro!$B444="","",Registro!$B444)</f>
        <v/>
      </c>
      <c r="C444" s="14" t="str">
        <f t="shared" si="18"/>
        <v/>
      </c>
      <c r="D444" s="10" t="str">
        <f>IF(Registro!$E444="","",IF(ISERROR(FIND("x",LOWER(Registro!$E444))),"-",IFERROR(SUMPRODUCT(--("0"&amp;LEFT(TRIM(MID(SUBSTITUTE(SUBSTITUTE(SUBSTITUTE(SUBSTITUTE(SUBSTITUTE(LOWER(Registro!$E444),"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",LEN(Registro!$E444))),({1,2,3,4,5,6,7,8,9,10,11,12,13,14,15,16,17,18,19,20,21,22,23,24,25,26,27,28,29,30}-1)*LEN(Registro!$E444)+1,LEN(Registro!$E444)))&amp;"x")-1))),"Revisar formato")))</f>
        <v/>
      </c>
      <c r="E444" s="11" t="str">
        <f>IF(Registro!$E444="","",IF(ISERROR(FIND("x",LOWER(Registro!$E444))),"-",IFERROR(SUMPRODUCT(--("0"&amp;LEFT(TRIM(MID(SUBSTITUTE(SUBSTITUTE(SUBSTITUTE(SUBSTITUTE(SUBSTITUTE(LOWER(Registro!$E444),"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",LEN(Registro!$E444))),({1,2,3,4,5,6,7,8,9,10,11,12,13,14,15,16,17,18,19,20,21,22,23,24,25,26,27,28,29,30}-1)*LEN(Registro!$E444)+1,LEN(Registro!$E444)))&amp;"x")-1)),--("0"&amp;MID(TRIM(MID(SUBSTITUTE(SUBSTITUTE(SUBSTITUTE(SUBSTITUTE(SUBSTITUTE(LOWER(Registro!$E444),"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",LEN(Registro!$E444))),({1,2,3,4,5,6,7,8,9,10,11,12,13,14,15,16,17,18,19,20,21,22,23,24,25,26,27,28,29,30}-1)*LEN(Registro!$E444)+1,LEN(Registro!$E444)))&amp;"x")+1,20))),"Revisar formato")))</f>
        <v/>
      </c>
      <c r="F444" s="11" t="str">
        <f>IF(Registro!$F444="","",N(Registro!$F444))</f>
        <v/>
      </c>
      <c r="G444" s="11" t="str">
        <f t="shared" si="19"/>
        <v/>
      </c>
      <c r="H444" s="10" t="str">
        <f>IF(Registro!$G444="","",IF(ISERROR(FIND("x",LOWER(Registro!$G444))),"-",IFERROR(SUMPRODUCT(--("0"&amp;LEFT(TRIM(MID(SUBSTITUTE(SUBSTITUTE(SUBSTITUTE(SUBSTITUTE(SUBSTITUTE(LOWER(Registro!$G444),"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",LEN(Registro!$G444))),({1,2,3,4,5,6,7,8,9,10,11,12,13,14,15,16,17,18,19,20,21,22,23,24,25,26,27,28,29,30}-1)*LEN(Registro!$G444)+1,LEN(Registro!$G444))),FIND("x",TRIM(MID(SUBSTITUTE(SUBSTITUTE(SUBSTITUTE(SUBSTITUTE(SUBSTITUTE(LOWER(Registro!$G444),"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",LEN(Registro!$G444))),({1,2,3,4,5,6,7,8,9,10,11,12,13,14,15,16,17,18,19,20,21,22,23,24,25,26,27,28,29,30}-1)*LEN(Registro!$G444)+1,LEN(Registro!$G444)))&amp;"x")-1))),"Revisar formato")))</f>
        <v/>
      </c>
      <c r="I444" s="11" t="str">
        <f>IF(Registro!$G444="","",IF(ISERROR(FIND("x",LOWER(Registro!$G444))),N(Registro!$H444),IFERROR(SUMPRODUCT(--("0"&amp;LEFT(TRIM(MID(SUBSTITUTE(SUBSTITUTE(SUBSTITUTE(SUBSTITUTE(SUBSTITUTE(LOWER(Registro!$G444),"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",LEN(Registro!$G444))),({1,2,3,4,5,6,7,8,9,10,11,12,13,14,15,16,17,18,19,20,21,22,23,24,25,26,27,28,29,30}-1)*LEN(Registro!$G444)+1,LEN(Registro!$G444))),FIND("x",TRIM(MID(SUBSTITUTE(SUBSTITUTE(SUBSTITUTE(SUBSTITUTE(SUBSTITUTE(LOWER(Registro!$G444),"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",LEN(Registro!$G444))),({1,2,3,4,5,6,7,8,9,10,11,12,13,14,15,16,17,18,19,20,21,22,23,24,25,26,27,28,29,30}-1)*LEN(Registro!$G444)+1,LEN(Registro!$G444)))&amp;"x")-1)),--("0"&amp;MID(TRIM(MID(SUBSTITUTE(SUBSTITUTE(SUBSTITUTE(SUBSTITUTE(SUBSTITUTE(LOWER(Registro!$G444),"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",LEN(Registro!$G444))),({1,2,3,4,5,6,7,8,9,10,11,12,13,14,15,16,17,18,19,20,21,22,23,24,25,26,27,28,29,30}-1)*LEN(Registro!$G444)+1,LEN(Registro!$G444))),FIND("x",TRIM(MID(SUBSTITUTE(SUBSTITUTE(SUBSTITUTE(SUBSTITUTE(SUBSTITUTE(LOWER(Registro!$G444),"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",LEN(Registro!$G444))),({1,2,3,4,5,6,7,8,9,10,11,12,13,14,15,16,17,18,19,20,21,22,23,24,25,26,27,28,29,30}-1)*LEN(Registro!$G444)+1,LEN(Registro!$G444)))&amp;"x")+1,20))),"Revisar formato")))</f>
        <v/>
      </c>
      <c r="J444" s="9" t="str">
        <f>IF(AND(Registro!$E444="",Registro!$G444=""),"",IF(NOT(AND(ISNUMBER(I444),ISNUMBER(Registro!$H444))),"",IF(I444&lt;Registro!$H444,"FALTA BOLETOS",IF(I444=Registro!$H444,"CONFORME","DIFERENCIA"))))</f>
        <v/>
      </c>
      <c r="K444" s="11" t="str">
        <f>IF(Registro!$I444="","",IFERROR(SUMPRODUCT(--("0"&amp;TRIM(RIGHT(SUBSTITUTE(TRIM(MID(SUBSTITUTE(SUBSTITUTE(Registro!$I444,";",CHAR(10)),CHAR(10),REPT(" ",LEN(Registro!$I444))),({1,2,3,4,5,6,7,8,9,10,11,12,13,14,15,16,17,18,19,20,21,22,23,24,25,26,27,28,29,30}-1)*LEN(Registro!$I444)+1,LEN(Registro!$I444)))," ",REPT(" ",50)),50)))),"Revisar formato"))</f>
        <v/>
      </c>
      <c r="L444" s="11" t="str">
        <f>IF(Registro!$J444="","",IFERROR(SUMPRODUCT(--("0"&amp;TRIM(RIGHT(SUBSTITUTE(TRIM(MID(SUBSTITUTE(SUBSTITUTE(Registro!$J444,";",CHAR(10)),CHAR(10),REPT(" ",LEN(Registro!$J444))),({1,2,3,4,5,6,7,8,9,10,11,12,13,14,15,16,17,18,19,20,21,22,23,24,25,26,27,28,29,30}-1)*LEN(Registro!$J444)+1,LEN(Registro!$J444)))," ",REPT(" ",50)),50)))),"Revisar formato"))</f>
        <v/>
      </c>
      <c r="M444" s="11" t="str">
        <f>IF(AND(Registro!$H444="",Registro!$I444=""),"",IF(AND(ISTEXT(K444),K444&lt;&gt;""),"Revisar formato",N(Registro!$H444)-N(K444)))</f>
        <v/>
      </c>
      <c r="N444" s="11" t="str">
        <f t="shared" si="20"/>
        <v/>
      </c>
      <c r="O444" s="15" t="str">
        <f>IF(AND(A444=Consulta!$B$3,C444=Consulta!$H$3),B444*10000+ROW(),"")</f>
        <v/>
      </c>
    </row>
    <row r="445" spans="1:15" x14ac:dyDescent="0.25">
      <c r="A445" s="9" t="str">
        <f>IF(Registro!$A445="","",Registro!$A445)</f>
        <v/>
      </c>
      <c r="B445" s="8" t="str">
        <f>IF(Registro!$B445="","",Registro!$B445)</f>
        <v/>
      </c>
      <c r="C445" s="14" t="str">
        <f t="shared" si="18"/>
        <v/>
      </c>
      <c r="D445" s="10" t="str">
        <f>IF(Registro!$E445="","",IF(ISERROR(FIND("x",LOWER(Registro!$E445))),"-",IFERROR(SUMPRODUCT(--("0"&amp;LEFT(TRIM(MID(SUBSTITUTE(SUBSTITUTE(SUBSTITUTE(SUBSTITUTE(SUBSTITUTE(LOWER(Registro!$E445),"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",LEN(Registro!$E445))),({1,2,3,4,5,6,7,8,9,10,11,12,13,14,15,16,17,18,19,20,21,22,23,24,25,26,27,28,29,30}-1)*LEN(Registro!$E445)+1,LEN(Registro!$E445)))&amp;"x")-1))),"Revisar formato")))</f>
        <v/>
      </c>
      <c r="E445" s="11" t="str">
        <f>IF(Registro!$E445="","",IF(ISERROR(FIND("x",LOWER(Registro!$E445))),"-",IFERROR(SUMPRODUCT(--("0"&amp;LEFT(TRIM(MID(SUBSTITUTE(SUBSTITUTE(SUBSTITUTE(SUBSTITUTE(SUBSTITUTE(LOWER(Registro!$E445),"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",LEN(Registro!$E445))),({1,2,3,4,5,6,7,8,9,10,11,12,13,14,15,16,17,18,19,20,21,22,23,24,25,26,27,28,29,30}-1)*LEN(Registro!$E445)+1,LEN(Registro!$E445)))&amp;"x")-1)),--("0"&amp;MID(TRIM(MID(SUBSTITUTE(SUBSTITUTE(SUBSTITUTE(SUBSTITUTE(SUBSTITUTE(LOWER(Registro!$E445),"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",LEN(Registro!$E445))),({1,2,3,4,5,6,7,8,9,10,11,12,13,14,15,16,17,18,19,20,21,22,23,24,25,26,27,28,29,30}-1)*LEN(Registro!$E445)+1,LEN(Registro!$E445)))&amp;"x")+1,20))),"Revisar formato")))</f>
        <v/>
      </c>
      <c r="F445" s="11" t="str">
        <f>IF(Registro!$F445="","",N(Registro!$F445))</f>
        <v/>
      </c>
      <c r="G445" s="11" t="str">
        <f t="shared" si="19"/>
        <v/>
      </c>
      <c r="H445" s="10" t="str">
        <f>IF(Registro!$G445="","",IF(ISERROR(FIND("x",LOWER(Registro!$G445))),"-",IFERROR(SUMPRODUCT(--("0"&amp;LEFT(TRIM(MID(SUBSTITUTE(SUBSTITUTE(SUBSTITUTE(SUBSTITUTE(SUBSTITUTE(LOWER(Registro!$G445),"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",LEN(Registro!$G445))),({1,2,3,4,5,6,7,8,9,10,11,12,13,14,15,16,17,18,19,20,21,22,23,24,25,26,27,28,29,30}-1)*LEN(Registro!$G445)+1,LEN(Registro!$G445))),FIND("x",TRIM(MID(SUBSTITUTE(SUBSTITUTE(SUBSTITUTE(SUBSTITUTE(SUBSTITUTE(LOWER(Registro!$G445),"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",LEN(Registro!$G445))),({1,2,3,4,5,6,7,8,9,10,11,12,13,14,15,16,17,18,19,20,21,22,23,24,25,26,27,28,29,30}-1)*LEN(Registro!$G445)+1,LEN(Registro!$G445)))&amp;"x")-1))),"Revisar formato")))</f>
        <v/>
      </c>
      <c r="I445" s="11" t="str">
        <f>IF(Registro!$G445="","",IF(ISERROR(FIND("x",LOWER(Registro!$G445))),N(Registro!$H445),IFERROR(SUMPRODUCT(--("0"&amp;LEFT(TRIM(MID(SUBSTITUTE(SUBSTITUTE(SUBSTITUTE(SUBSTITUTE(SUBSTITUTE(LOWER(Registro!$G445),"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",LEN(Registro!$G445))),({1,2,3,4,5,6,7,8,9,10,11,12,13,14,15,16,17,18,19,20,21,22,23,24,25,26,27,28,29,30}-1)*LEN(Registro!$G445)+1,LEN(Registro!$G445))),FIND("x",TRIM(MID(SUBSTITUTE(SUBSTITUTE(SUBSTITUTE(SUBSTITUTE(SUBSTITUTE(LOWER(Registro!$G445),"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",LEN(Registro!$G445))),({1,2,3,4,5,6,7,8,9,10,11,12,13,14,15,16,17,18,19,20,21,22,23,24,25,26,27,28,29,30}-1)*LEN(Registro!$G445)+1,LEN(Registro!$G445)))&amp;"x")-1)),--("0"&amp;MID(TRIM(MID(SUBSTITUTE(SUBSTITUTE(SUBSTITUTE(SUBSTITUTE(SUBSTITUTE(LOWER(Registro!$G445),"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",LEN(Registro!$G445))),({1,2,3,4,5,6,7,8,9,10,11,12,13,14,15,16,17,18,19,20,21,22,23,24,25,26,27,28,29,30}-1)*LEN(Registro!$G445)+1,LEN(Registro!$G445))),FIND("x",TRIM(MID(SUBSTITUTE(SUBSTITUTE(SUBSTITUTE(SUBSTITUTE(SUBSTITUTE(LOWER(Registro!$G445),"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",LEN(Registro!$G445))),({1,2,3,4,5,6,7,8,9,10,11,12,13,14,15,16,17,18,19,20,21,22,23,24,25,26,27,28,29,30}-1)*LEN(Registro!$G445)+1,LEN(Registro!$G445)))&amp;"x")+1,20))),"Revisar formato")))</f>
        <v/>
      </c>
      <c r="J445" s="9" t="str">
        <f>IF(AND(Registro!$E445="",Registro!$G445=""),"",IF(NOT(AND(ISNUMBER(I445),ISNUMBER(Registro!$H445))),"",IF(I445&lt;Registro!$H445,"FALTA BOLETOS",IF(I445=Registro!$H445,"CONFORME","DIFERENCIA"))))</f>
        <v/>
      </c>
      <c r="K445" s="11" t="str">
        <f>IF(Registro!$I445="","",IFERROR(SUMPRODUCT(--("0"&amp;TRIM(RIGHT(SUBSTITUTE(TRIM(MID(SUBSTITUTE(SUBSTITUTE(Registro!$I445,";",CHAR(10)),CHAR(10),REPT(" ",LEN(Registro!$I445))),({1,2,3,4,5,6,7,8,9,10,11,12,13,14,15,16,17,18,19,20,21,22,23,24,25,26,27,28,29,30}-1)*LEN(Registro!$I445)+1,LEN(Registro!$I445)))," ",REPT(" ",50)),50)))),"Revisar formato"))</f>
        <v/>
      </c>
      <c r="L445" s="11" t="str">
        <f>IF(Registro!$J445="","",IFERROR(SUMPRODUCT(--("0"&amp;TRIM(RIGHT(SUBSTITUTE(TRIM(MID(SUBSTITUTE(SUBSTITUTE(Registro!$J445,";",CHAR(10)),CHAR(10),REPT(" ",LEN(Registro!$J445))),({1,2,3,4,5,6,7,8,9,10,11,12,13,14,15,16,17,18,19,20,21,22,23,24,25,26,27,28,29,30}-1)*LEN(Registro!$J445)+1,LEN(Registro!$J445)))," ",REPT(" ",50)),50)))),"Revisar formato"))</f>
        <v/>
      </c>
      <c r="M445" s="11" t="str">
        <f>IF(AND(Registro!$H445="",Registro!$I445=""),"",IF(AND(ISTEXT(K445),K445&lt;&gt;""),"Revisar formato",N(Registro!$H445)-N(K445)))</f>
        <v/>
      </c>
      <c r="N445" s="11" t="str">
        <f t="shared" si="20"/>
        <v/>
      </c>
      <c r="O445" s="15" t="str">
        <f>IF(AND(A445=Consulta!$B$3,C445=Consulta!$H$3),B445*10000+ROW(),"")</f>
        <v/>
      </c>
    </row>
    <row r="446" spans="1:15" x14ac:dyDescent="0.25">
      <c r="A446" s="9" t="str">
        <f>IF(Registro!$A446="","",Registro!$A446)</f>
        <v/>
      </c>
      <c r="B446" s="8" t="str">
        <f>IF(Registro!$B446="","",Registro!$B446)</f>
        <v/>
      </c>
      <c r="C446" s="14" t="str">
        <f t="shared" si="18"/>
        <v/>
      </c>
      <c r="D446" s="10" t="str">
        <f>IF(Registro!$E446="","",IF(ISERROR(FIND("x",LOWER(Registro!$E446))),"-",IFERROR(SUMPRODUCT(--("0"&amp;LEFT(TRIM(MID(SUBSTITUTE(SUBSTITUTE(SUBSTITUTE(SUBSTITUTE(SUBSTITUTE(LOWER(Registro!$E446),"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",LEN(Registro!$E446))),({1,2,3,4,5,6,7,8,9,10,11,12,13,14,15,16,17,18,19,20,21,22,23,24,25,26,27,28,29,30}-1)*LEN(Registro!$E446)+1,LEN(Registro!$E446)))&amp;"x")-1))),"Revisar formato")))</f>
        <v/>
      </c>
      <c r="E446" s="11" t="str">
        <f>IF(Registro!$E446="","",IF(ISERROR(FIND("x",LOWER(Registro!$E446))),"-",IFERROR(SUMPRODUCT(--("0"&amp;LEFT(TRIM(MID(SUBSTITUTE(SUBSTITUTE(SUBSTITUTE(SUBSTITUTE(SUBSTITUTE(LOWER(Registro!$E446),"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",LEN(Registro!$E446))),({1,2,3,4,5,6,7,8,9,10,11,12,13,14,15,16,17,18,19,20,21,22,23,24,25,26,27,28,29,30}-1)*LEN(Registro!$E446)+1,LEN(Registro!$E446)))&amp;"x")-1)),--("0"&amp;MID(TRIM(MID(SUBSTITUTE(SUBSTITUTE(SUBSTITUTE(SUBSTITUTE(SUBSTITUTE(LOWER(Registro!$E446),"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",LEN(Registro!$E446))),({1,2,3,4,5,6,7,8,9,10,11,12,13,14,15,16,17,18,19,20,21,22,23,24,25,26,27,28,29,30}-1)*LEN(Registro!$E446)+1,LEN(Registro!$E446)))&amp;"x")+1,20))),"Revisar formato")))</f>
        <v/>
      </c>
      <c r="F446" s="11" t="str">
        <f>IF(Registro!$F446="","",N(Registro!$F446))</f>
        <v/>
      </c>
      <c r="G446" s="11" t="str">
        <f t="shared" si="19"/>
        <v/>
      </c>
      <c r="H446" s="10" t="str">
        <f>IF(Registro!$G446="","",IF(ISERROR(FIND("x",LOWER(Registro!$G446))),"-",IFERROR(SUMPRODUCT(--("0"&amp;LEFT(TRIM(MID(SUBSTITUTE(SUBSTITUTE(SUBSTITUTE(SUBSTITUTE(SUBSTITUTE(LOWER(Registro!$G446),"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",LEN(Registro!$G446))),({1,2,3,4,5,6,7,8,9,10,11,12,13,14,15,16,17,18,19,20,21,22,23,24,25,26,27,28,29,30}-1)*LEN(Registro!$G446)+1,LEN(Registro!$G446))),FIND("x",TRIM(MID(SUBSTITUTE(SUBSTITUTE(SUBSTITUTE(SUBSTITUTE(SUBSTITUTE(LOWER(Registro!$G446),"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",LEN(Registro!$G446))),({1,2,3,4,5,6,7,8,9,10,11,12,13,14,15,16,17,18,19,20,21,22,23,24,25,26,27,28,29,30}-1)*LEN(Registro!$G446)+1,LEN(Registro!$G446)))&amp;"x")-1))),"Revisar formato")))</f>
        <v/>
      </c>
      <c r="I446" s="11" t="str">
        <f>IF(Registro!$G446="","",IF(ISERROR(FIND("x",LOWER(Registro!$G446))),N(Registro!$H446),IFERROR(SUMPRODUCT(--("0"&amp;LEFT(TRIM(MID(SUBSTITUTE(SUBSTITUTE(SUBSTITUTE(SUBSTITUTE(SUBSTITUTE(LOWER(Registro!$G446),"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",LEN(Registro!$G446))),({1,2,3,4,5,6,7,8,9,10,11,12,13,14,15,16,17,18,19,20,21,22,23,24,25,26,27,28,29,30}-1)*LEN(Registro!$G446)+1,LEN(Registro!$G446))),FIND("x",TRIM(MID(SUBSTITUTE(SUBSTITUTE(SUBSTITUTE(SUBSTITUTE(SUBSTITUTE(LOWER(Registro!$G446),"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",LEN(Registro!$G446))),({1,2,3,4,5,6,7,8,9,10,11,12,13,14,15,16,17,18,19,20,21,22,23,24,25,26,27,28,29,30}-1)*LEN(Registro!$G446)+1,LEN(Registro!$G446)))&amp;"x")-1)),--("0"&amp;MID(TRIM(MID(SUBSTITUTE(SUBSTITUTE(SUBSTITUTE(SUBSTITUTE(SUBSTITUTE(LOWER(Registro!$G446),"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",LEN(Registro!$G446))),({1,2,3,4,5,6,7,8,9,10,11,12,13,14,15,16,17,18,19,20,21,22,23,24,25,26,27,28,29,30}-1)*LEN(Registro!$G446)+1,LEN(Registro!$G446))),FIND("x",TRIM(MID(SUBSTITUTE(SUBSTITUTE(SUBSTITUTE(SUBSTITUTE(SUBSTITUTE(LOWER(Registro!$G446),"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",LEN(Registro!$G446))),({1,2,3,4,5,6,7,8,9,10,11,12,13,14,15,16,17,18,19,20,21,22,23,24,25,26,27,28,29,30}-1)*LEN(Registro!$G446)+1,LEN(Registro!$G446)))&amp;"x")+1,20))),"Revisar formato")))</f>
        <v/>
      </c>
      <c r="J446" s="9" t="str">
        <f>IF(AND(Registro!$E446="",Registro!$G446=""),"",IF(NOT(AND(ISNUMBER(I446),ISNUMBER(Registro!$H446))),"",IF(I446&lt;Registro!$H446,"FALTA BOLETOS",IF(I446=Registro!$H446,"CONFORME","DIFERENCIA"))))</f>
        <v/>
      </c>
      <c r="K446" s="11" t="str">
        <f>IF(Registro!$I446="","",IFERROR(SUMPRODUCT(--("0"&amp;TRIM(RIGHT(SUBSTITUTE(TRIM(MID(SUBSTITUTE(SUBSTITUTE(Registro!$I446,";",CHAR(10)),CHAR(10),REPT(" ",LEN(Registro!$I446))),({1,2,3,4,5,6,7,8,9,10,11,12,13,14,15,16,17,18,19,20,21,22,23,24,25,26,27,28,29,30}-1)*LEN(Registro!$I446)+1,LEN(Registro!$I446)))," ",REPT(" ",50)),50)))),"Revisar formato"))</f>
        <v/>
      </c>
      <c r="L446" s="11" t="str">
        <f>IF(Registro!$J446="","",IFERROR(SUMPRODUCT(--("0"&amp;TRIM(RIGHT(SUBSTITUTE(TRIM(MID(SUBSTITUTE(SUBSTITUTE(Registro!$J446,";",CHAR(10)),CHAR(10),REPT(" ",LEN(Registro!$J446))),({1,2,3,4,5,6,7,8,9,10,11,12,13,14,15,16,17,18,19,20,21,22,23,24,25,26,27,28,29,30}-1)*LEN(Registro!$J446)+1,LEN(Registro!$J446)))," ",REPT(" ",50)),50)))),"Revisar formato"))</f>
        <v/>
      </c>
      <c r="M446" s="11" t="str">
        <f>IF(AND(Registro!$H446="",Registro!$I446=""),"",IF(AND(ISTEXT(K446),K446&lt;&gt;""),"Revisar formato",N(Registro!$H446)-N(K446)))</f>
        <v/>
      </c>
      <c r="N446" s="11" t="str">
        <f t="shared" si="20"/>
        <v/>
      </c>
      <c r="O446" s="15" t="str">
        <f>IF(AND(A446=Consulta!$B$3,C446=Consulta!$H$3),B446*10000+ROW(),"")</f>
        <v/>
      </c>
    </row>
    <row r="447" spans="1:15" x14ac:dyDescent="0.25">
      <c r="A447" s="9" t="str">
        <f>IF(Registro!$A447="","",Registro!$A447)</f>
        <v/>
      </c>
      <c r="B447" s="8" t="str">
        <f>IF(Registro!$B447="","",Registro!$B447)</f>
        <v/>
      </c>
      <c r="C447" s="14" t="str">
        <f t="shared" si="18"/>
        <v/>
      </c>
      <c r="D447" s="10" t="str">
        <f>IF(Registro!$E447="","",IF(ISERROR(FIND("x",LOWER(Registro!$E447))),"-",IFERROR(SUMPRODUCT(--("0"&amp;LEFT(TRIM(MID(SUBSTITUTE(SUBSTITUTE(SUBSTITUTE(SUBSTITUTE(SUBSTITUTE(LOWER(Registro!$E447),"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",LEN(Registro!$E447))),({1,2,3,4,5,6,7,8,9,10,11,12,13,14,15,16,17,18,19,20,21,22,23,24,25,26,27,28,29,30}-1)*LEN(Registro!$E447)+1,LEN(Registro!$E447)))&amp;"x")-1))),"Revisar formato")))</f>
        <v/>
      </c>
      <c r="E447" s="11" t="str">
        <f>IF(Registro!$E447="","",IF(ISERROR(FIND("x",LOWER(Registro!$E447))),"-",IFERROR(SUMPRODUCT(--("0"&amp;LEFT(TRIM(MID(SUBSTITUTE(SUBSTITUTE(SUBSTITUTE(SUBSTITUTE(SUBSTITUTE(LOWER(Registro!$E447),"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",LEN(Registro!$E447))),({1,2,3,4,5,6,7,8,9,10,11,12,13,14,15,16,17,18,19,20,21,22,23,24,25,26,27,28,29,30}-1)*LEN(Registro!$E447)+1,LEN(Registro!$E447)))&amp;"x")-1)),--("0"&amp;MID(TRIM(MID(SUBSTITUTE(SUBSTITUTE(SUBSTITUTE(SUBSTITUTE(SUBSTITUTE(LOWER(Registro!$E447),"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",LEN(Registro!$E447))),({1,2,3,4,5,6,7,8,9,10,11,12,13,14,15,16,17,18,19,20,21,22,23,24,25,26,27,28,29,30}-1)*LEN(Registro!$E447)+1,LEN(Registro!$E447)))&amp;"x")+1,20))),"Revisar formato")))</f>
        <v/>
      </c>
      <c r="F447" s="11" t="str">
        <f>IF(Registro!$F447="","",N(Registro!$F447))</f>
        <v/>
      </c>
      <c r="G447" s="11" t="str">
        <f t="shared" si="19"/>
        <v/>
      </c>
      <c r="H447" s="10" t="str">
        <f>IF(Registro!$G447="","",IF(ISERROR(FIND("x",LOWER(Registro!$G447))),"-",IFERROR(SUMPRODUCT(--("0"&amp;LEFT(TRIM(MID(SUBSTITUTE(SUBSTITUTE(SUBSTITUTE(SUBSTITUTE(SUBSTITUTE(LOWER(Registro!$G447),"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",LEN(Registro!$G447))),({1,2,3,4,5,6,7,8,9,10,11,12,13,14,15,16,17,18,19,20,21,22,23,24,25,26,27,28,29,30}-1)*LEN(Registro!$G447)+1,LEN(Registro!$G447))),FIND("x",TRIM(MID(SUBSTITUTE(SUBSTITUTE(SUBSTITUTE(SUBSTITUTE(SUBSTITUTE(LOWER(Registro!$G447),"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",LEN(Registro!$G447))),({1,2,3,4,5,6,7,8,9,10,11,12,13,14,15,16,17,18,19,20,21,22,23,24,25,26,27,28,29,30}-1)*LEN(Registro!$G447)+1,LEN(Registro!$G447)))&amp;"x")-1))),"Revisar formato")))</f>
        <v/>
      </c>
      <c r="I447" s="11" t="str">
        <f>IF(Registro!$G447="","",IF(ISERROR(FIND("x",LOWER(Registro!$G447))),N(Registro!$H447),IFERROR(SUMPRODUCT(--("0"&amp;LEFT(TRIM(MID(SUBSTITUTE(SUBSTITUTE(SUBSTITUTE(SUBSTITUTE(SUBSTITUTE(LOWER(Registro!$G447),"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",LEN(Registro!$G447))),({1,2,3,4,5,6,7,8,9,10,11,12,13,14,15,16,17,18,19,20,21,22,23,24,25,26,27,28,29,30}-1)*LEN(Registro!$G447)+1,LEN(Registro!$G447))),FIND("x",TRIM(MID(SUBSTITUTE(SUBSTITUTE(SUBSTITUTE(SUBSTITUTE(SUBSTITUTE(LOWER(Registro!$G447),"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",LEN(Registro!$G447))),({1,2,3,4,5,6,7,8,9,10,11,12,13,14,15,16,17,18,19,20,21,22,23,24,25,26,27,28,29,30}-1)*LEN(Registro!$G447)+1,LEN(Registro!$G447)))&amp;"x")-1)),--("0"&amp;MID(TRIM(MID(SUBSTITUTE(SUBSTITUTE(SUBSTITUTE(SUBSTITUTE(SUBSTITUTE(LOWER(Registro!$G447),"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",LEN(Registro!$G447))),({1,2,3,4,5,6,7,8,9,10,11,12,13,14,15,16,17,18,19,20,21,22,23,24,25,26,27,28,29,30}-1)*LEN(Registro!$G447)+1,LEN(Registro!$G447))),FIND("x",TRIM(MID(SUBSTITUTE(SUBSTITUTE(SUBSTITUTE(SUBSTITUTE(SUBSTITUTE(LOWER(Registro!$G447),"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",LEN(Registro!$G447))),({1,2,3,4,5,6,7,8,9,10,11,12,13,14,15,16,17,18,19,20,21,22,23,24,25,26,27,28,29,30}-1)*LEN(Registro!$G447)+1,LEN(Registro!$G447)))&amp;"x")+1,20))),"Revisar formato")))</f>
        <v/>
      </c>
      <c r="J447" s="9" t="str">
        <f>IF(AND(Registro!$E447="",Registro!$G447=""),"",IF(NOT(AND(ISNUMBER(I447),ISNUMBER(Registro!$H447))),"",IF(I447&lt;Registro!$H447,"FALTA BOLETOS",IF(I447=Registro!$H447,"CONFORME","DIFERENCIA"))))</f>
        <v/>
      </c>
      <c r="K447" s="11" t="str">
        <f>IF(Registro!$I447="","",IFERROR(SUMPRODUCT(--("0"&amp;TRIM(RIGHT(SUBSTITUTE(TRIM(MID(SUBSTITUTE(SUBSTITUTE(Registro!$I447,";",CHAR(10)),CHAR(10),REPT(" ",LEN(Registro!$I447))),({1,2,3,4,5,6,7,8,9,10,11,12,13,14,15,16,17,18,19,20,21,22,23,24,25,26,27,28,29,30}-1)*LEN(Registro!$I447)+1,LEN(Registro!$I447)))," ",REPT(" ",50)),50)))),"Revisar formato"))</f>
        <v/>
      </c>
      <c r="L447" s="11" t="str">
        <f>IF(Registro!$J447="","",IFERROR(SUMPRODUCT(--("0"&amp;TRIM(RIGHT(SUBSTITUTE(TRIM(MID(SUBSTITUTE(SUBSTITUTE(Registro!$J447,";",CHAR(10)),CHAR(10),REPT(" ",LEN(Registro!$J447))),({1,2,3,4,5,6,7,8,9,10,11,12,13,14,15,16,17,18,19,20,21,22,23,24,25,26,27,28,29,30}-1)*LEN(Registro!$J447)+1,LEN(Registro!$J447)))," ",REPT(" ",50)),50)))),"Revisar formato"))</f>
        <v/>
      </c>
      <c r="M447" s="11" t="str">
        <f>IF(AND(Registro!$H447="",Registro!$I447=""),"",IF(AND(ISTEXT(K447),K447&lt;&gt;""),"Revisar formato",N(Registro!$H447)-N(K447)))</f>
        <v/>
      </c>
      <c r="N447" s="11" t="str">
        <f t="shared" si="20"/>
        <v/>
      </c>
      <c r="O447" s="15" t="str">
        <f>IF(AND(A447=Consulta!$B$3,C447=Consulta!$H$3),B447*10000+ROW(),"")</f>
        <v/>
      </c>
    </row>
    <row r="448" spans="1:15" x14ac:dyDescent="0.25">
      <c r="A448" s="9" t="str">
        <f>IF(Registro!$A448="","",Registro!$A448)</f>
        <v/>
      </c>
      <c r="B448" s="8" t="str">
        <f>IF(Registro!$B448="","",Registro!$B448)</f>
        <v/>
      </c>
      <c r="C448" s="14" t="str">
        <f t="shared" si="18"/>
        <v/>
      </c>
      <c r="D448" s="10" t="str">
        <f>IF(Registro!$E448="","",IF(ISERROR(FIND("x",LOWER(Registro!$E448))),"-",IFERROR(SUMPRODUCT(--("0"&amp;LEFT(TRIM(MID(SUBSTITUTE(SUBSTITUTE(SUBSTITUTE(SUBSTITUTE(SUBSTITUTE(LOWER(Registro!$E448),"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",LEN(Registro!$E448))),({1,2,3,4,5,6,7,8,9,10,11,12,13,14,15,16,17,18,19,20,21,22,23,24,25,26,27,28,29,30}-1)*LEN(Registro!$E448)+1,LEN(Registro!$E448)))&amp;"x")-1))),"Revisar formato")))</f>
        <v/>
      </c>
      <c r="E448" s="11" t="str">
        <f>IF(Registro!$E448="","",IF(ISERROR(FIND("x",LOWER(Registro!$E448))),"-",IFERROR(SUMPRODUCT(--("0"&amp;LEFT(TRIM(MID(SUBSTITUTE(SUBSTITUTE(SUBSTITUTE(SUBSTITUTE(SUBSTITUTE(LOWER(Registro!$E448),"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",LEN(Registro!$E448))),({1,2,3,4,5,6,7,8,9,10,11,12,13,14,15,16,17,18,19,20,21,22,23,24,25,26,27,28,29,30}-1)*LEN(Registro!$E448)+1,LEN(Registro!$E448)))&amp;"x")-1)),--("0"&amp;MID(TRIM(MID(SUBSTITUTE(SUBSTITUTE(SUBSTITUTE(SUBSTITUTE(SUBSTITUTE(LOWER(Registro!$E448),"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",LEN(Registro!$E448))),({1,2,3,4,5,6,7,8,9,10,11,12,13,14,15,16,17,18,19,20,21,22,23,24,25,26,27,28,29,30}-1)*LEN(Registro!$E448)+1,LEN(Registro!$E448)))&amp;"x")+1,20))),"Revisar formato")))</f>
        <v/>
      </c>
      <c r="F448" s="11" t="str">
        <f>IF(Registro!$F448="","",N(Registro!$F448))</f>
        <v/>
      </c>
      <c r="G448" s="11" t="str">
        <f t="shared" si="19"/>
        <v/>
      </c>
      <c r="H448" s="10" t="str">
        <f>IF(Registro!$G448="","",IF(ISERROR(FIND("x",LOWER(Registro!$G448))),"-",IFERROR(SUMPRODUCT(--("0"&amp;LEFT(TRIM(MID(SUBSTITUTE(SUBSTITUTE(SUBSTITUTE(SUBSTITUTE(SUBSTITUTE(LOWER(Registro!$G448),"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",LEN(Registro!$G448))),({1,2,3,4,5,6,7,8,9,10,11,12,13,14,15,16,17,18,19,20,21,22,23,24,25,26,27,28,29,30}-1)*LEN(Registro!$G448)+1,LEN(Registro!$G448))),FIND("x",TRIM(MID(SUBSTITUTE(SUBSTITUTE(SUBSTITUTE(SUBSTITUTE(SUBSTITUTE(LOWER(Registro!$G448),"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",LEN(Registro!$G448))),({1,2,3,4,5,6,7,8,9,10,11,12,13,14,15,16,17,18,19,20,21,22,23,24,25,26,27,28,29,30}-1)*LEN(Registro!$G448)+1,LEN(Registro!$G448)))&amp;"x")-1))),"Revisar formato")))</f>
        <v/>
      </c>
      <c r="I448" s="11" t="str">
        <f>IF(Registro!$G448="","",IF(ISERROR(FIND("x",LOWER(Registro!$G448))),N(Registro!$H448),IFERROR(SUMPRODUCT(--("0"&amp;LEFT(TRIM(MID(SUBSTITUTE(SUBSTITUTE(SUBSTITUTE(SUBSTITUTE(SUBSTITUTE(LOWER(Registro!$G448),"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",LEN(Registro!$G448))),({1,2,3,4,5,6,7,8,9,10,11,12,13,14,15,16,17,18,19,20,21,22,23,24,25,26,27,28,29,30}-1)*LEN(Registro!$G448)+1,LEN(Registro!$G448))),FIND("x",TRIM(MID(SUBSTITUTE(SUBSTITUTE(SUBSTITUTE(SUBSTITUTE(SUBSTITUTE(LOWER(Registro!$G448),"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",LEN(Registro!$G448))),({1,2,3,4,5,6,7,8,9,10,11,12,13,14,15,16,17,18,19,20,21,22,23,24,25,26,27,28,29,30}-1)*LEN(Registro!$G448)+1,LEN(Registro!$G448)))&amp;"x")-1)),--("0"&amp;MID(TRIM(MID(SUBSTITUTE(SUBSTITUTE(SUBSTITUTE(SUBSTITUTE(SUBSTITUTE(LOWER(Registro!$G448),"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",LEN(Registro!$G448))),({1,2,3,4,5,6,7,8,9,10,11,12,13,14,15,16,17,18,19,20,21,22,23,24,25,26,27,28,29,30}-1)*LEN(Registro!$G448)+1,LEN(Registro!$G448))),FIND("x",TRIM(MID(SUBSTITUTE(SUBSTITUTE(SUBSTITUTE(SUBSTITUTE(SUBSTITUTE(LOWER(Registro!$G448),"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",LEN(Registro!$G448))),({1,2,3,4,5,6,7,8,9,10,11,12,13,14,15,16,17,18,19,20,21,22,23,24,25,26,27,28,29,30}-1)*LEN(Registro!$G448)+1,LEN(Registro!$G448)))&amp;"x")+1,20))),"Revisar formato")))</f>
        <v/>
      </c>
      <c r="J448" s="9" t="str">
        <f>IF(AND(Registro!$E448="",Registro!$G448=""),"",IF(NOT(AND(ISNUMBER(I448),ISNUMBER(Registro!$H448))),"",IF(I448&lt;Registro!$H448,"FALTA BOLETOS",IF(I448=Registro!$H448,"CONFORME","DIFERENCIA"))))</f>
        <v/>
      </c>
      <c r="K448" s="11" t="str">
        <f>IF(Registro!$I448="","",IFERROR(SUMPRODUCT(--("0"&amp;TRIM(RIGHT(SUBSTITUTE(TRIM(MID(SUBSTITUTE(SUBSTITUTE(Registro!$I448,";",CHAR(10)),CHAR(10),REPT(" ",LEN(Registro!$I448))),({1,2,3,4,5,6,7,8,9,10,11,12,13,14,15,16,17,18,19,20,21,22,23,24,25,26,27,28,29,30}-1)*LEN(Registro!$I448)+1,LEN(Registro!$I448)))," ",REPT(" ",50)),50)))),"Revisar formato"))</f>
        <v/>
      </c>
      <c r="L448" s="11" t="str">
        <f>IF(Registro!$J448="","",IFERROR(SUMPRODUCT(--("0"&amp;TRIM(RIGHT(SUBSTITUTE(TRIM(MID(SUBSTITUTE(SUBSTITUTE(Registro!$J448,";",CHAR(10)),CHAR(10),REPT(" ",LEN(Registro!$J448))),({1,2,3,4,5,6,7,8,9,10,11,12,13,14,15,16,17,18,19,20,21,22,23,24,25,26,27,28,29,30}-1)*LEN(Registro!$J448)+1,LEN(Registro!$J448)))," ",REPT(" ",50)),50)))),"Revisar formato"))</f>
        <v/>
      </c>
      <c r="M448" s="11" t="str">
        <f>IF(AND(Registro!$H448="",Registro!$I448=""),"",IF(AND(ISTEXT(K448),K448&lt;&gt;""),"Revisar formato",N(Registro!$H448)-N(K448)))</f>
        <v/>
      </c>
      <c r="N448" s="11" t="str">
        <f t="shared" si="20"/>
        <v/>
      </c>
      <c r="O448" s="15" t="str">
        <f>IF(AND(A448=Consulta!$B$3,C448=Consulta!$H$3),B448*10000+ROW(),"")</f>
        <v/>
      </c>
    </row>
    <row r="449" spans="1:15" x14ac:dyDescent="0.25">
      <c r="A449" s="9" t="str">
        <f>IF(Registro!$A449="","",Registro!$A449)</f>
        <v/>
      </c>
      <c r="B449" s="8" t="str">
        <f>IF(Registro!$B449="","",Registro!$B449)</f>
        <v/>
      </c>
      <c r="C449" s="14" t="str">
        <f t="shared" si="18"/>
        <v/>
      </c>
      <c r="D449" s="10" t="str">
        <f>IF(Registro!$E449="","",IF(ISERROR(FIND("x",LOWER(Registro!$E449))),"-",IFERROR(SUMPRODUCT(--("0"&amp;LEFT(TRIM(MID(SUBSTITUTE(SUBSTITUTE(SUBSTITUTE(SUBSTITUTE(SUBSTITUTE(LOWER(Registro!$E449),"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",LEN(Registro!$E449))),({1,2,3,4,5,6,7,8,9,10,11,12,13,14,15,16,17,18,19,20,21,22,23,24,25,26,27,28,29,30}-1)*LEN(Registro!$E449)+1,LEN(Registro!$E449)))&amp;"x")-1))),"Revisar formato")))</f>
        <v/>
      </c>
      <c r="E449" s="11" t="str">
        <f>IF(Registro!$E449="","",IF(ISERROR(FIND("x",LOWER(Registro!$E449))),"-",IFERROR(SUMPRODUCT(--("0"&amp;LEFT(TRIM(MID(SUBSTITUTE(SUBSTITUTE(SUBSTITUTE(SUBSTITUTE(SUBSTITUTE(LOWER(Registro!$E449),"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",LEN(Registro!$E449))),({1,2,3,4,5,6,7,8,9,10,11,12,13,14,15,16,17,18,19,20,21,22,23,24,25,26,27,28,29,30}-1)*LEN(Registro!$E449)+1,LEN(Registro!$E449)))&amp;"x")-1)),--("0"&amp;MID(TRIM(MID(SUBSTITUTE(SUBSTITUTE(SUBSTITUTE(SUBSTITUTE(SUBSTITUTE(LOWER(Registro!$E449),"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",LEN(Registro!$E449))),({1,2,3,4,5,6,7,8,9,10,11,12,13,14,15,16,17,18,19,20,21,22,23,24,25,26,27,28,29,30}-1)*LEN(Registro!$E449)+1,LEN(Registro!$E449)))&amp;"x")+1,20))),"Revisar formato")))</f>
        <v/>
      </c>
      <c r="F449" s="11" t="str">
        <f>IF(Registro!$F449="","",N(Registro!$F449))</f>
        <v/>
      </c>
      <c r="G449" s="11" t="str">
        <f t="shared" si="19"/>
        <v/>
      </c>
      <c r="H449" s="10" t="str">
        <f>IF(Registro!$G449="","",IF(ISERROR(FIND("x",LOWER(Registro!$G449))),"-",IFERROR(SUMPRODUCT(--("0"&amp;LEFT(TRIM(MID(SUBSTITUTE(SUBSTITUTE(SUBSTITUTE(SUBSTITUTE(SUBSTITUTE(LOWER(Registro!$G449),"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",LEN(Registro!$G449))),({1,2,3,4,5,6,7,8,9,10,11,12,13,14,15,16,17,18,19,20,21,22,23,24,25,26,27,28,29,30}-1)*LEN(Registro!$G449)+1,LEN(Registro!$G449))),FIND("x",TRIM(MID(SUBSTITUTE(SUBSTITUTE(SUBSTITUTE(SUBSTITUTE(SUBSTITUTE(LOWER(Registro!$G449),"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",LEN(Registro!$G449))),({1,2,3,4,5,6,7,8,9,10,11,12,13,14,15,16,17,18,19,20,21,22,23,24,25,26,27,28,29,30}-1)*LEN(Registro!$G449)+1,LEN(Registro!$G449)))&amp;"x")-1))),"Revisar formato")))</f>
        <v/>
      </c>
      <c r="I449" s="11" t="str">
        <f>IF(Registro!$G449="","",IF(ISERROR(FIND("x",LOWER(Registro!$G449))),N(Registro!$H449),IFERROR(SUMPRODUCT(--("0"&amp;LEFT(TRIM(MID(SUBSTITUTE(SUBSTITUTE(SUBSTITUTE(SUBSTITUTE(SUBSTITUTE(LOWER(Registro!$G449),"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",LEN(Registro!$G449))),({1,2,3,4,5,6,7,8,9,10,11,12,13,14,15,16,17,18,19,20,21,22,23,24,25,26,27,28,29,30}-1)*LEN(Registro!$G449)+1,LEN(Registro!$G449))),FIND("x",TRIM(MID(SUBSTITUTE(SUBSTITUTE(SUBSTITUTE(SUBSTITUTE(SUBSTITUTE(LOWER(Registro!$G449),"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",LEN(Registro!$G449))),({1,2,3,4,5,6,7,8,9,10,11,12,13,14,15,16,17,18,19,20,21,22,23,24,25,26,27,28,29,30}-1)*LEN(Registro!$G449)+1,LEN(Registro!$G449)))&amp;"x")-1)),--("0"&amp;MID(TRIM(MID(SUBSTITUTE(SUBSTITUTE(SUBSTITUTE(SUBSTITUTE(SUBSTITUTE(LOWER(Registro!$G449),"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",LEN(Registro!$G449))),({1,2,3,4,5,6,7,8,9,10,11,12,13,14,15,16,17,18,19,20,21,22,23,24,25,26,27,28,29,30}-1)*LEN(Registro!$G449)+1,LEN(Registro!$G449))),FIND("x",TRIM(MID(SUBSTITUTE(SUBSTITUTE(SUBSTITUTE(SUBSTITUTE(SUBSTITUTE(LOWER(Registro!$G449),"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",LEN(Registro!$G449))),({1,2,3,4,5,6,7,8,9,10,11,12,13,14,15,16,17,18,19,20,21,22,23,24,25,26,27,28,29,30}-1)*LEN(Registro!$G449)+1,LEN(Registro!$G449)))&amp;"x")+1,20))),"Revisar formato")))</f>
        <v/>
      </c>
      <c r="J449" s="9" t="str">
        <f>IF(AND(Registro!$E449="",Registro!$G449=""),"",IF(NOT(AND(ISNUMBER(I449),ISNUMBER(Registro!$H449))),"",IF(I449&lt;Registro!$H449,"FALTA BOLETOS",IF(I449=Registro!$H449,"CONFORME","DIFERENCIA"))))</f>
        <v/>
      </c>
      <c r="K449" s="11" t="str">
        <f>IF(Registro!$I449="","",IFERROR(SUMPRODUCT(--("0"&amp;TRIM(RIGHT(SUBSTITUTE(TRIM(MID(SUBSTITUTE(SUBSTITUTE(Registro!$I449,";",CHAR(10)),CHAR(10),REPT(" ",LEN(Registro!$I449))),({1,2,3,4,5,6,7,8,9,10,11,12,13,14,15,16,17,18,19,20,21,22,23,24,25,26,27,28,29,30}-1)*LEN(Registro!$I449)+1,LEN(Registro!$I449)))," ",REPT(" ",50)),50)))),"Revisar formato"))</f>
        <v/>
      </c>
      <c r="L449" s="11" t="str">
        <f>IF(Registro!$J449="","",IFERROR(SUMPRODUCT(--("0"&amp;TRIM(RIGHT(SUBSTITUTE(TRIM(MID(SUBSTITUTE(SUBSTITUTE(Registro!$J449,";",CHAR(10)),CHAR(10),REPT(" ",LEN(Registro!$J449))),({1,2,3,4,5,6,7,8,9,10,11,12,13,14,15,16,17,18,19,20,21,22,23,24,25,26,27,28,29,30}-1)*LEN(Registro!$J449)+1,LEN(Registro!$J449)))," ",REPT(" ",50)),50)))),"Revisar formato"))</f>
        <v/>
      </c>
      <c r="M449" s="11" t="str">
        <f>IF(AND(Registro!$H449="",Registro!$I449=""),"",IF(AND(ISTEXT(K449),K449&lt;&gt;""),"Revisar formato",N(Registro!$H449)-N(K449)))</f>
        <v/>
      </c>
      <c r="N449" s="11" t="str">
        <f t="shared" si="20"/>
        <v/>
      </c>
      <c r="O449" s="15" t="str">
        <f>IF(AND(A449=Consulta!$B$3,C449=Consulta!$H$3),B449*10000+ROW(),"")</f>
        <v/>
      </c>
    </row>
    <row r="450" spans="1:15" x14ac:dyDescent="0.25">
      <c r="A450" s="9" t="str">
        <f>IF(Registro!$A450="","",Registro!$A450)</f>
        <v/>
      </c>
      <c r="B450" s="8" t="str">
        <f>IF(Registro!$B450="","",Registro!$B450)</f>
        <v/>
      </c>
      <c r="C450" s="14" t="str">
        <f t="shared" ref="C450:C513" si="21">IF(ISNUMBER(B450),YEAR(B450)*100+MONTH(B450),"")</f>
        <v/>
      </c>
      <c r="D450" s="10" t="str">
        <f>IF(Registro!$E450="","",IF(ISERROR(FIND("x",LOWER(Registro!$E450))),"-",IFERROR(SUMPRODUCT(--("0"&amp;LEFT(TRIM(MID(SUBSTITUTE(SUBSTITUTE(SUBSTITUTE(SUBSTITUTE(SUBSTITUTE(LOWER(Registro!$E450),"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",LEN(Registro!$E450))),({1,2,3,4,5,6,7,8,9,10,11,12,13,14,15,16,17,18,19,20,21,22,23,24,25,26,27,28,29,30}-1)*LEN(Registro!$E450)+1,LEN(Registro!$E450)))&amp;"x")-1))),"Revisar formato")))</f>
        <v/>
      </c>
      <c r="E450" s="11" t="str">
        <f>IF(Registro!$E450="","",IF(ISERROR(FIND("x",LOWER(Registro!$E450))),"-",IFERROR(SUMPRODUCT(--("0"&amp;LEFT(TRIM(MID(SUBSTITUTE(SUBSTITUTE(SUBSTITUTE(SUBSTITUTE(SUBSTITUTE(LOWER(Registro!$E450),"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",LEN(Registro!$E450))),({1,2,3,4,5,6,7,8,9,10,11,12,13,14,15,16,17,18,19,20,21,22,23,24,25,26,27,28,29,30}-1)*LEN(Registro!$E450)+1,LEN(Registro!$E450)))&amp;"x")-1)),--("0"&amp;MID(TRIM(MID(SUBSTITUTE(SUBSTITUTE(SUBSTITUTE(SUBSTITUTE(SUBSTITUTE(LOWER(Registro!$E450),"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",LEN(Registro!$E450))),({1,2,3,4,5,6,7,8,9,10,11,12,13,14,15,16,17,18,19,20,21,22,23,24,25,26,27,28,29,30}-1)*LEN(Registro!$E450)+1,LEN(Registro!$E450)))&amp;"x")+1,20))),"Revisar formato")))</f>
        <v/>
      </c>
      <c r="F450" s="11" t="str">
        <f>IF(Registro!$F450="","",N(Registro!$F450))</f>
        <v/>
      </c>
      <c r="G450" s="11" t="str">
        <f t="shared" ref="G450:G513" si="22">IF(AND(E450="",F450=""),"",IF(OR(E450="",ISNUMBER(E450)),N(E450)-N(F450),E450))</f>
        <v/>
      </c>
      <c r="H450" s="10" t="str">
        <f>IF(Registro!$G450="","",IF(ISERROR(FIND("x",LOWER(Registro!$G450))),"-",IFERROR(SUMPRODUCT(--("0"&amp;LEFT(TRIM(MID(SUBSTITUTE(SUBSTITUTE(SUBSTITUTE(SUBSTITUTE(SUBSTITUTE(LOWER(Registro!$G450),"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",LEN(Registro!$G450))),({1,2,3,4,5,6,7,8,9,10,11,12,13,14,15,16,17,18,19,20,21,22,23,24,25,26,27,28,29,30}-1)*LEN(Registro!$G450)+1,LEN(Registro!$G450))),FIND("x",TRIM(MID(SUBSTITUTE(SUBSTITUTE(SUBSTITUTE(SUBSTITUTE(SUBSTITUTE(LOWER(Registro!$G450),"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",LEN(Registro!$G450))),({1,2,3,4,5,6,7,8,9,10,11,12,13,14,15,16,17,18,19,20,21,22,23,24,25,26,27,28,29,30}-1)*LEN(Registro!$G450)+1,LEN(Registro!$G450)))&amp;"x")-1))),"Revisar formato")))</f>
        <v/>
      </c>
      <c r="I450" s="11" t="str">
        <f>IF(Registro!$G450="","",IF(ISERROR(FIND("x",LOWER(Registro!$G450))),N(Registro!$H450),IFERROR(SUMPRODUCT(--("0"&amp;LEFT(TRIM(MID(SUBSTITUTE(SUBSTITUTE(SUBSTITUTE(SUBSTITUTE(SUBSTITUTE(LOWER(Registro!$G450),"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",LEN(Registro!$G450))),({1,2,3,4,5,6,7,8,9,10,11,12,13,14,15,16,17,18,19,20,21,22,23,24,25,26,27,28,29,30}-1)*LEN(Registro!$G450)+1,LEN(Registro!$G450))),FIND("x",TRIM(MID(SUBSTITUTE(SUBSTITUTE(SUBSTITUTE(SUBSTITUTE(SUBSTITUTE(LOWER(Registro!$G450),"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",LEN(Registro!$G450))),({1,2,3,4,5,6,7,8,9,10,11,12,13,14,15,16,17,18,19,20,21,22,23,24,25,26,27,28,29,30}-1)*LEN(Registro!$G450)+1,LEN(Registro!$G450)))&amp;"x")-1)),--("0"&amp;MID(TRIM(MID(SUBSTITUTE(SUBSTITUTE(SUBSTITUTE(SUBSTITUTE(SUBSTITUTE(LOWER(Registro!$G450),"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",LEN(Registro!$G450))),({1,2,3,4,5,6,7,8,9,10,11,12,13,14,15,16,17,18,19,20,21,22,23,24,25,26,27,28,29,30}-1)*LEN(Registro!$G450)+1,LEN(Registro!$G450))),FIND("x",TRIM(MID(SUBSTITUTE(SUBSTITUTE(SUBSTITUTE(SUBSTITUTE(SUBSTITUTE(LOWER(Registro!$G450),"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",LEN(Registro!$G450))),({1,2,3,4,5,6,7,8,9,10,11,12,13,14,15,16,17,18,19,20,21,22,23,24,25,26,27,28,29,30}-1)*LEN(Registro!$G450)+1,LEN(Registro!$G450)))&amp;"x")+1,20))),"Revisar formato")))</f>
        <v/>
      </c>
      <c r="J450" s="9" t="str">
        <f>IF(AND(Registro!$E450="",Registro!$G450=""),"",IF(NOT(AND(ISNUMBER(I450),ISNUMBER(Registro!$H450))),"",IF(I450&lt;Registro!$H450,"FALTA BOLETOS",IF(I450=Registro!$H450,"CONFORME","DIFERENCIA"))))</f>
        <v/>
      </c>
      <c r="K450" s="11" t="str">
        <f>IF(Registro!$I450="","",IFERROR(SUMPRODUCT(--("0"&amp;TRIM(RIGHT(SUBSTITUTE(TRIM(MID(SUBSTITUTE(SUBSTITUTE(Registro!$I450,";",CHAR(10)),CHAR(10),REPT(" ",LEN(Registro!$I450))),({1,2,3,4,5,6,7,8,9,10,11,12,13,14,15,16,17,18,19,20,21,22,23,24,25,26,27,28,29,30}-1)*LEN(Registro!$I450)+1,LEN(Registro!$I450)))," ",REPT(" ",50)),50)))),"Revisar formato"))</f>
        <v/>
      </c>
      <c r="L450" s="11" t="str">
        <f>IF(Registro!$J450="","",IFERROR(SUMPRODUCT(--("0"&amp;TRIM(RIGHT(SUBSTITUTE(TRIM(MID(SUBSTITUTE(SUBSTITUTE(Registro!$J450,";",CHAR(10)),CHAR(10),REPT(" ",LEN(Registro!$J450))),({1,2,3,4,5,6,7,8,9,10,11,12,13,14,15,16,17,18,19,20,21,22,23,24,25,26,27,28,29,30}-1)*LEN(Registro!$J450)+1,LEN(Registro!$J450)))," ",REPT(" ",50)),50)))),"Revisar formato"))</f>
        <v/>
      </c>
      <c r="M450" s="11" t="str">
        <f>IF(AND(Registro!$H450="",Registro!$I450=""),"",IF(AND(ISTEXT(K450),K450&lt;&gt;""),"Revisar formato",N(Registro!$H450)-N(K450)))</f>
        <v/>
      </c>
      <c r="N450" s="11" t="str">
        <f t="shared" ref="N450:N513" si="23">IF(M450="","",IF(OR(M450="Revisar formato",AND(ISTEXT(L450),L450&lt;&gt;"")),"Revisar formato",M450-N(L450)))</f>
        <v/>
      </c>
      <c r="O450" s="15" t="str">
        <f>IF(AND(A450=Consulta!$B$3,C450=Consulta!$H$3),B450*10000+ROW(),"")</f>
        <v/>
      </c>
    </row>
    <row r="451" spans="1:15" x14ac:dyDescent="0.25">
      <c r="A451" s="9" t="str">
        <f>IF(Registro!$A451="","",Registro!$A451)</f>
        <v/>
      </c>
      <c r="B451" s="8" t="str">
        <f>IF(Registro!$B451="","",Registro!$B451)</f>
        <v/>
      </c>
      <c r="C451" s="14" t="str">
        <f t="shared" si="21"/>
        <v/>
      </c>
      <c r="D451" s="10" t="str">
        <f>IF(Registro!$E451="","",IF(ISERROR(FIND("x",LOWER(Registro!$E451))),"-",IFERROR(SUMPRODUCT(--("0"&amp;LEFT(TRIM(MID(SUBSTITUTE(SUBSTITUTE(SUBSTITUTE(SUBSTITUTE(SUBSTITUTE(LOWER(Registro!$E451),"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",LEN(Registro!$E451))),({1,2,3,4,5,6,7,8,9,10,11,12,13,14,15,16,17,18,19,20,21,22,23,24,25,26,27,28,29,30}-1)*LEN(Registro!$E451)+1,LEN(Registro!$E451)))&amp;"x")-1))),"Revisar formato")))</f>
        <v/>
      </c>
      <c r="E451" s="11" t="str">
        <f>IF(Registro!$E451="","",IF(ISERROR(FIND("x",LOWER(Registro!$E451))),"-",IFERROR(SUMPRODUCT(--("0"&amp;LEFT(TRIM(MID(SUBSTITUTE(SUBSTITUTE(SUBSTITUTE(SUBSTITUTE(SUBSTITUTE(LOWER(Registro!$E451),"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",LEN(Registro!$E451))),({1,2,3,4,5,6,7,8,9,10,11,12,13,14,15,16,17,18,19,20,21,22,23,24,25,26,27,28,29,30}-1)*LEN(Registro!$E451)+1,LEN(Registro!$E451)))&amp;"x")-1)),--("0"&amp;MID(TRIM(MID(SUBSTITUTE(SUBSTITUTE(SUBSTITUTE(SUBSTITUTE(SUBSTITUTE(LOWER(Registro!$E451),"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",LEN(Registro!$E451))),({1,2,3,4,5,6,7,8,9,10,11,12,13,14,15,16,17,18,19,20,21,22,23,24,25,26,27,28,29,30}-1)*LEN(Registro!$E451)+1,LEN(Registro!$E451)))&amp;"x")+1,20))),"Revisar formato")))</f>
        <v/>
      </c>
      <c r="F451" s="11" t="str">
        <f>IF(Registro!$F451="","",N(Registro!$F451))</f>
        <v/>
      </c>
      <c r="G451" s="11" t="str">
        <f t="shared" si="22"/>
        <v/>
      </c>
      <c r="H451" s="10" t="str">
        <f>IF(Registro!$G451="","",IF(ISERROR(FIND("x",LOWER(Registro!$G451))),"-",IFERROR(SUMPRODUCT(--("0"&amp;LEFT(TRIM(MID(SUBSTITUTE(SUBSTITUTE(SUBSTITUTE(SUBSTITUTE(SUBSTITUTE(LOWER(Registro!$G451),"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",LEN(Registro!$G451))),({1,2,3,4,5,6,7,8,9,10,11,12,13,14,15,16,17,18,19,20,21,22,23,24,25,26,27,28,29,30}-1)*LEN(Registro!$G451)+1,LEN(Registro!$G451))),FIND("x",TRIM(MID(SUBSTITUTE(SUBSTITUTE(SUBSTITUTE(SUBSTITUTE(SUBSTITUTE(LOWER(Registro!$G451),"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",LEN(Registro!$G451))),({1,2,3,4,5,6,7,8,9,10,11,12,13,14,15,16,17,18,19,20,21,22,23,24,25,26,27,28,29,30}-1)*LEN(Registro!$G451)+1,LEN(Registro!$G451)))&amp;"x")-1))),"Revisar formato")))</f>
        <v/>
      </c>
      <c r="I451" s="11" t="str">
        <f>IF(Registro!$G451="","",IF(ISERROR(FIND("x",LOWER(Registro!$G451))),N(Registro!$H451),IFERROR(SUMPRODUCT(--("0"&amp;LEFT(TRIM(MID(SUBSTITUTE(SUBSTITUTE(SUBSTITUTE(SUBSTITUTE(SUBSTITUTE(LOWER(Registro!$G451),"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",LEN(Registro!$G451))),({1,2,3,4,5,6,7,8,9,10,11,12,13,14,15,16,17,18,19,20,21,22,23,24,25,26,27,28,29,30}-1)*LEN(Registro!$G451)+1,LEN(Registro!$G451))),FIND("x",TRIM(MID(SUBSTITUTE(SUBSTITUTE(SUBSTITUTE(SUBSTITUTE(SUBSTITUTE(LOWER(Registro!$G451),"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",LEN(Registro!$G451))),({1,2,3,4,5,6,7,8,9,10,11,12,13,14,15,16,17,18,19,20,21,22,23,24,25,26,27,28,29,30}-1)*LEN(Registro!$G451)+1,LEN(Registro!$G451)))&amp;"x")-1)),--("0"&amp;MID(TRIM(MID(SUBSTITUTE(SUBSTITUTE(SUBSTITUTE(SUBSTITUTE(SUBSTITUTE(LOWER(Registro!$G451),"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",LEN(Registro!$G451))),({1,2,3,4,5,6,7,8,9,10,11,12,13,14,15,16,17,18,19,20,21,22,23,24,25,26,27,28,29,30}-1)*LEN(Registro!$G451)+1,LEN(Registro!$G451))),FIND("x",TRIM(MID(SUBSTITUTE(SUBSTITUTE(SUBSTITUTE(SUBSTITUTE(SUBSTITUTE(LOWER(Registro!$G451),"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",LEN(Registro!$G451))),({1,2,3,4,5,6,7,8,9,10,11,12,13,14,15,16,17,18,19,20,21,22,23,24,25,26,27,28,29,30}-1)*LEN(Registro!$G451)+1,LEN(Registro!$G451)))&amp;"x")+1,20))),"Revisar formato")))</f>
        <v/>
      </c>
      <c r="J451" s="9" t="str">
        <f>IF(AND(Registro!$E451="",Registro!$G451=""),"",IF(NOT(AND(ISNUMBER(I451),ISNUMBER(Registro!$H451))),"",IF(I451&lt;Registro!$H451,"FALTA BOLETOS",IF(I451=Registro!$H451,"CONFORME","DIFERENCIA"))))</f>
        <v/>
      </c>
      <c r="K451" s="11" t="str">
        <f>IF(Registro!$I451="","",IFERROR(SUMPRODUCT(--("0"&amp;TRIM(RIGHT(SUBSTITUTE(TRIM(MID(SUBSTITUTE(SUBSTITUTE(Registro!$I451,";",CHAR(10)),CHAR(10),REPT(" ",LEN(Registro!$I451))),({1,2,3,4,5,6,7,8,9,10,11,12,13,14,15,16,17,18,19,20,21,22,23,24,25,26,27,28,29,30}-1)*LEN(Registro!$I451)+1,LEN(Registro!$I451)))," ",REPT(" ",50)),50)))),"Revisar formato"))</f>
        <v/>
      </c>
      <c r="L451" s="11" t="str">
        <f>IF(Registro!$J451="","",IFERROR(SUMPRODUCT(--("0"&amp;TRIM(RIGHT(SUBSTITUTE(TRIM(MID(SUBSTITUTE(SUBSTITUTE(Registro!$J451,";",CHAR(10)),CHAR(10),REPT(" ",LEN(Registro!$J451))),({1,2,3,4,5,6,7,8,9,10,11,12,13,14,15,16,17,18,19,20,21,22,23,24,25,26,27,28,29,30}-1)*LEN(Registro!$J451)+1,LEN(Registro!$J451)))," ",REPT(" ",50)),50)))),"Revisar formato"))</f>
        <v/>
      </c>
      <c r="M451" s="11" t="str">
        <f>IF(AND(Registro!$H451="",Registro!$I451=""),"",IF(AND(ISTEXT(K451),K451&lt;&gt;""),"Revisar formato",N(Registro!$H451)-N(K451)))</f>
        <v/>
      </c>
      <c r="N451" s="11" t="str">
        <f t="shared" si="23"/>
        <v/>
      </c>
      <c r="O451" s="15" t="str">
        <f>IF(AND(A451=Consulta!$B$3,C451=Consulta!$H$3),B451*10000+ROW(),"")</f>
        <v/>
      </c>
    </row>
    <row r="452" spans="1:15" x14ac:dyDescent="0.25">
      <c r="A452" s="9" t="str">
        <f>IF(Registro!$A452="","",Registro!$A452)</f>
        <v/>
      </c>
      <c r="B452" s="8" t="str">
        <f>IF(Registro!$B452="","",Registro!$B452)</f>
        <v/>
      </c>
      <c r="C452" s="14" t="str">
        <f t="shared" si="21"/>
        <v/>
      </c>
      <c r="D452" s="10" t="str">
        <f>IF(Registro!$E452="","",IF(ISERROR(FIND("x",LOWER(Registro!$E452))),"-",IFERROR(SUMPRODUCT(--("0"&amp;LEFT(TRIM(MID(SUBSTITUTE(SUBSTITUTE(SUBSTITUTE(SUBSTITUTE(SUBSTITUTE(LOWER(Registro!$E452),"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",LEN(Registro!$E452))),({1,2,3,4,5,6,7,8,9,10,11,12,13,14,15,16,17,18,19,20,21,22,23,24,25,26,27,28,29,30}-1)*LEN(Registro!$E452)+1,LEN(Registro!$E452)))&amp;"x")-1))),"Revisar formato")))</f>
        <v/>
      </c>
      <c r="E452" s="11" t="str">
        <f>IF(Registro!$E452="","",IF(ISERROR(FIND("x",LOWER(Registro!$E452))),"-",IFERROR(SUMPRODUCT(--("0"&amp;LEFT(TRIM(MID(SUBSTITUTE(SUBSTITUTE(SUBSTITUTE(SUBSTITUTE(SUBSTITUTE(LOWER(Registro!$E452),"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",LEN(Registro!$E452))),({1,2,3,4,5,6,7,8,9,10,11,12,13,14,15,16,17,18,19,20,21,22,23,24,25,26,27,28,29,30}-1)*LEN(Registro!$E452)+1,LEN(Registro!$E452)))&amp;"x")-1)),--("0"&amp;MID(TRIM(MID(SUBSTITUTE(SUBSTITUTE(SUBSTITUTE(SUBSTITUTE(SUBSTITUTE(LOWER(Registro!$E452),"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",LEN(Registro!$E452))),({1,2,3,4,5,6,7,8,9,10,11,12,13,14,15,16,17,18,19,20,21,22,23,24,25,26,27,28,29,30}-1)*LEN(Registro!$E452)+1,LEN(Registro!$E452)))&amp;"x")+1,20))),"Revisar formato")))</f>
        <v/>
      </c>
      <c r="F452" s="11" t="str">
        <f>IF(Registro!$F452="","",N(Registro!$F452))</f>
        <v/>
      </c>
      <c r="G452" s="11" t="str">
        <f t="shared" si="22"/>
        <v/>
      </c>
      <c r="H452" s="10" t="str">
        <f>IF(Registro!$G452="","",IF(ISERROR(FIND("x",LOWER(Registro!$G452))),"-",IFERROR(SUMPRODUCT(--("0"&amp;LEFT(TRIM(MID(SUBSTITUTE(SUBSTITUTE(SUBSTITUTE(SUBSTITUTE(SUBSTITUTE(LOWER(Registro!$G452),"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",LEN(Registro!$G452))),({1,2,3,4,5,6,7,8,9,10,11,12,13,14,15,16,17,18,19,20,21,22,23,24,25,26,27,28,29,30}-1)*LEN(Registro!$G452)+1,LEN(Registro!$G452))),FIND("x",TRIM(MID(SUBSTITUTE(SUBSTITUTE(SUBSTITUTE(SUBSTITUTE(SUBSTITUTE(LOWER(Registro!$G452),"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",LEN(Registro!$G452))),({1,2,3,4,5,6,7,8,9,10,11,12,13,14,15,16,17,18,19,20,21,22,23,24,25,26,27,28,29,30}-1)*LEN(Registro!$G452)+1,LEN(Registro!$G452)))&amp;"x")-1))),"Revisar formato")))</f>
        <v/>
      </c>
      <c r="I452" s="11" t="str">
        <f>IF(Registro!$G452="","",IF(ISERROR(FIND("x",LOWER(Registro!$G452))),N(Registro!$H452),IFERROR(SUMPRODUCT(--("0"&amp;LEFT(TRIM(MID(SUBSTITUTE(SUBSTITUTE(SUBSTITUTE(SUBSTITUTE(SUBSTITUTE(LOWER(Registro!$G452),"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",LEN(Registro!$G452))),({1,2,3,4,5,6,7,8,9,10,11,12,13,14,15,16,17,18,19,20,21,22,23,24,25,26,27,28,29,30}-1)*LEN(Registro!$G452)+1,LEN(Registro!$G452))),FIND("x",TRIM(MID(SUBSTITUTE(SUBSTITUTE(SUBSTITUTE(SUBSTITUTE(SUBSTITUTE(LOWER(Registro!$G452),"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",LEN(Registro!$G452))),({1,2,3,4,5,6,7,8,9,10,11,12,13,14,15,16,17,18,19,20,21,22,23,24,25,26,27,28,29,30}-1)*LEN(Registro!$G452)+1,LEN(Registro!$G452)))&amp;"x")-1)),--("0"&amp;MID(TRIM(MID(SUBSTITUTE(SUBSTITUTE(SUBSTITUTE(SUBSTITUTE(SUBSTITUTE(LOWER(Registro!$G452),"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",LEN(Registro!$G452))),({1,2,3,4,5,6,7,8,9,10,11,12,13,14,15,16,17,18,19,20,21,22,23,24,25,26,27,28,29,30}-1)*LEN(Registro!$G452)+1,LEN(Registro!$G452))),FIND("x",TRIM(MID(SUBSTITUTE(SUBSTITUTE(SUBSTITUTE(SUBSTITUTE(SUBSTITUTE(LOWER(Registro!$G452),"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",LEN(Registro!$G452))),({1,2,3,4,5,6,7,8,9,10,11,12,13,14,15,16,17,18,19,20,21,22,23,24,25,26,27,28,29,30}-1)*LEN(Registro!$G452)+1,LEN(Registro!$G452)))&amp;"x")+1,20))),"Revisar formato")))</f>
        <v/>
      </c>
      <c r="J452" s="9" t="str">
        <f>IF(AND(Registro!$E452="",Registro!$G452=""),"",IF(NOT(AND(ISNUMBER(I452),ISNUMBER(Registro!$H452))),"",IF(I452&lt;Registro!$H452,"FALTA BOLETOS",IF(I452=Registro!$H452,"CONFORME","DIFERENCIA"))))</f>
        <v/>
      </c>
      <c r="K452" s="11" t="str">
        <f>IF(Registro!$I452="","",IFERROR(SUMPRODUCT(--("0"&amp;TRIM(RIGHT(SUBSTITUTE(TRIM(MID(SUBSTITUTE(SUBSTITUTE(Registro!$I452,";",CHAR(10)),CHAR(10),REPT(" ",LEN(Registro!$I452))),({1,2,3,4,5,6,7,8,9,10,11,12,13,14,15,16,17,18,19,20,21,22,23,24,25,26,27,28,29,30}-1)*LEN(Registro!$I452)+1,LEN(Registro!$I452)))," ",REPT(" ",50)),50)))),"Revisar formato"))</f>
        <v/>
      </c>
      <c r="L452" s="11" t="str">
        <f>IF(Registro!$J452="","",IFERROR(SUMPRODUCT(--("0"&amp;TRIM(RIGHT(SUBSTITUTE(TRIM(MID(SUBSTITUTE(SUBSTITUTE(Registro!$J452,";",CHAR(10)),CHAR(10),REPT(" ",LEN(Registro!$J452))),({1,2,3,4,5,6,7,8,9,10,11,12,13,14,15,16,17,18,19,20,21,22,23,24,25,26,27,28,29,30}-1)*LEN(Registro!$J452)+1,LEN(Registro!$J452)))," ",REPT(" ",50)),50)))),"Revisar formato"))</f>
        <v/>
      </c>
      <c r="M452" s="11" t="str">
        <f>IF(AND(Registro!$H452="",Registro!$I452=""),"",IF(AND(ISTEXT(K452),K452&lt;&gt;""),"Revisar formato",N(Registro!$H452)-N(K452)))</f>
        <v/>
      </c>
      <c r="N452" s="11" t="str">
        <f t="shared" si="23"/>
        <v/>
      </c>
      <c r="O452" s="15" t="str">
        <f>IF(AND(A452=Consulta!$B$3,C452=Consulta!$H$3),B452*10000+ROW(),"")</f>
        <v/>
      </c>
    </row>
    <row r="453" spans="1:15" x14ac:dyDescent="0.25">
      <c r="A453" s="9" t="str">
        <f>IF(Registro!$A453="","",Registro!$A453)</f>
        <v/>
      </c>
      <c r="B453" s="8" t="str">
        <f>IF(Registro!$B453="","",Registro!$B453)</f>
        <v/>
      </c>
      <c r="C453" s="14" t="str">
        <f t="shared" si="21"/>
        <v/>
      </c>
      <c r="D453" s="10" t="str">
        <f>IF(Registro!$E453="","",IF(ISERROR(FIND("x",LOWER(Registro!$E453))),"-",IFERROR(SUMPRODUCT(--("0"&amp;LEFT(TRIM(MID(SUBSTITUTE(SUBSTITUTE(SUBSTITUTE(SUBSTITUTE(SUBSTITUTE(LOWER(Registro!$E453),"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",LEN(Registro!$E453))),({1,2,3,4,5,6,7,8,9,10,11,12,13,14,15,16,17,18,19,20,21,22,23,24,25,26,27,28,29,30}-1)*LEN(Registro!$E453)+1,LEN(Registro!$E453)))&amp;"x")-1))),"Revisar formato")))</f>
        <v/>
      </c>
      <c r="E453" s="11" t="str">
        <f>IF(Registro!$E453="","",IF(ISERROR(FIND("x",LOWER(Registro!$E453))),"-",IFERROR(SUMPRODUCT(--("0"&amp;LEFT(TRIM(MID(SUBSTITUTE(SUBSTITUTE(SUBSTITUTE(SUBSTITUTE(SUBSTITUTE(LOWER(Registro!$E453),"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",LEN(Registro!$E453))),({1,2,3,4,5,6,7,8,9,10,11,12,13,14,15,16,17,18,19,20,21,22,23,24,25,26,27,28,29,30}-1)*LEN(Registro!$E453)+1,LEN(Registro!$E453)))&amp;"x")-1)),--("0"&amp;MID(TRIM(MID(SUBSTITUTE(SUBSTITUTE(SUBSTITUTE(SUBSTITUTE(SUBSTITUTE(LOWER(Registro!$E453),"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",LEN(Registro!$E453))),({1,2,3,4,5,6,7,8,9,10,11,12,13,14,15,16,17,18,19,20,21,22,23,24,25,26,27,28,29,30}-1)*LEN(Registro!$E453)+1,LEN(Registro!$E453)))&amp;"x")+1,20))),"Revisar formato")))</f>
        <v/>
      </c>
      <c r="F453" s="11" t="str">
        <f>IF(Registro!$F453="","",N(Registro!$F453))</f>
        <v/>
      </c>
      <c r="G453" s="11" t="str">
        <f t="shared" si="22"/>
        <v/>
      </c>
      <c r="H453" s="10" t="str">
        <f>IF(Registro!$G453="","",IF(ISERROR(FIND("x",LOWER(Registro!$G453))),"-",IFERROR(SUMPRODUCT(--("0"&amp;LEFT(TRIM(MID(SUBSTITUTE(SUBSTITUTE(SUBSTITUTE(SUBSTITUTE(SUBSTITUTE(LOWER(Registro!$G453),"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",LEN(Registro!$G453))),({1,2,3,4,5,6,7,8,9,10,11,12,13,14,15,16,17,18,19,20,21,22,23,24,25,26,27,28,29,30}-1)*LEN(Registro!$G453)+1,LEN(Registro!$G453))),FIND("x",TRIM(MID(SUBSTITUTE(SUBSTITUTE(SUBSTITUTE(SUBSTITUTE(SUBSTITUTE(LOWER(Registro!$G453),"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",LEN(Registro!$G453))),({1,2,3,4,5,6,7,8,9,10,11,12,13,14,15,16,17,18,19,20,21,22,23,24,25,26,27,28,29,30}-1)*LEN(Registro!$G453)+1,LEN(Registro!$G453)))&amp;"x")-1))),"Revisar formato")))</f>
        <v/>
      </c>
      <c r="I453" s="11" t="str">
        <f>IF(Registro!$G453="","",IF(ISERROR(FIND("x",LOWER(Registro!$G453))),N(Registro!$H453),IFERROR(SUMPRODUCT(--("0"&amp;LEFT(TRIM(MID(SUBSTITUTE(SUBSTITUTE(SUBSTITUTE(SUBSTITUTE(SUBSTITUTE(LOWER(Registro!$G453),"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",LEN(Registro!$G453))),({1,2,3,4,5,6,7,8,9,10,11,12,13,14,15,16,17,18,19,20,21,22,23,24,25,26,27,28,29,30}-1)*LEN(Registro!$G453)+1,LEN(Registro!$G453))),FIND("x",TRIM(MID(SUBSTITUTE(SUBSTITUTE(SUBSTITUTE(SUBSTITUTE(SUBSTITUTE(LOWER(Registro!$G453),"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",LEN(Registro!$G453))),({1,2,3,4,5,6,7,8,9,10,11,12,13,14,15,16,17,18,19,20,21,22,23,24,25,26,27,28,29,30}-1)*LEN(Registro!$G453)+1,LEN(Registro!$G453)))&amp;"x")-1)),--("0"&amp;MID(TRIM(MID(SUBSTITUTE(SUBSTITUTE(SUBSTITUTE(SUBSTITUTE(SUBSTITUTE(LOWER(Registro!$G453),"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",LEN(Registro!$G453))),({1,2,3,4,5,6,7,8,9,10,11,12,13,14,15,16,17,18,19,20,21,22,23,24,25,26,27,28,29,30}-1)*LEN(Registro!$G453)+1,LEN(Registro!$G453))),FIND("x",TRIM(MID(SUBSTITUTE(SUBSTITUTE(SUBSTITUTE(SUBSTITUTE(SUBSTITUTE(LOWER(Registro!$G453),"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",LEN(Registro!$G453))),({1,2,3,4,5,6,7,8,9,10,11,12,13,14,15,16,17,18,19,20,21,22,23,24,25,26,27,28,29,30}-1)*LEN(Registro!$G453)+1,LEN(Registro!$G453)))&amp;"x")+1,20))),"Revisar formato")))</f>
        <v/>
      </c>
      <c r="J453" s="9" t="str">
        <f>IF(AND(Registro!$E453="",Registro!$G453=""),"",IF(NOT(AND(ISNUMBER(I453),ISNUMBER(Registro!$H453))),"",IF(I453&lt;Registro!$H453,"FALTA BOLETOS",IF(I453=Registro!$H453,"CONFORME","DIFERENCIA"))))</f>
        <v/>
      </c>
      <c r="K453" s="11" t="str">
        <f>IF(Registro!$I453="","",IFERROR(SUMPRODUCT(--("0"&amp;TRIM(RIGHT(SUBSTITUTE(TRIM(MID(SUBSTITUTE(SUBSTITUTE(Registro!$I453,";",CHAR(10)),CHAR(10),REPT(" ",LEN(Registro!$I453))),({1,2,3,4,5,6,7,8,9,10,11,12,13,14,15,16,17,18,19,20,21,22,23,24,25,26,27,28,29,30}-1)*LEN(Registro!$I453)+1,LEN(Registro!$I453)))," ",REPT(" ",50)),50)))),"Revisar formato"))</f>
        <v/>
      </c>
      <c r="L453" s="11" t="str">
        <f>IF(Registro!$J453="","",IFERROR(SUMPRODUCT(--("0"&amp;TRIM(RIGHT(SUBSTITUTE(TRIM(MID(SUBSTITUTE(SUBSTITUTE(Registro!$J453,";",CHAR(10)),CHAR(10),REPT(" ",LEN(Registro!$J453))),({1,2,3,4,5,6,7,8,9,10,11,12,13,14,15,16,17,18,19,20,21,22,23,24,25,26,27,28,29,30}-1)*LEN(Registro!$J453)+1,LEN(Registro!$J453)))," ",REPT(" ",50)),50)))),"Revisar formato"))</f>
        <v/>
      </c>
      <c r="M453" s="11" t="str">
        <f>IF(AND(Registro!$H453="",Registro!$I453=""),"",IF(AND(ISTEXT(K453),K453&lt;&gt;""),"Revisar formato",N(Registro!$H453)-N(K453)))</f>
        <v/>
      </c>
      <c r="N453" s="11" t="str">
        <f t="shared" si="23"/>
        <v/>
      </c>
      <c r="O453" s="15" t="str">
        <f>IF(AND(A453=Consulta!$B$3,C453=Consulta!$H$3),B453*10000+ROW(),"")</f>
        <v/>
      </c>
    </row>
    <row r="454" spans="1:15" x14ac:dyDescent="0.25">
      <c r="A454" s="9" t="str">
        <f>IF(Registro!$A454="","",Registro!$A454)</f>
        <v/>
      </c>
      <c r="B454" s="8" t="str">
        <f>IF(Registro!$B454="","",Registro!$B454)</f>
        <v/>
      </c>
      <c r="C454" s="14" t="str">
        <f t="shared" si="21"/>
        <v/>
      </c>
      <c r="D454" s="10" t="str">
        <f>IF(Registro!$E454="","",IF(ISERROR(FIND("x",LOWER(Registro!$E454))),"-",IFERROR(SUMPRODUCT(--("0"&amp;LEFT(TRIM(MID(SUBSTITUTE(SUBSTITUTE(SUBSTITUTE(SUBSTITUTE(SUBSTITUTE(LOWER(Registro!$E454),"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",LEN(Registro!$E454))),({1,2,3,4,5,6,7,8,9,10,11,12,13,14,15,16,17,18,19,20,21,22,23,24,25,26,27,28,29,30}-1)*LEN(Registro!$E454)+1,LEN(Registro!$E454)))&amp;"x")-1))),"Revisar formato")))</f>
        <v/>
      </c>
      <c r="E454" s="11" t="str">
        <f>IF(Registro!$E454="","",IF(ISERROR(FIND("x",LOWER(Registro!$E454))),"-",IFERROR(SUMPRODUCT(--("0"&amp;LEFT(TRIM(MID(SUBSTITUTE(SUBSTITUTE(SUBSTITUTE(SUBSTITUTE(SUBSTITUTE(LOWER(Registro!$E454),"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",LEN(Registro!$E454))),({1,2,3,4,5,6,7,8,9,10,11,12,13,14,15,16,17,18,19,20,21,22,23,24,25,26,27,28,29,30}-1)*LEN(Registro!$E454)+1,LEN(Registro!$E454)))&amp;"x")-1)),--("0"&amp;MID(TRIM(MID(SUBSTITUTE(SUBSTITUTE(SUBSTITUTE(SUBSTITUTE(SUBSTITUTE(LOWER(Registro!$E454),"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",LEN(Registro!$E454))),({1,2,3,4,5,6,7,8,9,10,11,12,13,14,15,16,17,18,19,20,21,22,23,24,25,26,27,28,29,30}-1)*LEN(Registro!$E454)+1,LEN(Registro!$E454)))&amp;"x")+1,20))),"Revisar formato")))</f>
        <v/>
      </c>
      <c r="F454" s="11" t="str">
        <f>IF(Registro!$F454="","",N(Registro!$F454))</f>
        <v/>
      </c>
      <c r="G454" s="11" t="str">
        <f t="shared" si="22"/>
        <v/>
      </c>
      <c r="H454" s="10" t="str">
        <f>IF(Registro!$G454="","",IF(ISERROR(FIND("x",LOWER(Registro!$G454))),"-",IFERROR(SUMPRODUCT(--("0"&amp;LEFT(TRIM(MID(SUBSTITUTE(SUBSTITUTE(SUBSTITUTE(SUBSTITUTE(SUBSTITUTE(LOWER(Registro!$G454),"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",LEN(Registro!$G454))),({1,2,3,4,5,6,7,8,9,10,11,12,13,14,15,16,17,18,19,20,21,22,23,24,25,26,27,28,29,30}-1)*LEN(Registro!$G454)+1,LEN(Registro!$G454))),FIND("x",TRIM(MID(SUBSTITUTE(SUBSTITUTE(SUBSTITUTE(SUBSTITUTE(SUBSTITUTE(LOWER(Registro!$G454),"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",LEN(Registro!$G454))),({1,2,3,4,5,6,7,8,9,10,11,12,13,14,15,16,17,18,19,20,21,22,23,24,25,26,27,28,29,30}-1)*LEN(Registro!$G454)+1,LEN(Registro!$G454)))&amp;"x")-1))),"Revisar formato")))</f>
        <v/>
      </c>
      <c r="I454" s="11" t="str">
        <f>IF(Registro!$G454="","",IF(ISERROR(FIND("x",LOWER(Registro!$G454))),N(Registro!$H454),IFERROR(SUMPRODUCT(--("0"&amp;LEFT(TRIM(MID(SUBSTITUTE(SUBSTITUTE(SUBSTITUTE(SUBSTITUTE(SUBSTITUTE(LOWER(Registro!$G454),"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",LEN(Registro!$G454))),({1,2,3,4,5,6,7,8,9,10,11,12,13,14,15,16,17,18,19,20,21,22,23,24,25,26,27,28,29,30}-1)*LEN(Registro!$G454)+1,LEN(Registro!$G454))),FIND("x",TRIM(MID(SUBSTITUTE(SUBSTITUTE(SUBSTITUTE(SUBSTITUTE(SUBSTITUTE(LOWER(Registro!$G454),"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",LEN(Registro!$G454))),({1,2,3,4,5,6,7,8,9,10,11,12,13,14,15,16,17,18,19,20,21,22,23,24,25,26,27,28,29,30}-1)*LEN(Registro!$G454)+1,LEN(Registro!$G454)))&amp;"x")-1)),--("0"&amp;MID(TRIM(MID(SUBSTITUTE(SUBSTITUTE(SUBSTITUTE(SUBSTITUTE(SUBSTITUTE(LOWER(Registro!$G454),"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",LEN(Registro!$G454))),({1,2,3,4,5,6,7,8,9,10,11,12,13,14,15,16,17,18,19,20,21,22,23,24,25,26,27,28,29,30}-1)*LEN(Registro!$G454)+1,LEN(Registro!$G454))),FIND("x",TRIM(MID(SUBSTITUTE(SUBSTITUTE(SUBSTITUTE(SUBSTITUTE(SUBSTITUTE(LOWER(Registro!$G454),"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",LEN(Registro!$G454))),({1,2,3,4,5,6,7,8,9,10,11,12,13,14,15,16,17,18,19,20,21,22,23,24,25,26,27,28,29,30}-1)*LEN(Registro!$G454)+1,LEN(Registro!$G454)))&amp;"x")+1,20))),"Revisar formato")))</f>
        <v/>
      </c>
      <c r="J454" s="9" t="str">
        <f>IF(AND(Registro!$E454="",Registro!$G454=""),"",IF(NOT(AND(ISNUMBER(I454),ISNUMBER(Registro!$H454))),"",IF(I454&lt;Registro!$H454,"FALTA BOLETOS",IF(I454=Registro!$H454,"CONFORME","DIFERENCIA"))))</f>
        <v/>
      </c>
      <c r="K454" s="11" t="str">
        <f>IF(Registro!$I454="","",IFERROR(SUMPRODUCT(--("0"&amp;TRIM(RIGHT(SUBSTITUTE(TRIM(MID(SUBSTITUTE(SUBSTITUTE(Registro!$I454,";",CHAR(10)),CHAR(10),REPT(" ",LEN(Registro!$I454))),({1,2,3,4,5,6,7,8,9,10,11,12,13,14,15,16,17,18,19,20,21,22,23,24,25,26,27,28,29,30}-1)*LEN(Registro!$I454)+1,LEN(Registro!$I454)))," ",REPT(" ",50)),50)))),"Revisar formato"))</f>
        <v/>
      </c>
      <c r="L454" s="11" t="str">
        <f>IF(Registro!$J454="","",IFERROR(SUMPRODUCT(--("0"&amp;TRIM(RIGHT(SUBSTITUTE(TRIM(MID(SUBSTITUTE(SUBSTITUTE(Registro!$J454,";",CHAR(10)),CHAR(10),REPT(" ",LEN(Registro!$J454))),({1,2,3,4,5,6,7,8,9,10,11,12,13,14,15,16,17,18,19,20,21,22,23,24,25,26,27,28,29,30}-1)*LEN(Registro!$J454)+1,LEN(Registro!$J454)))," ",REPT(" ",50)),50)))),"Revisar formato"))</f>
        <v/>
      </c>
      <c r="M454" s="11" t="str">
        <f>IF(AND(Registro!$H454="",Registro!$I454=""),"",IF(AND(ISTEXT(K454),K454&lt;&gt;""),"Revisar formato",N(Registro!$H454)-N(K454)))</f>
        <v/>
      </c>
      <c r="N454" s="11" t="str">
        <f t="shared" si="23"/>
        <v/>
      </c>
      <c r="O454" s="15" t="str">
        <f>IF(AND(A454=Consulta!$B$3,C454=Consulta!$H$3),B454*10000+ROW(),"")</f>
        <v/>
      </c>
    </row>
    <row r="455" spans="1:15" x14ac:dyDescent="0.25">
      <c r="A455" s="9" t="str">
        <f>IF(Registro!$A455="","",Registro!$A455)</f>
        <v/>
      </c>
      <c r="B455" s="8" t="str">
        <f>IF(Registro!$B455="","",Registro!$B455)</f>
        <v/>
      </c>
      <c r="C455" s="14" t="str">
        <f t="shared" si="21"/>
        <v/>
      </c>
      <c r="D455" s="10" t="str">
        <f>IF(Registro!$E455="","",IF(ISERROR(FIND("x",LOWER(Registro!$E455))),"-",IFERROR(SUMPRODUCT(--("0"&amp;LEFT(TRIM(MID(SUBSTITUTE(SUBSTITUTE(SUBSTITUTE(SUBSTITUTE(SUBSTITUTE(LOWER(Registro!$E455),"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",LEN(Registro!$E455))),({1,2,3,4,5,6,7,8,9,10,11,12,13,14,15,16,17,18,19,20,21,22,23,24,25,26,27,28,29,30}-1)*LEN(Registro!$E455)+1,LEN(Registro!$E455)))&amp;"x")-1))),"Revisar formato")))</f>
        <v/>
      </c>
      <c r="E455" s="11" t="str">
        <f>IF(Registro!$E455="","",IF(ISERROR(FIND("x",LOWER(Registro!$E455))),"-",IFERROR(SUMPRODUCT(--("0"&amp;LEFT(TRIM(MID(SUBSTITUTE(SUBSTITUTE(SUBSTITUTE(SUBSTITUTE(SUBSTITUTE(LOWER(Registro!$E455),"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",LEN(Registro!$E455))),({1,2,3,4,5,6,7,8,9,10,11,12,13,14,15,16,17,18,19,20,21,22,23,24,25,26,27,28,29,30}-1)*LEN(Registro!$E455)+1,LEN(Registro!$E455)))&amp;"x")-1)),--("0"&amp;MID(TRIM(MID(SUBSTITUTE(SUBSTITUTE(SUBSTITUTE(SUBSTITUTE(SUBSTITUTE(LOWER(Registro!$E455),"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",LEN(Registro!$E455))),({1,2,3,4,5,6,7,8,9,10,11,12,13,14,15,16,17,18,19,20,21,22,23,24,25,26,27,28,29,30}-1)*LEN(Registro!$E455)+1,LEN(Registro!$E455)))&amp;"x")+1,20))),"Revisar formato")))</f>
        <v/>
      </c>
      <c r="F455" s="11" t="str">
        <f>IF(Registro!$F455="","",N(Registro!$F455))</f>
        <v/>
      </c>
      <c r="G455" s="11" t="str">
        <f t="shared" si="22"/>
        <v/>
      </c>
      <c r="H455" s="10" t="str">
        <f>IF(Registro!$G455="","",IF(ISERROR(FIND("x",LOWER(Registro!$G455))),"-",IFERROR(SUMPRODUCT(--("0"&amp;LEFT(TRIM(MID(SUBSTITUTE(SUBSTITUTE(SUBSTITUTE(SUBSTITUTE(SUBSTITUTE(LOWER(Registro!$G455),"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",LEN(Registro!$G455))),({1,2,3,4,5,6,7,8,9,10,11,12,13,14,15,16,17,18,19,20,21,22,23,24,25,26,27,28,29,30}-1)*LEN(Registro!$G455)+1,LEN(Registro!$G455))),FIND("x",TRIM(MID(SUBSTITUTE(SUBSTITUTE(SUBSTITUTE(SUBSTITUTE(SUBSTITUTE(LOWER(Registro!$G455),"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",LEN(Registro!$G455))),({1,2,3,4,5,6,7,8,9,10,11,12,13,14,15,16,17,18,19,20,21,22,23,24,25,26,27,28,29,30}-1)*LEN(Registro!$G455)+1,LEN(Registro!$G455)))&amp;"x")-1))),"Revisar formato")))</f>
        <v/>
      </c>
      <c r="I455" s="11" t="str">
        <f>IF(Registro!$G455="","",IF(ISERROR(FIND("x",LOWER(Registro!$G455))),N(Registro!$H455),IFERROR(SUMPRODUCT(--("0"&amp;LEFT(TRIM(MID(SUBSTITUTE(SUBSTITUTE(SUBSTITUTE(SUBSTITUTE(SUBSTITUTE(LOWER(Registro!$G455),"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",LEN(Registro!$G455))),({1,2,3,4,5,6,7,8,9,10,11,12,13,14,15,16,17,18,19,20,21,22,23,24,25,26,27,28,29,30}-1)*LEN(Registro!$G455)+1,LEN(Registro!$G455))),FIND("x",TRIM(MID(SUBSTITUTE(SUBSTITUTE(SUBSTITUTE(SUBSTITUTE(SUBSTITUTE(LOWER(Registro!$G455),"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",LEN(Registro!$G455))),({1,2,3,4,5,6,7,8,9,10,11,12,13,14,15,16,17,18,19,20,21,22,23,24,25,26,27,28,29,30}-1)*LEN(Registro!$G455)+1,LEN(Registro!$G455)))&amp;"x")-1)),--("0"&amp;MID(TRIM(MID(SUBSTITUTE(SUBSTITUTE(SUBSTITUTE(SUBSTITUTE(SUBSTITUTE(LOWER(Registro!$G455),"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",LEN(Registro!$G455))),({1,2,3,4,5,6,7,8,9,10,11,12,13,14,15,16,17,18,19,20,21,22,23,24,25,26,27,28,29,30}-1)*LEN(Registro!$G455)+1,LEN(Registro!$G455))),FIND("x",TRIM(MID(SUBSTITUTE(SUBSTITUTE(SUBSTITUTE(SUBSTITUTE(SUBSTITUTE(LOWER(Registro!$G455),"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",LEN(Registro!$G455))),({1,2,3,4,5,6,7,8,9,10,11,12,13,14,15,16,17,18,19,20,21,22,23,24,25,26,27,28,29,30}-1)*LEN(Registro!$G455)+1,LEN(Registro!$G455)))&amp;"x")+1,20))),"Revisar formato")))</f>
        <v/>
      </c>
      <c r="J455" s="9" t="str">
        <f>IF(AND(Registro!$E455="",Registro!$G455=""),"",IF(NOT(AND(ISNUMBER(I455),ISNUMBER(Registro!$H455))),"",IF(I455&lt;Registro!$H455,"FALTA BOLETOS",IF(I455=Registro!$H455,"CONFORME","DIFERENCIA"))))</f>
        <v/>
      </c>
      <c r="K455" s="11" t="str">
        <f>IF(Registro!$I455="","",IFERROR(SUMPRODUCT(--("0"&amp;TRIM(RIGHT(SUBSTITUTE(TRIM(MID(SUBSTITUTE(SUBSTITUTE(Registro!$I455,";",CHAR(10)),CHAR(10),REPT(" ",LEN(Registro!$I455))),({1,2,3,4,5,6,7,8,9,10,11,12,13,14,15,16,17,18,19,20,21,22,23,24,25,26,27,28,29,30}-1)*LEN(Registro!$I455)+1,LEN(Registro!$I455)))," ",REPT(" ",50)),50)))),"Revisar formato"))</f>
        <v/>
      </c>
      <c r="L455" s="11" t="str">
        <f>IF(Registro!$J455="","",IFERROR(SUMPRODUCT(--("0"&amp;TRIM(RIGHT(SUBSTITUTE(TRIM(MID(SUBSTITUTE(SUBSTITUTE(Registro!$J455,";",CHAR(10)),CHAR(10),REPT(" ",LEN(Registro!$J455))),({1,2,3,4,5,6,7,8,9,10,11,12,13,14,15,16,17,18,19,20,21,22,23,24,25,26,27,28,29,30}-1)*LEN(Registro!$J455)+1,LEN(Registro!$J455)))," ",REPT(" ",50)),50)))),"Revisar formato"))</f>
        <v/>
      </c>
      <c r="M455" s="11" t="str">
        <f>IF(AND(Registro!$H455="",Registro!$I455=""),"",IF(AND(ISTEXT(K455),K455&lt;&gt;""),"Revisar formato",N(Registro!$H455)-N(K455)))</f>
        <v/>
      </c>
      <c r="N455" s="11" t="str">
        <f t="shared" si="23"/>
        <v/>
      </c>
      <c r="O455" s="15" t="str">
        <f>IF(AND(A455=Consulta!$B$3,C455=Consulta!$H$3),B455*10000+ROW(),"")</f>
        <v/>
      </c>
    </row>
    <row r="456" spans="1:15" x14ac:dyDescent="0.25">
      <c r="A456" s="9" t="str">
        <f>IF(Registro!$A456="","",Registro!$A456)</f>
        <v/>
      </c>
      <c r="B456" s="8" t="str">
        <f>IF(Registro!$B456="","",Registro!$B456)</f>
        <v/>
      </c>
      <c r="C456" s="14" t="str">
        <f t="shared" si="21"/>
        <v/>
      </c>
      <c r="D456" s="10" t="str">
        <f>IF(Registro!$E456="","",IF(ISERROR(FIND("x",LOWER(Registro!$E456))),"-",IFERROR(SUMPRODUCT(--("0"&amp;LEFT(TRIM(MID(SUBSTITUTE(SUBSTITUTE(SUBSTITUTE(SUBSTITUTE(SUBSTITUTE(LOWER(Registro!$E456),"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",LEN(Registro!$E456))),({1,2,3,4,5,6,7,8,9,10,11,12,13,14,15,16,17,18,19,20,21,22,23,24,25,26,27,28,29,30}-1)*LEN(Registro!$E456)+1,LEN(Registro!$E456)))&amp;"x")-1))),"Revisar formato")))</f>
        <v/>
      </c>
      <c r="E456" s="11" t="str">
        <f>IF(Registro!$E456="","",IF(ISERROR(FIND("x",LOWER(Registro!$E456))),"-",IFERROR(SUMPRODUCT(--("0"&amp;LEFT(TRIM(MID(SUBSTITUTE(SUBSTITUTE(SUBSTITUTE(SUBSTITUTE(SUBSTITUTE(LOWER(Registro!$E456),"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",LEN(Registro!$E456))),({1,2,3,4,5,6,7,8,9,10,11,12,13,14,15,16,17,18,19,20,21,22,23,24,25,26,27,28,29,30}-1)*LEN(Registro!$E456)+1,LEN(Registro!$E456)))&amp;"x")-1)),--("0"&amp;MID(TRIM(MID(SUBSTITUTE(SUBSTITUTE(SUBSTITUTE(SUBSTITUTE(SUBSTITUTE(LOWER(Registro!$E456),"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",LEN(Registro!$E456))),({1,2,3,4,5,6,7,8,9,10,11,12,13,14,15,16,17,18,19,20,21,22,23,24,25,26,27,28,29,30}-1)*LEN(Registro!$E456)+1,LEN(Registro!$E456)))&amp;"x")+1,20))),"Revisar formato")))</f>
        <v/>
      </c>
      <c r="F456" s="11" t="str">
        <f>IF(Registro!$F456="","",N(Registro!$F456))</f>
        <v/>
      </c>
      <c r="G456" s="11" t="str">
        <f t="shared" si="22"/>
        <v/>
      </c>
      <c r="H456" s="10" t="str">
        <f>IF(Registro!$G456="","",IF(ISERROR(FIND("x",LOWER(Registro!$G456))),"-",IFERROR(SUMPRODUCT(--("0"&amp;LEFT(TRIM(MID(SUBSTITUTE(SUBSTITUTE(SUBSTITUTE(SUBSTITUTE(SUBSTITUTE(LOWER(Registro!$G456),"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",LEN(Registro!$G456))),({1,2,3,4,5,6,7,8,9,10,11,12,13,14,15,16,17,18,19,20,21,22,23,24,25,26,27,28,29,30}-1)*LEN(Registro!$G456)+1,LEN(Registro!$G456))),FIND("x",TRIM(MID(SUBSTITUTE(SUBSTITUTE(SUBSTITUTE(SUBSTITUTE(SUBSTITUTE(LOWER(Registro!$G456),"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",LEN(Registro!$G456))),({1,2,3,4,5,6,7,8,9,10,11,12,13,14,15,16,17,18,19,20,21,22,23,24,25,26,27,28,29,30}-1)*LEN(Registro!$G456)+1,LEN(Registro!$G456)))&amp;"x")-1))),"Revisar formato")))</f>
        <v/>
      </c>
      <c r="I456" s="11" t="str">
        <f>IF(Registro!$G456="","",IF(ISERROR(FIND("x",LOWER(Registro!$G456))),N(Registro!$H456),IFERROR(SUMPRODUCT(--("0"&amp;LEFT(TRIM(MID(SUBSTITUTE(SUBSTITUTE(SUBSTITUTE(SUBSTITUTE(SUBSTITUTE(LOWER(Registro!$G456),"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",LEN(Registro!$G456))),({1,2,3,4,5,6,7,8,9,10,11,12,13,14,15,16,17,18,19,20,21,22,23,24,25,26,27,28,29,30}-1)*LEN(Registro!$G456)+1,LEN(Registro!$G456))),FIND("x",TRIM(MID(SUBSTITUTE(SUBSTITUTE(SUBSTITUTE(SUBSTITUTE(SUBSTITUTE(LOWER(Registro!$G456),"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",LEN(Registro!$G456))),({1,2,3,4,5,6,7,8,9,10,11,12,13,14,15,16,17,18,19,20,21,22,23,24,25,26,27,28,29,30}-1)*LEN(Registro!$G456)+1,LEN(Registro!$G456)))&amp;"x")-1)),--("0"&amp;MID(TRIM(MID(SUBSTITUTE(SUBSTITUTE(SUBSTITUTE(SUBSTITUTE(SUBSTITUTE(LOWER(Registro!$G456),"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",LEN(Registro!$G456))),({1,2,3,4,5,6,7,8,9,10,11,12,13,14,15,16,17,18,19,20,21,22,23,24,25,26,27,28,29,30}-1)*LEN(Registro!$G456)+1,LEN(Registro!$G456))),FIND("x",TRIM(MID(SUBSTITUTE(SUBSTITUTE(SUBSTITUTE(SUBSTITUTE(SUBSTITUTE(LOWER(Registro!$G456),"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",LEN(Registro!$G456))),({1,2,3,4,5,6,7,8,9,10,11,12,13,14,15,16,17,18,19,20,21,22,23,24,25,26,27,28,29,30}-1)*LEN(Registro!$G456)+1,LEN(Registro!$G456)))&amp;"x")+1,20))),"Revisar formato")))</f>
        <v/>
      </c>
      <c r="J456" s="9" t="str">
        <f>IF(AND(Registro!$E456="",Registro!$G456=""),"",IF(NOT(AND(ISNUMBER(I456),ISNUMBER(Registro!$H456))),"",IF(I456&lt;Registro!$H456,"FALTA BOLETOS",IF(I456=Registro!$H456,"CONFORME","DIFERENCIA"))))</f>
        <v/>
      </c>
      <c r="K456" s="11" t="str">
        <f>IF(Registro!$I456="","",IFERROR(SUMPRODUCT(--("0"&amp;TRIM(RIGHT(SUBSTITUTE(TRIM(MID(SUBSTITUTE(SUBSTITUTE(Registro!$I456,";",CHAR(10)),CHAR(10),REPT(" ",LEN(Registro!$I456))),({1,2,3,4,5,6,7,8,9,10,11,12,13,14,15,16,17,18,19,20,21,22,23,24,25,26,27,28,29,30}-1)*LEN(Registro!$I456)+1,LEN(Registro!$I456)))," ",REPT(" ",50)),50)))),"Revisar formato"))</f>
        <v/>
      </c>
      <c r="L456" s="11" t="str">
        <f>IF(Registro!$J456="","",IFERROR(SUMPRODUCT(--("0"&amp;TRIM(RIGHT(SUBSTITUTE(TRIM(MID(SUBSTITUTE(SUBSTITUTE(Registro!$J456,";",CHAR(10)),CHAR(10),REPT(" ",LEN(Registro!$J456))),({1,2,3,4,5,6,7,8,9,10,11,12,13,14,15,16,17,18,19,20,21,22,23,24,25,26,27,28,29,30}-1)*LEN(Registro!$J456)+1,LEN(Registro!$J456)))," ",REPT(" ",50)),50)))),"Revisar formato"))</f>
        <v/>
      </c>
      <c r="M456" s="11" t="str">
        <f>IF(AND(Registro!$H456="",Registro!$I456=""),"",IF(AND(ISTEXT(K456),K456&lt;&gt;""),"Revisar formato",N(Registro!$H456)-N(K456)))</f>
        <v/>
      </c>
      <c r="N456" s="11" t="str">
        <f t="shared" si="23"/>
        <v/>
      </c>
      <c r="O456" s="15" t="str">
        <f>IF(AND(A456=Consulta!$B$3,C456=Consulta!$H$3),B456*10000+ROW(),"")</f>
        <v/>
      </c>
    </row>
    <row r="457" spans="1:15" x14ac:dyDescent="0.25">
      <c r="A457" s="9" t="str">
        <f>IF(Registro!$A457="","",Registro!$A457)</f>
        <v/>
      </c>
      <c r="B457" s="8" t="str">
        <f>IF(Registro!$B457="","",Registro!$B457)</f>
        <v/>
      </c>
      <c r="C457" s="14" t="str">
        <f t="shared" si="21"/>
        <v/>
      </c>
      <c r="D457" s="10" t="str">
        <f>IF(Registro!$E457="","",IF(ISERROR(FIND("x",LOWER(Registro!$E457))),"-",IFERROR(SUMPRODUCT(--("0"&amp;LEFT(TRIM(MID(SUBSTITUTE(SUBSTITUTE(SUBSTITUTE(SUBSTITUTE(SUBSTITUTE(LOWER(Registro!$E457),"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",LEN(Registro!$E457))),({1,2,3,4,5,6,7,8,9,10,11,12,13,14,15,16,17,18,19,20,21,22,23,24,25,26,27,28,29,30}-1)*LEN(Registro!$E457)+1,LEN(Registro!$E457)))&amp;"x")-1))),"Revisar formato")))</f>
        <v/>
      </c>
      <c r="E457" s="11" t="str">
        <f>IF(Registro!$E457="","",IF(ISERROR(FIND("x",LOWER(Registro!$E457))),"-",IFERROR(SUMPRODUCT(--("0"&amp;LEFT(TRIM(MID(SUBSTITUTE(SUBSTITUTE(SUBSTITUTE(SUBSTITUTE(SUBSTITUTE(LOWER(Registro!$E457),"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",LEN(Registro!$E457))),({1,2,3,4,5,6,7,8,9,10,11,12,13,14,15,16,17,18,19,20,21,22,23,24,25,26,27,28,29,30}-1)*LEN(Registro!$E457)+1,LEN(Registro!$E457)))&amp;"x")-1)),--("0"&amp;MID(TRIM(MID(SUBSTITUTE(SUBSTITUTE(SUBSTITUTE(SUBSTITUTE(SUBSTITUTE(LOWER(Registro!$E457),"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",LEN(Registro!$E457))),({1,2,3,4,5,6,7,8,9,10,11,12,13,14,15,16,17,18,19,20,21,22,23,24,25,26,27,28,29,30}-1)*LEN(Registro!$E457)+1,LEN(Registro!$E457)))&amp;"x")+1,20))),"Revisar formato")))</f>
        <v/>
      </c>
      <c r="F457" s="11" t="str">
        <f>IF(Registro!$F457="","",N(Registro!$F457))</f>
        <v/>
      </c>
      <c r="G457" s="11" t="str">
        <f t="shared" si="22"/>
        <v/>
      </c>
      <c r="H457" s="10" t="str">
        <f>IF(Registro!$G457="","",IF(ISERROR(FIND("x",LOWER(Registro!$G457))),"-",IFERROR(SUMPRODUCT(--("0"&amp;LEFT(TRIM(MID(SUBSTITUTE(SUBSTITUTE(SUBSTITUTE(SUBSTITUTE(SUBSTITUTE(LOWER(Registro!$G457),"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",LEN(Registro!$G457))),({1,2,3,4,5,6,7,8,9,10,11,12,13,14,15,16,17,18,19,20,21,22,23,24,25,26,27,28,29,30}-1)*LEN(Registro!$G457)+1,LEN(Registro!$G457))),FIND("x",TRIM(MID(SUBSTITUTE(SUBSTITUTE(SUBSTITUTE(SUBSTITUTE(SUBSTITUTE(LOWER(Registro!$G457),"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",LEN(Registro!$G457))),({1,2,3,4,5,6,7,8,9,10,11,12,13,14,15,16,17,18,19,20,21,22,23,24,25,26,27,28,29,30}-1)*LEN(Registro!$G457)+1,LEN(Registro!$G457)))&amp;"x")-1))),"Revisar formato")))</f>
        <v/>
      </c>
      <c r="I457" s="11" t="str">
        <f>IF(Registro!$G457="","",IF(ISERROR(FIND("x",LOWER(Registro!$G457))),N(Registro!$H457),IFERROR(SUMPRODUCT(--("0"&amp;LEFT(TRIM(MID(SUBSTITUTE(SUBSTITUTE(SUBSTITUTE(SUBSTITUTE(SUBSTITUTE(LOWER(Registro!$G457),"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",LEN(Registro!$G457))),({1,2,3,4,5,6,7,8,9,10,11,12,13,14,15,16,17,18,19,20,21,22,23,24,25,26,27,28,29,30}-1)*LEN(Registro!$G457)+1,LEN(Registro!$G457))),FIND("x",TRIM(MID(SUBSTITUTE(SUBSTITUTE(SUBSTITUTE(SUBSTITUTE(SUBSTITUTE(LOWER(Registro!$G457),"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",LEN(Registro!$G457))),({1,2,3,4,5,6,7,8,9,10,11,12,13,14,15,16,17,18,19,20,21,22,23,24,25,26,27,28,29,30}-1)*LEN(Registro!$G457)+1,LEN(Registro!$G457)))&amp;"x")-1)),--("0"&amp;MID(TRIM(MID(SUBSTITUTE(SUBSTITUTE(SUBSTITUTE(SUBSTITUTE(SUBSTITUTE(LOWER(Registro!$G457),"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",LEN(Registro!$G457))),({1,2,3,4,5,6,7,8,9,10,11,12,13,14,15,16,17,18,19,20,21,22,23,24,25,26,27,28,29,30}-1)*LEN(Registro!$G457)+1,LEN(Registro!$G457))),FIND("x",TRIM(MID(SUBSTITUTE(SUBSTITUTE(SUBSTITUTE(SUBSTITUTE(SUBSTITUTE(LOWER(Registro!$G457),"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",LEN(Registro!$G457))),({1,2,3,4,5,6,7,8,9,10,11,12,13,14,15,16,17,18,19,20,21,22,23,24,25,26,27,28,29,30}-1)*LEN(Registro!$G457)+1,LEN(Registro!$G457)))&amp;"x")+1,20))),"Revisar formato")))</f>
        <v/>
      </c>
      <c r="J457" s="9" t="str">
        <f>IF(AND(Registro!$E457="",Registro!$G457=""),"",IF(NOT(AND(ISNUMBER(I457),ISNUMBER(Registro!$H457))),"",IF(I457&lt;Registro!$H457,"FALTA BOLETOS",IF(I457=Registro!$H457,"CONFORME","DIFERENCIA"))))</f>
        <v/>
      </c>
      <c r="K457" s="11" t="str">
        <f>IF(Registro!$I457="","",IFERROR(SUMPRODUCT(--("0"&amp;TRIM(RIGHT(SUBSTITUTE(TRIM(MID(SUBSTITUTE(SUBSTITUTE(Registro!$I457,";",CHAR(10)),CHAR(10),REPT(" ",LEN(Registro!$I457))),({1,2,3,4,5,6,7,8,9,10,11,12,13,14,15,16,17,18,19,20,21,22,23,24,25,26,27,28,29,30}-1)*LEN(Registro!$I457)+1,LEN(Registro!$I457)))," ",REPT(" ",50)),50)))),"Revisar formato"))</f>
        <v/>
      </c>
      <c r="L457" s="11" t="str">
        <f>IF(Registro!$J457="","",IFERROR(SUMPRODUCT(--("0"&amp;TRIM(RIGHT(SUBSTITUTE(TRIM(MID(SUBSTITUTE(SUBSTITUTE(Registro!$J457,";",CHAR(10)),CHAR(10),REPT(" ",LEN(Registro!$J457))),({1,2,3,4,5,6,7,8,9,10,11,12,13,14,15,16,17,18,19,20,21,22,23,24,25,26,27,28,29,30}-1)*LEN(Registro!$J457)+1,LEN(Registro!$J457)))," ",REPT(" ",50)),50)))),"Revisar formato"))</f>
        <v/>
      </c>
      <c r="M457" s="11" t="str">
        <f>IF(AND(Registro!$H457="",Registro!$I457=""),"",IF(AND(ISTEXT(K457),K457&lt;&gt;""),"Revisar formato",N(Registro!$H457)-N(K457)))</f>
        <v/>
      </c>
      <c r="N457" s="11" t="str">
        <f t="shared" si="23"/>
        <v/>
      </c>
      <c r="O457" s="15" t="str">
        <f>IF(AND(A457=Consulta!$B$3,C457=Consulta!$H$3),B457*10000+ROW(),"")</f>
        <v/>
      </c>
    </row>
    <row r="458" spans="1:15" x14ac:dyDescent="0.25">
      <c r="A458" s="9" t="str">
        <f>IF(Registro!$A458="","",Registro!$A458)</f>
        <v/>
      </c>
      <c r="B458" s="8" t="str">
        <f>IF(Registro!$B458="","",Registro!$B458)</f>
        <v/>
      </c>
      <c r="C458" s="14" t="str">
        <f t="shared" si="21"/>
        <v/>
      </c>
      <c r="D458" s="10" t="str">
        <f>IF(Registro!$E458="","",IF(ISERROR(FIND("x",LOWER(Registro!$E458))),"-",IFERROR(SUMPRODUCT(--("0"&amp;LEFT(TRIM(MID(SUBSTITUTE(SUBSTITUTE(SUBSTITUTE(SUBSTITUTE(SUBSTITUTE(LOWER(Registro!$E458),"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",LEN(Registro!$E458))),({1,2,3,4,5,6,7,8,9,10,11,12,13,14,15,16,17,18,19,20,21,22,23,24,25,26,27,28,29,30}-1)*LEN(Registro!$E458)+1,LEN(Registro!$E458)))&amp;"x")-1))),"Revisar formato")))</f>
        <v/>
      </c>
      <c r="E458" s="11" t="str">
        <f>IF(Registro!$E458="","",IF(ISERROR(FIND("x",LOWER(Registro!$E458))),"-",IFERROR(SUMPRODUCT(--("0"&amp;LEFT(TRIM(MID(SUBSTITUTE(SUBSTITUTE(SUBSTITUTE(SUBSTITUTE(SUBSTITUTE(LOWER(Registro!$E458),"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",LEN(Registro!$E458))),({1,2,3,4,5,6,7,8,9,10,11,12,13,14,15,16,17,18,19,20,21,22,23,24,25,26,27,28,29,30}-1)*LEN(Registro!$E458)+1,LEN(Registro!$E458)))&amp;"x")-1)),--("0"&amp;MID(TRIM(MID(SUBSTITUTE(SUBSTITUTE(SUBSTITUTE(SUBSTITUTE(SUBSTITUTE(LOWER(Registro!$E458),"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",LEN(Registro!$E458))),({1,2,3,4,5,6,7,8,9,10,11,12,13,14,15,16,17,18,19,20,21,22,23,24,25,26,27,28,29,30}-1)*LEN(Registro!$E458)+1,LEN(Registro!$E458)))&amp;"x")+1,20))),"Revisar formato")))</f>
        <v/>
      </c>
      <c r="F458" s="11" t="str">
        <f>IF(Registro!$F458="","",N(Registro!$F458))</f>
        <v/>
      </c>
      <c r="G458" s="11" t="str">
        <f t="shared" si="22"/>
        <v/>
      </c>
      <c r="H458" s="10" t="str">
        <f>IF(Registro!$G458="","",IF(ISERROR(FIND("x",LOWER(Registro!$G458))),"-",IFERROR(SUMPRODUCT(--("0"&amp;LEFT(TRIM(MID(SUBSTITUTE(SUBSTITUTE(SUBSTITUTE(SUBSTITUTE(SUBSTITUTE(LOWER(Registro!$G458),"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",LEN(Registro!$G458))),({1,2,3,4,5,6,7,8,9,10,11,12,13,14,15,16,17,18,19,20,21,22,23,24,25,26,27,28,29,30}-1)*LEN(Registro!$G458)+1,LEN(Registro!$G458))),FIND("x",TRIM(MID(SUBSTITUTE(SUBSTITUTE(SUBSTITUTE(SUBSTITUTE(SUBSTITUTE(LOWER(Registro!$G458),"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",LEN(Registro!$G458))),({1,2,3,4,5,6,7,8,9,10,11,12,13,14,15,16,17,18,19,20,21,22,23,24,25,26,27,28,29,30}-1)*LEN(Registro!$G458)+1,LEN(Registro!$G458)))&amp;"x")-1))),"Revisar formato")))</f>
        <v/>
      </c>
      <c r="I458" s="11" t="str">
        <f>IF(Registro!$G458="","",IF(ISERROR(FIND("x",LOWER(Registro!$G458))),N(Registro!$H458),IFERROR(SUMPRODUCT(--("0"&amp;LEFT(TRIM(MID(SUBSTITUTE(SUBSTITUTE(SUBSTITUTE(SUBSTITUTE(SUBSTITUTE(LOWER(Registro!$G458),"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",LEN(Registro!$G458))),({1,2,3,4,5,6,7,8,9,10,11,12,13,14,15,16,17,18,19,20,21,22,23,24,25,26,27,28,29,30}-1)*LEN(Registro!$G458)+1,LEN(Registro!$G458))),FIND("x",TRIM(MID(SUBSTITUTE(SUBSTITUTE(SUBSTITUTE(SUBSTITUTE(SUBSTITUTE(LOWER(Registro!$G458),"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",LEN(Registro!$G458))),({1,2,3,4,5,6,7,8,9,10,11,12,13,14,15,16,17,18,19,20,21,22,23,24,25,26,27,28,29,30}-1)*LEN(Registro!$G458)+1,LEN(Registro!$G458)))&amp;"x")-1)),--("0"&amp;MID(TRIM(MID(SUBSTITUTE(SUBSTITUTE(SUBSTITUTE(SUBSTITUTE(SUBSTITUTE(LOWER(Registro!$G458),"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",LEN(Registro!$G458))),({1,2,3,4,5,6,7,8,9,10,11,12,13,14,15,16,17,18,19,20,21,22,23,24,25,26,27,28,29,30}-1)*LEN(Registro!$G458)+1,LEN(Registro!$G458))),FIND("x",TRIM(MID(SUBSTITUTE(SUBSTITUTE(SUBSTITUTE(SUBSTITUTE(SUBSTITUTE(LOWER(Registro!$G458),"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",LEN(Registro!$G458))),({1,2,3,4,5,6,7,8,9,10,11,12,13,14,15,16,17,18,19,20,21,22,23,24,25,26,27,28,29,30}-1)*LEN(Registro!$G458)+1,LEN(Registro!$G458)))&amp;"x")+1,20))),"Revisar formato")))</f>
        <v/>
      </c>
      <c r="J458" s="9" t="str">
        <f>IF(AND(Registro!$E458="",Registro!$G458=""),"",IF(NOT(AND(ISNUMBER(I458),ISNUMBER(Registro!$H458))),"",IF(I458&lt;Registro!$H458,"FALTA BOLETOS",IF(I458=Registro!$H458,"CONFORME","DIFERENCIA"))))</f>
        <v/>
      </c>
      <c r="K458" s="11" t="str">
        <f>IF(Registro!$I458="","",IFERROR(SUMPRODUCT(--("0"&amp;TRIM(RIGHT(SUBSTITUTE(TRIM(MID(SUBSTITUTE(SUBSTITUTE(Registro!$I458,";",CHAR(10)),CHAR(10),REPT(" ",LEN(Registro!$I458))),({1,2,3,4,5,6,7,8,9,10,11,12,13,14,15,16,17,18,19,20,21,22,23,24,25,26,27,28,29,30}-1)*LEN(Registro!$I458)+1,LEN(Registro!$I458)))," ",REPT(" ",50)),50)))),"Revisar formato"))</f>
        <v/>
      </c>
      <c r="L458" s="11" t="str">
        <f>IF(Registro!$J458="","",IFERROR(SUMPRODUCT(--("0"&amp;TRIM(RIGHT(SUBSTITUTE(TRIM(MID(SUBSTITUTE(SUBSTITUTE(Registro!$J458,";",CHAR(10)),CHAR(10),REPT(" ",LEN(Registro!$J458))),({1,2,3,4,5,6,7,8,9,10,11,12,13,14,15,16,17,18,19,20,21,22,23,24,25,26,27,28,29,30}-1)*LEN(Registro!$J458)+1,LEN(Registro!$J458)))," ",REPT(" ",50)),50)))),"Revisar formato"))</f>
        <v/>
      </c>
      <c r="M458" s="11" t="str">
        <f>IF(AND(Registro!$H458="",Registro!$I458=""),"",IF(AND(ISTEXT(K458),K458&lt;&gt;""),"Revisar formato",N(Registro!$H458)-N(K458)))</f>
        <v/>
      </c>
      <c r="N458" s="11" t="str">
        <f t="shared" si="23"/>
        <v/>
      </c>
      <c r="O458" s="15" t="str">
        <f>IF(AND(A458=Consulta!$B$3,C458=Consulta!$H$3),B458*10000+ROW(),"")</f>
        <v/>
      </c>
    </row>
    <row r="459" spans="1:15" x14ac:dyDescent="0.25">
      <c r="A459" s="9" t="str">
        <f>IF(Registro!$A459="","",Registro!$A459)</f>
        <v/>
      </c>
      <c r="B459" s="8" t="str">
        <f>IF(Registro!$B459="","",Registro!$B459)</f>
        <v/>
      </c>
      <c r="C459" s="14" t="str">
        <f t="shared" si="21"/>
        <v/>
      </c>
      <c r="D459" s="10" t="str">
        <f>IF(Registro!$E459="","",IF(ISERROR(FIND("x",LOWER(Registro!$E459))),"-",IFERROR(SUMPRODUCT(--("0"&amp;LEFT(TRIM(MID(SUBSTITUTE(SUBSTITUTE(SUBSTITUTE(SUBSTITUTE(SUBSTITUTE(LOWER(Registro!$E459),"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",LEN(Registro!$E459))),({1,2,3,4,5,6,7,8,9,10,11,12,13,14,15,16,17,18,19,20,21,22,23,24,25,26,27,28,29,30}-1)*LEN(Registro!$E459)+1,LEN(Registro!$E459)))&amp;"x")-1))),"Revisar formato")))</f>
        <v/>
      </c>
      <c r="E459" s="11" t="str">
        <f>IF(Registro!$E459="","",IF(ISERROR(FIND("x",LOWER(Registro!$E459))),"-",IFERROR(SUMPRODUCT(--("0"&amp;LEFT(TRIM(MID(SUBSTITUTE(SUBSTITUTE(SUBSTITUTE(SUBSTITUTE(SUBSTITUTE(LOWER(Registro!$E459),"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",LEN(Registro!$E459))),({1,2,3,4,5,6,7,8,9,10,11,12,13,14,15,16,17,18,19,20,21,22,23,24,25,26,27,28,29,30}-1)*LEN(Registro!$E459)+1,LEN(Registro!$E459)))&amp;"x")-1)),--("0"&amp;MID(TRIM(MID(SUBSTITUTE(SUBSTITUTE(SUBSTITUTE(SUBSTITUTE(SUBSTITUTE(LOWER(Registro!$E459),"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",LEN(Registro!$E459))),({1,2,3,4,5,6,7,8,9,10,11,12,13,14,15,16,17,18,19,20,21,22,23,24,25,26,27,28,29,30}-1)*LEN(Registro!$E459)+1,LEN(Registro!$E459)))&amp;"x")+1,20))),"Revisar formato")))</f>
        <v/>
      </c>
      <c r="F459" s="11" t="str">
        <f>IF(Registro!$F459="","",N(Registro!$F459))</f>
        <v/>
      </c>
      <c r="G459" s="11" t="str">
        <f t="shared" si="22"/>
        <v/>
      </c>
      <c r="H459" s="10" t="str">
        <f>IF(Registro!$G459="","",IF(ISERROR(FIND("x",LOWER(Registro!$G459))),"-",IFERROR(SUMPRODUCT(--("0"&amp;LEFT(TRIM(MID(SUBSTITUTE(SUBSTITUTE(SUBSTITUTE(SUBSTITUTE(SUBSTITUTE(LOWER(Registro!$G459),"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",LEN(Registro!$G459))),({1,2,3,4,5,6,7,8,9,10,11,12,13,14,15,16,17,18,19,20,21,22,23,24,25,26,27,28,29,30}-1)*LEN(Registro!$G459)+1,LEN(Registro!$G459))),FIND("x",TRIM(MID(SUBSTITUTE(SUBSTITUTE(SUBSTITUTE(SUBSTITUTE(SUBSTITUTE(LOWER(Registro!$G459),"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",LEN(Registro!$G459))),({1,2,3,4,5,6,7,8,9,10,11,12,13,14,15,16,17,18,19,20,21,22,23,24,25,26,27,28,29,30}-1)*LEN(Registro!$G459)+1,LEN(Registro!$G459)))&amp;"x")-1))),"Revisar formato")))</f>
        <v/>
      </c>
      <c r="I459" s="11" t="str">
        <f>IF(Registro!$G459="","",IF(ISERROR(FIND("x",LOWER(Registro!$G459))),N(Registro!$H459),IFERROR(SUMPRODUCT(--("0"&amp;LEFT(TRIM(MID(SUBSTITUTE(SUBSTITUTE(SUBSTITUTE(SUBSTITUTE(SUBSTITUTE(LOWER(Registro!$G459),"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",LEN(Registro!$G459))),({1,2,3,4,5,6,7,8,9,10,11,12,13,14,15,16,17,18,19,20,21,22,23,24,25,26,27,28,29,30}-1)*LEN(Registro!$G459)+1,LEN(Registro!$G459))),FIND("x",TRIM(MID(SUBSTITUTE(SUBSTITUTE(SUBSTITUTE(SUBSTITUTE(SUBSTITUTE(LOWER(Registro!$G459),"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",LEN(Registro!$G459))),({1,2,3,4,5,6,7,8,9,10,11,12,13,14,15,16,17,18,19,20,21,22,23,24,25,26,27,28,29,30}-1)*LEN(Registro!$G459)+1,LEN(Registro!$G459)))&amp;"x")-1)),--("0"&amp;MID(TRIM(MID(SUBSTITUTE(SUBSTITUTE(SUBSTITUTE(SUBSTITUTE(SUBSTITUTE(LOWER(Registro!$G459),"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",LEN(Registro!$G459))),({1,2,3,4,5,6,7,8,9,10,11,12,13,14,15,16,17,18,19,20,21,22,23,24,25,26,27,28,29,30}-1)*LEN(Registro!$G459)+1,LEN(Registro!$G459))),FIND("x",TRIM(MID(SUBSTITUTE(SUBSTITUTE(SUBSTITUTE(SUBSTITUTE(SUBSTITUTE(LOWER(Registro!$G459),"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",LEN(Registro!$G459))),({1,2,3,4,5,6,7,8,9,10,11,12,13,14,15,16,17,18,19,20,21,22,23,24,25,26,27,28,29,30}-1)*LEN(Registro!$G459)+1,LEN(Registro!$G459)))&amp;"x")+1,20))),"Revisar formato")))</f>
        <v/>
      </c>
      <c r="J459" s="9" t="str">
        <f>IF(AND(Registro!$E459="",Registro!$G459=""),"",IF(NOT(AND(ISNUMBER(I459),ISNUMBER(Registro!$H459))),"",IF(I459&lt;Registro!$H459,"FALTA BOLETOS",IF(I459=Registro!$H459,"CONFORME","DIFERENCIA"))))</f>
        <v/>
      </c>
      <c r="K459" s="11" t="str">
        <f>IF(Registro!$I459="","",IFERROR(SUMPRODUCT(--("0"&amp;TRIM(RIGHT(SUBSTITUTE(TRIM(MID(SUBSTITUTE(SUBSTITUTE(Registro!$I459,";",CHAR(10)),CHAR(10),REPT(" ",LEN(Registro!$I459))),({1,2,3,4,5,6,7,8,9,10,11,12,13,14,15,16,17,18,19,20,21,22,23,24,25,26,27,28,29,30}-1)*LEN(Registro!$I459)+1,LEN(Registro!$I459)))," ",REPT(" ",50)),50)))),"Revisar formato"))</f>
        <v/>
      </c>
      <c r="L459" s="11" t="str">
        <f>IF(Registro!$J459="","",IFERROR(SUMPRODUCT(--("0"&amp;TRIM(RIGHT(SUBSTITUTE(TRIM(MID(SUBSTITUTE(SUBSTITUTE(Registro!$J459,";",CHAR(10)),CHAR(10),REPT(" ",LEN(Registro!$J459))),({1,2,3,4,5,6,7,8,9,10,11,12,13,14,15,16,17,18,19,20,21,22,23,24,25,26,27,28,29,30}-1)*LEN(Registro!$J459)+1,LEN(Registro!$J459)))," ",REPT(" ",50)),50)))),"Revisar formato"))</f>
        <v/>
      </c>
      <c r="M459" s="11" t="str">
        <f>IF(AND(Registro!$H459="",Registro!$I459=""),"",IF(AND(ISTEXT(K459),K459&lt;&gt;""),"Revisar formato",N(Registro!$H459)-N(K459)))</f>
        <v/>
      </c>
      <c r="N459" s="11" t="str">
        <f t="shared" si="23"/>
        <v/>
      </c>
      <c r="O459" s="15" t="str">
        <f>IF(AND(A459=Consulta!$B$3,C459=Consulta!$H$3),B459*10000+ROW(),"")</f>
        <v/>
      </c>
    </row>
    <row r="460" spans="1:15" x14ac:dyDescent="0.25">
      <c r="A460" s="9" t="str">
        <f>IF(Registro!$A460="","",Registro!$A460)</f>
        <v/>
      </c>
      <c r="B460" s="8" t="str">
        <f>IF(Registro!$B460="","",Registro!$B460)</f>
        <v/>
      </c>
      <c r="C460" s="14" t="str">
        <f t="shared" si="21"/>
        <v/>
      </c>
      <c r="D460" s="10" t="str">
        <f>IF(Registro!$E460="","",IF(ISERROR(FIND("x",LOWER(Registro!$E460))),"-",IFERROR(SUMPRODUCT(--("0"&amp;LEFT(TRIM(MID(SUBSTITUTE(SUBSTITUTE(SUBSTITUTE(SUBSTITUTE(SUBSTITUTE(LOWER(Registro!$E460),"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",LEN(Registro!$E460))),({1,2,3,4,5,6,7,8,9,10,11,12,13,14,15,16,17,18,19,20,21,22,23,24,25,26,27,28,29,30}-1)*LEN(Registro!$E460)+1,LEN(Registro!$E460)))&amp;"x")-1))),"Revisar formato")))</f>
        <v/>
      </c>
      <c r="E460" s="11" t="str">
        <f>IF(Registro!$E460="","",IF(ISERROR(FIND("x",LOWER(Registro!$E460))),"-",IFERROR(SUMPRODUCT(--("0"&amp;LEFT(TRIM(MID(SUBSTITUTE(SUBSTITUTE(SUBSTITUTE(SUBSTITUTE(SUBSTITUTE(LOWER(Registro!$E460),"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",LEN(Registro!$E460))),({1,2,3,4,5,6,7,8,9,10,11,12,13,14,15,16,17,18,19,20,21,22,23,24,25,26,27,28,29,30}-1)*LEN(Registro!$E460)+1,LEN(Registro!$E460)))&amp;"x")-1)),--("0"&amp;MID(TRIM(MID(SUBSTITUTE(SUBSTITUTE(SUBSTITUTE(SUBSTITUTE(SUBSTITUTE(LOWER(Registro!$E460),"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",LEN(Registro!$E460))),({1,2,3,4,5,6,7,8,9,10,11,12,13,14,15,16,17,18,19,20,21,22,23,24,25,26,27,28,29,30}-1)*LEN(Registro!$E460)+1,LEN(Registro!$E460)))&amp;"x")+1,20))),"Revisar formato")))</f>
        <v/>
      </c>
      <c r="F460" s="11" t="str">
        <f>IF(Registro!$F460="","",N(Registro!$F460))</f>
        <v/>
      </c>
      <c r="G460" s="11" t="str">
        <f t="shared" si="22"/>
        <v/>
      </c>
      <c r="H460" s="10" t="str">
        <f>IF(Registro!$G460="","",IF(ISERROR(FIND("x",LOWER(Registro!$G460))),"-",IFERROR(SUMPRODUCT(--("0"&amp;LEFT(TRIM(MID(SUBSTITUTE(SUBSTITUTE(SUBSTITUTE(SUBSTITUTE(SUBSTITUTE(LOWER(Registro!$G460),"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",LEN(Registro!$G460))),({1,2,3,4,5,6,7,8,9,10,11,12,13,14,15,16,17,18,19,20,21,22,23,24,25,26,27,28,29,30}-1)*LEN(Registro!$G460)+1,LEN(Registro!$G460))),FIND("x",TRIM(MID(SUBSTITUTE(SUBSTITUTE(SUBSTITUTE(SUBSTITUTE(SUBSTITUTE(LOWER(Registro!$G460),"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",LEN(Registro!$G460))),({1,2,3,4,5,6,7,8,9,10,11,12,13,14,15,16,17,18,19,20,21,22,23,24,25,26,27,28,29,30}-1)*LEN(Registro!$G460)+1,LEN(Registro!$G460)))&amp;"x")-1))),"Revisar formato")))</f>
        <v/>
      </c>
      <c r="I460" s="11" t="str">
        <f>IF(Registro!$G460="","",IF(ISERROR(FIND("x",LOWER(Registro!$G460))),N(Registro!$H460),IFERROR(SUMPRODUCT(--("0"&amp;LEFT(TRIM(MID(SUBSTITUTE(SUBSTITUTE(SUBSTITUTE(SUBSTITUTE(SUBSTITUTE(LOWER(Registro!$G460),"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",LEN(Registro!$G460))),({1,2,3,4,5,6,7,8,9,10,11,12,13,14,15,16,17,18,19,20,21,22,23,24,25,26,27,28,29,30}-1)*LEN(Registro!$G460)+1,LEN(Registro!$G460))),FIND("x",TRIM(MID(SUBSTITUTE(SUBSTITUTE(SUBSTITUTE(SUBSTITUTE(SUBSTITUTE(LOWER(Registro!$G460),"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",LEN(Registro!$G460))),({1,2,3,4,5,6,7,8,9,10,11,12,13,14,15,16,17,18,19,20,21,22,23,24,25,26,27,28,29,30}-1)*LEN(Registro!$G460)+1,LEN(Registro!$G460)))&amp;"x")-1)),--("0"&amp;MID(TRIM(MID(SUBSTITUTE(SUBSTITUTE(SUBSTITUTE(SUBSTITUTE(SUBSTITUTE(LOWER(Registro!$G460),"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",LEN(Registro!$G460))),({1,2,3,4,5,6,7,8,9,10,11,12,13,14,15,16,17,18,19,20,21,22,23,24,25,26,27,28,29,30}-1)*LEN(Registro!$G460)+1,LEN(Registro!$G460))),FIND("x",TRIM(MID(SUBSTITUTE(SUBSTITUTE(SUBSTITUTE(SUBSTITUTE(SUBSTITUTE(LOWER(Registro!$G460),"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",LEN(Registro!$G460))),({1,2,3,4,5,6,7,8,9,10,11,12,13,14,15,16,17,18,19,20,21,22,23,24,25,26,27,28,29,30}-1)*LEN(Registro!$G460)+1,LEN(Registro!$G460)))&amp;"x")+1,20))),"Revisar formato")))</f>
        <v/>
      </c>
      <c r="J460" s="9" t="str">
        <f>IF(AND(Registro!$E460="",Registro!$G460=""),"",IF(NOT(AND(ISNUMBER(I460),ISNUMBER(Registro!$H460))),"",IF(I460&lt;Registro!$H460,"FALTA BOLETOS",IF(I460=Registro!$H460,"CONFORME","DIFERENCIA"))))</f>
        <v/>
      </c>
      <c r="K460" s="11" t="str">
        <f>IF(Registro!$I460="","",IFERROR(SUMPRODUCT(--("0"&amp;TRIM(RIGHT(SUBSTITUTE(TRIM(MID(SUBSTITUTE(SUBSTITUTE(Registro!$I460,";",CHAR(10)),CHAR(10),REPT(" ",LEN(Registro!$I460))),({1,2,3,4,5,6,7,8,9,10,11,12,13,14,15,16,17,18,19,20,21,22,23,24,25,26,27,28,29,30}-1)*LEN(Registro!$I460)+1,LEN(Registro!$I460)))," ",REPT(" ",50)),50)))),"Revisar formato"))</f>
        <v/>
      </c>
      <c r="L460" s="11" t="str">
        <f>IF(Registro!$J460="","",IFERROR(SUMPRODUCT(--("0"&amp;TRIM(RIGHT(SUBSTITUTE(TRIM(MID(SUBSTITUTE(SUBSTITUTE(Registro!$J460,";",CHAR(10)),CHAR(10),REPT(" ",LEN(Registro!$J460))),({1,2,3,4,5,6,7,8,9,10,11,12,13,14,15,16,17,18,19,20,21,22,23,24,25,26,27,28,29,30}-1)*LEN(Registro!$J460)+1,LEN(Registro!$J460)))," ",REPT(" ",50)),50)))),"Revisar formato"))</f>
        <v/>
      </c>
      <c r="M460" s="11" t="str">
        <f>IF(AND(Registro!$H460="",Registro!$I460=""),"",IF(AND(ISTEXT(K460),K460&lt;&gt;""),"Revisar formato",N(Registro!$H460)-N(K460)))</f>
        <v/>
      </c>
      <c r="N460" s="11" t="str">
        <f t="shared" si="23"/>
        <v/>
      </c>
      <c r="O460" s="15" t="str">
        <f>IF(AND(A460=Consulta!$B$3,C460=Consulta!$H$3),B460*10000+ROW(),"")</f>
        <v/>
      </c>
    </row>
    <row r="461" spans="1:15" x14ac:dyDescent="0.25">
      <c r="A461" s="9" t="str">
        <f>IF(Registro!$A461="","",Registro!$A461)</f>
        <v/>
      </c>
      <c r="B461" s="8" t="str">
        <f>IF(Registro!$B461="","",Registro!$B461)</f>
        <v/>
      </c>
      <c r="C461" s="14" t="str">
        <f t="shared" si="21"/>
        <v/>
      </c>
      <c r="D461" s="10" t="str">
        <f>IF(Registro!$E461="","",IF(ISERROR(FIND("x",LOWER(Registro!$E461))),"-",IFERROR(SUMPRODUCT(--("0"&amp;LEFT(TRIM(MID(SUBSTITUTE(SUBSTITUTE(SUBSTITUTE(SUBSTITUTE(SUBSTITUTE(LOWER(Registro!$E461),"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",LEN(Registro!$E461))),({1,2,3,4,5,6,7,8,9,10,11,12,13,14,15,16,17,18,19,20,21,22,23,24,25,26,27,28,29,30}-1)*LEN(Registro!$E461)+1,LEN(Registro!$E461)))&amp;"x")-1))),"Revisar formato")))</f>
        <v/>
      </c>
      <c r="E461" s="11" t="str">
        <f>IF(Registro!$E461="","",IF(ISERROR(FIND("x",LOWER(Registro!$E461))),"-",IFERROR(SUMPRODUCT(--("0"&amp;LEFT(TRIM(MID(SUBSTITUTE(SUBSTITUTE(SUBSTITUTE(SUBSTITUTE(SUBSTITUTE(LOWER(Registro!$E461),"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",LEN(Registro!$E461))),({1,2,3,4,5,6,7,8,9,10,11,12,13,14,15,16,17,18,19,20,21,22,23,24,25,26,27,28,29,30}-1)*LEN(Registro!$E461)+1,LEN(Registro!$E461)))&amp;"x")-1)),--("0"&amp;MID(TRIM(MID(SUBSTITUTE(SUBSTITUTE(SUBSTITUTE(SUBSTITUTE(SUBSTITUTE(LOWER(Registro!$E461),"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",LEN(Registro!$E461))),({1,2,3,4,5,6,7,8,9,10,11,12,13,14,15,16,17,18,19,20,21,22,23,24,25,26,27,28,29,30}-1)*LEN(Registro!$E461)+1,LEN(Registro!$E461)))&amp;"x")+1,20))),"Revisar formato")))</f>
        <v/>
      </c>
      <c r="F461" s="11" t="str">
        <f>IF(Registro!$F461="","",N(Registro!$F461))</f>
        <v/>
      </c>
      <c r="G461" s="11" t="str">
        <f t="shared" si="22"/>
        <v/>
      </c>
      <c r="H461" s="10" t="str">
        <f>IF(Registro!$G461="","",IF(ISERROR(FIND("x",LOWER(Registro!$G461))),"-",IFERROR(SUMPRODUCT(--("0"&amp;LEFT(TRIM(MID(SUBSTITUTE(SUBSTITUTE(SUBSTITUTE(SUBSTITUTE(SUBSTITUTE(LOWER(Registro!$G461),"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",LEN(Registro!$G461))),({1,2,3,4,5,6,7,8,9,10,11,12,13,14,15,16,17,18,19,20,21,22,23,24,25,26,27,28,29,30}-1)*LEN(Registro!$G461)+1,LEN(Registro!$G461))),FIND("x",TRIM(MID(SUBSTITUTE(SUBSTITUTE(SUBSTITUTE(SUBSTITUTE(SUBSTITUTE(LOWER(Registro!$G461),"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",LEN(Registro!$G461))),({1,2,3,4,5,6,7,8,9,10,11,12,13,14,15,16,17,18,19,20,21,22,23,24,25,26,27,28,29,30}-1)*LEN(Registro!$G461)+1,LEN(Registro!$G461)))&amp;"x")-1))),"Revisar formato")))</f>
        <v/>
      </c>
      <c r="I461" s="11" t="str">
        <f>IF(Registro!$G461="","",IF(ISERROR(FIND("x",LOWER(Registro!$G461))),N(Registro!$H461),IFERROR(SUMPRODUCT(--("0"&amp;LEFT(TRIM(MID(SUBSTITUTE(SUBSTITUTE(SUBSTITUTE(SUBSTITUTE(SUBSTITUTE(LOWER(Registro!$G461),"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",LEN(Registro!$G461))),({1,2,3,4,5,6,7,8,9,10,11,12,13,14,15,16,17,18,19,20,21,22,23,24,25,26,27,28,29,30}-1)*LEN(Registro!$G461)+1,LEN(Registro!$G461))),FIND("x",TRIM(MID(SUBSTITUTE(SUBSTITUTE(SUBSTITUTE(SUBSTITUTE(SUBSTITUTE(LOWER(Registro!$G461),"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",LEN(Registro!$G461))),({1,2,3,4,5,6,7,8,9,10,11,12,13,14,15,16,17,18,19,20,21,22,23,24,25,26,27,28,29,30}-1)*LEN(Registro!$G461)+1,LEN(Registro!$G461)))&amp;"x")-1)),--("0"&amp;MID(TRIM(MID(SUBSTITUTE(SUBSTITUTE(SUBSTITUTE(SUBSTITUTE(SUBSTITUTE(LOWER(Registro!$G461),"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",LEN(Registro!$G461))),({1,2,3,4,5,6,7,8,9,10,11,12,13,14,15,16,17,18,19,20,21,22,23,24,25,26,27,28,29,30}-1)*LEN(Registro!$G461)+1,LEN(Registro!$G461))),FIND("x",TRIM(MID(SUBSTITUTE(SUBSTITUTE(SUBSTITUTE(SUBSTITUTE(SUBSTITUTE(LOWER(Registro!$G461),"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",LEN(Registro!$G461))),({1,2,3,4,5,6,7,8,9,10,11,12,13,14,15,16,17,18,19,20,21,22,23,24,25,26,27,28,29,30}-1)*LEN(Registro!$G461)+1,LEN(Registro!$G461)))&amp;"x")+1,20))),"Revisar formato")))</f>
        <v/>
      </c>
      <c r="J461" s="9" t="str">
        <f>IF(AND(Registro!$E461="",Registro!$G461=""),"",IF(NOT(AND(ISNUMBER(I461),ISNUMBER(Registro!$H461))),"",IF(I461&lt;Registro!$H461,"FALTA BOLETOS",IF(I461=Registro!$H461,"CONFORME","DIFERENCIA"))))</f>
        <v/>
      </c>
      <c r="K461" s="11" t="str">
        <f>IF(Registro!$I461="","",IFERROR(SUMPRODUCT(--("0"&amp;TRIM(RIGHT(SUBSTITUTE(TRIM(MID(SUBSTITUTE(SUBSTITUTE(Registro!$I461,";",CHAR(10)),CHAR(10),REPT(" ",LEN(Registro!$I461))),({1,2,3,4,5,6,7,8,9,10,11,12,13,14,15,16,17,18,19,20,21,22,23,24,25,26,27,28,29,30}-1)*LEN(Registro!$I461)+1,LEN(Registro!$I461)))," ",REPT(" ",50)),50)))),"Revisar formato"))</f>
        <v/>
      </c>
      <c r="L461" s="11" t="str">
        <f>IF(Registro!$J461="","",IFERROR(SUMPRODUCT(--("0"&amp;TRIM(RIGHT(SUBSTITUTE(TRIM(MID(SUBSTITUTE(SUBSTITUTE(Registro!$J461,";",CHAR(10)),CHAR(10),REPT(" ",LEN(Registro!$J461))),({1,2,3,4,5,6,7,8,9,10,11,12,13,14,15,16,17,18,19,20,21,22,23,24,25,26,27,28,29,30}-1)*LEN(Registro!$J461)+1,LEN(Registro!$J461)))," ",REPT(" ",50)),50)))),"Revisar formato"))</f>
        <v/>
      </c>
      <c r="M461" s="11" t="str">
        <f>IF(AND(Registro!$H461="",Registro!$I461=""),"",IF(AND(ISTEXT(K461),K461&lt;&gt;""),"Revisar formato",N(Registro!$H461)-N(K461)))</f>
        <v/>
      </c>
      <c r="N461" s="11" t="str">
        <f t="shared" si="23"/>
        <v/>
      </c>
      <c r="O461" s="15" t="str">
        <f>IF(AND(A461=Consulta!$B$3,C461=Consulta!$H$3),B461*10000+ROW(),"")</f>
        <v/>
      </c>
    </row>
    <row r="462" spans="1:15" x14ac:dyDescent="0.25">
      <c r="A462" s="9" t="str">
        <f>IF(Registro!$A462="","",Registro!$A462)</f>
        <v/>
      </c>
      <c r="B462" s="8" t="str">
        <f>IF(Registro!$B462="","",Registro!$B462)</f>
        <v/>
      </c>
      <c r="C462" s="14" t="str">
        <f t="shared" si="21"/>
        <v/>
      </c>
      <c r="D462" s="10" t="str">
        <f>IF(Registro!$E462="","",IF(ISERROR(FIND("x",LOWER(Registro!$E462))),"-",IFERROR(SUMPRODUCT(--("0"&amp;LEFT(TRIM(MID(SUBSTITUTE(SUBSTITUTE(SUBSTITUTE(SUBSTITUTE(SUBSTITUTE(LOWER(Registro!$E462),"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",LEN(Registro!$E462))),({1,2,3,4,5,6,7,8,9,10,11,12,13,14,15,16,17,18,19,20,21,22,23,24,25,26,27,28,29,30}-1)*LEN(Registro!$E462)+1,LEN(Registro!$E462)))&amp;"x")-1))),"Revisar formato")))</f>
        <v/>
      </c>
      <c r="E462" s="11" t="str">
        <f>IF(Registro!$E462="","",IF(ISERROR(FIND("x",LOWER(Registro!$E462))),"-",IFERROR(SUMPRODUCT(--("0"&amp;LEFT(TRIM(MID(SUBSTITUTE(SUBSTITUTE(SUBSTITUTE(SUBSTITUTE(SUBSTITUTE(LOWER(Registro!$E462),"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",LEN(Registro!$E462))),({1,2,3,4,5,6,7,8,9,10,11,12,13,14,15,16,17,18,19,20,21,22,23,24,25,26,27,28,29,30}-1)*LEN(Registro!$E462)+1,LEN(Registro!$E462)))&amp;"x")-1)),--("0"&amp;MID(TRIM(MID(SUBSTITUTE(SUBSTITUTE(SUBSTITUTE(SUBSTITUTE(SUBSTITUTE(LOWER(Registro!$E462),"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",LEN(Registro!$E462))),({1,2,3,4,5,6,7,8,9,10,11,12,13,14,15,16,17,18,19,20,21,22,23,24,25,26,27,28,29,30}-1)*LEN(Registro!$E462)+1,LEN(Registro!$E462)))&amp;"x")+1,20))),"Revisar formato")))</f>
        <v/>
      </c>
      <c r="F462" s="11" t="str">
        <f>IF(Registro!$F462="","",N(Registro!$F462))</f>
        <v/>
      </c>
      <c r="G462" s="11" t="str">
        <f t="shared" si="22"/>
        <v/>
      </c>
      <c r="H462" s="10" t="str">
        <f>IF(Registro!$G462="","",IF(ISERROR(FIND("x",LOWER(Registro!$G462))),"-",IFERROR(SUMPRODUCT(--("0"&amp;LEFT(TRIM(MID(SUBSTITUTE(SUBSTITUTE(SUBSTITUTE(SUBSTITUTE(SUBSTITUTE(LOWER(Registro!$G462),"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",LEN(Registro!$G462))),({1,2,3,4,5,6,7,8,9,10,11,12,13,14,15,16,17,18,19,20,21,22,23,24,25,26,27,28,29,30}-1)*LEN(Registro!$G462)+1,LEN(Registro!$G462))),FIND("x",TRIM(MID(SUBSTITUTE(SUBSTITUTE(SUBSTITUTE(SUBSTITUTE(SUBSTITUTE(LOWER(Registro!$G462),"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",LEN(Registro!$G462))),({1,2,3,4,5,6,7,8,9,10,11,12,13,14,15,16,17,18,19,20,21,22,23,24,25,26,27,28,29,30}-1)*LEN(Registro!$G462)+1,LEN(Registro!$G462)))&amp;"x")-1))),"Revisar formato")))</f>
        <v/>
      </c>
      <c r="I462" s="11" t="str">
        <f>IF(Registro!$G462="","",IF(ISERROR(FIND("x",LOWER(Registro!$G462))),N(Registro!$H462),IFERROR(SUMPRODUCT(--("0"&amp;LEFT(TRIM(MID(SUBSTITUTE(SUBSTITUTE(SUBSTITUTE(SUBSTITUTE(SUBSTITUTE(LOWER(Registro!$G462),"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",LEN(Registro!$G462))),({1,2,3,4,5,6,7,8,9,10,11,12,13,14,15,16,17,18,19,20,21,22,23,24,25,26,27,28,29,30}-1)*LEN(Registro!$G462)+1,LEN(Registro!$G462))),FIND("x",TRIM(MID(SUBSTITUTE(SUBSTITUTE(SUBSTITUTE(SUBSTITUTE(SUBSTITUTE(LOWER(Registro!$G462),"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",LEN(Registro!$G462))),({1,2,3,4,5,6,7,8,9,10,11,12,13,14,15,16,17,18,19,20,21,22,23,24,25,26,27,28,29,30}-1)*LEN(Registro!$G462)+1,LEN(Registro!$G462)))&amp;"x")-1)),--("0"&amp;MID(TRIM(MID(SUBSTITUTE(SUBSTITUTE(SUBSTITUTE(SUBSTITUTE(SUBSTITUTE(LOWER(Registro!$G462),"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",LEN(Registro!$G462))),({1,2,3,4,5,6,7,8,9,10,11,12,13,14,15,16,17,18,19,20,21,22,23,24,25,26,27,28,29,30}-1)*LEN(Registro!$G462)+1,LEN(Registro!$G462))),FIND("x",TRIM(MID(SUBSTITUTE(SUBSTITUTE(SUBSTITUTE(SUBSTITUTE(SUBSTITUTE(LOWER(Registro!$G462),"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",LEN(Registro!$G462))),({1,2,3,4,5,6,7,8,9,10,11,12,13,14,15,16,17,18,19,20,21,22,23,24,25,26,27,28,29,30}-1)*LEN(Registro!$G462)+1,LEN(Registro!$G462)))&amp;"x")+1,20))),"Revisar formato")))</f>
        <v/>
      </c>
      <c r="J462" s="9" t="str">
        <f>IF(AND(Registro!$E462="",Registro!$G462=""),"",IF(NOT(AND(ISNUMBER(I462),ISNUMBER(Registro!$H462))),"",IF(I462&lt;Registro!$H462,"FALTA BOLETOS",IF(I462=Registro!$H462,"CONFORME","DIFERENCIA"))))</f>
        <v/>
      </c>
      <c r="K462" s="11" t="str">
        <f>IF(Registro!$I462="","",IFERROR(SUMPRODUCT(--("0"&amp;TRIM(RIGHT(SUBSTITUTE(TRIM(MID(SUBSTITUTE(SUBSTITUTE(Registro!$I462,";",CHAR(10)),CHAR(10),REPT(" ",LEN(Registro!$I462))),({1,2,3,4,5,6,7,8,9,10,11,12,13,14,15,16,17,18,19,20,21,22,23,24,25,26,27,28,29,30}-1)*LEN(Registro!$I462)+1,LEN(Registro!$I462)))," ",REPT(" ",50)),50)))),"Revisar formato"))</f>
        <v/>
      </c>
      <c r="L462" s="11" t="str">
        <f>IF(Registro!$J462="","",IFERROR(SUMPRODUCT(--("0"&amp;TRIM(RIGHT(SUBSTITUTE(TRIM(MID(SUBSTITUTE(SUBSTITUTE(Registro!$J462,";",CHAR(10)),CHAR(10),REPT(" ",LEN(Registro!$J462))),({1,2,3,4,5,6,7,8,9,10,11,12,13,14,15,16,17,18,19,20,21,22,23,24,25,26,27,28,29,30}-1)*LEN(Registro!$J462)+1,LEN(Registro!$J462)))," ",REPT(" ",50)),50)))),"Revisar formato"))</f>
        <v/>
      </c>
      <c r="M462" s="11" t="str">
        <f>IF(AND(Registro!$H462="",Registro!$I462=""),"",IF(AND(ISTEXT(K462),K462&lt;&gt;""),"Revisar formato",N(Registro!$H462)-N(K462)))</f>
        <v/>
      </c>
      <c r="N462" s="11" t="str">
        <f t="shared" si="23"/>
        <v/>
      </c>
      <c r="O462" s="15" t="str">
        <f>IF(AND(A462=Consulta!$B$3,C462=Consulta!$H$3),B462*10000+ROW(),"")</f>
        <v/>
      </c>
    </row>
    <row r="463" spans="1:15" x14ac:dyDescent="0.25">
      <c r="A463" s="9" t="str">
        <f>IF(Registro!$A463="","",Registro!$A463)</f>
        <v/>
      </c>
      <c r="B463" s="8" t="str">
        <f>IF(Registro!$B463="","",Registro!$B463)</f>
        <v/>
      </c>
      <c r="C463" s="14" t="str">
        <f t="shared" si="21"/>
        <v/>
      </c>
      <c r="D463" s="10" t="str">
        <f>IF(Registro!$E463="","",IF(ISERROR(FIND("x",LOWER(Registro!$E463))),"-",IFERROR(SUMPRODUCT(--("0"&amp;LEFT(TRIM(MID(SUBSTITUTE(SUBSTITUTE(SUBSTITUTE(SUBSTITUTE(SUBSTITUTE(LOWER(Registro!$E463),"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",LEN(Registro!$E463))),({1,2,3,4,5,6,7,8,9,10,11,12,13,14,15,16,17,18,19,20,21,22,23,24,25,26,27,28,29,30}-1)*LEN(Registro!$E463)+1,LEN(Registro!$E463)))&amp;"x")-1))),"Revisar formato")))</f>
        <v/>
      </c>
      <c r="E463" s="11" t="str">
        <f>IF(Registro!$E463="","",IF(ISERROR(FIND("x",LOWER(Registro!$E463))),"-",IFERROR(SUMPRODUCT(--("0"&amp;LEFT(TRIM(MID(SUBSTITUTE(SUBSTITUTE(SUBSTITUTE(SUBSTITUTE(SUBSTITUTE(LOWER(Registro!$E463),"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",LEN(Registro!$E463))),({1,2,3,4,5,6,7,8,9,10,11,12,13,14,15,16,17,18,19,20,21,22,23,24,25,26,27,28,29,30}-1)*LEN(Registro!$E463)+1,LEN(Registro!$E463)))&amp;"x")-1)),--("0"&amp;MID(TRIM(MID(SUBSTITUTE(SUBSTITUTE(SUBSTITUTE(SUBSTITUTE(SUBSTITUTE(LOWER(Registro!$E463),"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",LEN(Registro!$E463))),({1,2,3,4,5,6,7,8,9,10,11,12,13,14,15,16,17,18,19,20,21,22,23,24,25,26,27,28,29,30}-1)*LEN(Registro!$E463)+1,LEN(Registro!$E463)))&amp;"x")+1,20))),"Revisar formato")))</f>
        <v/>
      </c>
      <c r="F463" s="11" t="str">
        <f>IF(Registro!$F463="","",N(Registro!$F463))</f>
        <v/>
      </c>
      <c r="G463" s="11" t="str">
        <f t="shared" si="22"/>
        <v/>
      </c>
      <c r="H463" s="10" t="str">
        <f>IF(Registro!$G463="","",IF(ISERROR(FIND("x",LOWER(Registro!$G463))),"-",IFERROR(SUMPRODUCT(--("0"&amp;LEFT(TRIM(MID(SUBSTITUTE(SUBSTITUTE(SUBSTITUTE(SUBSTITUTE(SUBSTITUTE(LOWER(Registro!$G463),"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",LEN(Registro!$G463))),({1,2,3,4,5,6,7,8,9,10,11,12,13,14,15,16,17,18,19,20,21,22,23,24,25,26,27,28,29,30}-1)*LEN(Registro!$G463)+1,LEN(Registro!$G463))),FIND("x",TRIM(MID(SUBSTITUTE(SUBSTITUTE(SUBSTITUTE(SUBSTITUTE(SUBSTITUTE(LOWER(Registro!$G463),"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",LEN(Registro!$G463))),({1,2,3,4,5,6,7,8,9,10,11,12,13,14,15,16,17,18,19,20,21,22,23,24,25,26,27,28,29,30}-1)*LEN(Registro!$G463)+1,LEN(Registro!$G463)))&amp;"x")-1))),"Revisar formato")))</f>
        <v/>
      </c>
      <c r="I463" s="11" t="str">
        <f>IF(Registro!$G463="","",IF(ISERROR(FIND("x",LOWER(Registro!$G463))),N(Registro!$H463),IFERROR(SUMPRODUCT(--("0"&amp;LEFT(TRIM(MID(SUBSTITUTE(SUBSTITUTE(SUBSTITUTE(SUBSTITUTE(SUBSTITUTE(LOWER(Registro!$G463),"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",LEN(Registro!$G463))),({1,2,3,4,5,6,7,8,9,10,11,12,13,14,15,16,17,18,19,20,21,22,23,24,25,26,27,28,29,30}-1)*LEN(Registro!$G463)+1,LEN(Registro!$G463))),FIND("x",TRIM(MID(SUBSTITUTE(SUBSTITUTE(SUBSTITUTE(SUBSTITUTE(SUBSTITUTE(LOWER(Registro!$G463),"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",LEN(Registro!$G463))),({1,2,3,4,5,6,7,8,9,10,11,12,13,14,15,16,17,18,19,20,21,22,23,24,25,26,27,28,29,30}-1)*LEN(Registro!$G463)+1,LEN(Registro!$G463)))&amp;"x")-1)),--("0"&amp;MID(TRIM(MID(SUBSTITUTE(SUBSTITUTE(SUBSTITUTE(SUBSTITUTE(SUBSTITUTE(LOWER(Registro!$G463),"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",LEN(Registro!$G463))),({1,2,3,4,5,6,7,8,9,10,11,12,13,14,15,16,17,18,19,20,21,22,23,24,25,26,27,28,29,30}-1)*LEN(Registro!$G463)+1,LEN(Registro!$G463))),FIND("x",TRIM(MID(SUBSTITUTE(SUBSTITUTE(SUBSTITUTE(SUBSTITUTE(SUBSTITUTE(LOWER(Registro!$G463),"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",LEN(Registro!$G463))),({1,2,3,4,5,6,7,8,9,10,11,12,13,14,15,16,17,18,19,20,21,22,23,24,25,26,27,28,29,30}-1)*LEN(Registro!$G463)+1,LEN(Registro!$G463)))&amp;"x")+1,20))),"Revisar formato")))</f>
        <v/>
      </c>
      <c r="J463" s="9" t="str">
        <f>IF(AND(Registro!$E463="",Registro!$G463=""),"",IF(NOT(AND(ISNUMBER(I463),ISNUMBER(Registro!$H463))),"",IF(I463&lt;Registro!$H463,"FALTA BOLETOS",IF(I463=Registro!$H463,"CONFORME","DIFERENCIA"))))</f>
        <v/>
      </c>
      <c r="K463" s="11" t="str">
        <f>IF(Registro!$I463="","",IFERROR(SUMPRODUCT(--("0"&amp;TRIM(RIGHT(SUBSTITUTE(TRIM(MID(SUBSTITUTE(SUBSTITUTE(Registro!$I463,";",CHAR(10)),CHAR(10),REPT(" ",LEN(Registro!$I463))),({1,2,3,4,5,6,7,8,9,10,11,12,13,14,15,16,17,18,19,20,21,22,23,24,25,26,27,28,29,30}-1)*LEN(Registro!$I463)+1,LEN(Registro!$I463)))," ",REPT(" ",50)),50)))),"Revisar formato"))</f>
        <v/>
      </c>
      <c r="L463" s="11" t="str">
        <f>IF(Registro!$J463="","",IFERROR(SUMPRODUCT(--("0"&amp;TRIM(RIGHT(SUBSTITUTE(TRIM(MID(SUBSTITUTE(SUBSTITUTE(Registro!$J463,";",CHAR(10)),CHAR(10),REPT(" ",LEN(Registro!$J463))),({1,2,3,4,5,6,7,8,9,10,11,12,13,14,15,16,17,18,19,20,21,22,23,24,25,26,27,28,29,30}-1)*LEN(Registro!$J463)+1,LEN(Registro!$J463)))," ",REPT(" ",50)),50)))),"Revisar formato"))</f>
        <v/>
      </c>
      <c r="M463" s="11" t="str">
        <f>IF(AND(Registro!$H463="",Registro!$I463=""),"",IF(AND(ISTEXT(K463),K463&lt;&gt;""),"Revisar formato",N(Registro!$H463)-N(K463)))</f>
        <v/>
      </c>
      <c r="N463" s="11" t="str">
        <f t="shared" si="23"/>
        <v/>
      </c>
      <c r="O463" s="15" t="str">
        <f>IF(AND(A463=Consulta!$B$3,C463=Consulta!$H$3),B463*10000+ROW(),"")</f>
        <v/>
      </c>
    </row>
    <row r="464" spans="1:15" x14ac:dyDescent="0.25">
      <c r="A464" s="9" t="str">
        <f>IF(Registro!$A464="","",Registro!$A464)</f>
        <v/>
      </c>
      <c r="B464" s="8" t="str">
        <f>IF(Registro!$B464="","",Registro!$B464)</f>
        <v/>
      </c>
      <c r="C464" s="14" t="str">
        <f t="shared" si="21"/>
        <v/>
      </c>
      <c r="D464" s="10" t="str">
        <f>IF(Registro!$E464="","",IF(ISERROR(FIND("x",LOWER(Registro!$E464))),"-",IFERROR(SUMPRODUCT(--("0"&amp;LEFT(TRIM(MID(SUBSTITUTE(SUBSTITUTE(SUBSTITUTE(SUBSTITUTE(SUBSTITUTE(LOWER(Registro!$E464),"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",LEN(Registro!$E464))),({1,2,3,4,5,6,7,8,9,10,11,12,13,14,15,16,17,18,19,20,21,22,23,24,25,26,27,28,29,30}-1)*LEN(Registro!$E464)+1,LEN(Registro!$E464)))&amp;"x")-1))),"Revisar formato")))</f>
        <v/>
      </c>
      <c r="E464" s="11" t="str">
        <f>IF(Registro!$E464="","",IF(ISERROR(FIND("x",LOWER(Registro!$E464))),"-",IFERROR(SUMPRODUCT(--("0"&amp;LEFT(TRIM(MID(SUBSTITUTE(SUBSTITUTE(SUBSTITUTE(SUBSTITUTE(SUBSTITUTE(LOWER(Registro!$E464),"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",LEN(Registro!$E464))),({1,2,3,4,5,6,7,8,9,10,11,12,13,14,15,16,17,18,19,20,21,22,23,24,25,26,27,28,29,30}-1)*LEN(Registro!$E464)+1,LEN(Registro!$E464)))&amp;"x")-1)),--("0"&amp;MID(TRIM(MID(SUBSTITUTE(SUBSTITUTE(SUBSTITUTE(SUBSTITUTE(SUBSTITUTE(LOWER(Registro!$E464),"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",LEN(Registro!$E464))),({1,2,3,4,5,6,7,8,9,10,11,12,13,14,15,16,17,18,19,20,21,22,23,24,25,26,27,28,29,30}-1)*LEN(Registro!$E464)+1,LEN(Registro!$E464)))&amp;"x")+1,20))),"Revisar formato")))</f>
        <v/>
      </c>
      <c r="F464" s="11" t="str">
        <f>IF(Registro!$F464="","",N(Registro!$F464))</f>
        <v/>
      </c>
      <c r="G464" s="11" t="str">
        <f t="shared" si="22"/>
        <v/>
      </c>
      <c r="H464" s="10" t="str">
        <f>IF(Registro!$G464="","",IF(ISERROR(FIND("x",LOWER(Registro!$G464))),"-",IFERROR(SUMPRODUCT(--("0"&amp;LEFT(TRIM(MID(SUBSTITUTE(SUBSTITUTE(SUBSTITUTE(SUBSTITUTE(SUBSTITUTE(LOWER(Registro!$G464),"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",LEN(Registro!$G464))),({1,2,3,4,5,6,7,8,9,10,11,12,13,14,15,16,17,18,19,20,21,22,23,24,25,26,27,28,29,30}-1)*LEN(Registro!$G464)+1,LEN(Registro!$G464))),FIND("x",TRIM(MID(SUBSTITUTE(SUBSTITUTE(SUBSTITUTE(SUBSTITUTE(SUBSTITUTE(LOWER(Registro!$G464),"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",LEN(Registro!$G464))),({1,2,3,4,5,6,7,8,9,10,11,12,13,14,15,16,17,18,19,20,21,22,23,24,25,26,27,28,29,30}-1)*LEN(Registro!$G464)+1,LEN(Registro!$G464)))&amp;"x")-1))),"Revisar formato")))</f>
        <v/>
      </c>
      <c r="I464" s="11" t="str">
        <f>IF(Registro!$G464="","",IF(ISERROR(FIND("x",LOWER(Registro!$G464))),N(Registro!$H464),IFERROR(SUMPRODUCT(--("0"&amp;LEFT(TRIM(MID(SUBSTITUTE(SUBSTITUTE(SUBSTITUTE(SUBSTITUTE(SUBSTITUTE(LOWER(Registro!$G464),"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",LEN(Registro!$G464))),({1,2,3,4,5,6,7,8,9,10,11,12,13,14,15,16,17,18,19,20,21,22,23,24,25,26,27,28,29,30}-1)*LEN(Registro!$G464)+1,LEN(Registro!$G464))),FIND("x",TRIM(MID(SUBSTITUTE(SUBSTITUTE(SUBSTITUTE(SUBSTITUTE(SUBSTITUTE(LOWER(Registro!$G464),"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",LEN(Registro!$G464))),({1,2,3,4,5,6,7,8,9,10,11,12,13,14,15,16,17,18,19,20,21,22,23,24,25,26,27,28,29,30}-1)*LEN(Registro!$G464)+1,LEN(Registro!$G464)))&amp;"x")-1)),--("0"&amp;MID(TRIM(MID(SUBSTITUTE(SUBSTITUTE(SUBSTITUTE(SUBSTITUTE(SUBSTITUTE(LOWER(Registro!$G464),"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",LEN(Registro!$G464))),({1,2,3,4,5,6,7,8,9,10,11,12,13,14,15,16,17,18,19,20,21,22,23,24,25,26,27,28,29,30}-1)*LEN(Registro!$G464)+1,LEN(Registro!$G464))),FIND("x",TRIM(MID(SUBSTITUTE(SUBSTITUTE(SUBSTITUTE(SUBSTITUTE(SUBSTITUTE(LOWER(Registro!$G464),"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",LEN(Registro!$G464))),({1,2,3,4,5,6,7,8,9,10,11,12,13,14,15,16,17,18,19,20,21,22,23,24,25,26,27,28,29,30}-1)*LEN(Registro!$G464)+1,LEN(Registro!$G464)))&amp;"x")+1,20))),"Revisar formato")))</f>
        <v/>
      </c>
      <c r="J464" s="9" t="str">
        <f>IF(AND(Registro!$E464="",Registro!$G464=""),"",IF(NOT(AND(ISNUMBER(I464),ISNUMBER(Registro!$H464))),"",IF(I464&lt;Registro!$H464,"FALTA BOLETOS",IF(I464=Registro!$H464,"CONFORME","DIFERENCIA"))))</f>
        <v/>
      </c>
      <c r="K464" s="11" t="str">
        <f>IF(Registro!$I464="","",IFERROR(SUMPRODUCT(--("0"&amp;TRIM(RIGHT(SUBSTITUTE(TRIM(MID(SUBSTITUTE(SUBSTITUTE(Registro!$I464,";",CHAR(10)),CHAR(10),REPT(" ",LEN(Registro!$I464))),({1,2,3,4,5,6,7,8,9,10,11,12,13,14,15,16,17,18,19,20,21,22,23,24,25,26,27,28,29,30}-1)*LEN(Registro!$I464)+1,LEN(Registro!$I464)))," ",REPT(" ",50)),50)))),"Revisar formato"))</f>
        <v/>
      </c>
      <c r="L464" s="11" t="str">
        <f>IF(Registro!$J464="","",IFERROR(SUMPRODUCT(--("0"&amp;TRIM(RIGHT(SUBSTITUTE(TRIM(MID(SUBSTITUTE(SUBSTITUTE(Registro!$J464,";",CHAR(10)),CHAR(10),REPT(" ",LEN(Registro!$J464))),({1,2,3,4,5,6,7,8,9,10,11,12,13,14,15,16,17,18,19,20,21,22,23,24,25,26,27,28,29,30}-1)*LEN(Registro!$J464)+1,LEN(Registro!$J464)))," ",REPT(" ",50)),50)))),"Revisar formato"))</f>
        <v/>
      </c>
      <c r="M464" s="11" t="str">
        <f>IF(AND(Registro!$H464="",Registro!$I464=""),"",IF(AND(ISTEXT(K464),K464&lt;&gt;""),"Revisar formato",N(Registro!$H464)-N(K464)))</f>
        <v/>
      </c>
      <c r="N464" s="11" t="str">
        <f t="shared" si="23"/>
        <v/>
      </c>
      <c r="O464" s="15" t="str">
        <f>IF(AND(A464=Consulta!$B$3,C464=Consulta!$H$3),B464*10000+ROW(),"")</f>
        <v/>
      </c>
    </row>
    <row r="465" spans="1:15" x14ac:dyDescent="0.25">
      <c r="A465" s="9" t="str">
        <f>IF(Registro!$A465="","",Registro!$A465)</f>
        <v/>
      </c>
      <c r="B465" s="8" t="str">
        <f>IF(Registro!$B465="","",Registro!$B465)</f>
        <v/>
      </c>
      <c r="C465" s="14" t="str">
        <f t="shared" si="21"/>
        <v/>
      </c>
      <c r="D465" s="10" t="str">
        <f>IF(Registro!$E465="","",IF(ISERROR(FIND("x",LOWER(Registro!$E465))),"-",IFERROR(SUMPRODUCT(--("0"&amp;LEFT(TRIM(MID(SUBSTITUTE(SUBSTITUTE(SUBSTITUTE(SUBSTITUTE(SUBSTITUTE(LOWER(Registro!$E465),"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",LEN(Registro!$E465))),({1,2,3,4,5,6,7,8,9,10,11,12,13,14,15,16,17,18,19,20,21,22,23,24,25,26,27,28,29,30}-1)*LEN(Registro!$E465)+1,LEN(Registro!$E465)))&amp;"x")-1))),"Revisar formato")))</f>
        <v/>
      </c>
      <c r="E465" s="11" t="str">
        <f>IF(Registro!$E465="","",IF(ISERROR(FIND("x",LOWER(Registro!$E465))),"-",IFERROR(SUMPRODUCT(--("0"&amp;LEFT(TRIM(MID(SUBSTITUTE(SUBSTITUTE(SUBSTITUTE(SUBSTITUTE(SUBSTITUTE(LOWER(Registro!$E465),"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",LEN(Registro!$E465))),({1,2,3,4,5,6,7,8,9,10,11,12,13,14,15,16,17,18,19,20,21,22,23,24,25,26,27,28,29,30}-1)*LEN(Registro!$E465)+1,LEN(Registro!$E465)))&amp;"x")-1)),--("0"&amp;MID(TRIM(MID(SUBSTITUTE(SUBSTITUTE(SUBSTITUTE(SUBSTITUTE(SUBSTITUTE(LOWER(Registro!$E465),"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",LEN(Registro!$E465))),({1,2,3,4,5,6,7,8,9,10,11,12,13,14,15,16,17,18,19,20,21,22,23,24,25,26,27,28,29,30}-1)*LEN(Registro!$E465)+1,LEN(Registro!$E465)))&amp;"x")+1,20))),"Revisar formato")))</f>
        <v/>
      </c>
      <c r="F465" s="11" t="str">
        <f>IF(Registro!$F465="","",N(Registro!$F465))</f>
        <v/>
      </c>
      <c r="G465" s="11" t="str">
        <f t="shared" si="22"/>
        <v/>
      </c>
      <c r="H465" s="10" t="str">
        <f>IF(Registro!$G465="","",IF(ISERROR(FIND("x",LOWER(Registro!$G465))),"-",IFERROR(SUMPRODUCT(--("0"&amp;LEFT(TRIM(MID(SUBSTITUTE(SUBSTITUTE(SUBSTITUTE(SUBSTITUTE(SUBSTITUTE(LOWER(Registro!$G465),"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",LEN(Registro!$G465))),({1,2,3,4,5,6,7,8,9,10,11,12,13,14,15,16,17,18,19,20,21,22,23,24,25,26,27,28,29,30}-1)*LEN(Registro!$G465)+1,LEN(Registro!$G465))),FIND("x",TRIM(MID(SUBSTITUTE(SUBSTITUTE(SUBSTITUTE(SUBSTITUTE(SUBSTITUTE(LOWER(Registro!$G465),"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",LEN(Registro!$G465))),({1,2,3,4,5,6,7,8,9,10,11,12,13,14,15,16,17,18,19,20,21,22,23,24,25,26,27,28,29,30}-1)*LEN(Registro!$G465)+1,LEN(Registro!$G465)))&amp;"x")-1))),"Revisar formato")))</f>
        <v/>
      </c>
      <c r="I465" s="11" t="str">
        <f>IF(Registro!$G465="","",IF(ISERROR(FIND("x",LOWER(Registro!$G465))),N(Registro!$H465),IFERROR(SUMPRODUCT(--("0"&amp;LEFT(TRIM(MID(SUBSTITUTE(SUBSTITUTE(SUBSTITUTE(SUBSTITUTE(SUBSTITUTE(LOWER(Registro!$G465),"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",LEN(Registro!$G465))),({1,2,3,4,5,6,7,8,9,10,11,12,13,14,15,16,17,18,19,20,21,22,23,24,25,26,27,28,29,30}-1)*LEN(Registro!$G465)+1,LEN(Registro!$G465))),FIND("x",TRIM(MID(SUBSTITUTE(SUBSTITUTE(SUBSTITUTE(SUBSTITUTE(SUBSTITUTE(LOWER(Registro!$G465),"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",LEN(Registro!$G465))),({1,2,3,4,5,6,7,8,9,10,11,12,13,14,15,16,17,18,19,20,21,22,23,24,25,26,27,28,29,30}-1)*LEN(Registro!$G465)+1,LEN(Registro!$G465)))&amp;"x")-1)),--("0"&amp;MID(TRIM(MID(SUBSTITUTE(SUBSTITUTE(SUBSTITUTE(SUBSTITUTE(SUBSTITUTE(LOWER(Registro!$G465),"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",LEN(Registro!$G465))),({1,2,3,4,5,6,7,8,9,10,11,12,13,14,15,16,17,18,19,20,21,22,23,24,25,26,27,28,29,30}-1)*LEN(Registro!$G465)+1,LEN(Registro!$G465))),FIND("x",TRIM(MID(SUBSTITUTE(SUBSTITUTE(SUBSTITUTE(SUBSTITUTE(SUBSTITUTE(LOWER(Registro!$G465),"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",LEN(Registro!$G465))),({1,2,3,4,5,6,7,8,9,10,11,12,13,14,15,16,17,18,19,20,21,22,23,24,25,26,27,28,29,30}-1)*LEN(Registro!$G465)+1,LEN(Registro!$G465)))&amp;"x")+1,20))),"Revisar formato")))</f>
        <v/>
      </c>
      <c r="J465" s="9" t="str">
        <f>IF(AND(Registro!$E465="",Registro!$G465=""),"",IF(NOT(AND(ISNUMBER(I465),ISNUMBER(Registro!$H465))),"",IF(I465&lt;Registro!$H465,"FALTA BOLETOS",IF(I465=Registro!$H465,"CONFORME","DIFERENCIA"))))</f>
        <v/>
      </c>
      <c r="K465" s="11" t="str">
        <f>IF(Registro!$I465="","",IFERROR(SUMPRODUCT(--("0"&amp;TRIM(RIGHT(SUBSTITUTE(TRIM(MID(SUBSTITUTE(SUBSTITUTE(Registro!$I465,";",CHAR(10)),CHAR(10),REPT(" ",LEN(Registro!$I465))),({1,2,3,4,5,6,7,8,9,10,11,12,13,14,15,16,17,18,19,20,21,22,23,24,25,26,27,28,29,30}-1)*LEN(Registro!$I465)+1,LEN(Registro!$I465)))," ",REPT(" ",50)),50)))),"Revisar formato"))</f>
        <v/>
      </c>
      <c r="L465" s="11" t="str">
        <f>IF(Registro!$J465="","",IFERROR(SUMPRODUCT(--("0"&amp;TRIM(RIGHT(SUBSTITUTE(TRIM(MID(SUBSTITUTE(SUBSTITUTE(Registro!$J465,";",CHAR(10)),CHAR(10),REPT(" ",LEN(Registro!$J465))),({1,2,3,4,5,6,7,8,9,10,11,12,13,14,15,16,17,18,19,20,21,22,23,24,25,26,27,28,29,30}-1)*LEN(Registro!$J465)+1,LEN(Registro!$J465)))," ",REPT(" ",50)),50)))),"Revisar formato"))</f>
        <v/>
      </c>
      <c r="M465" s="11" t="str">
        <f>IF(AND(Registro!$H465="",Registro!$I465=""),"",IF(AND(ISTEXT(K465),K465&lt;&gt;""),"Revisar formato",N(Registro!$H465)-N(K465)))</f>
        <v/>
      </c>
      <c r="N465" s="11" t="str">
        <f t="shared" si="23"/>
        <v/>
      </c>
      <c r="O465" s="15" t="str">
        <f>IF(AND(A465=Consulta!$B$3,C465=Consulta!$H$3),B465*10000+ROW(),"")</f>
        <v/>
      </c>
    </row>
    <row r="466" spans="1:15" x14ac:dyDescent="0.25">
      <c r="A466" s="9" t="str">
        <f>IF(Registro!$A466="","",Registro!$A466)</f>
        <v/>
      </c>
      <c r="B466" s="8" t="str">
        <f>IF(Registro!$B466="","",Registro!$B466)</f>
        <v/>
      </c>
      <c r="C466" s="14" t="str">
        <f t="shared" si="21"/>
        <v/>
      </c>
      <c r="D466" s="10" t="str">
        <f>IF(Registro!$E466="","",IF(ISERROR(FIND("x",LOWER(Registro!$E466))),"-",IFERROR(SUMPRODUCT(--("0"&amp;LEFT(TRIM(MID(SUBSTITUTE(SUBSTITUTE(SUBSTITUTE(SUBSTITUTE(SUBSTITUTE(LOWER(Registro!$E466),"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",LEN(Registro!$E466))),({1,2,3,4,5,6,7,8,9,10,11,12,13,14,15,16,17,18,19,20,21,22,23,24,25,26,27,28,29,30}-1)*LEN(Registro!$E466)+1,LEN(Registro!$E466)))&amp;"x")-1))),"Revisar formato")))</f>
        <v/>
      </c>
      <c r="E466" s="11" t="str">
        <f>IF(Registro!$E466="","",IF(ISERROR(FIND("x",LOWER(Registro!$E466))),"-",IFERROR(SUMPRODUCT(--("0"&amp;LEFT(TRIM(MID(SUBSTITUTE(SUBSTITUTE(SUBSTITUTE(SUBSTITUTE(SUBSTITUTE(LOWER(Registro!$E466),"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",LEN(Registro!$E466))),({1,2,3,4,5,6,7,8,9,10,11,12,13,14,15,16,17,18,19,20,21,22,23,24,25,26,27,28,29,30}-1)*LEN(Registro!$E466)+1,LEN(Registro!$E466)))&amp;"x")-1)),--("0"&amp;MID(TRIM(MID(SUBSTITUTE(SUBSTITUTE(SUBSTITUTE(SUBSTITUTE(SUBSTITUTE(LOWER(Registro!$E466),"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",LEN(Registro!$E466))),({1,2,3,4,5,6,7,8,9,10,11,12,13,14,15,16,17,18,19,20,21,22,23,24,25,26,27,28,29,30}-1)*LEN(Registro!$E466)+1,LEN(Registro!$E466)))&amp;"x")+1,20))),"Revisar formato")))</f>
        <v/>
      </c>
      <c r="F466" s="11" t="str">
        <f>IF(Registro!$F466="","",N(Registro!$F466))</f>
        <v/>
      </c>
      <c r="G466" s="11" t="str">
        <f t="shared" si="22"/>
        <v/>
      </c>
      <c r="H466" s="10" t="str">
        <f>IF(Registro!$G466="","",IF(ISERROR(FIND("x",LOWER(Registro!$G466))),"-",IFERROR(SUMPRODUCT(--("0"&amp;LEFT(TRIM(MID(SUBSTITUTE(SUBSTITUTE(SUBSTITUTE(SUBSTITUTE(SUBSTITUTE(LOWER(Registro!$G466),"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",LEN(Registro!$G466))),({1,2,3,4,5,6,7,8,9,10,11,12,13,14,15,16,17,18,19,20,21,22,23,24,25,26,27,28,29,30}-1)*LEN(Registro!$G466)+1,LEN(Registro!$G466))),FIND("x",TRIM(MID(SUBSTITUTE(SUBSTITUTE(SUBSTITUTE(SUBSTITUTE(SUBSTITUTE(LOWER(Registro!$G466),"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",LEN(Registro!$G466))),({1,2,3,4,5,6,7,8,9,10,11,12,13,14,15,16,17,18,19,20,21,22,23,24,25,26,27,28,29,30}-1)*LEN(Registro!$G466)+1,LEN(Registro!$G466)))&amp;"x")-1))),"Revisar formato")))</f>
        <v/>
      </c>
      <c r="I466" s="11" t="str">
        <f>IF(Registro!$G466="","",IF(ISERROR(FIND("x",LOWER(Registro!$G466))),N(Registro!$H466),IFERROR(SUMPRODUCT(--("0"&amp;LEFT(TRIM(MID(SUBSTITUTE(SUBSTITUTE(SUBSTITUTE(SUBSTITUTE(SUBSTITUTE(LOWER(Registro!$G466),"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",LEN(Registro!$G466))),({1,2,3,4,5,6,7,8,9,10,11,12,13,14,15,16,17,18,19,20,21,22,23,24,25,26,27,28,29,30}-1)*LEN(Registro!$G466)+1,LEN(Registro!$G466))),FIND("x",TRIM(MID(SUBSTITUTE(SUBSTITUTE(SUBSTITUTE(SUBSTITUTE(SUBSTITUTE(LOWER(Registro!$G466),"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",LEN(Registro!$G466))),({1,2,3,4,5,6,7,8,9,10,11,12,13,14,15,16,17,18,19,20,21,22,23,24,25,26,27,28,29,30}-1)*LEN(Registro!$G466)+1,LEN(Registro!$G466)))&amp;"x")-1)),--("0"&amp;MID(TRIM(MID(SUBSTITUTE(SUBSTITUTE(SUBSTITUTE(SUBSTITUTE(SUBSTITUTE(LOWER(Registro!$G466),"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",LEN(Registro!$G466))),({1,2,3,4,5,6,7,8,9,10,11,12,13,14,15,16,17,18,19,20,21,22,23,24,25,26,27,28,29,30}-1)*LEN(Registro!$G466)+1,LEN(Registro!$G466))),FIND("x",TRIM(MID(SUBSTITUTE(SUBSTITUTE(SUBSTITUTE(SUBSTITUTE(SUBSTITUTE(LOWER(Registro!$G466),"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",LEN(Registro!$G466))),({1,2,3,4,5,6,7,8,9,10,11,12,13,14,15,16,17,18,19,20,21,22,23,24,25,26,27,28,29,30}-1)*LEN(Registro!$G466)+1,LEN(Registro!$G466)))&amp;"x")+1,20))),"Revisar formato")))</f>
        <v/>
      </c>
      <c r="J466" s="9" t="str">
        <f>IF(AND(Registro!$E466="",Registro!$G466=""),"",IF(NOT(AND(ISNUMBER(I466),ISNUMBER(Registro!$H466))),"",IF(I466&lt;Registro!$H466,"FALTA BOLETOS",IF(I466=Registro!$H466,"CONFORME","DIFERENCIA"))))</f>
        <v/>
      </c>
      <c r="K466" s="11" t="str">
        <f>IF(Registro!$I466="","",IFERROR(SUMPRODUCT(--("0"&amp;TRIM(RIGHT(SUBSTITUTE(TRIM(MID(SUBSTITUTE(SUBSTITUTE(Registro!$I466,";",CHAR(10)),CHAR(10),REPT(" ",LEN(Registro!$I466))),({1,2,3,4,5,6,7,8,9,10,11,12,13,14,15,16,17,18,19,20,21,22,23,24,25,26,27,28,29,30}-1)*LEN(Registro!$I466)+1,LEN(Registro!$I466)))," ",REPT(" ",50)),50)))),"Revisar formato"))</f>
        <v/>
      </c>
      <c r="L466" s="11" t="str">
        <f>IF(Registro!$J466="","",IFERROR(SUMPRODUCT(--("0"&amp;TRIM(RIGHT(SUBSTITUTE(TRIM(MID(SUBSTITUTE(SUBSTITUTE(Registro!$J466,";",CHAR(10)),CHAR(10),REPT(" ",LEN(Registro!$J466))),({1,2,3,4,5,6,7,8,9,10,11,12,13,14,15,16,17,18,19,20,21,22,23,24,25,26,27,28,29,30}-1)*LEN(Registro!$J466)+1,LEN(Registro!$J466)))," ",REPT(" ",50)),50)))),"Revisar formato"))</f>
        <v/>
      </c>
      <c r="M466" s="11" t="str">
        <f>IF(AND(Registro!$H466="",Registro!$I466=""),"",IF(AND(ISTEXT(K466),K466&lt;&gt;""),"Revisar formato",N(Registro!$H466)-N(K466)))</f>
        <v/>
      </c>
      <c r="N466" s="11" t="str">
        <f t="shared" si="23"/>
        <v/>
      </c>
      <c r="O466" s="15" t="str">
        <f>IF(AND(A466=Consulta!$B$3,C466=Consulta!$H$3),B466*10000+ROW(),"")</f>
        <v/>
      </c>
    </row>
    <row r="467" spans="1:15" x14ac:dyDescent="0.25">
      <c r="A467" s="9" t="str">
        <f>IF(Registro!$A467="","",Registro!$A467)</f>
        <v/>
      </c>
      <c r="B467" s="8" t="str">
        <f>IF(Registro!$B467="","",Registro!$B467)</f>
        <v/>
      </c>
      <c r="C467" s="14" t="str">
        <f t="shared" si="21"/>
        <v/>
      </c>
      <c r="D467" s="10" t="str">
        <f>IF(Registro!$E467="","",IF(ISERROR(FIND("x",LOWER(Registro!$E467))),"-",IFERROR(SUMPRODUCT(--("0"&amp;LEFT(TRIM(MID(SUBSTITUTE(SUBSTITUTE(SUBSTITUTE(SUBSTITUTE(SUBSTITUTE(LOWER(Registro!$E467),"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",LEN(Registro!$E467))),({1,2,3,4,5,6,7,8,9,10,11,12,13,14,15,16,17,18,19,20,21,22,23,24,25,26,27,28,29,30}-1)*LEN(Registro!$E467)+1,LEN(Registro!$E467)))&amp;"x")-1))),"Revisar formato")))</f>
        <v/>
      </c>
      <c r="E467" s="11" t="str">
        <f>IF(Registro!$E467="","",IF(ISERROR(FIND("x",LOWER(Registro!$E467))),"-",IFERROR(SUMPRODUCT(--("0"&amp;LEFT(TRIM(MID(SUBSTITUTE(SUBSTITUTE(SUBSTITUTE(SUBSTITUTE(SUBSTITUTE(LOWER(Registro!$E467),"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",LEN(Registro!$E467))),({1,2,3,4,5,6,7,8,9,10,11,12,13,14,15,16,17,18,19,20,21,22,23,24,25,26,27,28,29,30}-1)*LEN(Registro!$E467)+1,LEN(Registro!$E467)))&amp;"x")-1)),--("0"&amp;MID(TRIM(MID(SUBSTITUTE(SUBSTITUTE(SUBSTITUTE(SUBSTITUTE(SUBSTITUTE(LOWER(Registro!$E467),"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",LEN(Registro!$E467))),({1,2,3,4,5,6,7,8,9,10,11,12,13,14,15,16,17,18,19,20,21,22,23,24,25,26,27,28,29,30}-1)*LEN(Registro!$E467)+1,LEN(Registro!$E467)))&amp;"x")+1,20))),"Revisar formato")))</f>
        <v/>
      </c>
      <c r="F467" s="11" t="str">
        <f>IF(Registro!$F467="","",N(Registro!$F467))</f>
        <v/>
      </c>
      <c r="G467" s="11" t="str">
        <f t="shared" si="22"/>
        <v/>
      </c>
      <c r="H467" s="10" t="str">
        <f>IF(Registro!$G467="","",IF(ISERROR(FIND("x",LOWER(Registro!$G467))),"-",IFERROR(SUMPRODUCT(--("0"&amp;LEFT(TRIM(MID(SUBSTITUTE(SUBSTITUTE(SUBSTITUTE(SUBSTITUTE(SUBSTITUTE(LOWER(Registro!$G467),"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",LEN(Registro!$G467))),({1,2,3,4,5,6,7,8,9,10,11,12,13,14,15,16,17,18,19,20,21,22,23,24,25,26,27,28,29,30}-1)*LEN(Registro!$G467)+1,LEN(Registro!$G467))),FIND("x",TRIM(MID(SUBSTITUTE(SUBSTITUTE(SUBSTITUTE(SUBSTITUTE(SUBSTITUTE(LOWER(Registro!$G467),"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",LEN(Registro!$G467))),({1,2,3,4,5,6,7,8,9,10,11,12,13,14,15,16,17,18,19,20,21,22,23,24,25,26,27,28,29,30}-1)*LEN(Registro!$G467)+1,LEN(Registro!$G467)))&amp;"x")-1))),"Revisar formato")))</f>
        <v/>
      </c>
      <c r="I467" s="11" t="str">
        <f>IF(Registro!$G467="","",IF(ISERROR(FIND("x",LOWER(Registro!$G467))),N(Registro!$H467),IFERROR(SUMPRODUCT(--("0"&amp;LEFT(TRIM(MID(SUBSTITUTE(SUBSTITUTE(SUBSTITUTE(SUBSTITUTE(SUBSTITUTE(LOWER(Registro!$G467),"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",LEN(Registro!$G467))),({1,2,3,4,5,6,7,8,9,10,11,12,13,14,15,16,17,18,19,20,21,22,23,24,25,26,27,28,29,30}-1)*LEN(Registro!$G467)+1,LEN(Registro!$G467))),FIND("x",TRIM(MID(SUBSTITUTE(SUBSTITUTE(SUBSTITUTE(SUBSTITUTE(SUBSTITUTE(LOWER(Registro!$G467),"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",LEN(Registro!$G467))),({1,2,3,4,5,6,7,8,9,10,11,12,13,14,15,16,17,18,19,20,21,22,23,24,25,26,27,28,29,30}-1)*LEN(Registro!$G467)+1,LEN(Registro!$G467)))&amp;"x")-1)),--("0"&amp;MID(TRIM(MID(SUBSTITUTE(SUBSTITUTE(SUBSTITUTE(SUBSTITUTE(SUBSTITUTE(LOWER(Registro!$G467),"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",LEN(Registro!$G467))),({1,2,3,4,5,6,7,8,9,10,11,12,13,14,15,16,17,18,19,20,21,22,23,24,25,26,27,28,29,30}-1)*LEN(Registro!$G467)+1,LEN(Registro!$G467))),FIND("x",TRIM(MID(SUBSTITUTE(SUBSTITUTE(SUBSTITUTE(SUBSTITUTE(SUBSTITUTE(LOWER(Registro!$G467),"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",LEN(Registro!$G467))),({1,2,3,4,5,6,7,8,9,10,11,12,13,14,15,16,17,18,19,20,21,22,23,24,25,26,27,28,29,30}-1)*LEN(Registro!$G467)+1,LEN(Registro!$G467)))&amp;"x")+1,20))),"Revisar formato")))</f>
        <v/>
      </c>
      <c r="J467" s="9" t="str">
        <f>IF(AND(Registro!$E467="",Registro!$G467=""),"",IF(NOT(AND(ISNUMBER(I467),ISNUMBER(Registro!$H467))),"",IF(I467&lt;Registro!$H467,"FALTA BOLETOS",IF(I467=Registro!$H467,"CONFORME","DIFERENCIA"))))</f>
        <v/>
      </c>
      <c r="K467" s="11" t="str">
        <f>IF(Registro!$I467="","",IFERROR(SUMPRODUCT(--("0"&amp;TRIM(RIGHT(SUBSTITUTE(TRIM(MID(SUBSTITUTE(SUBSTITUTE(Registro!$I467,";",CHAR(10)),CHAR(10),REPT(" ",LEN(Registro!$I467))),({1,2,3,4,5,6,7,8,9,10,11,12,13,14,15,16,17,18,19,20,21,22,23,24,25,26,27,28,29,30}-1)*LEN(Registro!$I467)+1,LEN(Registro!$I467)))," ",REPT(" ",50)),50)))),"Revisar formato"))</f>
        <v/>
      </c>
      <c r="L467" s="11" t="str">
        <f>IF(Registro!$J467="","",IFERROR(SUMPRODUCT(--("0"&amp;TRIM(RIGHT(SUBSTITUTE(TRIM(MID(SUBSTITUTE(SUBSTITUTE(Registro!$J467,";",CHAR(10)),CHAR(10),REPT(" ",LEN(Registro!$J467))),({1,2,3,4,5,6,7,8,9,10,11,12,13,14,15,16,17,18,19,20,21,22,23,24,25,26,27,28,29,30}-1)*LEN(Registro!$J467)+1,LEN(Registro!$J467)))," ",REPT(" ",50)),50)))),"Revisar formato"))</f>
        <v/>
      </c>
      <c r="M467" s="11" t="str">
        <f>IF(AND(Registro!$H467="",Registro!$I467=""),"",IF(AND(ISTEXT(K467),K467&lt;&gt;""),"Revisar formato",N(Registro!$H467)-N(K467)))</f>
        <v/>
      </c>
      <c r="N467" s="11" t="str">
        <f t="shared" si="23"/>
        <v/>
      </c>
      <c r="O467" s="15" t="str">
        <f>IF(AND(A467=Consulta!$B$3,C467=Consulta!$H$3),B467*10000+ROW(),"")</f>
        <v/>
      </c>
    </row>
    <row r="468" spans="1:15" x14ac:dyDescent="0.25">
      <c r="A468" s="9" t="str">
        <f>IF(Registro!$A468="","",Registro!$A468)</f>
        <v/>
      </c>
      <c r="B468" s="8" t="str">
        <f>IF(Registro!$B468="","",Registro!$B468)</f>
        <v/>
      </c>
      <c r="C468" s="14" t="str">
        <f t="shared" si="21"/>
        <v/>
      </c>
      <c r="D468" s="10" t="str">
        <f>IF(Registro!$E468="","",IF(ISERROR(FIND("x",LOWER(Registro!$E468))),"-",IFERROR(SUMPRODUCT(--("0"&amp;LEFT(TRIM(MID(SUBSTITUTE(SUBSTITUTE(SUBSTITUTE(SUBSTITUTE(SUBSTITUTE(LOWER(Registro!$E468),"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",LEN(Registro!$E468))),({1,2,3,4,5,6,7,8,9,10,11,12,13,14,15,16,17,18,19,20,21,22,23,24,25,26,27,28,29,30}-1)*LEN(Registro!$E468)+1,LEN(Registro!$E468)))&amp;"x")-1))),"Revisar formato")))</f>
        <v/>
      </c>
      <c r="E468" s="11" t="str">
        <f>IF(Registro!$E468="","",IF(ISERROR(FIND("x",LOWER(Registro!$E468))),"-",IFERROR(SUMPRODUCT(--("0"&amp;LEFT(TRIM(MID(SUBSTITUTE(SUBSTITUTE(SUBSTITUTE(SUBSTITUTE(SUBSTITUTE(LOWER(Registro!$E468),"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",LEN(Registro!$E468))),({1,2,3,4,5,6,7,8,9,10,11,12,13,14,15,16,17,18,19,20,21,22,23,24,25,26,27,28,29,30}-1)*LEN(Registro!$E468)+1,LEN(Registro!$E468)))&amp;"x")-1)),--("0"&amp;MID(TRIM(MID(SUBSTITUTE(SUBSTITUTE(SUBSTITUTE(SUBSTITUTE(SUBSTITUTE(LOWER(Registro!$E468),"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",LEN(Registro!$E468))),({1,2,3,4,5,6,7,8,9,10,11,12,13,14,15,16,17,18,19,20,21,22,23,24,25,26,27,28,29,30}-1)*LEN(Registro!$E468)+1,LEN(Registro!$E468)))&amp;"x")+1,20))),"Revisar formato")))</f>
        <v/>
      </c>
      <c r="F468" s="11" t="str">
        <f>IF(Registro!$F468="","",N(Registro!$F468))</f>
        <v/>
      </c>
      <c r="G468" s="11" t="str">
        <f t="shared" si="22"/>
        <v/>
      </c>
      <c r="H468" s="10" t="str">
        <f>IF(Registro!$G468="","",IF(ISERROR(FIND("x",LOWER(Registro!$G468))),"-",IFERROR(SUMPRODUCT(--("0"&amp;LEFT(TRIM(MID(SUBSTITUTE(SUBSTITUTE(SUBSTITUTE(SUBSTITUTE(SUBSTITUTE(LOWER(Registro!$G468),"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",LEN(Registro!$G468))),({1,2,3,4,5,6,7,8,9,10,11,12,13,14,15,16,17,18,19,20,21,22,23,24,25,26,27,28,29,30}-1)*LEN(Registro!$G468)+1,LEN(Registro!$G468))),FIND("x",TRIM(MID(SUBSTITUTE(SUBSTITUTE(SUBSTITUTE(SUBSTITUTE(SUBSTITUTE(LOWER(Registro!$G468),"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",LEN(Registro!$G468))),({1,2,3,4,5,6,7,8,9,10,11,12,13,14,15,16,17,18,19,20,21,22,23,24,25,26,27,28,29,30}-1)*LEN(Registro!$G468)+1,LEN(Registro!$G468)))&amp;"x")-1))),"Revisar formato")))</f>
        <v/>
      </c>
      <c r="I468" s="11" t="str">
        <f>IF(Registro!$G468="","",IF(ISERROR(FIND("x",LOWER(Registro!$G468))),N(Registro!$H468),IFERROR(SUMPRODUCT(--("0"&amp;LEFT(TRIM(MID(SUBSTITUTE(SUBSTITUTE(SUBSTITUTE(SUBSTITUTE(SUBSTITUTE(LOWER(Registro!$G468),"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",LEN(Registro!$G468))),({1,2,3,4,5,6,7,8,9,10,11,12,13,14,15,16,17,18,19,20,21,22,23,24,25,26,27,28,29,30}-1)*LEN(Registro!$G468)+1,LEN(Registro!$G468))),FIND("x",TRIM(MID(SUBSTITUTE(SUBSTITUTE(SUBSTITUTE(SUBSTITUTE(SUBSTITUTE(LOWER(Registro!$G468),"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",LEN(Registro!$G468))),({1,2,3,4,5,6,7,8,9,10,11,12,13,14,15,16,17,18,19,20,21,22,23,24,25,26,27,28,29,30}-1)*LEN(Registro!$G468)+1,LEN(Registro!$G468)))&amp;"x")-1)),--("0"&amp;MID(TRIM(MID(SUBSTITUTE(SUBSTITUTE(SUBSTITUTE(SUBSTITUTE(SUBSTITUTE(LOWER(Registro!$G468),"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",LEN(Registro!$G468))),({1,2,3,4,5,6,7,8,9,10,11,12,13,14,15,16,17,18,19,20,21,22,23,24,25,26,27,28,29,30}-1)*LEN(Registro!$G468)+1,LEN(Registro!$G468))),FIND("x",TRIM(MID(SUBSTITUTE(SUBSTITUTE(SUBSTITUTE(SUBSTITUTE(SUBSTITUTE(LOWER(Registro!$G468),"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",LEN(Registro!$G468))),({1,2,3,4,5,6,7,8,9,10,11,12,13,14,15,16,17,18,19,20,21,22,23,24,25,26,27,28,29,30}-1)*LEN(Registro!$G468)+1,LEN(Registro!$G468)))&amp;"x")+1,20))),"Revisar formato")))</f>
        <v/>
      </c>
      <c r="J468" s="9" t="str">
        <f>IF(AND(Registro!$E468="",Registro!$G468=""),"",IF(NOT(AND(ISNUMBER(I468),ISNUMBER(Registro!$H468))),"",IF(I468&lt;Registro!$H468,"FALTA BOLETOS",IF(I468=Registro!$H468,"CONFORME","DIFERENCIA"))))</f>
        <v/>
      </c>
      <c r="K468" s="11" t="str">
        <f>IF(Registro!$I468="","",IFERROR(SUMPRODUCT(--("0"&amp;TRIM(RIGHT(SUBSTITUTE(TRIM(MID(SUBSTITUTE(SUBSTITUTE(Registro!$I468,";",CHAR(10)),CHAR(10),REPT(" ",LEN(Registro!$I468))),({1,2,3,4,5,6,7,8,9,10,11,12,13,14,15,16,17,18,19,20,21,22,23,24,25,26,27,28,29,30}-1)*LEN(Registro!$I468)+1,LEN(Registro!$I468)))," ",REPT(" ",50)),50)))),"Revisar formato"))</f>
        <v/>
      </c>
      <c r="L468" s="11" t="str">
        <f>IF(Registro!$J468="","",IFERROR(SUMPRODUCT(--("0"&amp;TRIM(RIGHT(SUBSTITUTE(TRIM(MID(SUBSTITUTE(SUBSTITUTE(Registro!$J468,";",CHAR(10)),CHAR(10),REPT(" ",LEN(Registro!$J468))),({1,2,3,4,5,6,7,8,9,10,11,12,13,14,15,16,17,18,19,20,21,22,23,24,25,26,27,28,29,30}-1)*LEN(Registro!$J468)+1,LEN(Registro!$J468)))," ",REPT(" ",50)),50)))),"Revisar formato"))</f>
        <v/>
      </c>
      <c r="M468" s="11" t="str">
        <f>IF(AND(Registro!$H468="",Registro!$I468=""),"",IF(AND(ISTEXT(K468),K468&lt;&gt;""),"Revisar formato",N(Registro!$H468)-N(K468)))</f>
        <v/>
      </c>
      <c r="N468" s="11" t="str">
        <f t="shared" si="23"/>
        <v/>
      </c>
      <c r="O468" s="15" t="str">
        <f>IF(AND(A468=Consulta!$B$3,C468=Consulta!$H$3),B468*10000+ROW(),"")</f>
        <v/>
      </c>
    </row>
    <row r="469" spans="1:15" x14ac:dyDescent="0.25">
      <c r="A469" s="9" t="str">
        <f>IF(Registro!$A469="","",Registro!$A469)</f>
        <v/>
      </c>
      <c r="B469" s="8" t="str">
        <f>IF(Registro!$B469="","",Registro!$B469)</f>
        <v/>
      </c>
      <c r="C469" s="14" t="str">
        <f t="shared" si="21"/>
        <v/>
      </c>
      <c r="D469" s="10" t="str">
        <f>IF(Registro!$E469="","",IF(ISERROR(FIND("x",LOWER(Registro!$E469))),"-",IFERROR(SUMPRODUCT(--("0"&amp;LEFT(TRIM(MID(SUBSTITUTE(SUBSTITUTE(SUBSTITUTE(SUBSTITUTE(SUBSTITUTE(LOWER(Registro!$E469),"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",LEN(Registro!$E469))),({1,2,3,4,5,6,7,8,9,10,11,12,13,14,15,16,17,18,19,20,21,22,23,24,25,26,27,28,29,30}-1)*LEN(Registro!$E469)+1,LEN(Registro!$E469)))&amp;"x")-1))),"Revisar formato")))</f>
        <v/>
      </c>
      <c r="E469" s="11" t="str">
        <f>IF(Registro!$E469="","",IF(ISERROR(FIND("x",LOWER(Registro!$E469))),"-",IFERROR(SUMPRODUCT(--("0"&amp;LEFT(TRIM(MID(SUBSTITUTE(SUBSTITUTE(SUBSTITUTE(SUBSTITUTE(SUBSTITUTE(LOWER(Registro!$E469),"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",LEN(Registro!$E469))),({1,2,3,4,5,6,7,8,9,10,11,12,13,14,15,16,17,18,19,20,21,22,23,24,25,26,27,28,29,30}-1)*LEN(Registro!$E469)+1,LEN(Registro!$E469)))&amp;"x")-1)),--("0"&amp;MID(TRIM(MID(SUBSTITUTE(SUBSTITUTE(SUBSTITUTE(SUBSTITUTE(SUBSTITUTE(LOWER(Registro!$E469),"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",LEN(Registro!$E469))),({1,2,3,4,5,6,7,8,9,10,11,12,13,14,15,16,17,18,19,20,21,22,23,24,25,26,27,28,29,30}-1)*LEN(Registro!$E469)+1,LEN(Registro!$E469)))&amp;"x")+1,20))),"Revisar formato")))</f>
        <v/>
      </c>
      <c r="F469" s="11" t="str">
        <f>IF(Registro!$F469="","",N(Registro!$F469))</f>
        <v/>
      </c>
      <c r="G469" s="11" t="str">
        <f t="shared" si="22"/>
        <v/>
      </c>
      <c r="H469" s="10" t="str">
        <f>IF(Registro!$G469="","",IF(ISERROR(FIND("x",LOWER(Registro!$G469))),"-",IFERROR(SUMPRODUCT(--("0"&amp;LEFT(TRIM(MID(SUBSTITUTE(SUBSTITUTE(SUBSTITUTE(SUBSTITUTE(SUBSTITUTE(LOWER(Registro!$G469),"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",LEN(Registro!$G469))),({1,2,3,4,5,6,7,8,9,10,11,12,13,14,15,16,17,18,19,20,21,22,23,24,25,26,27,28,29,30}-1)*LEN(Registro!$G469)+1,LEN(Registro!$G469))),FIND("x",TRIM(MID(SUBSTITUTE(SUBSTITUTE(SUBSTITUTE(SUBSTITUTE(SUBSTITUTE(LOWER(Registro!$G469),"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",LEN(Registro!$G469))),({1,2,3,4,5,6,7,8,9,10,11,12,13,14,15,16,17,18,19,20,21,22,23,24,25,26,27,28,29,30}-1)*LEN(Registro!$G469)+1,LEN(Registro!$G469)))&amp;"x")-1))),"Revisar formato")))</f>
        <v/>
      </c>
      <c r="I469" s="11" t="str">
        <f>IF(Registro!$G469="","",IF(ISERROR(FIND("x",LOWER(Registro!$G469))),N(Registro!$H469),IFERROR(SUMPRODUCT(--("0"&amp;LEFT(TRIM(MID(SUBSTITUTE(SUBSTITUTE(SUBSTITUTE(SUBSTITUTE(SUBSTITUTE(LOWER(Registro!$G469),"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",LEN(Registro!$G469))),({1,2,3,4,5,6,7,8,9,10,11,12,13,14,15,16,17,18,19,20,21,22,23,24,25,26,27,28,29,30}-1)*LEN(Registro!$G469)+1,LEN(Registro!$G469))),FIND("x",TRIM(MID(SUBSTITUTE(SUBSTITUTE(SUBSTITUTE(SUBSTITUTE(SUBSTITUTE(LOWER(Registro!$G469),"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",LEN(Registro!$G469))),({1,2,3,4,5,6,7,8,9,10,11,12,13,14,15,16,17,18,19,20,21,22,23,24,25,26,27,28,29,30}-1)*LEN(Registro!$G469)+1,LEN(Registro!$G469)))&amp;"x")-1)),--("0"&amp;MID(TRIM(MID(SUBSTITUTE(SUBSTITUTE(SUBSTITUTE(SUBSTITUTE(SUBSTITUTE(LOWER(Registro!$G469),"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",LEN(Registro!$G469))),({1,2,3,4,5,6,7,8,9,10,11,12,13,14,15,16,17,18,19,20,21,22,23,24,25,26,27,28,29,30}-1)*LEN(Registro!$G469)+1,LEN(Registro!$G469))),FIND("x",TRIM(MID(SUBSTITUTE(SUBSTITUTE(SUBSTITUTE(SUBSTITUTE(SUBSTITUTE(LOWER(Registro!$G469),"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",LEN(Registro!$G469))),({1,2,3,4,5,6,7,8,9,10,11,12,13,14,15,16,17,18,19,20,21,22,23,24,25,26,27,28,29,30}-1)*LEN(Registro!$G469)+1,LEN(Registro!$G469)))&amp;"x")+1,20))),"Revisar formato")))</f>
        <v/>
      </c>
      <c r="J469" s="9" t="str">
        <f>IF(AND(Registro!$E469="",Registro!$G469=""),"",IF(NOT(AND(ISNUMBER(I469),ISNUMBER(Registro!$H469))),"",IF(I469&lt;Registro!$H469,"FALTA BOLETOS",IF(I469=Registro!$H469,"CONFORME","DIFERENCIA"))))</f>
        <v/>
      </c>
      <c r="K469" s="11" t="str">
        <f>IF(Registro!$I469="","",IFERROR(SUMPRODUCT(--("0"&amp;TRIM(RIGHT(SUBSTITUTE(TRIM(MID(SUBSTITUTE(SUBSTITUTE(Registro!$I469,";",CHAR(10)),CHAR(10),REPT(" ",LEN(Registro!$I469))),({1,2,3,4,5,6,7,8,9,10,11,12,13,14,15,16,17,18,19,20,21,22,23,24,25,26,27,28,29,30}-1)*LEN(Registro!$I469)+1,LEN(Registro!$I469)))," ",REPT(" ",50)),50)))),"Revisar formato"))</f>
        <v/>
      </c>
      <c r="L469" s="11" t="str">
        <f>IF(Registro!$J469="","",IFERROR(SUMPRODUCT(--("0"&amp;TRIM(RIGHT(SUBSTITUTE(TRIM(MID(SUBSTITUTE(SUBSTITUTE(Registro!$J469,";",CHAR(10)),CHAR(10),REPT(" ",LEN(Registro!$J469))),({1,2,3,4,5,6,7,8,9,10,11,12,13,14,15,16,17,18,19,20,21,22,23,24,25,26,27,28,29,30}-1)*LEN(Registro!$J469)+1,LEN(Registro!$J469)))," ",REPT(" ",50)),50)))),"Revisar formato"))</f>
        <v/>
      </c>
      <c r="M469" s="11" t="str">
        <f>IF(AND(Registro!$H469="",Registro!$I469=""),"",IF(AND(ISTEXT(K469),K469&lt;&gt;""),"Revisar formato",N(Registro!$H469)-N(K469)))</f>
        <v/>
      </c>
      <c r="N469" s="11" t="str">
        <f t="shared" si="23"/>
        <v/>
      </c>
      <c r="O469" s="15" t="str">
        <f>IF(AND(A469=Consulta!$B$3,C469=Consulta!$H$3),B469*10000+ROW(),"")</f>
        <v/>
      </c>
    </row>
    <row r="470" spans="1:15" x14ac:dyDescent="0.25">
      <c r="A470" s="9" t="str">
        <f>IF(Registro!$A470="","",Registro!$A470)</f>
        <v/>
      </c>
      <c r="B470" s="8" t="str">
        <f>IF(Registro!$B470="","",Registro!$B470)</f>
        <v/>
      </c>
      <c r="C470" s="14" t="str">
        <f t="shared" si="21"/>
        <v/>
      </c>
      <c r="D470" s="10" t="str">
        <f>IF(Registro!$E470="","",IF(ISERROR(FIND("x",LOWER(Registro!$E470))),"-",IFERROR(SUMPRODUCT(--("0"&amp;LEFT(TRIM(MID(SUBSTITUTE(SUBSTITUTE(SUBSTITUTE(SUBSTITUTE(SUBSTITUTE(LOWER(Registro!$E470),"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",LEN(Registro!$E470))),({1,2,3,4,5,6,7,8,9,10,11,12,13,14,15,16,17,18,19,20,21,22,23,24,25,26,27,28,29,30}-1)*LEN(Registro!$E470)+1,LEN(Registro!$E470)))&amp;"x")-1))),"Revisar formato")))</f>
        <v/>
      </c>
      <c r="E470" s="11" t="str">
        <f>IF(Registro!$E470="","",IF(ISERROR(FIND("x",LOWER(Registro!$E470))),"-",IFERROR(SUMPRODUCT(--("0"&amp;LEFT(TRIM(MID(SUBSTITUTE(SUBSTITUTE(SUBSTITUTE(SUBSTITUTE(SUBSTITUTE(LOWER(Registro!$E470),"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",LEN(Registro!$E470))),({1,2,3,4,5,6,7,8,9,10,11,12,13,14,15,16,17,18,19,20,21,22,23,24,25,26,27,28,29,30}-1)*LEN(Registro!$E470)+1,LEN(Registro!$E470)))&amp;"x")-1)),--("0"&amp;MID(TRIM(MID(SUBSTITUTE(SUBSTITUTE(SUBSTITUTE(SUBSTITUTE(SUBSTITUTE(LOWER(Registro!$E470),"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",LEN(Registro!$E470))),({1,2,3,4,5,6,7,8,9,10,11,12,13,14,15,16,17,18,19,20,21,22,23,24,25,26,27,28,29,30}-1)*LEN(Registro!$E470)+1,LEN(Registro!$E470)))&amp;"x")+1,20))),"Revisar formato")))</f>
        <v/>
      </c>
      <c r="F470" s="11" t="str">
        <f>IF(Registro!$F470="","",N(Registro!$F470))</f>
        <v/>
      </c>
      <c r="G470" s="11" t="str">
        <f t="shared" si="22"/>
        <v/>
      </c>
      <c r="H470" s="10" t="str">
        <f>IF(Registro!$G470="","",IF(ISERROR(FIND("x",LOWER(Registro!$G470))),"-",IFERROR(SUMPRODUCT(--("0"&amp;LEFT(TRIM(MID(SUBSTITUTE(SUBSTITUTE(SUBSTITUTE(SUBSTITUTE(SUBSTITUTE(LOWER(Registro!$G470),"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",LEN(Registro!$G470))),({1,2,3,4,5,6,7,8,9,10,11,12,13,14,15,16,17,18,19,20,21,22,23,24,25,26,27,28,29,30}-1)*LEN(Registro!$G470)+1,LEN(Registro!$G470))),FIND("x",TRIM(MID(SUBSTITUTE(SUBSTITUTE(SUBSTITUTE(SUBSTITUTE(SUBSTITUTE(LOWER(Registro!$G470),"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",LEN(Registro!$G470))),({1,2,3,4,5,6,7,8,9,10,11,12,13,14,15,16,17,18,19,20,21,22,23,24,25,26,27,28,29,30}-1)*LEN(Registro!$G470)+1,LEN(Registro!$G470)))&amp;"x")-1))),"Revisar formato")))</f>
        <v/>
      </c>
      <c r="I470" s="11" t="str">
        <f>IF(Registro!$G470="","",IF(ISERROR(FIND("x",LOWER(Registro!$G470))),N(Registro!$H470),IFERROR(SUMPRODUCT(--("0"&amp;LEFT(TRIM(MID(SUBSTITUTE(SUBSTITUTE(SUBSTITUTE(SUBSTITUTE(SUBSTITUTE(LOWER(Registro!$G470),"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",LEN(Registro!$G470))),({1,2,3,4,5,6,7,8,9,10,11,12,13,14,15,16,17,18,19,20,21,22,23,24,25,26,27,28,29,30}-1)*LEN(Registro!$G470)+1,LEN(Registro!$G470))),FIND("x",TRIM(MID(SUBSTITUTE(SUBSTITUTE(SUBSTITUTE(SUBSTITUTE(SUBSTITUTE(LOWER(Registro!$G470),"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",LEN(Registro!$G470))),({1,2,3,4,5,6,7,8,9,10,11,12,13,14,15,16,17,18,19,20,21,22,23,24,25,26,27,28,29,30}-1)*LEN(Registro!$G470)+1,LEN(Registro!$G470)))&amp;"x")-1)),--("0"&amp;MID(TRIM(MID(SUBSTITUTE(SUBSTITUTE(SUBSTITUTE(SUBSTITUTE(SUBSTITUTE(LOWER(Registro!$G470),"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",LEN(Registro!$G470))),({1,2,3,4,5,6,7,8,9,10,11,12,13,14,15,16,17,18,19,20,21,22,23,24,25,26,27,28,29,30}-1)*LEN(Registro!$G470)+1,LEN(Registro!$G470))),FIND("x",TRIM(MID(SUBSTITUTE(SUBSTITUTE(SUBSTITUTE(SUBSTITUTE(SUBSTITUTE(LOWER(Registro!$G470),"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",LEN(Registro!$G470))),({1,2,3,4,5,6,7,8,9,10,11,12,13,14,15,16,17,18,19,20,21,22,23,24,25,26,27,28,29,30}-1)*LEN(Registro!$G470)+1,LEN(Registro!$G470)))&amp;"x")+1,20))),"Revisar formato")))</f>
        <v/>
      </c>
      <c r="J470" s="9" t="str">
        <f>IF(AND(Registro!$E470="",Registro!$G470=""),"",IF(NOT(AND(ISNUMBER(I470),ISNUMBER(Registro!$H470))),"",IF(I470&lt;Registro!$H470,"FALTA BOLETOS",IF(I470=Registro!$H470,"CONFORME","DIFERENCIA"))))</f>
        <v/>
      </c>
      <c r="K470" s="11" t="str">
        <f>IF(Registro!$I470="","",IFERROR(SUMPRODUCT(--("0"&amp;TRIM(RIGHT(SUBSTITUTE(TRIM(MID(SUBSTITUTE(SUBSTITUTE(Registro!$I470,";",CHAR(10)),CHAR(10),REPT(" ",LEN(Registro!$I470))),({1,2,3,4,5,6,7,8,9,10,11,12,13,14,15,16,17,18,19,20,21,22,23,24,25,26,27,28,29,30}-1)*LEN(Registro!$I470)+1,LEN(Registro!$I470)))," ",REPT(" ",50)),50)))),"Revisar formato"))</f>
        <v/>
      </c>
      <c r="L470" s="11" t="str">
        <f>IF(Registro!$J470="","",IFERROR(SUMPRODUCT(--("0"&amp;TRIM(RIGHT(SUBSTITUTE(TRIM(MID(SUBSTITUTE(SUBSTITUTE(Registro!$J470,";",CHAR(10)),CHAR(10),REPT(" ",LEN(Registro!$J470))),({1,2,3,4,5,6,7,8,9,10,11,12,13,14,15,16,17,18,19,20,21,22,23,24,25,26,27,28,29,30}-1)*LEN(Registro!$J470)+1,LEN(Registro!$J470)))," ",REPT(" ",50)),50)))),"Revisar formato"))</f>
        <v/>
      </c>
      <c r="M470" s="11" t="str">
        <f>IF(AND(Registro!$H470="",Registro!$I470=""),"",IF(AND(ISTEXT(K470),K470&lt;&gt;""),"Revisar formato",N(Registro!$H470)-N(K470)))</f>
        <v/>
      </c>
      <c r="N470" s="11" t="str">
        <f t="shared" si="23"/>
        <v/>
      </c>
      <c r="O470" s="15" t="str">
        <f>IF(AND(A470=Consulta!$B$3,C470=Consulta!$H$3),B470*10000+ROW(),"")</f>
        <v/>
      </c>
    </row>
    <row r="471" spans="1:15" x14ac:dyDescent="0.25">
      <c r="A471" s="9" t="str">
        <f>IF(Registro!$A471="","",Registro!$A471)</f>
        <v/>
      </c>
      <c r="B471" s="8" t="str">
        <f>IF(Registro!$B471="","",Registro!$B471)</f>
        <v/>
      </c>
      <c r="C471" s="14" t="str">
        <f t="shared" si="21"/>
        <v/>
      </c>
      <c r="D471" s="10" t="str">
        <f>IF(Registro!$E471="","",IF(ISERROR(FIND("x",LOWER(Registro!$E471))),"-",IFERROR(SUMPRODUCT(--("0"&amp;LEFT(TRIM(MID(SUBSTITUTE(SUBSTITUTE(SUBSTITUTE(SUBSTITUTE(SUBSTITUTE(LOWER(Registro!$E471),"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",LEN(Registro!$E471))),({1,2,3,4,5,6,7,8,9,10,11,12,13,14,15,16,17,18,19,20,21,22,23,24,25,26,27,28,29,30}-1)*LEN(Registro!$E471)+1,LEN(Registro!$E471)))&amp;"x")-1))),"Revisar formato")))</f>
        <v/>
      </c>
      <c r="E471" s="11" t="str">
        <f>IF(Registro!$E471="","",IF(ISERROR(FIND("x",LOWER(Registro!$E471))),"-",IFERROR(SUMPRODUCT(--("0"&amp;LEFT(TRIM(MID(SUBSTITUTE(SUBSTITUTE(SUBSTITUTE(SUBSTITUTE(SUBSTITUTE(LOWER(Registro!$E471),"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",LEN(Registro!$E471))),({1,2,3,4,5,6,7,8,9,10,11,12,13,14,15,16,17,18,19,20,21,22,23,24,25,26,27,28,29,30}-1)*LEN(Registro!$E471)+1,LEN(Registro!$E471)))&amp;"x")-1)),--("0"&amp;MID(TRIM(MID(SUBSTITUTE(SUBSTITUTE(SUBSTITUTE(SUBSTITUTE(SUBSTITUTE(LOWER(Registro!$E471),"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",LEN(Registro!$E471))),({1,2,3,4,5,6,7,8,9,10,11,12,13,14,15,16,17,18,19,20,21,22,23,24,25,26,27,28,29,30}-1)*LEN(Registro!$E471)+1,LEN(Registro!$E471)))&amp;"x")+1,20))),"Revisar formato")))</f>
        <v/>
      </c>
      <c r="F471" s="11" t="str">
        <f>IF(Registro!$F471="","",N(Registro!$F471))</f>
        <v/>
      </c>
      <c r="G471" s="11" t="str">
        <f t="shared" si="22"/>
        <v/>
      </c>
      <c r="H471" s="10" t="str">
        <f>IF(Registro!$G471="","",IF(ISERROR(FIND("x",LOWER(Registro!$G471))),"-",IFERROR(SUMPRODUCT(--("0"&amp;LEFT(TRIM(MID(SUBSTITUTE(SUBSTITUTE(SUBSTITUTE(SUBSTITUTE(SUBSTITUTE(LOWER(Registro!$G471),"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",LEN(Registro!$G471))),({1,2,3,4,5,6,7,8,9,10,11,12,13,14,15,16,17,18,19,20,21,22,23,24,25,26,27,28,29,30}-1)*LEN(Registro!$G471)+1,LEN(Registro!$G471))),FIND("x",TRIM(MID(SUBSTITUTE(SUBSTITUTE(SUBSTITUTE(SUBSTITUTE(SUBSTITUTE(LOWER(Registro!$G471),"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",LEN(Registro!$G471))),({1,2,3,4,5,6,7,8,9,10,11,12,13,14,15,16,17,18,19,20,21,22,23,24,25,26,27,28,29,30}-1)*LEN(Registro!$G471)+1,LEN(Registro!$G471)))&amp;"x")-1))),"Revisar formato")))</f>
        <v/>
      </c>
      <c r="I471" s="11" t="str">
        <f>IF(Registro!$G471="","",IF(ISERROR(FIND("x",LOWER(Registro!$G471))),N(Registro!$H471),IFERROR(SUMPRODUCT(--("0"&amp;LEFT(TRIM(MID(SUBSTITUTE(SUBSTITUTE(SUBSTITUTE(SUBSTITUTE(SUBSTITUTE(LOWER(Registro!$G471),"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",LEN(Registro!$G471))),({1,2,3,4,5,6,7,8,9,10,11,12,13,14,15,16,17,18,19,20,21,22,23,24,25,26,27,28,29,30}-1)*LEN(Registro!$G471)+1,LEN(Registro!$G471))),FIND("x",TRIM(MID(SUBSTITUTE(SUBSTITUTE(SUBSTITUTE(SUBSTITUTE(SUBSTITUTE(LOWER(Registro!$G471),"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",LEN(Registro!$G471))),({1,2,3,4,5,6,7,8,9,10,11,12,13,14,15,16,17,18,19,20,21,22,23,24,25,26,27,28,29,30}-1)*LEN(Registro!$G471)+1,LEN(Registro!$G471)))&amp;"x")-1)),--("0"&amp;MID(TRIM(MID(SUBSTITUTE(SUBSTITUTE(SUBSTITUTE(SUBSTITUTE(SUBSTITUTE(LOWER(Registro!$G471),"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",LEN(Registro!$G471))),({1,2,3,4,5,6,7,8,9,10,11,12,13,14,15,16,17,18,19,20,21,22,23,24,25,26,27,28,29,30}-1)*LEN(Registro!$G471)+1,LEN(Registro!$G471))),FIND("x",TRIM(MID(SUBSTITUTE(SUBSTITUTE(SUBSTITUTE(SUBSTITUTE(SUBSTITUTE(LOWER(Registro!$G471),"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",LEN(Registro!$G471))),({1,2,3,4,5,6,7,8,9,10,11,12,13,14,15,16,17,18,19,20,21,22,23,24,25,26,27,28,29,30}-1)*LEN(Registro!$G471)+1,LEN(Registro!$G471)))&amp;"x")+1,20))),"Revisar formato")))</f>
        <v/>
      </c>
      <c r="J471" s="9" t="str">
        <f>IF(AND(Registro!$E471="",Registro!$G471=""),"",IF(NOT(AND(ISNUMBER(I471),ISNUMBER(Registro!$H471))),"",IF(I471&lt;Registro!$H471,"FALTA BOLETOS",IF(I471=Registro!$H471,"CONFORME","DIFERENCIA"))))</f>
        <v/>
      </c>
      <c r="K471" s="11" t="str">
        <f>IF(Registro!$I471="","",IFERROR(SUMPRODUCT(--("0"&amp;TRIM(RIGHT(SUBSTITUTE(TRIM(MID(SUBSTITUTE(SUBSTITUTE(Registro!$I471,";",CHAR(10)),CHAR(10),REPT(" ",LEN(Registro!$I471))),({1,2,3,4,5,6,7,8,9,10,11,12,13,14,15,16,17,18,19,20,21,22,23,24,25,26,27,28,29,30}-1)*LEN(Registro!$I471)+1,LEN(Registro!$I471)))," ",REPT(" ",50)),50)))),"Revisar formato"))</f>
        <v/>
      </c>
      <c r="L471" s="11" t="str">
        <f>IF(Registro!$J471="","",IFERROR(SUMPRODUCT(--("0"&amp;TRIM(RIGHT(SUBSTITUTE(TRIM(MID(SUBSTITUTE(SUBSTITUTE(Registro!$J471,";",CHAR(10)),CHAR(10),REPT(" ",LEN(Registro!$J471))),({1,2,3,4,5,6,7,8,9,10,11,12,13,14,15,16,17,18,19,20,21,22,23,24,25,26,27,28,29,30}-1)*LEN(Registro!$J471)+1,LEN(Registro!$J471)))," ",REPT(" ",50)),50)))),"Revisar formato"))</f>
        <v/>
      </c>
      <c r="M471" s="11" t="str">
        <f>IF(AND(Registro!$H471="",Registro!$I471=""),"",IF(AND(ISTEXT(K471),K471&lt;&gt;""),"Revisar formato",N(Registro!$H471)-N(K471)))</f>
        <v/>
      </c>
      <c r="N471" s="11" t="str">
        <f t="shared" si="23"/>
        <v/>
      </c>
      <c r="O471" s="15" t="str">
        <f>IF(AND(A471=Consulta!$B$3,C471=Consulta!$H$3),B471*10000+ROW(),"")</f>
        <v/>
      </c>
    </row>
    <row r="472" spans="1:15" x14ac:dyDescent="0.25">
      <c r="A472" s="9" t="str">
        <f>IF(Registro!$A472="","",Registro!$A472)</f>
        <v/>
      </c>
      <c r="B472" s="8" t="str">
        <f>IF(Registro!$B472="","",Registro!$B472)</f>
        <v/>
      </c>
      <c r="C472" s="14" t="str">
        <f t="shared" si="21"/>
        <v/>
      </c>
      <c r="D472" s="10" t="str">
        <f>IF(Registro!$E472="","",IF(ISERROR(FIND("x",LOWER(Registro!$E472))),"-",IFERROR(SUMPRODUCT(--("0"&amp;LEFT(TRIM(MID(SUBSTITUTE(SUBSTITUTE(SUBSTITUTE(SUBSTITUTE(SUBSTITUTE(LOWER(Registro!$E472),"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",LEN(Registro!$E472))),({1,2,3,4,5,6,7,8,9,10,11,12,13,14,15,16,17,18,19,20,21,22,23,24,25,26,27,28,29,30}-1)*LEN(Registro!$E472)+1,LEN(Registro!$E472)))&amp;"x")-1))),"Revisar formato")))</f>
        <v/>
      </c>
      <c r="E472" s="11" t="str">
        <f>IF(Registro!$E472="","",IF(ISERROR(FIND("x",LOWER(Registro!$E472))),"-",IFERROR(SUMPRODUCT(--("0"&amp;LEFT(TRIM(MID(SUBSTITUTE(SUBSTITUTE(SUBSTITUTE(SUBSTITUTE(SUBSTITUTE(LOWER(Registro!$E472),"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",LEN(Registro!$E472))),({1,2,3,4,5,6,7,8,9,10,11,12,13,14,15,16,17,18,19,20,21,22,23,24,25,26,27,28,29,30}-1)*LEN(Registro!$E472)+1,LEN(Registro!$E472)))&amp;"x")-1)),--("0"&amp;MID(TRIM(MID(SUBSTITUTE(SUBSTITUTE(SUBSTITUTE(SUBSTITUTE(SUBSTITUTE(LOWER(Registro!$E472),"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",LEN(Registro!$E472))),({1,2,3,4,5,6,7,8,9,10,11,12,13,14,15,16,17,18,19,20,21,22,23,24,25,26,27,28,29,30}-1)*LEN(Registro!$E472)+1,LEN(Registro!$E472)))&amp;"x")+1,20))),"Revisar formato")))</f>
        <v/>
      </c>
      <c r="F472" s="11" t="str">
        <f>IF(Registro!$F472="","",N(Registro!$F472))</f>
        <v/>
      </c>
      <c r="G472" s="11" t="str">
        <f t="shared" si="22"/>
        <v/>
      </c>
      <c r="H472" s="10" t="str">
        <f>IF(Registro!$G472="","",IF(ISERROR(FIND("x",LOWER(Registro!$G472))),"-",IFERROR(SUMPRODUCT(--("0"&amp;LEFT(TRIM(MID(SUBSTITUTE(SUBSTITUTE(SUBSTITUTE(SUBSTITUTE(SUBSTITUTE(LOWER(Registro!$G472),"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",LEN(Registro!$G472))),({1,2,3,4,5,6,7,8,9,10,11,12,13,14,15,16,17,18,19,20,21,22,23,24,25,26,27,28,29,30}-1)*LEN(Registro!$G472)+1,LEN(Registro!$G472))),FIND("x",TRIM(MID(SUBSTITUTE(SUBSTITUTE(SUBSTITUTE(SUBSTITUTE(SUBSTITUTE(LOWER(Registro!$G472),"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",LEN(Registro!$G472))),({1,2,3,4,5,6,7,8,9,10,11,12,13,14,15,16,17,18,19,20,21,22,23,24,25,26,27,28,29,30}-1)*LEN(Registro!$G472)+1,LEN(Registro!$G472)))&amp;"x")-1))),"Revisar formato")))</f>
        <v/>
      </c>
      <c r="I472" s="11" t="str">
        <f>IF(Registro!$G472="","",IF(ISERROR(FIND("x",LOWER(Registro!$G472))),N(Registro!$H472),IFERROR(SUMPRODUCT(--("0"&amp;LEFT(TRIM(MID(SUBSTITUTE(SUBSTITUTE(SUBSTITUTE(SUBSTITUTE(SUBSTITUTE(LOWER(Registro!$G472),"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",LEN(Registro!$G472))),({1,2,3,4,5,6,7,8,9,10,11,12,13,14,15,16,17,18,19,20,21,22,23,24,25,26,27,28,29,30}-1)*LEN(Registro!$G472)+1,LEN(Registro!$G472))),FIND("x",TRIM(MID(SUBSTITUTE(SUBSTITUTE(SUBSTITUTE(SUBSTITUTE(SUBSTITUTE(LOWER(Registro!$G472),"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",LEN(Registro!$G472))),({1,2,3,4,5,6,7,8,9,10,11,12,13,14,15,16,17,18,19,20,21,22,23,24,25,26,27,28,29,30}-1)*LEN(Registro!$G472)+1,LEN(Registro!$G472)))&amp;"x")-1)),--("0"&amp;MID(TRIM(MID(SUBSTITUTE(SUBSTITUTE(SUBSTITUTE(SUBSTITUTE(SUBSTITUTE(LOWER(Registro!$G472),"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",LEN(Registro!$G472))),({1,2,3,4,5,6,7,8,9,10,11,12,13,14,15,16,17,18,19,20,21,22,23,24,25,26,27,28,29,30}-1)*LEN(Registro!$G472)+1,LEN(Registro!$G472))),FIND("x",TRIM(MID(SUBSTITUTE(SUBSTITUTE(SUBSTITUTE(SUBSTITUTE(SUBSTITUTE(LOWER(Registro!$G472),"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",LEN(Registro!$G472))),({1,2,3,4,5,6,7,8,9,10,11,12,13,14,15,16,17,18,19,20,21,22,23,24,25,26,27,28,29,30}-1)*LEN(Registro!$G472)+1,LEN(Registro!$G472)))&amp;"x")+1,20))),"Revisar formato")))</f>
        <v/>
      </c>
      <c r="J472" s="9" t="str">
        <f>IF(AND(Registro!$E472="",Registro!$G472=""),"",IF(NOT(AND(ISNUMBER(I472),ISNUMBER(Registro!$H472))),"",IF(I472&lt;Registro!$H472,"FALTA BOLETOS",IF(I472=Registro!$H472,"CONFORME","DIFERENCIA"))))</f>
        <v/>
      </c>
      <c r="K472" s="11" t="str">
        <f>IF(Registro!$I472="","",IFERROR(SUMPRODUCT(--("0"&amp;TRIM(RIGHT(SUBSTITUTE(TRIM(MID(SUBSTITUTE(SUBSTITUTE(Registro!$I472,";",CHAR(10)),CHAR(10),REPT(" ",LEN(Registro!$I472))),({1,2,3,4,5,6,7,8,9,10,11,12,13,14,15,16,17,18,19,20,21,22,23,24,25,26,27,28,29,30}-1)*LEN(Registro!$I472)+1,LEN(Registro!$I472)))," ",REPT(" ",50)),50)))),"Revisar formato"))</f>
        <v/>
      </c>
      <c r="L472" s="11" t="str">
        <f>IF(Registro!$J472="","",IFERROR(SUMPRODUCT(--("0"&amp;TRIM(RIGHT(SUBSTITUTE(TRIM(MID(SUBSTITUTE(SUBSTITUTE(Registro!$J472,";",CHAR(10)),CHAR(10),REPT(" ",LEN(Registro!$J472))),({1,2,3,4,5,6,7,8,9,10,11,12,13,14,15,16,17,18,19,20,21,22,23,24,25,26,27,28,29,30}-1)*LEN(Registro!$J472)+1,LEN(Registro!$J472)))," ",REPT(" ",50)),50)))),"Revisar formato"))</f>
        <v/>
      </c>
      <c r="M472" s="11" t="str">
        <f>IF(AND(Registro!$H472="",Registro!$I472=""),"",IF(AND(ISTEXT(K472),K472&lt;&gt;""),"Revisar formato",N(Registro!$H472)-N(K472)))</f>
        <v/>
      </c>
      <c r="N472" s="11" t="str">
        <f t="shared" si="23"/>
        <v/>
      </c>
      <c r="O472" s="15" t="str">
        <f>IF(AND(A472=Consulta!$B$3,C472=Consulta!$H$3),B472*10000+ROW(),"")</f>
        <v/>
      </c>
    </row>
    <row r="473" spans="1:15" x14ac:dyDescent="0.25">
      <c r="A473" s="9" t="str">
        <f>IF(Registro!$A473="","",Registro!$A473)</f>
        <v/>
      </c>
      <c r="B473" s="8" t="str">
        <f>IF(Registro!$B473="","",Registro!$B473)</f>
        <v/>
      </c>
      <c r="C473" s="14" t="str">
        <f t="shared" si="21"/>
        <v/>
      </c>
      <c r="D473" s="10" t="str">
        <f>IF(Registro!$E473="","",IF(ISERROR(FIND("x",LOWER(Registro!$E473))),"-",IFERROR(SUMPRODUCT(--("0"&amp;LEFT(TRIM(MID(SUBSTITUTE(SUBSTITUTE(SUBSTITUTE(SUBSTITUTE(SUBSTITUTE(LOWER(Registro!$E473),"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",LEN(Registro!$E473))),({1,2,3,4,5,6,7,8,9,10,11,12,13,14,15,16,17,18,19,20,21,22,23,24,25,26,27,28,29,30}-1)*LEN(Registro!$E473)+1,LEN(Registro!$E473)))&amp;"x")-1))),"Revisar formato")))</f>
        <v/>
      </c>
      <c r="E473" s="11" t="str">
        <f>IF(Registro!$E473="","",IF(ISERROR(FIND("x",LOWER(Registro!$E473))),"-",IFERROR(SUMPRODUCT(--("0"&amp;LEFT(TRIM(MID(SUBSTITUTE(SUBSTITUTE(SUBSTITUTE(SUBSTITUTE(SUBSTITUTE(LOWER(Registro!$E473),"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",LEN(Registro!$E473))),({1,2,3,4,5,6,7,8,9,10,11,12,13,14,15,16,17,18,19,20,21,22,23,24,25,26,27,28,29,30}-1)*LEN(Registro!$E473)+1,LEN(Registro!$E473)))&amp;"x")-1)),--("0"&amp;MID(TRIM(MID(SUBSTITUTE(SUBSTITUTE(SUBSTITUTE(SUBSTITUTE(SUBSTITUTE(LOWER(Registro!$E473),"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",LEN(Registro!$E473))),({1,2,3,4,5,6,7,8,9,10,11,12,13,14,15,16,17,18,19,20,21,22,23,24,25,26,27,28,29,30}-1)*LEN(Registro!$E473)+1,LEN(Registro!$E473)))&amp;"x")+1,20))),"Revisar formato")))</f>
        <v/>
      </c>
      <c r="F473" s="11" t="str">
        <f>IF(Registro!$F473="","",N(Registro!$F473))</f>
        <v/>
      </c>
      <c r="G473" s="11" t="str">
        <f t="shared" si="22"/>
        <v/>
      </c>
      <c r="H473" s="10" t="str">
        <f>IF(Registro!$G473="","",IF(ISERROR(FIND("x",LOWER(Registro!$G473))),"-",IFERROR(SUMPRODUCT(--("0"&amp;LEFT(TRIM(MID(SUBSTITUTE(SUBSTITUTE(SUBSTITUTE(SUBSTITUTE(SUBSTITUTE(LOWER(Registro!$G473),"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",LEN(Registro!$G473))),({1,2,3,4,5,6,7,8,9,10,11,12,13,14,15,16,17,18,19,20,21,22,23,24,25,26,27,28,29,30}-1)*LEN(Registro!$G473)+1,LEN(Registro!$G473))),FIND("x",TRIM(MID(SUBSTITUTE(SUBSTITUTE(SUBSTITUTE(SUBSTITUTE(SUBSTITUTE(LOWER(Registro!$G473),"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",LEN(Registro!$G473))),({1,2,3,4,5,6,7,8,9,10,11,12,13,14,15,16,17,18,19,20,21,22,23,24,25,26,27,28,29,30}-1)*LEN(Registro!$G473)+1,LEN(Registro!$G473)))&amp;"x")-1))),"Revisar formato")))</f>
        <v/>
      </c>
      <c r="I473" s="11" t="str">
        <f>IF(Registro!$G473="","",IF(ISERROR(FIND("x",LOWER(Registro!$G473))),N(Registro!$H473),IFERROR(SUMPRODUCT(--("0"&amp;LEFT(TRIM(MID(SUBSTITUTE(SUBSTITUTE(SUBSTITUTE(SUBSTITUTE(SUBSTITUTE(LOWER(Registro!$G473),"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",LEN(Registro!$G473))),({1,2,3,4,5,6,7,8,9,10,11,12,13,14,15,16,17,18,19,20,21,22,23,24,25,26,27,28,29,30}-1)*LEN(Registro!$G473)+1,LEN(Registro!$G473))),FIND("x",TRIM(MID(SUBSTITUTE(SUBSTITUTE(SUBSTITUTE(SUBSTITUTE(SUBSTITUTE(LOWER(Registro!$G473),"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",LEN(Registro!$G473))),({1,2,3,4,5,6,7,8,9,10,11,12,13,14,15,16,17,18,19,20,21,22,23,24,25,26,27,28,29,30}-1)*LEN(Registro!$G473)+1,LEN(Registro!$G473)))&amp;"x")-1)),--("0"&amp;MID(TRIM(MID(SUBSTITUTE(SUBSTITUTE(SUBSTITUTE(SUBSTITUTE(SUBSTITUTE(LOWER(Registro!$G473),"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",LEN(Registro!$G473))),({1,2,3,4,5,6,7,8,9,10,11,12,13,14,15,16,17,18,19,20,21,22,23,24,25,26,27,28,29,30}-1)*LEN(Registro!$G473)+1,LEN(Registro!$G473))),FIND("x",TRIM(MID(SUBSTITUTE(SUBSTITUTE(SUBSTITUTE(SUBSTITUTE(SUBSTITUTE(LOWER(Registro!$G473),"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",LEN(Registro!$G473))),({1,2,3,4,5,6,7,8,9,10,11,12,13,14,15,16,17,18,19,20,21,22,23,24,25,26,27,28,29,30}-1)*LEN(Registro!$G473)+1,LEN(Registro!$G473)))&amp;"x")+1,20))),"Revisar formato")))</f>
        <v/>
      </c>
      <c r="J473" s="9" t="str">
        <f>IF(AND(Registro!$E473="",Registro!$G473=""),"",IF(NOT(AND(ISNUMBER(I473),ISNUMBER(Registro!$H473))),"",IF(I473&lt;Registro!$H473,"FALTA BOLETOS",IF(I473=Registro!$H473,"CONFORME","DIFERENCIA"))))</f>
        <v/>
      </c>
      <c r="K473" s="11" t="str">
        <f>IF(Registro!$I473="","",IFERROR(SUMPRODUCT(--("0"&amp;TRIM(RIGHT(SUBSTITUTE(TRIM(MID(SUBSTITUTE(SUBSTITUTE(Registro!$I473,";",CHAR(10)),CHAR(10),REPT(" ",LEN(Registro!$I473))),({1,2,3,4,5,6,7,8,9,10,11,12,13,14,15,16,17,18,19,20,21,22,23,24,25,26,27,28,29,30}-1)*LEN(Registro!$I473)+1,LEN(Registro!$I473)))," ",REPT(" ",50)),50)))),"Revisar formato"))</f>
        <v/>
      </c>
      <c r="L473" s="11" t="str">
        <f>IF(Registro!$J473="","",IFERROR(SUMPRODUCT(--("0"&amp;TRIM(RIGHT(SUBSTITUTE(TRIM(MID(SUBSTITUTE(SUBSTITUTE(Registro!$J473,";",CHAR(10)),CHAR(10),REPT(" ",LEN(Registro!$J473))),({1,2,3,4,5,6,7,8,9,10,11,12,13,14,15,16,17,18,19,20,21,22,23,24,25,26,27,28,29,30}-1)*LEN(Registro!$J473)+1,LEN(Registro!$J473)))," ",REPT(" ",50)),50)))),"Revisar formato"))</f>
        <v/>
      </c>
      <c r="M473" s="11" t="str">
        <f>IF(AND(Registro!$H473="",Registro!$I473=""),"",IF(AND(ISTEXT(K473),K473&lt;&gt;""),"Revisar formato",N(Registro!$H473)-N(K473)))</f>
        <v/>
      </c>
      <c r="N473" s="11" t="str">
        <f t="shared" si="23"/>
        <v/>
      </c>
      <c r="O473" s="15" t="str">
        <f>IF(AND(A473=Consulta!$B$3,C473=Consulta!$H$3),B473*10000+ROW(),"")</f>
        <v/>
      </c>
    </row>
    <row r="474" spans="1:15" x14ac:dyDescent="0.25">
      <c r="A474" s="9" t="str">
        <f>IF(Registro!$A474="","",Registro!$A474)</f>
        <v/>
      </c>
      <c r="B474" s="8" t="str">
        <f>IF(Registro!$B474="","",Registro!$B474)</f>
        <v/>
      </c>
      <c r="C474" s="14" t="str">
        <f t="shared" si="21"/>
        <v/>
      </c>
      <c r="D474" s="10" t="str">
        <f>IF(Registro!$E474="","",IF(ISERROR(FIND("x",LOWER(Registro!$E474))),"-",IFERROR(SUMPRODUCT(--("0"&amp;LEFT(TRIM(MID(SUBSTITUTE(SUBSTITUTE(SUBSTITUTE(SUBSTITUTE(SUBSTITUTE(LOWER(Registro!$E474),"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",LEN(Registro!$E474))),({1,2,3,4,5,6,7,8,9,10,11,12,13,14,15,16,17,18,19,20,21,22,23,24,25,26,27,28,29,30}-1)*LEN(Registro!$E474)+1,LEN(Registro!$E474)))&amp;"x")-1))),"Revisar formato")))</f>
        <v/>
      </c>
      <c r="E474" s="11" t="str">
        <f>IF(Registro!$E474="","",IF(ISERROR(FIND("x",LOWER(Registro!$E474))),"-",IFERROR(SUMPRODUCT(--("0"&amp;LEFT(TRIM(MID(SUBSTITUTE(SUBSTITUTE(SUBSTITUTE(SUBSTITUTE(SUBSTITUTE(LOWER(Registro!$E474),"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",LEN(Registro!$E474))),({1,2,3,4,5,6,7,8,9,10,11,12,13,14,15,16,17,18,19,20,21,22,23,24,25,26,27,28,29,30}-1)*LEN(Registro!$E474)+1,LEN(Registro!$E474)))&amp;"x")-1)),--("0"&amp;MID(TRIM(MID(SUBSTITUTE(SUBSTITUTE(SUBSTITUTE(SUBSTITUTE(SUBSTITUTE(LOWER(Registro!$E474),"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",LEN(Registro!$E474))),({1,2,3,4,5,6,7,8,9,10,11,12,13,14,15,16,17,18,19,20,21,22,23,24,25,26,27,28,29,30}-1)*LEN(Registro!$E474)+1,LEN(Registro!$E474)))&amp;"x")+1,20))),"Revisar formato")))</f>
        <v/>
      </c>
      <c r="F474" s="11" t="str">
        <f>IF(Registro!$F474="","",N(Registro!$F474))</f>
        <v/>
      </c>
      <c r="G474" s="11" t="str">
        <f t="shared" si="22"/>
        <v/>
      </c>
      <c r="H474" s="10" t="str">
        <f>IF(Registro!$G474="","",IF(ISERROR(FIND("x",LOWER(Registro!$G474))),"-",IFERROR(SUMPRODUCT(--("0"&amp;LEFT(TRIM(MID(SUBSTITUTE(SUBSTITUTE(SUBSTITUTE(SUBSTITUTE(SUBSTITUTE(LOWER(Registro!$G474),"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",LEN(Registro!$G474))),({1,2,3,4,5,6,7,8,9,10,11,12,13,14,15,16,17,18,19,20,21,22,23,24,25,26,27,28,29,30}-1)*LEN(Registro!$G474)+1,LEN(Registro!$G474))),FIND("x",TRIM(MID(SUBSTITUTE(SUBSTITUTE(SUBSTITUTE(SUBSTITUTE(SUBSTITUTE(LOWER(Registro!$G474),"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",LEN(Registro!$G474))),({1,2,3,4,5,6,7,8,9,10,11,12,13,14,15,16,17,18,19,20,21,22,23,24,25,26,27,28,29,30}-1)*LEN(Registro!$G474)+1,LEN(Registro!$G474)))&amp;"x")-1))),"Revisar formato")))</f>
        <v/>
      </c>
      <c r="I474" s="11" t="str">
        <f>IF(Registro!$G474="","",IF(ISERROR(FIND("x",LOWER(Registro!$G474))),N(Registro!$H474),IFERROR(SUMPRODUCT(--("0"&amp;LEFT(TRIM(MID(SUBSTITUTE(SUBSTITUTE(SUBSTITUTE(SUBSTITUTE(SUBSTITUTE(LOWER(Registro!$G474),"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",LEN(Registro!$G474))),({1,2,3,4,5,6,7,8,9,10,11,12,13,14,15,16,17,18,19,20,21,22,23,24,25,26,27,28,29,30}-1)*LEN(Registro!$G474)+1,LEN(Registro!$G474))),FIND("x",TRIM(MID(SUBSTITUTE(SUBSTITUTE(SUBSTITUTE(SUBSTITUTE(SUBSTITUTE(LOWER(Registro!$G474),"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",LEN(Registro!$G474))),({1,2,3,4,5,6,7,8,9,10,11,12,13,14,15,16,17,18,19,20,21,22,23,24,25,26,27,28,29,30}-1)*LEN(Registro!$G474)+1,LEN(Registro!$G474)))&amp;"x")-1)),--("0"&amp;MID(TRIM(MID(SUBSTITUTE(SUBSTITUTE(SUBSTITUTE(SUBSTITUTE(SUBSTITUTE(LOWER(Registro!$G474),"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",LEN(Registro!$G474))),({1,2,3,4,5,6,7,8,9,10,11,12,13,14,15,16,17,18,19,20,21,22,23,24,25,26,27,28,29,30}-1)*LEN(Registro!$G474)+1,LEN(Registro!$G474))),FIND("x",TRIM(MID(SUBSTITUTE(SUBSTITUTE(SUBSTITUTE(SUBSTITUTE(SUBSTITUTE(LOWER(Registro!$G474),"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",LEN(Registro!$G474))),({1,2,3,4,5,6,7,8,9,10,11,12,13,14,15,16,17,18,19,20,21,22,23,24,25,26,27,28,29,30}-1)*LEN(Registro!$G474)+1,LEN(Registro!$G474)))&amp;"x")+1,20))),"Revisar formato")))</f>
        <v/>
      </c>
      <c r="J474" s="9" t="str">
        <f>IF(AND(Registro!$E474="",Registro!$G474=""),"",IF(NOT(AND(ISNUMBER(I474),ISNUMBER(Registro!$H474))),"",IF(I474&lt;Registro!$H474,"FALTA BOLETOS",IF(I474=Registro!$H474,"CONFORME","DIFERENCIA"))))</f>
        <v/>
      </c>
      <c r="K474" s="11" t="str">
        <f>IF(Registro!$I474="","",IFERROR(SUMPRODUCT(--("0"&amp;TRIM(RIGHT(SUBSTITUTE(TRIM(MID(SUBSTITUTE(SUBSTITUTE(Registro!$I474,";",CHAR(10)),CHAR(10),REPT(" ",LEN(Registro!$I474))),({1,2,3,4,5,6,7,8,9,10,11,12,13,14,15,16,17,18,19,20,21,22,23,24,25,26,27,28,29,30}-1)*LEN(Registro!$I474)+1,LEN(Registro!$I474)))," ",REPT(" ",50)),50)))),"Revisar formato"))</f>
        <v/>
      </c>
      <c r="L474" s="11" t="str">
        <f>IF(Registro!$J474="","",IFERROR(SUMPRODUCT(--("0"&amp;TRIM(RIGHT(SUBSTITUTE(TRIM(MID(SUBSTITUTE(SUBSTITUTE(Registro!$J474,";",CHAR(10)),CHAR(10),REPT(" ",LEN(Registro!$J474))),({1,2,3,4,5,6,7,8,9,10,11,12,13,14,15,16,17,18,19,20,21,22,23,24,25,26,27,28,29,30}-1)*LEN(Registro!$J474)+1,LEN(Registro!$J474)))," ",REPT(" ",50)),50)))),"Revisar formato"))</f>
        <v/>
      </c>
      <c r="M474" s="11" t="str">
        <f>IF(AND(Registro!$H474="",Registro!$I474=""),"",IF(AND(ISTEXT(K474),K474&lt;&gt;""),"Revisar formato",N(Registro!$H474)-N(K474)))</f>
        <v/>
      </c>
      <c r="N474" s="11" t="str">
        <f t="shared" si="23"/>
        <v/>
      </c>
      <c r="O474" s="15" t="str">
        <f>IF(AND(A474=Consulta!$B$3,C474=Consulta!$H$3),B474*10000+ROW(),"")</f>
        <v/>
      </c>
    </row>
    <row r="475" spans="1:15" x14ac:dyDescent="0.25">
      <c r="A475" s="9" t="str">
        <f>IF(Registro!$A475="","",Registro!$A475)</f>
        <v/>
      </c>
      <c r="B475" s="8" t="str">
        <f>IF(Registro!$B475="","",Registro!$B475)</f>
        <v/>
      </c>
      <c r="C475" s="14" t="str">
        <f t="shared" si="21"/>
        <v/>
      </c>
      <c r="D475" s="10" t="str">
        <f>IF(Registro!$E475="","",IF(ISERROR(FIND("x",LOWER(Registro!$E475))),"-",IFERROR(SUMPRODUCT(--("0"&amp;LEFT(TRIM(MID(SUBSTITUTE(SUBSTITUTE(SUBSTITUTE(SUBSTITUTE(SUBSTITUTE(LOWER(Registro!$E475),"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",LEN(Registro!$E475))),({1,2,3,4,5,6,7,8,9,10,11,12,13,14,15,16,17,18,19,20,21,22,23,24,25,26,27,28,29,30}-1)*LEN(Registro!$E475)+1,LEN(Registro!$E475)))&amp;"x")-1))),"Revisar formato")))</f>
        <v/>
      </c>
      <c r="E475" s="11" t="str">
        <f>IF(Registro!$E475="","",IF(ISERROR(FIND("x",LOWER(Registro!$E475))),"-",IFERROR(SUMPRODUCT(--("0"&amp;LEFT(TRIM(MID(SUBSTITUTE(SUBSTITUTE(SUBSTITUTE(SUBSTITUTE(SUBSTITUTE(LOWER(Registro!$E475),"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",LEN(Registro!$E475))),({1,2,3,4,5,6,7,8,9,10,11,12,13,14,15,16,17,18,19,20,21,22,23,24,25,26,27,28,29,30}-1)*LEN(Registro!$E475)+1,LEN(Registro!$E475)))&amp;"x")-1)),--("0"&amp;MID(TRIM(MID(SUBSTITUTE(SUBSTITUTE(SUBSTITUTE(SUBSTITUTE(SUBSTITUTE(LOWER(Registro!$E475),"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",LEN(Registro!$E475))),({1,2,3,4,5,6,7,8,9,10,11,12,13,14,15,16,17,18,19,20,21,22,23,24,25,26,27,28,29,30}-1)*LEN(Registro!$E475)+1,LEN(Registro!$E475)))&amp;"x")+1,20))),"Revisar formato")))</f>
        <v/>
      </c>
      <c r="F475" s="11" t="str">
        <f>IF(Registro!$F475="","",N(Registro!$F475))</f>
        <v/>
      </c>
      <c r="G475" s="11" t="str">
        <f t="shared" si="22"/>
        <v/>
      </c>
      <c r="H475" s="10" t="str">
        <f>IF(Registro!$G475="","",IF(ISERROR(FIND("x",LOWER(Registro!$G475))),"-",IFERROR(SUMPRODUCT(--("0"&amp;LEFT(TRIM(MID(SUBSTITUTE(SUBSTITUTE(SUBSTITUTE(SUBSTITUTE(SUBSTITUTE(LOWER(Registro!$G475),"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",LEN(Registro!$G475))),({1,2,3,4,5,6,7,8,9,10,11,12,13,14,15,16,17,18,19,20,21,22,23,24,25,26,27,28,29,30}-1)*LEN(Registro!$G475)+1,LEN(Registro!$G475))),FIND("x",TRIM(MID(SUBSTITUTE(SUBSTITUTE(SUBSTITUTE(SUBSTITUTE(SUBSTITUTE(LOWER(Registro!$G475),"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",LEN(Registro!$G475))),({1,2,3,4,5,6,7,8,9,10,11,12,13,14,15,16,17,18,19,20,21,22,23,24,25,26,27,28,29,30}-1)*LEN(Registro!$G475)+1,LEN(Registro!$G475)))&amp;"x")-1))),"Revisar formato")))</f>
        <v/>
      </c>
      <c r="I475" s="11" t="str">
        <f>IF(Registro!$G475="","",IF(ISERROR(FIND("x",LOWER(Registro!$G475))),N(Registro!$H475),IFERROR(SUMPRODUCT(--("0"&amp;LEFT(TRIM(MID(SUBSTITUTE(SUBSTITUTE(SUBSTITUTE(SUBSTITUTE(SUBSTITUTE(LOWER(Registro!$G475),"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",LEN(Registro!$G475))),({1,2,3,4,5,6,7,8,9,10,11,12,13,14,15,16,17,18,19,20,21,22,23,24,25,26,27,28,29,30}-1)*LEN(Registro!$G475)+1,LEN(Registro!$G475))),FIND("x",TRIM(MID(SUBSTITUTE(SUBSTITUTE(SUBSTITUTE(SUBSTITUTE(SUBSTITUTE(LOWER(Registro!$G475),"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",LEN(Registro!$G475))),({1,2,3,4,5,6,7,8,9,10,11,12,13,14,15,16,17,18,19,20,21,22,23,24,25,26,27,28,29,30}-1)*LEN(Registro!$G475)+1,LEN(Registro!$G475)))&amp;"x")-1)),--("0"&amp;MID(TRIM(MID(SUBSTITUTE(SUBSTITUTE(SUBSTITUTE(SUBSTITUTE(SUBSTITUTE(LOWER(Registro!$G475),"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",LEN(Registro!$G475))),({1,2,3,4,5,6,7,8,9,10,11,12,13,14,15,16,17,18,19,20,21,22,23,24,25,26,27,28,29,30}-1)*LEN(Registro!$G475)+1,LEN(Registro!$G475))),FIND("x",TRIM(MID(SUBSTITUTE(SUBSTITUTE(SUBSTITUTE(SUBSTITUTE(SUBSTITUTE(LOWER(Registro!$G475),"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",LEN(Registro!$G475))),({1,2,3,4,5,6,7,8,9,10,11,12,13,14,15,16,17,18,19,20,21,22,23,24,25,26,27,28,29,30}-1)*LEN(Registro!$G475)+1,LEN(Registro!$G475)))&amp;"x")+1,20))),"Revisar formato")))</f>
        <v/>
      </c>
      <c r="J475" s="9" t="str">
        <f>IF(AND(Registro!$E475="",Registro!$G475=""),"",IF(NOT(AND(ISNUMBER(I475),ISNUMBER(Registro!$H475))),"",IF(I475&lt;Registro!$H475,"FALTA BOLETOS",IF(I475=Registro!$H475,"CONFORME","DIFERENCIA"))))</f>
        <v/>
      </c>
      <c r="K475" s="11" t="str">
        <f>IF(Registro!$I475="","",IFERROR(SUMPRODUCT(--("0"&amp;TRIM(RIGHT(SUBSTITUTE(TRIM(MID(SUBSTITUTE(SUBSTITUTE(Registro!$I475,";",CHAR(10)),CHAR(10),REPT(" ",LEN(Registro!$I475))),({1,2,3,4,5,6,7,8,9,10,11,12,13,14,15,16,17,18,19,20,21,22,23,24,25,26,27,28,29,30}-1)*LEN(Registro!$I475)+1,LEN(Registro!$I475)))," ",REPT(" ",50)),50)))),"Revisar formato"))</f>
        <v/>
      </c>
      <c r="L475" s="11" t="str">
        <f>IF(Registro!$J475="","",IFERROR(SUMPRODUCT(--("0"&amp;TRIM(RIGHT(SUBSTITUTE(TRIM(MID(SUBSTITUTE(SUBSTITUTE(Registro!$J475,";",CHAR(10)),CHAR(10),REPT(" ",LEN(Registro!$J475))),({1,2,3,4,5,6,7,8,9,10,11,12,13,14,15,16,17,18,19,20,21,22,23,24,25,26,27,28,29,30}-1)*LEN(Registro!$J475)+1,LEN(Registro!$J475)))," ",REPT(" ",50)),50)))),"Revisar formato"))</f>
        <v/>
      </c>
      <c r="M475" s="11" t="str">
        <f>IF(AND(Registro!$H475="",Registro!$I475=""),"",IF(AND(ISTEXT(K475),K475&lt;&gt;""),"Revisar formato",N(Registro!$H475)-N(K475)))</f>
        <v/>
      </c>
      <c r="N475" s="11" t="str">
        <f t="shared" si="23"/>
        <v/>
      </c>
      <c r="O475" s="15" t="str">
        <f>IF(AND(A475=Consulta!$B$3,C475=Consulta!$H$3),B475*10000+ROW(),"")</f>
        <v/>
      </c>
    </row>
    <row r="476" spans="1:15" x14ac:dyDescent="0.25">
      <c r="A476" s="9" t="str">
        <f>IF(Registro!$A476="","",Registro!$A476)</f>
        <v/>
      </c>
      <c r="B476" s="8" t="str">
        <f>IF(Registro!$B476="","",Registro!$B476)</f>
        <v/>
      </c>
      <c r="C476" s="14" t="str">
        <f t="shared" si="21"/>
        <v/>
      </c>
      <c r="D476" s="10" t="str">
        <f>IF(Registro!$E476="","",IF(ISERROR(FIND("x",LOWER(Registro!$E476))),"-",IFERROR(SUMPRODUCT(--("0"&amp;LEFT(TRIM(MID(SUBSTITUTE(SUBSTITUTE(SUBSTITUTE(SUBSTITUTE(SUBSTITUTE(LOWER(Registro!$E476),"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",LEN(Registro!$E476))),({1,2,3,4,5,6,7,8,9,10,11,12,13,14,15,16,17,18,19,20,21,22,23,24,25,26,27,28,29,30}-1)*LEN(Registro!$E476)+1,LEN(Registro!$E476)))&amp;"x")-1))),"Revisar formato")))</f>
        <v/>
      </c>
      <c r="E476" s="11" t="str">
        <f>IF(Registro!$E476="","",IF(ISERROR(FIND("x",LOWER(Registro!$E476))),"-",IFERROR(SUMPRODUCT(--("0"&amp;LEFT(TRIM(MID(SUBSTITUTE(SUBSTITUTE(SUBSTITUTE(SUBSTITUTE(SUBSTITUTE(LOWER(Registro!$E476),"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",LEN(Registro!$E476))),({1,2,3,4,5,6,7,8,9,10,11,12,13,14,15,16,17,18,19,20,21,22,23,24,25,26,27,28,29,30}-1)*LEN(Registro!$E476)+1,LEN(Registro!$E476)))&amp;"x")-1)),--("0"&amp;MID(TRIM(MID(SUBSTITUTE(SUBSTITUTE(SUBSTITUTE(SUBSTITUTE(SUBSTITUTE(LOWER(Registro!$E476),"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",LEN(Registro!$E476))),({1,2,3,4,5,6,7,8,9,10,11,12,13,14,15,16,17,18,19,20,21,22,23,24,25,26,27,28,29,30}-1)*LEN(Registro!$E476)+1,LEN(Registro!$E476)))&amp;"x")+1,20))),"Revisar formato")))</f>
        <v/>
      </c>
      <c r="F476" s="11" t="str">
        <f>IF(Registro!$F476="","",N(Registro!$F476))</f>
        <v/>
      </c>
      <c r="G476" s="11" t="str">
        <f t="shared" si="22"/>
        <v/>
      </c>
      <c r="H476" s="10" t="str">
        <f>IF(Registro!$G476="","",IF(ISERROR(FIND("x",LOWER(Registro!$G476))),"-",IFERROR(SUMPRODUCT(--("0"&amp;LEFT(TRIM(MID(SUBSTITUTE(SUBSTITUTE(SUBSTITUTE(SUBSTITUTE(SUBSTITUTE(LOWER(Registro!$G476),"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",LEN(Registro!$G476))),({1,2,3,4,5,6,7,8,9,10,11,12,13,14,15,16,17,18,19,20,21,22,23,24,25,26,27,28,29,30}-1)*LEN(Registro!$G476)+1,LEN(Registro!$G476))),FIND("x",TRIM(MID(SUBSTITUTE(SUBSTITUTE(SUBSTITUTE(SUBSTITUTE(SUBSTITUTE(LOWER(Registro!$G476),"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",LEN(Registro!$G476))),({1,2,3,4,5,6,7,8,9,10,11,12,13,14,15,16,17,18,19,20,21,22,23,24,25,26,27,28,29,30}-1)*LEN(Registro!$G476)+1,LEN(Registro!$G476)))&amp;"x")-1))),"Revisar formato")))</f>
        <v/>
      </c>
      <c r="I476" s="11" t="str">
        <f>IF(Registro!$G476="","",IF(ISERROR(FIND("x",LOWER(Registro!$G476))),N(Registro!$H476),IFERROR(SUMPRODUCT(--("0"&amp;LEFT(TRIM(MID(SUBSTITUTE(SUBSTITUTE(SUBSTITUTE(SUBSTITUTE(SUBSTITUTE(LOWER(Registro!$G476),"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",LEN(Registro!$G476))),({1,2,3,4,5,6,7,8,9,10,11,12,13,14,15,16,17,18,19,20,21,22,23,24,25,26,27,28,29,30}-1)*LEN(Registro!$G476)+1,LEN(Registro!$G476))),FIND("x",TRIM(MID(SUBSTITUTE(SUBSTITUTE(SUBSTITUTE(SUBSTITUTE(SUBSTITUTE(LOWER(Registro!$G476),"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",LEN(Registro!$G476))),({1,2,3,4,5,6,7,8,9,10,11,12,13,14,15,16,17,18,19,20,21,22,23,24,25,26,27,28,29,30}-1)*LEN(Registro!$G476)+1,LEN(Registro!$G476)))&amp;"x")-1)),--("0"&amp;MID(TRIM(MID(SUBSTITUTE(SUBSTITUTE(SUBSTITUTE(SUBSTITUTE(SUBSTITUTE(LOWER(Registro!$G476),"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",LEN(Registro!$G476))),({1,2,3,4,5,6,7,8,9,10,11,12,13,14,15,16,17,18,19,20,21,22,23,24,25,26,27,28,29,30}-1)*LEN(Registro!$G476)+1,LEN(Registro!$G476))),FIND("x",TRIM(MID(SUBSTITUTE(SUBSTITUTE(SUBSTITUTE(SUBSTITUTE(SUBSTITUTE(LOWER(Registro!$G476),"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",LEN(Registro!$G476))),({1,2,3,4,5,6,7,8,9,10,11,12,13,14,15,16,17,18,19,20,21,22,23,24,25,26,27,28,29,30}-1)*LEN(Registro!$G476)+1,LEN(Registro!$G476)))&amp;"x")+1,20))),"Revisar formato")))</f>
        <v/>
      </c>
      <c r="J476" s="9" t="str">
        <f>IF(AND(Registro!$E476="",Registro!$G476=""),"",IF(NOT(AND(ISNUMBER(I476),ISNUMBER(Registro!$H476))),"",IF(I476&lt;Registro!$H476,"FALTA BOLETOS",IF(I476=Registro!$H476,"CONFORME","DIFERENCIA"))))</f>
        <v/>
      </c>
      <c r="K476" s="11" t="str">
        <f>IF(Registro!$I476="","",IFERROR(SUMPRODUCT(--("0"&amp;TRIM(RIGHT(SUBSTITUTE(TRIM(MID(SUBSTITUTE(SUBSTITUTE(Registro!$I476,";",CHAR(10)),CHAR(10),REPT(" ",LEN(Registro!$I476))),({1,2,3,4,5,6,7,8,9,10,11,12,13,14,15,16,17,18,19,20,21,22,23,24,25,26,27,28,29,30}-1)*LEN(Registro!$I476)+1,LEN(Registro!$I476)))," ",REPT(" ",50)),50)))),"Revisar formato"))</f>
        <v/>
      </c>
      <c r="L476" s="11" t="str">
        <f>IF(Registro!$J476="","",IFERROR(SUMPRODUCT(--("0"&amp;TRIM(RIGHT(SUBSTITUTE(TRIM(MID(SUBSTITUTE(SUBSTITUTE(Registro!$J476,";",CHAR(10)),CHAR(10),REPT(" ",LEN(Registro!$J476))),({1,2,3,4,5,6,7,8,9,10,11,12,13,14,15,16,17,18,19,20,21,22,23,24,25,26,27,28,29,30}-1)*LEN(Registro!$J476)+1,LEN(Registro!$J476)))," ",REPT(" ",50)),50)))),"Revisar formato"))</f>
        <v/>
      </c>
      <c r="M476" s="11" t="str">
        <f>IF(AND(Registro!$H476="",Registro!$I476=""),"",IF(AND(ISTEXT(K476),K476&lt;&gt;""),"Revisar formato",N(Registro!$H476)-N(K476)))</f>
        <v/>
      </c>
      <c r="N476" s="11" t="str">
        <f t="shared" si="23"/>
        <v/>
      </c>
      <c r="O476" s="15" t="str">
        <f>IF(AND(A476=Consulta!$B$3,C476=Consulta!$H$3),B476*10000+ROW(),"")</f>
        <v/>
      </c>
    </row>
    <row r="477" spans="1:15" x14ac:dyDescent="0.25">
      <c r="A477" s="9" t="str">
        <f>IF(Registro!$A477="","",Registro!$A477)</f>
        <v/>
      </c>
      <c r="B477" s="8" t="str">
        <f>IF(Registro!$B477="","",Registro!$B477)</f>
        <v/>
      </c>
      <c r="C477" s="14" t="str">
        <f t="shared" si="21"/>
        <v/>
      </c>
      <c r="D477" s="10" t="str">
        <f>IF(Registro!$E477="","",IF(ISERROR(FIND("x",LOWER(Registro!$E477))),"-",IFERROR(SUMPRODUCT(--("0"&amp;LEFT(TRIM(MID(SUBSTITUTE(SUBSTITUTE(SUBSTITUTE(SUBSTITUTE(SUBSTITUTE(LOWER(Registro!$E477),"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",LEN(Registro!$E477))),({1,2,3,4,5,6,7,8,9,10,11,12,13,14,15,16,17,18,19,20,21,22,23,24,25,26,27,28,29,30}-1)*LEN(Registro!$E477)+1,LEN(Registro!$E477)))&amp;"x")-1))),"Revisar formato")))</f>
        <v/>
      </c>
      <c r="E477" s="11" t="str">
        <f>IF(Registro!$E477="","",IF(ISERROR(FIND("x",LOWER(Registro!$E477))),"-",IFERROR(SUMPRODUCT(--("0"&amp;LEFT(TRIM(MID(SUBSTITUTE(SUBSTITUTE(SUBSTITUTE(SUBSTITUTE(SUBSTITUTE(LOWER(Registro!$E477),"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",LEN(Registro!$E477))),({1,2,3,4,5,6,7,8,9,10,11,12,13,14,15,16,17,18,19,20,21,22,23,24,25,26,27,28,29,30}-1)*LEN(Registro!$E477)+1,LEN(Registro!$E477)))&amp;"x")-1)),--("0"&amp;MID(TRIM(MID(SUBSTITUTE(SUBSTITUTE(SUBSTITUTE(SUBSTITUTE(SUBSTITUTE(LOWER(Registro!$E477),"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",LEN(Registro!$E477))),({1,2,3,4,5,6,7,8,9,10,11,12,13,14,15,16,17,18,19,20,21,22,23,24,25,26,27,28,29,30}-1)*LEN(Registro!$E477)+1,LEN(Registro!$E477)))&amp;"x")+1,20))),"Revisar formato")))</f>
        <v/>
      </c>
      <c r="F477" s="11" t="str">
        <f>IF(Registro!$F477="","",N(Registro!$F477))</f>
        <v/>
      </c>
      <c r="G477" s="11" t="str">
        <f t="shared" si="22"/>
        <v/>
      </c>
      <c r="H477" s="10" t="str">
        <f>IF(Registro!$G477="","",IF(ISERROR(FIND("x",LOWER(Registro!$G477))),"-",IFERROR(SUMPRODUCT(--("0"&amp;LEFT(TRIM(MID(SUBSTITUTE(SUBSTITUTE(SUBSTITUTE(SUBSTITUTE(SUBSTITUTE(LOWER(Registro!$G477),"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",LEN(Registro!$G477))),({1,2,3,4,5,6,7,8,9,10,11,12,13,14,15,16,17,18,19,20,21,22,23,24,25,26,27,28,29,30}-1)*LEN(Registro!$G477)+1,LEN(Registro!$G477))),FIND("x",TRIM(MID(SUBSTITUTE(SUBSTITUTE(SUBSTITUTE(SUBSTITUTE(SUBSTITUTE(LOWER(Registro!$G477),"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",LEN(Registro!$G477))),({1,2,3,4,5,6,7,8,9,10,11,12,13,14,15,16,17,18,19,20,21,22,23,24,25,26,27,28,29,30}-1)*LEN(Registro!$G477)+1,LEN(Registro!$G477)))&amp;"x")-1))),"Revisar formato")))</f>
        <v/>
      </c>
      <c r="I477" s="11" t="str">
        <f>IF(Registro!$G477="","",IF(ISERROR(FIND("x",LOWER(Registro!$G477))),N(Registro!$H477),IFERROR(SUMPRODUCT(--("0"&amp;LEFT(TRIM(MID(SUBSTITUTE(SUBSTITUTE(SUBSTITUTE(SUBSTITUTE(SUBSTITUTE(LOWER(Registro!$G477),"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",LEN(Registro!$G477))),({1,2,3,4,5,6,7,8,9,10,11,12,13,14,15,16,17,18,19,20,21,22,23,24,25,26,27,28,29,30}-1)*LEN(Registro!$G477)+1,LEN(Registro!$G477))),FIND("x",TRIM(MID(SUBSTITUTE(SUBSTITUTE(SUBSTITUTE(SUBSTITUTE(SUBSTITUTE(LOWER(Registro!$G477),"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",LEN(Registro!$G477))),({1,2,3,4,5,6,7,8,9,10,11,12,13,14,15,16,17,18,19,20,21,22,23,24,25,26,27,28,29,30}-1)*LEN(Registro!$G477)+1,LEN(Registro!$G477)))&amp;"x")-1)),--("0"&amp;MID(TRIM(MID(SUBSTITUTE(SUBSTITUTE(SUBSTITUTE(SUBSTITUTE(SUBSTITUTE(LOWER(Registro!$G477),"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",LEN(Registro!$G477))),({1,2,3,4,5,6,7,8,9,10,11,12,13,14,15,16,17,18,19,20,21,22,23,24,25,26,27,28,29,30}-1)*LEN(Registro!$G477)+1,LEN(Registro!$G477))),FIND("x",TRIM(MID(SUBSTITUTE(SUBSTITUTE(SUBSTITUTE(SUBSTITUTE(SUBSTITUTE(LOWER(Registro!$G477),"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",LEN(Registro!$G477))),({1,2,3,4,5,6,7,8,9,10,11,12,13,14,15,16,17,18,19,20,21,22,23,24,25,26,27,28,29,30}-1)*LEN(Registro!$G477)+1,LEN(Registro!$G477)))&amp;"x")+1,20))),"Revisar formato")))</f>
        <v/>
      </c>
      <c r="J477" s="9" t="str">
        <f>IF(AND(Registro!$E477="",Registro!$G477=""),"",IF(NOT(AND(ISNUMBER(I477),ISNUMBER(Registro!$H477))),"",IF(I477&lt;Registro!$H477,"FALTA BOLETOS",IF(I477=Registro!$H477,"CONFORME","DIFERENCIA"))))</f>
        <v/>
      </c>
      <c r="K477" s="11" t="str">
        <f>IF(Registro!$I477="","",IFERROR(SUMPRODUCT(--("0"&amp;TRIM(RIGHT(SUBSTITUTE(TRIM(MID(SUBSTITUTE(SUBSTITUTE(Registro!$I477,";",CHAR(10)),CHAR(10),REPT(" ",LEN(Registro!$I477))),({1,2,3,4,5,6,7,8,9,10,11,12,13,14,15,16,17,18,19,20,21,22,23,24,25,26,27,28,29,30}-1)*LEN(Registro!$I477)+1,LEN(Registro!$I477)))," ",REPT(" ",50)),50)))),"Revisar formato"))</f>
        <v/>
      </c>
      <c r="L477" s="11" t="str">
        <f>IF(Registro!$J477="","",IFERROR(SUMPRODUCT(--("0"&amp;TRIM(RIGHT(SUBSTITUTE(TRIM(MID(SUBSTITUTE(SUBSTITUTE(Registro!$J477,";",CHAR(10)),CHAR(10),REPT(" ",LEN(Registro!$J477))),({1,2,3,4,5,6,7,8,9,10,11,12,13,14,15,16,17,18,19,20,21,22,23,24,25,26,27,28,29,30}-1)*LEN(Registro!$J477)+1,LEN(Registro!$J477)))," ",REPT(" ",50)),50)))),"Revisar formato"))</f>
        <v/>
      </c>
      <c r="M477" s="11" t="str">
        <f>IF(AND(Registro!$H477="",Registro!$I477=""),"",IF(AND(ISTEXT(K477),K477&lt;&gt;""),"Revisar formato",N(Registro!$H477)-N(K477)))</f>
        <v/>
      </c>
      <c r="N477" s="11" t="str">
        <f t="shared" si="23"/>
        <v/>
      </c>
      <c r="O477" s="15" t="str">
        <f>IF(AND(A477=Consulta!$B$3,C477=Consulta!$H$3),B477*10000+ROW(),"")</f>
        <v/>
      </c>
    </row>
    <row r="478" spans="1:15" x14ac:dyDescent="0.25">
      <c r="A478" s="9" t="str">
        <f>IF(Registro!$A478="","",Registro!$A478)</f>
        <v/>
      </c>
      <c r="B478" s="8" t="str">
        <f>IF(Registro!$B478="","",Registro!$B478)</f>
        <v/>
      </c>
      <c r="C478" s="14" t="str">
        <f t="shared" si="21"/>
        <v/>
      </c>
      <c r="D478" s="10" t="str">
        <f>IF(Registro!$E478="","",IF(ISERROR(FIND("x",LOWER(Registro!$E478))),"-",IFERROR(SUMPRODUCT(--("0"&amp;LEFT(TRIM(MID(SUBSTITUTE(SUBSTITUTE(SUBSTITUTE(SUBSTITUTE(SUBSTITUTE(LOWER(Registro!$E478),"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",LEN(Registro!$E478))),({1,2,3,4,5,6,7,8,9,10,11,12,13,14,15,16,17,18,19,20,21,22,23,24,25,26,27,28,29,30}-1)*LEN(Registro!$E478)+1,LEN(Registro!$E478)))&amp;"x")-1))),"Revisar formato")))</f>
        <v/>
      </c>
      <c r="E478" s="11" t="str">
        <f>IF(Registro!$E478="","",IF(ISERROR(FIND("x",LOWER(Registro!$E478))),"-",IFERROR(SUMPRODUCT(--("0"&amp;LEFT(TRIM(MID(SUBSTITUTE(SUBSTITUTE(SUBSTITUTE(SUBSTITUTE(SUBSTITUTE(LOWER(Registro!$E478),"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",LEN(Registro!$E478))),({1,2,3,4,5,6,7,8,9,10,11,12,13,14,15,16,17,18,19,20,21,22,23,24,25,26,27,28,29,30}-1)*LEN(Registro!$E478)+1,LEN(Registro!$E478)))&amp;"x")-1)),--("0"&amp;MID(TRIM(MID(SUBSTITUTE(SUBSTITUTE(SUBSTITUTE(SUBSTITUTE(SUBSTITUTE(LOWER(Registro!$E478),"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",LEN(Registro!$E478))),({1,2,3,4,5,6,7,8,9,10,11,12,13,14,15,16,17,18,19,20,21,22,23,24,25,26,27,28,29,30}-1)*LEN(Registro!$E478)+1,LEN(Registro!$E478)))&amp;"x")+1,20))),"Revisar formato")))</f>
        <v/>
      </c>
      <c r="F478" s="11" t="str">
        <f>IF(Registro!$F478="","",N(Registro!$F478))</f>
        <v/>
      </c>
      <c r="G478" s="11" t="str">
        <f t="shared" si="22"/>
        <v/>
      </c>
      <c r="H478" s="10" t="str">
        <f>IF(Registro!$G478="","",IF(ISERROR(FIND("x",LOWER(Registro!$G478))),"-",IFERROR(SUMPRODUCT(--("0"&amp;LEFT(TRIM(MID(SUBSTITUTE(SUBSTITUTE(SUBSTITUTE(SUBSTITUTE(SUBSTITUTE(LOWER(Registro!$G478),"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",LEN(Registro!$G478))),({1,2,3,4,5,6,7,8,9,10,11,12,13,14,15,16,17,18,19,20,21,22,23,24,25,26,27,28,29,30}-1)*LEN(Registro!$G478)+1,LEN(Registro!$G478))),FIND("x",TRIM(MID(SUBSTITUTE(SUBSTITUTE(SUBSTITUTE(SUBSTITUTE(SUBSTITUTE(LOWER(Registro!$G478),"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",LEN(Registro!$G478))),({1,2,3,4,5,6,7,8,9,10,11,12,13,14,15,16,17,18,19,20,21,22,23,24,25,26,27,28,29,30}-1)*LEN(Registro!$G478)+1,LEN(Registro!$G478)))&amp;"x")-1))),"Revisar formato")))</f>
        <v/>
      </c>
      <c r="I478" s="11" t="str">
        <f>IF(Registro!$G478="","",IF(ISERROR(FIND("x",LOWER(Registro!$G478))),N(Registro!$H478),IFERROR(SUMPRODUCT(--("0"&amp;LEFT(TRIM(MID(SUBSTITUTE(SUBSTITUTE(SUBSTITUTE(SUBSTITUTE(SUBSTITUTE(LOWER(Registro!$G478),"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",LEN(Registro!$G478))),({1,2,3,4,5,6,7,8,9,10,11,12,13,14,15,16,17,18,19,20,21,22,23,24,25,26,27,28,29,30}-1)*LEN(Registro!$G478)+1,LEN(Registro!$G478))),FIND("x",TRIM(MID(SUBSTITUTE(SUBSTITUTE(SUBSTITUTE(SUBSTITUTE(SUBSTITUTE(LOWER(Registro!$G478),"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",LEN(Registro!$G478))),({1,2,3,4,5,6,7,8,9,10,11,12,13,14,15,16,17,18,19,20,21,22,23,24,25,26,27,28,29,30}-1)*LEN(Registro!$G478)+1,LEN(Registro!$G478)))&amp;"x")-1)),--("0"&amp;MID(TRIM(MID(SUBSTITUTE(SUBSTITUTE(SUBSTITUTE(SUBSTITUTE(SUBSTITUTE(LOWER(Registro!$G478),"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",LEN(Registro!$G478))),({1,2,3,4,5,6,7,8,9,10,11,12,13,14,15,16,17,18,19,20,21,22,23,24,25,26,27,28,29,30}-1)*LEN(Registro!$G478)+1,LEN(Registro!$G478))),FIND("x",TRIM(MID(SUBSTITUTE(SUBSTITUTE(SUBSTITUTE(SUBSTITUTE(SUBSTITUTE(LOWER(Registro!$G478),"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",LEN(Registro!$G478))),({1,2,3,4,5,6,7,8,9,10,11,12,13,14,15,16,17,18,19,20,21,22,23,24,25,26,27,28,29,30}-1)*LEN(Registro!$G478)+1,LEN(Registro!$G478)))&amp;"x")+1,20))),"Revisar formato")))</f>
        <v/>
      </c>
      <c r="J478" s="9" t="str">
        <f>IF(AND(Registro!$E478="",Registro!$G478=""),"",IF(NOT(AND(ISNUMBER(I478),ISNUMBER(Registro!$H478))),"",IF(I478&lt;Registro!$H478,"FALTA BOLETOS",IF(I478=Registro!$H478,"CONFORME","DIFERENCIA"))))</f>
        <v/>
      </c>
      <c r="K478" s="11" t="str">
        <f>IF(Registro!$I478="","",IFERROR(SUMPRODUCT(--("0"&amp;TRIM(RIGHT(SUBSTITUTE(TRIM(MID(SUBSTITUTE(SUBSTITUTE(Registro!$I478,";",CHAR(10)),CHAR(10),REPT(" ",LEN(Registro!$I478))),({1,2,3,4,5,6,7,8,9,10,11,12,13,14,15,16,17,18,19,20,21,22,23,24,25,26,27,28,29,30}-1)*LEN(Registro!$I478)+1,LEN(Registro!$I478)))," ",REPT(" ",50)),50)))),"Revisar formato"))</f>
        <v/>
      </c>
      <c r="L478" s="11" t="str">
        <f>IF(Registro!$J478="","",IFERROR(SUMPRODUCT(--("0"&amp;TRIM(RIGHT(SUBSTITUTE(TRIM(MID(SUBSTITUTE(SUBSTITUTE(Registro!$J478,";",CHAR(10)),CHAR(10),REPT(" ",LEN(Registro!$J478))),({1,2,3,4,5,6,7,8,9,10,11,12,13,14,15,16,17,18,19,20,21,22,23,24,25,26,27,28,29,30}-1)*LEN(Registro!$J478)+1,LEN(Registro!$J478)))," ",REPT(" ",50)),50)))),"Revisar formato"))</f>
        <v/>
      </c>
      <c r="M478" s="11" t="str">
        <f>IF(AND(Registro!$H478="",Registro!$I478=""),"",IF(AND(ISTEXT(K478),K478&lt;&gt;""),"Revisar formato",N(Registro!$H478)-N(K478)))</f>
        <v/>
      </c>
      <c r="N478" s="11" t="str">
        <f t="shared" si="23"/>
        <v/>
      </c>
      <c r="O478" s="15" t="str">
        <f>IF(AND(A478=Consulta!$B$3,C478=Consulta!$H$3),B478*10000+ROW(),"")</f>
        <v/>
      </c>
    </row>
    <row r="479" spans="1:15" x14ac:dyDescent="0.25">
      <c r="A479" s="9" t="str">
        <f>IF(Registro!$A479="","",Registro!$A479)</f>
        <v/>
      </c>
      <c r="B479" s="8" t="str">
        <f>IF(Registro!$B479="","",Registro!$B479)</f>
        <v/>
      </c>
      <c r="C479" s="14" t="str">
        <f t="shared" si="21"/>
        <v/>
      </c>
      <c r="D479" s="10" t="str">
        <f>IF(Registro!$E479="","",IF(ISERROR(FIND("x",LOWER(Registro!$E479))),"-",IFERROR(SUMPRODUCT(--("0"&amp;LEFT(TRIM(MID(SUBSTITUTE(SUBSTITUTE(SUBSTITUTE(SUBSTITUTE(SUBSTITUTE(LOWER(Registro!$E479),"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",LEN(Registro!$E479))),({1,2,3,4,5,6,7,8,9,10,11,12,13,14,15,16,17,18,19,20,21,22,23,24,25,26,27,28,29,30}-1)*LEN(Registro!$E479)+1,LEN(Registro!$E479)))&amp;"x")-1))),"Revisar formato")))</f>
        <v/>
      </c>
      <c r="E479" s="11" t="str">
        <f>IF(Registro!$E479="","",IF(ISERROR(FIND("x",LOWER(Registro!$E479))),"-",IFERROR(SUMPRODUCT(--("0"&amp;LEFT(TRIM(MID(SUBSTITUTE(SUBSTITUTE(SUBSTITUTE(SUBSTITUTE(SUBSTITUTE(LOWER(Registro!$E479),"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",LEN(Registro!$E479))),({1,2,3,4,5,6,7,8,9,10,11,12,13,14,15,16,17,18,19,20,21,22,23,24,25,26,27,28,29,30}-1)*LEN(Registro!$E479)+1,LEN(Registro!$E479)))&amp;"x")-1)),--("0"&amp;MID(TRIM(MID(SUBSTITUTE(SUBSTITUTE(SUBSTITUTE(SUBSTITUTE(SUBSTITUTE(LOWER(Registro!$E479),"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",LEN(Registro!$E479))),({1,2,3,4,5,6,7,8,9,10,11,12,13,14,15,16,17,18,19,20,21,22,23,24,25,26,27,28,29,30}-1)*LEN(Registro!$E479)+1,LEN(Registro!$E479)))&amp;"x")+1,20))),"Revisar formato")))</f>
        <v/>
      </c>
      <c r="F479" s="11" t="str">
        <f>IF(Registro!$F479="","",N(Registro!$F479))</f>
        <v/>
      </c>
      <c r="G479" s="11" t="str">
        <f t="shared" si="22"/>
        <v/>
      </c>
      <c r="H479" s="10" t="str">
        <f>IF(Registro!$G479="","",IF(ISERROR(FIND("x",LOWER(Registro!$G479))),"-",IFERROR(SUMPRODUCT(--("0"&amp;LEFT(TRIM(MID(SUBSTITUTE(SUBSTITUTE(SUBSTITUTE(SUBSTITUTE(SUBSTITUTE(LOWER(Registro!$G479),"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",LEN(Registro!$G479))),({1,2,3,4,5,6,7,8,9,10,11,12,13,14,15,16,17,18,19,20,21,22,23,24,25,26,27,28,29,30}-1)*LEN(Registro!$G479)+1,LEN(Registro!$G479))),FIND("x",TRIM(MID(SUBSTITUTE(SUBSTITUTE(SUBSTITUTE(SUBSTITUTE(SUBSTITUTE(LOWER(Registro!$G479),"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",LEN(Registro!$G479))),({1,2,3,4,5,6,7,8,9,10,11,12,13,14,15,16,17,18,19,20,21,22,23,24,25,26,27,28,29,30}-1)*LEN(Registro!$G479)+1,LEN(Registro!$G479)))&amp;"x")-1))),"Revisar formato")))</f>
        <v/>
      </c>
      <c r="I479" s="11" t="str">
        <f>IF(Registro!$G479="","",IF(ISERROR(FIND("x",LOWER(Registro!$G479))),N(Registro!$H479),IFERROR(SUMPRODUCT(--("0"&amp;LEFT(TRIM(MID(SUBSTITUTE(SUBSTITUTE(SUBSTITUTE(SUBSTITUTE(SUBSTITUTE(LOWER(Registro!$G479),"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",LEN(Registro!$G479))),({1,2,3,4,5,6,7,8,9,10,11,12,13,14,15,16,17,18,19,20,21,22,23,24,25,26,27,28,29,30}-1)*LEN(Registro!$G479)+1,LEN(Registro!$G479))),FIND("x",TRIM(MID(SUBSTITUTE(SUBSTITUTE(SUBSTITUTE(SUBSTITUTE(SUBSTITUTE(LOWER(Registro!$G479),"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",LEN(Registro!$G479))),({1,2,3,4,5,6,7,8,9,10,11,12,13,14,15,16,17,18,19,20,21,22,23,24,25,26,27,28,29,30}-1)*LEN(Registro!$G479)+1,LEN(Registro!$G479)))&amp;"x")-1)),--("0"&amp;MID(TRIM(MID(SUBSTITUTE(SUBSTITUTE(SUBSTITUTE(SUBSTITUTE(SUBSTITUTE(LOWER(Registro!$G479),"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",LEN(Registro!$G479))),({1,2,3,4,5,6,7,8,9,10,11,12,13,14,15,16,17,18,19,20,21,22,23,24,25,26,27,28,29,30}-1)*LEN(Registro!$G479)+1,LEN(Registro!$G479))),FIND("x",TRIM(MID(SUBSTITUTE(SUBSTITUTE(SUBSTITUTE(SUBSTITUTE(SUBSTITUTE(LOWER(Registro!$G479),"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",LEN(Registro!$G479))),({1,2,3,4,5,6,7,8,9,10,11,12,13,14,15,16,17,18,19,20,21,22,23,24,25,26,27,28,29,30}-1)*LEN(Registro!$G479)+1,LEN(Registro!$G479)))&amp;"x")+1,20))),"Revisar formato")))</f>
        <v/>
      </c>
      <c r="J479" s="9" t="str">
        <f>IF(AND(Registro!$E479="",Registro!$G479=""),"",IF(NOT(AND(ISNUMBER(I479),ISNUMBER(Registro!$H479))),"",IF(I479&lt;Registro!$H479,"FALTA BOLETOS",IF(I479=Registro!$H479,"CONFORME","DIFERENCIA"))))</f>
        <v/>
      </c>
      <c r="K479" s="11" t="str">
        <f>IF(Registro!$I479="","",IFERROR(SUMPRODUCT(--("0"&amp;TRIM(RIGHT(SUBSTITUTE(TRIM(MID(SUBSTITUTE(SUBSTITUTE(Registro!$I479,";",CHAR(10)),CHAR(10),REPT(" ",LEN(Registro!$I479))),({1,2,3,4,5,6,7,8,9,10,11,12,13,14,15,16,17,18,19,20,21,22,23,24,25,26,27,28,29,30}-1)*LEN(Registro!$I479)+1,LEN(Registro!$I479)))," ",REPT(" ",50)),50)))),"Revisar formato"))</f>
        <v/>
      </c>
      <c r="L479" s="11" t="str">
        <f>IF(Registro!$J479="","",IFERROR(SUMPRODUCT(--("0"&amp;TRIM(RIGHT(SUBSTITUTE(TRIM(MID(SUBSTITUTE(SUBSTITUTE(Registro!$J479,";",CHAR(10)),CHAR(10),REPT(" ",LEN(Registro!$J479))),({1,2,3,4,5,6,7,8,9,10,11,12,13,14,15,16,17,18,19,20,21,22,23,24,25,26,27,28,29,30}-1)*LEN(Registro!$J479)+1,LEN(Registro!$J479)))," ",REPT(" ",50)),50)))),"Revisar formato"))</f>
        <v/>
      </c>
      <c r="M479" s="11" t="str">
        <f>IF(AND(Registro!$H479="",Registro!$I479=""),"",IF(AND(ISTEXT(K479),K479&lt;&gt;""),"Revisar formato",N(Registro!$H479)-N(K479)))</f>
        <v/>
      </c>
      <c r="N479" s="11" t="str">
        <f t="shared" si="23"/>
        <v/>
      </c>
      <c r="O479" s="15" t="str">
        <f>IF(AND(A479=Consulta!$B$3,C479=Consulta!$H$3),B479*10000+ROW(),"")</f>
        <v/>
      </c>
    </row>
    <row r="480" spans="1:15" x14ac:dyDescent="0.25">
      <c r="A480" s="9" t="str">
        <f>IF(Registro!$A480="","",Registro!$A480)</f>
        <v/>
      </c>
      <c r="B480" s="8" t="str">
        <f>IF(Registro!$B480="","",Registro!$B480)</f>
        <v/>
      </c>
      <c r="C480" s="14" t="str">
        <f t="shared" si="21"/>
        <v/>
      </c>
      <c r="D480" s="10" t="str">
        <f>IF(Registro!$E480="","",IF(ISERROR(FIND("x",LOWER(Registro!$E480))),"-",IFERROR(SUMPRODUCT(--("0"&amp;LEFT(TRIM(MID(SUBSTITUTE(SUBSTITUTE(SUBSTITUTE(SUBSTITUTE(SUBSTITUTE(LOWER(Registro!$E480),"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",LEN(Registro!$E480))),({1,2,3,4,5,6,7,8,9,10,11,12,13,14,15,16,17,18,19,20,21,22,23,24,25,26,27,28,29,30}-1)*LEN(Registro!$E480)+1,LEN(Registro!$E480)))&amp;"x")-1))),"Revisar formato")))</f>
        <v/>
      </c>
      <c r="E480" s="11" t="str">
        <f>IF(Registro!$E480="","",IF(ISERROR(FIND("x",LOWER(Registro!$E480))),"-",IFERROR(SUMPRODUCT(--("0"&amp;LEFT(TRIM(MID(SUBSTITUTE(SUBSTITUTE(SUBSTITUTE(SUBSTITUTE(SUBSTITUTE(LOWER(Registro!$E480),"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",LEN(Registro!$E480))),({1,2,3,4,5,6,7,8,9,10,11,12,13,14,15,16,17,18,19,20,21,22,23,24,25,26,27,28,29,30}-1)*LEN(Registro!$E480)+1,LEN(Registro!$E480)))&amp;"x")-1)),--("0"&amp;MID(TRIM(MID(SUBSTITUTE(SUBSTITUTE(SUBSTITUTE(SUBSTITUTE(SUBSTITUTE(LOWER(Registro!$E480),"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",LEN(Registro!$E480))),({1,2,3,4,5,6,7,8,9,10,11,12,13,14,15,16,17,18,19,20,21,22,23,24,25,26,27,28,29,30}-1)*LEN(Registro!$E480)+1,LEN(Registro!$E480)))&amp;"x")+1,20))),"Revisar formato")))</f>
        <v/>
      </c>
      <c r="F480" s="11" t="str">
        <f>IF(Registro!$F480="","",N(Registro!$F480))</f>
        <v/>
      </c>
      <c r="G480" s="11" t="str">
        <f t="shared" si="22"/>
        <v/>
      </c>
      <c r="H480" s="10" t="str">
        <f>IF(Registro!$G480="","",IF(ISERROR(FIND("x",LOWER(Registro!$G480))),"-",IFERROR(SUMPRODUCT(--("0"&amp;LEFT(TRIM(MID(SUBSTITUTE(SUBSTITUTE(SUBSTITUTE(SUBSTITUTE(SUBSTITUTE(LOWER(Registro!$G480),"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",LEN(Registro!$G480))),({1,2,3,4,5,6,7,8,9,10,11,12,13,14,15,16,17,18,19,20,21,22,23,24,25,26,27,28,29,30}-1)*LEN(Registro!$G480)+1,LEN(Registro!$G480))),FIND("x",TRIM(MID(SUBSTITUTE(SUBSTITUTE(SUBSTITUTE(SUBSTITUTE(SUBSTITUTE(LOWER(Registro!$G480),"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",LEN(Registro!$G480))),({1,2,3,4,5,6,7,8,9,10,11,12,13,14,15,16,17,18,19,20,21,22,23,24,25,26,27,28,29,30}-1)*LEN(Registro!$G480)+1,LEN(Registro!$G480)))&amp;"x")-1))),"Revisar formato")))</f>
        <v/>
      </c>
      <c r="I480" s="11" t="str">
        <f>IF(Registro!$G480="","",IF(ISERROR(FIND("x",LOWER(Registro!$G480))),N(Registro!$H480),IFERROR(SUMPRODUCT(--("0"&amp;LEFT(TRIM(MID(SUBSTITUTE(SUBSTITUTE(SUBSTITUTE(SUBSTITUTE(SUBSTITUTE(LOWER(Registro!$G480),"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",LEN(Registro!$G480))),({1,2,3,4,5,6,7,8,9,10,11,12,13,14,15,16,17,18,19,20,21,22,23,24,25,26,27,28,29,30}-1)*LEN(Registro!$G480)+1,LEN(Registro!$G480))),FIND("x",TRIM(MID(SUBSTITUTE(SUBSTITUTE(SUBSTITUTE(SUBSTITUTE(SUBSTITUTE(LOWER(Registro!$G480),"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",LEN(Registro!$G480))),({1,2,3,4,5,6,7,8,9,10,11,12,13,14,15,16,17,18,19,20,21,22,23,24,25,26,27,28,29,30}-1)*LEN(Registro!$G480)+1,LEN(Registro!$G480)))&amp;"x")-1)),--("0"&amp;MID(TRIM(MID(SUBSTITUTE(SUBSTITUTE(SUBSTITUTE(SUBSTITUTE(SUBSTITUTE(LOWER(Registro!$G480),"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",LEN(Registro!$G480))),({1,2,3,4,5,6,7,8,9,10,11,12,13,14,15,16,17,18,19,20,21,22,23,24,25,26,27,28,29,30}-1)*LEN(Registro!$G480)+1,LEN(Registro!$G480))),FIND("x",TRIM(MID(SUBSTITUTE(SUBSTITUTE(SUBSTITUTE(SUBSTITUTE(SUBSTITUTE(LOWER(Registro!$G480),"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",LEN(Registro!$G480))),({1,2,3,4,5,6,7,8,9,10,11,12,13,14,15,16,17,18,19,20,21,22,23,24,25,26,27,28,29,30}-1)*LEN(Registro!$G480)+1,LEN(Registro!$G480)))&amp;"x")+1,20))),"Revisar formato")))</f>
        <v/>
      </c>
      <c r="J480" s="9" t="str">
        <f>IF(AND(Registro!$E480="",Registro!$G480=""),"",IF(NOT(AND(ISNUMBER(I480),ISNUMBER(Registro!$H480))),"",IF(I480&lt;Registro!$H480,"FALTA BOLETOS",IF(I480=Registro!$H480,"CONFORME","DIFERENCIA"))))</f>
        <v/>
      </c>
      <c r="K480" s="11" t="str">
        <f>IF(Registro!$I480="","",IFERROR(SUMPRODUCT(--("0"&amp;TRIM(RIGHT(SUBSTITUTE(TRIM(MID(SUBSTITUTE(SUBSTITUTE(Registro!$I480,";",CHAR(10)),CHAR(10),REPT(" ",LEN(Registro!$I480))),({1,2,3,4,5,6,7,8,9,10,11,12,13,14,15,16,17,18,19,20,21,22,23,24,25,26,27,28,29,30}-1)*LEN(Registro!$I480)+1,LEN(Registro!$I480)))," ",REPT(" ",50)),50)))),"Revisar formato"))</f>
        <v/>
      </c>
      <c r="L480" s="11" t="str">
        <f>IF(Registro!$J480="","",IFERROR(SUMPRODUCT(--("0"&amp;TRIM(RIGHT(SUBSTITUTE(TRIM(MID(SUBSTITUTE(SUBSTITUTE(Registro!$J480,";",CHAR(10)),CHAR(10),REPT(" ",LEN(Registro!$J480))),({1,2,3,4,5,6,7,8,9,10,11,12,13,14,15,16,17,18,19,20,21,22,23,24,25,26,27,28,29,30}-1)*LEN(Registro!$J480)+1,LEN(Registro!$J480)))," ",REPT(" ",50)),50)))),"Revisar formato"))</f>
        <v/>
      </c>
      <c r="M480" s="11" t="str">
        <f>IF(AND(Registro!$H480="",Registro!$I480=""),"",IF(AND(ISTEXT(K480),K480&lt;&gt;""),"Revisar formato",N(Registro!$H480)-N(K480)))</f>
        <v/>
      </c>
      <c r="N480" s="11" t="str">
        <f t="shared" si="23"/>
        <v/>
      </c>
      <c r="O480" s="15" t="str">
        <f>IF(AND(A480=Consulta!$B$3,C480=Consulta!$H$3),B480*10000+ROW(),"")</f>
        <v/>
      </c>
    </row>
    <row r="481" spans="1:15" x14ac:dyDescent="0.25">
      <c r="A481" s="9" t="str">
        <f>IF(Registro!$A481="","",Registro!$A481)</f>
        <v/>
      </c>
      <c r="B481" s="8" t="str">
        <f>IF(Registro!$B481="","",Registro!$B481)</f>
        <v/>
      </c>
      <c r="C481" s="14" t="str">
        <f t="shared" si="21"/>
        <v/>
      </c>
      <c r="D481" s="10" t="str">
        <f>IF(Registro!$E481="","",IF(ISERROR(FIND("x",LOWER(Registro!$E481))),"-",IFERROR(SUMPRODUCT(--("0"&amp;LEFT(TRIM(MID(SUBSTITUTE(SUBSTITUTE(SUBSTITUTE(SUBSTITUTE(SUBSTITUTE(LOWER(Registro!$E481),"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",LEN(Registro!$E481))),({1,2,3,4,5,6,7,8,9,10,11,12,13,14,15,16,17,18,19,20,21,22,23,24,25,26,27,28,29,30}-1)*LEN(Registro!$E481)+1,LEN(Registro!$E481)))&amp;"x")-1))),"Revisar formato")))</f>
        <v/>
      </c>
      <c r="E481" s="11" t="str">
        <f>IF(Registro!$E481="","",IF(ISERROR(FIND("x",LOWER(Registro!$E481))),"-",IFERROR(SUMPRODUCT(--("0"&amp;LEFT(TRIM(MID(SUBSTITUTE(SUBSTITUTE(SUBSTITUTE(SUBSTITUTE(SUBSTITUTE(LOWER(Registro!$E481),"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",LEN(Registro!$E481))),({1,2,3,4,5,6,7,8,9,10,11,12,13,14,15,16,17,18,19,20,21,22,23,24,25,26,27,28,29,30}-1)*LEN(Registro!$E481)+1,LEN(Registro!$E481)))&amp;"x")-1)),--("0"&amp;MID(TRIM(MID(SUBSTITUTE(SUBSTITUTE(SUBSTITUTE(SUBSTITUTE(SUBSTITUTE(LOWER(Registro!$E481),"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",LEN(Registro!$E481))),({1,2,3,4,5,6,7,8,9,10,11,12,13,14,15,16,17,18,19,20,21,22,23,24,25,26,27,28,29,30}-1)*LEN(Registro!$E481)+1,LEN(Registro!$E481)))&amp;"x")+1,20))),"Revisar formato")))</f>
        <v/>
      </c>
      <c r="F481" s="11" t="str">
        <f>IF(Registro!$F481="","",N(Registro!$F481))</f>
        <v/>
      </c>
      <c r="G481" s="11" t="str">
        <f t="shared" si="22"/>
        <v/>
      </c>
      <c r="H481" s="10" t="str">
        <f>IF(Registro!$G481="","",IF(ISERROR(FIND("x",LOWER(Registro!$G481))),"-",IFERROR(SUMPRODUCT(--("0"&amp;LEFT(TRIM(MID(SUBSTITUTE(SUBSTITUTE(SUBSTITUTE(SUBSTITUTE(SUBSTITUTE(LOWER(Registro!$G481),"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",LEN(Registro!$G481))),({1,2,3,4,5,6,7,8,9,10,11,12,13,14,15,16,17,18,19,20,21,22,23,24,25,26,27,28,29,30}-1)*LEN(Registro!$G481)+1,LEN(Registro!$G481))),FIND("x",TRIM(MID(SUBSTITUTE(SUBSTITUTE(SUBSTITUTE(SUBSTITUTE(SUBSTITUTE(LOWER(Registro!$G481),"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",LEN(Registro!$G481))),({1,2,3,4,5,6,7,8,9,10,11,12,13,14,15,16,17,18,19,20,21,22,23,24,25,26,27,28,29,30}-1)*LEN(Registro!$G481)+1,LEN(Registro!$G481)))&amp;"x")-1))),"Revisar formato")))</f>
        <v/>
      </c>
      <c r="I481" s="11" t="str">
        <f>IF(Registro!$G481="","",IF(ISERROR(FIND("x",LOWER(Registro!$G481))),N(Registro!$H481),IFERROR(SUMPRODUCT(--("0"&amp;LEFT(TRIM(MID(SUBSTITUTE(SUBSTITUTE(SUBSTITUTE(SUBSTITUTE(SUBSTITUTE(LOWER(Registro!$G481),"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",LEN(Registro!$G481))),({1,2,3,4,5,6,7,8,9,10,11,12,13,14,15,16,17,18,19,20,21,22,23,24,25,26,27,28,29,30}-1)*LEN(Registro!$G481)+1,LEN(Registro!$G481))),FIND("x",TRIM(MID(SUBSTITUTE(SUBSTITUTE(SUBSTITUTE(SUBSTITUTE(SUBSTITUTE(LOWER(Registro!$G481),"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",LEN(Registro!$G481))),({1,2,3,4,5,6,7,8,9,10,11,12,13,14,15,16,17,18,19,20,21,22,23,24,25,26,27,28,29,30}-1)*LEN(Registro!$G481)+1,LEN(Registro!$G481)))&amp;"x")-1)),--("0"&amp;MID(TRIM(MID(SUBSTITUTE(SUBSTITUTE(SUBSTITUTE(SUBSTITUTE(SUBSTITUTE(LOWER(Registro!$G481),"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",LEN(Registro!$G481))),({1,2,3,4,5,6,7,8,9,10,11,12,13,14,15,16,17,18,19,20,21,22,23,24,25,26,27,28,29,30}-1)*LEN(Registro!$G481)+1,LEN(Registro!$G481))),FIND("x",TRIM(MID(SUBSTITUTE(SUBSTITUTE(SUBSTITUTE(SUBSTITUTE(SUBSTITUTE(LOWER(Registro!$G481),"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",LEN(Registro!$G481))),({1,2,3,4,5,6,7,8,9,10,11,12,13,14,15,16,17,18,19,20,21,22,23,24,25,26,27,28,29,30}-1)*LEN(Registro!$G481)+1,LEN(Registro!$G481)))&amp;"x")+1,20))),"Revisar formato")))</f>
        <v/>
      </c>
      <c r="J481" s="9" t="str">
        <f>IF(AND(Registro!$E481="",Registro!$G481=""),"",IF(NOT(AND(ISNUMBER(I481),ISNUMBER(Registro!$H481))),"",IF(I481&lt;Registro!$H481,"FALTA BOLETOS",IF(I481=Registro!$H481,"CONFORME","DIFERENCIA"))))</f>
        <v/>
      </c>
      <c r="K481" s="11" t="str">
        <f>IF(Registro!$I481="","",IFERROR(SUMPRODUCT(--("0"&amp;TRIM(RIGHT(SUBSTITUTE(TRIM(MID(SUBSTITUTE(SUBSTITUTE(Registro!$I481,";",CHAR(10)),CHAR(10),REPT(" ",LEN(Registro!$I481))),({1,2,3,4,5,6,7,8,9,10,11,12,13,14,15,16,17,18,19,20,21,22,23,24,25,26,27,28,29,30}-1)*LEN(Registro!$I481)+1,LEN(Registro!$I481)))," ",REPT(" ",50)),50)))),"Revisar formato"))</f>
        <v/>
      </c>
      <c r="L481" s="11" t="str">
        <f>IF(Registro!$J481="","",IFERROR(SUMPRODUCT(--("0"&amp;TRIM(RIGHT(SUBSTITUTE(TRIM(MID(SUBSTITUTE(SUBSTITUTE(Registro!$J481,";",CHAR(10)),CHAR(10),REPT(" ",LEN(Registro!$J481))),({1,2,3,4,5,6,7,8,9,10,11,12,13,14,15,16,17,18,19,20,21,22,23,24,25,26,27,28,29,30}-1)*LEN(Registro!$J481)+1,LEN(Registro!$J481)))," ",REPT(" ",50)),50)))),"Revisar formato"))</f>
        <v/>
      </c>
      <c r="M481" s="11" t="str">
        <f>IF(AND(Registro!$H481="",Registro!$I481=""),"",IF(AND(ISTEXT(K481),K481&lt;&gt;""),"Revisar formato",N(Registro!$H481)-N(K481)))</f>
        <v/>
      </c>
      <c r="N481" s="11" t="str">
        <f t="shared" si="23"/>
        <v/>
      </c>
      <c r="O481" s="15" t="str">
        <f>IF(AND(A481=Consulta!$B$3,C481=Consulta!$H$3),B481*10000+ROW(),"")</f>
        <v/>
      </c>
    </row>
    <row r="482" spans="1:15" x14ac:dyDescent="0.25">
      <c r="A482" s="9" t="str">
        <f>IF(Registro!$A482="","",Registro!$A482)</f>
        <v/>
      </c>
      <c r="B482" s="8" t="str">
        <f>IF(Registro!$B482="","",Registro!$B482)</f>
        <v/>
      </c>
      <c r="C482" s="14" t="str">
        <f t="shared" si="21"/>
        <v/>
      </c>
      <c r="D482" s="10" t="str">
        <f>IF(Registro!$E482="","",IF(ISERROR(FIND("x",LOWER(Registro!$E482))),"-",IFERROR(SUMPRODUCT(--("0"&amp;LEFT(TRIM(MID(SUBSTITUTE(SUBSTITUTE(SUBSTITUTE(SUBSTITUTE(SUBSTITUTE(LOWER(Registro!$E482),"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",LEN(Registro!$E482))),({1,2,3,4,5,6,7,8,9,10,11,12,13,14,15,16,17,18,19,20,21,22,23,24,25,26,27,28,29,30}-1)*LEN(Registro!$E482)+1,LEN(Registro!$E482)))&amp;"x")-1))),"Revisar formato")))</f>
        <v/>
      </c>
      <c r="E482" s="11" t="str">
        <f>IF(Registro!$E482="","",IF(ISERROR(FIND("x",LOWER(Registro!$E482))),"-",IFERROR(SUMPRODUCT(--("0"&amp;LEFT(TRIM(MID(SUBSTITUTE(SUBSTITUTE(SUBSTITUTE(SUBSTITUTE(SUBSTITUTE(LOWER(Registro!$E482),"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",LEN(Registro!$E482))),({1,2,3,4,5,6,7,8,9,10,11,12,13,14,15,16,17,18,19,20,21,22,23,24,25,26,27,28,29,30}-1)*LEN(Registro!$E482)+1,LEN(Registro!$E482)))&amp;"x")-1)),--("0"&amp;MID(TRIM(MID(SUBSTITUTE(SUBSTITUTE(SUBSTITUTE(SUBSTITUTE(SUBSTITUTE(LOWER(Registro!$E482),"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",LEN(Registro!$E482))),({1,2,3,4,5,6,7,8,9,10,11,12,13,14,15,16,17,18,19,20,21,22,23,24,25,26,27,28,29,30}-1)*LEN(Registro!$E482)+1,LEN(Registro!$E482)))&amp;"x")+1,20))),"Revisar formato")))</f>
        <v/>
      </c>
      <c r="F482" s="11" t="str">
        <f>IF(Registro!$F482="","",N(Registro!$F482))</f>
        <v/>
      </c>
      <c r="G482" s="11" t="str">
        <f t="shared" si="22"/>
        <v/>
      </c>
      <c r="H482" s="10" t="str">
        <f>IF(Registro!$G482="","",IF(ISERROR(FIND("x",LOWER(Registro!$G482))),"-",IFERROR(SUMPRODUCT(--("0"&amp;LEFT(TRIM(MID(SUBSTITUTE(SUBSTITUTE(SUBSTITUTE(SUBSTITUTE(SUBSTITUTE(LOWER(Registro!$G482),"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",LEN(Registro!$G482))),({1,2,3,4,5,6,7,8,9,10,11,12,13,14,15,16,17,18,19,20,21,22,23,24,25,26,27,28,29,30}-1)*LEN(Registro!$G482)+1,LEN(Registro!$G482))),FIND("x",TRIM(MID(SUBSTITUTE(SUBSTITUTE(SUBSTITUTE(SUBSTITUTE(SUBSTITUTE(LOWER(Registro!$G482),"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",LEN(Registro!$G482))),({1,2,3,4,5,6,7,8,9,10,11,12,13,14,15,16,17,18,19,20,21,22,23,24,25,26,27,28,29,30}-1)*LEN(Registro!$G482)+1,LEN(Registro!$G482)))&amp;"x")-1))),"Revisar formato")))</f>
        <v/>
      </c>
      <c r="I482" s="11" t="str">
        <f>IF(Registro!$G482="","",IF(ISERROR(FIND("x",LOWER(Registro!$G482))),N(Registro!$H482),IFERROR(SUMPRODUCT(--("0"&amp;LEFT(TRIM(MID(SUBSTITUTE(SUBSTITUTE(SUBSTITUTE(SUBSTITUTE(SUBSTITUTE(LOWER(Registro!$G482),"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",LEN(Registro!$G482))),({1,2,3,4,5,6,7,8,9,10,11,12,13,14,15,16,17,18,19,20,21,22,23,24,25,26,27,28,29,30}-1)*LEN(Registro!$G482)+1,LEN(Registro!$G482))),FIND("x",TRIM(MID(SUBSTITUTE(SUBSTITUTE(SUBSTITUTE(SUBSTITUTE(SUBSTITUTE(LOWER(Registro!$G482),"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",LEN(Registro!$G482))),({1,2,3,4,5,6,7,8,9,10,11,12,13,14,15,16,17,18,19,20,21,22,23,24,25,26,27,28,29,30}-1)*LEN(Registro!$G482)+1,LEN(Registro!$G482)))&amp;"x")-1)),--("0"&amp;MID(TRIM(MID(SUBSTITUTE(SUBSTITUTE(SUBSTITUTE(SUBSTITUTE(SUBSTITUTE(LOWER(Registro!$G482),"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",LEN(Registro!$G482))),({1,2,3,4,5,6,7,8,9,10,11,12,13,14,15,16,17,18,19,20,21,22,23,24,25,26,27,28,29,30}-1)*LEN(Registro!$G482)+1,LEN(Registro!$G482))),FIND("x",TRIM(MID(SUBSTITUTE(SUBSTITUTE(SUBSTITUTE(SUBSTITUTE(SUBSTITUTE(LOWER(Registro!$G482),"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",LEN(Registro!$G482))),({1,2,3,4,5,6,7,8,9,10,11,12,13,14,15,16,17,18,19,20,21,22,23,24,25,26,27,28,29,30}-1)*LEN(Registro!$G482)+1,LEN(Registro!$G482)))&amp;"x")+1,20))),"Revisar formato")))</f>
        <v/>
      </c>
      <c r="J482" s="9" t="str">
        <f>IF(AND(Registro!$E482="",Registro!$G482=""),"",IF(NOT(AND(ISNUMBER(I482),ISNUMBER(Registro!$H482))),"",IF(I482&lt;Registro!$H482,"FALTA BOLETOS",IF(I482=Registro!$H482,"CONFORME","DIFERENCIA"))))</f>
        <v/>
      </c>
      <c r="K482" s="11" t="str">
        <f>IF(Registro!$I482="","",IFERROR(SUMPRODUCT(--("0"&amp;TRIM(RIGHT(SUBSTITUTE(TRIM(MID(SUBSTITUTE(SUBSTITUTE(Registro!$I482,";",CHAR(10)),CHAR(10),REPT(" ",LEN(Registro!$I482))),({1,2,3,4,5,6,7,8,9,10,11,12,13,14,15,16,17,18,19,20,21,22,23,24,25,26,27,28,29,30}-1)*LEN(Registro!$I482)+1,LEN(Registro!$I482)))," ",REPT(" ",50)),50)))),"Revisar formato"))</f>
        <v/>
      </c>
      <c r="L482" s="11" t="str">
        <f>IF(Registro!$J482="","",IFERROR(SUMPRODUCT(--("0"&amp;TRIM(RIGHT(SUBSTITUTE(TRIM(MID(SUBSTITUTE(SUBSTITUTE(Registro!$J482,";",CHAR(10)),CHAR(10),REPT(" ",LEN(Registro!$J482))),({1,2,3,4,5,6,7,8,9,10,11,12,13,14,15,16,17,18,19,20,21,22,23,24,25,26,27,28,29,30}-1)*LEN(Registro!$J482)+1,LEN(Registro!$J482)))," ",REPT(" ",50)),50)))),"Revisar formato"))</f>
        <v/>
      </c>
      <c r="M482" s="11" t="str">
        <f>IF(AND(Registro!$H482="",Registro!$I482=""),"",IF(AND(ISTEXT(K482),K482&lt;&gt;""),"Revisar formato",N(Registro!$H482)-N(K482)))</f>
        <v/>
      </c>
      <c r="N482" s="11" t="str">
        <f t="shared" si="23"/>
        <v/>
      </c>
      <c r="O482" s="15" t="str">
        <f>IF(AND(A482=Consulta!$B$3,C482=Consulta!$H$3),B482*10000+ROW(),"")</f>
        <v/>
      </c>
    </row>
    <row r="483" spans="1:15" x14ac:dyDescent="0.25">
      <c r="A483" s="9" t="str">
        <f>IF(Registro!$A483="","",Registro!$A483)</f>
        <v/>
      </c>
      <c r="B483" s="8" t="str">
        <f>IF(Registro!$B483="","",Registro!$B483)</f>
        <v/>
      </c>
      <c r="C483" s="14" t="str">
        <f t="shared" si="21"/>
        <v/>
      </c>
      <c r="D483" s="10" t="str">
        <f>IF(Registro!$E483="","",IF(ISERROR(FIND("x",LOWER(Registro!$E483))),"-",IFERROR(SUMPRODUCT(--("0"&amp;LEFT(TRIM(MID(SUBSTITUTE(SUBSTITUTE(SUBSTITUTE(SUBSTITUTE(SUBSTITUTE(LOWER(Registro!$E483),"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",LEN(Registro!$E483))),({1,2,3,4,5,6,7,8,9,10,11,12,13,14,15,16,17,18,19,20,21,22,23,24,25,26,27,28,29,30}-1)*LEN(Registro!$E483)+1,LEN(Registro!$E483)))&amp;"x")-1))),"Revisar formato")))</f>
        <v/>
      </c>
      <c r="E483" s="11" t="str">
        <f>IF(Registro!$E483="","",IF(ISERROR(FIND("x",LOWER(Registro!$E483))),"-",IFERROR(SUMPRODUCT(--("0"&amp;LEFT(TRIM(MID(SUBSTITUTE(SUBSTITUTE(SUBSTITUTE(SUBSTITUTE(SUBSTITUTE(LOWER(Registro!$E483),"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",LEN(Registro!$E483))),({1,2,3,4,5,6,7,8,9,10,11,12,13,14,15,16,17,18,19,20,21,22,23,24,25,26,27,28,29,30}-1)*LEN(Registro!$E483)+1,LEN(Registro!$E483)))&amp;"x")-1)),--("0"&amp;MID(TRIM(MID(SUBSTITUTE(SUBSTITUTE(SUBSTITUTE(SUBSTITUTE(SUBSTITUTE(LOWER(Registro!$E483),"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",LEN(Registro!$E483))),({1,2,3,4,5,6,7,8,9,10,11,12,13,14,15,16,17,18,19,20,21,22,23,24,25,26,27,28,29,30}-1)*LEN(Registro!$E483)+1,LEN(Registro!$E483)))&amp;"x")+1,20))),"Revisar formato")))</f>
        <v/>
      </c>
      <c r="F483" s="11" t="str">
        <f>IF(Registro!$F483="","",N(Registro!$F483))</f>
        <v/>
      </c>
      <c r="G483" s="11" t="str">
        <f t="shared" si="22"/>
        <v/>
      </c>
      <c r="H483" s="10" t="str">
        <f>IF(Registro!$G483="","",IF(ISERROR(FIND("x",LOWER(Registro!$G483))),"-",IFERROR(SUMPRODUCT(--("0"&amp;LEFT(TRIM(MID(SUBSTITUTE(SUBSTITUTE(SUBSTITUTE(SUBSTITUTE(SUBSTITUTE(LOWER(Registro!$G483),"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",LEN(Registro!$G483))),({1,2,3,4,5,6,7,8,9,10,11,12,13,14,15,16,17,18,19,20,21,22,23,24,25,26,27,28,29,30}-1)*LEN(Registro!$G483)+1,LEN(Registro!$G483))),FIND("x",TRIM(MID(SUBSTITUTE(SUBSTITUTE(SUBSTITUTE(SUBSTITUTE(SUBSTITUTE(LOWER(Registro!$G483),"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",LEN(Registro!$G483))),({1,2,3,4,5,6,7,8,9,10,11,12,13,14,15,16,17,18,19,20,21,22,23,24,25,26,27,28,29,30}-1)*LEN(Registro!$G483)+1,LEN(Registro!$G483)))&amp;"x")-1))),"Revisar formato")))</f>
        <v/>
      </c>
      <c r="I483" s="11" t="str">
        <f>IF(Registro!$G483="","",IF(ISERROR(FIND("x",LOWER(Registro!$G483))),N(Registro!$H483),IFERROR(SUMPRODUCT(--("0"&amp;LEFT(TRIM(MID(SUBSTITUTE(SUBSTITUTE(SUBSTITUTE(SUBSTITUTE(SUBSTITUTE(LOWER(Registro!$G483),"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",LEN(Registro!$G483))),({1,2,3,4,5,6,7,8,9,10,11,12,13,14,15,16,17,18,19,20,21,22,23,24,25,26,27,28,29,30}-1)*LEN(Registro!$G483)+1,LEN(Registro!$G483))),FIND("x",TRIM(MID(SUBSTITUTE(SUBSTITUTE(SUBSTITUTE(SUBSTITUTE(SUBSTITUTE(LOWER(Registro!$G483),"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",LEN(Registro!$G483))),({1,2,3,4,5,6,7,8,9,10,11,12,13,14,15,16,17,18,19,20,21,22,23,24,25,26,27,28,29,30}-1)*LEN(Registro!$G483)+1,LEN(Registro!$G483)))&amp;"x")-1)),--("0"&amp;MID(TRIM(MID(SUBSTITUTE(SUBSTITUTE(SUBSTITUTE(SUBSTITUTE(SUBSTITUTE(LOWER(Registro!$G483),"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",LEN(Registro!$G483))),({1,2,3,4,5,6,7,8,9,10,11,12,13,14,15,16,17,18,19,20,21,22,23,24,25,26,27,28,29,30}-1)*LEN(Registro!$G483)+1,LEN(Registro!$G483))),FIND("x",TRIM(MID(SUBSTITUTE(SUBSTITUTE(SUBSTITUTE(SUBSTITUTE(SUBSTITUTE(LOWER(Registro!$G483),"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",LEN(Registro!$G483))),({1,2,3,4,5,6,7,8,9,10,11,12,13,14,15,16,17,18,19,20,21,22,23,24,25,26,27,28,29,30}-1)*LEN(Registro!$G483)+1,LEN(Registro!$G483)))&amp;"x")+1,20))),"Revisar formato")))</f>
        <v/>
      </c>
      <c r="J483" s="9" t="str">
        <f>IF(AND(Registro!$E483="",Registro!$G483=""),"",IF(NOT(AND(ISNUMBER(I483),ISNUMBER(Registro!$H483))),"",IF(I483&lt;Registro!$H483,"FALTA BOLETOS",IF(I483=Registro!$H483,"CONFORME","DIFERENCIA"))))</f>
        <v/>
      </c>
      <c r="K483" s="11" t="str">
        <f>IF(Registro!$I483="","",IFERROR(SUMPRODUCT(--("0"&amp;TRIM(RIGHT(SUBSTITUTE(TRIM(MID(SUBSTITUTE(SUBSTITUTE(Registro!$I483,";",CHAR(10)),CHAR(10),REPT(" ",LEN(Registro!$I483))),({1,2,3,4,5,6,7,8,9,10,11,12,13,14,15,16,17,18,19,20,21,22,23,24,25,26,27,28,29,30}-1)*LEN(Registro!$I483)+1,LEN(Registro!$I483)))," ",REPT(" ",50)),50)))),"Revisar formato"))</f>
        <v/>
      </c>
      <c r="L483" s="11" t="str">
        <f>IF(Registro!$J483="","",IFERROR(SUMPRODUCT(--("0"&amp;TRIM(RIGHT(SUBSTITUTE(TRIM(MID(SUBSTITUTE(SUBSTITUTE(Registro!$J483,";",CHAR(10)),CHAR(10),REPT(" ",LEN(Registro!$J483))),({1,2,3,4,5,6,7,8,9,10,11,12,13,14,15,16,17,18,19,20,21,22,23,24,25,26,27,28,29,30}-1)*LEN(Registro!$J483)+1,LEN(Registro!$J483)))," ",REPT(" ",50)),50)))),"Revisar formato"))</f>
        <v/>
      </c>
      <c r="M483" s="11" t="str">
        <f>IF(AND(Registro!$H483="",Registro!$I483=""),"",IF(AND(ISTEXT(K483),K483&lt;&gt;""),"Revisar formato",N(Registro!$H483)-N(K483)))</f>
        <v/>
      </c>
      <c r="N483" s="11" t="str">
        <f t="shared" si="23"/>
        <v/>
      </c>
      <c r="O483" s="15" t="str">
        <f>IF(AND(A483=Consulta!$B$3,C483=Consulta!$H$3),B483*10000+ROW(),"")</f>
        <v/>
      </c>
    </row>
    <row r="484" spans="1:15" x14ac:dyDescent="0.25">
      <c r="A484" s="9" t="str">
        <f>IF(Registro!$A484="","",Registro!$A484)</f>
        <v/>
      </c>
      <c r="B484" s="8" t="str">
        <f>IF(Registro!$B484="","",Registro!$B484)</f>
        <v/>
      </c>
      <c r="C484" s="14" t="str">
        <f t="shared" si="21"/>
        <v/>
      </c>
      <c r="D484" s="10" t="str">
        <f>IF(Registro!$E484="","",IF(ISERROR(FIND("x",LOWER(Registro!$E484))),"-",IFERROR(SUMPRODUCT(--("0"&amp;LEFT(TRIM(MID(SUBSTITUTE(SUBSTITUTE(SUBSTITUTE(SUBSTITUTE(SUBSTITUTE(LOWER(Registro!$E484),"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",LEN(Registro!$E484))),({1,2,3,4,5,6,7,8,9,10,11,12,13,14,15,16,17,18,19,20,21,22,23,24,25,26,27,28,29,30}-1)*LEN(Registro!$E484)+1,LEN(Registro!$E484)))&amp;"x")-1))),"Revisar formato")))</f>
        <v/>
      </c>
      <c r="E484" s="11" t="str">
        <f>IF(Registro!$E484="","",IF(ISERROR(FIND("x",LOWER(Registro!$E484))),"-",IFERROR(SUMPRODUCT(--("0"&amp;LEFT(TRIM(MID(SUBSTITUTE(SUBSTITUTE(SUBSTITUTE(SUBSTITUTE(SUBSTITUTE(LOWER(Registro!$E484),"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",LEN(Registro!$E484))),({1,2,3,4,5,6,7,8,9,10,11,12,13,14,15,16,17,18,19,20,21,22,23,24,25,26,27,28,29,30}-1)*LEN(Registro!$E484)+1,LEN(Registro!$E484)))&amp;"x")-1)),--("0"&amp;MID(TRIM(MID(SUBSTITUTE(SUBSTITUTE(SUBSTITUTE(SUBSTITUTE(SUBSTITUTE(LOWER(Registro!$E484),"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",LEN(Registro!$E484))),({1,2,3,4,5,6,7,8,9,10,11,12,13,14,15,16,17,18,19,20,21,22,23,24,25,26,27,28,29,30}-1)*LEN(Registro!$E484)+1,LEN(Registro!$E484)))&amp;"x")+1,20))),"Revisar formato")))</f>
        <v/>
      </c>
      <c r="F484" s="11" t="str">
        <f>IF(Registro!$F484="","",N(Registro!$F484))</f>
        <v/>
      </c>
      <c r="G484" s="11" t="str">
        <f t="shared" si="22"/>
        <v/>
      </c>
      <c r="H484" s="10" t="str">
        <f>IF(Registro!$G484="","",IF(ISERROR(FIND("x",LOWER(Registro!$G484))),"-",IFERROR(SUMPRODUCT(--("0"&amp;LEFT(TRIM(MID(SUBSTITUTE(SUBSTITUTE(SUBSTITUTE(SUBSTITUTE(SUBSTITUTE(LOWER(Registro!$G484),"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",LEN(Registro!$G484))),({1,2,3,4,5,6,7,8,9,10,11,12,13,14,15,16,17,18,19,20,21,22,23,24,25,26,27,28,29,30}-1)*LEN(Registro!$G484)+1,LEN(Registro!$G484))),FIND("x",TRIM(MID(SUBSTITUTE(SUBSTITUTE(SUBSTITUTE(SUBSTITUTE(SUBSTITUTE(LOWER(Registro!$G484),"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",LEN(Registro!$G484))),({1,2,3,4,5,6,7,8,9,10,11,12,13,14,15,16,17,18,19,20,21,22,23,24,25,26,27,28,29,30}-1)*LEN(Registro!$G484)+1,LEN(Registro!$G484)))&amp;"x")-1))),"Revisar formato")))</f>
        <v/>
      </c>
      <c r="I484" s="11" t="str">
        <f>IF(Registro!$G484="","",IF(ISERROR(FIND("x",LOWER(Registro!$G484))),N(Registro!$H484),IFERROR(SUMPRODUCT(--("0"&amp;LEFT(TRIM(MID(SUBSTITUTE(SUBSTITUTE(SUBSTITUTE(SUBSTITUTE(SUBSTITUTE(LOWER(Registro!$G484),"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",LEN(Registro!$G484))),({1,2,3,4,5,6,7,8,9,10,11,12,13,14,15,16,17,18,19,20,21,22,23,24,25,26,27,28,29,30}-1)*LEN(Registro!$G484)+1,LEN(Registro!$G484))),FIND("x",TRIM(MID(SUBSTITUTE(SUBSTITUTE(SUBSTITUTE(SUBSTITUTE(SUBSTITUTE(LOWER(Registro!$G484),"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",LEN(Registro!$G484))),({1,2,3,4,5,6,7,8,9,10,11,12,13,14,15,16,17,18,19,20,21,22,23,24,25,26,27,28,29,30}-1)*LEN(Registro!$G484)+1,LEN(Registro!$G484)))&amp;"x")-1)),--("0"&amp;MID(TRIM(MID(SUBSTITUTE(SUBSTITUTE(SUBSTITUTE(SUBSTITUTE(SUBSTITUTE(LOWER(Registro!$G484),"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",LEN(Registro!$G484))),({1,2,3,4,5,6,7,8,9,10,11,12,13,14,15,16,17,18,19,20,21,22,23,24,25,26,27,28,29,30}-1)*LEN(Registro!$G484)+1,LEN(Registro!$G484))),FIND("x",TRIM(MID(SUBSTITUTE(SUBSTITUTE(SUBSTITUTE(SUBSTITUTE(SUBSTITUTE(LOWER(Registro!$G484),"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",LEN(Registro!$G484))),({1,2,3,4,5,6,7,8,9,10,11,12,13,14,15,16,17,18,19,20,21,22,23,24,25,26,27,28,29,30}-1)*LEN(Registro!$G484)+1,LEN(Registro!$G484)))&amp;"x")+1,20))),"Revisar formato")))</f>
        <v/>
      </c>
      <c r="J484" s="9" t="str">
        <f>IF(AND(Registro!$E484="",Registro!$G484=""),"",IF(NOT(AND(ISNUMBER(I484),ISNUMBER(Registro!$H484))),"",IF(I484&lt;Registro!$H484,"FALTA BOLETOS",IF(I484=Registro!$H484,"CONFORME","DIFERENCIA"))))</f>
        <v/>
      </c>
      <c r="K484" s="11" t="str">
        <f>IF(Registro!$I484="","",IFERROR(SUMPRODUCT(--("0"&amp;TRIM(RIGHT(SUBSTITUTE(TRIM(MID(SUBSTITUTE(SUBSTITUTE(Registro!$I484,";",CHAR(10)),CHAR(10),REPT(" ",LEN(Registro!$I484))),({1,2,3,4,5,6,7,8,9,10,11,12,13,14,15,16,17,18,19,20,21,22,23,24,25,26,27,28,29,30}-1)*LEN(Registro!$I484)+1,LEN(Registro!$I484)))," ",REPT(" ",50)),50)))),"Revisar formato"))</f>
        <v/>
      </c>
      <c r="L484" s="11" t="str">
        <f>IF(Registro!$J484="","",IFERROR(SUMPRODUCT(--("0"&amp;TRIM(RIGHT(SUBSTITUTE(TRIM(MID(SUBSTITUTE(SUBSTITUTE(Registro!$J484,";",CHAR(10)),CHAR(10),REPT(" ",LEN(Registro!$J484))),({1,2,3,4,5,6,7,8,9,10,11,12,13,14,15,16,17,18,19,20,21,22,23,24,25,26,27,28,29,30}-1)*LEN(Registro!$J484)+1,LEN(Registro!$J484)))," ",REPT(" ",50)),50)))),"Revisar formato"))</f>
        <v/>
      </c>
      <c r="M484" s="11" t="str">
        <f>IF(AND(Registro!$H484="",Registro!$I484=""),"",IF(AND(ISTEXT(K484),K484&lt;&gt;""),"Revisar formato",N(Registro!$H484)-N(K484)))</f>
        <v/>
      </c>
      <c r="N484" s="11" t="str">
        <f t="shared" si="23"/>
        <v/>
      </c>
      <c r="O484" s="15" t="str">
        <f>IF(AND(A484=Consulta!$B$3,C484=Consulta!$H$3),B484*10000+ROW(),"")</f>
        <v/>
      </c>
    </row>
    <row r="485" spans="1:15" x14ac:dyDescent="0.25">
      <c r="A485" s="9" t="str">
        <f>IF(Registro!$A485="","",Registro!$A485)</f>
        <v/>
      </c>
      <c r="B485" s="8" t="str">
        <f>IF(Registro!$B485="","",Registro!$B485)</f>
        <v/>
      </c>
      <c r="C485" s="14" t="str">
        <f t="shared" si="21"/>
        <v/>
      </c>
      <c r="D485" s="10" t="str">
        <f>IF(Registro!$E485="","",IF(ISERROR(FIND("x",LOWER(Registro!$E485))),"-",IFERROR(SUMPRODUCT(--("0"&amp;LEFT(TRIM(MID(SUBSTITUTE(SUBSTITUTE(SUBSTITUTE(SUBSTITUTE(SUBSTITUTE(LOWER(Registro!$E485),"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",LEN(Registro!$E485))),({1,2,3,4,5,6,7,8,9,10,11,12,13,14,15,16,17,18,19,20,21,22,23,24,25,26,27,28,29,30}-1)*LEN(Registro!$E485)+1,LEN(Registro!$E485)))&amp;"x")-1))),"Revisar formato")))</f>
        <v/>
      </c>
      <c r="E485" s="11" t="str">
        <f>IF(Registro!$E485="","",IF(ISERROR(FIND("x",LOWER(Registro!$E485))),"-",IFERROR(SUMPRODUCT(--("0"&amp;LEFT(TRIM(MID(SUBSTITUTE(SUBSTITUTE(SUBSTITUTE(SUBSTITUTE(SUBSTITUTE(LOWER(Registro!$E485),"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",LEN(Registro!$E485))),({1,2,3,4,5,6,7,8,9,10,11,12,13,14,15,16,17,18,19,20,21,22,23,24,25,26,27,28,29,30}-1)*LEN(Registro!$E485)+1,LEN(Registro!$E485)))&amp;"x")-1)),--("0"&amp;MID(TRIM(MID(SUBSTITUTE(SUBSTITUTE(SUBSTITUTE(SUBSTITUTE(SUBSTITUTE(LOWER(Registro!$E485),"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",LEN(Registro!$E485))),({1,2,3,4,5,6,7,8,9,10,11,12,13,14,15,16,17,18,19,20,21,22,23,24,25,26,27,28,29,30}-1)*LEN(Registro!$E485)+1,LEN(Registro!$E485)))&amp;"x")+1,20))),"Revisar formato")))</f>
        <v/>
      </c>
      <c r="F485" s="11" t="str">
        <f>IF(Registro!$F485="","",N(Registro!$F485))</f>
        <v/>
      </c>
      <c r="G485" s="11" t="str">
        <f t="shared" si="22"/>
        <v/>
      </c>
      <c r="H485" s="10" t="str">
        <f>IF(Registro!$G485="","",IF(ISERROR(FIND("x",LOWER(Registro!$G485))),"-",IFERROR(SUMPRODUCT(--("0"&amp;LEFT(TRIM(MID(SUBSTITUTE(SUBSTITUTE(SUBSTITUTE(SUBSTITUTE(SUBSTITUTE(LOWER(Registro!$G485),"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",LEN(Registro!$G485))),({1,2,3,4,5,6,7,8,9,10,11,12,13,14,15,16,17,18,19,20,21,22,23,24,25,26,27,28,29,30}-1)*LEN(Registro!$G485)+1,LEN(Registro!$G485))),FIND("x",TRIM(MID(SUBSTITUTE(SUBSTITUTE(SUBSTITUTE(SUBSTITUTE(SUBSTITUTE(LOWER(Registro!$G485),"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",LEN(Registro!$G485))),({1,2,3,4,5,6,7,8,9,10,11,12,13,14,15,16,17,18,19,20,21,22,23,24,25,26,27,28,29,30}-1)*LEN(Registro!$G485)+1,LEN(Registro!$G485)))&amp;"x")-1))),"Revisar formato")))</f>
        <v/>
      </c>
      <c r="I485" s="11" t="str">
        <f>IF(Registro!$G485="","",IF(ISERROR(FIND("x",LOWER(Registro!$G485))),N(Registro!$H485),IFERROR(SUMPRODUCT(--("0"&amp;LEFT(TRIM(MID(SUBSTITUTE(SUBSTITUTE(SUBSTITUTE(SUBSTITUTE(SUBSTITUTE(LOWER(Registro!$G485),"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",LEN(Registro!$G485))),({1,2,3,4,5,6,7,8,9,10,11,12,13,14,15,16,17,18,19,20,21,22,23,24,25,26,27,28,29,30}-1)*LEN(Registro!$G485)+1,LEN(Registro!$G485))),FIND("x",TRIM(MID(SUBSTITUTE(SUBSTITUTE(SUBSTITUTE(SUBSTITUTE(SUBSTITUTE(LOWER(Registro!$G485),"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",LEN(Registro!$G485))),({1,2,3,4,5,6,7,8,9,10,11,12,13,14,15,16,17,18,19,20,21,22,23,24,25,26,27,28,29,30}-1)*LEN(Registro!$G485)+1,LEN(Registro!$G485)))&amp;"x")-1)),--("0"&amp;MID(TRIM(MID(SUBSTITUTE(SUBSTITUTE(SUBSTITUTE(SUBSTITUTE(SUBSTITUTE(LOWER(Registro!$G485),"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",LEN(Registro!$G485))),({1,2,3,4,5,6,7,8,9,10,11,12,13,14,15,16,17,18,19,20,21,22,23,24,25,26,27,28,29,30}-1)*LEN(Registro!$G485)+1,LEN(Registro!$G485))),FIND("x",TRIM(MID(SUBSTITUTE(SUBSTITUTE(SUBSTITUTE(SUBSTITUTE(SUBSTITUTE(LOWER(Registro!$G485),"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",LEN(Registro!$G485))),({1,2,3,4,5,6,7,8,9,10,11,12,13,14,15,16,17,18,19,20,21,22,23,24,25,26,27,28,29,30}-1)*LEN(Registro!$G485)+1,LEN(Registro!$G485)))&amp;"x")+1,20))),"Revisar formato")))</f>
        <v/>
      </c>
      <c r="J485" s="9" t="str">
        <f>IF(AND(Registro!$E485="",Registro!$G485=""),"",IF(NOT(AND(ISNUMBER(I485),ISNUMBER(Registro!$H485))),"",IF(I485&lt;Registro!$H485,"FALTA BOLETOS",IF(I485=Registro!$H485,"CONFORME","DIFERENCIA"))))</f>
        <v/>
      </c>
      <c r="K485" s="11" t="str">
        <f>IF(Registro!$I485="","",IFERROR(SUMPRODUCT(--("0"&amp;TRIM(RIGHT(SUBSTITUTE(TRIM(MID(SUBSTITUTE(SUBSTITUTE(Registro!$I485,";",CHAR(10)),CHAR(10),REPT(" ",LEN(Registro!$I485))),({1,2,3,4,5,6,7,8,9,10,11,12,13,14,15,16,17,18,19,20,21,22,23,24,25,26,27,28,29,30}-1)*LEN(Registro!$I485)+1,LEN(Registro!$I485)))," ",REPT(" ",50)),50)))),"Revisar formato"))</f>
        <v/>
      </c>
      <c r="L485" s="11" t="str">
        <f>IF(Registro!$J485="","",IFERROR(SUMPRODUCT(--("0"&amp;TRIM(RIGHT(SUBSTITUTE(TRIM(MID(SUBSTITUTE(SUBSTITUTE(Registro!$J485,";",CHAR(10)),CHAR(10),REPT(" ",LEN(Registro!$J485))),({1,2,3,4,5,6,7,8,9,10,11,12,13,14,15,16,17,18,19,20,21,22,23,24,25,26,27,28,29,30}-1)*LEN(Registro!$J485)+1,LEN(Registro!$J485)))," ",REPT(" ",50)),50)))),"Revisar formato"))</f>
        <v/>
      </c>
      <c r="M485" s="11" t="str">
        <f>IF(AND(Registro!$H485="",Registro!$I485=""),"",IF(AND(ISTEXT(K485),K485&lt;&gt;""),"Revisar formato",N(Registro!$H485)-N(K485)))</f>
        <v/>
      </c>
      <c r="N485" s="11" t="str">
        <f t="shared" si="23"/>
        <v/>
      </c>
      <c r="O485" s="15" t="str">
        <f>IF(AND(A485=Consulta!$B$3,C485=Consulta!$H$3),B485*10000+ROW(),"")</f>
        <v/>
      </c>
    </row>
    <row r="486" spans="1:15" x14ac:dyDescent="0.25">
      <c r="A486" s="9" t="str">
        <f>IF(Registro!$A486="","",Registro!$A486)</f>
        <v/>
      </c>
      <c r="B486" s="8" t="str">
        <f>IF(Registro!$B486="","",Registro!$B486)</f>
        <v/>
      </c>
      <c r="C486" s="14" t="str">
        <f t="shared" si="21"/>
        <v/>
      </c>
      <c r="D486" s="10" t="str">
        <f>IF(Registro!$E486="","",IF(ISERROR(FIND("x",LOWER(Registro!$E486))),"-",IFERROR(SUMPRODUCT(--("0"&amp;LEFT(TRIM(MID(SUBSTITUTE(SUBSTITUTE(SUBSTITUTE(SUBSTITUTE(SUBSTITUTE(LOWER(Registro!$E486),"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",LEN(Registro!$E486))),({1,2,3,4,5,6,7,8,9,10,11,12,13,14,15,16,17,18,19,20,21,22,23,24,25,26,27,28,29,30}-1)*LEN(Registro!$E486)+1,LEN(Registro!$E486)))&amp;"x")-1))),"Revisar formato")))</f>
        <v/>
      </c>
      <c r="E486" s="11" t="str">
        <f>IF(Registro!$E486="","",IF(ISERROR(FIND("x",LOWER(Registro!$E486))),"-",IFERROR(SUMPRODUCT(--("0"&amp;LEFT(TRIM(MID(SUBSTITUTE(SUBSTITUTE(SUBSTITUTE(SUBSTITUTE(SUBSTITUTE(LOWER(Registro!$E486),"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",LEN(Registro!$E486))),({1,2,3,4,5,6,7,8,9,10,11,12,13,14,15,16,17,18,19,20,21,22,23,24,25,26,27,28,29,30}-1)*LEN(Registro!$E486)+1,LEN(Registro!$E486)))&amp;"x")-1)),--("0"&amp;MID(TRIM(MID(SUBSTITUTE(SUBSTITUTE(SUBSTITUTE(SUBSTITUTE(SUBSTITUTE(LOWER(Registro!$E486),"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",LEN(Registro!$E486))),({1,2,3,4,5,6,7,8,9,10,11,12,13,14,15,16,17,18,19,20,21,22,23,24,25,26,27,28,29,30}-1)*LEN(Registro!$E486)+1,LEN(Registro!$E486)))&amp;"x")+1,20))),"Revisar formato")))</f>
        <v/>
      </c>
      <c r="F486" s="11" t="str">
        <f>IF(Registro!$F486="","",N(Registro!$F486))</f>
        <v/>
      </c>
      <c r="G486" s="11" t="str">
        <f t="shared" si="22"/>
        <v/>
      </c>
      <c r="H486" s="10" t="str">
        <f>IF(Registro!$G486="","",IF(ISERROR(FIND("x",LOWER(Registro!$G486))),"-",IFERROR(SUMPRODUCT(--("0"&amp;LEFT(TRIM(MID(SUBSTITUTE(SUBSTITUTE(SUBSTITUTE(SUBSTITUTE(SUBSTITUTE(LOWER(Registro!$G486),"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",LEN(Registro!$G486))),({1,2,3,4,5,6,7,8,9,10,11,12,13,14,15,16,17,18,19,20,21,22,23,24,25,26,27,28,29,30}-1)*LEN(Registro!$G486)+1,LEN(Registro!$G486))),FIND("x",TRIM(MID(SUBSTITUTE(SUBSTITUTE(SUBSTITUTE(SUBSTITUTE(SUBSTITUTE(LOWER(Registro!$G486),"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",LEN(Registro!$G486))),({1,2,3,4,5,6,7,8,9,10,11,12,13,14,15,16,17,18,19,20,21,22,23,24,25,26,27,28,29,30}-1)*LEN(Registro!$G486)+1,LEN(Registro!$G486)))&amp;"x")-1))),"Revisar formato")))</f>
        <v/>
      </c>
      <c r="I486" s="11" t="str">
        <f>IF(Registro!$G486="","",IF(ISERROR(FIND("x",LOWER(Registro!$G486))),N(Registro!$H486),IFERROR(SUMPRODUCT(--("0"&amp;LEFT(TRIM(MID(SUBSTITUTE(SUBSTITUTE(SUBSTITUTE(SUBSTITUTE(SUBSTITUTE(LOWER(Registro!$G486),"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",LEN(Registro!$G486))),({1,2,3,4,5,6,7,8,9,10,11,12,13,14,15,16,17,18,19,20,21,22,23,24,25,26,27,28,29,30}-1)*LEN(Registro!$G486)+1,LEN(Registro!$G486))),FIND("x",TRIM(MID(SUBSTITUTE(SUBSTITUTE(SUBSTITUTE(SUBSTITUTE(SUBSTITUTE(LOWER(Registro!$G486),"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",LEN(Registro!$G486))),({1,2,3,4,5,6,7,8,9,10,11,12,13,14,15,16,17,18,19,20,21,22,23,24,25,26,27,28,29,30}-1)*LEN(Registro!$G486)+1,LEN(Registro!$G486)))&amp;"x")-1)),--("0"&amp;MID(TRIM(MID(SUBSTITUTE(SUBSTITUTE(SUBSTITUTE(SUBSTITUTE(SUBSTITUTE(LOWER(Registro!$G486),"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",LEN(Registro!$G486))),({1,2,3,4,5,6,7,8,9,10,11,12,13,14,15,16,17,18,19,20,21,22,23,24,25,26,27,28,29,30}-1)*LEN(Registro!$G486)+1,LEN(Registro!$G486))),FIND("x",TRIM(MID(SUBSTITUTE(SUBSTITUTE(SUBSTITUTE(SUBSTITUTE(SUBSTITUTE(LOWER(Registro!$G486),"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",LEN(Registro!$G486))),({1,2,3,4,5,6,7,8,9,10,11,12,13,14,15,16,17,18,19,20,21,22,23,24,25,26,27,28,29,30}-1)*LEN(Registro!$G486)+1,LEN(Registro!$G486)))&amp;"x")+1,20))),"Revisar formato")))</f>
        <v/>
      </c>
      <c r="J486" s="9" t="str">
        <f>IF(AND(Registro!$E486="",Registro!$G486=""),"",IF(NOT(AND(ISNUMBER(I486),ISNUMBER(Registro!$H486))),"",IF(I486&lt;Registro!$H486,"FALTA BOLETOS",IF(I486=Registro!$H486,"CONFORME","DIFERENCIA"))))</f>
        <v/>
      </c>
      <c r="K486" s="11" t="str">
        <f>IF(Registro!$I486="","",IFERROR(SUMPRODUCT(--("0"&amp;TRIM(RIGHT(SUBSTITUTE(TRIM(MID(SUBSTITUTE(SUBSTITUTE(Registro!$I486,";",CHAR(10)),CHAR(10),REPT(" ",LEN(Registro!$I486))),({1,2,3,4,5,6,7,8,9,10,11,12,13,14,15,16,17,18,19,20,21,22,23,24,25,26,27,28,29,30}-1)*LEN(Registro!$I486)+1,LEN(Registro!$I486)))," ",REPT(" ",50)),50)))),"Revisar formato"))</f>
        <v/>
      </c>
      <c r="L486" s="11" t="str">
        <f>IF(Registro!$J486="","",IFERROR(SUMPRODUCT(--("0"&amp;TRIM(RIGHT(SUBSTITUTE(TRIM(MID(SUBSTITUTE(SUBSTITUTE(Registro!$J486,";",CHAR(10)),CHAR(10),REPT(" ",LEN(Registro!$J486))),({1,2,3,4,5,6,7,8,9,10,11,12,13,14,15,16,17,18,19,20,21,22,23,24,25,26,27,28,29,30}-1)*LEN(Registro!$J486)+1,LEN(Registro!$J486)))," ",REPT(" ",50)),50)))),"Revisar formato"))</f>
        <v/>
      </c>
      <c r="M486" s="11" t="str">
        <f>IF(AND(Registro!$H486="",Registro!$I486=""),"",IF(AND(ISTEXT(K486),K486&lt;&gt;""),"Revisar formato",N(Registro!$H486)-N(K486)))</f>
        <v/>
      </c>
      <c r="N486" s="11" t="str">
        <f t="shared" si="23"/>
        <v/>
      </c>
      <c r="O486" s="15" t="str">
        <f>IF(AND(A486=Consulta!$B$3,C486=Consulta!$H$3),B486*10000+ROW(),"")</f>
        <v/>
      </c>
    </row>
    <row r="487" spans="1:15" x14ac:dyDescent="0.25">
      <c r="A487" s="9" t="str">
        <f>IF(Registro!$A487="","",Registro!$A487)</f>
        <v/>
      </c>
      <c r="B487" s="8" t="str">
        <f>IF(Registro!$B487="","",Registro!$B487)</f>
        <v/>
      </c>
      <c r="C487" s="14" t="str">
        <f t="shared" si="21"/>
        <v/>
      </c>
      <c r="D487" s="10" t="str">
        <f>IF(Registro!$E487="","",IF(ISERROR(FIND("x",LOWER(Registro!$E487))),"-",IFERROR(SUMPRODUCT(--("0"&amp;LEFT(TRIM(MID(SUBSTITUTE(SUBSTITUTE(SUBSTITUTE(SUBSTITUTE(SUBSTITUTE(LOWER(Registro!$E487),"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",LEN(Registro!$E487))),({1,2,3,4,5,6,7,8,9,10,11,12,13,14,15,16,17,18,19,20,21,22,23,24,25,26,27,28,29,30}-1)*LEN(Registro!$E487)+1,LEN(Registro!$E487)))&amp;"x")-1))),"Revisar formato")))</f>
        <v/>
      </c>
      <c r="E487" s="11" t="str">
        <f>IF(Registro!$E487="","",IF(ISERROR(FIND("x",LOWER(Registro!$E487))),"-",IFERROR(SUMPRODUCT(--("0"&amp;LEFT(TRIM(MID(SUBSTITUTE(SUBSTITUTE(SUBSTITUTE(SUBSTITUTE(SUBSTITUTE(LOWER(Registro!$E487),"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",LEN(Registro!$E487))),({1,2,3,4,5,6,7,8,9,10,11,12,13,14,15,16,17,18,19,20,21,22,23,24,25,26,27,28,29,30}-1)*LEN(Registro!$E487)+1,LEN(Registro!$E487)))&amp;"x")-1)),--("0"&amp;MID(TRIM(MID(SUBSTITUTE(SUBSTITUTE(SUBSTITUTE(SUBSTITUTE(SUBSTITUTE(LOWER(Registro!$E487),"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",LEN(Registro!$E487))),({1,2,3,4,5,6,7,8,9,10,11,12,13,14,15,16,17,18,19,20,21,22,23,24,25,26,27,28,29,30}-1)*LEN(Registro!$E487)+1,LEN(Registro!$E487)))&amp;"x")+1,20))),"Revisar formato")))</f>
        <v/>
      </c>
      <c r="F487" s="11" t="str">
        <f>IF(Registro!$F487="","",N(Registro!$F487))</f>
        <v/>
      </c>
      <c r="G487" s="11" t="str">
        <f t="shared" si="22"/>
        <v/>
      </c>
      <c r="H487" s="10" t="str">
        <f>IF(Registro!$G487="","",IF(ISERROR(FIND("x",LOWER(Registro!$G487))),"-",IFERROR(SUMPRODUCT(--("0"&amp;LEFT(TRIM(MID(SUBSTITUTE(SUBSTITUTE(SUBSTITUTE(SUBSTITUTE(SUBSTITUTE(LOWER(Registro!$G487),"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",LEN(Registro!$G487))),({1,2,3,4,5,6,7,8,9,10,11,12,13,14,15,16,17,18,19,20,21,22,23,24,25,26,27,28,29,30}-1)*LEN(Registro!$G487)+1,LEN(Registro!$G487))),FIND("x",TRIM(MID(SUBSTITUTE(SUBSTITUTE(SUBSTITUTE(SUBSTITUTE(SUBSTITUTE(LOWER(Registro!$G487),"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",LEN(Registro!$G487))),({1,2,3,4,5,6,7,8,9,10,11,12,13,14,15,16,17,18,19,20,21,22,23,24,25,26,27,28,29,30}-1)*LEN(Registro!$G487)+1,LEN(Registro!$G487)))&amp;"x")-1))),"Revisar formato")))</f>
        <v/>
      </c>
      <c r="I487" s="11" t="str">
        <f>IF(Registro!$G487="","",IF(ISERROR(FIND("x",LOWER(Registro!$G487))),N(Registro!$H487),IFERROR(SUMPRODUCT(--("0"&amp;LEFT(TRIM(MID(SUBSTITUTE(SUBSTITUTE(SUBSTITUTE(SUBSTITUTE(SUBSTITUTE(LOWER(Registro!$G487),"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",LEN(Registro!$G487))),({1,2,3,4,5,6,7,8,9,10,11,12,13,14,15,16,17,18,19,20,21,22,23,24,25,26,27,28,29,30}-1)*LEN(Registro!$G487)+1,LEN(Registro!$G487))),FIND("x",TRIM(MID(SUBSTITUTE(SUBSTITUTE(SUBSTITUTE(SUBSTITUTE(SUBSTITUTE(LOWER(Registro!$G487),"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",LEN(Registro!$G487))),({1,2,3,4,5,6,7,8,9,10,11,12,13,14,15,16,17,18,19,20,21,22,23,24,25,26,27,28,29,30}-1)*LEN(Registro!$G487)+1,LEN(Registro!$G487)))&amp;"x")-1)),--("0"&amp;MID(TRIM(MID(SUBSTITUTE(SUBSTITUTE(SUBSTITUTE(SUBSTITUTE(SUBSTITUTE(LOWER(Registro!$G487),"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",LEN(Registro!$G487))),({1,2,3,4,5,6,7,8,9,10,11,12,13,14,15,16,17,18,19,20,21,22,23,24,25,26,27,28,29,30}-1)*LEN(Registro!$G487)+1,LEN(Registro!$G487))),FIND("x",TRIM(MID(SUBSTITUTE(SUBSTITUTE(SUBSTITUTE(SUBSTITUTE(SUBSTITUTE(LOWER(Registro!$G487),"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",LEN(Registro!$G487))),({1,2,3,4,5,6,7,8,9,10,11,12,13,14,15,16,17,18,19,20,21,22,23,24,25,26,27,28,29,30}-1)*LEN(Registro!$G487)+1,LEN(Registro!$G487)))&amp;"x")+1,20))),"Revisar formato")))</f>
        <v/>
      </c>
      <c r="J487" s="9" t="str">
        <f>IF(AND(Registro!$E487="",Registro!$G487=""),"",IF(NOT(AND(ISNUMBER(I487),ISNUMBER(Registro!$H487))),"",IF(I487&lt;Registro!$H487,"FALTA BOLETOS",IF(I487=Registro!$H487,"CONFORME","DIFERENCIA"))))</f>
        <v/>
      </c>
      <c r="K487" s="11" t="str">
        <f>IF(Registro!$I487="","",IFERROR(SUMPRODUCT(--("0"&amp;TRIM(RIGHT(SUBSTITUTE(TRIM(MID(SUBSTITUTE(SUBSTITUTE(Registro!$I487,";",CHAR(10)),CHAR(10),REPT(" ",LEN(Registro!$I487))),({1,2,3,4,5,6,7,8,9,10,11,12,13,14,15,16,17,18,19,20,21,22,23,24,25,26,27,28,29,30}-1)*LEN(Registro!$I487)+1,LEN(Registro!$I487)))," ",REPT(" ",50)),50)))),"Revisar formato"))</f>
        <v/>
      </c>
      <c r="L487" s="11" t="str">
        <f>IF(Registro!$J487="","",IFERROR(SUMPRODUCT(--("0"&amp;TRIM(RIGHT(SUBSTITUTE(TRIM(MID(SUBSTITUTE(SUBSTITUTE(Registro!$J487,";",CHAR(10)),CHAR(10),REPT(" ",LEN(Registro!$J487))),({1,2,3,4,5,6,7,8,9,10,11,12,13,14,15,16,17,18,19,20,21,22,23,24,25,26,27,28,29,30}-1)*LEN(Registro!$J487)+1,LEN(Registro!$J487)))," ",REPT(" ",50)),50)))),"Revisar formato"))</f>
        <v/>
      </c>
      <c r="M487" s="11" t="str">
        <f>IF(AND(Registro!$H487="",Registro!$I487=""),"",IF(AND(ISTEXT(K487),K487&lt;&gt;""),"Revisar formato",N(Registro!$H487)-N(K487)))</f>
        <v/>
      </c>
      <c r="N487" s="11" t="str">
        <f t="shared" si="23"/>
        <v/>
      </c>
      <c r="O487" s="15" t="str">
        <f>IF(AND(A487=Consulta!$B$3,C487=Consulta!$H$3),B487*10000+ROW(),"")</f>
        <v/>
      </c>
    </row>
    <row r="488" spans="1:15" x14ac:dyDescent="0.25">
      <c r="A488" s="9" t="str">
        <f>IF(Registro!$A488="","",Registro!$A488)</f>
        <v/>
      </c>
      <c r="B488" s="8" t="str">
        <f>IF(Registro!$B488="","",Registro!$B488)</f>
        <v/>
      </c>
      <c r="C488" s="14" t="str">
        <f t="shared" si="21"/>
        <v/>
      </c>
      <c r="D488" s="10" t="str">
        <f>IF(Registro!$E488="","",IF(ISERROR(FIND("x",LOWER(Registro!$E488))),"-",IFERROR(SUMPRODUCT(--("0"&amp;LEFT(TRIM(MID(SUBSTITUTE(SUBSTITUTE(SUBSTITUTE(SUBSTITUTE(SUBSTITUTE(LOWER(Registro!$E488),"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",LEN(Registro!$E488))),({1,2,3,4,5,6,7,8,9,10,11,12,13,14,15,16,17,18,19,20,21,22,23,24,25,26,27,28,29,30}-1)*LEN(Registro!$E488)+1,LEN(Registro!$E488)))&amp;"x")-1))),"Revisar formato")))</f>
        <v/>
      </c>
      <c r="E488" s="11" t="str">
        <f>IF(Registro!$E488="","",IF(ISERROR(FIND("x",LOWER(Registro!$E488))),"-",IFERROR(SUMPRODUCT(--("0"&amp;LEFT(TRIM(MID(SUBSTITUTE(SUBSTITUTE(SUBSTITUTE(SUBSTITUTE(SUBSTITUTE(LOWER(Registro!$E488),"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",LEN(Registro!$E488))),({1,2,3,4,5,6,7,8,9,10,11,12,13,14,15,16,17,18,19,20,21,22,23,24,25,26,27,28,29,30}-1)*LEN(Registro!$E488)+1,LEN(Registro!$E488)))&amp;"x")-1)),--("0"&amp;MID(TRIM(MID(SUBSTITUTE(SUBSTITUTE(SUBSTITUTE(SUBSTITUTE(SUBSTITUTE(LOWER(Registro!$E488),"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",LEN(Registro!$E488))),({1,2,3,4,5,6,7,8,9,10,11,12,13,14,15,16,17,18,19,20,21,22,23,24,25,26,27,28,29,30}-1)*LEN(Registro!$E488)+1,LEN(Registro!$E488)))&amp;"x")+1,20))),"Revisar formato")))</f>
        <v/>
      </c>
      <c r="F488" s="11" t="str">
        <f>IF(Registro!$F488="","",N(Registro!$F488))</f>
        <v/>
      </c>
      <c r="G488" s="11" t="str">
        <f t="shared" si="22"/>
        <v/>
      </c>
      <c r="H488" s="10" t="str">
        <f>IF(Registro!$G488="","",IF(ISERROR(FIND("x",LOWER(Registro!$G488))),"-",IFERROR(SUMPRODUCT(--("0"&amp;LEFT(TRIM(MID(SUBSTITUTE(SUBSTITUTE(SUBSTITUTE(SUBSTITUTE(SUBSTITUTE(LOWER(Registro!$G488),"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",LEN(Registro!$G488))),({1,2,3,4,5,6,7,8,9,10,11,12,13,14,15,16,17,18,19,20,21,22,23,24,25,26,27,28,29,30}-1)*LEN(Registro!$G488)+1,LEN(Registro!$G488))),FIND("x",TRIM(MID(SUBSTITUTE(SUBSTITUTE(SUBSTITUTE(SUBSTITUTE(SUBSTITUTE(LOWER(Registro!$G488),"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",LEN(Registro!$G488))),({1,2,3,4,5,6,7,8,9,10,11,12,13,14,15,16,17,18,19,20,21,22,23,24,25,26,27,28,29,30}-1)*LEN(Registro!$G488)+1,LEN(Registro!$G488)))&amp;"x")-1))),"Revisar formato")))</f>
        <v/>
      </c>
      <c r="I488" s="11" t="str">
        <f>IF(Registro!$G488="","",IF(ISERROR(FIND("x",LOWER(Registro!$G488))),N(Registro!$H488),IFERROR(SUMPRODUCT(--("0"&amp;LEFT(TRIM(MID(SUBSTITUTE(SUBSTITUTE(SUBSTITUTE(SUBSTITUTE(SUBSTITUTE(LOWER(Registro!$G488),"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",LEN(Registro!$G488))),({1,2,3,4,5,6,7,8,9,10,11,12,13,14,15,16,17,18,19,20,21,22,23,24,25,26,27,28,29,30}-1)*LEN(Registro!$G488)+1,LEN(Registro!$G488))),FIND("x",TRIM(MID(SUBSTITUTE(SUBSTITUTE(SUBSTITUTE(SUBSTITUTE(SUBSTITUTE(LOWER(Registro!$G488),"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",LEN(Registro!$G488))),({1,2,3,4,5,6,7,8,9,10,11,12,13,14,15,16,17,18,19,20,21,22,23,24,25,26,27,28,29,30}-1)*LEN(Registro!$G488)+1,LEN(Registro!$G488)))&amp;"x")-1)),--("0"&amp;MID(TRIM(MID(SUBSTITUTE(SUBSTITUTE(SUBSTITUTE(SUBSTITUTE(SUBSTITUTE(LOWER(Registro!$G488),"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",LEN(Registro!$G488))),({1,2,3,4,5,6,7,8,9,10,11,12,13,14,15,16,17,18,19,20,21,22,23,24,25,26,27,28,29,30}-1)*LEN(Registro!$G488)+1,LEN(Registro!$G488))),FIND("x",TRIM(MID(SUBSTITUTE(SUBSTITUTE(SUBSTITUTE(SUBSTITUTE(SUBSTITUTE(LOWER(Registro!$G488),"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",LEN(Registro!$G488))),({1,2,3,4,5,6,7,8,9,10,11,12,13,14,15,16,17,18,19,20,21,22,23,24,25,26,27,28,29,30}-1)*LEN(Registro!$G488)+1,LEN(Registro!$G488)))&amp;"x")+1,20))),"Revisar formato")))</f>
        <v/>
      </c>
      <c r="J488" s="9" t="str">
        <f>IF(AND(Registro!$E488="",Registro!$G488=""),"",IF(NOT(AND(ISNUMBER(I488),ISNUMBER(Registro!$H488))),"",IF(I488&lt;Registro!$H488,"FALTA BOLETOS",IF(I488=Registro!$H488,"CONFORME","DIFERENCIA"))))</f>
        <v/>
      </c>
      <c r="K488" s="11" t="str">
        <f>IF(Registro!$I488="","",IFERROR(SUMPRODUCT(--("0"&amp;TRIM(RIGHT(SUBSTITUTE(TRIM(MID(SUBSTITUTE(SUBSTITUTE(Registro!$I488,";",CHAR(10)),CHAR(10),REPT(" ",LEN(Registro!$I488))),({1,2,3,4,5,6,7,8,9,10,11,12,13,14,15,16,17,18,19,20,21,22,23,24,25,26,27,28,29,30}-1)*LEN(Registro!$I488)+1,LEN(Registro!$I488)))," ",REPT(" ",50)),50)))),"Revisar formato"))</f>
        <v/>
      </c>
      <c r="L488" s="11" t="str">
        <f>IF(Registro!$J488="","",IFERROR(SUMPRODUCT(--("0"&amp;TRIM(RIGHT(SUBSTITUTE(TRIM(MID(SUBSTITUTE(SUBSTITUTE(Registro!$J488,";",CHAR(10)),CHAR(10),REPT(" ",LEN(Registro!$J488))),({1,2,3,4,5,6,7,8,9,10,11,12,13,14,15,16,17,18,19,20,21,22,23,24,25,26,27,28,29,30}-1)*LEN(Registro!$J488)+1,LEN(Registro!$J488)))," ",REPT(" ",50)),50)))),"Revisar formato"))</f>
        <v/>
      </c>
      <c r="M488" s="11" t="str">
        <f>IF(AND(Registro!$H488="",Registro!$I488=""),"",IF(AND(ISTEXT(K488),K488&lt;&gt;""),"Revisar formato",N(Registro!$H488)-N(K488)))</f>
        <v/>
      </c>
      <c r="N488" s="11" t="str">
        <f t="shared" si="23"/>
        <v/>
      </c>
      <c r="O488" s="15" t="str">
        <f>IF(AND(A488=Consulta!$B$3,C488=Consulta!$H$3),B488*10000+ROW(),"")</f>
        <v/>
      </c>
    </row>
    <row r="489" spans="1:15" x14ac:dyDescent="0.25">
      <c r="A489" s="9" t="str">
        <f>IF(Registro!$A489="","",Registro!$A489)</f>
        <v/>
      </c>
      <c r="B489" s="8" t="str">
        <f>IF(Registro!$B489="","",Registro!$B489)</f>
        <v/>
      </c>
      <c r="C489" s="14" t="str">
        <f t="shared" si="21"/>
        <v/>
      </c>
      <c r="D489" s="10" t="str">
        <f>IF(Registro!$E489="","",IF(ISERROR(FIND("x",LOWER(Registro!$E489))),"-",IFERROR(SUMPRODUCT(--("0"&amp;LEFT(TRIM(MID(SUBSTITUTE(SUBSTITUTE(SUBSTITUTE(SUBSTITUTE(SUBSTITUTE(LOWER(Registro!$E489),"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",LEN(Registro!$E489))),({1,2,3,4,5,6,7,8,9,10,11,12,13,14,15,16,17,18,19,20,21,22,23,24,25,26,27,28,29,30}-1)*LEN(Registro!$E489)+1,LEN(Registro!$E489)))&amp;"x")-1))),"Revisar formato")))</f>
        <v/>
      </c>
      <c r="E489" s="11" t="str">
        <f>IF(Registro!$E489="","",IF(ISERROR(FIND("x",LOWER(Registro!$E489))),"-",IFERROR(SUMPRODUCT(--("0"&amp;LEFT(TRIM(MID(SUBSTITUTE(SUBSTITUTE(SUBSTITUTE(SUBSTITUTE(SUBSTITUTE(LOWER(Registro!$E489),"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",LEN(Registro!$E489))),({1,2,3,4,5,6,7,8,9,10,11,12,13,14,15,16,17,18,19,20,21,22,23,24,25,26,27,28,29,30}-1)*LEN(Registro!$E489)+1,LEN(Registro!$E489)))&amp;"x")-1)),--("0"&amp;MID(TRIM(MID(SUBSTITUTE(SUBSTITUTE(SUBSTITUTE(SUBSTITUTE(SUBSTITUTE(LOWER(Registro!$E489),"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",LEN(Registro!$E489))),({1,2,3,4,5,6,7,8,9,10,11,12,13,14,15,16,17,18,19,20,21,22,23,24,25,26,27,28,29,30}-1)*LEN(Registro!$E489)+1,LEN(Registro!$E489)))&amp;"x")+1,20))),"Revisar formato")))</f>
        <v/>
      </c>
      <c r="F489" s="11" t="str">
        <f>IF(Registro!$F489="","",N(Registro!$F489))</f>
        <v/>
      </c>
      <c r="G489" s="11" t="str">
        <f t="shared" si="22"/>
        <v/>
      </c>
      <c r="H489" s="10" t="str">
        <f>IF(Registro!$G489="","",IF(ISERROR(FIND("x",LOWER(Registro!$G489))),"-",IFERROR(SUMPRODUCT(--("0"&amp;LEFT(TRIM(MID(SUBSTITUTE(SUBSTITUTE(SUBSTITUTE(SUBSTITUTE(SUBSTITUTE(LOWER(Registro!$G489),"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",LEN(Registro!$G489))),({1,2,3,4,5,6,7,8,9,10,11,12,13,14,15,16,17,18,19,20,21,22,23,24,25,26,27,28,29,30}-1)*LEN(Registro!$G489)+1,LEN(Registro!$G489))),FIND("x",TRIM(MID(SUBSTITUTE(SUBSTITUTE(SUBSTITUTE(SUBSTITUTE(SUBSTITUTE(LOWER(Registro!$G489),"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",LEN(Registro!$G489))),({1,2,3,4,5,6,7,8,9,10,11,12,13,14,15,16,17,18,19,20,21,22,23,24,25,26,27,28,29,30}-1)*LEN(Registro!$G489)+1,LEN(Registro!$G489)))&amp;"x")-1))),"Revisar formato")))</f>
        <v/>
      </c>
      <c r="I489" s="11" t="str">
        <f>IF(Registro!$G489="","",IF(ISERROR(FIND("x",LOWER(Registro!$G489))),N(Registro!$H489),IFERROR(SUMPRODUCT(--("0"&amp;LEFT(TRIM(MID(SUBSTITUTE(SUBSTITUTE(SUBSTITUTE(SUBSTITUTE(SUBSTITUTE(LOWER(Registro!$G489),"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",LEN(Registro!$G489))),({1,2,3,4,5,6,7,8,9,10,11,12,13,14,15,16,17,18,19,20,21,22,23,24,25,26,27,28,29,30}-1)*LEN(Registro!$G489)+1,LEN(Registro!$G489))),FIND("x",TRIM(MID(SUBSTITUTE(SUBSTITUTE(SUBSTITUTE(SUBSTITUTE(SUBSTITUTE(LOWER(Registro!$G489),"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",LEN(Registro!$G489))),({1,2,3,4,5,6,7,8,9,10,11,12,13,14,15,16,17,18,19,20,21,22,23,24,25,26,27,28,29,30}-1)*LEN(Registro!$G489)+1,LEN(Registro!$G489)))&amp;"x")-1)),--("0"&amp;MID(TRIM(MID(SUBSTITUTE(SUBSTITUTE(SUBSTITUTE(SUBSTITUTE(SUBSTITUTE(LOWER(Registro!$G489),"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",LEN(Registro!$G489))),({1,2,3,4,5,6,7,8,9,10,11,12,13,14,15,16,17,18,19,20,21,22,23,24,25,26,27,28,29,30}-1)*LEN(Registro!$G489)+1,LEN(Registro!$G489))),FIND("x",TRIM(MID(SUBSTITUTE(SUBSTITUTE(SUBSTITUTE(SUBSTITUTE(SUBSTITUTE(LOWER(Registro!$G489),"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",LEN(Registro!$G489))),({1,2,3,4,5,6,7,8,9,10,11,12,13,14,15,16,17,18,19,20,21,22,23,24,25,26,27,28,29,30}-1)*LEN(Registro!$G489)+1,LEN(Registro!$G489)))&amp;"x")+1,20))),"Revisar formato")))</f>
        <v/>
      </c>
      <c r="J489" s="9" t="str">
        <f>IF(AND(Registro!$E489="",Registro!$G489=""),"",IF(NOT(AND(ISNUMBER(I489),ISNUMBER(Registro!$H489))),"",IF(I489&lt;Registro!$H489,"FALTA BOLETOS",IF(I489=Registro!$H489,"CONFORME","DIFERENCIA"))))</f>
        <v/>
      </c>
      <c r="K489" s="11" t="str">
        <f>IF(Registro!$I489="","",IFERROR(SUMPRODUCT(--("0"&amp;TRIM(RIGHT(SUBSTITUTE(TRIM(MID(SUBSTITUTE(SUBSTITUTE(Registro!$I489,";",CHAR(10)),CHAR(10),REPT(" ",LEN(Registro!$I489))),({1,2,3,4,5,6,7,8,9,10,11,12,13,14,15,16,17,18,19,20,21,22,23,24,25,26,27,28,29,30}-1)*LEN(Registro!$I489)+1,LEN(Registro!$I489)))," ",REPT(" ",50)),50)))),"Revisar formato"))</f>
        <v/>
      </c>
      <c r="L489" s="11" t="str">
        <f>IF(Registro!$J489="","",IFERROR(SUMPRODUCT(--("0"&amp;TRIM(RIGHT(SUBSTITUTE(TRIM(MID(SUBSTITUTE(SUBSTITUTE(Registro!$J489,";",CHAR(10)),CHAR(10),REPT(" ",LEN(Registro!$J489))),({1,2,3,4,5,6,7,8,9,10,11,12,13,14,15,16,17,18,19,20,21,22,23,24,25,26,27,28,29,30}-1)*LEN(Registro!$J489)+1,LEN(Registro!$J489)))," ",REPT(" ",50)),50)))),"Revisar formato"))</f>
        <v/>
      </c>
      <c r="M489" s="11" t="str">
        <f>IF(AND(Registro!$H489="",Registro!$I489=""),"",IF(AND(ISTEXT(K489),K489&lt;&gt;""),"Revisar formato",N(Registro!$H489)-N(K489)))</f>
        <v/>
      </c>
      <c r="N489" s="11" t="str">
        <f t="shared" si="23"/>
        <v/>
      </c>
      <c r="O489" s="15" t="str">
        <f>IF(AND(A489=Consulta!$B$3,C489=Consulta!$H$3),B489*10000+ROW(),"")</f>
        <v/>
      </c>
    </row>
    <row r="490" spans="1:15" x14ac:dyDescent="0.25">
      <c r="A490" s="9" t="str">
        <f>IF(Registro!$A490="","",Registro!$A490)</f>
        <v/>
      </c>
      <c r="B490" s="8" t="str">
        <f>IF(Registro!$B490="","",Registro!$B490)</f>
        <v/>
      </c>
      <c r="C490" s="14" t="str">
        <f t="shared" si="21"/>
        <v/>
      </c>
      <c r="D490" s="10" t="str">
        <f>IF(Registro!$E490="","",IF(ISERROR(FIND("x",LOWER(Registro!$E490))),"-",IFERROR(SUMPRODUCT(--("0"&amp;LEFT(TRIM(MID(SUBSTITUTE(SUBSTITUTE(SUBSTITUTE(SUBSTITUTE(SUBSTITUTE(LOWER(Registro!$E490),"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",LEN(Registro!$E490))),({1,2,3,4,5,6,7,8,9,10,11,12,13,14,15,16,17,18,19,20,21,22,23,24,25,26,27,28,29,30}-1)*LEN(Registro!$E490)+1,LEN(Registro!$E490)))&amp;"x")-1))),"Revisar formato")))</f>
        <v/>
      </c>
      <c r="E490" s="11" t="str">
        <f>IF(Registro!$E490="","",IF(ISERROR(FIND("x",LOWER(Registro!$E490))),"-",IFERROR(SUMPRODUCT(--("0"&amp;LEFT(TRIM(MID(SUBSTITUTE(SUBSTITUTE(SUBSTITUTE(SUBSTITUTE(SUBSTITUTE(LOWER(Registro!$E490),"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",LEN(Registro!$E490))),({1,2,3,4,5,6,7,8,9,10,11,12,13,14,15,16,17,18,19,20,21,22,23,24,25,26,27,28,29,30}-1)*LEN(Registro!$E490)+1,LEN(Registro!$E490)))&amp;"x")-1)),--("0"&amp;MID(TRIM(MID(SUBSTITUTE(SUBSTITUTE(SUBSTITUTE(SUBSTITUTE(SUBSTITUTE(LOWER(Registro!$E490),"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",LEN(Registro!$E490))),({1,2,3,4,5,6,7,8,9,10,11,12,13,14,15,16,17,18,19,20,21,22,23,24,25,26,27,28,29,30}-1)*LEN(Registro!$E490)+1,LEN(Registro!$E490)))&amp;"x")+1,20))),"Revisar formato")))</f>
        <v/>
      </c>
      <c r="F490" s="11" t="str">
        <f>IF(Registro!$F490="","",N(Registro!$F490))</f>
        <v/>
      </c>
      <c r="G490" s="11" t="str">
        <f t="shared" si="22"/>
        <v/>
      </c>
      <c r="H490" s="10" t="str">
        <f>IF(Registro!$G490="","",IF(ISERROR(FIND("x",LOWER(Registro!$G490))),"-",IFERROR(SUMPRODUCT(--("0"&amp;LEFT(TRIM(MID(SUBSTITUTE(SUBSTITUTE(SUBSTITUTE(SUBSTITUTE(SUBSTITUTE(LOWER(Registro!$G490),"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",LEN(Registro!$G490))),({1,2,3,4,5,6,7,8,9,10,11,12,13,14,15,16,17,18,19,20,21,22,23,24,25,26,27,28,29,30}-1)*LEN(Registro!$G490)+1,LEN(Registro!$G490))),FIND("x",TRIM(MID(SUBSTITUTE(SUBSTITUTE(SUBSTITUTE(SUBSTITUTE(SUBSTITUTE(LOWER(Registro!$G490),"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",LEN(Registro!$G490))),({1,2,3,4,5,6,7,8,9,10,11,12,13,14,15,16,17,18,19,20,21,22,23,24,25,26,27,28,29,30}-1)*LEN(Registro!$G490)+1,LEN(Registro!$G490)))&amp;"x")-1))),"Revisar formato")))</f>
        <v/>
      </c>
      <c r="I490" s="11" t="str">
        <f>IF(Registro!$G490="","",IF(ISERROR(FIND("x",LOWER(Registro!$G490))),N(Registro!$H490),IFERROR(SUMPRODUCT(--("0"&amp;LEFT(TRIM(MID(SUBSTITUTE(SUBSTITUTE(SUBSTITUTE(SUBSTITUTE(SUBSTITUTE(LOWER(Registro!$G490),"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",LEN(Registro!$G490))),({1,2,3,4,5,6,7,8,9,10,11,12,13,14,15,16,17,18,19,20,21,22,23,24,25,26,27,28,29,30}-1)*LEN(Registro!$G490)+1,LEN(Registro!$G490))),FIND("x",TRIM(MID(SUBSTITUTE(SUBSTITUTE(SUBSTITUTE(SUBSTITUTE(SUBSTITUTE(LOWER(Registro!$G490),"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",LEN(Registro!$G490))),({1,2,3,4,5,6,7,8,9,10,11,12,13,14,15,16,17,18,19,20,21,22,23,24,25,26,27,28,29,30}-1)*LEN(Registro!$G490)+1,LEN(Registro!$G490)))&amp;"x")-1)),--("0"&amp;MID(TRIM(MID(SUBSTITUTE(SUBSTITUTE(SUBSTITUTE(SUBSTITUTE(SUBSTITUTE(LOWER(Registro!$G490),"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",LEN(Registro!$G490))),({1,2,3,4,5,6,7,8,9,10,11,12,13,14,15,16,17,18,19,20,21,22,23,24,25,26,27,28,29,30}-1)*LEN(Registro!$G490)+1,LEN(Registro!$G490))),FIND("x",TRIM(MID(SUBSTITUTE(SUBSTITUTE(SUBSTITUTE(SUBSTITUTE(SUBSTITUTE(LOWER(Registro!$G490),"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",LEN(Registro!$G490))),({1,2,3,4,5,6,7,8,9,10,11,12,13,14,15,16,17,18,19,20,21,22,23,24,25,26,27,28,29,30}-1)*LEN(Registro!$G490)+1,LEN(Registro!$G490)))&amp;"x")+1,20))),"Revisar formato")))</f>
        <v/>
      </c>
      <c r="J490" s="9" t="str">
        <f>IF(AND(Registro!$E490="",Registro!$G490=""),"",IF(NOT(AND(ISNUMBER(I490),ISNUMBER(Registro!$H490))),"",IF(I490&lt;Registro!$H490,"FALTA BOLETOS",IF(I490=Registro!$H490,"CONFORME","DIFERENCIA"))))</f>
        <v/>
      </c>
      <c r="K490" s="11" t="str">
        <f>IF(Registro!$I490="","",IFERROR(SUMPRODUCT(--("0"&amp;TRIM(RIGHT(SUBSTITUTE(TRIM(MID(SUBSTITUTE(SUBSTITUTE(Registro!$I490,";",CHAR(10)),CHAR(10),REPT(" ",LEN(Registro!$I490))),({1,2,3,4,5,6,7,8,9,10,11,12,13,14,15,16,17,18,19,20,21,22,23,24,25,26,27,28,29,30}-1)*LEN(Registro!$I490)+1,LEN(Registro!$I490)))," ",REPT(" ",50)),50)))),"Revisar formato"))</f>
        <v/>
      </c>
      <c r="L490" s="11" t="str">
        <f>IF(Registro!$J490="","",IFERROR(SUMPRODUCT(--("0"&amp;TRIM(RIGHT(SUBSTITUTE(TRIM(MID(SUBSTITUTE(SUBSTITUTE(Registro!$J490,";",CHAR(10)),CHAR(10),REPT(" ",LEN(Registro!$J490))),({1,2,3,4,5,6,7,8,9,10,11,12,13,14,15,16,17,18,19,20,21,22,23,24,25,26,27,28,29,30}-1)*LEN(Registro!$J490)+1,LEN(Registro!$J490)))," ",REPT(" ",50)),50)))),"Revisar formato"))</f>
        <v/>
      </c>
      <c r="M490" s="11" t="str">
        <f>IF(AND(Registro!$H490="",Registro!$I490=""),"",IF(AND(ISTEXT(K490),K490&lt;&gt;""),"Revisar formato",N(Registro!$H490)-N(K490)))</f>
        <v/>
      </c>
      <c r="N490" s="11" t="str">
        <f t="shared" si="23"/>
        <v/>
      </c>
      <c r="O490" s="15" t="str">
        <f>IF(AND(A490=Consulta!$B$3,C490=Consulta!$H$3),B490*10000+ROW(),"")</f>
        <v/>
      </c>
    </row>
    <row r="491" spans="1:15" x14ac:dyDescent="0.25">
      <c r="A491" s="9" t="str">
        <f>IF(Registro!$A491="","",Registro!$A491)</f>
        <v/>
      </c>
      <c r="B491" s="8" t="str">
        <f>IF(Registro!$B491="","",Registro!$B491)</f>
        <v/>
      </c>
      <c r="C491" s="14" t="str">
        <f t="shared" si="21"/>
        <v/>
      </c>
      <c r="D491" s="10" t="str">
        <f>IF(Registro!$E491="","",IF(ISERROR(FIND("x",LOWER(Registro!$E491))),"-",IFERROR(SUMPRODUCT(--("0"&amp;LEFT(TRIM(MID(SUBSTITUTE(SUBSTITUTE(SUBSTITUTE(SUBSTITUTE(SUBSTITUTE(LOWER(Registro!$E491),"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",LEN(Registro!$E491))),({1,2,3,4,5,6,7,8,9,10,11,12,13,14,15,16,17,18,19,20,21,22,23,24,25,26,27,28,29,30}-1)*LEN(Registro!$E491)+1,LEN(Registro!$E491)))&amp;"x")-1))),"Revisar formato")))</f>
        <v/>
      </c>
      <c r="E491" s="11" t="str">
        <f>IF(Registro!$E491="","",IF(ISERROR(FIND("x",LOWER(Registro!$E491))),"-",IFERROR(SUMPRODUCT(--("0"&amp;LEFT(TRIM(MID(SUBSTITUTE(SUBSTITUTE(SUBSTITUTE(SUBSTITUTE(SUBSTITUTE(LOWER(Registro!$E491),"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",LEN(Registro!$E491))),({1,2,3,4,5,6,7,8,9,10,11,12,13,14,15,16,17,18,19,20,21,22,23,24,25,26,27,28,29,30}-1)*LEN(Registro!$E491)+1,LEN(Registro!$E491)))&amp;"x")-1)),--("0"&amp;MID(TRIM(MID(SUBSTITUTE(SUBSTITUTE(SUBSTITUTE(SUBSTITUTE(SUBSTITUTE(LOWER(Registro!$E491),"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",LEN(Registro!$E491))),({1,2,3,4,5,6,7,8,9,10,11,12,13,14,15,16,17,18,19,20,21,22,23,24,25,26,27,28,29,30}-1)*LEN(Registro!$E491)+1,LEN(Registro!$E491)))&amp;"x")+1,20))),"Revisar formato")))</f>
        <v/>
      </c>
      <c r="F491" s="11" t="str">
        <f>IF(Registro!$F491="","",N(Registro!$F491))</f>
        <v/>
      </c>
      <c r="G491" s="11" t="str">
        <f t="shared" si="22"/>
        <v/>
      </c>
      <c r="H491" s="10" t="str">
        <f>IF(Registro!$G491="","",IF(ISERROR(FIND("x",LOWER(Registro!$G491))),"-",IFERROR(SUMPRODUCT(--("0"&amp;LEFT(TRIM(MID(SUBSTITUTE(SUBSTITUTE(SUBSTITUTE(SUBSTITUTE(SUBSTITUTE(LOWER(Registro!$G491),"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",LEN(Registro!$G491))),({1,2,3,4,5,6,7,8,9,10,11,12,13,14,15,16,17,18,19,20,21,22,23,24,25,26,27,28,29,30}-1)*LEN(Registro!$G491)+1,LEN(Registro!$G491))),FIND("x",TRIM(MID(SUBSTITUTE(SUBSTITUTE(SUBSTITUTE(SUBSTITUTE(SUBSTITUTE(LOWER(Registro!$G491),"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",LEN(Registro!$G491))),({1,2,3,4,5,6,7,8,9,10,11,12,13,14,15,16,17,18,19,20,21,22,23,24,25,26,27,28,29,30}-1)*LEN(Registro!$G491)+1,LEN(Registro!$G491)))&amp;"x")-1))),"Revisar formato")))</f>
        <v/>
      </c>
      <c r="I491" s="11" t="str">
        <f>IF(Registro!$G491="","",IF(ISERROR(FIND("x",LOWER(Registro!$G491))),N(Registro!$H491),IFERROR(SUMPRODUCT(--("0"&amp;LEFT(TRIM(MID(SUBSTITUTE(SUBSTITUTE(SUBSTITUTE(SUBSTITUTE(SUBSTITUTE(LOWER(Registro!$G491),"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",LEN(Registro!$G491))),({1,2,3,4,5,6,7,8,9,10,11,12,13,14,15,16,17,18,19,20,21,22,23,24,25,26,27,28,29,30}-1)*LEN(Registro!$G491)+1,LEN(Registro!$G491))),FIND("x",TRIM(MID(SUBSTITUTE(SUBSTITUTE(SUBSTITUTE(SUBSTITUTE(SUBSTITUTE(LOWER(Registro!$G491),"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",LEN(Registro!$G491))),({1,2,3,4,5,6,7,8,9,10,11,12,13,14,15,16,17,18,19,20,21,22,23,24,25,26,27,28,29,30}-1)*LEN(Registro!$G491)+1,LEN(Registro!$G491)))&amp;"x")-1)),--("0"&amp;MID(TRIM(MID(SUBSTITUTE(SUBSTITUTE(SUBSTITUTE(SUBSTITUTE(SUBSTITUTE(LOWER(Registro!$G491),"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",LEN(Registro!$G491))),({1,2,3,4,5,6,7,8,9,10,11,12,13,14,15,16,17,18,19,20,21,22,23,24,25,26,27,28,29,30}-1)*LEN(Registro!$G491)+1,LEN(Registro!$G491))),FIND("x",TRIM(MID(SUBSTITUTE(SUBSTITUTE(SUBSTITUTE(SUBSTITUTE(SUBSTITUTE(LOWER(Registro!$G491),"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",LEN(Registro!$G491))),({1,2,3,4,5,6,7,8,9,10,11,12,13,14,15,16,17,18,19,20,21,22,23,24,25,26,27,28,29,30}-1)*LEN(Registro!$G491)+1,LEN(Registro!$G491)))&amp;"x")+1,20))),"Revisar formato")))</f>
        <v/>
      </c>
      <c r="J491" s="9" t="str">
        <f>IF(AND(Registro!$E491="",Registro!$G491=""),"",IF(NOT(AND(ISNUMBER(I491),ISNUMBER(Registro!$H491))),"",IF(I491&lt;Registro!$H491,"FALTA BOLETOS",IF(I491=Registro!$H491,"CONFORME","DIFERENCIA"))))</f>
        <v/>
      </c>
      <c r="K491" s="11" t="str">
        <f>IF(Registro!$I491="","",IFERROR(SUMPRODUCT(--("0"&amp;TRIM(RIGHT(SUBSTITUTE(TRIM(MID(SUBSTITUTE(SUBSTITUTE(Registro!$I491,";",CHAR(10)),CHAR(10),REPT(" ",LEN(Registro!$I491))),({1,2,3,4,5,6,7,8,9,10,11,12,13,14,15,16,17,18,19,20,21,22,23,24,25,26,27,28,29,30}-1)*LEN(Registro!$I491)+1,LEN(Registro!$I491)))," ",REPT(" ",50)),50)))),"Revisar formato"))</f>
        <v/>
      </c>
      <c r="L491" s="11" t="str">
        <f>IF(Registro!$J491="","",IFERROR(SUMPRODUCT(--("0"&amp;TRIM(RIGHT(SUBSTITUTE(TRIM(MID(SUBSTITUTE(SUBSTITUTE(Registro!$J491,";",CHAR(10)),CHAR(10),REPT(" ",LEN(Registro!$J491))),({1,2,3,4,5,6,7,8,9,10,11,12,13,14,15,16,17,18,19,20,21,22,23,24,25,26,27,28,29,30}-1)*LEN(Registro!$J491)+1,LEN(Registro!$J491)))," ",REPT(" ",50)),50)))),"Revisar formato"))</f>
        <v/>
      </c>
      <c r="M491" s="11" t="str">
        <f>IF(AND(Registro!$H491="",Registro!$I491=""),"",IF(AND(ISTEXT(K491),K491&lt;&gt;""),"Revisar formato",N(Registro!$H491)-N(K491)))</f>
        <v/>
      </c>
      <c r="N491" s="11" t="str">
        <f t="shared" si="23"/>
        <v/>
      </c>
      <c r="O491" s="15" t="str">
        <f>IF(AND(A491=Consulta!$B$3,C491=Consulta!$H$3),B491*10000+ROW(),"")</f>
        <v/>
      </c>
    </row>
    <row r="492" spans="1:15" x14ac:dyDescent="0.25">
      <c r="A492" s="9" t="str">
        <f>IF(Registro!$A492="","",Registro!$A492)</f>
        <v/>
      </c>
      <c r="B492" s="8" t="str">
        <f>IF(Registro!$B492="","",Registro!$B492)</f>
        <v/>
      </c>
      <c r="C492" s="14" t="str">
        <f t="shared" si="21"/>
        <v/>
      </c>
      <c r="D492" s="10" t="str">
        <f>IF(Registro!$E492="","",IF(ISERROR(FIND("x",LOWER(Registro!$E492))),"-",IFERROR(SUMPRODUCT(--("0"&amp;LEFT(TRIM(MID(SUBSTITUTE(SUBSTITUTE(SUBSTITUTE(SUBSTITUTE(SUBSTITUTE(LOWER(Registro!$E492),"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",LEN(Registro!$E492))),({1,2,3,4,5,6,7,8,9,10,11,12,13,14,15,16,17,18,19,20,21,22,23,24,25,26,27,28,29,30}-1)*LEN(Registro!$E492)+1,LEN(Registro!$E492)))&amp;"x")-1))),"Revisar formato")))</f>
        <v/>
      </c>
      <c r="E492" s="11" t="str">
        <f>IF(Registro!$E492="","",IF(ISERROR(FIND("x",LOWER(Registro!$E492))),"-",IFERROR(SUMPRODUCT(--("0"&amp;LEFT(TRIM(MID(SUBSTITUTE(SUBSTITUTE(SUBSTITUTE(SUBSTITUTE(SUBSTITUTE(LOWER(Registro!$E492),"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",LEN(Registro!$E492))),({1,2,3,4,5,6,7,8,9,10,11,12,13,14,15,16,17,18,19,20,21,22,23,24,25,26,27,28,29,30}-1)*LEN(Registro!$E492)+1,LEN(Registro!$E492)))&amp;"x")-1)),--("0"&amp;MID(TRIM(MID(SUBSTITUTE(SUBSTITUTE(SUBSTITUTE(SUBSTITUTE(SUBSTITUTE(LOWER(Registro!$E492),"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",LEN(Registro!$E492))),({1,2,3,4,5,6,7,8,9,10,11,12,13,14,15,16,17,18,19,20,21,22,23,24,25,26,27,28,29,30}-1)*LEN(Registro!$E492)+1,LEN(Registro!$E492)))&amp;"x")+1,20))),"Revisar formato")))</f>
        <v/>
      </c>
      <c r="F492" s="11" t="str">
        <f>IF(Registro!$F492="","",N(Registro!$F492))</f>
        <v/>
      </c>
      <c r="G492" s="11" t="str">
        <f t="shared" si="22"/>
        <v/>
      </c>
      <c r="H492" s="10" t="str">
        <f>IF(Registro!$G492="","",IF(ISERROR(FIND("x",LOWER(Registro!$G492))),"-",IFERROR(SUMPRODUCT(--("0"&amp;LEFT(TRIM(MID(SUBSTITUTE(SUBSTITUTE(SUBSTITUTE(SUBSTITUTE(SUBSTITUTE(LOWER(Registro!$G492),"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",LEN(Registro!$G492))),({1,2,3,4,5,6,7,8,9,10,11,12,13,14,15,16,17,18,19,20,21,22,23,24,25,26,27,28,29,30}-1)*LEN(Registro!$G492)+1,LEN(Registro!$G492))),FIND("x",TRIM(MID(SUBSTITUTE(SUBSTITUTE(SUBSTITUTE(SUBSTITUTE(SUBSTITUTE(LOWER(Registro!$G492),"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",LEN(Registro!$G492))),({1,2,3,4,5,6,7,8,9,10,11,12,13,14,15,16,17,18,19,20,21,22,23,24,25,26,27,28,29,30}-1)*LEN(Registro!$G492)+1,LEN(Registro!$G492)))&amp;"x")-1))),"Revisar formato")))</f>
        <v/>
      </c>
      <c r="I492" s="11" t="str">
        <f>IF(Registro!$G492="","",IF(ISERROR(FIND("x",LOWER(Registro!$G492))),N(Registro!$H492),IFERROR(SUMPRODUCT(--("0"&amp;LEFT(TRIM(MID(SUBSTITUTE(SUBSTITUTE(SUBSTITUTE(SUBSTITUTE(SUBSTITUTE(LOWER(Registro!$G492),"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",LEN(Registro!$G492))),({1,2,3,4,5,6,7,8,9,10,11,12,13,14,15,16,17,18,19,20,21,22,23,24,25,26,27,28,29,30}-1)*LEN(Registro!$G492)+1,LEN(Registro!$G492))),FIND("x",TRIM(MID(SUBSTITUTE(SUBSTITUTE(SUBSTITUTE(SUBSTITUTE(SUBSTITUTE(LOWER(Registro!$G492),"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",LEN(Registro!$G492))),({1,2,3,4,5,6,7,8,9,10,11,12,13,14,15,16,17,18,19,20,21,22,23,24,25,26,27,28,29,30}-1)*LEN(Registro!$G492)+1,LEN(Registro!$G492)))&amp;"x")-1)),--("0"&amp;MID(TRIM(MID(SUBSTITUTE(SUBSTITUTE(SUBSTITUTE(SUBSTITUTE(SUBSTITUTE(LOWER(Registro!$G492),"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",LEN(Registro!$G492))),({1,2,3,4,5,6,7,8,9,10,11,12,13,14,15,16,17,18,19,20,21,22,23,24,25,26,27,28,29,30}-1)*LEN(Registro!$G492)+1,LEN(Registro!$G492))),FIND("x",TRIM(MID(SUBSTITUTE(SUBSTITUTE(SUBSTITUTE(SUBSTITUTE(SUBSTITUTE(LOWER(Registro!$G492),"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",LEN(Registro!$G492))),({1,2,3,4,5,6,7,8,9,10,11,12,13,14,15,16,17,18,19,20,21,22,23,24,25,26,27,28,29,30}-1)*LEN(Registro!$G492)+1,LEN(Registro!$G492)))&amp;"x")+1,20))),"Revisar formato")))</f>
        <v/>
      </c>
      <c r="J492" s="9" t="str">
        <f>IF(AND(Registro!$E492="",Registro!$G492=""),"",IF(NOT(AND(ISNUMBER(I492),ISNUMBER(Registro!$H492))),"",IF(I492&lt;Registro!$H492,"FALTA BOLETOS",IF(I492=Registro!$H492,"CONFORME","DIFERENCIA"))))</f>
        <v/>
      </c>
      <c r="K492" s="11" t="str">
        <f>IF(Registro!$I492="","",IFERROR(SUMPRODUCT(--("0"&amp;TRIM(RIGHT(SUBSTITUTE(TRIM(MID(SUBSTITUTE(SUBSTITUTE(Registro!$I492,";",CHAR(10)),CHAR(10),REPT(" ",LEN(Registro!$I492))),({1,2,3,4,5,6,7,8,9,10,11,12,13,14,15,16,17,18,19,20,21,22,23,24,25,26,27,28,29,30}-1)*LEN(Registro!$I492)+1,LEN(Registro!$I492)))," ",REPT(" ",50)),50)))),"Revisar formato"))</f>
        <v/>
      </c>
      <c r="L492" s="11" t="str">
        <f>IF(Registro!$J492="","",IFERROR(SUMPRODUCT(--("0"&amp;TRIM(RIGHT(SUBSTITUTE(TRIM(MID(SUBSTITUTE(SUBSTITUTE(Registro!$J492,";",CHAR(10)),CHAR(10),REPT(" ",LEN(Registro!$J492))),({1,2,3,4,5,6,7,8,9,10,11,12,13,14,15,16,17,18,19,20,21,22,23,24,25,26,27,28,29,30}-1)*LEN(Registro!$J492)+1,LEN(Registro!$J492)))," ",REPT(" ",50)),50)))),"Revisar formato"))</f>
        <v/>
      </c>
      <c r="M492" s="11" t="str">
        <f>IF(AND(Registro!$H492="",Registro!$I492=""),"",IF(AND(ISTEXT(K492),K492&lt;&gt;""),"Revisar formato",N(Registro!$H492)-N(K492)))</f>
        <v/>
      </c>
      <c r="N492" s="11" t="str">
        <f t="shared" si="23"/>
        <v/>
      </c>
      <c r="O492" s="15" t="str">
        <f>IF(AND(A492=Consulta!$B$3,C492=Consulta!$H$3),B492*10000+ROW(),"")</f>
        <v/>
      </c>
    </row>
    <row r="493" spans="1:15" x14ac:dyDescent="0.25">
      <c r="A493" s="9" t="str">
        <f>IF(Registro!$A493="","",Registro!$A493)</f>
        <v/>
      </c>
      <c r="B493" s="8" t="str">
        <f>IF(Registro!$B493="","",Registro!$B493)</f>
        <v/>
      </c>
      <c r="C493" s="14" t="str">
        <f t="shared" si="21"/>
        <v/>
      </c>
      <c r="D493" s="10" t="str">
        <f>IF(Registro!$E493="","",IF(ISERROR(FIND("x",LOWER(Registro!$E493))),"-",IFERROR(SUMPRODUCT(--("0"&amp;LEFT(TRIM(MID(SUBSTITUTE(SUBSTITUTE(SUBSTITUTE(SUBSTITUTE(SUBSTITUTE(LOWER(Registro!$E493),"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",LEN(Registro!$E493))),({1,2,3,4,5,6,7,8,9,10,11,12,13,14,15,16,17,18,19,20,21,22,23,24,25,26,27,28,29,30}-1)*LEN(Registro!$E493)+1,LEN(Registro!$E493)))&amp;"x")-1))),"Revisar formato")))</f>
        <v/>
      </c>
      <c r="E493" s="11" t="str">
        <f>IF(Registro!$E493="","",IF(ISERROR(FIND("x",LOWER(Registro!$E493))),"-",IFERROR(SUMPRODUCT(--("0"&amp;LEFT(TRIM(MID(SUBSTITUTE(SUBSTITUTE(SUBSTITUTE(SUBSTITUTE(SUBSTITUTE(LOWER(Registro!$E493),"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",LEN(Registro!$E493))),({1,2,3,4,5,6,7,8,9,10,11,12,13,14,15,16,17,18,19,20,21,22,23,24,25,26,27,28,29,30}-1)*LEN(Registro!$E493)+1,LEN(Registro!$E493)))&amp;"x")-1)),--("0"&amp;MID(TRIM(MID(SUBSTITUTE(SUBSTITUTE(SUBSTITUTE(SUBSTITUTE(SUBSTITUTE(LOWER(Registro!$E493),"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",LEN(Registro!$E493))),({1,2,3,4,5,6,7,8,9,10,11,12,13,14,15,16,17,18,19,20,21,22,23,24,25,26,27,28,29,30}-1)*LEN(Registro!$E493)+1,LEN(Registro!$E493)))&amp;"x")+1,20))),"Revisar formato")))</f>
        <v/>
      </c>
      <c r="F493" s="11" t="str">
        <f>IF(Registro!$F493="","",N(Registro!$F493))</f>
        <v/>
      </c>
      <c r="G493" s="11" t="str">
        <f t="shared" si="22"/>
        <v/>
      </c>
      <c r="H493" s="10" t="str">
        <f>IF(Registro!$G493="","",IF(ISERROR(FIND("x",LOWER(Registro!$G493))),"-",IFERROR(SUMPRODUCT(--("0"&amp;LEFT(TRIM(MID(SUBSTITUTE(SUBSTITUTE(SUBSTITUTE(SUBSTITUTE(SUBSTITUTE(LOWER(Registro!$G493),"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",LEN(Registro!$G493))),({1,2,3,4,5,6,7,8,9,10,11,12,13,14,15,16,17,18,19,20,21,22,23,24,25,26,27,28,29,30}-1)*LEN(Registro!$G493)+1,LEN(Registro!$G493))),FIND("x",TRIM(MID(SUBSTITUTE(SUBSTITUTE(SUBSTITUTE(SUBSTITUTE(SUBSTITUTE(LOWER(Registro!$G493),"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",LEN(Registro!$G493))),({1,2,3,4,5,6,7,8,9,10,11,12,13,14,15,16,17,18,19,20,21,22,23,24,25,26,27,28,29,30}-1)*LEN(Registro!$G493)+1,LEN(Registro!$G493)))&amp;"x")-1))),"Revisar formato")))</f>
        <v/>
      </c>
      <c r="I493" s="11" t="str">
        <f>IF(Registro!$G493="","",IF(ISERROR(FIND("x",LOWER(Registro!$G493))),N(Registro!$H493),IFERROR(SUMPRODUCT(--("0"&amp;LEFT(TRIM(MID(SUBSTITUTE(SUBSTITUTE(SUBSTITUTE(SUBSTITUTE(SUBSTITUTE(LOWER(Registro!$G493),"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",LEN(Registro!$G493))),({1,2,3,4,5,6,7,8,9,10,11,12,13,14,15,16,17,18,19,20,21,22,23,24,25,26,27,28,29,30}-1)*LEN(Registro!$G493)+1,LEN(Registro!$G493))),FIND("x",TRIM(MID(SUBSTITUTE(SUBSTITUTE(SUBSTITUTE(SUBSTITUTE(SUBSTITUTE(LOWER(Registro!$G493),"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",LEN(Registro!$G493))),({1,2,3,4,5,6,7,8,9,10,11,12,13,14,15,16,17,18,19,20,21,22,23,24,25,26,27,28,29,30}-1)*LEN(Registro!$G493)+1,LEN(Registro!$G493)))&amp;"x")-1)),--("0"&amp;MID(TRIM(MID(SUBSTITUTE(SUBSTITUTE(SUBSTITUTE(SUBSTITUTE(SUBSTITUTE(LOWER(Registro!$G493),"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",LEN(Registro!$G493))),({1,2,3,4,5,6,7,8,9,10,11,12,13,14,15,16,17,18,19,20,21,22,23,24,25,26,27,28,29,30}-1)*LEN(Registro!$G493)+1,LEN(Registro!$G493))),FIND("x",TRIM(MID(SUBSTITUTE(SUBSTITUTE(SUBSTITUTE(SUBSTITUTE(SUBSTITUTE(LOWER(Registro!$G493),"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",LEN(Registro!$G493))),({1,2,3,4,5,6,7,8,9,10,11,12,13,14,15,16,17,18,19,20,21,22,23,24,25,26,27,28,29,30}-1)*LEN(Registro!$G493)+1,LEN(Registro!$G493)))&amp;"x")+1,20))),"Revisar formato")))</f>
        <v/>
      </c>
      <c r="J493" s="9" t="str">
        <f>IF(AND(Registro!$E493="",Registro!$G493=""),"",IF(NOT(AND(ISNUMBER(I493),ISNUMBER(Registro!$H493))),"",IF(I493&lt;Registro!$H493,"FALTA BOLETOS",IF(I493=Registro!$H493,"CONFORME","DIFERENCIA"))))</f>
        <v/>
      </c>
      <c r="K493" s="11" t="str">
        <f>IF(Registro!$I493="","",IFERROR(SUMPRODUCT(--("0"&amp;TRIM(RIGHT(SUBSTITUTE(TRIM(MID(SUBSTITUTE(SUBSTITUTE(Registro!$I493,";",CHAR(10)),CHAR(10),REPT(" ",LEN(Registro!$I493))),({1,2,3,4,5,6,7,8,9,10,11,12,13,14,15,16,17,18,19,20,21,22,23,24,25,26,27,28,29,30}-1)*LEN(Registro!$I493)+1,LEN(Registro!$I493)))," ",REPT(" ",50)),50)))),"Revisar formato"))</f>
        <v/>
      </c>
      <c r="L493" s="11" t="str">
        <f>IF(Registro!$J493="","",IFERROR(SUMPRODUCT(--("0"&amp;TRIM(RIGHT(SUBSTITUTE(TRIM(MID(SUBSTITUTE(SUBSTITUTE(Registro!$J493,";",CHAR(10)),CHAR(10),REPT(" ",LEN(Registro!$J493))),({1,2,3,4,5,6,7,8,9,10,11,12,13,14,15,16,17,18,19,20,21,22,23,24,25,26,27,28,29,30}-1)*LEN(Registro!$J493)+1,LEN(Registro!$J493)))," ",REPT(" ",50)),50)))),"Revisar formato"))</f>
        <v/>
      </c>
      <c r="M493" s="11" t="str">
        <f>IF(AND(Registro!$H493="",Registro!$I493=""),"",IF(AND(ISTEXT(K493),K493&lt;&gt;""),"Revisar formato",N(Registro!$H493)-N(K493)))</f>
        <v/>
      </c>
      <c r="N493" s="11" t="str">
        <f t="shared" si="23"/>
        <v/>
      </c>
      <c r="O493" s="15" t="str">
        <f>IF(AND(A493=Consulta!$B$3,C493=Consulta!$H$3),B493*10000+ROW(),"")</f>
        <v/>
      </c>
    </row>
    <row r="494" spans="1:15" x14ac:dyDescent="0.25">
      <c r="A494" s="9" t="str">
        <f>IF(Registro!$A494="","",Registro!$A494)</f>
        <v/>
      </c>
      <c r="B494" s="8" t="str">
        <f>IF(Registro!$B494="","",Registro!$B494)</f>
        <v/>
      </c>
      <c r="C494" s="14" t="str">
        <f t="shared" si="21"/>
        <v/>
      </c>
      <c r="D494" s="10" t="str">
        <f>IF(Registro!$E494="","",IF(ISERROR(FIND("x",LOWER(Registro!$E494))),"-",IFERROR(SUMPRODUCT(--("0"&amp;LEFT(TRIM(MID(SUBSTITUTE(SUBSTITUTE(SUBSTITUTE(SUBSTITUTE(SUBSTITUTE(LOWER(Registro!$E494),"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",LEN(Registro!$E494))),({1,2,3,4,5,6,7,8,9,10,11,12,13,14,15,16,17,18,19,20,21,22,23,24,25,26,27,28,29,30}-1)*LEN(Registro!$E494)+1,LEN(Registro!$E494)))&amp;"x")-1))),"Revisar formato")))</f>
        <v/>
      </c>
      <c r="E494" s="11" t="str">
        <f>IF(Registro!$E494="","",IF(ISERROR(FIND("x",LOWER(Registro!$E494))),"-",IFERROR(SUMPRODUCT(--("0"&amp;LEFT(TRIM(MID(SUBSTITUTE(SUBSTITUTE(SUBSTITUTE(SUBSTITUTE(SUBSTITUTE(LOWER(Registro!$E494),"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",LEN(Registro!$E494))),({1,2,3,4,5,6,7,8,9,10,11,12,13,14,15,16,17,18,19,20,21,22,23,24,25,26,27,28,29,30}-1)*LEN(Registro!$E494)+1,LEN(Registro!$E494)))&amp;"x")-1)),--("0"&amp;MID(TRIM(MID(SUBSTITUTE(SUBSTITUTE(SUBSTITUTE(SUBSTITUTE(SUBSTITUTE(LOWER(Registro!$E494),"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",LEN(Registro!$E494))),({1,2,3,4,5,6,7,8,9,10,11,12,13,14,15,16,17,18,19,20,21,22,23,24,25,26,27,28,29,30}-1)*LEN(Registro!$E494)+1,LEN(Registro!$E494)))&amp;"x")+1,20))),"Revisar formato")))</f>
        <v/>
      </c>
      <c r="F494" s="11" t="str">
        <f>IF(Registro!$F494="","",N(Registro!$F494))</f>
        <v/>
      </c>
      <c r="G494" s="11" t="str">
        <f t="shared" si="22"/>
        <v/>
      </c>
      <c r="H494" s="10" t="str">
        <f>IF(Registro!$G494="","",IF(ISERROR(FIND("x",LOWER(Registro!$G494))),"-",IFERROR(SUMPRODUCT(--("0"&amp;LEFT(TRIM(MID(SUBSTITUTE(SUBSTITUTE(SUBSTITUTE(SUBSTITUTE(SUBSTITUTE(LOWER(Registro!$G494),"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",LEN(Registro!$G494))),({1,2,3,4,5,6,7,8,9,10,11,12,13,14,15,16,17,18,19,20,21,22,23,24,25,26,27,28,29,30}-1)*LEN(Registro!$G494)+1,LEN(Registro!$G494))),FIND("x",TRIM(MID(SUBSTITUTE(SUBSTITUTE(SUBSTITUTE(SUBSTITUTE(SUBSTITUTE(LOWER(Registro!$G494),"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",LEN(Registro!$G494))),({1,2,3,4,5,6,7,8,9,10,11,12,13,14,15,16,17,18,19,20,21,22,23,24,25,26,27,28,29,30}-1)*LEN(Registro!$G494)+1,LEN(Registro!$G494)))&amp;"x")-1))),"Revisar formato")))</f>
        <v/>
      </c>
      <c r="I494" s="11" t="str">
        <f>IF(Registro!$G494="","",IF(ISERROR(FIND("x",LOWER(Registro!$G494))),N(Registro!$H494),IFERROR(SUMPRODUCT(--("0"&amp;LEFT(TRIM(MID(SUBSTITUTE(SUBSTITUTE(SUBSTITUTE(SUBSTITUTE(SUBSTITUTE(LOWER(Registro!$G494),"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",LEN(Registro!$G494))),({1,2,3,4,5,6,7,8,9,10,11,12,13,14,15,16,17,18,19,20,21,22,23,24,25,26,27,28,29,30}-1)*LEN(Registro!$G494)+1,LEN(Registro!$G494))),FIND("x",TRIM(MID(SUBSTITUTE(SUBSTITUTE(SUBSTITUTE(SUBSTITUTE(SUBSTITUTE(LOWER(Registro!$G494),"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",LEN(Registro!$G494))),({1,2,3,4,5,6,7,8,9,10,11,12,13,14,15,16,17,18,19,20,21,22,23,24,25,26,27,28,29,30}-1)*LEN(Registro!$G494)+1,LEN(Registro!$G494)))&amp;"x")-1)),--("0"&amp;MID(TRIM(MID(SUBSTITUTE(SUBSTITUTE(SUBSTITUTE(SUBSTITUTE(SUBSTITUTE(LOWER(Registro!$G494),"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",LEN(Registro!$G494))),({1,2,3,4,5,6,7,8,9,10,11,12,13,14,15,16,17,18,19,20,21,22,23,24,25,26,27,28,29,30}-1)*LEN(Registro!$G494)+1,LEN(Registro!$G494))),FIND("x",TRIM(MID(SUBSTITUTE(SUBSTITUTE(SUBSTITUTE(SUBSTITUTE(SUBSTITUTE(LOWER(Registro!$G494),"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",LEN(Registro!$G494))),({1,2,3,4,5,6,7,8,9,10,11,12,13,14,15,16,17,18,19,20,21,22,23,24,25,26,27,28,29,30}-1)*LEN(Registro!$G494)+1,LEN(Registro!$G494)))&amp;"x")+1,20))),"Revisar formato")))</f>
        <v/>
      </c>
      <c r="J494" s="9" t="str">
        <f>IF(AND(Registro!$E494="",Registro!$G494=""),"",IF(NOT(AND(ISNUMBER(I494),ISNUMBER(Registro!$H494))),"",IF(I494&lt;Registro!$H494,"FALTA BOLETOS",IF(I494=Registro!$H494,"CONFORME","DIFERENCIA"))))</f>
        <v/>
      </c>
      <c r="K494" s="11" t="str">
        <f>IF(Registro!$I494="","",IFERROR(SUMPRODUCT(--("0"&amp;TRIM(RIGHT(SUBSTITUTE(TRIM(MID(SUBSTITUTE(SUBSTITUTE(Registro!$I494,";",CHAR(10)),CHAR(10),REPT(" ",LEN(Registro!$I494))),({1,2,3,4,5,6,7,8,9,10,11,12,13,14,15,16,17,18,19,20,21,22,23,24,25,26,27,28,29,30}-1)*LEN(Registro!$I494)+1,LEN(Registro!$I494)))," ",REPT(" ",50)),50)))),"Revisar formato"))</f>
        <v/>
      </c>
      <c r="L494" s="11" t="str">
        <f>IF(Registro!$J494="","",IFERROR(SUMPRODUCT(--("0"&amp;TRIM(RIGHT(SUBSTITUTE(TRIM(MID(SUBSTITUTE(SUBSTITUTE(Registro!$J494,";",CHAR(10)),CHAR(10),REPT(" ",LEN(Registro!$J494))),({1,2,3,4,5,6,7,8,9,10,11,12,13,14,15,16,17,18,19,20,21,22,23,24,25,26,27,28,29,30}-1)*LEN(Registro!$J494)+1,LEN(Registro!$J494)))," ",REPT(" ",50)),50)))),"Revisar formato"))</f>
        <v/>
      </c>
      <c r="M494" s="11" t="str">
        <f>IF(AND(Registro!$H494="",Registro!$I494=""),"",IF(AND(ISTEXT(K494),K494&lt;&gt;""),"Revisar formato",N(Registro!$H494)-N(K494)))</f>
        <v/>
      </c>
      <c r="N494" s="11" t="str">
        <f t="shared" si="23"/>
        <v/>
      </c>
      <c r="O494" s="15" t="str">
        <f>IF(AND(A494=Consulta!$B$3,C494=Consulta!$H$3),B494*10000+ROW(),"")</f>
        <v/>
      </c>
    </row>
    <row r="495" spans="1:15" x14ac:dyDescent="0.25">
      <c r="A495" s="9" t="str">
        <f>IF(Registro!$A495="","",Registro!$A495)</f>
        <v/>
      </c>
      <c r="B495" s="8" t="str">
        <f>IF(Registro!$B495="","",Registro!$B495)</f>
        <v/>
      </c>
      <c r="C495" s="14" t="str">
        <f t="shared" si="21"/>
        <v/>
      </c>
      <c r="D495" s="10" t="str">
        <f>IF(Registro!$E495="","",IF(ISERROR(FIND("x",LOWER(Registro!$E495))),"-",IFERROR(SUMPRODUCT(--("0"&amp;LEFT(TRIM(MID(SUBSTITUTE(SUBSTITUTE(SUBSTITUTE(SUBSTITUTE(SUBSTITUTE(LOWER(Registro!$E495),"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",LEN(Registro!$E495))),({1,2,3,4,5,6,7,8,9,10,11,12,13,14,15,16,17,18,19,20,21,22,23,24,25,26,27,28,29,30}-1)*LEN(Registro!$E495)+1,LEN(Registro!$E495)))&amp;"x")-1))),"Revisar formato")))</f>
        <v/>
      </c>
      <c r="E495" s="11" t="str">
        <f>IF(Registro!$E495="","",IF(ISERROR(FIND("x",LOWER(Registro!$E495))),"-",IFERROR(SUMPRODUCT(--("0"&amp;LEFT(TRIM(MID(SUBSTITUTE(SUBSTITUTE(SUBSTITUTE(SUBSTITUTE(SUBSTITUTE(LOWER(Registro!$E495),"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",LEN(Registro!$E495))),({1,2,3,4,5,6,7,8,9,10,11,12,13,14,15,16,17,18,19,20,21,22,23,24,25,26,27,28,29,30}-1)*LEN(Registro!$E495)+1,LEN(Registro!$E495)))&amp;"x")-1)),--("0"&amp;MID(TRIM(MID(SUBSTITUTE(SUBSTITUTE(SUBSTITUTE(SUBSTITUTE(SUBSTITUTE(LOWER(Registro!$E495),"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",LEN(Registro!$E495))),({1,2,3,4,5,6,7,8,9,10,11,12,13,14,15,16,17,18,19,20,21,22,23,24,25,26,27,28,29,30}-1)*LEN(Registro!$E495)+1,LEN(Registro!$E495)))&amp;"x")+1,20))),"Revisar formato")))</f>
        <v/>
      </c>
      <c r="F495" s="11" t="str">
        <f>IF(Registro!$F495="","",N(Registro!$F495))</f>
        <v/>
      </c>
      <c r="G495" s="11" t="str">
        <f t="shared" si="22"/>
        <v/>
      </c>
      <c r="H495" s="10" t="str">
        <f>IF(Registro!$G495="","",IF(ISERROR(FIND("x",LOWER(Registro!$G495))),"-",IFERROR(SUMPRODUCT(--("0"&amp;LEFT(TRIM(MID(SUBSTITUTE(SUBSTITUTE(SUBSTITUTE(SUBSTITUTE(SUBSTITUTE(LOWER(Registro!$G495),"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",LEN(Registro!$G495))),({1,2,3,4,5,6,7,8,9,10,11,12,13,14,15,16,17,18,19,20,21,22,23,24,25,26,27,28,29,30}-1)*LEN(Registro!$G495)+1,LEN(Registro!$G495))),FIND("x",TRIM(MID(SUBSTITUTE(SUBSTITUTE(SUBSTITUTE(SUBSTITUTE(SUBSTITUTE(LOWER(Registro!$G495),"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",LEN(Registro!$G495))),({1,2,3,4,5,6,7,8,9,10,11,12,13,14,15,16,17,18,19,20,21,22,23,24,25,26,27,28,29,30}-1)*LEN(Registro!$G495)+1,LEN(Registro!$G495)))&amp;"x")-1))),"Revisar formato")))</f>
        <v/>
      </c>
      <c r="I495" s="11" t="str">
        <f>IF(Registro!$G495="","",IF(ISERROR(FIND("x",LOWER(Registro!$G495))),N(Registro!$H495),IFERROR(SUMPRODUCT(--("0"&amp;LEFT(TRIM(MID(SUBSTITUTE(SUBSTITUTE(SUBSTITUTE(SUBSTITUTE(SUBSTITUTE(LOWER(Registro!$G495),"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",LEN(Registro!$G495))),({1,2,3,4,5,6,7,8,9,10,11,12,13,14,15,16,17,18,19,20,21,22,23,24,25,26,27,28,29,30}-1)*LEN(Registro!$G495)+1,LEN(Registro!$G495))),FIND("x",TRIM(MID(SUBSTITUTE(SUBSTITUTE(SUBSTITUTE(SUBSTITUTE(SUBSTITUTE(LOWER(Registro!$G495),"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",LEN(Registro!$G495))),({1,2,3,4,5,6,7,8,9,10,11,12,13,14,15,16,17,18,19,20,21,22,23,24,25,26,27,28,29,30}-1)*LEN(Registro!$G495)+1,LEN(Registro!$G495)))&amp;"x")-1)),--("0"&amp;MID(TRIM(MID(SUBSTITUTE(SUBSTITUTE(SUBSTITUTE(SUBSTITUTE(SUBSTITUTE(LOWER(Registro!$G495),"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",LEN(Registro!$G495))),({1,2,3,4,5,6,7,8,9,10,11,12,13,14,15,16,17,18,19,20,21,22,23,24,25,26,27,28,29,30}-1)*LEN(Registro!$G495)+1,LEN(Registro!$G495))),FIND("x",TRIM(MID(SUBSTITUTE(SUBSTITUTE(SUBSTITUTE(SUBSTITUTE(SUBSTITUTE(LOWER(Registro!$G495),"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",LEN(Registro!$G495))),({1,2,3,4,5,6,7,8,9,10,11,12,13,14,15,16,17,18,19,20,21,22,23,24,25,26,27,28,29,30}-1)*LEN(Registro!$G495)+1,LEN(Registro!$G495)))&amp;"x")+1,20))),"Revisar formato")))</f>
        <v/>
      </c>
      <c r="J495" s="9" t="str">
        <f>IF(AND(Registro!$E495="",Registro!$G495=""),"",IF(NOT(AND(ISNUMBER(I495),ISNUMBER(Registro!$H495))),"",IF(I495&lt;Registro!$H495,"FALTA BOLETOS",IF(I495=Registro!$H495,"CONFORME","DIFERENCIA"))))</f>
        <v/>
      </c>
      <c r="K495" s="11" t="str">
        <f>IF(Registro!$I495="","",IFERROR(SUMPRODUCT(--("0"&amp;TRIM(RIGHT(SUBSTITUTE(TRIM(MID(SUBSTITUTE(SUBSTITUTE(Registro!$I495,";",CHAR(10)),CHAR(10),REPT(" ",LEN(Registro!$I495))),({1,2,3,4,5,6,7,8,9,10,11,12,13,14,15,16,17,18,19,20,21,22,23,24,25,26,27,28,29,30}-1)*LEN(Registro!$I495)+1,LEN(Registro!$I495)))," ",REPT(" ",50)),50)))),"Revisar formato"))</f>
        <v/>
      </c>
      <c r="L495" s="11" t="str">
        <f>IF(Registro!$J495="","",IFERROR(SUMPRODUCT(--("0"&amp;TRIM(RIGHT(SUBSTITUTE(TRIM(MID(SUBSTITUTE(SUBSTITUTE(Registro!$J495,";",CHAR(10)),CHAR(10),REPT(" ",LEN(Registro!$J495))),({1,2,3,4,5,6,7,8,9,10,11,12,13,14,15,16,17,18,19,20,21,22,23,24,25,26,27,28,29,30}-1)*LEN(Registro!$J495)+1,LEN(Registro!$J495)))," ",REPT(" ",50)),50)))),"Revisar formato"))</f>
        <v/>
      </c>
      <c r="M495" s="11" t="str">
        <f>IF(AND(Registro!$H495="",Registro!$I495=""),"",IF(AND(ISTEXT(K495),K495&lt;&gt;""),"Revisar formato",N(Registro!$H495)-N(K495)))</f>
        <v/>
      </c>
      <c r="N495" s="11" t="str">
        <f t="shared" si="23"/>
        <v/>
      </c>
      <c r="O495" s="15" t="str">
        <f>IF(AND(A495=Consulta!$B$3,C495=Consulta!$H$3),B495*10000+ROW(),"")</f>
        <v/>
      </c>
    </row>
    <row r="496" spans="1:15" x14ac:dyDescent="0.25">
      <c r="A496" s="9" t="str">
        <f>IF(Registro!$A496="","",Registro!$A496)</f>
        <v/>
      </c>
      <c r="B496" s="8" t="str">
        <f>IF(Registro!$B496="","",Registro!$B496)</f>
        <v/>
      </c>
      <c r="C496" s="14" t="str">
        <f t="shared" si="21"/>
        <v/>
      </c>
      <c r="D496" s="10" t="str">
        <f>IF(Registro!$E496="","",IF(ISERROR(FIND("x",LOWER(Registro!$E496))),"-",IFERROR(SUMPRODUCT(--("0"&amp;LEFT(TRIM(MID(SUBSTITUTE(SUBSTITUTE(SUBSTITUTE(SUBSTITUTE(SUBSTITUTE(LOWER(Registro!$E496),"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",LEN(Registro!$E496))),({1,2,3,4,5,6,7,8,9,10,11,12,13,14,15,16,17,18,19,20,21,22,23,24,25,26,27,28,29,30}-1)*LEN(Registro!$E496)+1,LEN(Registro!$E496)))&amp;"x")-1))),"Revisar formato")))</f>
        <v/>
      </c>
      <c r="E496" s="11" t="str">
        <f>IF(Registro!$E496="","",IF(ISERROR(FIND("x",LOWER(Registro!$E496))),"-",IFERROR(SUMPRODUCT(--("0"&amp;LEFT(TRIM(MID(SUBSTITUTE(SUBSTITUTE(SUBSTITUTE(SUBSTITUTE(SUBSTITUTE(LOWER(Registro!$E496),"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",LEN(Registro!$E496))),({1,2,3,4,5,6,7,8,9,10,11,12,13,14,15,16,17,18,19,20,21,22,23,24,25,26,27,28,29,30}-1)*LEN(Registro!$E496)+1,LEN(Registro!$E496)))&amp;"x")-1)),--("0"&amp;MID(TRIM(MID(SUBSTITUTE(SUBSTITUTE(SUBSTITUTE(SUBSTITUTE(SUBSTITUTE(LOWER(Registro!$E496),"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",LEN(Registro!$E496))),({1,2,3,4,5,6,7,8,9,10,11,12,13,14,15,16,17,18,19,20,21,22,23,24,25,26,27,28,29,30}-1)*LEN(Registro!$E496)+1,LEN(Registro!$E496)))&amp;"x")+1,20))),"Revisar formato")))</f>
        <v/>
      </c>
      <c r="F496" s="11" t="str">
        <f>IF(Registro!$F496="","",N(Registro!$F496))</f>
        <v/>
      </c>
      <c r="G496" s="11" t="str">
        <f t="shared" si="22"/>
        <v/>
      </c>
      <c r="H496" s="10" t="str">
        <f>IF(Registro!$G496="","",IF(ISERROR(FIND("x",LOWER(Registro!$G496))),"-",IFERROR(SUMPRODUCT(--("0"&amp;LEFT(TRIM(MID(SUBSTITUTE(SUBSTITUTE(SUBSTITUTE(SUBSTITUTE(SUBSTITUTE(LOWER(Registro!$G496),"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",LEN(Registro!$G496))),({1,2,3,4,5,6,7,8,9,10,11,12,13,14,15,16,17,18,19,20,21,22,23,24,25,26,27,28,29,30}-1)*LEN(Registro!$G496)+1,LEN(Registro!$G496))),FIND("x",TRIM(MID(SUBSTITUTE(SUBSTITUTE(SUBSTITUTE(SUBSTITUTE(SUBSTITUTE(LOWER(Registro!$G496),"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",LEN(Registro!$G496))),({1,2,3,4,5,6,7,8,9,10,11,12,13,14,15,16,17,18,19,20,21,22,23,24,25,26,27,28,29,30}-1)*LEN(Registro!$G496)+1,LEN(Registro!$G496)))&amp;"x")-1))),"Revisar formato")))</f>
        <v/>
      </c>
      <c r="I496" s="11" t="str">
        <f>IF(Registro!$G496="","",IF(ISERROR(FIND("x",LOWER(Registro!$G496))),N(Registro!$H496),IFERROR(SUMPRODUCT(--("0"&amp;LEFT(TRIM(MID(SUBSTITUTE(SUBSTITUTE(SUBSTITUTE(SUBSTITUTE(SUBSTITUTE(LOWER(Registro!$G496),"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",LEN(Registro!$G496))),({1,2,3,4,5,6,7,8,9,10,11,12,13,14,15,16,17,18,19,20,21,22,23,24,25,26,27,28,29,30}-1)*LEN(Registro!$G496)+1,LEN(Registro!$G496))),FIND("x",TRIM(MID(SUBSTITUTE(SUBSTITUTE(SUBSTITUTE(SUBSTITUTE(SUBSTITUTE(LOWER(Registro!$G496),"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",LEN(Registro!$G496))),({1,2,3,4,5,6,7,8,9,10,11,12,13,14,15,16,17,18,19,20,21,22,23,24,25,26,27,28,29,30}-1)*LEN(Registro!$G496)+1,LEN(Registro!$G496)))&amp;"x")-1)),--("0"&amp;MID(TRIM(MID(SUBSTITUTE(SUBSTITUTE(SUBSTITUTE(SUBSTITUTE(SUBSTITUTE(LOWER(Registro!$G496),"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",LEN(Registro!$G496))),({1,2,3,4,5,6,7,8,9,10,11,12,13,14,15,16,17,18,19,20,21,22,23,24,25,26,27,28,29,30}-1)*LEN(Registro!$G496)+1,LEN(Registro!$G496))),FIND("x",TRIM(MID(SUBSTITUTE(SUBSTITUTE(SUBSTITUTE(SUBSTITUTE(SUBSTITUTE(LOWER(Registro!$G496),"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",LEN(Registro!$G496))),({1,2,3,4,5,6,7,8,9,10,11,12,13,14,15,16,17,18,19,20,21,22,23,24,25,26,27,28,29,30}-1)*LEN(Registro!$G496)+1,LEN(Registro!$G496)))&amp;"x")+1,20))),"Revisar formato")))</f>
        <v/>
      </c>
      <c r="J496" s="9" t="str">
        <f>IF(AND(Registro!$E496="",Registro!$G496=""),"",IF(NOT(AND(ISNUMBER(I496),ISNUMBER(Registro!$H496))),"",IF(I496&lt;Registro!$H496,"FALTA BOLETOS",IF(I496=Registro!$H496,"CONFORME","DIFERENCIA"))))</f>
        <v/>
      </c>
      <c r="K496" s="11" t="str">
        <f>IF(Registro!$I496="","",IFERROR(SUMPRODUCT(--("0"&amp;TRIM(RIGHT(SUBSTITUTE(TRIM(MID(SUBSTITUTE(SUBSTITUTE(Registro!$I496,";",CHAR(10)),CHAR(10),REPT(" ",LEN(Registro!$I496))),({1,2,3,4,5,6,7,8,9,10,11,12,13,14,15,16,17,18,19,20,21,22,23,24,25,26,27,28,29,30}-1)*LEN(Registro!$I496)+1,LEN(Registro!$I496)))," ",REPT(" ",50)),50)))),"Revisar formato"))</f>
        <v/>
      </c>
      <c r="L496" s="11" t="str">
        <f>IF(Registro!$J496="","",IFERROR(SUMPRODUCT(--("0"&amp;TRIM(RIGHT(SUBSTITUTE(TRIM(MID(SUBSTITUTE(SUBSTITUTE(Registro!$J496,";",CHAR(10)),CHAR(10),REPT(" ",LEN(Registro!$J496))),({1,2,3,4,5,6,7,8,9,10,11,12,13,14,15,16,17,18,19,20,21,22,23,24,25,26,27,28,29,30}-1)*LEN(Registro!$J496)+1,LEN(Registro!$J496)))," ",REPT(" ",50)),50)))),"Revisar formato"))</f>
        <v/>
      </c>
      <c r="M496" s="11" t="str">
        <f>IF(AND(Registro!$H496="",Registro!$I496=""),"",IF(AND(ISTEXT(K496),K496&lt;&gt;""),"Revisar formato",N(Registro!$H496)-N(K496)))</f>
        <v/>
      </c>
      <c r="N496" s="11" t="str">
        <f t="shared" si="23"/>
        <v/>
      </c>
      <c r="O496" s="15" t="str">
        <f>IF(AND(A496=Consulta!$B$3,C496=Consulta!$H$3),B496*10000+ROW(),"")</f>
        <v/>
      </c>
    </row>
    <row r="497" spans="1:15" x14ac:dyDescent="0.25">
      <c r="A497" s="9" t="str">
        <f>IF(Registro!$A497="","",Registro!$A497)</f>
        <v/>
      </c>
      <c r="B497" s="8" t="str">
        <f>IF(Registro!$B497="","",Registro!$B497)</f>
        <v/>
      </c>
      <c r="C497" s="14" t="str">
        <f t="shared" si="21"/>
        <v/>
      </c>
      <c r="D497" s="10" t="str">
        <f>IF(Registro!$E497="","",IF(ISERROR(FIND("x",LOWER(Registro!$E497))),"-",IFERROR(SUMPRODUCT(--("0"&amp;LEFT(TRIM(MID(SUBSTITUTE(SUBSTITUTE(SUBSTITUTE(SUBSTITUTE(SUBSTITUTE(LOWER(Registro!$E497),"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",LEN(Registro!$E497))),({1,2,3,4,5,6,7,8,9,10,11,12,13,14,15,16,17,18,19,20,21,22,23,24,25,26,27,28,29,30}-1)*LEN(Registro!$E497)+1,LEN(Registro!$E497)))&amp;"x")-1))),"Revisar formato")))</f>
        <v/>
      </c>
      <c r="E497" s="11" t="str">
        <f>IF(Registro!$E497="","",IF(ISERROR(FIND("x",LOWER(Registro!$E497))),"-",IFERROR(SUMPRODUCT(--("0"&amp;LEFT(TRIM(MID(SUBSTITUTE(SUBSTITUTE(SUBSTITUTE(SUBSTITUTE(SUBSTITUTE(LOWER(Registro!$E497),"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",LEN(Registro!$E497))),({1,2,3,4,5,6,7,8,9,10,11,12,13,14,15,16,17,18,19,20,21,22,23,24,25,26,27,28,29,30}-1)*LEN(Registro!$E497)+1,LEN(Registro!$E497)))&amp;"x")-1)),--("0"&amp;MID(TRIM(MID(SUBSTITUTE(SUBSTITUTE(SUBSTITUTE(SUBSTITUTE(SUBSTITUTE(LOWER(Registro!$E497),"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",LEN(Registro!$E497))),({1,2,3,4,5,6,7,8,9,10,11,12,13,14,15,16,17,18,19,20,21,22,23,24,25,26,27,28,29,30}-1)*LEN(Registro!$E497)+1,LEN(Registro!$E497)))&amp;"x")+1,20))),"Revisar formato")))</f>
        <v/>
      </c>
      <c r="F497" s="11" t="str">
        <f>IF(Registro!$F497="","",N(Registro!$F497))</f>
        <v/>
      </c>
      <c r="G497" s="11" t="str">
        <f t="shared" si="22"/>
        <v/>
      </c>
      <c r="H497" s="10" t="str">
        <f>IF(Registro!$G497="","",IF(ISERROR(FIND("x",LOWER(Registro!$G497))),"-",IFERROR(SUMPRODUCT(--("0"&amp;LEFT(TRIM(MID(SUBSTITUTE(SUBSTITUTE(SUBSTITUTE(SUBSTITUTE(SUBSTITUTE(LOWER(Registro!$G497),"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",LEN(Registro!$G497))),({1,2,3,4,5,6,7,8,9,10,11,12,13,14,15,16,17,18,19,20,21,22,23,24,25,26,27,28,29,30}-1)*LEN(Registro!$G497)+1,LEN(Registro!$G497))),FIND("x",TRIM(MID(SUBSTITUTE(SUBSTITUTE(SUBSTITUTE(SUBSTITUTE(SUBSTITUTE(LOWER(Registro!$G497),"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",LEN(Registro!$G497))),({1,2,3,4,5,6,7,8,9,10,11,12,13,14,15,16,17,18,19,20,21,22,23,24,25,26,27,28,29,30}-1)*LEN(Registro!$G497)+1,LEN(Registro!$G497)))&amp;"x")-1))),"Revisar formato")))</f>
        <v/>
      </c>
      <c r="I497" s="11" t="str">
        <f>IF(Registro!$G497="","",IF(ISERROR(FIND("x",LOWER(Registro!$G497))),N(Registro!$H497),IFERROR(SUMPRODUCT(--("0"&amp;LEFT(TRIM(MID(SUBSTITUTE(SUBSTITUTE(SUBSTITUTE(SUBSTITUTE(SUBSTITUTE(LOWER(Registro!$G497),"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",LEN(Registro!$G497))),({1,2,3,4,5,6,7,8,9,10,11,12,13,14,15,16,17,18,19,20,21,22,23,24,25,26,27,28,29,30}-1)*LEN(Registro!$G497)+1,LEN(Registro!$G497))),FIND("x",TRIM(MID(SUBSTITUTE(SUBSTITUTE(SUBSTITUTE(SUBSTITUTE(SUBSTITUTE(LOWER(Registro!$G497),"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",LEN(Registro!$G497))),({1,2,3,4,5,6,7,8,9,10,11,12,13,14,15,16,17,18,19,20,21,22,23,24,25,26,27,28,29,30}-1)*LEN(Registro!$G497)+1,LEN(Registro!$G497)))&amp;"x")-1)),--("0"&amp;MID(TRIM(MID(SUBSTITUTE(SUBSTITUTE(SUBSTITUTE(SUBSTITUTE(SUBSTITUTE(LOWER(Registro!$G497),"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",LEN(Registro!$G497))),({1,2,3,4,5,6,7,8,9,10,11,12,13,14,15,16,17,18,19,20,21,22,23,24,25,26,27,28,29,30}-1)*LEN(Registro!$G497)+1,LEN(Registro!$G497))),FIND("x",TRIM(MID(SUBSTITUTE(SUBSTITUTE(SUBSTITUTE(SUBSTITUTE(SUBSTITUTE(LOWER(Registro!$G497),"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",LEN(Registro!$G497))),({1,2,3,4,5,6,7,8,9,10,11,12,13,14,15,16,17,18,19,20,21,22,23,24,25,26,27,28,29,30}-1)*LEN(Registro!$G497)+1,LEN(Registro!$G497)))&amp;"x")+1,20))),"Revisar formato")))</f>
        <v/>
      </c>
      <c r="J497" s="9" t="str">
        <f>IF(AND(Registro!$E497="",Registro!$G497=""),"",IF(NOT(AND(ISNUMBER(I497),ISNUMBER(Registro!$H497))),"",IF(I497&lt;Registro!$H497,"FALTA BOLETOS",IF(I497=Registro!$H497,"CONFORME","DIFERENCIA"))))</f>
        <v/>
      </c>
      <c r="K497" s="11" t="str">
        <f>IF(Registro!$I497="","",IFERROR(SUMPRODUCT(--("0"&amp;TRIM(RIGHT(SUBSTITUTE(TRIM(MID(SUBSTITUTE(SUBSTITUTE(Registro!$I497,";",CHAR(10)),CHAR(10),REPT(" ",LEN(Registro!$I497))),({1,2,3,4,5,6,7,8,9,10,11,12,13,14,15,16,17,18,19,20,21,22,23,24,25,26,27,28,29,30}-1)*LEN(Registro!$I497)+1,LEN(Registro!$I497)))," ",REPT(" ",50)),50)))),"Revisar formato"))</f>
        <v/>
      </c>
      <c r="L497" s="11" t="str">
        <f>IF(Registro!$J497="","",IFERROR(SUMPRODUCT(--("0"&amp;TRIM(RIGHT(SUBSTITUTE(TRIM(MID(SUBSTITUTE(SUBSTITUTE(Registro!$J497,";",CHAR(10)),CHAR(10),REPT(" ",LEN(Registro!$J497))),({1,2,3,4,5,6,7,8,9,10,11,12,13,14,15,16,17,18,19,20,21,22,23,24,25,26,27,28,29,30}-1)*LEN(Registro!$J497)+1,LEN(Registro!$J497)))," ",REPT(" ",50)),50)))),"Revisar formato"))</f>
        <v/>
      </c>
      <c r="M497" s="11" t="str">
        <f>IF(AND(Registro!$H497="",Registro!$I497=""),"",IF(AND(ISTEXT(K497),K497&lt;&gt;""),"Revisar formato",N(Registro!$H497)-N(K497)))</f>
        <v/>
      </c>
      <c r="N497" s="11" t="str">
        <f t="shared" si="23"/>
        <v/>
      </c>
      <c r="O497" s="15" t="str">
        <f>IF(AND(A497=Consulta!$B$3,C497=Consulta!$H$3),B497*10000+ROW(),"")</f>
        <v/>
      </c>
    </row>
    <row r="498" spans="1:15" x14ac:dyDescent="0.25">
      <c r="A498" s="9" t="str">
        <f>IF(Registro!$A498="","",Registro!$A498)</f>
        <v/>
      </c>
      <c r="B498" s="8" t="str">
        <f>IF(Registro!$B498="","",Registro!$B498)</f>
        <v/>
      </c>
      <c r="C498" s="14" t="str">
        <f t="shared" si="21"/>
        <v/>
      </c>
      <c r="D498" s="10" t="str">
        <f>IF(Registro!$E498="","",IF(ISERROR(FIND("x",LOWER(Registro!$E498))),"-",IFERROR(SUMPRODUCT(--("0"&amp;LEFT(TRIM(MID(SUBSTITUTE(SUBSTITUTE(SUBSTITUTE(SUBSTITUTE(SUBSTITUTE(LOWER(Registro!$E498),"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",LEN(Registro!$E498))),({1,2,3,4,5,6,7,8,9,10,11,12,13,14,15,16,17,18,19,20,21,22,23,24,25,26,27,28,29,30}-1)*LEN(Registro!$E498)+1,LEN(Registro!$E498)))&amp;"x")-1))),"Revisar formato")))</f>
        <v/>
      </c>
      <c r="E498" s="11" t="str">
        <f>IF(Registro!$E498="","",IF(ISERROR(FIND("x",LOWER(Registro!$E498))),"-",IFERROR(SUMPRODUCT(--("0"&amp;LEFT(TRIM(MID(SUBSTITUTE(SUBSTITUTE(SUBSTITUTE(SUBSTITUTE(SUBSTITUTE(LOWER(Registro!$E498),"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",LEN(Registro!$E498))),({1,2,3,4,5,6,7,8,9,10,11,12,13,14,15,16,17,18,19,20,21,22,23,24,25,26,27,28,29,30}-1)*LEN(Registro!$E498)+1,LEN(Registro!$E498)))&amp;"x")-1)),--("0"&amp;MID(TRIM(MID(SUBSTITUTE(SUBSTITUTE(SUBSTITUTE(SUBSTITUTE(SUBSTITUTE(LOWER(Registro!$E498),"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",LEN(Registro!$E498))),({1,2,3,4,5,6,7,8,9,10,11,12,13,14,15,16,17,18,19,20,21,22,23,24,25,26,27,28,29,30}-1)*LEN(Registro!$E498)+1,LEN(Registro!$E498)))&amp;"x")+1,20))),"Revisar formato")))</f>
        <v/>
      </c>
      <c r="F498" s="11" t="str">
        <f>IF(Registro!$F498="","",N(Registro!$F498))</f>
        <v/>
      </c>
      <c r="G498" s="11" t="str">
        <f t="shared" si="22"/>
        <v/>
      </c>
      <c r="H498" s="10" t="str">
        <f>IF(Registro!$G498="","",IF(ISERROR(FIND("x",LOWER(Registro!$G498))),"-",IFERROR(SUMPRODUCT(--("0"&amp;LEFT(TRIM(MID(SUBSTITUTE(SUBSTITUTE(SUBSTITUTE(SUBSTITUTE(SUBSTITUTE(LOWER(Registro!$G498),"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",LEN(Registro!$G498))),({1,2,3,4,5,6,7,8,9,10,11,12,13,14,15,16,17,18,19,20,21,22,23,24,25,26,27,28,29,30}-1)*LEN(Registro!$G498)+1,LEN(Registro!$G498))),FIND("x",TRIM(MID(SUBSTITUTE(SUBSTITUTE(SUBSTITUTE(SUBSTITUTE(SUBSTITUTE(LOWER(Registro!$G498),"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",LEN(Registro!$G498))),({1,2,3,4,5,6,7,8,9,10,11,12,13,14,15,16,17,18,19,20,21,22,23,24,25,26,27,28,29,30}-1)*LEN(Registro!$G498)+1,LEN(Registro!$G498)))&amp;"x")-1))),"Revisar formato")))</f>
        <v/>
      </c>
      <c r="I498" s="11" t="str">
        <f>IF(Registro!$G498="","",IF(ISERROR(FIND("x",LOWER(Registro!$G498))),N(Registro!$H498),IFERROR(SUMPRODUCT(--("0"&amp;LEFT(TRIM(MID(SUBSTITUTE(SUBSTITUTE(SUBSTITUTE(SUBSTITUTE(SUBSTITUTE(LOWER(Registro!$G498),"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",LEN(Registro!$G498))),({1,2,3,4,5,6,7,8,9,10,11,12,13,14,15,16,17,18,19,20,21,22,23,24,25,26,27,28,29,30}-1)*LEN(Registro!$G498)+1,LEN(Registro!$G498))),FIND("x",TRIM(MID(SUBSTITUTE(SUBSTITUTE(SUBSTITUTE(SUBSTITUTE(SUBSTITUTE(LOWER(Registro!$G498),"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",LEN(Registro!$G498))),({1,2,3,4,5,6,7,8,9,10,11,12,13,14,15,16,17,18,19,20,21,22,23,24,25,26,27,28,29,30}-1)*LEN(Registro!$G498)+1,LEN(Registro!$G498)))&amp;"x")-1)),--("0"&amp;MID(TRIM(MID(SUBSTITUTE(SUBSTITUTE(SUBSTITUTE(SUBSTITUTE(SUBSTITUTE(LOWER(Registro!$G498),"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",LEN(Registro!$G498))),({1,2,3,4,5,6,7,8,9,10,11,12,13,14,15,16,17,18,19,20,21,22,23,24,25,26,27,28,29,30}-1)*LEN(Registro!$G498)+1,LEN(Registro!$G498))),FIND("x",TRIM(MID(SUBSTITUTE(SUBSTITUTE(SUBSTITUTE(SUBSTITUTE(SUBSTITUTE(LOWER(Registro!$G498),"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",LEN(Registro!$G498))),({1,2,3,4,5,6,7,8,9,10,11,12,13,14,15,16,17,18,19,20,21,22,23,24,25,26,27,28,29,30}-1)*LEN(Registro!$G498)+1,LEN(Registro!$G498)))&amp;"x")+1,20))),"Revisar formato")))</f>
        <v/>
      </c>
      <c r="J498" s="9" t="str">
        <f>IF(AND(Registro!$E498="",Registro!$G498=""),"",IF(NOT(AND(ISNUMBER(I498),ISNUMBER(Registro!$H498))),"",IF(I498&lt;Registro!$H498,"FALTA BOLETOS",IF(I498=Registro!$H498,"CONFORME","DIFERENCIA"))))</f>
        <v/>
      </c>
      <c r="K498" s="11" t="str">
        <f>IF(Registro!$I498="","",IFERROR(SUMPRODUCT(--("0"&amp;TRIM(RIGHT(SUBSTITUTE(TRIM(MID(SUBSTITUTE(SUBSTITUTE(Registro!$I498,";",CHAR(10)),CHAR(10),REPT(" ",LEN(Registro!$I498))),({1,2,3,4,5,6,7,8,9,10,11,12,13,14,15,16,17,18,19,20,21,22,23,24,25,26,27,28,29,30}-1)*LEN(Registro!$I498)+1,LEN(Registro!$I498)))," ",REPT(" ",50)),50)))),"Revisar formato"))</f>
        <v/>
      </c>
      <c r="L498" s="11" t="str">
        <f>IF(Registro!$J498="","",IFERROR(SUMPRODUCT(--("0"&amp;TRIM(RIGHT(SUBSTITUTE(TRIM(MID(SUBSTITUTE(SUBSTITUTE(Registro!$J498,";",CHAR(10)),CHAR(10),REPT(" ",LEN(Registro!$J498))),({1,2,3,4,5,6,7,8,9,10,11,12,13,14,15,16,17,18,19,20,21,22,23,24,25,26,27,28,29,30}-1)*LEN(Registro!$J498)+1,LEN(Registro!$J498)))," ",REPT(" ",50)),50)))),"Revisar formato"))</f>
        <v/>
      </c>
      <c r="M498" s="11" t="str">
        <f>IF(AND(Registro!$H498="",Registro!$I498=""),"",IF(AND(ISTEXT(K498),K498&lt;&gt;""),"Revisar formato",N(Registro!$H498)-N(K498)))</f>
        <v/>
      </c>
      <c r="N498" s="11" t="str">
        <f t="shared" si="23"/>
        <v/>
      </c>
      <c r="O498" s="15" t="str">
        <f>IF(AND(A498=Consulta!$B$3,C498=Consulta!$H$3),B498*10000+ROW(),"")</f>
        <v/>
      </c>
    </row>
    <row r="499" spans="1:15" x14ac:dyDescent="0.25">
      <c r="A499" s="9" t="str">
        <f>IF(Registro!$A499="","",Registro!$A499)</f>
        <v/>
      </c>
      <c r="B499" s="8" t="str">
        <f>IF(Registro!$B499="","",Registro!$B499)</f>
        <v/>
      </c>
      <c r="C499" s="14" t="str">
        <f t="shared" si="21"/>
        <v/>
      </c>
      <c r="D499" s="10" t="str">
        <f>IF(Registro!$E499="","",IF(ISERROR(FIND("x",LOWER(Registro!$E499))),"-",IFERROR(SUMPRODUCT(--("0"&amp;LEFT(TRIM(MID(SUBSTITUTE(SUBSTITUTE(SUBSTITUTE(SUBSTITUTE(SUBSTITUTE(LOWER(Registro!$E499),"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",LEN(Registro!$E499))),({1,2,3,4,5,6,7,8,9,10,11,12,13,14,15,16,17,18,19,20,21,22,23,24,25,26,27,28,29,30}-1)*LEN(Registro!$E499)+1,LEN(Registro!$E499)))&amp;"x")-1))),"Revisar formato")))</f>
        <v/>
      </c>
      <c r="E499" s="11" t="str">
        <f>IF(Registro!$E499="","",IF(ISERROR(FIND("x",LOWER(Registro!$E499))),"-",IFERROR(SUMPRODUCT(--("0"&amp;LEFT(TRIM(MID(SUBSTITUTE(SUBSTITUTE(SUBSTITUTE(SUBSTITUTE(SUBSTITUTE(LOWER(Registro!$E499),"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",LEN(Registro!$E499))),({1,2,3,4,5,6,7,8,9,10,11,12,13,14,15,16,17,18,19,20,21,22,23,24,25,26,27,28,29,30}-1)*LEN(Registro!$E499)+1,LEN(Registro!$E499)))&amp;"x")-1)),--("0"&amp;MID(TRIM(MID(SUBSTITUTE(SUBSTITUTE(SUBSTITUTE(SUBSTITUTE(SUBSTITUTE(LOWER(Registro!$E499),"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",LEN(Registro!$E499))),({1,2,3,4,5,6,7,8,9,10,11,12,13,14,15,16,17,18,19,20,21,22,23,24,25,26,27,28,29,30}-1)*LEN(Registro!$E499)+1,LEN(Registro!$E499)))&amp;"x")+1,20))),"Revisar formato")))</f>
        <v/>
      </c>
      <c r="F499" s="11" t="str">
        <f>IF(Registro!$F499="","",N(Registro!$F499))</f>
        <v/>
      </c>
      <c r="G499" s="11" t="str">
        <f t="shared" si="22"/>
        <v/>
      </c>
      <c r="H499" s="10" t="str">
        <f>IF(Registro!$G499="","",IF(ISERROR(FIND("x",LOWER(Registro!$G499))),"-",IFERROR(SUMPRODUCT(--("0"&amp;LEFT(TRIM(MID(SUBSTITUTE(SUBSTITUTE(SUBSTITUTE(SUBSTITUTE(SUBSTITUTE(LOWER(Registro!$G499),"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",LEN(Registro!$G499))),({1,2,3,4,5,6,7,8,9,10,11,12,13,14,15,16,17,18,19,20,21,22,23,24,25,26,27,28,29,30}-1)*LEN(Registro!$G499)+1,LEN(Registro!$G499))),FIND("x",TRIM(MID(SUBSTITUTE(SUBSTITUTE(SUBSTITUTE(SUBSTITUTE(SUBSTITUTE(LOWER(Registro!$G499),"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",LEN(Registro!$G499))),({1,2,3,4,5,6,7,8,9,10,11,12,13,14,15,16,17,18,19,20,21,22,23,24,25,26,27,28,29,30}-1)*LEN(Registro!$G499)+1,LEN(Registro!$G499)))&amp;"x")-1))),"Revisar formato")))</f>
        <v/>
      </c>
      <c r="I499" s="11" t="str">
        <f>IF(Registro!$G499="","",IF(ISERROR(FIND("x",LOWER(Registro!$G499))),N(Registro!$H499),IFERROR(SUMPRODUCT(--("0"&amp;LEFT(TRIM(MID(SUBSTITUTE(SUBSTITUTE(SUBSTITUTE(SUBSTITUTE(SUBSTITUTE(LOWER(Registro!$G499),"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",LEN(Registro!$G499))),({1,2,3,4,5,6,7,8,9,10,11,12,13,14,15,16,17,18,19,20,21,22,23,24,25,26,27,28,29,30}-1)*LEN(Registro!$G499)+1,LEN(Registro!$G499))),FIND("x",TRIM(MID(SUBSTITUTE(SUBSTITUTE(SUBSTITUTE(SUBSTITUTE(SUBSTITUTE(LOWER(Registro!$G499),"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",LEN(Registro!$G499))),({1,2,3,4,5,6,7,8,9,10,11,12,13,14,15,16,17,18,19,20,21,22,23,24,25,26,27,28,29,30}-1)*LEN(Registro!$G499)+1,LEN(Registro!$G499)))&amp;"x")-1)),--("0"&amp;MID(TRIM(MID(SUBSTITUTE(SUBSTITUTE(SUBSTITUTE(SUBSTITUTE(SUBSTITUTE(LOWER(Registro!$G499),"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",LEN(Registro!$G499))),({1,2,3,4,5,6,7,8,9,10,11,12,13,14,15,16,17,18,19,20,21,22,23,24,25,26,27,28,29,30}-1)*LEN(Registro!$G499)+1,LEN(Registro!$G499))),FIND("x",TRIM(MID(SUBSTITUTE(SUBSTITUTE(SUBSTITUTE(SUBSTITUTE(SUBSTITUTE(LOWER(Registro!$G499),"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",LEN(Registro!$G499))),({1,2,3,4,5,6,7,8,9,10,11,12,13,14,15,16,17,18,19,20,21,22,23,24,25,26,27,28,29,30}-1)*LEN(Registro!$G499)+1,LEN(Registro!$G499)))&amp;"x")+1,20))),"Revisar formato")))</f>
        <v/>
      </c>
      <c r="J499" s="9" t="str">
        <f>IF(AND(Registro!$E499="",Registro!$G499=""),"",IF(NOT(AND(ISNUMBER(I499),ISNUMBER(Registro!$H499))),"",IF(I499&lt;Registro!$H499,"FALTA BOLETOS",IF(I499=Registro!$H499,"CONFORME","DIFERENCIA"))))</f>
        <v/>
      </c>
      <c r="K499" s="11" t="str">
        <f>IF(Registro!$I499="","",IFERROR(SUMPRODUCT(--("0"&amp;TRIM(RIGHT(SUBSTITUTE(TRIM(MID(SUBSTITUTE(SUBSTITUTE(Registro!$I499,";",CHAR(10)),CHAR(10),REPT(" ",LEN(Registro!$I499))),({1,2,3,4,5,6,7,8,9,10,11,12,13,14,15,16,17,18,19,20,21,22,23,24,25,26,27,28,29,30}-1)*LEN(Registro!$I499)+1,LEN(Registro!$I499)))," ",REPT(" ",50)),50)))),"Revisar formato"))</f>
        <v/>
      </c>
      <c r="L499" s="11" t="str">
        <f>IF(Registro!$J499="","",IFERROR(SUMPRODUCT(--("0"&amp;TRIM(RIGHT(SUBSTITUTE(TRIM(MID(SUBSTITUTE(SUBSTITUTE(Registro!$J499,";",CHAR(10)),CHAR(10),REPT(" ",LEN(Registro!$J499))),({1,2,3,4,5,6,7,8,9,10,11,12,13,14,15,16,17,18,19,20,21,22,23,24,25,26,27,28,29,30}-1)*LEN(Registro!$J499)+1,LEN(Registro!$J499)))," ",REPT(" ",50)),50)))),"Revisar formato"))</f>
        <v/>
      </c>
      <c r="M499" s="11" t="str">
        <f>IF(AND(Registro!$H499="",Registro!$I499=""),"",IF(AND(ISTEXT(K499),K499&lt;&gt;""),"Revisar formato",N(Registro!$H499)-N(K499)))</f>
        <v/>
      </c>
      <c r="N499" s="11" t="str">
        <f t="shared" si="23"/>
        <v/>
      </c>
      <c r="O499" s="15" t="str">
        <f>IF(AND(A499=Consulta!$B$3,C499=Consulta!$H$3),B499*10000+ROW(),"")</f>
        <v/>
      </c>
    </row>
    <row r="500" spans="1:15" x14ac:dyDescent="0.25">
      <c r="A500" s="9" t="str">
        <f>IF(Registro!$A500="","",Registro!$A500)</f>
        <v/>
      </c>
      <c r="B500" s="8" t="str">
        <f>IF(Registro!$B500="","",Registro!$B500)</f>
        <v/>
      </c>
      <c r="C500" s="14" t="str">
        <f t="shared" si="21"/>
        <v/>
      </c>
      <c r="D500" s="10" t="str">
        <f>IF(Registro!$E500="","",IF(ISERROR(FIND("x",LOWER(Registro!$E500))),"-",IFERROR(SUMPRODUCT(--("0"&amp;LEFT(TRIM(MID(SUBSTITUTE(SUBSTITUTE(SUBSTITUTE(SUBSTITUTE(SUBSTITUTE(LOWER(Registro!$E500),"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",LEN(Registro!$E500))),({1,2,3,4,5,6,7,8,9,10,11,12,13,14,15,16,17,18,19,20,21,22,23,24,25,26,27,28,29,30}-1)*LEN(Registro!$E500)+1,LEN(Registro!$E500)))&amp;"x")-1))),"Revisar formato")))</f>
        <v/>
      </c>
      <c r="E500" s="11" t="str">
        <f>IF(Registro!$E500="","",IF(ISERROR(FIND("x",LOWER(Registro!$E500))),"-",IFERROR(SUMPRODUCT(--("0"&amp;LEFT(TRIM(MID(SUBSTITUTE(SUBSTITUTE(SUBSTITUTE(SUBSTITUTE(SUBSTITUTE(LOWER(Registro!$E500),"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",LEN(Registro!$E500))),({1,2,3,4,5,6,7,8,9,10,11,12,13,14,15,16,17,18,19,20,21,22,23,24,25,26,27,28,29,30}-1)*LEN(Registro!$E500)+1,LEN(Registro!$E500)))&amp;"x")-1)),--("0"&amp;MID(TRIM(MID(SUBSTITUTE(SUBSTITUTE(SUBSTITUTE(SUBSTITUTE(SUBSTITUTE(LOWER(Registro!$E500),"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",LEN(Registro!$E500))),({1,2,3,4,5,6,7,8,9,10,11,12,13,14,15,16,17,18,19,20,21,22,23,24,25,26,27,28,29,30}-1)*LEN(Registro!$E500)+1,LEN(Registro!$E500)))&amp;"x")+1,20))),"Revisar formato")))</f>
        <v/>
      </c>
      <c r="F500" s="11" t="str">
        <f>IF(Registro!$F500="","",N(Registro!$F500))</f>
        <v/>
      </c>
      <c r="G500" s="11" t="str">
        <f t="shared" si="22"/>
        <v/>
      </c>
      <c r="H500" s="10" t="str">
        <f>IF(Registro!$G500="","",IF(ISERROR(FIND("x",LOWER(Registro!$G500))),"-",IFERROR(SUMPRODUCT(--("0"&amp;LEFT(TRIM(MID(SUBSTITUTE(SUBSTITUTE(SUBSTITUTE(SUBSTITUTE(SUBSTITUTE(LOWER(Registro!$G500),"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",LEN(Registro!$G500))),({1,2,3,4,5,6,7,8,9,10,11,12,13,14,15,16,17,18,19,20,21,22,23,24,25,26,27,28,29,30}-1)*LEN(Registro!$G500)+1,LEN(Registro!$G500))),FIND("x",TRIM(MID(SUBSTITUTE(SUBSTITUTE(SUBSTITUTE(SUBSTITUTE(SUBSTITUTE(LOWER(Registro!$G500),"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",LEN(Registro!$G500))),({1,2,3,4,5,6,7,8,9,10,11,12,13,14,15,16,17,18,19,20,21,22,23,24,25,26,27,28,29,30}-1)*LEN(Registro!$G500)+1,LEN(Registro!$G500)))&amp;"x")-1))),"Revisar formato")))</f>
        <v/>
      </c>
      <c r="I500" s="11" t="str">
        <f>IF(Registro!$G500="","",IF(ISERROR(FIND("x",LOWER(Registro!$G500))),N(Registro!$H500),IFERROR(SUMPRODUCT(--("0"&amp;LEFT(TRIM(MID(SUBSTITUTE(SUBSTITUTE(SUBSTITUTE(SUBSTITUTE(SUBSTITUTE(LOWER(Registro!$G500),"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",LEN(Registro!$G500))),({1,2,3,4,5,6,7,8,9,10,11,12,13,14,15,16,17,18,19,20,21,22,23,24,25,26,27,28,29,30}-1)*LEN(Registro!$G500)+1,LEN(Registro!$G500))),FIND("x",TRIM(MID(SUBSTITUTE(SUBSTITUTE(SUBSTITUTE(SUBSTITUTE(SUBSTITUTE(LOWER(Registro!$G500),"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",LEN(Registro!$G500))),({1,2,3,4,5,6,7,8,9,10,11,12,13,14,15,16,17,18,19,20,21,22,23,24,25,26,27,28,29,30}-1)*LEN(Registro!$G500)+1,LEN(Registro!$G500)))&amp;"x")-1)),--("0"&amp;MID(TRIM(MID(SUBSTITUTE(SUBSTITUTE(SUBSTITUTE(SUBSTITUTE(SUBSTITUTE(LOWER(Registro!$G500),"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",LEN(Registro!$G500))),({1,2,3,4,5,6,7,8,9,10,11,12,13,14,15,16,17,18,19,20,21,22,23,24,25,26,27,28,29,30}-1)*LEN(Registro!$G500)+1,LEN(Registro!$G500))),FIND("x",TRIM(MID(SUBSTITUTE(SUBSTITUTE(SUBSTITUTE(SUBSTITUTE(SUBSTITUTE(LOWER(Registro!$G500),"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",LEN(Registro!$G500))),({1,2,3,4,5,6,7,8,9,10,11,12,13,14,15,16,17,18,19,20,21,22,23,24,25,26,27,28,29,30}-1)*LEN(Registro!$G500)+1,LEN(Registro!$G500)))&amp;"x")+1,20))),"Revisar formato")))</f>
        <v/>
      </c>
      <c r="J500" s="9" t="str">
        <f>IF(AND(Registro!$E500="",Registro!$G500=""),"",IF(NOT(AND(ISNUMBER(I500),ISNUMBER(Registro!$H500))),"",IF(I500&lt;Registro!$H500,"FALTA BOLETOS",IF(I500=Registro!$H500,"CONFORME","DIFERENCIA"))))</f>
        <v/>
      </c>
      <c r="K500" s="11" t="str">
        <f>IF(Registro!$I500="","",IFERROR(SUMPRODUCT(--("0"&amp;TRIM(RIGHT(SUBSTITUTE(TRIM(MID(SUBSTITUTE(SUBSTITUTE(Registro!$I500,";",CHAR(10)),CHAR(10),REPT(" ",LEN(Registro!$I500))),({1,2,3,4,5,6,7,8,9,10,11,12,13,14,15,16,17,18,19,20,21,22,23,24,25,26,27,28,29,30}-1)*LEN(Registro!$I500)+1,LEN(Registro!$I500)))," ",REPT(" ",50)),50)))),"Revisar formato"))</f>
        <v/>
      </c>
      <c r="L500" s="11" t="str">
        <f>IF(Registro!$J500="","",IFERROR(SUMPRODUCT(--("0"&amp;TRIM(RIGHT(SUBSTITUTE(TRIM(MID(SUBSTITUTE(SUBSTITUTE(Registro!$J500,";",CHAR(10)),CHAR(10),REPT(" ",LEN(Registro!$J500))),({1,2,3,4,5,6,7,8,9,10,11,12,13,14,15,16,17,18,19,20,21,22,23,24,25,26,27,28,29,30}-1)*LEN(Registro!$J500)+1,LEN(Registro!$J500)))," ",REPT(" ",50)),50)))),"Revisar formato"))</f>
        <v/>
      </c>
      <c r="M500" s="11" t="str">
        <f>IF(AND(Registro!$H500="",Registro!$I500=""),"",IF(AND(ISTEXT(K500),K500&lt;&gt;""),"Revisar formato",N(Registro!$H500)-N(K500)))</f>
        <v/>
      </c>
      <c r="N500" s="11" t="str">
        <f t="shared" si="23"/>
        <v/>
      </c>
      <c r="O500" s="15" t="str">
        <f>IF(AND(A500=Consulta!$B$3,C500=Consulta!$H$3),B500*10000+ROW(),"")</f>
        <v/>
      </c>
    </row>
    <row r="501" spans="1:15" x14ac:dyDescent="0.25">
      <c r="A501" s="9" t="str">
        <f>IF(Registro!$A501="","",Registro!$A501)</f>
        <v/>
      </c>
      <c r="B501" s="8" t="str">
        <f>IF(Registro!$B501="","",Registro!$B501)</f>
        <v/>
      </c>
      <c r="C501" s="14" t="str">
        <f t="shared" si="21"/>
        <v/>
      </c>
      <c r="D501" s="10" t="str">
        <f>IF(Registro!$E501="","",IF(ISERROR(FIND("x",LOWER(Registro!$E501))),"-",IFERROR(SUMPRODUCT(--("0"&amp;LEFT(TRIM(MID(SUBSTITUTE(SUBSTITUTE(SUBSTITUTE(SUBSTITUTE(SUBSTITUTE(LOWER(Registro!$E501),"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",LEN(Registro!$E501))),({1,2,3,4,5,6,7,8,9,10,11,12,13,14,15,16,17,18,19,20,21,22,23,24,25,26,27,28,29,30}-1)*LEN(Registro!$E501)+1,LEN(Registro!$E501)))&amp;"x")-1))),"Revisar formato")))</f>
        <v/>
      </c>
      <c r="E501" s="11" t="str">
        <f>IF(Registro!$E501="","",IF(ISERROR(FIND("x",LOWER(Registro!$E501))),"-",IFERROR(SUMPRODUCT(--("0"&amp;LEFT(TRIM(MID(SUBSTITUTE(SUBSTITUTE(SUBSTITUTE(SUBSTITUTE(SUBSTITUTE(LOWER(Registro!$E501),"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",LEN(Registro!$E501))),({1,2,3,4,5,6,7,8,9,10,11,12,13,14,15,16,17,18,19,20,21,22,23,24,25,26,27,28,29,30}-1)*LEN(Registro!$E501)+1,LEN(Registro!$E501)))&amp;"x")-1)),--("0"&amp;MID(TRIM(MID(SUBSTITUTE(SUBSTITUTE(SUBSTITUTE(SUBSTITUTE(SUBSTITUTE(LOWER(Registro!$E501),"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",LEN(Registro!$E501))),({1,2,3,4,5,6,7,8,9,10,11,12,13,14,15,16,17,18,19,20,21,22,23,24,25,26,27,28,29,30}-1)*LEN(Registro!$E501)+1,LEN(Registro!$E501)))&amp;"x")+1,20))),"Revisar formato")))</f>
        <v/>
      </c>
      <c r="F501" s="11" t="str">
        <f>IF(Registro!$F501="","",N(Registro!$F501))</f>
        <v/>
      </c>
      <c r="G501" s="11" t="str">
        <f t="shared" si="22"/>
        <v/>
      </c>
      <c r="H501" s="10" t="str">
        <f>IF(Registro!$G501="","",IF(ISERROR(FIND("x",LOWER(Registro!$G501))),"-",IFERROR(SUMPRODUCT(--("0"&amp;LEFT(TRIM(MID(SUBSTITUTE(SUBSTITUTE(SUBSTITUTE(SUBSTITUTE(SUBSTITUTE(LOWER(Registro!$G501),"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",LEN(Registro!$G501))),({1,2,3,4,5,6,7,8,9,10,11,12,13,14,15,16,17,18,19,20,21,22,23,24,25,26,27,28,29,30}-1)*LEN(Registro!$G501)+1,LEN(Registro!$G501))),FIND("x",TRIM(MID(SUBSTITUTE(SUBSTITUTE(SUBSTITUTE(SUBSTITUTE(SUBSTITUTE(LOWER(Registro!$G501),"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",LEN(Registro!$G501))),({1,2,3,4,5,6,7,8,9,10,11,12,13,14,15,16,17,18,19,20,21,22,23,24,25,26,27,28,29,30}-1)*LEN(Registro!$G501)+1,LEN(Registro!$G501)))&amp;"x")-1))),"Revisar formato")))</f>
        <v/>
      </c>
      <c r="I501" s="11" t="str">
        <f>IF(Registro!$G501="","",IF(ISERROR(FIND("x",LOWER(Registro!$G501))),N(Registro!$H501),IFERROR(SUMPRODUCT(--("0"&amp;LEFT(TRIM(MID(SUBSTITUTE(SUBSTITUTE(SUBSTITUTE(SUBSTITUTE(SUBSTITUTE(LOWER(Registro!$G501),"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",LEN(Registro!$G501))),({1,2,3,4,5,6,7,8,9,10,11,12,13,14,15,16,17,18,19,20,21,22,23,24,25,26,27,28,29,30}-1)*LEN(Registro!$G501)+1,LEN(Registro!$G501))),FIND("x",TRIM(MID(SUBSTITUTE(SUBSTITUTE(SUBSTITUTE(SUBSTITUTE(SUBSTITUTE(LOWER(Registro!$G501),"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",LEN(Registro!$G501))),({1,2,3,4,5,6,7,8,9,10,11,12,13,14,15,16,17,18,19,20,21,22,23,24,25,26,27,28,29,30}-1)*LEN(Registro!$G501)+1,LEN(Registro!$G501)))&amp;"x")-1)),--("0"&amp;MID(TRIM(MID(SUBSTITUTE(SUBSTITUTE(SUBSTITUTE(SUBSTITUTE(SUBSTITUTE(LOWER(Registro!$G501),"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",LEN(Registro!$G501))),({1,2,3,4,5,6,7,8,9,10,11,12,13,14,15,16,17,18,19,20,21,22,23,24,25,26,27,28,29,30}-1)*LEN(Registro!$G501)+1,LEN(Registro!$G501))),FIND("x",TRIM(MID(SUBSTITUTE(SUBSTITUTE(SUBSTITUTE(SUBSTITUTE(SUBSTITUTE(LOWER(Registro!$G501),"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",LEN(Registro!$G501))),({1,2,3,4,5,6,7,8,9,10,11,12,13,14,15,16,17,18,19,20,21,22,23,24,25,26,27,28,29,30}-1)*LEN(Registro!$G501)+1,LEN(Registro!$G501)))&amp;"x")+1,20))),"Revisar formato")))</f>
        <v/>
      </c>
      <c r="J501" s="9" t="str">
        <f>IF(AND(Registro!$E501="",Registro!$G501=""),"",IF(NOT(AND(ISNUMBER(I501),ISNUMBER(Registro!$H501))),"",IF(I501&lt;Registro!$H501,"FALTA BOLETOS",IF(I501=Registro!$H501,"CONFORME","DIFERENCIA"))))</f>
        <v/>
      </c>
      <c r="K501" s="11" t="str">
        <f>IF(Registro!$I501="","",IFERROR(SUMPRODUCT(--("0"&amp;TRIM(RIGHT(SUBSTITUTE(TRIM(MID(SUBSTITUTE(SUBSTITUTE(Registro!$I501,";",CHAR(10)),CHAR(10),REPT(" ",LEN(Registro!$I501))),({1,2,3,4,5,6,7,8,9,10,11,12,13,14,15,16,17,18,19,20,21,22,23,24,25,26,27,28,29,30}-1)*LEN(Registro!$I501)+1,LEN(Registro!$I501)))," ",REPT(" ",50)),50)))),"Revisar formato"))</f>
        <v/>
      </c>
      <c r="L501" s="11" t="str">
        <f>IF(Registro!$J501="","",IFERROR(SUMPRODUCT(--("0"&amp;TRIM(RIGHT(SUBSTITUTE(TRIM(MID(SUBSTITUTE(SUBSTITUTE(Registro!$J501,";",CHAR(10)),CHAR(10),REPT(" ",LEN(Registro!$J501))),({1,2,3,4,5,6,7,8,9,10,11,12,13,14,15,16,17,18,19,20,21,22,23,24,25,26,27,28,29,30}-1)*LEN(Registro!$J501)+1,LEN(Registro!$J501)))," ",REPT(" ",50)),50)))),"Revisar formato"))</f>
        <v/>
      </c>
      <c r="M501" s="11" t="str">
        <f>IF(AND(Registro!$H501="",Registro!$I501=""),"",IF(AND(ISTEXT(K501),K501&lt;&gt;""),"Revisar formato",N(Registro!$H501)-N(K501)))</f>
        <v/>
      </c>
      <c r="N501" s="11" t="str">
        <f t="shared" si="23"/>
        <v/>
      </c>
      <c r="O501" s="15" t="str">
        <f>IF(AND(A501=Consulta!$B$3,C501=Consulta!$H$3),B501*10000+ROW(),"")</f>
        <v/>
      </c>
    </row>
    <row r="502" spans="1:15" x14ac:dyDescent="0.25">
      <c r="A502" s="9" t="str">
        <f>IF(Registro!$A502="","",Registro!$A502)</f>
        <v/>
      </c>
      <c r="B502" s="8" t="str">
        <f>IF(Registro!$B502="","",Registro!$B502)</f>
        <v/>
      </c>
      <c r="C502" s="14" t="str">
        <f t="shared" si="21"/>
        <v/>
      </c>
      <c r="D502" s="10" t="str">
        <f>IF(Registro!$E502="","",IF(ISERROR(FIND("x",LOWER(Registro!$E502))),"-",IFERROR(SUMPRODUCT(--("0"&amp;LEFT(TRIM(MID(SUBSTITUTE(SUBSTITUTE(SUBSTITUTE(SUBSTITUTE(SUBSTITUTE(LOWER(Registro!$E502),"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",LEN(Registro!$E502))),({1,2,3,4,5,6,7,8,9,10,11,12,13,14,15,16,17,18,19,20,21,22,23,24,25,26,27,28,29,30}-1)*LEN(Registro!$E502)+1,LEN(Registro!$E502)))&amp;"x")-1))),"Revisar formato")))</f>
        <v/>
      </c>
      <c r="E502" s="11" t="str">
        <f>IF(Registro!$E502="","",IF(ISERROR(FIND("x",LOWER(Registro!$E502))),"-",IFERROR(SUMPRODUCT(--("0"&amp;LEFT(TRIM(MID(SUBSTITUTE(SUBSTITUTE(SUBSTITUTE(SUBSTITUTE(SUBSTITUTE(LOWER(Registro!$E502),"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",LEN(Registro!$E502))),({1,2,3,4,5,6,7,8,9,10,11,12,13,14,15,16,17,18,19,20,21,22,23,24,25,26,27,28,29,30}-1)*LEN(Registro!$E502)+1,LEN(Registro!$E502)))&amp;"x")-1)),--("0"&amp;MID(TRIM(MID(SUBSTITUTE(SUBSTITUTE(SUBSTITUTE(SUBSTITUTE(SUBSTITUTE(LOWER(Registro!$E502),"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",LEN(Registro!$E502))),({1,2,3,4,5,6,7,8,9,10,11,12,13,14,15,16,17,18,19,20,21,22,23,24,25,26,27,28,29,30}-1)*LEN(Registro!$E502)+1,LEN(Registro!$E502)))&amp;"x")+1,20))),"Revisar formato")))</f>
        <v/>
      </c>
      <c r="F502" s="11" t="str">
        <f>IF(Registro!$F502="","",N(Registro!$F502))</f>
        <v/>
      </c>
      <c r="G502" s="11" t="str">
        <f t="shared" si="22"/>
        <v/>
      </c>
      <c r="H502" s="10" t="str">
        <f>IF(Registro!$G502="","",IF(ISERROR(FIND("x",LOWER(Registro!$G502))),"-",IFERROR(SUMPRODUCT(--("0"&amp;LEFT(TRIM(MID(SUBSTITUTE(SUBSTITUTE(SUBSTITUTE(SUBSTITUTE(SUBSTITUTE(LOWER(Registro!$G502),"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",LEN(Registro!$G502))),({1,2,3,4,5,6,7,8,9,10,11,12,13,14,15,16,17,18,19,20,21,22,23,24,25,26,27,28,29,30}-1)*LEN(Registro!$G502)+1,LEN(Registro!$G502))),FIND("x",TRIM(MID(SUBSTITUTE(SUBSTITUTE(SUBSTITUTE(SUBSTITUTE(SUBSTITUTE(LOWER(Registro!$G502),"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",LEN(Registro!$G502))),({1,2,3,4,5,6,7,8,9,10,11,12,13,14,15,16,17,18,19,20,21,22,23,24,25,26,27,28,29,30}-1)*LEN(Registro!$G502)+1,LEN(Registro!$G502)))&amp;"x")-1))),"Revisar formato")))</f>
        <v/>
      </c>
      <c r="I502" s="11" t="str">
        <f>IF(Registro!$G502="","",IF(ISERROR(FIND("x",LOWER(Registro!$G502))),N(Registro!$H502),IFERROR(SUMPRODUCT(--("0"&amp;LEFT(TRIM(MID(SUBSTITUTE(SUBSTITUTE(SUBSTITUTE(SUBSTITUTE(SUBSTITUTE(LOWER(Registro!$G502),"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",LEN(Registro!$G502))),({1,2,3,4,5,6,7,8,9,10,11,12,13,14,15,16,17,18,19,20,21,22,23,24,25,26,27,28,29,30}-1)*LEN(Registro!$G502)+1,LEN(Registro!$G502))),FIND("x",TRIM(MID(SUBSTITUTE(SUBSTITUTE(SUBSTITUTE(SUBSTITUTE(SUBSTITUTE(LOWER(Registro!$G502),"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",LEN(Registro!$G502))),({1,2,3,4,5,6,7,8,9,10,11,12,13,14,15,16,17,18,19,20,21,22,23,24,25,26,27,28,29,30}-1)*LEN(Registro!$G502)+1,LEN(Registro!$G502)))&amp;"x")-1)),--("0"&amp;MID(TRIM(MID(SUBSTITUTE(SUBSTITUTE(SUBSTITUTE(SUBSTITUTE(SUBSTITUTE(LOWER(Registro!$G502),"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",LEN(Registro!$G502))),({1,2,3,4,5,6,7,8,9,10,11,12,13,14,15,16,17,18,19,20,21,22,23,24,25,26,27,28,29,30}-1)*LEN(Registro!$G502)+1,LEN(Registro!$G502))),FIND("x",TRIM(MID(SUBSTITUTE(SUBSTITUTE(SUBSTITUTE(SUBSTITUTE(SUBSTITUTE(LOWER(Registro!$G502),"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",LEN(Registro!$G502))),({1,2,3,4,5,6,7,8,9,10,11,12,13,14,15,16,17,18,19,20,21,22,23,24,25,26,27,28,29,30}-1)*LEN(Registro!$G502)+1,LEN(Registro!$G502)))&amp;"x")+1,20))),"Revisar formato")))</f>
        <v/>
      </c>
      <c r="J502" s="9" t="str">
        <f>IF(AND(Registro!$E502="",Registro!$G502=""),"",IF(NOT(AND(ISNUMBER(I502),ISNUMBER(Registro!$H502))),"",IF(I502&lt;Registro!$H502,"FALTA BOLETOS",IF(I502=Registro!$H502,"CONFORME","DIFERENCIA"))))</f>
        <v/>
      </c>
      <c r="K502" s="11" t="str">
        <f>IF(Registro!$I502="","",IFERROR(SUMPRODUCT(--("0"&amp;TRIM(RIGHT(SUBSTITUTE(TRIM(MID(SUBSTITUTE(SUBSTITUTE(Registro!$I502,";",CHAR(10)),CHAR(10),REPT(" ",LEN(Registro!$I502))),({1,2,3,4,5,6,7,8,9,10,11,12,13,14,15,16,17,18,19,20,21,22,23,24,25,26,27,28,29,30}-1)*LEN(Registro!$I502)+1,LEN(Registro!$I502)))," ",REPT(" ",50)),50)))),"Revisar formato"))</f>
        <v/>
      </c>
      <c r="L502" s="11" t="str">
        <f>IF(Registro!$J502="","",IFERROR(SUMPRODUCT(--("0"&amp;TRIM(RIGHT(SUBSTITUTE(TRIM(MID(SUBSTITUTE(SUBSTITUTE(Registro!$J502,";",CHAR(10)),CHAR(10),REPT(" ",LEN(Registro!$J502))),({1,2,3,4,5,6,7,8,9,10,11,12,13,14,15,16,17,18,19,20,21,22,23,24,25,26,27,28,29,30}-1)*LEN(Registro!$J502)+1,LEN(Registro!$J502)))," ",REPT(" ",50)),50)))),"Revisar formato"))</f>
        <v/>
      </c>
      <c r="M502" s="11" t="str">
        <f>IF(AND(Registro!$H502="",Registro!$I502=""),"",IF(AND(ISTEXT(K502),K502&lt;&gt;""),"Revisar formato",N(Registro!$H502)-N(K502)))</f>
        <v/>
      </c>
      <c r="N502" s="11" t="str">
        <f t="shared" si="23"/>
        <v/>
      </c>
      <c r="O502" s="15" t="str">
        <f>IF(AND(A502=Consulta!$B$3,C502=Consulta!$H$3),B502*10000+ROW(),"")</f>
        <v/>
      </c>
    </row>
    <row r="503" spans="1:15" x14ac:dyDescent="0.25">
      <c r="A503" s="9" t="str">
        <f>IF(Registro!$A503="","",Registro!$A503)</f>
        <v/>
      </c>
      <c r="B503" s="8" t="str">
        <f>IF(Registro!$B503="","",Registro!$B503)</f>
        <v/>
      </c>
      <c r="C503" s="14" t="str">
        <f t="shared" si="21"/>
        <v/>
      </c>
      <c r="D503" s="10" t="str">
        <f>IF(Registro!$E503="","",IF(ISERROR(FIND("x",LOWER(Registro!$E503))),"-",IFERROR(SUMPRODUCT(--("0"&amp;LEFT(TRIM(MID(SUBSTITUTE(SUBSTITUTE(SUBSTITUTE(SUBSTITUTE(SUBSTITUTE(LOWER(Registro!$E503),"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",LEN(Registro!$E503))),({1,2,3,4,5,6,7,8,9,10,11,12,13,14,15,16,17,18,19,20,21,22,23,24,25,26,27,28,29,30}-1)*LEN(Registro!$E503)+1,LEN(Registro!$E503)))&amp;"x")-1))),"Revisar formato")))</f>
        <v/>
      </c>
      <c r="E503" s="11" t="str">
        <f>IF(Registro!$E503="","",IF(ISERROR(FIND("x",LOWER(Registro!$E503))),"-",IFERROR(SUMPRODUCT(--("0"&amp;LEFT(TRIM(MID(SUBSTITUTE(SUBSTITUTE(SUBSTITUTE(SUBSTITUTE(SUBSTITUTE(LOWER(Registro!$E503),"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",LEN(Registro!$E503))),({1,2,3,4,5,6,7,8,9,10,11,12,13,14,15,16,17,18,19,20,21,22,23,24,25,26,27,28,29,30}-1)*LEN(Registro!$E503)+1,LEN(Registro!$E503)))&amp;"x")-1)),--("0"&amp;MID(TRIM(MID(SUBSTITUTE(SUBSTITUTE(SUBSTITUTE(SUBSTITUTE(SUBSTITUTE(LOWER(Registro!$E503),"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",LEN(Registro!$E503))),({1,2,3,4,5,6,7,8,9,10,11,12,13,14,15,16,17,18,19,20,21,22,23,24,25,26,27,28,29,30}-1)*LEN(Registro!$E503)+1,LEN(Registro!$E503)))&amp;"x")+1,20))),"Revisar formato")))</f>
        <v/>
      </c>
      <c r="F503" s="11" t="str">
        <f>IF(Registro!$F503="","",N(Registro!$F503))</f>
        <v/>
      </c>
      <c r="G503" s="11" t="str">
        <f t="shared" si="22"/>
        <v/>
      </c>
      <c r="H503" s="10" t="str">
        <f>IF(Registro!$G503="","",IF(ISERROR(FIND("x",LOWER(Registro!$G503))),"-",IFERROR(SUMPRODUCT(--("0"&amp;LEFT(TRIM(MID(SUBSTITUTE(SUBSTITUTE(SUBSTITUTE(SUBSTITUTE(SUBSTITUTE(LOWER(Registro!$G503),"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",LEN(Registro!$G503))),({1,2,3,4,5,6,7,8,9,10,11,12,13,14,15,16,17,18,19,20,21,22,23,24,25,26,27,28,29,30}-1)*LEN(Registro!$G503)+1,LEN(Registro!$G503))),FIND("x",TRIM(MID(SUBSTITUTE(SUBSTITUTE(SUBSTITUTE(SUBSTITUTE(SUBSTITUTE(LOWER(Registro!$G503),"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",LEN(Registro!$G503))),({1,2,3,4,5,6,7,8,9,10,11,12,13,14,15,16,17,18,19,20,21,22,23,24,25,26,27,28,29,30}-1)*LEN(Registro!$G503)+1,LEN(Registro!$G503)))&amp;"x")-1))),"Revisar formato")))</f>
        <v/>
      </c>
      <c r="I503" s="11" t="str">
        <f>IF(Registro!$G503="","",IF(ISERROR(FIND("x",LOWER(Registro!$G503))),N(Registro!$H503),IFERROR(SUMPRODUCT(--("0"&amp;LEFT(TRIM(MID(SUBSTITUTE(SUBSTITUTE(SUBSTITUTE(SUBSTITUTE(SUBSTITUTE(LOWER(Registro!$G503),"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",LEN(Registro!$G503))),({1,2,3,4,5,6,7,8,9,10,11,12,13,14,15,16,17,18,19,20,21,22,23,24,25,26,27,28,29,30}-1)*LEN(Registro!$G503)+1,LEN(Registro!$G503))),FIND("x",TRIM(MID(SUBSTITUTE(SUBSTITUTE(SUBSTITUTE(SUBSTITUTE(SUBSTITUTE(LOWER(Registro!$G503),"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",LEN(Registro!$G503))),({1,2,3,4,5,6,7,8,9,10,11,12,13,14,15,16,17,18,19,20,21,22,23,24,25,26,27,28,29,30}-1)*LEN(Registro!$G503)+1,LEN(Registro!$G503)))&amp;"x")-1)),--("0"&amp;MID(TRIM(MID(SUBSTITUTE(SUBSTITUTE(SUBSTITUTE(SUBSTITUTE(SUBSTITUTE(LOWER(Registro!$G503),"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",LEN(Registro!$G503))),({1,2,3,4,5,6,7,8,9,10,11,12,13,14,15,16,17,18,19,20,21,22,23,24,25,26,27,28,29,30}-1)*LEN(Registro!$G503)+1,LEN(Registro!$G503))),FIND("x",TRIM(MID(SUBSTITUTE(SUBSTITUTE(SUBSTITUTE(SUBSTITUTE(SUBSTITUTE(LOWER(Registro!$G503),"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",LEN(Registro!$G503))),({1,2,3,4,5,6,7,8,9,10,11,12,13,14,15,16,17,18,19,20,21,22,23,24,25,26,27,28,29,30}-1)*LEN(Registro!$G503)+1,LEN(Registro!$G503)))&amp;"x")+1,20))),"Revisar formato")))</f>
        <v/>
      </c>
      <c r="J503" s="9" t="str">
        <f>IF(AND(Registro!$E503="",Registro!$G503=""),"",IF(NOT(AND(ISNUMBER(I503),ISNUMBER(Registro!$H503))),"",IF(I503&lt;Registro!$H503,"FALTA BOLETOS",IF(I503=Registro!$H503,"CONFORME","DIFERENCIA"))))</f>
        <v/>
      </c>
      <c r="K503" s="11" t="str">
        <f>IF(Registro!$I503="","",IFERROR(SUMPRODUCT(--("0"&amp;TRIM(RIGHT(SUBSTITUTE(TRIM(MID(SUBSTITUTE(SUBSTITUTE(Registro!$I503,";",CHAR(10)),CHAR(10),REPT(" ",LEN(Registro!$I503))),({1,2,3,4,5,6,7,8,9,10,11,12,13,14,15,16,17,18,19,20,21,22,23,24,25,26,27,28,29,30}-1)*LEN(Registro!$I503)+1,LEN(Registro!$I503)))," ",REPT(" ",50)),50)))),"Revisar formato"))</f>
        <v/>
      </c>
      <c r="L503" s="11" t="str">
        <f>IF(Registro!$J503="","",IFERROR(SUMPRODUCT(--("0"&amp;TRIM(RIGHT(SUBSTITUTE(TRIM(MID(SUBSTITUTE(SUBSTITUTE(Registro!$J503,";",CHAR(10)),CHAR(10),REPT(" ",LEN(Registro!$J503))),({1,2,3,4,5,6,7,8,9,10,11,12,13,14,15,16,17,18,19,20,21,22,23,24,25,26,27,28,29,30}-1)*LEN(Registro!$J503)+1,LEN(Registro!$J503)))," ",REPT(" ",50)),50)))),"Revisar formato"))</f>
        <v/>
      </c>
      <c r="M503" s="11" t="str">
        <f>IF(AND(Registro!$H503="",Registro!$I503=""),"",IF(AND(ISTEXT(K503),K503&lt;&gt;""),"Revisar formato",N(Registro!$H503)-N(K503)))</f>
        <v/>
      </c>
      <c r="N503" s="11" t="str">
        <f t="shared" si="23"/>
        <v/>
      </c>
      <c r="O503" s="15" t="str">
        <f>IF(AND(A503=Consulta!$B$3,C503=Consulta!$H$3),B503*10000+ROW(),"")</f>
        <v/>
      </c>
    </row>
    <row r="504" spans="1:15" x14ac:dyDescent="0.25">
      <c r="A504" s="9" t="str">
        <f>IF(Registro!$A504="","",Registro!$A504)</f>
        <v/>
      </c>
      <c r="B504" s="8" t="str">
        <f>IF(Registro!$B504="","",Registro!$B504)</f>
        <v/>
      </c>
      <c r="C504" s="14" t="str">
        <f t="shared" si="21"/>
        <v/>
      </c>
      <c r="D504" s="10" t="str">
        <f>IF(Registro!$E504="","",IF(ISERROR(FIND("x",LOWER(Registro!$E504))),"-",IFERROR(SUMPRODUCT(--("0"&amp;LEFT(TRIM(MID(SUBSTITUTE(SUBSTITUTE(SUBSTITUTE(SUBSTITUTE(SUBSTITUTE(LOWER(Registro!$E504),"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",LEN(Registro!$E504))),({1,2,3,4,5,6,7,8,9,10,11,12,13,14,15,16,17,18,19,20,21,22,23,24,25,26,27,28,29,30}-1)*LEN(Registro!$E504)+1,LEN(Registro!$E504)))&amp;"x")-1))),"Revisar formato")))</f>
        <v/>
      </c>
      <c r="E504" s="11" t="str">
        <f>IF(Registro!$E504="","",IF(ISERROR(FIND("x",LOWER(Registro!$E504))),"-",IFERROR(SUMPRODUCT(--("0"&amp;LEFT(TRIM(MID(SUBSTITUTE(SUBSTITUTE(SUBSTITUTE(SUBSTITUTE(SUBSTITUTE(LOWER(Registro!$E504),"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",LEN(Registro!$E504))),({1,2,3,4,5,6,7,8,9,10,11,12,13,14,15,16,17,18,19,20,21,22,23,24,25,26,27,28,29,30}-1)*LEN(Registro!$E504)+1,LEN(Registro!$E504)))&amp;"x")-1)),--("0"&amp;MID(TRIM(MID(SUBSTITUTE(SUBSTITUTE(SUBSTITUTE(SUBSTITUTE(SUBSTITUTE(LOWER(Registro!$E504),"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",LEN(Registro!$E504))),({1,2,3,4,5,6,7,8,9,10,11,12,13,14,15,16,17,18,19,20,21,22,23,24,25,26,27,28,29,30}-1)*LEN(Registro!$E504)+1,LEN(Registro!$E504)))&amp;"x")+1,20))),"Revisar formato")))</f>
        <v/>
      </c>
      <c r="F504" s="11" t="str">
        <f>IF(Registro!$F504="","",N(Registro!$F504))</f>
        <v/>
      </c>
      <c r="G504" s="11" t="str">
        <f t="shared" si="22"/>
        <v/>
      </c>
      <c r="H504" s="10" t="str">
        <f>IF(Registro!$G504="","",IF(ISERROR(FIND("x",LOWER(Registro!$G504))),"-",IFERROR(SUMPRODUCT(--("0"&amp;LEFT(TRIM(MID(SUBSTITUTE(SUBSTITUTE(SUBSTITUTE(SUBSTITUTE(SUBSTITUTE(LOWER(Registro!$G504),"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",LEN(Registro!$G504))),({1,2,3,4,5,6,7,8,9,10,11,12,13,14,15,16,17,18,19,20,21,22,23,24,25,26,27,28,29,30}-1)*LEN(Registro!$G504)+1,LEN(Registro!$G504))),FIND("x",TRIM(MID(SUBSTITUTE(SUBSTITUTE(SUBSTITUTE(SUBSTITUTE(SUBSTITUTE(LOWER(Registro!$G504),"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",LEN(Registro!$G504))),({1,2,3,4,5,6,7,8,9,10,11,12,13,14,15,16,17,18,19,20,21,22,23,24,25,26,27,28,29,30}-1)*LEN(Registro!$G504)+1,LEN(Registro!$G504)))&amp;"x")-1))),"Revisar formato")))</f>
        <v/>
      </c>
      <c r="I504" s="11" t="str">
        <f>IF(Registro!$G504="","",IF(ISERROR(FIND("x",LOWER(Registro!$G504))),N(Registro!$H504),IFERROR(SUMPRODUCT(--("0"&amp;LEFT(TRIM(MID(SUBSTITUTE(SUBSTITUTE(SUBSTITUTE(SUBSTITUTE(SUBSTITUTE(LOWER(Registro!$G504),"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",LEN(Registro!$G504))),({1,2,3,4,5,6,7,8,9,10,11,12,13,14,15,16,17,18,19,20,21,22,23,24,25,26,27,28,29,30}-1)*LEN(Registro!$G504)+1,LEN(Registro!$G504))),FIND("x",TRIM(MID(SUBSTITUTE(SUBSTITUTE(SUBSTITUTE(SUBSTITUTE(SUBSTITUTE(LOWER(Registro!$G504),"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",LEN(Registro!$G504))),({1,2,3,4,5,6,7,8,9,10,11,12,13,14,15,16,17,18,19,20,21,22,23,24,25,26,27,28,29,30}-1)*LEN(Registro!$G504)+1,LEN(Registro!$G504)))&amp;"x")-1)),--("0"&amp;MID(TRIM(MID(SUBSTITUTE(SUBSTITUTE(SUBSTITUTE(SUBSTITUTE(SUBSTITUTE(LOWER(Registro!$G504),"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",LEN(Registro!$G504))),({1,2,3,4,5,6,7,8,9,10,11,12,13,14,15,16,17,18,19,20,21,22,23,24,25,26,27,28,29,30}-1)*LEN(Registro!$G504)+1,LEN(Registro!$G504))),FIND("x",TRIM(MID(SUBSTITUTE(SUBSTITUTE(SUBSTITUTE(SUBSTITUTE(SUBSTITUTE(LOWER(Registro!$G504),"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",LEN(Registro!$G504))),({1,2,3,4,5,6,7,8,9,10,11,12,13,14,15,16,17,18,19,20,21,22,23,24,25,26,27,28,29,30}-1)*LEN(Registro!$G504)+1,LEN(Registro!$G504)))&amp;"x")+1,20))),"Revisar formato")))</f>
        <v/>
      </c>
      <c r="J504" s="9" t="str">
        <f>IF(AND(Registro!$E504="",Registro!$G504=""),"",IF(NOT(AND(ISNUMBER(I504),ISNUMBER(Registro!$H504))),"",IF(I504&lt;Registro!$H504,"FALTA BOLETOS",IF(I504=Registro!$H504,"CONFORME","DIFERENCIA"))))</f>
        <v/>
      </c>
      <c r="K504" s="11" t="str">
        <f>IF(Registro!$I504="","",IFERROR(SUMPRODUCT(--("0"&amp;TRIM(RIGHT(SUBSTITUTE(TRIM(MID(SUBSTITUTE(SUBSTITUTE(Registro!$I504,";",CHAR(10)),CHAR(10),REPT(" ",LEN(Registro!$I504))),({1,2,3,4,5,6,7,8,9,10,11,12,13,14,15,16,17,18,19,20,21,22,23,24,25,26,27,28,29,30}-1)*LEN(Registro!$I504)+1,LEN(Registro!$I504)))," ",REPT(" ",50)),50)))),"Revisar formato"))</f>
        <v/>
      </c>
      <c r="L504" s="11" t="str">
        <f>IF(Registro!$J504="","",IFERROR(SUMPRODUCT(--("0"&amp;TRIM(RIGHT(SUBSTITUTE(TRIM(MID(SUBSTITUTE(SUBSTITUTE(Registro!$J504,";",CHAR(10)),CHAR(10),REPT(" ",LEN(Registro!$J504))),({1,2,3,4,5,6,7,8,9,10,11,12,13,14,15,16,17,18,19,20,21,22,23,24,25,26,27,28,29,30}-1)*LEN(Registro!$J504)+1,LEN(Registro!$J504)))," ",REPT(" ",50)),50)))),"Revisar formato"))</f>
        <v/>
      </c>
      <c r="M504" s="11" t="str">
        <f>IF(AND(Registro!$H504="",Registro!$I504=""),"",IF(AND(ISTEXT(K504),K504&lt;&gt;""),"Revisar formato",N(Registro!$H504)-N(K504)))</f>
        <v/>
      </c>
      <c r="N504" s="11" t="str">
        <f t="shared" si="23"/>
        <v/>
      </c>
      <c r="O504" s="15" t="str">
        <f>IF(AND(A504=Consulta!$B$3,C504=Consulta!$H$3),B504*10000+ROW(),"")</f>
        <v/>
      </c>
    </row>
    <row r="505" spans="1:15" x14ac:dyDescent="0.25">
      <c r="A505" s="9" t="str">
        <f>IF(Registro!$A505="","",Registro!$A505)</f>
        <v/>
      </c>
      <c r="B505" s="8" t="str">
        <f>IF(Registro!$B505="","",Registro!$B505)</f>
        <v/>
      </c>
      <c r="C505" s="14" t="str">
        <f t="shared" si="21"/>
        <v/>
      </c>
      <c r="D505" s="10" t="str">
        <f>IF(Registro!$E505="","",IF(ISERROR(FIND("x",LOWER(Registro!$E505))),"-",IFERROR(SUMPRODUCT(--("0"&amp;LEFT(TRIM(MID(SUBSTITUTE(SUBSTITUTE(SUBSTITUTE(SUBSTITUTE(SUBSTITUTE(LOWER(Registro!$E505),"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",LEN(Registro!$E505))),({1,2,3,4,5,6,7,8,9,10,11,12,13,14,15,16,17,18,19,20,21,22,23,24,25,26,27,28,29,30}-1)*LEN(Registro!$E505)+1,LEN(Registro!$E505)))&amp;"x")-1))),"Revisar formato")))</f>
        <v/>
      </c>
      <c r="E505" s="11" t="str">
        <f>IF(Registro!$E505="","",IF(ISERROR(FIND("x",LOWER(Registro!$E505))),"-",IFERROR(SUMPRODUCT(--("0"&amp;LEFT(TRIM(MID(SUBSTITUTE(SUBSTITUTE(SUBSTITUTE(SUBSTITUTE(SUBSTITUTE(LOWER(Registro!$E505),"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",LEN(Registro!$E505))),({1,2,3,4,5,6,7,8,9,10,11,12,13,14,15,16,17,18,19,20,21,22,23,24,25,26,27,28,29,30}-1)*LEN(Registro!$E505)+1,LEN(Registro!$E505)))&amp;"x")-1)),--("0"&amp;MID(TRIM(MID(SUBSTITUTE(SUBSTITUTE(SUBSTITUTE(SUBSTITUTE(SUBSTITUTE(LOWER(Registro!$E505),"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",LEN(Registro!$E505))),({1,2,3,4,5,6,7,8,9,10,11,12,13,14,15,16,17,18,19,20,21,22,23,24,25,26,27,28,29,30}-1)*LEN(Registro!$E505)+1,LEN(Registro!$E505)))&amp;"x")+1,20))),"Revisar formato")))</f>
        <v/>
      </c>
      <c r="F505" s="11" t="str">
        <f>IF(Registro!$F505="","",N(Registro!$F505))</f>
        <v/>
      </c>
      <c r="G505" s="11" t="str">
        <f t="shared" si="22"/>
        <v/>
      </c>
      <c r="H505" s="10" t="str">
        <f>IF(Registro!$G505="","",IF(ISERROR(FIND("x",LOWER(Registro!$G505))),"-",IFERROR(SUMPRODUCT(--("0"&amp;LEFT(TRIM(MID(SUBSTITUTE(SUBSTITUTE(SUBSTITUTE(SUBSTITUTE(SUBSTITUTE(LOWER(Registro!$G505),"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",LEN(Registro!$G505))),({1,2,3,4,5,6,7,8,9,10,11,12,13,14,15,16,17,18,19,20,21,22,23,24,25,26,27,28,29,30}-1)*LEN(Registro!$G505)+1,LEN(Registro!$G505))),FIND("x",TRIM(MID(SUBSTITUTE(SUBSTITUTE(SUBSTITUTE(SUBSTITUTE(SUBSTITUTE(LOWER(Registro!$G505),"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",LEN(Registro!$G505))),({1,2,3,4,5,6,7,8,9,10,11,12,13,14,15,16,17,18,19,20,21,22,23,24,25,26,27,28,29,30}-1)*LEN(Registro!$G505)+1,LEN(Registro!$G505)))&amp;"x")-1))),"Revisar formato")))</f>
        <v/>
      </c>
      <c r="I505" s="11" t="str">
        <f>IF(Registro!$G505="","",IF(ISERROR(FIND("x",LOWER(Registro!$G505))),N(Registro!$H505),IFERROR(SUMPRODUCT(--("0"&amp;LEFT(TRIM(MID(SUBSTITUTE(SUBSTITUTE(SUBSTITUTE(SUBSTITUTE(SUBSTITUTE(LOWER(Registro!$G505),"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",LEN(Registro!$G505))),({1,2,3,4,5,6,7,8,9,10,11,12,13,14,15,16,17,18,19,20,21,22,23,24,25,26,27,28,29,30}-1)*LEN(Registro!$G505)+1,LEN(Registro!$G505))),FIND("x",TRIM(MID(SUBSTITUTE(SUBSTITUTE(SUBSTITUTE(SUBSTITUTE(SUBSTITUTE(LOWER(Registro!$G505),"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",LEN(Registro!$G505))),({1,2,3,4,5,6,7,8,9,10,11,12,13,14,15,16,17,18,19,20,21,22,23,24,25,26,27,28,29,30}-1)*LEN(Registro!$G505)+1,LEN(Registro!$G505)))&amp;"x")-1)),--("0"&amp;MID(TRIM(MID(SUBSTITUTE(SUBSTITUTE(SUBSTITUTE(SUBSTITUTE(SUBSTITUTE(LOWER(Registro!$G505),"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",LEN(Registro!$G505))),({1,2,3,4,5,6,7,8,9,10,11,12,13,14,15,16,17,18,19,20,21,22,23,24,25,26,27,28,29,30}-1)*LEN(Registro!$G505)+1,LEN(Registro!$G505))),FIND("x",TRIM(MID(SUBSTITUTE(SUBSTITUTE(SUBSTITUTE(SUBSTITUTE(SUBSTITUTE(LOWER(Registro!$G505),"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",LEN(Registro!$G505))),({1,2,3,4,5,6,7,8,9,10,11,12,13,14,15,16,17,18,19,20,21,22,23,24,25,26,27,28,29,30}-1)*LEN(Registro!$G505)+1,LEN(Registro!$G505)))&amp;"x")+1,20))),"Revisar formato")))</f>
        <v/>
      </c>
      <c r="J505" s="9" t="str">
        <f>IF(AND(Registro!$E505="",Registro!$G505=""),"",IF(NOT(AND(ISNUMBER(I505),ISNUMBER(Registro!$H505))),"",IF(I505&lt;Registro!$H505,"FALTA BOLETOS",IF(I505=Registro!$H505,"CONFORME","DIFERENCIA"))))</f>
        <v/>
      </c>
      <c r="K505" s="11" t="str">
        <f>IF(Registro!$I505="","",IFERROR(SUMPRODUCT(--("0"&amp;TRIM(RIGHT(SUBSTITUTE(TRIM(MID(SUBSTITUTE(SUBSTITUTE(Registro!$I505,";",CHAR(10)),CHAR(10),REPT(" ",LEN(Registro!$I505))),({1,2,3,4,5,6,7,8,9,10,11,12,13,14,15,16,17,18,19,20,21,22,23,24,25,26,27,28,29,30}-1)*LEN(Registro!$I505)+1,LEN(Registro!$I505)))," ",REPT(" ",50)),50)))),"Revisar formato"))</f>
        <v/>
      </c>
      <c r="L505" s="11" t="str">
        <f>IF(Registro!$J505="","",IFERROR(SUMPRODUCT(--("0"&amp;TRIM(RIGHT(SUBSTITUTE(TRIM(MID(SUBSTITUTE(SUBSTITUTE(Registro!$J505,";",CHAR(10)),CHAR(10),REPT(" ",LEN(Registro!$J505))),({1,2,3,4,5,6,7,8,9,10,11,12,13,14,15,16,17,18,19,20,21,22,23,24,25,26,27,28,29,30}-1)*LEN(Registro!$J505)+1,LEN(Registro!$J505)))," ",REPT(" ",50)),50)))),"Revisar formato"))</f>
        <v/>
      </c>
      <c r="M505" s="11" t="str">
        <f>IF(AND(Registro!$H505="",Registro!$I505=""),"",IF(AND(ISTEXT(K505),K505&lt;&gt;""),"Revisar formato",N(Registro!$H505)-N(K505)))</f>
        <v/>
      </c>
      <c r="N505" s="11" t="str">
        <f t="shared" si="23"/>
        <v/>
      </c>
      <c r="O505" s="15" t="str">
        <f>IF(AND(A505=Consulta!$B$3,C505=Consulta!$H$3),B505*10000+ROW(),"")</f>
        <v/>
      </c>
    </row>
    <row r="506" spans="1:15" x14ac:dyDescent="0.25">
      <c r="A506" s="9" t="str">
        <f>IF(Registro!$A506="","",Registro!$A506)</f>
        <v/>
      </c>
      <c r="B506" s="8" t="str">
        <f>IF(Registro!$B506="","",Registro!$B506)</f>
        <v/>
      </c>
      <c r="C506" s="14" t="str">
        <f t="shared" si="21"/>
        <v/>
      </c>
      <c r="D506" s="10" t="str">
        <f>IF(Registro!$E506="","",IF(ISERROR(FIND("x",LOWER(Registro!$E506))),"-",IFERROR(SUMPRODUCT(--("0"&amp;LEFT(TRIM(MID(SUBSTITUTE(SUBSTITUTE(SUBSTITUTE(SUBSTITUTE(SUBSTITUTE(LOWER(Registro!$E506),"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",LEN(Registro!$E506))),({1,2,3,4,5,6,7,8,9,10,11,12,13,14,15,16,17,18,19,20,21,22,23,24,25,26,27,28,29,30}-1)*LEN(Registro!$E506)+1,LEN(Registro!$E506)))&amp;"x")-1))),"Revisar formato")))</f>
        <v/>
      </c>
      <c r="E506" s="11" t="str">
        <f>IF(Registro!$E506="","",IF(ISERROR(FIND("x",LOWER(Registro!$E506))),"-",IFERROR(SUMPRODUCT(--("0"&amp;LEFT(TRIM(MID(SUBSTITUTE(SUBSTITUTE(SUBSTITUTE(SUBSTITUTE(SUBSTITUTE(LOWER(Registro!$E506),"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",LEN(Registro!$E506))),({1,2,3,4,5,6,7,8,9,10,11,12,13,14,15,16,17,18,19,20,21,22,23,24,25,26,27,28,29,30}-1)*LEN(Registro!$E506)+1,LEN(Registro!$E506)))&amp;"x")-1)),--("0"&amp;MID(TRIM(MID(SUBSTITUTE(SUBSTITUTE(SUBSTITUTE(SUBSTITUTE(SUBSTITUTE(LOWER(Registro!$E506),"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",LEN(Registro!$E506))),({1,2,3,4,5,6,7,8,9,10,11,12,13,14,15,16,17,18,19,20,21,22,23,24,25,26,27,28,29,30}-1)*LEN(Registro!$E506)+1,LEN(Registro!$E506)))&amp;"x")+1,20))),"Revisar formato")))</f>
        <v/>
      </c>
      <c r="F506" s="11" t="str">
        <f>IF(Registro!$F506="","",N(Registro!$F506))</f>
        <v/>
      </c>
      <c r="G506" s="11" t="str">
        <f t="shared" si="22"/>
        <v/>
      </c>
      <c r="H506" s="10" t="str">
        <f>IF(Registro!$G506="","",IF(ISERROR(FIND("x",LOWER(Registro!$G506))),"-",IFERROR(SUMPRODUCT(--("0"&amp;LEFT(TRIM(MID(SUBSTITUTE(SUBSTITUTE(SUBSTITUTE(SUBSTITUTE(SUBSTITUTE(LOWER(Registro!$G506),"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",LEN(Registro!$G506))),({1,2,3,4,5,6,7,8,9,10,11,12,13,14,15,16,17,18,19,20,21,22,23,24,25,26,27,28,29,30}-1)*LEN(Registro!$G506)+1,LEN(Registro!$G506))),FIND("x",TRIM(MID(SUBSTITUTE(SUBSTITUTE(SUBSTITUTE(SUBSTITUTE(SUBSTITUTE(LOWER(Registro!$G506),"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",LEN(Registro!$G506))),({1,2,3,4,5,6,7,8,9,10,11,12,13,14,15,16,17,18,19,20,21,22,23,24,25,26,27,28,29,30}-1)*LEN(Registro!$G506)+1,LEN(Registro!$G506)))&amp;"x")-1))),"Revisar formato")))</f>
        <v/>
      </c>
      <c r="I506" s="11" t="str">
        <f>IF(Registro!$G506="","",IF(ISERROR(FIND("x",LOWER(Registro!$G506))),N(Registro!$H506),IFERROR(SUMPRODUCT(--("0"&amp;LEFT(TRIM(MID(SUBSTITUTE(SUBSTITUTE(SUBSTITUTE(SUBSTITUTE(SUBSTITUTE(LOWER(Registro!$G506),"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",LEN(Registro!$G506))),({1,2,3,4,5,6,7,8,9,10,11,12,13,14,15,16,17,18,19,20,21,22,23,24,25,26,27,28,29,30}-1)*LEN(Registro!$G506)+1,LEN(Registro!$G506))),FIND("x",TRIM(MID(SUBSTITUTE(SUBSTITUTE(SUBSTITUTE(SUBSTITUTE(SUBSTITUTE(LOWER(Registro!$G506),"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",LEN(Registro!$G506))),({1,2,3,4,5,6,7,8,9,10,11,12,13,14,15,16,17,18,19,20,21,22,23,24,25,26,27,28,29,30}-1)*LEN(Registro!$G506)+1,LEN(Registro!$G506)))&amp;"x")-1)),--("0"&amp;MID(TRIM(MID(SUBSTITUTE(SUBSTITUTE(SUBSTITUTE(SUBSTITUTE(SUBSTITUTE(LOWER(Registro!$G506),"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",LEN(Registro!$G506))),({1,2,3,4,5,6,7,8,9,10,11,12,13,14,15,16,17,18,19,20,21,22,23,24,25,26,27,28,29,30}-1)*LEN(Registro!$G506)+1,LEN(Registro!$G506))),FIND("x",TRIM(MID(SUBSTITUTE(SUBSTITUTE(SUBSTITUTE(SUBSTITUTE(SUBSTITUTE(LOWER(Registro!$G506),"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",LEN(Registro!$G506))),({1,2,3,4,5,6,7,8,9,10,11,12,13,14,15,16,17,18,19,20,21,22,23,24,25,26,27,28,29,30}-1)*LEN(Registro!$G506)+1,LEN(Registro!$G506)))&amp;"x")+1,20))),"Revisar formato")))</f>
        <v/>
      </c>
      <c r="J506" s="9" t="str">
        <f>IF(AND(Registro!$E506="",Registro!$G506=""),"",IF(NOT(AND(ISNUMBER(I506),ISNUMBER(Registro!$H506))),"",IF(I506&lt;Registro!$H506,"FALTA BOLETOS",IF(I506=Registro!$H506,"CONFORME","DIFERENCIA"))))</f>
        <v/>
      </c>
      <c r="K506" s="11" t="str">
        <f>IF(Registro!$I506="","",IFERROR(SUMPRODUCT(--("0"&amp;TRIM(RIGHT(SUBSTITUTE(TRIM(MID(SUBSTITUTE(SUBSTITUTE(Registro!$I506,";",CHAR(10)),CHAR(10),REPT(" ",LEN(Registro!$I506))),({1,2,3,4,5,6,7,8,9,10,11,12,13,14,15,16,17,18,19,20,21,22,23,24,25,26,27,28,29,30}-1)*LEN(Registro!$I506)+1,LEN(Registro!$I506)))," ",REPT(" ",50)),50)))),"Revisar formato"))</f>
        <v/>
      </c>
      <c r="L506" s="11" t="str">
        <f>IF(Registro!$J506="","",IFERROR(SUMPRODUCT(--("0"&amp;TRIM(RIGHT(SUBSTITUTE(TRIM(MID(SUBSTITUTE(SUBSTITUTE(Registro!$J506,";",CHAR(10)),CHAR(10),REPT(" ",LEN(Registro!$J506))),({1,2,3,4,5,6,7,8,9,10,11,12,13,14,15,16,17,18,19,20,21,22,23,24,25,26,27,28,29,30}-1)*LEN(Registro!$J506)+1,LEN(Registro!$J506)))," ",REPT(" ",50)),50)))),"Revisar formato"))</f>
        <v/>
      </c>
      <c r="M506" s="11" t="str">
        <f>IF(AND(Registro!$H506="",Registro!$I506=""),"",IF(AND(ISTEXT(K506),K506&lt;&gt;""),"Revisar formato",N(Registro!$H506)-N(K506)))</f>
        <v/>
      </c>
      <c r="N506" s="11" t="str">
        <f t="shared" si="23"/>
        <v/>
      </c>
      <c r="O506" s="15" t="str">
        <f>IF(AND(A506=Consulta!$B$3,C506=Consulta!$H$3),B506*10000+ROW(),"")</f>
        <v/>
      </c>
    </row>
    <row r="507" spans="1:15" x14ac:dyDescent="0.25">
      <c r="A507" s="9" t="str">
        <f>IF(Registro!$A507="","",Registro!$A507)</f>
        <v/>
      </c>
      <c r="B507" s="8" t="str">
        <f>IF(Registro!$B507="","",Registro!$B507)</f>
        <v/>
      </c>
      <c r="C507" s="14" t="str">
        <f t="shared" si="21"/>
        <v/>
      </c>
      <c r="D507" s="10" t="str">
        <f>IF(Registro!$E507="","",IF(ISERROR(FIND("x",LOWER(Registro!$E507))),"-",IFERROR(SUMPRODUCT(--("0"&amp;LEFT(TRIM(MID(SUBSTITUTE(SUBSTITUTE(SUBSTITUTE(SUBSTITUTE(SUBSTITUTE(LOWER(Registro!$E507),"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",LEN(Registro!$E507))),({1,2,3,4,5,6,7,8,9,10,11,12,13,14,15,16,17,18,19,20,21,22,23,24,25,26,27,28,29,30}-1)*LEN(Registro!$E507)+1,LEN(Registro!$E507)))&amp;"x")-1))),"Revisar formato")))</f>
        <v/>
      </c>
      <c r="E507" s="11" t="str">
        <f>IF(Registro!$E507="","",IF(ISERROR(FIND("x",LOWER(Registro!$E507))),"-",IFERROR(SUMPRODUCT(--("0"&amp;LEFT(TRIM(MID(SUBSTITUTE(SUBSTITUTE(SUBSTITUTE(SUBSTITUTE(SUBSTITUTE(LOWER(Registro!$E507),"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",LEN(Registro!$E507))),({1,2,3,4,5,6,7,8,9,10,11,12,13,14,15,16,17,18,19,20,21,22,23,24,25,26,27,28,29,30}-1)*LEN(Registro!$E507)+1,LEN(Registro!$E507)))&amp;"x")-1)),--("0"&amp;MID(TRIM(MID(SUBSTITUTE(SUBSTITUTE(SUBSTITUTE(SUBSTITUTE(SUBSTITUTE(LOWER(Registro!$E507),"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",LEN(Registro!$E507))),({1,2,3,4,5,6,7,8,9,10,11,12,13,14,15,16,17,18,19,20,21,22,23,24,25,26,27,28,29,30}-1)*LEN(Registro!$E507)+1,LEN(Registro!$E507)))&amp;"x")+1,20))),"Revisar formato")))</f>
        <v/>
      </c>
      <c r="F507" s="11" t="str">
        <f>IF(Registro!$F507="","",N(Registro!$F507))</f>
        <v/>
      </c>
      <c r="G507" s="11" t="str">
        <f t="shared" si="22"/>
        <v/>
      </c>
      <c r="H507" s="10" t="str">
        <f>IF(Registro!$G507="","",IF(ISERROR(FIND("x",LOWER(Registro!$G507))),"-",IFERROR(SUMPRODUCT(--("0"&amp;LEFT(TRIM(MID(SUBSTITUTE(SUBSTITUTE(SUBSTITUTE(SUBSTITUTE(SUBSTITUTE(LOWER(Registro!$G507),"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",LEN(Registro!$G507))),({1,2,3,4,5,6,7,8,9,10,11,12,13,14,15,16,17,18,19,20,21,22,23,24,25,26,27,28,29,30}-1)*LEN(Registro!$G507)+1,LEN(Registro!$G507))),FIND("x",TRIM(MID(SUBSTITUTE(SUBSTITUTE(SUBSTITUTE(SUBSTITUTE(SUBSTITUTE(LOWER(Registro!$G507),"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",LEN(Registro!$G507))),({1,2,3,4,5,6,7,8,9,10,11,12,13,14,15,16,17,18,19,20,21,22,23,24,25,26,27,28,29,30}-1)*LEN(Registro!$G507)+1,LEN(Registro!$G507)))&amp;"x")-1))),"Revisar formato")))</f>
        <v/>
      </c>
      <c r="I507" s="11" t="str">
        <f>IF(Registro!$G507="","",IF(ISERROR(FIND("x",LOWER(Registro!$G507))),N(Registro!$H507),IFERROR(SUMPRODUCT(--("0"&amp;LEFT(TRIM(MID(SUBSTITUTE(SUBSTITUTE(SUBSTITUTE(SUBSTITUTE(SUBSTITUTE(LOWER(Registro!$G507),"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",LEN(Registro!$G507))),({1,2,3,4,5,6,7,8,9,10,11,12,13,14,15,16,17,18,19,20,21,22,23,24,25,26,27,28,29,30}-1)*LEN(Registro!$G507)+1,LEN(Registro!$G507))),FIND("x",TRIM(MID(SUBSTITUTE(SUBSTITUTE(SUBSTITUTE(SUBSTITUTE(SUBSTITUTE(LOWER(Registro!$G507),"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",LEN(Registro!$G507))),({1,2,3,4,5,6,7,8,9,10,11,12,13,14,15,16,17,18,19,20,21,22,23,24,25,26,27,28,29,30}-1)*LEN(Registro!$G507)+1,LEN(Registro!$G507)))&amp;"x")-1)),--("0"&amp;MID(TRIM(MID(SUBSTITUTE(SUBSTITUTE(SUBSTITUTE(SUBSTITUTE(SUBSTITUTE(LOWER(Registro!$G507),"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",LEN(Registro!$G507))),({1,2,3,4,5,6,7,8,9,10,11,12,13,14,15,16,17,18,19,20,21,22,23,24,25,26,27,28,29,30}-1)*LEN(Registro!$G507)+1,LEN(Registro!$G507))),FIND("x",TRIM(MID(SUBSTITUTE(SUBSTITUTE(SUBSTITUTE(SUBSTITUTE(SUBSTITUTE(LOWER(Registro!$G507),"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",LEN(Registro!$G507))),({1,2,3,4,5,6,7,8,9,10,11,12,13,14,15,16,17,18,19,20,21,22,23,24,25,26,27,28,29,30}-1)*LEN(Registro!$G507)+1,LEN(Registro!$G507)))&amp;"x")+1,20))),"Revisar formato")))</f>
        <v/>
      </c>
      <c r="J507" s="9" t="str">
        <f>IF(AND(Registro!$E507="",Registro!$G507=""),"",IF(NOT(AND(ISNUMBER(I507),ISNUMBER(Registro!$H507))),"",IF(I507&lt;Registro!$H507,"FALTA BOLETOS",IF(I507=Registro!$H507,"CONFORME","DIFERENCIA"))))</f>
        <v/>
      </c>
      <c r="K507" s="11" t="str">
        <f>IF(Registro!$I507="","",IFERROR(SUMPRODUCT(--("0"&amp;TRIM(RIGHT(SUBSTITUTE(TRIM(MID(SUBSTITUTE(SUBSTITUTE(Registro!$I507,";",CHAR(10)),CHAR(10),REPT(" ",LEN(Registro!$I507))),({1,2,3,4,5,6,7,8,9,10,11,12,13,14,15,16,17,18,19,20,21,22,23,24,25,26,27,28,29,30}-1)*LEN(Registro!$I507)+1,LEN(Registro!$I507)))," ",REPT(" ",50)),50)))),"Revisar formato"))</f>
        <v/>
      </c>
      <c r="L507" s="11" t="str">
        <f>IF(Registro!$J507="","",IFERROR(SUMPRODUCT(--("0"&amp;TRIM(RIGHT(SUBSTITUTE(TRIM(MID(SUBSTITUTE(SUBSTITUTE(Registro!$J507,";",CHAR(10)),CHAR(10),REPT(" ",LEN(Registro!$J507))),({1,2,3,4,5,6,7,8,9,10,11,12,13,14,15,16,17,18,19,20,21,22,23,24,25,26,27,28,29,30}-1)*LEN(Registro!$J507)+1,LEN(Registro!$J507)))," ",REPT(" ",50)),50)))),"Revisar formato"))</f>
        <v/>
      </c>
      <c r="M507" s="11" t="str">
        <f>IF(AND(Registro!$H507="",Registro!$I507=""),"",IF(AND(ISTEXT(K507),K507&lt;&gt;""),"Revisar formato",N(Registro!$H507)-N(K507)))</f>
        <v/>
      </c>
      <c r="N507" s="11" t="str">
        <f t="shared" si="23"/>
        <v/>
      </c>
      <c r="O507" s="15" t="str">
        <f>IF(AND(A507=Consulta!$B$3,C507=Consulta!$H$3),B507*10000+ROW(),"")</f>
        <v/>
      </c>
    </row>
    <row r="508" spans="1:15" x14ac:dyDescent="0.25">
      <c r="A508" s="9" t="str">
        <f>IF(Registro!$A508="","",Registro!$A508)</f>
        <v/>
      </c>
      <c r="B508" s="8" t="str">
        <f>IF(Registro!$B508="","",Registro!$B508)</f>
        <v/>
      </c>
      <c r="C508" s="14" t="str">
        <f t="shared" si="21"/>
        <v/>
      </c>
      <c r="D508" s="10" t="str">
        <f>IF(Registro!$E508="","",IF(ISERROR(FIND("x",LOWER(Registro!$E508))),"-",IFERROR(SUMPRODUCT(--("0"&amp;LEFT(TRIM(MID(SUBSTITUTE(SUBSTITUTE(SUBSTITUTE(SUBSTITUTE(SUBSTITUTE(LOWER(Registro!$E508),"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",LEN(Registro!$E508))),({1,2,3,4,5,6,7,8,9,10,11,12,13,14,15,16,17,18,19,20,21,22,23,24,25,26,27,28,29,30}-1)*LEN(Registro!$E508)+1,LEN(Registro!$E508)))&amp;"x")-1))),"Revisar formato")))</f>
        <v/>
      </c>
      <c r="E508" s="11" t="str">
        <f>IF(Registro!$E508="","",IF(ISERROR(FIND("x",LOWER(Registro!$E508))),"-",IFERROR(SUMPRODUCT(--("0"&amp;LEFT(TRIM(MID(SUBSTITUTE(SUBSTITUTE(SUBSTITUTE(SUBSTITUTE(SUBSTITUTE(LOWER(Registro!$E508),"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",LEN(Registro!$E508))),({1,2,3,4,5,6,7,8,9,10,11,12,13,14,15,16,17,18,19,20,21,22,23,24,25,26,27,28,29,30}-1)*LEN(Registro!$E508)+1,LEN(Registro!$E508)))&amp;"x")-1)),--("0"&amp;MID(TRIM(MID(SUBSTITUTE(SUBSTITUTE(SUBSTITUTE(SUBSTITUTE(SUBSTITUTE(LOWER(Registro!$E508),"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",LEN(Registro!$E508))),({1,2,3,4,5,6,7,8,9,10,11,12,13,14,15,16,17,18,19,20,21,22,23,24,25,26,27,28,29,30}-1)*LEN(Registro!$E508)+1,LEN(Registro!$E508)))&amp;"x")+1,20))),"Revisar formato")))</f>
        <v/>
      </c>
      <c r="F508" s="11" t="str">
        <f>IF(Registro!$F508="","",N(Registro!$F508))</f>
        <v/>
      </c>
      <c r="G508" s="11" t="str">
        <f t="shared" si="22"/>
        <v/>
      </c>
      <c r="H508" s="10" t="str">
        <f>IF(Registro!$G508="","",IF(ISERROR(FIND("x",LOWER(Registro!$G508))),"-",IFERROR(SUMPRODUCT(--("0"&amp;LEFT(TRIM(MID(SUBSTITUTE(SUBSTITUTE(SUBSTITUTE(SUBSTITUTE(SUBSTITUTE(LOWER(Registro!$G508),"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",LEN(Registro!$G508))),({1,2,3,4,5,6,7,8,9,10,11,12,13,14,15,16,17,18,19,20,21,22,23,24,25,26,27,28,29,30}-1)*LEN(Registro!$G508)+1,LEN(Registro!$G508))),FIND("x",TRIM(MID(SUBSTITUTE(SUBSTITUTE(SUBSTITUTE(SUBSTITUTE(SUBSTITUTE(LOWER(Registro!$G508),"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",LEN(Registro!$G508))),({1,2,3,4,5,6,7,8,9,10,11,12,13,14,15,16,17,18,19,20,21,22,23,24,25,26,27,28,29,30}-1)*LEN(Registro!$G508)+1,LEN(Registro!$G508)))&amp;"x")-1))),"Revisar formato")))</f>
        <v/>
      </c>
      <c r="I508" s="11" t="str">
        <f>IF(Registro!$G508="","",IF(ISERROR(FIND("x",LOWER(Registro!$G508))),N(Registro!$H508),IFERROR(SUMPRODUCT(--("0"&amp;LEFT(TRIM(MID(SUBSTITUTE(SUBSTITUTE(SUBSTITUTE(SUBSTITUTE(SUBSTITUTE(LOWER(Registro!$G508),"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",LEN(Registro!$G508))),({1,2,3,4,5,6,7,8,9,10,11,12,13,14,15,16,17,18,19,20,21,22,23,24,25,26,27,28,29,30}-1)*LEN(Registro!$G508)+1,LEN(Registro!$G508))),FIND("x",TRIM(MID(SUBSTITUTE(SUBSTITUTE(SUBSTITUTE(SUBSTITUTE(SUBSTITUTE(LOWER(Registro!$G508),"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",LEN(Registro!$G508))),({1,2,3,4,5,6,7,8,9,10,11,12,13,14,15,16,17,18,19,20,21,22,23,24,25,26,27,28,29,30}-1)*LEN(Registro!$G508)+1,LEN(Registro!$G508)))&amp;"x")-1)),--("0"&amp;MID(TRIM(MID(SUBSTITUTE(SUBSTITUTE(SUBSTITUTE(SUBSTITUTE(SUBSTITUTE(LOWER(Registro!$G508),"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",LEN(Registro!$G508))),({1,2,3,4,5,6,7,8,9,10,11,12,13,14,15,16,17,18,19,20,21,22,23,24,25,26,27,28,29,30}-1)*LEN(Registro!$G508)+1,LEN(Registro!$G508))),FIND("x",TRIM(MID(SUBSTITUTE(SUBSTITUTE(SUBSTITUTE(SUBSTITUTE(SUBSTITUTE(LOWER(Registro!$G508),"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",LEN(Registro!$G508))),({1,2,3,4,5,6,7,8,9,10,11,12,13,14,15,16,17,18,19,20,21,22,23,24,25,26,27,28,29,30}-1)*LEN(Registro!$G508)+1,LEN(Registro!$G508)))&amp;"x")+1,20))),"Revisar formato")))</f>
        <v/>
      </c>
      <c r="J508" s="9" t="str">
        <f>IF(AND(Registro!$E508="",Registro!$G508=""),"",IF(NOT(AND(ISNUMBER(I508),ISNUMBER(Registro!$H508))),"",IF(I508&lt;Registro!$H508,"FALTA BOLETOS",IF(I508=Registro!$H508,"CONFORME","DIFERENCIA"))))</f>
        <v/>
      </c>
      <c r="K508" s="11" t="str">
        <f>IF(Registro!$I508="","",IFERROR(SUMPRODUCT(--("0"&amp;TRIM(RIGHT(SUBSTITUTE(TRIM(MID(SUBSTITUTE(SUBSTITUTE(Registro!$I508,";",CHAR(10)),CHAR(10),REPT(" ",LEN(Registro!$I508))),({1,2,3,4,5,6,7,8,9,10,11,12,13,14,15,16,17,18,19,20,21,22,23,24,25,26,27,28,29,30}-1)*LEN(Registro!$I508)+1,LEN(Registro!$I508)))," ",REPT(" ",50)),50)))),"Revisar formato"))</f>
        <v/>
      </c>
      <c r="L508" s="11" t="str">
        <f>IF(Registro!$J508="","",IFERROR(SUMPRODUCT(--("0"&amp;TRIM(RIGHT(SUBSTITUTE(TRIM(MID(SUBSTITUTE(SUBSTITUTE(Registro!$J508,";",CHAR(10)),CHAR(10),REPT(" ",LEN(Registro!$J508))),({1,2,3,4,5,6,7,8,9,10,11,12,13,14,15,16,17,18,19,20,21,22,23,24,25,26,27,28,29,30}-1)*LEN(Registro!$J508)+1,LEN(Registro!$J508)))," ",REPT(" ",50)),50)))),"Revisar formato"))</f>
        <v/>
      </c>
      <c r="M508" s="11" t="str">
        <f>IF(AND(Registro!$H508="",Registro!$I508=""),"",IF(AND(ISTEXT(K508),K508&lt;&gt;""),"Revisar formato",N(Registro!$H508)-N(K508)))</f>
        <v/>
      </c>
      <c r="N508" s="11" t="str">
        <f t="shared" si="23"/>
        <v/>
      </c>
      <c r="O508" s="15" t="str">
        <f>IF(AND(A508=Consulta!$B$3,C508=Consulta!$H$3),B508*10000+ROW(),"")</f>
        <v/>
      </c>
    </row>
    <row r="509" spans="1:15" x14ac:dyDescent="0.25">
      <c r="A509" s="9" t="str">
        <f>IF(Registro!$A509="","",Registro!$A509)</f>
        <v/>
      </c>
      <c r="B509" s="8" t="str">
        <f>IF(Registro!$B509="","",Registro!$B509)</f>
        <v/>
      </c>
      <c r="C509" s="14" t="str">
        <f t="shared" si="21"/>
        <v/>
      </c>
      <c r="D509" s="10" t="str">
        <f>IF(Registro!$E509="","",IF(ISERROR(FIND("x",LOWER(Registro!$E509))),"-",IFERROR(SUMPRODUCT(--("0"&amp;LEFT(TRIM(MID(SUBSTITUTE(SUBSTITUTE(SUBSTITUTE(SUBSTITUTE(SUBSTITUTE(LOWER(Registro!$E509),"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",LEN(Registro!$E509))),({1,2,3,4,5,6,7,8,9,10,11,12,13,14,15,16,17,18,19,20,21,22,23,24,25,26,27,28,29,30}-1)*LEN(Registro!$E509)+1,LEN(Registro!$E509)))&amp;"x")-1))),"Revisar formato")))</f>
        <v/>
      </c>
      <c r="E509" s="11" t="str">
        <f>IF(Registro!$E509="","",IF(ISERROR(FIND("x",LOWER(Registro!$E509))),"-",IFERROR(SUMPRODUCT(--("0"&amp;LEFT(TRIM(MID(SUBSTITUTE(SUBSTITUTE(SUBSTITUTE(SUBSTITUTE(SUBSTITUTE(LOWER(Registro!$E509),"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",LEN(Registro!$E509))),({1,2,3,4,5,6,7,8,9,10,11,12,13,14,15,16,17,18,19,20,21,22,23,24,25,26,27,28,29,30}-1)*LEN(Registro!$E509)+1,LEN(Registro!$E509)))&amp;"x")-1)),--("0"&amp;MID(TRIM(MID(SUBSTITUTE(SUBSTITUTE(SUBSTITUTE(SUBSTITUTE(SUBSTITUTE(LOWER(Registro!$E509),"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",LEN(Registro!$E509))),({1,2,3,4,5,6,7,8,9,10,11,12,13,14,15,16,17,18,19,20,21,22,23,24,25,26,27,28,29,30}-1)*LEN(Registro!$E509)+1,LEN(Registro!$E509)))&amp;"x")+1,20))),"Revisar formato")))</f>
        <v/>
      </c>
      <c r="F509" s="11" t="str">
        <f>IF(Registro!$F509="","",N(Registro!$F509))</f>
        <v/>
      </c>
      <c r="G509" s="11" t="str">
        <f t="shared" si="22"/>
        <v/>
      </c>
      <c r="H509" s="10" t="str">
        <f>IF(Registro!$G509="","",IF(ISERROR(FIND("x",LOWER(Registro!$G509))),"-",IFERROR(SUMPRODUCT(--("0"&amp;LEFT(TRIM(MID(SUBSTITUTE(SUBSTITUTE(SUBSTITUTE(SUBSTITUTE(SUBSTITUTE(LOWER(Registro!$G509),"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",LEN(Registro!$G509))),({1,2,3,4,5,6,7,8,9,10,11,12,13,14,15,16,17,18,19,20,21,22,23,24,25,26,27,28,29,30}-1)*LEN(Registro!$G509)+1,LEN(Registro!$G509))),FIND("x",TRIM(MID(SUBSTITUTE(SUBSTITUTE(SUBSTITUTE(SUBSTITUTE(SUBSTITUTE(LOWER(Registro!$G509),"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",LEN(Registro!$G509))),({1,2,3,4,5,6,7,8,9,10,11,12,13,14,15,16,17,18,19,20,21,22,23,24,25,26,27,28,29,30}-1)*LEN(Registro!$G509)+1,LEN(Registro!$G509)))&amp;"x")-1))),"Revisar formato")))</f>
        <v/>
      </c>
      <c r="I509" s="11" t="str">
        <f>IF(Registro!$G509="","",IF(ISERROR(FIND("x",LOWER(Registro!$G509))),N(Registro!$H509),IFERROR(SUMPRODUCT(--("0"&amp;LEFT(TRIM(MID(SUBSTITUTE(SUBSTITUTE(SUBSTITUTE(SUBSTITUTE(SUBSTITUTE(LOWER(Registro!$G509),"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",LEN(Registro!$G509))),({1,2,3,4,5,6,7,8,9,10,11,12,13,14,15,16,17,18,19,20,21,22,23,24,25,26,27,28,29,30}-1)*LEN(Registro!$G509)+1,LEN(Registro!$G509))),FIND("x",TRIM(MID(SUBSTITUTE(SUBSTITUTE(SUBSTITUTE(SUBSTITUTE(SUBSTITUTE(LOWER(Registro!$G509),"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",LEN(Registro!$G509))),({1,2,3,4,5,6,7,8,9,10,11,12,13,14,15,16,17,18,19,20,21,22,23,24,25,26,27,28,29,30}-1)*LEN(Registro!$G509)+1,LEN(Registro!$G509)))&amp;"x")-1)),--("0"&amp;MID(TRIM(MID(SUBSTITUTE(SUBSTITUTE(SUBSTITUTE(SUBSTITUTE(SUBSTITUTE(LOWER(Registro!$G509),"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",LEN(Registro!$G509))),({1,2,3,4,5,6,7,8,9,10,11,12,13,14,15,16,17,18,19,20,21,22,23,24,25,26,27,28,29,30}-1)*LEN(Registro!$G509)+1,LEN(Registro!$G509))),FIND("x",TRIM(MID(SUBSTITUTE(SUBSTITUTE(SUBSTITUTE(SUBSTITUTE(SUBSTITUTE(LOWER(Registro!$G509),"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",LEN(Registro!$G509))),({1,2,3,4,5,6,7,8,9,10,11,12,13,14,15,16,17,18,19,20,21,22,23,24,25,26,27,28,29,30}-1)*LEN(Registro!$G509)+1,LEN(Registro!$G509)))&amp;"x")+1,20))),"Revisar formato")))</f>
        <v/>
      </c>
      <c r="J509" s="9" t="str">
        <f>IF(AND(Registro!$E509="",Registro!$G509=""),"",IF(NOT(AND(ISNUMBER(I509),ISNUMBER(Registro!$H509))),"",IF(I509&lt;Registro!$H509,"FALTA BOLETOS",IF(I509=Registro!$H509,"CONFORME","DIFERENCIA"))))</f>
        <v/>
      </c>
      <c r="K509" s="11" t="str">
        <f>IF(Registro!$I509="","",IFERROR(SUMPRODUCT(--("0"&amp;TRIM(RIGHT(SUBSTITUTE(TRIM(MID(SUBSTITUTE(SUBSTITUTE(Registro!$I509,";",CHAR(10)),CHAR(10),REPT(" ",LEN(Registro!$I509))),({1,2,3,4,5,6,7,8,9,10,11,12,13,14,15,16,17,18,19,20,21,22,23,24,25,26,27,28,29,30}-1)*LEN(Registro!$I509)+1,LEN(Registro!$I509)))," ",REPT(" ",50)),50)))),"Revisar formato"))</f>
        <v/>
      </c>
      <c r="L509" s="11" t="str">
        <f>IF(Registro!$J509="","",IFERROR(SUMPRODUCT(--("0"&amp;TRIM(RIGHT(SUBSTITUTE(TRIM(MID(SUBSTITUTE(SUBSTITUTE(Registro!$J509,";",CHAR(10)),CHAR(10),REPT(" ",LEN(Registro!$J509))),({1,2,3,4,5,6,7,8,9,10,11,12,13,14,15,16,17,18,19,20,21,22,23,24,25,26,27,28,29,30}-1)*LEN(Registro!$J509)+1,LEN(Registro!$J509)))," ",REPT(" ",50)),50)))),"Revisar formato"))</f>
        <v/>
      </c>
      <c r="M509" s="11" t="str">
        <f>IF(AND(Registro!$H509="",Registro!$I509=""),"",IF(AND(ISTEXT(K509),K509&lt;&gt;""),"Revisar formato",N(Registro!$H509)-N(K509)))</f>
        <v/>
      </c>
      <c r="N509" s="11" t="str">
        <f t="shared" si="23"/>
        <v/>
      </c>
      <c r="O509" s="15" t="str">
        <f>IF(AND(A509=Consulta!$B$3,C509=Consulta!$H$3),B509*10000+ROW(),"")</f>
        <v/>
      </c>
    </row>
    <row r="510" spans="1:15" x14ac:dyDescent="0.25">
      <c r="A510" s="9" t="str">
        <f>IF(Registro!$A510="","",Registro!$A510)</f>
        <v/>
      </c>
      <c r="B510" s="8" t="str">
        <f>IF(Registro!$B510="","",Registro!$B510)</f>
        <v/>
      </c>
      <c r="C510" s="14" t="str">
        <f t="shared" si="21"/>
        <v/>
      </c>
      <c r="D510" s="10" t="str">
        <f>IF(Registro!$E510="","",IF(ISERROR(FIND("x",LOWER(Registro!$E510))),"-",IFERROR(SUMPRODUCT(--("0"&amp;LEFT(TRIM(MID(SUBSTITUTE(SUBSTITUTE(SUBSTITUTE(SUBSTITUTE(SUBSTITUTE(LOWER(Registro!$E510),"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",LEN(Registro!$E510))),({1,2,3,4,5,6,7,8,9,10,11,12,13,14,15,16,17,18,19,20,21,22,23,24,25,26,27,28,29,30}-1)*LEN(Registro!$E510)+1,LEN(Registro!$E510)))&amp;"x")-1))),"Revisar formato")))</f>
        <v/>
      </c>
      <c r="E510" s="11" t="str">
        <f>IF(Registro!$E510="","",IF(ISERROR(FIND("x",LOWER(Registro!$E510))),"-",IFERROR(SUMPRODUCT(--("0"&amp;LEFT(TRIM(MID(SUBSTITUTE(SUBSTITUTE(SUBSTITUTE(SUBSTITUTE(SUBSTITUTE(LOWER(Registro!$E510),"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",LEN(Registro!$E510))),({1,2,3,4,5,6,7,8,9,10,11,12,13,14,15,16,17,18,19,20,21,22,23,24,25,26,27,28,29,30}-1)*LEN(Registro!$E510)+1,LEN(Registro!$E510)))&amp;"x")-1)),--("0"&amp;MID(TRIM(MID(SUBSTITUTE(SUBSTITUTE(SUBSTITUTE(SUBSTITUTE(SUBSTITUTE(LOWER(Registro!$E510),"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",LEN(Registro!$E510))),({1,2,3,4,5,6,7,8,9,10,11,12,13,14,15,16,17,18,19,20,21,22,23,24,25,26,27,28,29,30}-1)*LEN(Registro!$E510)+1,LEN(Registro!$E510)))&amp;"x")+1,20))),"Revisar formato")))</f>
        <v/>
      </c>
      <c r="F510" s="11" t="str">
        <f>IF(Registro!$F510="","",N(Registro!$F510))</f>
        <v/>
      </c>
      <c r="G510" s="11" t="str">
        <f t="shared" si="22"/>
        <v/>
      </c>
      <c r="H510" s="10" t="str">
        <f>IF(Registro!$G510="","",IF(ISERROR(FIND("x",LOWER(Registro!$G510))),"-",IFERROR(SUMPRODUCT(--("0"&amp;LEFT(TRIM(MID(SUBSTITUTE(SUBSTITUTE(SUBSTITUTE(SUBSTITUTE(SUBSTITUTE(LOWER(Registro!$G510),"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",LEN(Registro!$G510))),({1,2,3,4,5,6,7,8,9,10,11,12,13,14,15,16,17,18,19,20,21,22,23,24,25,26,27,28,29,30}-1)*LEN(Registro!$G510)+1,LEN(Registro!$G510))),FIND("x",TRIM(MID(SUBSTITUTE(SUBSTITUTE(SUBSTITUTE(SUBSTITUTE(SUBSTITUTE(LOWER(Registro!$G510),"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",LEN(Registro!$G510))),({1,2,3,4,5,6,7,8,9,10,11,12,13,14,15,16,17,18,19,20,21,22,23,24,25,26,27,28,29,30}-1)*LEN(Registro!$G510)+1,LEN(Registro!$G510)))&amp;"x")-1))),"Revisar formato")))</f>
        <v/>
      </c>
      <c r="I510" s="11" t="str">
        <f>IF(Registro!$G510="","",IF(ISERROR(FIND("x",LOWER(Registro!$G510))),N(Registro!$H510),IFERROR(SUMPRODUCT(--("0"&amp;LEFT(TRIM(MID(SUBSTITUTE(SUBSTITUTE(SUBSTITUTE(SUBSTITUTE(SUBSTITUTE(LOWER(Registro!$G510),"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",LEN(Registro!$G510))),({1,2,3,4,5,6,7,8,9,10,11,12,13,14,15,16,17,18,19,20,21,22,23,24,25,26,27,28,29,30}-1)*LEN(Registro!$G510)+1,LEN(Registro!$G510))),FIND("x",TRIM(MID(SUBSTITUTE(SUBSTITUTE(SUBSTITUTE(SUBSTITUTE(SUBSTITUTE(LOWER(Registro!$G510),"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",LEN(Registro!$G510))),({1,2,3,4,5,6,7,8,9,10,11,12,13,14,15,16,17,18,19,20,21,22,23,24,25,26,27,28,29,30}-1)*LEN(Registro!$G510)+1,LEN(Registro!$G510)))&amp;"x")-1)),--("0"&amp;MID(TRIM(MID(SUBSTITUTE(SUBSTITUTE(SUBSTITUTE(SUBSTITUTE(SUBSTITUTE(LOWER(Registro!$G510),"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",LEN(Registro!$G510))),({1,2,3,4,5,6,7,8,9,10,11,12,13,14,15,16,17,18,19,20,21,22,23,24,25,26,27,28,29,30}-1)*LEN(Registro!$G510)+1,LEN(Registro!$G510))),FIND("x",TRIM(MID(SUBSTITUTE(SUBSTITUTE(SUBSTITUTE(SUBSTITUTE(SUBSTITUTE(LOWER(Registro!$G510),"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",LEN(Registro!$G510))),({1,2,3,4,5,6,7,8,9,10,11,12,13,14,15,16,17,18,19,20,21,22,23,24,25,26,27,28,29,30}-1)*LEN(Registro!$G510)+1,LEN(Registro!$G510)))&amp;"x")+1,20))),"Revisar formato")))</f>
        <v/>
      </c>
      <c r="J510" s="9" t="str">
        <f>IF(AND(Registro!$E510="",Registro!$G510=""),"",IF(NOT(AND(ISNUMBER(I510),ISNUMBER(Registro!$H510))),"",IF(I510&lt;Registro!$H510,"FALTA BOLETOS",IF(I510=Registro!$H510,"CONFORME","DIFERENCIA"))))</f>
        <v/>
      </c>
      <c r="K510" s="11" t="str">
        <f>IF(Registro!$I510="","",IFERROR(SUMPRODUCT(--("0"&amp;TRIM(RIGHT(SUBSTITUTE(TRIM(MID(SUBSTITUTE(SUBSTITUTE(Registro!$I510,";",CHAR(10)),CHAR(10),REPT(" ",LEN(Registro!$I510))),({1,2,3,4,5,6,7,8,9,10,11,12,13,14,15,16,17,18,19,20,21,22,23,24,25,26,27,28,29,30}-1)*LEN(Registro!$I510)+1,LEN(Registro!$I510)))," ",REPT(" ",50)),50)))),"Revisar formato"))</f>
        <v/>
      </c>
      <c r="L510" s="11" t="str">
        <f>IF(Registro!$J510="","",IFERROR(SUMPRODUCT(--("0"&amp;TRIM(RIGHT(SUBSTITUTE(TRIM(MID(SUBSTITUTE(SUBSTITUTE(Registro!$J510,";",CHAR(10)),CHAR(10),REPT(" ",LEN(Registro!$J510))),({1,2,3,4,5,6,7,8,9,10,11,12,13,14,15,16,17,18,19,20,21,22,23,24,25,26,27,28,29,30}-1)*LEN(Registro!$J510)+1,LEN(Registro!$J510)))," ",REPT(" ",50)),50)))),"Revisar formato"))</f>
        <v/>
      </c>
      <c r="M510" s="11" t="str">
        <f>IF(AND(Registro!$H510="",Registro!$I510=""),"",IF(AND(ISTEXT(K510),K510&lt;&gt;""),"Revisar formato",N(Registro!$H510)-N(K510)))</f>
        <v/>
      </c>
      <c r="N510" s="11" t="str">
        <f t="shared" si="23"/>
        <v/>
      </c>
      <c r="O510" s="15" t="str">
        <f>IF(AND(A510=Consulta!$B$3,C510=Consulta!$H$3),B510*10000+ROW(),"")</f>
        <v/>
      </c>
    </row>
    <row r="511" spans="1:15" x14ac:dyDescent="0.25">
      <c r="A511" s="9" t="str">
        <f>IF(Registro!$A511="","",Registro!$A511)</f>
        <v/>
      </c>
      <c r="B511" s="8" t="str">
        <f>IF(Registro!$B511="","",Registro!$B511)</f>
        <v/>
      </c>
      <c r="C511" s="14" t="str">
        <f t="shared" si="21"/>
        <v/>
      </c>
      <c r="D511" s="10" t="str">
        <f>IF(Registro!$E511="","",IF(ISERROR(FIND("x",LOWER(Registro!$E511))),"-",IFERROR(SUMPRODUCT(--("0"&amp;LEFT(TRIM(MID(SUBSTITUTE(SUBSTITUTE(SUBSTITUTE(SUBSTITUTE(SUBSTITUTE(LOWER(Registro!$E511),"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",LEN(Registro!$E511))),({1,2,3,4,5,6,7,8,9,10,11,12,13,14,15,16,17,18,19,20,21,22,23,24,25,26,27,28,29,30}-1)*LEN(Registro!$E511)+1,LEN(Registro!$E511)))&amp;"x")-1))),"Revisar formato")))</f>
        <v/>
      </c>
      <c r="E511" s="11" t="str">
        <f>IF(Registro!$E511="","",IF(ISERROR(FIND("x",LOWER(Registro!$E511))),"-",IFERROR(SUMPRODUCT(--("0"&amp;LEFT(TRIM(MID(SUBSTITUTE(SUBSTITUTE(SUBSTITUTE(SUBSTITUTE(SUBSTITUTE(LOWER(Registro!$E511),"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",LEN(Registro!$E511))),({1,2,3,4,5,6,7,8,9,10,11,12,13,14,15,16,17,18,19,20,21,22,23,24,25,26,27,28,29,30}-1)*LEN(Registro!$E511)+1,LEN(Registro!$E511)))&amp;"x")-1)),--("0"&amp;MID(TRIM(MID(SUBSTITUTE(SUBSTITUTE(SUBSTITUTE(SUBSTITUTE(SUBSTITUTE(LOWER(Registro!$E511),"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",LEN(Registro!$E511))),({1,2,3,4,5,6,7,8,9,10,11,12,13,14,15,16,17,18,19,20,21,22,23,24,25,26,27,28,29,30}-1)*LEN(Registro!$E511)+1,LEN(Registro!$E511)))&amp;"x")+1,20))),"Revisar formato")))</f>
        <v/>
      </c>
      <c r="F511" s="11" t="str">
        <f>IF(Registro!$F511="","",N(Registro!$F511))</f>
        <v/>
      </c>
      <c r="G511" s="11" t="str">
        <f t="shared" si="22"/>
        <v/>
      </c>
      <c r="H511" s="10" t="str">
        <f>IF(Registro!$G511="","",IF(ISERROR(FIND("x",LOWER(Registro!$G511))),"-",IFERROR(SUMPRODUCT(--("0"&amp;LEFT(TRIM(MID(SUBSTITUTE(SUBSTITUTE(SUBSTITUTE(SUBSTITUTE(SUBSTITUTE(LOWER(Registro!$G511),"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",LEN(Registro!$G511))),({1,2,3,4,5,6,7,8,9,10,11,12,13,14,15,16,17,18,19,20,21,22,23,24,25,26,27,28,29,30}-1)*LEN(Registro!$G511)+1,LEN(Registro!$G511))),FIND("x",TRIM(MID(SUBSTITUTE(SUBSTITUTE(SUBSTITUTE(SUBSTITUTE(SUBSTITUTE(LOWER(Registro!$G511),"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",LEN(Registro!$G511))),({1,2,3,4,5,6,7,8,9,10,11,12,13,14,15,16,17,18,19,20,21,22,23,24,25,26,27,28,29,30}-1)*LEN(Registro!$G511)+1,LEN(Registro!$G511)))&amp;"x")-1))),"Revisar formato")))</f>
        <v/>
      </c>
      <c r="I511" s="11" t="str">
        <f>IF(Registro!$G511="","",IF(ISERROR(FIND("x",LOWER(Registro!$G511))),N(Registro!$H511),IFERROR(SUMPRODUCT(--("0"&amp;LEFT(TRIM(MID(SUBSTITUTE(SUBSTITUTE(SUBSTITUTE(SUBSTITUTE(SUBSTITUTE(LOWER(Registro!$G511),"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",LEN(Registro!$G511))),({1,2,3,4,5,6,7,8,9,10,11,12,13,14,15,16,17,18,19,20,21,22,23,24,25,26,27,28,29,30}-1)*LEN(Registro!$G511)+1,LEN(Registro!$G511))),FIND("x",TRIM(MID(SUBSTITUTE(SUBSTITUTE(SUBSTITUTE(SUBSTITUTE(SUBSTITUTE(LOWER(Registro!$G511),"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",LEN(Registro!$G511))),({1,2,3,4,5,6,7,8,9,10,11,12,13,14,15,16,17,18,19,20,21,22,23,24,25,26,27,28,29,30}-1)*LEN(Registro!$G511)+1,LEN(Registro!$G511)))&amp;"x")-1)),--("0"&amp;MID(TRIM(MID(SUBSTITUTE(SUBSTITUTE(SUBSTITUTE(SUBSTITUTE(SUBSTITUTE(LOWER(Registro!$G511),"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",LEN(Registro!$G511))),({1,2,3,4,5,6,7,8,9,10,11,12,13,14,15,16,17,18,19,20,21,22,23,24,25,26,27,28,29,30}-1)*LEN(Registro!$G511)+1,LEN(Registro!$G511))),FIND("x",TRIM(MID(SUBSTITUTE(SUBSTITUTE(SUBSTITUTE(SUBSTITUTE(SUBSTITUTE(LOWER(Registro!$G511),"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",LEN(Registro!$G511))),({1,2,3,4,5,6,7,8,9,10,11,12,13,14,15,16,17,18,19,20,21,22,23,24,25,26,27,28,29,30}-1)*LEN(Registro!$G511)+1,LEN(Registro!$G511)))&amp;"x")+1,20))),"Revisar formato")))</f>
        <v/>
      </c>
      <c r="J511" s="9" t="str">
        <f>IF(AND(Registro!$E511="",Registro!$G511=""),"",IF(NOT(AND(ISNUMBER(I511),ISNUMBER(Registro!$H511))),"",IF(I511&lt;Registro!$H511,"FALTA BOLETOS",IF(I511=Registro!$H511,"CONFORME","DIFERENCIA"))))</f>
        <v/>
      </c>
      <c r="K511" s="11" t="str">
        <f>IF(Registro!$I511="","",IFERROR(SUMPRODUCT(--("0"&amp;TRIM(RIGHT(SUBSTITUTE(TRIM(MID(SUBSTITUTE(SUBSTITUTE(Registro!$I511,";",CHAR(10)),CHAR(10),REPT(" ",LEN(Registro!$I511))),({1,2,3,4,5,6,7,8,9,10,11,12,13,14,15,16,17,18,19,20,21,22,23,24,25,26,27,28,29,30}-1)*LEN(Registro!$I511)+1,LEN(Registro!$I511)))," ",REPT(" ",50)),50)))),"Revisar formato"))</f>
        <v/>
      </c>
      <c r="L511" s="11" t="str">
        <f>IF(Registro!$J511="","",IFERROR(SUMPRODUCT(--("0"&amp;TRIM(RIGHT(SUBSTITUTE(TRIM(MID(SUBSTITUTE(SUBSTITUTE(Registro!$J511,";",CHAR(10)),CHAR(10),REPT(" ",LEN(Registro!$J511))),({1,2,3,4,5,6,7,8,9,10,11,12,13,14,15,16,17,18,19,20,21,22,23,24,25,26,27,28,29,30}-1)*LEN(Registro!$J511)+1,LEN(Registro!$J511)))," ",REPT(" ",50)),50)))),"Revisar formato"))</f>
        <v/>
      </c>
      <c r="M511" s="11" t="str">
        <f>IF(AND(Registro!$H511="",Registro!$I511=""),"",IF(AND(ISTEXT(K511),K511&lt;&gt;""),"Revisar formato",N(Registro!$H511)-N(K511)))</f>
        <v/>
      </c>
      <c r="N511" s="11" t="str">
        <f t="shared" si="23"/>
        <v/>
      </c>
      <c r="O511" s="15" t="str">
        <f>IF(AND(A511=Consulta!$B$3,C511=Consulta!$H$3),B511*10000+ROW(),"")</f>
        <v/>
      </c>
    </row>
    <row r="512" spans="1:15" x14ac:dyDescent="0.25">
      <c r="A512" s="9" t="str">
        <f>IF(Registro!$A512="","",Registro!$A512)</f>
        <v/>
      </c>
      <c r="B512" s="8" t="str">
        <f>IF(Registro!$B512="","",Registro!$B512)</f>
        <v/>
      </c>
      <c r="C512" s="14" t="str">
        <f t="shared" si="21"/>
        <v/>
      </c>
      <c r="D512" s="10" t="str">
        <f>IF(Registro!$E512="","",IF(ISERROR(FIND("x",LOWER(Registro!$E512))),"-",IFERROR(SUMPRODUCT(--("0"&amp;LEFT(TRIM(MID(SUBSTITUTE(SUBSTITUTE(SUBSTITUTE(SUBSTITUTE(SUBSTITUTE(LOWER(Registro!$E512),"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",LEN(Registro!$E512))),({1,2,3,4,5,6,7,8,9,10,11,12,13,14,15,16,17,18,19,20,21,22,23,24,25,26,27,28,29,30}-1)*LEN(Registro!$E512)+1,LEN(Registro!$E512)))&amp;"x")-1))),"Revisar formato")))</f>
        <v/>
      </c>
      <c r="E512" s="11" t="str">
        <f>IF(Registro!$E512="","",IF(ISERROR(FIND("x",LOWER(Registro!$E512))),"-",IFERROR(SUMPRODUCT(--("0"&amp;LEFT(TRIM(MID(SUBSTITUTE(SUBSTITUTE(SUBSTITUTE(SUBSTITUTE(SUBSTITUTE(LOWER(Registro!$E512),"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",LEN(Registro!$E512))),({1,2,3,4,5,6,7,8,9,10,11,12,13,14,15,16,17,18,19,20,21,22,23,24,25,26,27,28,29,30}-1)*LEN(Registro!$E512)+1,LEN(Registro!$E512)))&amp;"x")-1)),--("0"&amp;MID(TRIM(MID(SUBSTITUTE(SUBSTITUTE(SUBSTITUTE(SUBSTITUTE(SUBSTITUTE(LOWER(Registro!$E512),"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",LEN(Registro!$E512))),({1,2,3,4,5,6,7,8,9,10,11,12,13,14,15,16,17,18,19,20,21,22,23,24,25,26,27,28,29,30}-1)*LEN(Registro!$E512)+1,LEN(Registro!$E512)))&amp;"x")+1,20))),"Revisar formato")))</f>
        <v/>
      </c>
      <c r="F512" s="11" t="str">
        <f>IF(Registro!$F512="","",N(Registro!$F512))</f>
        <v/>
      </c>
      <c r="G512" s="11" t="str">
        <f t="shared" si="22"/>
        <v/>
      </c>
      <c r="H512" s="10" t="str">
        <f>IF(Registro!$G512="","",IF(ISERROR(FIND("x",LOWER(Registro!$G512))),"-",IFERROR(SUMPRODUCT(--("0"&amp;LEFT(TRIM(MID(SUBSTITUTE(SUBSTITUTE(SUBSTITUTE(SUBSTITUTE(SUBSTITUTE(LOWER(Registro!$G512),"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",LEN(Registro!$G512))),({1,2,3,4,5,6,7,8,9,10,11,12,13,14,15,16,17,18,19,20,21,22,23,24,25,26,27,28,29,30}-1)*LEN(Registro!$G512)+1,LEN(Registro!$G512))),FIND("x",TRIM(MID(SUBSTITUTE(SUBSTITUTE(SUBSTITUTE(SUBSTITUTE(SUBSTITUTE(LOWER(Registro!$G512),"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",LEN(Registro!$G512))),({1,2,3,4,5,6,7,8,9,10,11,12,13,14,15,16,17,18,19,20,21,22,23,24,25,26,27,28,29,30}-1)*LEN(Registro!$G512)+1,LEN(Registro!$G512)))&amp;"x")-1))),"Revisar formato")))</f>
        <v/>
      </c>
      <c r="I512" s="11" t="str">
        <f>IF(Registro!$G512="","",IF(ISERROR(FIND("x",LOWER(Registro!$G512))),N(Registro!$H512),IFERROR(SUMPRODUCT(--("0"&amp;LEFT(TRIM(MID(SUBSTITUTE(SUBSTITUTE(SUBSTITUTE(SUBSTITUTE(SUBSTITUTE(LOWER(Registro!$G512),"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",LEN(Registro!$G512))),({1,2,3,4,5,6,7,8,9,10,11,12,13,14,15,16,17,18,19,20,21,22,23,24,25,26,27,28,29,30}-1)*LEN(Registro!$G512)+1,LEN(Registro!$G512))),FIND("x",TRIM(MID(SUBSTITUTE(SUBSTITUTE(SUBSTITUTE(SUBSTITUTE(SUBSTITUTE(LOWER(Registro!$G512),"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",LEN(Registro!$G512))),({1,2,3,4,5,6,7,8,9,10,11,12,13,14,15,16,17,18,19,20,21,22,23,24,25,26,27,28,29,30}-1)*LEN(Registro!$G512)+1,LEN(Registro!$G512)))&amp;"x")-1)),--("0"&amp;MID(TRIM(MID(SUBSTITUTE(SUBSTITUTE(SUBSTITUTE(SUBSTITUTE(SUBSTITUTE(LOWER(Registro!$G512),"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",LEN(Registro!$G512))),({1,2,3,4,5,6,7,8,9,10,11,12,13,14,15,16,17,18,19,20,21,22,23,24,25,26,27,28,29,30}-1)*LEN(Registro!$G512)+1,LEN(Registro!$G512))),FIND("x",TRIM(MID(SUBSTITUTE(SUBSTITUTE(SUBSTITUTE(SUBSTITUTE(SUBSTITUTE(LOWER(Registro!$G512),"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",LEN(Registro!$G512))),({1,2,3,4,5,6,7,8,9,10,11,12,13,14,15,16,17,18,19,20,21,22,23,24,25,26,27,28,29,30}-1)*LEN(Registro!$G512)+1,LEN(Registro!$G512)))&amp;"x")+1,20))),"Revisar formato")))</f>
        <v/>
      </c>
      <c r="J512" s="9" t="str">
        <f>IF(AND(Registro!$E512="",Registro!$G512=""),"",IF(NOT(AND(ISNUMBER(I512),ISNUMBER(Registro!$H512))),"",IF(I512&lt;Registro!$H512,"FALTA BOLETOS",IF(I512=Registro!$H512,"CONFORME","DIFERENCIA"))))</f>
        <v/>
      </c>
      <c r="K512" s="11" t="str">
        <f>IF(Registro!$I512="","",IFERROR(SUMPRODUCT(--("0"&amp;TRIM(RIGHT(SUBSTITUTE(TRIM(MID(SUBSTITUTE(SUBSTITUTE(Registro!$I512,";",CHAR(10)),CHAR(10),REPT(" ",LEN(Registro!$I512))),({1,2,3,4,5,6,7,8,9,10,11,12,13,14,15,16,17,18,19,20,21,22,23,24,25,26,27,28,29,30}-1)*LEN(Registro!$I512)+1,LEN(Registro!$I512)))," ",REPT(" ",50)),50)))),"Revisar formato"))</f>
        <v/>
      </c>
      <c r="L512" s="11" t="str">
        <f>IF(Registro!$J512="","",IFERROR(SUMPRODUCT(--("0"&amp;TRIM(RIGHT(SUBSTITUTE(TRIM(MID(SUBSTITUTE(SUBSTITUTE(Registro!$J512,";",CHAR(10)),CHAR(10),REPT(" ",LEN(Registro!$J512))),({1,2,3,4,5,6,7,8,9,10,11,12,13,14,15,16,17,18,19,20,21,22,23,24,25,26,27,28,29,30}-1)*LEN(Registro!$J512)+1,LEN(Registro!$J512)))," ",REPT(" ",50)),50)))),"Revisar formato"))</f>
        <v/>
      </c>
      <c r="M512" s="11" t="str">
        <f>IF(AND(Registro!$H512="",Registro!$I512=""),"",IF(AND(ISTEXT(K512),K512&lt;&gt;""),"Revisar formato",N(Registro!$H512)-N(K512)))</f>
        <v/>
      </c>
      <c r="N512" s="11" t="str">
        <f t="shared" si="23"/>
        <v/>
      </c>
      <c r="O512" s="15" t="str">
        <f>IF(AND(A512=Consulta!$B$3,C512=Consulta!$H$3),B512*10000+ROW(),"")</f>
        <v/>
      </c>
    </row>
    <row r="513" spans="1:15" x14ac:dyDescent="0.25">
      <c r="A513" s="9" t="str">
        <f>IF(Registro!$A513="","",Registro!$A513)</f>
        <v/>
      </c>
      <c r="B513" s="8" t="str">
        <f>IF(Registro!$B513="","",Registro!$B513)</f>
        <v/>
      </c>
      <c r="C513" s="14" t="str">
        <f t="shared" si="21"/>
        <v/>
      </c>
      <c r="D513" s="10" t="str">
        <f>IF(Registro!$E513="","",IF(ISERROR(FIND("x",LOWER(Registro!$E513))),"-",IFERROR(SUMPRODUCT(--("0"&amp;LEFT(TRIM(MID(SUBSTITUTE(SUBSTITUTE(SUBSTITUTE(SUBSTITUTE(SUBSTITUTE(LOWER(Registro!$E513),"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",LEN(Registro!$E513))),({1,2,3,4,5,6,7,8,9,10,11,12,13,14,15,16,17,18,19,20,21,22,23,24,25,26,27,28,29,30}-1)*LEN(Registro!$E513)+1,LEN(Registro!$E513)))&amp;"x")-1))),"Revisar formato")))</f>
        <v/>
      </c>
      <c r="E513" s="11" t="str">
        <f>IF(Registro!$E513="","",IF(ISERROR(FIND("x",LOWER(Registro!$E513))),"-",IFERROR(SUMPRODUCT(--("0"&amp;LEFT(TRIM(MID(SUBSTITUTE(SUBSTITUTE(SUBSTITUTE(SUBSTITUTE(SUBSTITUTE(LOWER(Registro!$E513),"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",LEN(Registro!$E513))),({1,2,3,4,5,6,7,8,9,10,11,12,13,14,15,16,17,18,19,20,21,22,23,24,25,26,27,28,29,30}-1)*LEN(Registro!$E513)+1,LEN(Registro!$E513)))&amp;"x")-1)),--("0"&amp;MID(TRIM(MID(SUBSTITUTE(SUBSTITUTE(SUBSTITUTE(SUBSTITUTE(SUBSTITUTE(LOWER(Registro!$E513),"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",LEN(Registro!$E513))),({1,2,3,4,5,6,7,8,9,10,11,12,13,14,15,16,17,18,19,20,21,22,23,24,25,26,27,28,29,30}-1)*LEN(Registro!$E513)+1,LEN(Registro!$E513)))&amp;"x")+1,20))),"Revisar formato")))</f>
        <v/>
      </c>
      <c r="F513" s="11" t="str">
        <f>IF(Registro!$F513="","",N(Registro!$F513))</f>
        <v/>
      </c>
      <c r="G513" s="11" t="str">
        <f t="shared" si="22"/>
        <v/>
      </c>
      <c r="H513" s="10" t="str">
        <f>IF(Registro!$G513="","",IF(ISERROR(FIND("x",LOWER(Registro!$G513))),"-",IFERROR(SUMPRODUCT(--("0"&amp;LEFT(TRIM(MID(SUBSTITUTE(SUBSTITUTE(SUBSTITUTE(SUBSTITUTE(SUBSTITUTE(LOWER(Registro!$G513),"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",LEN(Registro!$G513))),({1,2,3,4,5,6,7,8,9,10,11,12,13,14,15,16,17,18,19,20,21,22,23,24,25,26,27,28,29,30}-1)*LEN(Registro!$G513)+1,LEN(Registro!$G513))),FIND("x",TRIM(MID(SUBSTITUTE(SUBSTITUTE(SUBSTITUTE(SUBSTITUTE(SUBSTITUTE(LOWER(Registro!$G513),"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",LEN(Registro!$G513))),({1,2,3,4,5,6,7,8,9,10,11,12,13,14,15,16,17,18,19,20,21,22,23,24,25,26,27,28,29,30}-1)*LEN(Registro!$G513)+1,LEN(Registro!$G513)))&amp;"x")-1))),"Revisar formato")))</f>
        <v/>
      </c>
      <c r="I513" s="11" t="str">
        <f>IF(Registro!$G513="","",IF(ISERROR(FIND("x",LOWER(Registro!$G513))),N(Registro!$H513),IFERROR(SUMPRODUCT(--("0"&amp;LEFT(TRIM(MID(SUBSTITUTE(SUBSTITUTE(SUBSTITUTE(SUBSTITUTE(SUBSTITUTE(LOWER(Registro!$G513),"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",LEN(Registro!$G513))),({1,2,3,4,5,6,7,8,9,10,11,12,13,14,15,16,17,18,19,20,21,22,23,24,25,26,27,28,29,30}-1)*LEN(Registro!$G513)+1,LEN(Registro!$G513))),FIND("x",TRIM(MID(SUBSTITUTE(SUBSTITUTE(SUBSTITUTE(SUBSTITUTE(SUBSTITUTE(LOWER(Registro!$G513),"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",LEN(Registro!$G513))),({1,2,3,4,5,6,7,8,9,10,11,12,13,14,15,16,17,18,19,20,21,22,23,24,25,26,27,28,29,30}-1)*LEN(Registro!$G513)+1,LEN(Registro!$G513)))&amp;"x")-1)),--("0"&amp;MID(TRIM(MID(SUBSTITUTE(SUBSTITUTE(SUBSTITUTE(SUBSTITUTE(SUBSTITUTE(LOWER(Registro!$G513),"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",LEN(Registro!$G513))),({1,2,3,4,5,6,7,8,9,10,11,12,13,14,15,16,17,18,19,20,21,22,23,24,25,26,27,28,29,30}-1)*LEN(Registro!$G513)+1,LEN(Registro!$G513))),FIND("x",TRIM(MID(SUBSTITUTE(SUBSTITUTE(SUBSTITUTE(SUBSTITUTE(SUBSTITUTE(LOWER(Registro!$G513),"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",LEN(Registro!$G513))),({1,2,3,4,5,6,7,8,9,10,11,12,13,14,15,16,17,18,19,20,21,22,23,24,25,26,27,28,29,30}-1)*LEN(Registro!$G513)+1,LEN(Registro!$G513)))&amp;"x")+1,20))),"Revisar formato")))</f>
        <v/>
      </c>
      <c r="J513" s="9" t="str">
        <f>IF(AND(Registro!$E513="",Registro!$G513=""),"",IF(NOT(AND(ISNUMBER(I513),ISNUMBER(Registro!$H513))),"",IF(I513&lt;Registro!$H513,"FALTA BOLETOS",IF(I513=Registro!$H513,"CONFORME","DIFERENCIA"))))</f>
        <v/>
      </c>
      <c r="K513" s="11" t="str">
        <f>IF(Registro!$I513="","",IFERROR(SUMPRODUCT(--("0"&amp;TRIM(RIGHT(SUBSTITUTE(TRIM(MID(SUBSTITUTE(SUBSTITUTE(Registro!$I513,";",CHAR(10)),CHAR(10),REPT(" ",LEN(Registro!$I513))),({1,2,3,4,5,6,7,8,9,10,11,12,13,14,15,16,17,18,19,20,21,22,23,24,25,26,27,28,29,30}-1)*LEN(Registro!$I513)+1,LEN(Registro!$I513)))," ",REPT(" ",50)),50)))),"Revisar formato"))</f>
        <v/>
      </c>
      <c r="L513" s="11" t="str">
        <f>IF(Registro!$J513="","",IFERROR(SUMPRODUCT(--("0"&amp;TRIM(RIGHT(SUBSTITUTE(TRIM(MID(SUBSTITUTE(SUBSTITUTE(Registro!$J513,";",CHAR(10)),CHAR(10),REPT(" ",LEN(Registro!$J513))),({1,2,3,4,5,6,7,8,9,10,11,12,13,14,15,16,17,18,19,20,21,22,23,24,25,26,27,28,29,30}-1)*LEN(Registro!$J513)+1,LEN(Registro!$J513)))," ",REPT(" ",50)),50)))),"Revisar formato"))</f>
        <v/>
      </c>
      <c r="M513" s="11" t="str">
        <f>IF(AND(Registro!$H513="",Registro!$I513=""),"",IF(AND(ISTEXT(K513),K513&lt;&gt;""),"Revisar formato",N(Registro!$H513)-N(K513)))</f>
        <v/>
      </c>
      <c r="N513" s="11" t="str">
        <f t="shared" si="23"/>
        <v/>
      </c>
      <c r="O513" s="15" t="str">
        <f>IF(AND(A513=Consulta!$B$3,C513=Consulta!$H$3),B513*10000+ROW(),"")</f>
        <v/>
      </c>
    </row>
    <row r="514" spans="1:15" x14ac:dyDescent="0.25">
      <c r="A514" s="9" t="str">
        <f>IF(Registro!$A514="","",Registro!$A514)</f>
        <v/>
      </c>
      <c r="B514" s="8" t="str">
        <f>IF(Registro!$B514="","",Registro!$B514)</f>
        <v/>
      </c>
      <c r="C514" s="14" t="str">
        <f t="shared" ref="C514:C577" si="24">IF(ISNUMBER(B514),YEAR(B514)*100+MONTH(B514),"")</f>
        <v/>
      </c>
      <c r="D514" s="10" t="str">
        <f>IF(Registro!$E514="","",IF(ISERROR(FIND("x",LOWER(Registro!$E514))),"-",IFERROR(SUMPRODUCT(--("0"&amp;LEFT(TRIM(MID(SUBSTITUTE(SUBSTITUTE(SUBSTITUTE(SUBSTITUTE(SUBSTITUTE(LOWER(Registro!$E514),"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",LEN(Registro!$E514))),({1,2,3,4,5,6,7,8,9,10,11,12,13,14,15,16,17,18,19,20,21,22,23,24,25,26,27,28,29,30}-1)*LEN(Registro!$E514)+1,LEN(Registro!$E514)))&amp;"x")-1))),"Revisar formato")))</f>
        <v/>
      </c>
      <c r="E514" s="11" t="str">
        <f>IF(Registro!$E514="","",IF(ISERROR(FIND("x",LOWER(Registro!$E514))),"-",IFERROR(SUMPRODUCT(--("0"&amp;LEFT(TRIM(MID(SUBSTITUTE(SUBSTITUTE(SUBSTITUTE(SUBSTITUTE(SUBSTITUTE(LOWER(Registro!$E514),"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",LEN(Registro!$E514))),({1,2,3,4,5,6,7,8,9,10,11,12,13,14,15,16,17,18,19,20,21,22,23,24,25,26,27,28,29,30}-1)*LEN(Registro!$E514)+1,LEN(Registro!$E514)))&amp;"x")-1)),--("0"&amp;MID(TRIM(MID(SUBSTITUTE(SUBSTITUTE(SUBSTITUTE(SUBSTITUTE(SUBSTITUTE(LOWER(Registro!$E514),"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",LEN(Registro!$E514))),({1,2,3,4,5,6,7,8,9,10,11,12,13,14,15,16,17,18,19,20,21,22,23,24,25,26,27,28,29,30}-1)*LEN(Registro!$E514)+1,LEN(Registro!$E514)))&amp;"x")+1,20))),"Revisar formato")))</f>
        <v/>
      </c>
      <c r="F514" s="11" t="str">
        <f>IF(Registro!$F514="","",N(Registro!$F514))</f>
        <v/>
      </c>
      <c r="G514" s="11" t="str">
        <f t="shared" ref="G514:G577" si="25">IF(AND(E514="",F514=""),"",IF(OR(E514="",ISNUMBER(E514)),N(E514)-N(F514),E514))</f>
        <v/>
      </c>
      <c r="H514" s="10" t="str">
        <f>IF(Registro!$G514="","",IF(ISERROR(FIND("x",LOWER(Registro!$G514))),"-",IFERROR(SUMPRODUCT(--("0"&amp;LEFT(TRIM(MID(SUBSTITUTE(SUBSTITUTE(SUBSTITUTE(SUBSTITUTE(SUBSTITUTE(LOWER(Registro!$G514),"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",LEN(Registro!$G514))),({1,2,3,4,5,6,7,8,9,10,11,12,13,14,15,16,17,18,19,20,21,22,23,24,25,26,27,28,29,30}-1)*LEN(Registro!$G514)+1,LEN(Registro!$G514))),FIND("x",TRIM(MID(SUBSTITUTE(SUBSTITUTE(SUBSTITUTE(SUBSTITUTE(SUBSTITUTE(LOWER(Registro!$G514),"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",LEN(Registro!$G514))),({1,2,3,4,5,6,7,8,9,10,11,12,13,14,15,16,17,18,19,20,21,22,23,24,25,26,27,28,29,30}-1)*LEN(Registro!$G514)+1,LEN(Registro!$G514)))&amp;"x")-1))),"Revisar formato")))</f>
        <v/>
      </c>
      <c r="I514" s="11" t="str">
        <f>IF(Registro!$G514="","",IF(ISERROR(FIND("x",LOWER(Registro!$G514))),N(Registro!$H514),IFERROR(SUMPRODUCT(--("0"&amp;LEFT(TRIM(MID(SUBSTITUTE(SUBSTITUTE(SUBSTITUTE(SUBSTITUTE(SUBSTITUTE(LOWER(Registro!$G514),"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",LEN(Registro!$G514))),({1,2,3,4,5,6,7,8,9,10,11,12,13,14,15,16,17,18,19,20,21,22,23,24,25,26,27,28,29,30}-1)*LEN(Registro!$G514)+1,LEN(Registro!$G514))),FIND("x",TRIM(MID(SUBSTITUTE(SUBSTITUTE(SUBSTITUTE(SUBSTITUTE(SUBSTITUTE(LOWER(Registro!$G514),"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",LEN(Registro!$G514))),({1,2,3,4,5,6,7,8,9,10,11,12,13,14,15,16,17,18,19,20,21,22,23,24,25,26,27,28,29,30}-1)*LEN(Registro!$G514)+1,LEN(Registro!$G514)))&amp;"x")-1)),--("0"&amp;MID(TRIM(MID(SUBSTITUTE(SUBSTITUTE(SUBSTITUTE(SUBSTITUTE(SUBSTITUTE(LOWER(Registro!$G514),"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",LEN(Registro!$G514))),({1,2,3,4,5,6,7,8,9,10,11,12,13,14,15,16,17,18,19,20,21,22,23,24,25,26,27,28,29,30}-1)*LEN(Registro!$G514)+1,LEN(Registro!$G514))),FIND("x",TRIM(MID(SUBSTITUTE(SUBSTITUTE(SUBSTITUTE(SUBSTITUTE(SUBSTITUTE(LOWER(Registro!$G514),"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",LEN(Registro!$G514))),({1,2,3,4,5,6,7,8,9,10,11,12,13,14,15,16,17,18,19,20,21,22,23,24,25,26,27,28,29,30}-1)*LEN(Registro!$G514)+1,LEN(Registro!$G514)))&amp;"x")+1,20))),"Revisar formato")))</f>
        <v/>
      </c>
      <c r="J514" s="9" t="str">
        <f>IF(AND(Registro!$E514="",Registro!$G514=""),"",IF(NOT(AND(ISNUMBER(I514),ISNUMBER(Registro!$H514))),"",IF(I514&lt;Registro!$H514,"FALTA BOLETOS",IF(I514=Registro!$H514,"CONFORME","DIFERENCIA"))))</f>
        <v/>
      </c>
      <c r="K514" s="11" t="str">
        <f>IF(Registro!$I514="","",IFERROR(SUMPRODUCT(--("0"&amp;TRIM(RIGHT(SUBSTITUTE(TRIM(MID(SUBSTITUTE(SUBSTITUTE(Registro!$I514,";",CHAR(10)),CHAR(10),REPT(" ",LEN(Registro!$I514))),({1,2,3,4,5,6,7,8,9,10,11,12,13,14,15,16,17,18,19,20,21,22,23,24,25,26,27,28,29,30}-1)*LEN(Registro!$I514)+1,LEN(Registro!$I514)))," ",REPT(" ",50)),50)))),"Revisar formato"))</f>
        <v/>
      </c>
      <c r="L514" s="11" t="str">
        <f>IF(Registro!$J514="","",IFERROR(SUMPRODUCT(--("0"&amp;TRIM(RIGHT(SUBSTITUTE(TRIM(MID(SUBSTITUTE(SUBSTITUTE(Registro!$J514,";",CHAR(10)),CHAR(10),REPT(" ",LEN(Registro!$J514))),({1,2,3,4,5,6,7,8,9,10,11,12,13,14,15,16,17,18,19,20,21,22,23,24,25,26,27,28,29,30}-1)*LEN(Registro!$J514)+1,LEN(Registro!$J514)))," ",REPT(" ",50)),50)))),"Revisar formato"))</f>
        <v/>
      </c>
      <c r="M514" s="11" t="str">
        <f>IF(AND(Registro!$H514="",Registro!$I514=""),"",IF(AND(ISTEXT(K514),K514&lt;&gt;""),"Revisar formato",N(Registro!$H514)-N(K514)))</f>
        <v/>
      </c>
      <c r="N514" s="11" t="str">
        <f t="shared" ref="N514:N577" si="26">IF(M514="","",IF(OR(M514="Revisar formato",AND(ISTEXT(L514),L514&lt;&gt;"")),"Revisar formato",M514-N(L514)))</f>
        <v/>
      </c>
      <c r="O514" s="15" t="str">
        <f>IF(AND(A514=Consulta!$B$3,C514=Consulta!$H$3),B514*10000+ROW(),"")</f>
        <v/>
      </c>
    </row>
    <row r="515" spans="1:15" x14ac:dyDescent="0.25">
      <c r="A515" s="9" t="str">
        <f>IF(Registro!$A515="","",Registro!$A515)</f>
        <v/>
      </c>
      <c r="B515" s="8" t="str">
        <f>IF(Registro!$B515="","",Registro!$B515)</f>
        <v/>
      </c>
      <c r="C515" s="14" t="str">
        <f t="shared" si="24"/>
        <v/>
      </c>
      <c r="D515" s="10" t="str">
        <f>IF(Registro!$E515="","",IF(ISERROR(FIND("x",LOWER(Registro!$E515))),"-",IFERROR(SUMPRODUCT(--("0"&amp;LEFT(TRIM(MID(SUBSTITUTE(SUBSTITUTE(SUBSTITUTE(SUBSTITUTE(SUBSTITUTE(LOWER(Registro!$E515),"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",LEN(Registro!$E515))),({1,2,3,4,5,6,7,8,9,10,11,12,13,14,15,16,17,18,19,20,21,22,23,24,25,26,27,28,29,30}-1)*LEN(Registro!$E515)+1,LEN(Registro!$E515)))&amp;"x")-1))),"Revisar formato")))</f>
        <v/>
      </c>
      <c r="E515" s="11" t="str">
        <f>IF(Registro!$E515="","",IF(ISERROR(FIND("x",LOWER(Registro!$E515))),"-",IFERROR(SUMPRODUCT(--("0"&amp;LEFT(TRIM(MID(SUBSTITUTE(SUBSTITUTE(SUBSTITUTE(SUBSTITUTE(SUBSTITUTE(LOWER(Registro!$E515),"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",LEN(Registro!$E515))),({1,2,3,4,5,6,7,8,9,10,11,12,13,14,15,16,17,18,19,20,21,22,23,24,25,26,27,28,29,30}-1)*LEN(Registro!$E515)+1,LEN(Registro!$E515)))&amp;"x")-1)),--("0"&amp;MID(TRIM(MID(SUBSTITUTE(SUBSTITUTE(SUBSTITUTE(SUBSTITUTE(SUBSTITUTE(LOWER(Registro!$E515),"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",LEN(Registro!$E515))),({1,2,3,4,5,6,7,8,9,10,11,12,13,14,15,16,17,18,19,20,21,22,23,24,25,26,27,28,29,30}-1)*LEN(Registro!$E515)+1,LEN(Registro!$E515)))&amp;"x")+1,20))),"Revisar formato")))</f>
        <v/>
      </c>
      <c r="F515" s="11" t="str">
        <f>IF(Registro!$F515="","",N(Registro!$F515))</f>
        <v/>
      </c>
      <c r="G515" s="11" t="str">
        <f t="shared" si="25"/>
        <v/>
      </c>
      <c r="H515" s="10" t="str">
        <f>IF(Registro!$G515="","",IF(ISERROR(FIND("x",LOWER(Registro!$G515))),"-",IFERROR(SUMPRODUCT(--("0"&amp;LEFT(TRIM(MID(SUBSTITUTE(SUBSTITUTE(SUBSTITUTE(SUBSTITUTE(SUBSTITUTE(LOWER(Registro!$G515),"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",LEN(Registro!$G515))),({1,2,3,4,5,6,7,8,9,10,11,12,13,14,15,16,17,18,19,20,21,22,23,24,25,26,27,28,29,30}-1)*LEN(Registro!$G515)+1,LEN(Registro!$G515))),FIND("x",TRIM(MID(SUBSTITUTE(SUBSTITUTE(SUBSTITUTE(SUBSTITUTE(SUBSTITUTE(LOWER(Registro!$G515),"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",LEN(Registro!$G515))),({1,2,3,4,5,6,7,8,9,10,11,12,13,14,15,16,17,18,19,20,21,22,23,24,25,26,27,28,29,30}-1)*LEN(Registro!$G515)+1,LEN(Registro!$G515)))&amp;"x")-1))),"Revisar formato")))</f>
        <v/>
      </c>
      <c r="I515" s="11" t="str">
        <f>IF(Registro!$G515="","",IF(ISERROR(FIND("x",LOWER(Registro!$G515))),N(Registro!$H515),IFERROR(SUMPRODUCT(--("0"&amp;LEFT(TRIM(MID(SUBSTITUTE(SUBSTITUTE(SUBSTITUTE(SUBSTITUTE(SUBSTITUTE(LOWER(Registro!$G515),"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",LEN(Registro!$G515))),({1,2,3,4,5,6,7,8,9,10,11,12,13,14,15,16,17,18,19,20,21,22,23,24,25,26,27,28,29,30}-1)*LEN(Registro!$G515)+1,LEN(Registro!$G515))),FIND("x",TRIM(MID(SUBSTITUTE(SUBSTITUTE(SUBSTITUTE(SUBSTITUTE(SUBSTITUTE(LOWER(Registro!$G515),"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",LEN(Registro!$G515))),({1,2,3,4,5,6,7,8,9,10,11,12,13,14,15,16,17,18,19,20,21,22,23,24,25,26,27,28,29,30}-1)*LEN(Registro!$G515)+1,LEN(Registro!$G515)))&amp;"x")-1)),--("0"&amp;MID(TRIM(MID(SUBSTITUTE(SUBSTITUTE(SUBSTITUTE(SUBSTITUTE(SUBSTITUTE(LOWER(Registro!$G515),"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",LEN(Registro!$G515))),({1,2,3,4,5,6,7,8,9,10,11,12,13,14,15,16,17,18,19,20,21,22,23,24,25,26,27,28,29,30}-1)*LEN(Registro!$G515)+1,LEN(Registro!$G515))),FIND("x",TRIM(MID(SUBSTITUTE(SUBSTITUTE(SUBSTITUTE(SUBSTITUTE(SUBSTITUTE(LOWER(Registro!$G515),"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",LEN(Registro!$G515))),({1,2,3,4,5,6,7,8,9,10,11,12,13,14,15,16,17,18,19,20,21,22,23,24,25,26,27,28,29,30}-1)*LEN(Registro!$G515)+1,LEN(Registro!$G515)))&amp;"x")+1,20))),"Revisar formato")))</f>
        <v/>
      </c>
      <c r="J515" s="9" t="str">
        <f>IF(AND(Registro!$E515="",Registro!$G515=""),"",IF(NOT(AND(ISNUMBER(I515),ISNUMBER(Registro!$H515))),"",IF(I515&lt;Registro!$H515,"FALTA BOLETOS",IF(I515=Registro!$H515,"CONFORME","DIFERENCIA"))))</f>
        <v/>
      </c>
      <c r="K515" s="11" t="str">
        <f>IF(Registro!$I515="","",IFERROR(SUMPRODUCT(--("0"&amp;TRIM(RIGHT(SUBSTITUTE(TRIM(MID(SUBSTITUTE(SUBSTITUTE(Registro!$I515,";",CHAR(10)),CHAR(10),REPT(" ",LEN(Registro!$I515))),({1,2,3,4,5,6,7,8,9,10,11,12,13,14,15,16,17,18,19,20,21,22,23,24,25,26,27,28,29,30}-1)*LEN(Registro!$I515)+1,LEN(Registro!$I515)))," ",REPT(" ",50)),50)))),"Revisar formato"))</f>
        <v/>
      </c>
      <c r="L515" s="11" t="str">
        <f>IF(Registro!$J515="","",IFERROR(SUMPRODUCT(--("0"&amp;TRIM(RIGHT(SUBSTITUTE(TRIM(MID(SUBSTITUTE(SUBSTITUTE(Registro!$J515,";",CHAR(10)),CHAR(10),REPT(" ",LEN(Registro!$J515))),({1,2,3,4,5,6,7,8,9,10,11,12,13,14,15,16,17,18,19,20,21,22,23,24,25,26,27,28,29,30}-1)*LEN(Registro!$J515)+1,LEN(Registro!$J515)))," ",REPT(" ",50)),50)))),"Revisar formato"))</f>
        <v/>
      </c>
      <c r="M515" s="11" t="str">
        <f>IF(AND(Registro!$H515="",Registro!$I515=""),"",IF(AND(ISTEXT(K515),K515&lt;&gt;""),"Revisar formato",N(Registro!$H515)-N(K515)))</f>
        <v/>
      </c>
      <c r="N515" s="11" t="str">
        <f t="shared" si="26"/>
        <v/>
      </c>
      <c r="O515" s="15" t="str">
        <f>IF(AND(A515=Consulta!$B$3,C515=Consulta!$H$3),B515*10000+ROW(),"")</f>
        <v/>
      </c>
    </row>
    <row r="516" spans="1:15" x14ac:dyDescent="0.25">
      <c r="A516" s="9" t="str">
        <f>IF(Registro!$A516="","",Registro!$A516)</f>
        <v/>
      </c>
      <c r="B516" s="8" t="str">
        <f>IF(Registro!$B516="","",Registro!$B516)</f>
        <v/>
      </c>
      <c r="C516" s="14" t="str">
        <f t="shared" si="24"/>
        <v/>
      </c>
      <c r="D516" s="10" t="str">
        <f>IF(Registro!$E516="","",IF(ISERROR(FIND("x",LOWER(Registro!$E516))),"-",IFERROR(SUMPRODUCT(--("0"&amp;LEFT(TRIM(MID(SUBSTITUTE(SUBSTITUTE(SUBSTITUTE(SUBSTITUTE(SUBSTITUTE(LOWER(Registro!$E516),"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",LEN(Registro!$E516))),({1,2,3,4,5,6,7,8,9,10,11,12,13,14,15,16,17,18,19,20,21,22,23,24,25,26,27,28,29,30}-1)*LEN(Registro!$E516)+1,LEN(Registro!$E516)))&amp;"x")-1))),"Revisar formato")))</f>
        <v/>
      </c>
      <c r="E516" s="11" t="str">
        <f>IF(Registro!$E516="","",IF(ISERROR(FIND("x",LOWER(Registro!$E516))),"-",IFERROR(SUMPRODUCT(--("0"&amp;LEFT(TRIM(MID(SUBSTITUTE(SUBSTITUTE(SUBSTITUTE(SUBSTITUTE(SUBSTITUTE(LOWER(Registro!$E516),"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",LEN(Registro!$E516))),({1,2,3,4,5,6,7,8,9,10,11,12,13,14,15,16,17,18,19,20,21,22,23,24,25,26,27,28,29,30}-1)*LEN(Registro!$E516)+1,LEN(Registro!$E516)))&amp;"x")-1)),--("0"&amp;MID(TRIM(MID(SUBSTITUTE(SUBSTITUTE(SUBSTITUTE(SUBSTITUTE(SUBSTITUTE(LOWER(Registro!$E516),"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",LEN(Registro!$E516))),({1,2,3,4,5,6,7,8,9,10,11,12,13,14,15,16,17,18,19,20,21,22,23,24,25,26,27,28,29,30}-1)*LEN(Registro!$E516)+1,LEN(Registro!$E516)))&amp;"x")+1,20))),"Revisar formato")))</f>
        <v/>
      </c>
      <c r="F516" s="11" t="str">
        <f>IF(Registro!$F516="","",N(Registro!$F516))</f>
        <v/>
      </c>
      <c r="G516" s="11" t="str">
        <f t="shared" si="25"/>
        <v/>
      </c>
      <c r="H516" s="10" t="str">
        <f>IF(Registro!$G516="","",IF(ISERROR(FIND("x",LOWER(Registro!$G516))),"-",IFERROR(SUMPRODUCT(--("0"&amp;LEFT(TRIM(MID(SUBSTITUTE(SUBSTITUTE(SUBSTITUTE(SUBSTITUTE(SUBSTITUTE(LOWER(Registro!$G516),"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",LEN(Registro!$G516))),({1,2,3,4,5,6,7,8,9,10,11,12,13,14,15,16,17,18,19,20,21,22,23,24,25,26,27,28,29,30}-1)*LEN(Registro!$G516)+1,LEN(Registro!$G516))),FIND("x",TRIM(MID(SUBSTITUTE(SUBSTITUTE(SUBSTITUTE(SUBSTITUTE(SUBSTITUTE(LOWER(Registro!$G516),"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",LEN(Registro!$G516))),({1,2,3,4,5,6,7,8,9,10,11,12,13,14,15,16,17,18,19,20,21,22,23,24,25,26,27,28,29,30}-1)*LEN(Registro!$G516)+1,LEN(Registro!$G516)))&amp;"x")-1))),"Revisar formato")))</f>
        <v/>
      </c>
      <c r="I516" s="11" t="str">
        <f>IF(Registro!$G516="","",IF(ISERROR(FIND("x",LOWER(Registro!$G516))),N(Registro!$H516),IFERROR(SUMPRODUCT(--("0"&amp;LEFT(TRIM(MID(SUBSTITUTE(SUBSTITUTE(SUBSTITUTE(SUBSTITUTE(SUBSTITUTE(LOWER(Registro!$G516),"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",LEN(Registro!$G516))),({1,2,3,4,5,6,7,8,9,10,11,12,13,14,15,16,17,18,19,20,21,22,23,24,25,26,27,28,29,30}-1)*LEN(Registro!$G516)+1,LEN(Registro!$G516))),FIND("x",TRIM(MID(SUBSTITUTE(SUBSTITUTE(SUBSTITUTE(SUBSTITUTE(SUBSTITUTE(LOWER(Registro!$G516),"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",LEN(Registro!$G516))),({1,2,3,4,5,6,7,8,9,10,11,12,13,14,15,16,17,18,19,20,21,22,23,24,25,26,27,28,29,30}-1)*LEN(Registro!$G516)+1,LEN(Registro!$G516)))&amp;"x")-1)),--("0"&amp;MID(TRIM(MID(SUBSTITUTE(SUBSTITUTE(SUBSTITUTE(SUBSTITUTE(SUBSTITUTE(LOWER(Registro!$G516),"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",LEN(Registro!$G516))),({1,2,3,4,5,6,7,8,9,10,11,12,13,14,15,16,17,18,19,20,21,22,23,24,25,26,27,28,29,30}-1)*LEN(Registro!$G516)+1,LEN(Registro!$G516))),FIND("x",TRIM(MID(SUBSTITUTE(SUBSTITUTE(SUBSTITUTE(SUBSTITUTE(SUBSTITUTE(LOWER(Registro!$G516),"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",LEN(Registro!$G516))),({1,2,3,4,5,6,7,8,9,10,11,12,13,14,15,16,17,18,19,20,21,22,23,24,25,26,27,28,29,30}-1)*LEN(Registro!$G516)+1,LEN(Registro!$G516)))&amp;"x")+1,20))),"Revisar formato")))</f>
        <v/>
      </c>
      <c r="J516" s="9" t="str">
        <f>IF(AND(Registro!$E516="",Registro!$G516=""),"",IF(NOT(AND(ISNUMBER(I516),ISNUMBER(Registro!$H516))),"",IF(I516&lt;Registro!$H516,"FALTA BOLETOS",IF(I516=Registro!$H516,"CONFORME","DIFERENCIA"))))</f>
        <v/>
      </c>
      <c r="K516" s="11" t="str">
        <f>IF(Registro!$I516="","",IFERROR(SUMPRODUCT(--("0"&amp;TRIM(RIGHT(SUBSTITUTE(TRIM(MID(SUBSTITUTE(SUBSTITUTE(Registro!$I516,";",CHAR(10)),CHAR(10),REPT(" ",LEN(Registro!$I516))),({1,2,3,4,5,6,7,8,9,10,11,12,13,14,15,16,17,18,19,20,21,22,23,24,25,26,27,28,29,30}-1)*LEN(Registro!$I516)+1,LEN(Registro!$I516)))," ",REPT(" ",50)),50)))),"Revisar formato"))</f>
        <v/>
      </c>
      <c r="L516" s="11" t="str">
        <f>IF(Registro!$J516="","",IFERROR(SUMPRODUCT(--("0"&amp;TRIM(RIGHT(SUBSTITUTE(TRIM(MID(SUBSTITUTE(SUBSTITUTE(Registro!$J516,";",CHAR(10)),CHAR(10),REPT(" ",LEN(Registro!$J516))),({1,2,3,4,5,6,7,8,9,10,11,12,13,14,15,16,17,18,19,20,21,22,23,24,25,26,27,28,29,30}-1)*LEN(Registro!$J516)+1,LEN(Registro!$J516)))," ",REPT(" ",50)),50)))),"Revisar formato"))</f>
        <v/>
      </c>
      <c r="M516" s="11" t="str">
        <f>IF(AND(Registro!$H516="",Registro!$I516=""),"",IF(AND(ISTEXT(K516),K516&lt;&gt;""),"Revisar formato",N(Registro!$H516)-N(K516)))</f>
        <v/>
      </c>
      <c r="N516" s="11" t="str">
        <f t="shared" si="26"/>
        <v/>
      </c>
      <c r="O516" s="15" t="str">
        <f>IF(AND(A516=Consulta!$B$3,C516=Consulta!$H$3),B516*10000+ROW(),"")</f>
        <v/>
      </c>
    </row>
    <row r="517" spans="1:15" x14ac:dyDescent="0.25">
      <c r="A517" s="9" t="str">
        <f>IF(Registro!$A517="","",Registro!$A517)</f>
        <v/>
      </c>
      <c r="B517" s="8" t="str">
        <f>IF(Registro!$B517="","",Registro!$B517)</f>
        <v/>
      </c>
      <c r="C517" s="14" t="str">
        <f t="shared" si="24"/>
        <v/>
      </c>
      <c r="D517" s="10" t="str">
        <f>IF(Registro!$E517="","",IF(ISERROR(FIND("x",LOWER(Registro!$E517))),"-",IFERROR(SUMPRODUCT(--("0"&amp;LEFT(TRIM(MID(SUBSTITUTE(SUBSTITUTE(SUBSTITUTE(SUBSTITUTE(SUBSTITUTE(LOWER(Registro!$E517),"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",LEN(Registro!$E517))),({1,2,3,4,5,6,7,8,9,10,11,12,13,14,15,16,17,18,19,20,21,22,23,24,25,26,27,28,29,30}-1)*LEN(Registro!$E517)+1,LEN(Registro!$E517)))&amp;"x")-1))),"Revisar formato")))</f>
        <v/>
      </c>
      <c r="E517" s="11" t="str">
        <f>IF(Registro!$E517="","",IF(ISERROR(FIND("x",LOWER(Registro!$E517))),"-",IFERROR(SUMPRODUCT(--("0"&amp;LEFT(TRIM(MID(SUBSTITUTE(SUBSTITUTE(SUBSTITUTE(SUBSTITUTE(SUBSTITUTE(LOWER(Registro!$E517),"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",LEN(Registro!$E517))),({1,2,3,4,5,6,7,8,9,10,11,12,13,14,15,16,17,18,19,20,21,22,23,24,25,26,27,28,29,30}-1)*LEN(Registro!$E517)+1,LEN(Registro!$E517)))&amp;"x")-1)),--("0"&amp;MID(TRIM(MID(SUBSTITUTE(SUBSTITUTE(SUBSTITUTE(SUBSTITUTE(SUBSTITUTE(LOWER(Registro!$E517),"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",LEN(Registro!$E517))),({1,2,3,4,5,6,7,8,9,10,11,12,13,14,15,16,17,18,19,20,21,22,23,24,25,26,27,28,29,30}-1)*LEN(Registro!$E517)+1,LEN(Registro!$E517)))&amp;"x")+1,20))),"Revisar formato")))</f>
        <v/>
      </c>
      <c r="F517" s="11" t="str">
        <f>IF(Registro!$F517="","",N(Registro!$F517))</f>
        <v/>
      </c>
      <c r="G517" s="11" t="str">
        <f t="shared" si="25"/>
        <v/>
      </c>
      <c r="H517" s="10" t="str">
        <f>IF(Registro!$G517="","",IF(ISERROR(FIND("x",LOWER(Registro!$G517))),"-",IFERROR(SUMPRODUCT(--("0"&amp;LEFT(TRIM(MID(SUBSTITUTE(SUBSTITUTE(SUBSTITUTE(SUBSTITUTE(SUBSTITUTE(LOWER(Registro!$G517),"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",LEN(Registro!$G517))),({1,2,3,4,5,6,7,8,9,10,11,12,13,14,15,16,17,18,19,20,21,22,23,24,25,26,27,28,29,30}-1)*LEN(Registro!$G517)+1,LEN(Registro!$G517))),FIND("x",TRIM(MID(SUBSTITUTE(SUBSTITUTE(SUBSTITUTE(SUBSTITUTE(SUBSTITUTE(LOWER(Registro!$G517),"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",LEN(Registro!$G517))),({1,2,3,4,5,6,7,8,9,10,11,12,13,14,15,16,17,18,19,20,21,22,23,24,25,26,27,28,29,30}-1)*LEN(Registro!$G517)+1,LEN(Registro!$G517)))&amp;"x")-1))),"Revisar formato")))</f>
        <v/>
      </c>
      <c r="I517" s="11" t="str">
        <f>IF(Registro!$G517="","",IF(ISERROR(FIND("x",LOWER(Registro!$G517))),N(Registro!$H517),IFERROR(SUMPRODUCT(--("0"&amp;LEFT(TRIM(MID(SUBSTITUTE(SUBSTITUTE(SUBSTITUTE(SUBSTITUTE(SUBSTITUTE(LOWER(Registro!$G517),"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",LEN(Registro!$G517))),({1,2,3,4,5,6,7,8,9,10,11,12,13,14,15,16,17,18,19,20,21,22,23,24,25,26,27,28,29,30}-1)*LEN(Registro!$G517)+1,LEN(Registro!$G517))),FIND("x",TRIM(MID(SUBSTITUTE(SUBSTITUTE(SUBSTITUTE(SUBSTITUTE(SUBSTITUTE(LOWER(Registro!$G517),"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",LEN(Registro!$G517))),({1,2,3,4,5,6,7,8,9,10,11,12,13,14,15,16,17,18,19,20,21,22,23,24,25,26,27,28,29,30}-1)*LEN(Registro!$G517)+1,LEN(Registro!$G517)))&amp;"x")-1)),--("0"&amp;MID(TRIM(MID(SUBSTITUTE(SUBSTITUTE(SUBSTITUTE(SUBSTITUTE(SUBSTITUTE(LOWER(Registro!$G517),"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",LEN(Registro!$G517))),({1,2,3,4,5,6,7,8,9,10,11,12,13,14,15,16,17,18,19,20,21,22,23,24,25,26,27,28,29,30}-1)*LEN(Registro!$G517)+1,LEN(Registro!$G517))),FIND("x",TRIM(MID(SUBSTITUTE(SUBSTITUTE(SUBSTITUTE(SUBSTITUTE(SUBSTITUTE(LOWER(Registro!$G517),"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",LEN(Registro!$G517))),({1,2,3,4,5,6,7,8,9,10,11,12,13,14,15,16,17,18,19,20,21,22,23,24,25,26,27,28,29,30}-1)*LEN(Registro!$G517)+1,LEN(Registro!$G517)))&amp;"x")+1,20))),"Revisar formato")))</f>
        <v/>
      </c>
      <c r="J517" s="9" t="str">
        <f>IF(AND(Registro!$E517="",Registro!$G517=""),"",IF(NOT(AND(ISNUMBER(I517),ISNUMBER(Registro!$H517))),"",IF(I517&lt;Registro!$H517,"FALTA BOLETOS",IF(I517=Registro!$H517,"CONFORME","DIFERENCIA"))))</f>
        <v/>
      </c>
      <c r="K517" s="11" t="str">
        <f>IF(Registro!$I517="","",IFERROR(SUMPRODUCT(--("0"&amp;TRIM(RIGHT(SUBSTITUTE(TRIM(MID(SUBSTITUTE(SUBSTITUTE(Registro!$I517,";",CHAR(10)),CHAR(10),REPT(" ",LEN(Registro!$I517))),({1,2,3,4,5,6,7,8,9,10,11,12,13,14,15,16,17,18,19,20,21,22,23,24,25,26,27,28,29,30}-1)*LEN(Registro!$I517)+1,LEN(Registro!$I517)))," ",REPT(" ",50)),50)))),"Revisar formato"))</f>
        <v/>
      </c>
      <c r="L517" s="11" t="str">
        <f>IF(Registro!$J517="","",IFERROR(SUMPRODUCT(--("0"&amp;TRIM(RIGHT(SUBSTITUTE(TRIM(MID(SUBSTITUTE(SUBSTITUTE(Registro!$J517,";",CHAR(10)),CHAR(10),REPT(" ",LEN(Registro!$J517))),({1,2,3,4,5,6,7,8,9,10,11,12,13,14,15,16,17,18,19,20,21,22,23,24,25,26,27,28,29,30}-1)*LEN(Registro!$J517)+1,LEN(Registro!$J517)))," ",REPT(" ",50)),50)))),"Revisar formato"))</f>
        <v/>
      </c>
      <c r="M517" s="11" t="str">
        <f>IF(AND(Registro!$H517="",Registro!$I517=""),"",IF(AND(ISTEXT(K517),K517&lt;&gt;""),"Revisar formato",N(Registro!$H517)-N(K517)))</f>
        <v/>
      </c>
      <c r="N517" s="11" t="str">
        <f t="shared" si="26"/>
        <v/>
      </c>
      <c r="O517" s="15" t="str">
        <f>IF(AND(A517=Consulta!$B$3,C517=Consulta!$H$3),B517*10000+ROW(),"")</f>
        <v/>
      </c>
    </row>
    <row r="518" spans="1:15" x14ac:dyDescent="0.25">
      <c r="A518" s="9" t="str">
        <f>IF(Registro!$A518="","",Registro!$A518)</f>
        <v/>
      </c>
      <c r="B518" s="8" t="str">
        <f>IF(Registro!$B518="","",Registro!$B518)</f>
        <v/>
      </c>
      <c r="C518" s="14" t="str">
        <f t="shared" si="24"/>
        <v/>
      </c>
      <c r="D518" s="10" t="str">
        <f>IF(Registro!$E518="","",IF(ISERROR(FIND("x",LOWER(Registro!$E518))),"-",IFERROR(SUMPRODUCT(--("0"&amp;LEFT(TRIM(MID(SUBSTITUTE(SUBSTITUTE(SUBSTITUTE(SUBSTITUTE(SUBSTITUTE(LOWER(Registro!$E518),"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",LEN(Registro!$E518))),({1,2,3,4,5,6,7,8,9,10,11,12,13,14,15,16,17,18,19,20,21,22,23,24,25,26,27,28,29,30}-1)*LEN(Registro!$E518)+1,LEN(Registro!$E518)))&amp;"x")-1))),"Revisar formato")))</f>
        <v/>
      </c>
      <c r="E518" s="11" t="str">
        <f>IF(Registro!$E518="","",IF(ISERROR(FIND("x",LOWER(Registro!$E518))),"-",IFERROR(SUMPRODUCT(--("0"&amp;LEFT(TRIM(MID(SUBSTITUTE(SUBSTITUTE(SUBSTITUTE(SUBSTITUTE(SUBSTITUTE(LOWER(Registro!$E518),"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",LEN(Registro!$E518))),({1,2,3,4,5,6,7,8,9,10,11,12,13,14,15,16,17,18,19,20,21,22,23,24,25,26,27,28,29,30}-1)*LEN(Registro!$E518)+1,LEN(Registro!$E518)))&amp;"x")-1)),--("0"&amp;MID(TRIM(MID(SUBSTITUTE(SUBSTITUTE(SUBSTITUTE(SUBSTITUTE(SUBSTITUTE(LOWER(Registro!$E518),"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",LEN(Registro!$E518))),({1,2,3,4,5,6,7,8,9,10,11,12,13,14,15,16,17,18,19,20,21,22,23,24,25,26,27,28,29,30}-1)*LEN(Registro!$E518)+1,LEN(Registro!$E518)))&amp;"x")+1,20))),"Revisar formato")))</f>
        <v/>
      </c>
      <c r="F518" s="11" t="str">
        <f>IF(Registro!$F518="","",N(Registro!$F518))</f>
        <v/>
      </c>
      <c r="G518" s="11" t="str">
        <f t="shared" si="25"/>
        <v/>
      </c>
      <c r="H518" s="10" t="str">
        <f>IF(Registro!$G518="","",IF(ISERROR(FIND("x",LOWER(Registro!$G518))),"-",IFERROR(SUMPRODUCT(--("0"&amp;LEFT(TRIM(MID(SUBSTITUTE(SUBSTITUTE(SUBSTITUTE(SUBSTITUTE(SUBSTITUTE(LOWER(Registro!$G518),"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",LEN(Registro!$G518))),({1,2,3,4,5,6,7,8,9,10,11,12,13,14,15,16,17,18,19,20,21,22,23,24,25,26,27,28,29,30}-1)*LEN(Registro!$G518)+1,LEN(Registro!$G518))),FIND("x",TRIM(MID(SUBSTITUTE(SUBSTITUTE(SUBSTITUTE(SUBSTITUTE(SUBSTITUTE(LOWER(Registro!$G518),"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",LEN(Registro!$G518))),({1,2,3,4,5,6,7,8,9,10,11,12,13,14,15,16,17,18,19,20,21,22,23,24,25,26,27,28,29,30}-1)*LEN(Registro!$G518)+1,LEN(Registro!$G518)))&amp;"x")-1))),"Revisar formato")))</f>
        <v/>
      </c>
      <c r="I518" s="11" t="str">
        <f>IF(Registro!$G518="","",IF(ISERROR(FIND("x",LOWER(Registro!$G518))),N(Registro!$H518),IFERROR(SUMPRODUCT(--("0"&amp;LEFT(TRIM(MID(SUBSTITUTE(SUBSTITUTE(SUBSTITUTE(SUBSTITUTE(SUBSTITUTE(LOWER(Registro!$G518),"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",LEN(Registro!$G518))),({1,2,3,4,5,6,7,8,9,10,11,12,13,14,15,16,17,18,19,20,21,22,23,24,25,26,27,28,29,30}-1)*LEN(Registro!$G518)+1,LEN(Registro!$G518))),FIND("x",TRIM(MID(SUBSTITUTE(SUBSTITUTE(SUBSTITUTE(SUBSTITUTE(SUBSTITUTE(LOWER(Registro!$G518),"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",LEN(Registro!$G518))),({1,2,3,4,5,6,7,8,9,10,11,12,13,14,15,16,17,18,19,20,21,22,23,24,25,26,27,28,29,30}-1)*LEN(Registro!$G518)+1,LEN(Registro!$G518)))&amp;"x")-1)),--("0"&amp;MID(TRIM(MID(SUBSTITUTE(SUBSTITUTE(SUBSTITUTE(SUBSTITUTE(SUBSTITUTE(LOWER(Registro!$G518),"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",LEN(Registro!$G518))),({1,2,3,4,5,6,7,8,9,10,11,12,13,14,15,16,17,18,19,20,21,22,23,24,25,26,27,28,29,30}-1)*LEN(Registro!$G518)+1,LEN(Registro!$G518))),FIND("x",TRIM(MID(SUBSTITUTE(SUBSTITUTE(SUBSTITUTE(SUBSTITUTE(SUBSTITUTE(LOWER(Registro!$G518),"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",LEN(Registro!$G518))),({1,2,3,4,5,6,7,8,9,10,11,12,13,14,15,16,17,18,19,20,21,22,23,24,25,26,27,28,29,30}-1)*LEN(Registro!$G518)+1,LEN(Registro!$G518)))&amp;"x")+1,20))),"Revisar formato")))</f>
        <v/>
      </c>
      <c r="J518" s="9" t="str">
        <f>IF(AND(Registro!$E518="",Registro!$G518=""),"",IF(NOT(AND(ISNUMBER(I518),ISNUMBER(Registro!$H518))),"",IF(I518&lt;Registro!$H518,"FALTA BOLETOS",IF(I518=Registro!$H518,"CONFORME","DIFERENCIA"))))</f>
        <v/>
      </c>
      <c r="K518" s="11" t="str">
        <f>IF(Registro!$I518="","",IFERROR(SUMPRODUCT(--("0"&amp;TRIM(RIGHT(SUBSTITUTE(TRIM(MID(SUBSTITUTE(SUBSTITUTE(Registro!$I518,";",CHAR(10)),CHAR(10),REPT(" ",LEN(Registro!$I518))),({1,2,3,4,5,6,7,8,9,10,11,12,13,14,15,16,17,18,19,20,21,22,23,24,25,26,27,28,29,30}-1)*LEN(Registro!$I518)+1,LEN(Registro!$I518)))," ",REPT(" ",50)),50)))),"Revisar formato"))</f>
        <v/>
      </c>
      <c r="L518" s="11" t="str">
        <f>IF(Registro!$J518="","",IFERROR(SUMPRODUCT(--("0"&amp;TRIM(RIGHT(SUBSTITUTE(TRIM(MID(SUBSTITUTE(SUBSTITUTE(Registro!$J518,";",CHAR(10)),CHAR(10),REPT(" ",LEN(Registro!$J518))),({1,2,3,4,5,6,7,8,9,10,11,12,13,14,15,16,17,18,19,20,21,22,23,24,25,26,27,28,29,30}-1)*LEN(Registro!$J518)+1,LEN(Registro!$J518)))," ",REPT(" ",50)),50)))),"Revisar formato"))</f>
        <v/>
      </c>
      <c r="M518" s="11" t="str">
        <f>IF(AND(Registro!$H518="",Registro!$I518=""),"",IF(AND(ISTEXT(K518),K518&lt;&gt;""),"Revisar formato",N(Registro!$H518)-N(K518)))</f>
        <v/>
      </c>
      <c r="N518" s="11" t="str">
        <f t="shared" si="26"/>
        <v/>
      </c>
      <c r="O518" s="15" t="str">
        <f>IF(AND(A518=Consulta!$B$3,C518=Consulta!$H$3),B518*10000+ROW(),"")</f>
        <v/>
      </c>
    </row>
    <row r="519" spans="1:15" x14ac:dyDescent="0.25">
      <c r="A519" s="9" t="str">
        <f>IF(Registro!$A519="","",Registro!$A519)</f>
        <v/>
      </c>
      <c r="B519" s="8" t="str">
        <f>IF(Registro!$B519="","",Registro!$B519)</f>
        <v/>
      </c>
      <c r="C519" s="14" t="str">
        <f t="shared" si="24"/>
        <v/>
      </c>
      <c r="D519" s="10" t="str">
        <f>IF(Registro!$E519="","",IF(ISERROR(FIND("x",LOWER(Registro!$E519))),"-",IFERROR(SUMPRODUCT(--("0"&amp;LEFT(TRIM(MID(SUBSTITUTE(SUBSTITUTE(SUBSTITUTE(SUBSTITUTE(SUBSTITUTE(LOWER(Registro!$E519),"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",LEN(Registro!$E519))),({1,2,3,4,5,6,7,8,9,10,11,12,13,14,15,16,17,18,19,20,21,22,23,24,25,26,27,28,29,30}-1)*LEN(Registro!$E519)+1,LEN(Registro!$E519)))&amp;"x")-1))),"Revisar formato")))</f>
        <v/>
      </c>
      <c r="E519" s="11" t="str">
        <f>IF(Registro!$E519="","",IF(ISERROR(FIND("x",LOWER(Registro!$E519))),"-",IFERROR(SUMPRODUCT(--("0"&amp;LEFT(TRIM(MID(SUBSTITUTE(SUBSTITUTE(SUBSTITUTE(SUBSTITUTE(SUBSTITUTE(LOWER(Registro!$E519),"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",LEN(Registro!$E519))),({1,2,3,4,5,6,7,8,9,10,11,12,13,14,15,16,17,18,19,20,21,22,23,24,25,26,27,28,29,30}-1)*LEN(Registro!$E519)+1,LEN(Registro!$E519)))&amp;"x")-1)),--("0"&amp;MID(TRIM(MID(SUBSTITUTE(SUBSTITUTE(SUBSTITUTE(SUBSTITUTE(SUBSTITUTE(LOWER(Registro!$E519),"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",LEN(Registro!$E519))),({1,2,3,4,5,6,7,8,9,10,11,12,13,14,15,16,17,18,19,20,21,22,23,24,25,26,27,28,29,30}-1)*LEN(Registro!$E519)+1,LEN(Registro!$E519)))&amp;"x")+1,20))),"Revisar formato")))</f>
        <v/>
      </c>
      <c r="F519" s="11" t="str">
        <f>IF(Registro!$F519="","",N(Registro!$F519))</f>
        <v/>
      </c>
      <c r="G519" s="11" t="str">
        <f t="shared" si="25"/>
        <v/>
      </c>
      <c r="H519" s="10" t="str">
        <f>IF(Registro!$G519="","",IF(ISERROR(FIND("x",LOWER(Registro!$G519))),"-",IFERROR(SUMPRODUCT(--("0"&amp;LEFT(TRIM(MID(SUBSTITUTE(SUBSTITUTE(SUBSTITUTE(SUBSTITUTE(SUBSTITUTE(LOWER(Registro!$G519),"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",LEN(Registro!$G519))),({1,2,3,4,5,6,7,8,9,10,11,12,13,14,15,16,17,18,19,20,21,22,23,24,25,26,27,28,29,30}-1)*LEN(Registro!$G519)+1,LEN(Registro!$G519))),FIND("x",TRIM(MID(SUBSTITUTE(SUBSTITUTE(SUBSTITUTE(SUBSTITUTE(SUBSTITUTE(LOWER(Registro!$G519),"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",LEN(Registro!$G519))),({1,2,3,4,5,6,7,8,9,10,11,12,13,14,15,16,17,18,19,20,21,22,23,24,25,26,27,28,29,30}-1)*LEN(Registro!$G519)+1,LEN(Registro!$G519)))&amp;"x")-1))),"Revisar formato")))</f>
        <v/>
      </c>
      <c r="I519" s="11" t="str">
        <f>IF(Registro!$G519="","",IF(ISERROR(FIND("x",LOWER(Registro!$G519))),N(Registro!$H519),IFERROR(SUMPRODUCT(--("0"&amp;LEFT(TRIM(MID(SUBSTITUTE(SUBSTITUTE(SUBSTITUTE(SUBSTITUTE(SUBSTITUTE(LOWER(Registro!$G519),"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",LEN(Registro!$G519))),({1,2,3,4,5,6,7,8,9,10,11,12,13,14,15,16,17,18,19,20,21,22,23,24,25,26,27,28,29,30}-1)*LEN(Registro!$G519)+1,LEN(Registro!$G519))),FIND("x",TRIM(MID(SUBSTITUTE(SUBSTITUTE(SUBSTITUTE(SUBSTITUTE(SUBSTITUTE(LOWER(Registro!$G519),"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",LEN(Registro!$G519))),({1,2,3,4,5,6,7,8,9,10,11,12,13,14,15,16,17,18,19,20,21,22,23,24,25,26,27,28,29,30}-1)*LEN(Registro!$G519)+1,LEN(Registro!$G519)))&amp;"x")-1)),--("0"&amp;MID(TRIM(MID(SUBSTITUTE(SUBSTITUTE(SUBSTITUTE(SUBSTITUTE(SUBSTITUTE(LOWER(Registro!$G519),"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",LEN(Registro!$G519))),({1,2,3,4,5,6,7,8,9,10,11,12,13,14,15,16,17,18,19,20,21,22,23,24,25,26,27,28,29,30}-1)*LEN(Registro!$G519)+1,LEN(Registro!$G519))),FIND("x",TRIM(MID(SUBSTITUTE(SUBSTITUTE(SUBSTITUTE(SUBSTITUTE(SUBSTITUTE(LOWER(Registro!$G519),"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",LEN(Registro!$G519))),({1,2,3,4,5,6,7,8,9,10,11,12,13,14,15,16,17,18,19,20,21,22,23,24,25,26,27,28,29,30}-1)*LEN(Registro!$G519)+1,LEN(Registro!$G519)))&amp;"x")+1,20))),"Revisar formato")))</f>
        <v/>
      </c>
      <c r="J519" s="9" t="str">
        <f>IF(AND(Registro!$E519="",Registro!$G519=""),"",IF(NOT(AND(ISNUMBER(I519),ISNUMBER(Registro!$H519))),"",IF(I519&lt;Registro!$H519,"FALTA BOLETOS",IF(I519=Registro!$H519,"CONFORME","DIFERENCIA"))))</f>
        <v/>
      </c>
      <c r="K519" s="11" t="str">
        <f>IF(Registro!$I519="","",IFERROR(SUMPRODUCT(--("0"&amp;TRIM(RIGHT(SUBSTITUTE(TRIM(MID(SUBSTITUTE(SUBSTITUTE(Registro!$I519,";",CHAR(10)),CHAR(10),REPT(" ",LEN(Registro!$I519))),({1,2,3,4,5,6,7,8,9,10,11,12,13,14,15,16,17,18,19,20,21,22,23,24,25,26,27,28,29,30}-1)*LEN(Registro!$I519)+1,LEN(Registro!$I519)))," ",REPT(" ",50)),50)))),"Revisar formato"))</f>
        <v/>
      </c>
      <c r="L519" s="11" t="str">
        <f>IF(Registro!$J519="","",IFERROR(SUMPRODUCT(--("0"&amp;TRIM(RIGHT(SUBSTITUTE(TRIM(MID(SUBSTITUTE(SUBSTITUTE(Registro!$J519,";",CHAR(10)),CHAR(10),REPT(" ",LEN(Registro!$J519))),({1,2,3,4,5,6,7,8,9,10,11,12,13,14,15,16,17,18,19,20,21,22,23,24,25,26,27,28,29,30}-1)*LEN(Registro!$J519)+1,LEN(Registro!$J519)))," ",REPT(" ",50)),50)))),"Revisar formato"))</f>
        <v/>
      </c>
      <c r="M519" s="11" t="str">
        <f>IF(AND(Registro!$H519="",Registro!$I519=""),"",IF(AND(ISTEXT(K519),K519&lt;&gt;""),"Revisar formato",N(Registro!$H519)-N(K519)))</f>
        <v/>
      </c>
      <c r="N519" s="11" t="str">
        <f t="shared" si="26"/>
        <v/>
      </c>
      <c r="O519" s="15" t="str">
        <f>IF(AND(A519=Consulta!$B$3,C519=Consulta!$H$3),B519*10000+ROW(),"")</f>
        <v/>
      </c>
    </row>
    <row r="520" spans="1:15" x14ac:dyDescent="0.25">
      <c r="A520" s="9" t="str">
        <f>IF(Registro!$A520="","",Registro!$A520)</f>
        <v/>
      </c>
      <c r="B520" s="8" t="str">
        <f>IF(Registro!$B520="","",Registro!$B520)</f>
        <v/>
      </c>
      <c r="C520" s="14" t="str">
        <f t="shared" si="24"/>
        <v/>
      </c>
      <c r="D520" s="10" t="str">
        <f>IF(Registro!$E520="","",IF(ISERROR(FIND("x",LOWER(Registro!$E520))),"-",IFERROR(SUMPRODUCT(--("0"&amp;LEFT(TRIM(MID(SUBSTITUTE(SUBSTITUTE(SUBSTITUTE(SUBSTITUTE(SUBSTITUTE(LOWER(Registro!$E520),"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",LEN(Registro!$E520))),({1,2,3,4,5,6,7,8,9,10,11,12,13,14,15,16,17,18,19,20,21,22,23,24,25,26,27,28,29,30}-1)*LEN(Registro!$E520)+1,LEN(Registro!$E520)))&amp;"x")-1))),"Revisar formato")))</f>
        <v/>
      </c>
      <c r="E520" s="11" t="str">
        <f>IF(Registro!$E520="","",IF(ISERROR(FIND("x",LOWER(Registro!$E520))),"-",IFERROR(SUMPRODUCT(--("0"&amp;LEFT(TRIM(MID(SUBSTITUTE(SUBSTITUTE(SUBSTITUTE(SUBSTITUTE(SUBSTITUTE(LOWER(Registro!$E520),"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",LEN(Registro!$E520))),({1,2,3,4,5,6,7,8,9,10,11,12,13,14,15,16,17,18,19,20,21,22,23,24,25,26,27,28,29,30}-1)*LEN(Registro!$E520)+1,LEN(Registro!$E520)))&amp;"x")-1)),--("0"&amp;MID(TRIM(MID(SUBSTITUTE(SUBSTITUTE(SUBSTITUTE(SUBSTITUTE(SUBSTITUTE(LOWER(Registro!$E520),"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",LEN(Registro!$E520))),({1,2,3,4,5,6,7,8,9,10,11,12,13,14,15,16,17,18,19,20,21,22,23,24,25,26,27,28,29,30}-1)*LEN(Registro!$E520)+1,LEN(Registro!$E520)))&amp;"x")+1,20))),"Revisar formato")))</f>
        <v/>
      </c>
      <c r="F520" s="11" t="str">
        <f>IF(Registro!$F520="","",N(Registro!$F520))</f>
        <v/>
      </c>
      <c r="G520" s="11" t="str">
        <f t="shared" si="25"/>
        <v/>
      </c>
      <c r="H520" s="10" t="str">
        <f>IF(Registro!$G520="","",IF(ISERROR(FIND("x",LOWER(Registro!$G520))),"-",IFERROR(SUMPRODUCT(--("0"&amp;LEFT(TRIM(MID(SUBSTITUTE(SUBSTITUTE(SUBSTITUTE(SUBSTITUTE(SUBSTITUTE(LOWER(Registro!$G520),"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",LEN(Registro!$G520))),({1,2,3,4,5,6,7,8,9,10,11,12,13,14,15,16,17,18,19,20,21,22,23,24,25,26,27,28,29,30}-1)*LEN(Registro!$G520)+1,LEN(Registro!$G520))),FIND("x",TRIM(MID(SUBSTITUTE(SUBSTITUTE(SUBSTITUTE(SUBSTITUTE(SUBSTITUTE(LOWER(Registro!$G520),"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",LEN(Registro!$G520))),({1,2,3,4,5,6,7,8,9,10,11,12,13,14,15,16,17,18,19,20,21,22,23,24,25,26,27,28,29,30}-1)*LEN(Registro!$G520)+1,LEN(Registro!$G520)))&amp;"x")-1))),"Revisar formato")))</f>
        <v/>
      </c>
      <c r="I520" s="11" t="str">
        <f>IF(Registro!$G520="","",IF(ISERROR(FIND("x",LOWER(Registro!$G520))),N(Registro!$H520),IFERROR(SUMPRODUCT(--("0"&amp;LEFT(TRIM(MID(SUBSTITUTE(SUBSTITUTE(SUBSTITUTE(SUBSTITUTE(SUBSTITUTE(LOWER(Registro!$G520),"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",LEN(Registro!$G520))),({1,2,3,4,5,6,7,8,9,10,11,12,13,14,15,16,17,18,19,20,21,22,23,24,25,26,27,28,29,30}-1)*LEN(Registro!$G520)+1,LEN(Registro!$G520))),FIND("x",TRIM(MID(SUBSTITUTE(SUBSTITUTE(SUBSTITUTE(SUBSTITUTE(SUBSTITUTE(LOWER(Registro!$G520),"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",LEN(Registro!$G520))),({1,2,3,4,5,6,7,8,9,10,11,12,13,14,15,16,17,18,19,20,21,22,23,24,25,26,27,28,29,30}-1)*LEN(Registro!$G520)+1,LEN(Registro!$G520)))&amp;"x")-1)),--("0"&amp;MID(TRIM(MID(SUBSTITUTE(SUBSTITUTE(SUBSTITUTE(SUBSTITUTE(SUBSTITUTE(LOWER(Registro!$G520),"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",LEN(Registro!$G520))),({1,2,3,4,5,6,7,8,9,10,11,12,13,14,15,16,17,18,19,20,21,22,23,24,25,26,27,28,29,30}-1)*LEN(Registro!$G520)+1,LEN(Registro!$G520))),FIND("x",TRIM(MID(SUBSTITUTE(SUBSTITUTE(SUBSTITUTE(SUBSTITUTE(SUBSTITUTE(LOWER(Registro!$G520),"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",LEN(Registro!$G520))),({1,2,3,4,5,6,7,8,9,10,11,12,13,14,15,16,17,18,19,20,21,22,23,24,25,26,27,28,29,30}-1)*LEN(Registro!$G520)+1,LEN(Registro!$G520)))&amp;"x")+1,20))),"Revisar formato")))</f>
        <v/>
      </c>
      <c r="J520" s="9" t="str">
        <f>IF(AND(Registro!$E520="",Registro!$G520=""),"",IF(NOT(AND(ISNUMBER(I520),ISNUMBER(Registro!$H520))),"",IF(I520&lt;Registro!$H520,"FALTA BOLETOS",IF(I520=Registro!$H520,"CONFORME","DIFERENCIA"))))</f>
        <v/>
      </c>
      <c r="K520" s="11" t="str">
        <f>IF(Registro!$I520="","",IFERROR(SUMPRODUCT(--("0"&amp;TRIM(RIGHT(SUBSTITUTE(TRIM(MID(SUBSTITUTE(SUBSTITUTE(Registro!$I520,";",CHAR(10)),CHAR(10),REPT(" ",LEN(Registro!$I520))),({1,2,3,4,5,6,7,8,9,10,11,12,13,14,15,16,17,18,19,20,21,22,23,24,25,26,27,28,29,30}-1)*LEN(Registro!$I520)+1,LEN(Registro!$I520)))," ",REPT(" ",50)),50)))),"Revisar formato"))</f>
        <v/>
      </c>
      <c r="L520" s="11" t="str">
        <f>IF(Registro!$J520="","",IFERROR(SUMPRODUCT(--("0"&amp;TRIM(RIGHT(SUBSTITUTE(TRIM(MID(SUBSTITUTE(SUBSTITUTE(Registro!$J520,";",CHAR(10)),CHAR(10),REPT(" ",LEN(Registro!$J520))),({1,2,3,4,5,6,7,8,9,10,11,12,13,14,15,16,17,18,19,20,21,22,23,24,25,26,27,28,29,30}-1)*LEN(Registro!$J520)+1,LEN(Registro!$J520)))," ",REPT(" ",50)),50)))),"Revisar formato"))</f>
        <v/>
      </c>
      <c r="M520" s="11" t="str">
        <f>IF(AND(Registro!$H520="",Registro!$I520=""),"",IF(AND(ISTEXT(K520),K520&lt;&gt;""),"Revisar formato",N(Registro!$H520)-N(K520)))</f>
        <v/>
      </c>
      <c r="N520" s="11" t="str">
        <f t="shared" si="26"/>
        <v/>
      </c>
      <c r="O520" s="15" t="str">
        <f>IF(AND(A520=Consulta!$B$3,C520=Consulta!$H$3),B520*10000+ROW(),"")</f>
        <v/>
      </c>
    </row>
    <row r="521" spans="1:15" x14ac:dyDescent="0.25">
      <c r="A521" s="9" t="str">
        <f>IF(Registro!$A521="","",Registro!$A521)</f>
        <v/>
      </c>
      <c r="B521" s="8" t="str">
        <f>IF(Registro!$B521="","",Registro!$B521)</f>
        <v/>
      </c>
      <c r="C521" s="14" t="str">
        <f t="shared" si="24"/>
        <v/>
      </c>
      <c r="D521" s="10" t="str">
        <f>IF(Registro!$E521="","",IF(ISERROR(FIND("x",LOWER(Registro!$E521))),"-",IFERROR(SUMPRODUCT(--("0"&amp;LEFT(TRIM(MID(SUBSTITUTE(SUBSTITUTE(SUBSTITUTE(SUBSTITUTE(SUBSTITUTE(LOWER(Registro!$E521),"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",LEN(Registro!$E521))),({1,2,3,4,5,6,7,8,9,10,11,12,13,14,15,16,17,18,19,20,21,22,23,24,25,26,27,28,29,30}-1)*LEN(Registro!$E521)+1,LEN(Registro!$E521)))&amp;"x")-1))),"Revisar formato")))</f>
        <v/>
      </c>
      <c r="E521" s="11" t="str">
        <f>IF(Registro!$E521="","",IF(ISERROR(FIND("x",LOWER(Registro!$E521))),"-",IFERROR(SUMPRODUCT(--("0"&amp;LEFT(TRIM(MID(SUBSTITUTE(SUBSTITUTE(SUBSTITUTE(SUBSTITUTE(SUBSTITUTE(LOWER(Registro!$E521),"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",LEN(Registro!$E521))),({1,2,3,4,5,6,7,8,9,10,11,12,13,14,15,16,17,18,19,20,21,22,23,24,25,26,27,28,29,30}-1)*LEN(Registro!$E521)+1,LEN(Registro!$E521)))&amp;"x")-1)),--("0"&amp;MID(TRIM(MID(SUBSTITUTE(SUBSTITUTE(SUBSTITUTE(SUBSTITUTE(SUBSTITUTE(LOWER(Registro!$E521),"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",LEN(Registro!$E521))),({1,2,3,4,5,6,7,8,9,10,11,12,13,14,15,16,17,18,19,20,21,22,23,24,25,26,27,28,29,30}-1)*LEN(Registro!$E521)+1,LEN(Registro!$E521)))&amp;"x")+1,20))),"Revisar formato")))</f>
        <v/>
      </c>
      <c r="F521" s="11" t="str">
        <f>IF(Registro!$F521="","",N(Registro!$F521))</f>
        <v/>
      </c>
      <c r="G521" s="11" t="str">
        <f t="shared" si="25"/>
        <v/>
      </c>
      <c r="H521" s="10" t="str">
        <f>IF(Registro!$G521="","",IF(ISERROR(FIND("x",LOWER(Registro!$G521))),"-",IFERROR(SUMPRODUCT(--("0"&amp;LEFT(TRIM(MID(SUBSTITUTE(SUBSTITUTE(SUBSTITUTE(SUBSTITUTE(SUBSTITUTE(LOWER(Registro!$G521),"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",LEN(Registro!$G521))),({1,2,3,4,5,6,7,8,9,10,11,12,13,14,15,16,17,18,19,20,21,22,23,24,25,26,27,28,29,30}-1)*LEN(Registro!$G521)+1,LEN(Registro!$G521))),FIND("x",TRIM(MID(SUBSTITUTE(SUBSTITUTE(SUBSTITUTE(SUBSTITUTE(SUBSTITUTE(LOWER(Registro!$G521),"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",LEN(Registro!$G521))),({1,2,3,4,5,6,7,8,9,10,11,12,13,14,15,16,17,18,19,20,21,22,23,24,25,26,27,28,29,30}-1)*LEN(Registro!$G521)+1,LEN(Registro!$G521)))&amp;"x")-1))),"Revisar formato")))</f>
        <v/>
      </c>
      <c r="I521" s="11" t="str">
        <f>IF(Registro!$G521="","",IF(ISERROR(FIND("x",LOWER(Registro!$G521))),N(Registro!$H521),IFERROR(SUMPRODUCT(--("0"&amp;LEFT(TRIM(MID(SUBSTITUTE(SUBSTITUTE(SUBSTITUTE(SUBSTITUTE(SUBSTITUTE(LOWER(Registro!$G521),"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",LEN(Registro!$G521))),({1,2,3,4,5,6,7,8,9,10,11,12,13,14,15,16,17,18,19,20,21,22,23,24,25,26,27,28,29,30}-1)*LEN(Registro!$G521)+1,LEN(Registro!$G521))),FIND("x",TRIM(MID(SUBSTITUTE(SUBSTITUTE(SUBSTITUTE(SUBSTITUTE(SUBSTITUTE(LOWER(Registro!$G521),"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",LEN(Registro!$G521))),({1,2,3,4,5,6,7,8,9,10,11,12,13,14,15,16,17,18,19,20,21,22,23,24,25,26,27,28,29,30}-1)*LEN(Registro!$G521)+1,LEN(Registro!$G521)))&amp;"x")-1)),--("0"&amp;MID(TRIM(MID(SUBSTITUTE(SUBSTITUTE(SUBSTITUTE(SUBSTITUTE(SUBSTITUTE(LOWER(Registro!$G521),"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",LEN(Registro!$G521))),({1,2,3,4,5,6,7,8,9,10,11,12,13,14,15,16,17,18,19,20,21,22,23,24,25,26,27,28,29,30}-1)*LEN(Registro!$G521)+1,LEN(Registro!$G521))),FIND("x",TRIM(MID(SUBSTITUTE(SUBSTITUTE(SUBSTITUTE(SUBSTITUTE(SUBSTITUTE(LOWER(Registro!$G521),"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",LEN(Registro!$G521))),({1,2,3,4,5,6,7,8,9,10,11,12,13,14,15,16,17,18,19,20,21,22,23,24,25,26,27,28,29,30}-1)*LEN(Registro!$G521)+1,LEN(Registro!$G521)))&amp;"x")+1,20))),"Revisar formato")))</f>
        <v/>
      </c>
      <c r="J521" s="9" t="str">
        <f>IF(AND(Registro!$E521="",Registro!$G521=""),"",IF(NOT(AND(ISNUMBER(I521),ISNUMBER(Registro!$H521))),"",IF(I521&lt;Registro!$H521,"FALTA BOLETOS",IF(I521=Registro!$H521,"CONFORME","DIFERENCIA"))))</f>
        <v/>
      </c>
      <c r="K521" s="11" t="str">
        <f>IF(Registro!$I521="","",IFERROR(SUMPRODUCT(--("0"&amp;TRIM(RIGHT(SUBSTITUTE(TRIM(MID(SUBSTITUTE(SUBSTITUTE(Registro!$I521,";",CHAR(10)),CHAR(10),REPT(" ",LEN(Registro!$I521))),({1,2,3,4,5,6,7,8,9,10,11,12,13,14,15,16,17,18,19,20,21,22,23,24,25,26,27,28,29,30}-1)*LEN(Registro!$I521)+1,LEN(Registro!$I521)))," ",REPT(" ",50)),50)))),"Revisar formato"))</f>
        <v/>
      </c>
      <c r="L521" s="11" t="str">
        <f>IF(Registro!$J521="","",IFERROR(SUMPRODUCT(--("0"&amp;TRIM(RIGHT(SUBSTITUTE(TRIM(MID(SUBSTITUTE(SUBSTITUTE(Registro!$J521,";",CHAR(10)),CHAR(10),REPT(" ",LEN(Registro!$J521))),({1,2,3,4,5,6,7,8,9,10,11,12,13,14,15,16,17,18,19,20,21,22,23,24,25,26,27,28,29,30}-1)*LEN(Registro!$J521)+1,LEN(Registro!$J521)))," ",REPT(" ",50)),50)))),"Revisar formato"))</f>
        <v/>
      </c>
      <c r="M521" s="11" t="str">
        <f>IF(AND(Registro!$H521="",Registro!$I521=""),"",IF(AND(ISTEXT(K521),K521&lt;&gt;""),"Revisar formato",N(Registro!$H521)-N(K521)))</f>
        <v/>
      </c>
      <c r="N521" s="11" t="str">
        <f t="shared" si="26"/>
        <v/>
      </c>
      <c r="O521" s="15" t="str">
        <f>IF(AND(A521=Consulta!$B$3,C521=Consulta!$H$3),B521*10000+ROW(),"")</f>
        <v/>
      </c>
    </row>
    <row r="522" spans="1:15" x14ac:dyDescent="0.25">
      <c r="A522" s="9" t="str">
        <f>IF(Registro!$A522="","",Registro!$A522)</f>
        <v/>
      </c>
      <c r="B522" s="8" t="str">
        <f>IF(Registro!$B522="","",Registro!$B522)</f>
        <v/>
      </c>
      <c r="C522" s="14" t="str">
        <f t="shared" si="24"/>
        <v/>
      </c>
      <c r="D522" s="10" t="str">
        <f>IF(Registro!$E522="","",IF(ISERROR(FIND("x",LOWER(Registro!$E522))),"-",IFERROR(SUMPRODUCT(--("0"&amp;LEFT(TRIM(MID(SUBSTITUTE(SUBSTITUTE(SUBSTITUTE(SUBSTITUTE(SUBSTITUTE(LOWER(Registro!$E522),"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",LEN(Registro!$E522))),({1,2,3,4,5,6,7,8,9,10,11,12,13,14,15,16,17,18,19,20,21,22,23,24,25,26,27,28,29,30}-1)*LEN(Registro!$E522)+1,LEN(Registro!$E522)))&amp;"x")-1))),"Revisar formato")))</f>
        <v/>
      </c>
      <c r="E522" s="11" t="str">
        <f>IF(Registro!$E522="","",IF(ISERROR(FIND("x",LOWER(Registro!$E522))),"-",IFERROR(SUMPRODUCT(--("0"&amp;LEFT(TRIM(MID(SUBSTITUTE(SUBSTITUTE(SUBSTITUTE(SUBSTITUTE(SUBSTITUTE(LOWER(Registro!$E522),"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",LEN(Registro!$E522))),({1,2,3,4,5,6,7,8,9,10,11,12,13,14,15,16,17,18,19,20,21,22,23,24,25,26,27,28,29,30}-1)*LEN(Registro!$E522)+1,LEN(Registro!$E522)))&amp;"x")-1)),--("0"&amp;MID(TRIM(MID(SUBSTITUTE(SUBSTITUTE(SUBSTITUTE(SUBSTITUTE(SUBSTITUTE(LOWER(Registro!$E522),"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",LEN(Registro!$E522))),({1,2,3,4,5,6,7,8,9,10,11,12,13,14,15,16,17,18,19,20,21,22,23,24,25,26,27,28,29,30}-1)*LEN(Registro!$E522)+1,LEN(Registro!$E522)))&amp;"x")+1,20))),"Revisar formato")))</f>
        <v/>
      </c>
      <c r="F522" s="11" t="str">
        <f>IF(Registro!$F522="","",N(Registro!$F522))</f>
        <v/>
      </c>
      <c r="G522" s="11" t="str">
        <f t="shared" si="25"/>
        <v/>
      </c>
      <c r="H522" s="10" t="str">
        <f>IF(Registro!$G522="","",IF(ISERROR(FIND("x",LOWER(Registro!$G522))),"-",IFERROR(SUMPRODUCT(--("0"&amp;LEFT(TRIM(MID(SUBSTITUTE(SUBSTITUTE(SUBSTITUTE(SUBSTITUTE(SUBSTITUTE(LOWER(Registro!$G522),"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",LEN(Registro!$G522))),({1,2,3,4,5,6,7,8,9,10,11,12,13,14,15,16,17,18,19,20,21,22,23,24,25,26,27,28,29,30}-1)*LEN(Registro!$G522)+1,LEN(Registro!$G522))),FIND("x",TRIM(MID(SUBSTITUTE(SUBSTITUTE(SUBSTITUTE(SUBSTITUTE(SUBSTITUTE(LOWER(Registro!$G522),"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",LEN(Registro!$G522))),({1,2,3,4,5,6,7,8,9,10,11,12,13,14,15,16,17,18,19,20,21,22,23,24,25,26,27,28,29,30}-1)*LEN(Registro!$G522)+1,LEN(Registro!$G522)))&amp;"x")-1))),"Revisar formato")))</f>
        <v/>
      </c>
      <c r="I522" s="11" t="str">
        <f>IF(Registro!$G522="","",IF(ISERROR(FIND("x",LOWER(Registro!$G522))),N(Registro!$H522),IFERROR(SUMPRODUCT(--("0"&amp;LEFT(TRIM(MID(SUBSTITUTE(SUBSTITUTE(SUBSTITUTE(SUBSTITUTE(SUBSTITUTE(LOWER(Registro!$G522),"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",LEN(Registro!$G522))),({1,2,3,4,5,6,7,8,9,10,11,12,13,14,15,16,17,18,19,20,21,22,23,24,25,26,27,28,29,30}-1)*LEN(Registro!$G522)+1,LEN(Registro!$G522))),FIND("x",TRIM(MID(SUBSTITUTE(SUBSTITUTE(SUBSTITUTE(SUBSTITUTE(SUBSTITUTE(LOWER(Registro!$G522),"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",LEN(Registro!$G522))),({1,2,3,4,5,6,7,8,9,10,11,12,13,14,15,16,17,18,19,20,21,22,23,24,25,26,27,28,29,30}-1)*LEN(Registro!$G522)+1,LEN(Registro!$G522)))&amp;"x")-1)),--("0"&amp;MID(TRIM(MID(SUBSTITUTE(SUBSTITUTE(SUBSTITUTE(SUBSTITUTE(SUBSTITUTE(LOWER(Registro!$G522),"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",LEN(Registro!$G522))),({1,2,3,4,5,6,7,8,9,10,11,12,13,14,15,16,17,18,19,20,21,22,23,24,25,26,27,28,29,30}-1)*LEN(Registro!$G522)+1,LEN(Registro!$G522))),FIND("x",TRIM(MID(SUBSTITUTE(SUBSTITUTE(SUBSTITUTE(SUBSTITUTE(SUBSTITUTE(LOWER(Registro!$G522),"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",LEN(Registro!$G522))),({1,2,3,4,5,6,7,8,9,10,11,12,13,14,15,16,17,18,19,20,21,22,23,24,25,26,27,28,29,30}-1)*LEN(Registro!$G522)+1,LEN(Registro!$G522)))&amp;"x")+1,20))),"Revisar formato")))</f>
        <v/>
      </c>
      <c r="J522" s="9" t="str">
        <f>IF(AND(Registro!$E522="",Registro!$G522=""),"",IF(NOT(AND(ISNUMBER(I522),ISNUMBER(Registro!$H522))),"",IF(I522&lt;Registro!$H522,"FALTA BOLETOS",IF(I522=Registro!$H522,"CONFORME","DIFERENCIA"))))</f>
        <v/>
      </c>
      <c r="K522" s="11" t="str">
        <f>IF(Registro!$I522="","",IFERROR(SUMPRODUCT(--("0"&amp;TRIM(RIGHT(SUBSTITUTE(TRIM(MID(SUBSTITUTE(SUBSTITUTE(Registro!$I522,";",CHAR(10)),CHAR(10),REPT(" ",LEN(Registro!$I522))),({1,2,3,4,5,6,7,8,9,10,11,12,13,14,15,16,17,18,19,20,21,22,23,24,25,26,27,28,29,30}-1)*LEN(Registro!$I522)+1,LEN(Registro!$I522)))," ",REPT(" ",50)),50)))),"Revisar formato"))</f>
        <v/>
      </c>
      <c r="L522" s="11" t="str">
        <f>IF(Registro!$J522="","",IFERROR(SUMPRODUCT(--("0"&amp;TRIM(RIGHT(SUBSTITUTE(TRIM(MID(SUBSTITUTE(SUBSTITUTE(Registro!$J522,";",CHAR(10)),CHAR(10),REPT(" ",LEN(Registro!$J522))),({1,2,3,4,5,6,7,8,9,10,11,12,13,14,15,16,17,18,19,20,21,22,23,24,25,26,27,28,29,30}-1)*LEN(Registro!$J522)+1,LEN(Registro!$J522)))," ",REPT(" ",50)),50)))),"Revisar formato"))</f>
        <v/>
      </c>
      <c r="M522" s="11" t="str">
        <f>IF(AND(Registro!$H522="",Registro!$I522=""),"",IF(AND(ISTEXT(K522),K522&lt;&gt;""),"Revisar formato",N(Registro!$H522)-N(K522)))</f>
        <v/>
      </c>
      <c r="N522" s="11" t="str">
        <f t="shared" si="26"/>
        <v/>
      </c>
      <c r="O522" s="15" t="str">
        <f>IF(AND(A522=Consulta!$B$3,C522=Consulta!$H$3),B522*10000+ROW(),"")</f>
        <v/>
      </c>
    </row>
    <row r="523" spans="1:15" x14ac:dyDescent="0.25">
      <c r="A523" s="9" t="str">
        <f>IF(Registro!$A523="","",Registro!$A523)</f>
        <v/>
      </c>
      <c r="B523" s="8" t="str">
        <f>IF(Registro!$B523="","",Registro!$B523)</f>
        <v/>
      </c>
      <c r="C523" s="14" t="str">
        <f t="shared" si="24"/>
        <v/>
      </c>
      <c r="D523" s="10" t="str">
        <f>IF(Registro!$E523="","",IF(ISERROR(FIND("x",LOWER(Registro!$E523))),"-",IFERROR(SUMPRODUCT(--("0"&amp;LEFT(TRIM(MID(SUBSTITUTE(SUBSTITUTE(SUBSTITUTE(SUBSTITUTE(SUBSTITUTE(LOWER(Registro!$E523),"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",LEN(Registro!$E523))),({1,2,3,4,5,6,7,8,9,10,11,12,13,14,15,16,17,18,19,20,21,22,23,24,25,26,27,28,29,30}-1)*LEN(Registro!$E523)+1,LEN(Registro!$E523)))&amp;"x")-1))),"Revisar formato")))</f>
        <v/>
      </c>
      <c r="E523" s="11" t="str">
        <f>IF(Registro!$E523="","",IF(ISERROR(FIND("x",LOWER(Registro!$E523))),"-",IFERROR(SUMPRODUCT(--("0"&amp;LEFT(TRIM(MID(SUBSTITUTE(SUBSTITUTE(SUBSTITUTE(SUBSTITUTE(SUBSTITUTE(LOWER(Registro!$E523),"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",LEN(Registro!$E523))),({1,2,3,4,5,6,7,8,9,10,11,12,13,14,15,16,17,18,19,20,21,22,23,24,25,26,27,28,29,30}-1)*LEN(Registro!$E523)+1,LEN(Registro!$E523)))&amp;"x")-1)),--("0"&amp;MID(TRIM(MID(SUBSTITUTE(SUBSTITUTE(SUBSTITUTE(SUBSTITUTE(SUBSTITUTE(LOWER(Registro!$E523),"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",LEN(Registro!$E523))),({1,2,3,4,5,6,7,8,9,10,11,12,13,14,15,16,17,18,19,20,21,22,23,24,25,26,27,28,29,30}-1)*LEN(Registro!$E523)+1,LEN(Registro!$E523)))&amp;"x")+1,20))),"Revisar formato")))</f>
        <v/>
      </c>
      <c r="F523" s="11" t="str">
        <f>IF(Registro!$F523="","",N(Registro!$F523))</f>
        <v/>
      </c>
      <c r="G523" s="11" t="str">
        <f t="shared" si="25"/>
        <v/>
      </c>
      <c r="H523" s="10" t="str">
        <f>IF(Registro!$G523="","",IF(ISERROR(FIND("x",LOWER(Registro!$G523))),"-",IFERROR(SUMPRODUCT(--("0"&amp;LEFT(TRIM(MID(SUBSTITUTE(SUBSTITUTE(SUBSTITUTE(SUBSTITUTE(SUBSTITUTE(LOWER(Registro!$G523),"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",LEN(Registro!$G523))),({1,2,3,4,5,6,7,8,9,10,11,12,13,14,15,16,17,18,19,20,21,22,23,24,25,26,27,28,29,30}-1)*LEN(Registro!$G523)+1,LEN(Registro!$G523))),FIND("x",TRIM(MID(SUBSTITUTE(SUBSTITUTE(SUBSTITUTE(SUBSTITUTE(SUBSTITUTE(LOWER(Registro!$G523),"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",LEN(Registro!$G523))),({1,2,3,4,5,6,7,8,9,10,11,12,13,14,15,16,17,18,19,20,21,22,23,24,25,26,27,28,29,30}-1)*LEN(Registro!$G523)+1,LEN(Registro!$G523)))&amp;"x")-1))),"Revisar formato")))</f>
        <v/>
      </c>
      <c r="I523" s="11" t="str">
        <f>IF(Registro!$G523="","",IF(ISERROR(FIND("x",LOWER(Registro!$G523))),N(Registro!$H523),IFERROR(SUMPRODUCT(--("0"&amp;LEFT(TRIM(MID(SUBSTITUTE(SUBSTITUTE(SUBSTITUTE(SUBSTITUTE(SUBSTITUTE(LOWER(Registro!$G523),"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",LEN(Registro!$G523))),({1,2,3,4,5,6,7,8,9,10,11,12,13,14,15,16,17,18,19,20,21,22,23,24,25,26,27,28,29,30}-1)*LEN(Registro!$G523)+1,LEN(Registro!$G523))),FIND("x",TRIM(MID(SUBSTITUTE(SUBSTITUTE(SUBSTITUTE(SUBSTITUTE(SUBSTITUTE(LOWER(Registro!$G523),"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",LEN(Registro!$G523))),({1,2,3,4,5,6,7,8,9,10,11,12,13,14,15,16,17,18,19,20,21,22,23,24,25,26,27,28,29,30}-1)*LEN(Registro!$G523)+1,LEN(Registro!$G523)))&amp;"x")-1)),--("0"&amp;MID(TRIM(MID(SUBSTITUTE(SUBSTITUTE(SUBSTITUTE(SUBSTITUTE(SUBSTITUTE(LOWER(Registro!$G523),"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",LEN(Registro!$G523))),({1,2,3,4,5,6,7,8,9,10,11,12,13,14,15,16,17,18,19,20,21,22,23,24,25,26,27,28,29,30}-1)*LEN(Registro!$G523)+1,LEN(Registro!$G523))),FIND("x",TRIM(MID(SUBSTITUTE(SUBSTITUTE(SUBSTITUTE(SUBSTITUTE(SUBSTITUTE(LOWER(Registro!$G523),"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",LEN(Registro!$G523))),({1,2,3,4,5,6,7,8,9,10,11,12,13,14,15,16,17,18,19,20,21,22,23,24,25,26,27,28,29,30}-1)*LEN(Registro!$G523)+1,LEN(Registro!$G523)))&amp;"x")+1,20))),"Revisar formato")))</f>
        <v/>
      </c>
      <c r="J523" s="9" t="str">
        <f>IF(AND(Registro!$E523="",Registro!$G523=""),"",IF(NOT(AND(ISNUMBER(I523),ISNUMBER(Registro!$H523))),"",IF(I523&lt;Registro!$H523,"FALTA BOLETOS",IF(I523=Registro!$H523,"CONFORME","DIFERENCIA"))))</f>
        <v/>
      </c>
      <c r="K523" s="11" t="str">
        <f>IF(Registro!$I523="","",IFERROR(SUMPRODUCT(--("0"&amp;TRIM(RIGHT(SUBSTITUTE(TRIM(MID(SUBSTITUTE(SUBSTITUTE(Registro!$I523,";",CHAR(10)),CHAR(10),REPT(" ",LEN(Registro!$I523))),({1,2,3,4,5,6,7,8,9,10,11,12,13,14,15,16,17,18,19,20,21,22,23,24,25,26,27,28,29,30}-1)*LEN(Registro!$I523)+1,LEN(Registro!$I523)))," ",REPT(" ",50)),50)))),"Revisar formato"))</f>
        <v/>
      </c>
      <c r="L523" s="11" t="str">
        <f>IF(Registro!$J523="","",IFERROR(SUMPRODUCT(--("0"&amp;TRIM(RIGHT(SUBSTITUTE(TRIM(MID(SUBSTITUTE(SUBSTITUTE(Registro!$J523,";",CHAR(10)),CHAR(10),REPT(" ",LEN(Registro!$J523))),({1,2,3,4,5,6,7,8,9,10,11,12,13,14,15,16,17,18,19,20,21,22,23,24,25,26,27,28,29,30}-1)*LEN(Registro!$J523)+1,LEN(Registro!$J523)))," ",REPT(" ",50)),50)))),"Revisar formato"))</f>
        <v/>
      </c>
      <c r="M523" s="11" t="str">
        <f>IF(AND(Registro!$H523="",Registro!$I523=""),"",IF(AND(ISTEXT(K523),K523&lt;&gt;""),"Revisar formato",N(Registro!$H523)-N(K523)))</f>
        <v/>
      </c>
      <c r="N523" s="11" t="str">
        <f t="shared" si="26"/>
        <v/>
      </c>
      <c r="O523" s="15" t="str">
        <f>IF(AND(A523=Consulta!$B$3,C523=Consulta!$H$3),B523*10000+ROW(),"")</f>
        <v/>
      </c>
    </row>
    <row r="524" spans="1:15" x14ac:dyDescent="0.25">
      <c r="A524" s="9" t="str">
        <f>IF(Registro!$A524="","",Registro!$A524)</f>
        <v/>
      </c>
      <c r="B524" s="8" t="str">
        <f>IF(Registro!$B524="","",Registro!$B524)</f>
        <v/>
      </c>
      <c r="C524" s="14" t="str">
        <f t="shared" si="24"/>
        <v/>
      </c>
      <c r="D524" s="10" t="str">
        <f>IF(Registro!$E524="","",IF(ISERROR(FIND("x",LOWER(Registro!$E524))),"-",IFERROR(SUMPRODUCT(--("0"&amp;LEFT(TRIM(MID(SUBSTITUTE(SUBSTITUTE(SUBSTITUTE(SUBSTITUTE(SUBSTITUTE(LOWER(Registro!$E524),"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",LEN(Registro!$E524))),({1,2,3,4,5,6,7,8,9,10,11,12,13,14,15,16,17,18,19,20,21,22,23,24,25,26,27,28,29,30}-1)*LEN(Registro!$E524)+1,LEN(Registro!$E524)))&amp;"x")-1))),"Revisar formato")))</f>
        <v/>
      </c>
      <c r="E524" s="11" t="str">
        <f>IF(Registro!$E524="","",IF(ISERROR(FIND("x",LOWER(Registro!$E524))),"-",IFERROR(SUMPRODUCT(--("0"&amp;LEFT(TRIM(MID(SUBSTITUTE(SUBSTITUTE(SUBSTITUTE(SUBSTITUTE(SUBSTITUTE(LOWER(Registro!$E524),"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",LEN(Registro!$E524))),({1,2,3,4,5,6,7,8,9,10,11,12,13,14,15,16,17,18,19,20,21,22,23,24,25,26,27,28,29,30}-1)*LEN(Registro!$E524)+1,LEN(Registro!$E524)))&amp;"x")-1)),--("0"&amp;MID(TRIM(MID(SUBSTITUTE(SUBSTITUTE(SUBSTITUTE(SUBSTITUTE(SUBSTITUTE(LOWER(Registro!$E524),"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",LEN(Registro!$E524))),({1,2,3,4,5,6,7,8,9,10,11,12,13,14,15,16,17,18,19,20,21,22,23,24,25,26,27,28,29,30}-1)*LEN(Registro!$E524)+1,LEN(Registro!$E524)))&amp;"x")+1,20))),"Revisar formato")))</f>
        <v/>
      </c>
      <c r="F524" s="11" t="str">
        <f>IF(Registro!$F524="","",N(Registro!$F524))</f>
        <v/>
      </c>
      <c r="G524" s="11" t="str">
        <f t="shared" si="25"/>
        <v/>
      </c>
      <c r="H524" s="10" t="str">
        <f>IF(Registro!$G524="","",IF(ISERROR(FIND("x",LOWER(Registro!$G524))),"-",IFERROR(SUMPRODUCT(--("0"&amp;LEFT(TRIM(MID(SUBSTITUTE(SUBSTITUTE(SUBSTITUTE(SUBSTITUTE(SUBSTITUTE(LOWER(Registro!$G524),"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",LEN(Registro!$G524))),({1,2,3,4,5,6,7,8,9,10,11,12,13,14,15,16,17,18,19,20,21,22,23,24,25,26,27,28,29,30}-1)*LEN(Registro!$G524)+1,LEN(Registro!$G524))),FIND("x",TRIM(MID(SUBSTITUTE(SUBSTITUTE(SUBSTITUTE(SUBSTITUTE(SUBSTITUTE(LOWER(Registro!$G524),"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",LEN(Registro!$G524))),({1,2,3,4,5,6,7,8,9,10,11,12,13,14,15,16,17,18,19,20,21,22,23,24,25,26,27,28,29,30}-1)*LEN(Registro!$G524)+1,LEN(Registro!$G524)))&amp;"x")-1))),"Revisar formato")))</f>
        <v/>
      </c>
      <c r="I524" s="11" t="str">
        <f>IF(Registro!$G524="","",IF(ISERROR(FIND("x",LOWER(Registro!$G524))),N(Registro!$H524),IFERROR(SUMPRODUCT(--("0"&amp;LEFT(TRIM(MID(SUBSTITUTE(SUBSTITUTE(SUBSTITUTE(SUBSTITUTE(SUBSTITUTE(LOWER(Registro!$G524),"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",LEN(Registro!$G524))),({1,2,3,4,5,6,7,8,9,10,11,12,13,14,15,16,17,18,19,20,21,22,23,24,25,26,27,28,29,30}-1)*LEN(Registro!$G524)+1,LEN(Registro!$G524))),FIND("x",TRIM(MID(SUBSTITUTE(SUBSTITUTE(SUBSTITUTE(SUBSTITUTE(SUBSTITUTE(LOWER(Registro!$G524),"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",LEN(Registro!$G524))),({1,2,3,4,5,6,7,8,9,10,11,12,13,14,15,16,17,18,19,20,21,22,23,24,25,26,27,28,29,30}-1)*LEN(Registro!$G524)+1,LEN(Registro!$G524)))&amp;"x")-1)),--("0"&amp;MID(TRIM(MID(SUBSTITUTE(SUBSTITUTE(SUBSTITUTE(SUBSTITUTE(SUBSTITUTE(LOWER(Registro!$G524),"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",LEN(Registro!$G524))),({1,2,3,4,5,6,7,8,9,10,11,12,13,14,15,16,17,18,19,20,21,22,23,24,25,26,27,28,29,30}-1)*LEN(Registro!$G524)+1,LEN(Registro!$G524))),FIND("x",TRIM(MID(SUBSTITUTE(SUBSTITUTE(SUBSTITUTE(SUBSTITUTE(SUBSTITUTE(LOWER(Registro!$G524),"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",LEN(Registro!$G524))),({1,2,3,4,5,6,7,8,9,10,11,12,13,14,15,16,17,18,19,20,21,22,23,24,25,26,27,28,29,30}-1)*LEN(Registro!$G524)+1,LEN(Registro!$G524)))&amp;"x")+1,20))),"Revisar formato")))</f>
        <v/>
      </c>
      <c r="J524" s="9" t="str">
        <f>IF(AND(Registro!$E524="",Registro!$G524=""),"",IF(NOT(AND(ISNUMBER(I524),ISNUMBER(Registro!$H524))),"",IF(I524&lt;Registro!$H524,"FALTA BOLETOS",IF(I524=Registro!$H524,"CONFORME","DIFERENCIA"))))</f>
        <v/>
      </c>
      <c r="K524" s="11" t="str">
        <f>IF(Registro!$I524="","",IFERROR(SUMPRODUCT(--("0"&amp;TRIM(RIGHT(SUBSTITUTE(TRIM(MID(SUBSTITUTE(SUBSTITUTE(Registro!$I524,";",CHAR(10)),CHAR(10),REPT(" ",LEN(Registro!$I524))),({1,2,3,4,5,6,7,8,9,10,11,12,13,14,15,16,17,18,19,20,21,22,23,24,25,26,27,28,29,30}-1)*LEN(Registro!$I524)+1,LEN(Registro!$I524)))," ",REPT(" ",50)),50)))),"Revisar formato"))</f>
        <v/>
      </c>
      <c r="L524" s="11" t="str">
        <f>IF(Registro!$J524="","",IFERROR(SUMPRODUCT(--("0"&amp;TRIM(RIGHT(SUBSTITUTE(TRIM(MID(SUBSTITUTE(SUBSTITUTE(Registro!$J524,";",CHAR(10)),CHAR(10),REPT(" ",LEN(Registro!$J524))),({1,2,3,4,5,6,7,8,9,10,11,12,13,14,15,16,17,18,19,20,21,22,23,24,25,26,27,28,29,30}-1)*LEN(Registro!$J524)+1,LEN(Registro!$J524)))," ",REPT(" ",50)),50)))),"Revisar formato"))</f>
        <v/>
      </c>
      <c r="M524" s="11" t="str">
        <f>IF(AND(Registro!$H524="",Registro!$I524=""),"",IF(AND(ISTEXT(K524),K524&lt;&gt;""),"Revisar formato",N(Registro!$H524)-N(K524)))</f>
        <v/>
      </c>
      <c r="N524" s="11" t="str">
        <f t="shared" si="26"/>
        <v/>
      </c>
      <c r="O524" s="15" t="str">
        <f>IF(AND(A524=Consulta!$B$3,C524=Consulta!$H$3),B524*10000+ROW(),"")</f>
        <v/>
      </c>
    </row>
    <row r="525" spans="1:15" x14ac:dyDescent="0.25">
      <c r="A525" s="9" t="str">
        <f>IF(Registro!$A525="","",Registro!$A525)</f>
        <v/>
      </c>
      <c r="B525" s="8" t="str">
        <f>IF(Registro!$B525="","",Registro!$B525)</f>
        <v/>
      </c>
      <c r="C525" s="14" t="str">
        <f t="shared" si="24"/>
        <v/>
      </c>
      <c r="D525" s="10" t="str">
        <f>IF(Registro!$E525="","",IF(ISERROR(FIND("x",LOWER(Registro!$E525))),"-",IFERROR(SUMPRODUCT(--("0"&amp;LEFT(TRIM(MID(SUBSTITUTE(SUBSTITUTE(SUBSTITUTE(SUBSTITUTE(SUBSTITUTE(LOWER(Registro!$E525),"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",LEN(Registro!$E525))),({1,2,3,4,5,6,7,8,9,10,11,12,13,14,15,16,17,18,19,20,21,22,23,24,25,26,27,28,29,30}-1)*LEN(Registro!$E525)+1,LEN(Registro!$E525)))&amp;"x")-1))),"Revisar formato")))</f>
        <v/>
      </c>
      <c r="E525" s="11" t="str">
        <f>IF(Registro!$E525="","",IF(ISERROR(FIND("x",LOWER(Registro!$E525))),"-",IFERROR(SUMPRODUCT(--("0"&amp;LEFT(TRIM(MID(SUBSTITUTE(SUBSTITUTE(SUBSTITUTE(SUBSTITUTE(SUBSTITUTE(LOWER(Registro!$E525),"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",LEN(Registro!$E525))),({1,2,3,4,5,6,7,8,9,10,11,12,13,14,15,16,17,18,19,20,21,22,23,24,25,26,27,28,29,30}-1)*LEN(Registro!$E525)+1,LEN(Registro!$E525)))&amp;"x")-1)),--("0"&amp;MID(TRIM(MID(SUBSTITUTE(SUBSTITUTE(SUBSTITUTE(SUBSTITUTE(SUBSTITUTE(LOWER(Registro!$E525),"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",LEN(Registro!$E525))),({1,2,3,4,5,6,7,8,9,10,11,12,13,14,15,16,17,18,19,20,21,22,23,24,25,26,27,28,29,30}-1)*LEN(Registro!$E525)+1,LEN(Registro!$E525)))&amp;"x")+1,20))),"Revisar formato")))</f>
        <v/>
      </c>
      <c r="F525" s="11" t="str">
        <f>IF(Registro!$F525="","",N(Registro!$F525))</f>
        <v/>
      </c>
      <c r="G525" s="11" t="str">
        <f t="shared" si="25"/>
        <v/>
      </c>
      <c r="H525" s="10" t="str">
        <f>IF(Registro!$G525="","",IF(ISERROR(FIND("x",LOWER(Registro!$G525))),"-",IFERROR(SUMPRODUCT(--("0"&amp;LEFT(TRIM(MID(SUBSTITUTE(SUBSTITUTE(SUBSTITUTE(SUBSTITUTE(SUBSTITUTE(LOWER(Registro!$G525),"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",LEN(Registro!$G525))),({1,2,3,4,5,6,7,8,9,10,11,12,13,14,15,16,17,18,19,20,21,22,23,24,25,26,27,28,29,30}-1)*LEN(Registro!$G525)+1,LEN(Registro!$G525))),FIND("x",TRIM(MID(SUBSTITUTE(SUBSTITUTE(SUBSTITUTE(SUBSTITUTE(SUBSTITUTE(LOWER(Registro!$G525),"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",LEN(Registro!$G525))),({1,2,3,4,5,6,7,8,9,10,11,12,13,14,15,16,17,18,19,20,21,22,23,24,25,26,27,28,29,30}-1)*LEN(Registro!$G525)+1,LEN(Registro!$G525)))&amp;"x")-1))),"Revisar formato")))</f>
        <v/>
      </c>
      <c r="I525" s="11" t="str">
        <f>IF(Registro!$G525="","",IF(ISERROR(FIND("x",LOWER(Registro!$G525))),N(Registro!$H525),IFERROR(SUMPRODUCT(--("0"&amp;LEFT(TRIM(MID(SUBSTITUTE(SUBSTITUTE(SUBSTITUTE(SUBSTITUTE(SUBSTITUTE(LOWER(Registro!$G525),"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",LEN(Registro!$G525))),({1,2,3,4,5,6,7,8,9,10,11,12,13,14,15,16,17,18,19,20,21,22,23,24,25,26,27,28,29,30}-1)*LEN(Registro!$G525)+1,LEN(Registro!$G525))),FIND("x",TRIM(MID(SUBSTITUTE(SUBSTITUTE(SUBSTITUTE(SUBSTITUTE(SUBSTITUTE(LOWER(Registro!$G525),"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",LEN(Registro!$G525))),({1,2,3,4,5,6,7,8,9,10,11,12,13,14,15,16,17,18,19,20,21,22,23,24,25,26,27,28,29,30}-1)*LEN(Registro!$G525)+1,LEN(Registro!$G525)))&amp;"x")-1)),--("0"&amp;MID(TRIM(MID(SUBSTITUTE(SUBSTITUTE(SUBSTITUTE(SUBSTITUTE(SUBSTITUTE(LOWER(Registro!$G525),"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",LEN(Registro!$G525))),({1,2,3,4,5,6,7,8,9,10,11,12,13,14,15,16,17,18,19,20,21,22,23,24,25,26,27,28,29,30}-1)*LEN(Registro!$G525)+1,LEN(Registro!$G525))),FIND("x",TRIM(MID(SUBSTITUTE(SUBSTITUTE(SUBSTITUTE(SUBSTITUTE(SUBSTITUTE(LOWER(Registro!$G525),"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",LEN(Registro!$G525))),({1,2,3,4,5,6,7,8,9,10,11,12,13,14,15,16,17,18,19,20,21,22,23,24,25,26,27,28,29,30}-1)*LEN(Registro!$G525)+1,LEN(Registro!$G525)))&amp;"x")+1,20))),"Revisar formato")))</f>
        <v/>
      </c>
      <c r="J525" s="9" t="str">
        <f>IF(AND(Registro!$E525="",Registro!$G525=""),"",IF(NOT(AND(ISNUMBER(I525),ISNUMBER(Registro!$H525))),"",IF(I525&lt;Registro!$H525,"FALTA BOLETOS",IF(I525=Registro!$H525,"CONFORME","DIFERENCIA"))))</f>
        <v/>
      </c>
      <c r="K525" s="11" t="str">
        <f>IF(Registro!$I525="","",IFERROR(SUMPRODUCT(--("0"&amp;TRIM(RIGHT(SUBSTITUTE(TRIM(MID(SUBSTITUTE(SUBSTITUTE(Registro!$I525,";",CHAR(10)),CHAR(10),REPT(" ",LEN(Registro!$I525))),({1,2,3,4,5,6,7,8,9,10,11,12,13,14,15,16,17,18,19,20,21,22,23,24,25,26,27,28,29,30}-1)*LEN(Registro!$I525)+1,LEN(Registro!$I525)))," ",REPT(" ",50)),50)))),"Revisar formato"))</f>
        <v/>
      </c>
      <c r="L525" s="11" t="str">
        <f>IF(Registro!$J525="","",IFERROR(SUMPRODUCT(--("0"&amp;TRIM(RIGHT(SUBSTITUTE(TRIM(MID(SUBSTITUTE(SUBSTITUTE(Registro!$J525,";",CHAR(10)),CHAR(10),REPT(" ",LEN(Registro!$J525))),({1,2,3,4,5,6,7,8,9,10,11,12,13,14,15,16,17,18,19,20,21,22,23,24,25,26,27,28,29,30}-1)*LEN(Registro!$J525)+1,LEN(Registro!$J525)))," ",REPT(" ",50)),50)))),"Revisar formato"))</f>
        <v/>
      </c>
      <c r="M525" s="11" t="str">
        <f>IF(AND(Registro!$H525="",Registro!$I525=""),"",IF(AND(ISTEXT(K525),K525&lt;&gt;""),"Revisar formato",N(Registro!$H525)-N(K525)))</f>
        <v/>
      </c>
      <c r="N525" s="11" t="str">
        <f t="shared" si="26"/>
        <v/>
      </c>
      <c r="O525" s="15" t="str">
        <f>IF(AND(A525=Consulta!$B$3,C525=Consulta!$H$3),B525*10000+ROW(),"")</f>
        <v/>
      </c>
    </row>
    <row r="526" spans="1:15" x14ac:dyDescent="0.25">
      <c r="A526" s="9" t="str">
        <f>IF(Registro!$A526="","",Registro!$A526)</f>
        <v/>
      </c>
      <c r="B526" s="8" t="str">
        <f>IF(Registro!$B526="","",Registro!$B526)</f>
        <v/>
      </c>
      <c r="C526" s="14" t="str">
        <f t="shared" si="24"/>
        <v/>
      </c>
      <c r="D526" s="10" t="str">
        <f>IF(Registro!$E526="","",IF(ISERROR(FIND("x",LOWER(Registro!$E526))),"-",IFERROR(SUMPRODUCT(--("0"&amp;LEFT(TRIM(MID(SUBSTITUTE(SUBSTITUTE(SUBSTITUTE(SUBSTITUTE(SUBSTITUTE(LOWER(Registro!$E526),"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",LEN(Registro!$E526))),({1,2,3,4,5,6,7,8,9,10,11,12,13,14,15,16,17,18,19,20,21,22,23,24,25,26,27,28,29,30}-1)*LEN(Registro!$E526)+1,LEN(Registro!$E526)))&amp;"x")-1))),"Revisar formato")))</f>
        <v/>
      </c>
      <c r="E526" s="11" t="str">
        <f>IF(Registro!$E526="","",IF(ISERROR(FIND("x",LOWER(Registro!$E526))),"-",IFERROR(SUMPRODUCT(--("0"&amp;LEFT(TRIM(MID(SUBSTITUTE(SUBSTITUTE(SUBSTITUTE(SUBSTITUTE(SUBSTITUTE(LOWER(Registro!$E526),"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",LEN(Registro!$E526))),({1,2,3,4,5,6,7,8,9,10,11,12,13,14,15,16,17,18,19,20,21,22,23,24,25,26,27,28,29,30}-1)*LEN(Registro!$E526)+1,LEN(Registro!$E526)))&amp;"x")-1)),--("0"&amp;MID(TRIM(MID(SUBSTITUTE(SUBSTITUTE(SUBSTITUTE(SUBSTITUTE(SUBSTITUTE(LOWER(Registro!$E526),"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",LEN(Registro!$E526))),({1,2,3,4,5,6,7,8,9,10,11,12,13,14,15,16,17,18,19,20,21,22,23,24,25,26,27,28,29,30}-1)*LEN(Registro!$E526)+1,LEN(Registro!$E526)))&amp;"x")+1,20))),"Revisar formato")))</f>
        <v/>
      </c>
      <c r="F526" s="11" t="str">
        <f>IF(Registro!$F526="","",N(Registro!$F526))</f>
        <v/>
      </c>
      <c r="G526" s="11" t="str">
        <f t="shared" si="25"/>
        <v/>
      </c>
      <c r="H526" s="10" t="str">
        <f>IF(Registro!$G526="","",IF(ISERROR(FIND("x",LOWER(Registro!$G526))),"-",IFERROR(SUMPRODUCT(--("0"&amp;LEFT(TRIM(MID(SUBSTITUTE(SUBSTITUTE(SUBSTITUTE(SUBSTITUTE(SUBSTITUTE(LOWER(Registro!$G526),"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",LEN(Registro!$G526))),({1,2,3,4,5,6,7,8,9,10,11,12,13,14,15,16,17,18,19,20,21,22,23,24,25,26,27,28,29,30}-1)*LEN(Registro!$G526)+1,LEN(Registro!$G526))),FIND("x",TRIM(MID(SUBSTITUTE(SUBSTITUTE(SUBSTITUTE(SUBSTITUTE(SUBSTITUTE(LOWER(Registro!$G526),"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",LEN(Registro!$G526))),({1,2,3,4,5,6,7,8,9,10,11,12,13,14,15,16,17,18,19,20,21,22,23,24,25,26,27,28,29,30}-1)*LEN(Registro!$G526)+1,LEN(Registro!$G526)))&amp;"x")-1))),"Revisar formato")))</f>
        <v/>
      </c>
      <c r="I526" s="11" t="str">
        <f>IF(Registro!$G526="","",IF(ISERROR(FIND("x",LOWER(Registro!$G526))),N(Registro!$H526),IFERROR(SUMPRODUCT(--("0"&amp;LEFT(TRIM(MID(SUBSTITUTE(SUBSTITUTE(SUBSTITUTE(SUBSTITUTE(SUBSTITUTE(LOWER(Registro!$G526),"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",LEN(Registro!$G526))),({1,2,3,4,5,6,7,8,9,10,11,12,13,14,15,16,17,18,19,20,21,22,23,24,25,26,27,28,29,30}-1)*LEN(Registro!$G526)+1,LEN(Registro!$G526))),FIND("x",TRIM(MID(SUBSTITUTE(SUBSTITUTE(SUBSTITUTE(SUBSTITUTE(SUBSTITUTE(LOWER(Registro!$G526),"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",LEN(Registro!$G526))),({1,2,3,4,5,6,7,8,9,10,11,12,13,14,15,16,17,18,19,20,21,22,23,24,25,26,27,28,29,30}-1)*LEN(Registro!$G526)+1,LEN(Registro!$G526)))&amp;"x")-1)),--("0"&amp;MID(TRIM(MID(SUBSTITUTE(SUBSTITUTE(SUBSTITUTE(SUBSTITUTE(SUBSTITUTE(LOWER(Registro!$G526),"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",LEN(Registro!$G526))),({1,2,3,4,5,6,7,8,9,10,11,12,13,14,15,16,17,18,19,20,21,22,23,24,25,26,27,28,29,30}-1)*LEN(Registro!$G526)+1,LEN(Registro!$G526))),FIND("x",TRIM(MID(SUBSTITUTE(SUBSTITUTE(SUBSTITUTE(SUBSTITUTE(SUBSTITUTE(LOWER(Registro!$G526),"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",LEN(Registro!$G526))),({1,2,3,4,5,6,7,8,9,10,11,12,13,14,15,16,17,18,19,20,21,22,23,24,25,26,27,28,29,30}-1)*LEN(Registro!$G526)+1,LEN(Registro!$G526)))&amp;"x")+1,20))),"Revisar formato")))</f>
        <v/>
      </c>
      <c r="J526" s="9" t="str">
        <f>IF(AND(Registro!$E526="",Registro!$G526=""),"",IF(NOT(AND(ISNUMBER(I526),ISNUMBER(Registro!$H526))),"",IF(I526&lt;Registro!$H526,"FALTA BOLETOS",IF(I526=Registro!$H526,"CONFORME","DIFERENCIA"))))</f>
        <v/>
      </c>
      <c r="K526" s="11" t="str">
        <f>IF(Registro!$I526="","",IFERROR(SUMPRODUCT(--("0"&amp;TRIM(RIGHT(SUBSTITUTE(TRIM(MID(SUBSTITUTE(SUBSTITUTE(Registro!$I526,";",CHAR(10)),CHAR(10),REPT(" ",LEN(Registro!$I526))),({1,2,3,4,5,6,7,8,9,10,11,12,13,14,15,16,17,18,19,20,21,22,23,24,25,26,27,28,29,30}-1)*LEN(Registro!$I526)+1,LEN(Registro!$I526)))," ",REPT(" ",50)),50)))),"Revisar formato"))</f>
        <v/>
      </c>
      <c r="L526" s="11" t="str">
        <f>IF(Registro!$J526="","",IFERROR(SUMPRODUCT(--("0"&amp;TRIM(RIGHT(SUBSTITUTE(TRIM(MID(SUBSTITUTE(SUBSTITUTE(Registro!$J526,";",CHAR(10)),CHAR(10),REPT(" ",LEN(Registro!$J526))),({1,2,3,4,5,6,7,8,9,10,11,12,13,14,15,16,17,18,19,20,21,22,23,24,25,26,27,28,29,30}-1)*LEN(Registro!$J526)+1,LEN(Registro!$J526)))," ",REPT(" ",50)),50)))),"Revisar formato"))</f>
        <v/>
      </c>
      <c r="M526" s="11" t="str">
        <f>IF(AND(Registro!$H526="",Registro!$I526=""),"",IF(AND(ISTEXT(K526),K526&lt;&gt;""),"Revisar formato",N(Registro!$H526)-N(K526)))</f>
        <v/>
      </c>
      <c r="N526" s="11" t="str">
        <f t="shared" si="26"/>
        <v/>
      </c>
      <c r="O526" s="15" t="str">
        <f>IF(AND(A526=Consulta!$B$3,C526=Consulta!$H$3),B526*10000+ROW(),"")</f>
        <v/>
      </c>
    </row>
    <row r="527" spans="1:15" x14ac:dyDescent="0.25">
      <c r="A527" s="9" t="str">
        <f>IF(Registro!$A527="","",Registro!$A527)</f>
        <v/>
      </c>
      <c r="B527" s="8" t="str">
        <f>IF(Registro!$B527="","",Registro!$B527)</f>
        <v/>
      </c>
      <c r="C527" s="14" t="str">
        <f t="shared" si="24"/>
        <v/>
      </c>
      <c r="D527" s="10" t="str">
        <f>IF(Registro!$E527="","",IF(ISERROR(FIND("x",LOWER(Registro!$E527))),"-",IFERROR(SUMPRODUCT(--("0"&amp;LEFT(TRIM(MID(SUBSTITUTE(SUBSTITUTE(SUBSTITUTE(SUBSTITUTE(SUBSTITUTE(LOWER(Registro!$E527),"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",LEN(Registro!$E527))),({1,2,3,4,5,6,7,8,9,10,11,12,13,14,15,16,17,18,19,20,21,22,23,24,25,26,27,28,29,30}-1)*LEN(Registro!$E527)+1,LEN(Registro!$E527)))&amp;"x")-1))),"Revisar formato")))</f>
        <v/>
      </c>
      <c r="E527" s="11" t="str">
        <f>IF(Registro!$E527="","",IF(ISERROR(FIND("x",LOWER(Registro!$E527))),"-",IFERROR(SUMPRODUCT(--("0"&amp;LEFT(TRIM(MID(SUBSTITUTE(SUBSTITUTE(SUBSTITUTE(SUBSTITUTE(SUBSTITUTE(LOWER(Registro!$E527),"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",LEN(Registro!$E527))),({1,2,3,4,5,6,7,8,9,10,11,12,13,14,15,16,17,18,19,20,21,22,23,24,25,26,27,28,29,30}-1)*LEN(Registro!$E527)+1,LEN(Registro!$E527)))&amp;"x")-1)),--("0"&amp;MID(TRIM(MID(SUBSTITUTE(SUBSTITUTE(SUBSTITUTE(SUBSTITUTE(SUBSTITUTE(LOWER(Registro!$E527),"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",LEN(Registro!$E527))),({1,2,3,4,5,6,7,8,9,10,11,12,13,14,15,16,17,18,19,20,21,22,23,24,25,26,27,28,29,30}-1)*LEN(Registro!$E527)+1,LEN(Registro!$E527)))&amp;"x")+1,20))),"Revisar formato")))</f>
        <v/>
      </c>
      <c r="F527" s="11" t="str">
        <f>IF(Registro!$F527="","",N(Registro!$F527))</f>
        <v/>
      </c>
      <c r="G527" s="11" t="str">
        <f t="shared" si="25"/>
        <v/>
      </c>
      <c r="H527" s="10" t="str">
        <f>IF(Registro!$G527="","",IF(ISERROR(FIND("x",LOWER(Registro!$G527))),"-",IFERROR(SUMPRODUCT(--("0"&amp;LEFT(TRIM(MID(SUBSTITUTE(SUBSTITUTE(SUBSTITUTE(SUBSTITUTE(SUBSTITUTE(LOWER(Registro!$G527),"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",LEN(Registro!$G527))),({1,2,3,4,5,6,7,8,9,10,11,12,13,14,15,16,17,18,19,20,21,22,23,24,25,26,27,28,29,30}-1)*LEN(Registro!$G527)+1,LEN(Registro!$G527))),FIND("x",TRIM(MID(SUBSTITUTE(SUBSTITUTE(SUBSTITUTE(SUBSTITUTE(SUBSTITUTE(LOWER(Registro!$G527),"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",LEN(Registro!$G527))),({1,2,3,4,5,6,7,8,9,10,11,12,13,14,15,16,17,18,19,20,21,22,23,24,25,26,27,28,29,30}-1)*LEN(Registro!$G527)+1,LEN(Registro!$G527)))&amp;"x")-1))),"Revisar formato")))</f>
        <v/>
      </c>
      <c r="I527" s="11" t="str">
        <f>IF(Registro!$G527="","",IF(ISERROR(FIND("x",LOWER(Registro!$G527))),N(Registro!$H527),IFERROR(SUMPRODUCT(--("0"&amp;LEFT(TRIM(MID(SUBSTITUTE(SUBSTITUTE(SUBSTITUTE(SUBSTITUTE(SUBSTITUTE(LOWER(Registro!$G527),"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",LEN(Registro!$G527))),({1,2,3,4,5,6,7,8,9,10,11,12,13,14,15,16,17,18,19,20,21,22,23,24,25,26,27,28,29,30}-1)*LEN(Registro!$G527)+1,LEN(Registro!$G527))),FIND("x",TRIM(MID(SUBSTITUTE(SUBSTITUTE(SUBSTITUTE(SUBSTITUTE(SUBSTITUTE(LOWER(Registro!$G527),"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",LEN(Registro!$G527))),({1,2,3,4,5,6,7,8,9,10,11,12,13,14,15,16,17,18,19,20,21,22,23,24,25,26,27,28,29,30}-1)*LEN(Registro!$G527)+1,LEN(Registro!$G527)))&amp;"x")-1)),--("0"&amp;MID(TRIM(MID(SUBSTITUTE(SUBSTITUTE(SUBSTITUTE(SUBSTITUTE(SUBSTITUTE(LOWER(Registro!$G527),"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",LEN(Registro!$G527))),({1,2,3,4,5,6,7,8,9,10,11,12,13,14,15,16,17,18,19,20,21,22,23,24,25,26,27,28,29,30}-1)*LEN(Registro!$G527)+1,LEN(Registro!$G527))),FIND("x",TRIM(MID(SUBSTITUTE(SUBSTITUTE(SUBSTITUTE(SUBSTITUTE(SUBSTITUTE(LOWER(Registro!$G527),"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",LEN(Registro!$G527))),({1,2,3,4,5,6,7,8,9,10,11,12,13,14,15,16,17,18,19,20,21,22,23,24,25,26,27,28,29,30}-1)*LEN(Registro!$G527)+1,LEN(Registro!$G527)))&amp;"x")+1,20))),"Revisar formato")))</f>
        <v/>
      </c>
      <c r="J527" s="9" t="str">
        <f>IF(AND(Registro!$E527="",Registro!$G527=""),"",IF(NOT(AND(ISNUMBER(I527),ISNUMBER(Registro!$H527))),"",IF(I527&lt;Registro!$H527,"FALTA BOLETOS",IF(I527=Registro!$H527,"CONFORME","DIFERENCIA"))))</f>
        <v/>
      </c>
      <c r="K527" s="11" t="str">
        <f>IF(Registro!$I527="","",IFERROR(SUMPRODUCT(--("0"&amp;TRIM(RIGHT(SUBSTITUTE(TRIM(MID(SUBSTITUTE(SUBSTITUTE(Registro!$I527,";",CHAR(10)),CHAR(10),REPT(" ",LEN(Registro!$I527))),({1,2,3,4,5,6,7,8,9,10,11,12,13,14,15,16,17,18,19,20,21,22,23,24,25,26,27,28,29,30}-1)*LEN(Registro!$I527)+1,LEN(Registro!$I527)))," ",REPT(" ",50)),50)))),"Revisar formato"))</f>
        <v/>
      </c>
      <c r="L527" s="11" t="str">
        <f>IF(Registro!$J527="","",IFERROR(SUMPRODUCT(--("0"&amp;TRIM(RIGHT(SUBSTITUTE(TRIM(MID(SUBSTITUTE(SUBSTITUTE(Registro!$J527,";",CHAR(10)),CHAR(10),REPT(" ",LEN(Registro!$J527))),({1,2,3,4,5,6,7,8,9,10,11,12,13,14,15,16,17,18,19,20,21,22,23,24,25,26,27,28,29,30}-1)*LEN(Registro!$J527)+1,LEN(Registro!$J527)))," ",REPT(" ",50)),50)))),"Revisar formato"))</f>
        <v/>
      </c>
      <c r="M527" s="11" t="str">
        <f>IF(AND(Registro!$H527="",Registro!$I527=""),"",IF(AND(ISTEXT(K527),K527&lt;&gt;""),"Revisar formato",N(Registro!$H527)-N(K527)))</f>
        <v/>
      </c>
      <c r="N527" s="11" t="str">
        <f t="shared" si="26"/>
        <v/>
      </c>
      <c r="O527" s="15" t="str">
        <f>IF(AND(A527=Consulta!$B$3,C527=Consulta!$H$3),B527*10000+ROW(),"")</f>
        <v/>
      </c>
    </row>
    <row r="528" spans="1:15" x14ac:dyDescent="0.25">
      <c r="A528" s="9" t="str">
        <f>IF(Registro!$A528="","",Registro!$A528)</f>
        <v/>
      </c>
      <c r="B528" s="8" t="str">
        <f>IF(Registro!$B528="","",Registro!$B528)</f>
        <v/>
      </c>
      <c r="C528" s="14" t="str">
        <f t="shared" si="24"/>
        <v/>
      </c>
      <c r="D528" s="10" t="str">
        <f>IF(Registro!$E528="","",IF(ISERROR(FIND("x",LOWER(Registro!$E528))),"-",IFERROR(SUMPRODUCT(--("0"&amp;LEFT(TRIM(MID(SUBSTITUTE(SUBSTITUTE(SUBSTITUTE(SUBSTITUTE(SUBSTITUTE(LOWER(Registro!$E528),"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",LEN(Registro!$E528))),({1,2,3,4,5,6,7,8,9,10,11,12,13,14,15,16,17,18,19,20,21,22,23,24,25,26,27,28,29,30}-1)*LEN(Registro!$E528)+1,LEN(Registro!$E528)))&amp;"x")-1))),"Revisar formato")))</f>
        <v/>
      </c>
      <c r="E528" s="11" t="str">
        <f>IF(Registro!$E528="","",IF(ISERROR(FIND("x",LOWER(Registro!$E528))),"-",IFERROR(SUMPRODUCT(--("0"&amp;LEFT(TRIM(MID(SUBSTITUTE(SUBSTITUTE(SUBSTITUTE(SUBSTITUTE(SUBSTITUTE(LOWER(Registro!$E528),"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",LEN(Registro!$E528))),({1,2,3,4,5,6,7,8,9,10,11,12,13,14,15,16,17,18,19,20,21,22,23,24,25,26,27,28,29,30}-1)*LEN(Registro!$E528)+1,LEN(Registro!$E528)))&amp;"x")-1)),--("0"&amp;MID(TRIM(MID(SUBSTITUTE(SUBSTITUTE(SUBSTITUTE(SUBSTITUTE(SUBSTITUTE(LOWER(Registro!$E528),"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",LEN(Registro!$E528))),({1,2,3,4,5,6,7,8,9,10,11,12,13,14,15,16,17,18,19,20,21,22,23,24,25,26,27,28,29,30}-1)*LEN(Registro!$E528)+1,LEN(Registro!$E528)))&amp;"x")+1,20))),"Revisar formato")))</f>
        <v/>
      </c>
      <c r="F528" s="11" t="str">
        <f>IF(Registro!$F528="","",N(Registro!$F528))</f>
        <v/>
      </c>
      <c r="G528" s="11" t="str">
        <f t="shared" si="25"/>
        <v/>
      </c>
      <c r="H528" s="10" t="str">
        <f>IF(Registro!$G528="","",IF(ISERROR(FIND("x",LOWER(Registro!$G528))),"-",IFERROR(SUMPRODUCT(--("0"&amp;LEFT(TRIM(MID(SUBSTITUTE(SUBSTITUTE(SUBSTITUTE(SUBSTITUTE(SUBSTITUTE(LOWER(Registro!$G528),"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",LEN(Registro!$G528))),({1,2,3,4,5,6,7,8,9,10,11,12,13,14,15,16,17,18,19,20,21,22,23,24,25,26,27,28,29,30}-1)*LEN(Registro!$G528)+1,LEN(Registro!$G528))),FIND("x",TRIM(MID(SUBSTITUTE(SUBSTITUTE(SUBSTITUTE(SUBSTITUTE(SUBSTITUTE(LOWER(Registro!$G528),"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",LEN(Registro!$G528))),({1,2,3,4,5,6,7,8,9,10,11,12,13,14,15,16,17,18,19,20,21,22,23,24,25,26,27,28,29,30}-1)*LEN(Registro!$G528)+1,LEN(Registro!$G528)))&amp;"x")-1))),"Revisar formato")))</f>
        <v/>
      </c>
      <c r="I528" s="11" t="str">
        <f>IF(Registro!$G528="","",IF(ISERROR(FIND("x",LOWER(Registro!$G528))),N(Registro!$H528),IFERROR(SUMPRODUCT(--("0"&amp;LEFT(TRIM(MID(SUBSTITUTE(SUBSTITUTE(SUBSTITUTE(SUBSTITUTE(SUBSTITUTE(LOWER(Registro!$G528),"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",LEN(Registro!$G528))),({1,2,3,4,5,6,7,8,9,10,11,12,13,14,15,16,17,18,19,20,21,22,23,24,25,26,27,28,29,30}-1)*LEN(Registro!$G528)+1,LEN(Registro!$G528))),FIND("x",TRIM(MID(SUBSTITUTE(SUBSTITUTE(SUBSTITUTE(SUBSTITUTE(SUBSTITUTE(LOWER(Registro!$G528),"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",LEN(Registro!$G528))),({1,2,3,4,5,6,7,8,9,10,11,12,13,14,15,16,17,18,19,20,21,22,23,24,25,26,27,28,29,30}-1)*LEN(Registro!$G528)+1,LEN(Registro!$G528)))&amp;"x")-1)),--("0"&amp;MID(TRIM(MID(SUBSTITUTE(SUBSTITUTE(SUBSTITUTE(SUBSTITUTE(SUBSTITUTE(LOWER(Registro!$G528),"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",LEN(Registro!$G528))),({1,2,3,4,5,6,7,8,9,10,11,12,13,14,15,16,17,18,19,20,21,22,23,24,25,26,27,28,29,30}-1)*LEN(Registro!$G528)+1,LEN(Registro!$G528))),FIND("x",TRIM(MID(SUBSTITUTE(SUBSTITUTE(SUBSTITUTE(SUBSTITUTE(SUBSTITUTE(LOWER(Registro!$G528),"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",LEN(Registro!$G528))),({1,2,3,4,5,6,7,8,9,10,11,12,13,14,15,16,17,18,19,20,21,22,23,24,25,26,27,28,29,30}-1)*LEN(Registro!$G528)+1,LEN(Registro!$G528)))&amp;"x")+1,20))),"Revisar formato")))</f>
        <v/>
      </c>
      <c r="J528" s="9" t="str">
        <f>IF(AND(Registro!$E528="",Registro!$G528=""),"",IF(NOT(AND(ISNUMBER(I528),ISNUMBER(Registro!$H528))),"",IF(I528&lt;Registro!$H528,"FALTA BOLETOS",IF(I528=Registro!$H528,"CONFORME","DIFERENCIA"))))</f>
        <v/>
      </c>
      <c r="K528" s="11" t="str">
        <f>IF(Registro!$I528="","",IFERROR(SUMPRODUCT(--("0"&amp;TRIM(RIGHT(SUBSTITUTE(TRIM(MID(SUBSTITUTE(SUBSTITUTE(Registro!$I528,";",CHAR(10)),CHAR(10),REPT(" ",LEN(Registro!$I528))),({1,2,3,4,5,6,7,8,9,10,11,12,13,14,15,16,17,18,19,20,21,22,23,24,25,26,27,28,29,30}-1)*LEN(Registro!$I528)+1,LEN(Registro!$I528)))," ",REPT(" ",50)),50)))),"Revisar formato"))</f>
        <v/>
      </c>
      <c r="L528" s="11" t="str">
        <f>IF(Registro!$J528="","",IFERROR(SUMPRODUCT(--("0"&amp;TRIM(RIGHT(SUBSTITUTE(TRIM(MID(SUBSTITUTE(SUBSTITUTE(Registro!$J528,";",CHAR(10)),CHAR(10),REPT(" ",LEN(Registro!$J528))),({1,2,3,4,5,6,7,8,9,10,11,12,13,14,15,16,17,18,19,20,21,22,23,24,25,26,27,28,29,30}-1)*LEN(Registro!$J528)+1,LEN(Registro!$J528)))," ",REPT(" ",50)),50)))),"Revisar formato"))</f>
        <v/>
      </c>
      <c r="M528" s="11" t="str">
        <f>IF(AND(Registro!$H528="",Registro!$I528=""),"",IF(AND(ISTEXT(K528),K528&lt;&gt;""),"Revisar formato",N(Registro!$H528)-N(K528)))</f>
        <v/>
      </c>
      <c r="N528" s="11" t="str">
        <f t="shared" si="26"/>
        <v/>
      </c>
      <c r="O528" s="15" t="str">
        <f>IF(AND(A528=Consulta!$B$3,C528=Consulta!$H$3),B528*10000+ROW(),"")</f>
        <v/>
      </c>
    </row>
    <row r="529" spans="1:15" x14ac:dyDescent="0.25">
      <c r="A529" s="9" t="str">
        <f>IF(Registro!$A529="","",Registro!$A529)</f>
        <v/>
      </c>
      <c r="B529" s="8" t="str">
        <f>IF(Registro!$B529="","",Registro!$B529)</f>
        <v/>
      </c>
      <c r="C529" s="14" t="str">
        <f t="shared" si="24"/>
        <v/>
      </c>
      <c r="D529" s="10" t="str">
        <f>IF(Registro!$E529="","",IF(ISERROR(FIND("x",LOWER(Registro!$E529))),"-",IFERROR(SUMPRODUCT(--("0"&amp;LEFT(TRIM(MID(SUBSTITUTE(SUBSTITUTE(SUBSTITUTE(SUBSTITUTE(SUBSTITUTE(LOWER(Registro!$E529),"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",LEN(Registro!$E529))),({1,2,3,4,5,6,7,8,9,10,11,12,13,14,15,16,17,18,19,20,21,22,23,24,25,26,27,28,29,30}-1)*LEN(Registro!$E529)+1,LEN(Registro!$E529)))&amp;"x")-1))),"Revisar formato")))</f>
        <v/>
      </c>
      <c r="E529" s="11" t="str">
        <f>IF(Registro!$E529="","",IF(ISERROR(FIND("x",LOWER(Registro!$E529))),"-",IFERROR(SUMPRODUCT(--("0"&amp;LEFT(TRIM(MID(SUBSTITUTE(SUBSTITUTE(SUBSTITUTE(SUBSTITUTE(SUBSTITUTE(LOWER(Registro!$E529),"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",LEN(Registro!$E529))),({1,2,3,4,5,6,7,8,9,10,11,12,13,14,15,16,17,18,19,20,21,22,23,24,25,26,27,28,29,30}-1)*LEN(Registro!$E529)+1,LEN(Registro!$E529)))&amp;"x")-1)),--("0"&amp;MID(TRIM(MID(SUBSTITUTE(SUBSTITUTE(SUBSTITUTE(SUBSTITUTE(SUBSTITUTE(LOWER(Registro!$E529),"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",LEN(Registro!$E529))),({1,2,3,4,5,6,7,8,9,10,11,12,13,14,15,16,17,18,19,20,21,22,23,24,25,26,27,28,29,30}-1)*LEN(Registro!$E529)+1,LEN(Registro!$E529)))&amp;"x")+1,20))),"Revisar formato")))</f>
        <v/>
      </c>
      <c r="F529" s="11" t="str">
        <f>IF(Registro!$F529="","",N(Registro!$F529))</f>
        <v/>
      </c>
      <c r="G529" s="11" t="str">
        <f t="shared" si="25"/>
        <v/>
      </c>
      <c r="H529" s="10" t="str">
        <f>IF(Registro!$G529="","",IF(ISERROR(FIND("x",LOWER(Registro!$G529))),"-",IFERROR(SUMPRODUCT(--("0"&amp;LEFT(TRIM(MID(SUBSTITUTE(SUBSTITUTE(SUBSTITUTE(SUBSTITUTE(SUBSTITUTE(LOWER(Registro!$G529),"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",LEN(Registro!$G529))),({1,2,3,4,5,6,7,8,9,10,11,12,13,14,15,16,17,18,19,20,21,22,23,24,25,26,27,28,29,30}-1)*LEN(Registro!$G529)+1,LEN(Registro!$G529))),FIND("x",TRIM(MID(SUBSTITUTE(SUBSTITUTE(SUBSTITUTE(SUBSTITUTE(SUBSTITUTE(LOWER(Registro!$G529),"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",LEN(Registro!$G529))),({1,2,3,4,5,6,7,8,9,10,11,12,13,14,15,16,17,18,19,20,21,22,23,24,25,26,27,28,29,30}-1)*LEN(Registro!$G529)+1,LEN(Registro!$G529)))&amp;"x")-1))),"Revisar formato")))</f>
        <v/>
      </c>
      <c r="I529" s="11" t="str">
        <f>IF(Registro!$G529="","",IF(ISERROR(FIND("x",LOWER(Registro!$G529))),N(Registro!$H529),IFERROR(SUMPRODUCT(--("0"&amp;LEFT(TRIM(MID(SUBSTITUTE(SUBSTITUTE(SUBSTITUTE(SUBSTITUTE(SUBSTITUTE(LOWER(Registro!$G529),"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",LEN(Registro!$G529))),({1,2,3,4,5,6,7,8,9,10,11,12,13,14,15,16,17,18,19,20,21,22,23,24,25,26,27,28,29,30}-1)*LEN(Registro!$G529)+1,LEN(Registro!$G529))),FIND("x",TRIM(MID(SUBSTITUTE(SUBSTITUTE(SUBSTITUTE(SUBSTITUTE(SUBSTITUTE(LOWER(Registro!$G529),"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",LEN(Registro!$G529))),({1,2,3,4,5,6,7,8,9,10,11,12,13,14,15,16,17,18,19,20,21,22,23,24,25,26,27,28,29,30}-1)*LEN(Registro!$G529)+1,LEN(Registro!$G529)))&amp;"x")-1)),--("0"&amp;MID(TRIM(MID(SUBSTITUTE(SUBSTITUTE(SUBSTITUTE(SUBSTITUTE(SUBSTITUTE(LOWER(Registro!$G529),"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",LEN(Registro!$G529))),({1,2,3,4,5,6,7,8,9,10,11,12,13,14,15,16,17,18,19,20,21,22,23,24,25,26,27,28,29,30}-1)*LEN(Registro!$G529)+1,LEN(Registro!$G529))),FIND("x",TRIM(MID(SUBSTITUTE(SUBSTITUTE(SUBSTITUTE(SUBSTITUTE(SUBSTITUTE(LOWER(Registro!$G529),"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",LEN(Registro!$G529))),({1,2,3,4,5,6,7,8,9,10,11,12,13,14,15,16,17,18,19,20,21,22,23,24,25,26,27,28,29,30}-1)*LEN(Registro!$G529)+1,LEN(Registro!$G529)))&amp;"x")+1,20))),"Revisar formato")))</f>
        <v/>
      </c>
      <c r="J529" s="9" t="str">
        <f>IF(AND(Registro!$E529="",Registro!$G529=""),"",IF(NOT(AND(ISNUMBER(I529),ISNUMBER(Registro!$H529))),"",IF(I529&lt;Registro!$H529,"FALTA BOLETOS",IF(I529=Registro!$H529,"CONFORME","DIFERENCIA"))))</f>
        <v/>
      </c>
      <c r="K529" s="11" t="str">
        <f>IF(Registro!$I529="","",IFERROR(SUMPRODUCT(--("0"&amp;TRIM(RIGHT(SUBSTITUTE(TRIM(MID(SUBSTITUTE(SUBSTITUTE(Registro!$I529,";",CHAR(10)),CHAR(10),REPT(" ",LEN(Registro!$I529))),({1,2,3,4,5,6,7,8,9,10,11,12,13,14,15,16,17,18,19,20,21,22,23,24,25,26,27,28,29,30}-1)*LEN(Registro!$I529)+1,LEN(Registro!$I529)))," ",REPT(" ",50)),50)))),"Revisar formato"))</f>
        <v/>
      </c>
      <c r="L529" s="11" t="str">
        <f>IF(Registro!$J529="","",IFERROR(SUMPRODUCT(--("0"&amp;TRIM(RIGHT(SUBSTITUTE(TRIM(MID(SUBSTITUTE(SUBSTITUTE(Registro!$J529,";",CHAR(10)),CHAR(10),REPT(" ",LEN(Registro!$J529))),({1,2,3,4,5,6,7,8,9,10,11,12,13,14,15,16,17,18,19,20,21,22,23,24,25,26,27,28,29,30}-1)*LEN(Registro!$J529)+1,LEN(Registro!$J529)))," ",REPT(" ",50)),50)))),"Revisar formato"))</f>
        <v/>
      </c>
      <c r="M529" s="11" t="str">
        <f>IF(AND(Registro!$H529="",Registro!$I529=""),"",IF(AND(ISTEXT(K529),K529&lt;&gt;""),"Revisar formato",N(Registro!$H529)-N(K529)))</f>
        <v/>
      </c>
      <c r="N529" s="11" t="str">
        <f t="shared" si="26"/>
        <v/>
      </c>
      <c r="O529" s="15" t="str">
        <f>IF(AND(A529=Consulta!$B$3,C529=Consulta!$H$3),B529*10000+ROW(),"")</f>
        <v/>
      </c>
    </row>
    <row r="530" spans="1:15" x14ac:dyDescent="0.25">
      <c r="A530" s="9" t="str">
        <f>IF(Registro!$A530="","",Registro!$A530)</f>
        <v/>
      </c>
      <c r="B530" s="8" t="str">
        <f>IF(Registro!$B530="","",Registro!$B530)</f>
        <v/>
      </c>
      <c r="C530" s="14" t="str">
        <f t="shared" si="24"/>
        <v/>
      </c>
      <c r="D530" s="10" t="str">
        <f>IF(Registro!$E530="","",IF(ISERROR(FIND("x",LOWER(Registro!$E530))),"-",IFERROR(SUMPRODUCT(--("0"&amp;LEFT(TRIM(MID(SUBSTITUTE(SUBSTITUTE(SUBSTITUTE(SUBSTITUTE(SUBSTITUTE(LOWER(Registro!$E530),"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",LEN(Registro!$E530))),({1,2,3,4,5,6,7,8,9,10,11,12,13,14,15,16,17,18,19,20,21,22,23,24,25,26,27,28,29,30}-1)*LEN(Registro!$E530)+1,LEN(Registro!$E530)))&amp;"x")-1))),"Revisar formato")))</f>
        <v/>
      </c>
      <c r="E530" s="11" t="str">
        <f>IF(Registro!$E530="","",IF(ISERROR(FIND("x",LOWER(Registro!$E530))),"-",IFERROR(SUMPRODUCT(--("0"&amp;LEFT(TRIM(MID(SUBSTITUTE(SUBSTITUTE(SUBSTITUTE(SUBSTITUTE(SUBSTITUTE(LOWER(Registro!$E530),"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",LEN(Registro!$E530))),({1,2,3,4,5,6,7,8,9,10,11,12,13,14,15,16,17,18,19,20,21,22,23,24,25,26,27,28,29,30}-1)*LEN(Registro!$E530)+1,LEN(Registro!$E530)))&amp;"x")-1)),--("0"&amp;MID(TRIM(MID(SUBSTITUTE(SUBSTITUTE(SUBSTITUTE(SUBSTITUTE(SUBSTITUTE(LOWER(Registro!$E530),"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",LEN(Registro!$E530))),({1,2,3,4,5,6,7,8,9,10,11,12,13,14,15,16,17,18,19,20,21,22,23,24,25,26,27,28,29,30}-1)*LEN(Registro!$E530)+1,LEN(Registro!$E530)))&amp;"x")+1,20))),"Revisar formato")))</f>
        <v/>
      </c>
      <c r="F530" s="11" t="str">
        <f>IF(Registro!$F530="","",N(Registro!$F530))</f>
        <v/>
      </c>
      <c r="G530" s="11" t="str">
        <f t="shared" si="25"/>
        <v/>
      </c>
      <c r="H530" s="10" t="str">
        <f>IF(Registro!$G530="","",IF(ISERROR(FIND("x",LOWER(Registro!$G530))),"-",IFERROR(SUMPRODUCT(--("0"&amp;LEFT(TRIM(MID(SUBSTITUTE(SUBSTITUTE(SUBSTITUTE(SUBSTITUTE(SUBSTITUTE(LOWER(Registro!$G530),"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",LEN(Registro!$G530))),({1,2,3,4,5,6,7,8,9,10,11,12,13,14,15,16,17,18,19,20,21,22,23,24,25,26,27,28,29,30}-1)*LEN(Registro!$G530)+1,LEN(Registro!$G530))),FIND("x",TRIM(MID(SUBSTITUTE(SUBSTITUTE(SUBSTITUTE(SUBSTITUTE(SUBSTITUTE(LOWER(Registro!$G530),"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",LEN(Registro!$G530))),({1,2,3,4,5,6,7,8,9,10,11,12,13,14,15,16,17,18,19,20,21,22,23,24,25,26,27,28,29,30}-1)*LEN(Registro!$G530)+1,LEN(Registro!$G530)))&amp;"x")-1))),"Revisar formato")))</f>
        <v/>
      </c>
      <c r="I530" s="11" t="str">
        <f>IF(Registro!$G530="","",IF(ISERROR(FIND("x",LOWER(Registro!$G530))),N(Registro!$H530),IFERROR(SUMPRODUCT(--("0"&amp;LEFT(TRIM(MID(SUBSTITUTE(SUBSTITUTE(SUBSTITUTE(SUBSTITUTE(SUBSTITUTE(LOWER(Registro!$G530),"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",LEN(Registro!$G530))),({1,2,3,4,5,6,7,8,9,10,11,12,13,14,15,16,17,18,19,20,21,22,23,24,25,26,27,28,29,30}-1)*LEN(Registro!$G530)+1,LEN(Registro!$G530))),FIND("x",TRIM(MID(SUBSTITUTE(SUBSTITUTE(SUBSTITUTE(SUBSTITUTE(SUBSTITUTE(LOWER(Registro!$G530),"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",LEN(Registro!$G530))),({1,2,3,4,5,6,7,8,9,10,11,12,13,14,15,16,17,18,19,20,21,22,23,24,25,26,27,28,29,30}-1)*LEN(Registro!$G530)+1,LEN(Registro!$G530)))&amp;"x")-1)),--("0"&amp;MID(TRIM(MID(SUBSTITUTE(SUBSTITUTE(SUBSTITUTE(SUBSTITUTE(SUBSTITUTE(LOWER(Registro!$G530),"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",LEN(Registro!$G530))),({1,2,3,4,5,6,7,8,9,10,11,12,13,14,15,16,17,18,19,20,21,22,23,24,25,26,27,28,29,30}-1)*LEN(Registro!$G530)+1,LEN(Registro!$G530))),FIND("x",TRIM(MID(SUBSTITUTE(SUBSTITUTE(SUBSTITUTE(SUBSTITUTE(SUBSTITUTE(LOWER(Registro!$G530),"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",LEN(Registro!$G530))),({1,2,3,4,5,6,7,8,9,10,11,12,13,14,15,16,17,18,19,20,21,22,23,24,25,26,27,28,29,30}-1)*LEN(Registro!$G530)+1,LEN(Registro!$G530)))&amp;"x")+1,20))),"Revisar formato")))</f>
        <v/>
      </c>
      <c r="J530" s="9" t="str">
        <f>IF(AND(Registro!$E530="",Registro!$G530=""),"",IF(NOT(AND(ISNUMBER(I530),ISNUMBER(Registro!$H530))),"",IF(I530&lt;Registro!$H530,"FALTA BOLETOS",IF(I530=Registro!$H530,"CONFORME","DIFERENCIA"))))</f>
        <v/>
      </c>
      <c r="K530" s="11" t="str">
        <f>IF(Registro!$I530="","",IFERROR(SUMPRODUCT(--("0"&amp;TRIM(RIGHT(SUBSTITUTE(TRIM(MID(SUBSTITUTE(SUBSTITUTE(Registro!$I530,";",CHAR(10)),CHAR(10),REPT(" ",LEN(Registro!$I530))),({1,2,3,4,5,6,7,8,9,10,11,12,13,14,15,16,17,18,19,20,21,22,23,24,25,26,27,28,29,30}-1)*LEN(Registro!$I530)+1,LEN(Registro!$I530)))," ",REPT(" ",50)),50)))),"Revisar formato"))</f>
        <v/>
      </c>
      <c r="L530" s="11" t="str">
        <f>IF(Registro!$J530="","",IFERROR(SUMPRODUCT(--("0"&amp;TRIM(RIGHT(SUBSTITUTE(TRIM(MID(SUBSTITUTE(SUBSTITUTE(Registro!$J530,";",CHAR(10)),CHAR(10),REPT(" ",LEN(Registro!$J530))),({1,2,3,4,5,6,7,8,9,10,11,12,13,14,15,16,17,18,19,20,21,22,23,24,25,26,27,28,29,30}-1)*LEN(Registro!$J530)+1,LEN(Registro!$J530)))," ",REPT(" ",50)),50)))),"Revisar formato"))</f>
        <v/>
      </c>
      <c r="M530" s="11" t="str">
        <f>IF(AND(Registro!$H530="",Registro!$I530=""),"",IF(AND(ISTEXT(K530),K530&lt;&gt;""),"Revisar formato",N(Registro!$H530)-N(K530)))</f>
        <v/>
      </c>
      <c r="N530" s="11" t="str">
        <f t="shared" si="26"/>
        <v/>
      </c>
      <c r="O530" s="15" t="str">
        <f>IF(AND(A530=Consulta!$B$3,C530=Consulta!$H$3),B530*10000+ROW(),"")</f>
        <v/>
      </c>
    </row>
    <row r="531" spans="1:15" x14ac:dyDescent="0.25">
      <c r="A531" s="9" t="str">
        <f>IF(Registro!$A531="","",Registro!$A531)</f>
        <v/>
      </c>
      <c r="B531" s="8" t="str">
        <f>IF(Registro!$B531="","",Registro!$B531)</f>
        <v/>
      </c>
      <c r="C531" s="14" t="str">
        <f t="shared" si="24"/>
        <v/>
      </c>
      <c r="D531" s="10" t="str">
        <f>IF(Registro!$E531="","",IF(ISERROR(FIND("x",LOWER(Registro!$E531))),"-",IFERROR(SUMPRODUCT(--("0"&amp;LEFT(TRIM(MID(SUBSTITUTE(SUBSTITUTE(SUBSTITUTE(SUBSTITUTE(SUBSTITUTE(LOWER(Registro!$E531),"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",LEN(Registro!$E531))),({1,2,3,4,5,6,7,8,9,10,11,12,13,14,15,16,17,18,19,20,21,22,23,24,25,26,27,28,29,30}-1)*LEN(Registro!$E531)+1,LEN(Registro!$E531)))&amp;"x")-1))),"Revisar formato")))</f>
        <v/>
      </c>
      <c r="E531" s="11" t="str">
        <f>IF(Registro!$E531="","",IF(ISERROR(FIND("x",LOWER(Registro!$E531))),"-",IFERROR(SUMPRODUCT(--("0"&amp;LEFT(TRIM(MID(SUBSTITUTE(SUBSTITUTE(SUBSTITUTE(SUBSTITUTE(SUBSTITUTE(LOWER(Registro!$E531),"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",LEN(Registro!$E531))),({1,2,3,4,5,6,7,8,9,10,11,12,13,14,15,16,17,18,19,20,21,22,23,24,25,26,27,28,29,30}-1)*LEN(Registro!$E531)+1,LEN(Registro!$E531)))&amp;"x")-1)),--("0"&amp;MID(TRIM(MID(SUBSTITUTE(SUBSTITUTE(SUBSTITUTE(SUBSTITUTE(SUBSTITUTE(LOWER(Registro!$E531),"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",LEN(Registro!$E531))),({1,2,3,4,5,6,7,8,9,10,11,12,13,14,15,16,17,18,19,20,21,22,23,24,25,26,27,28,29,30}-1)*LEN(Registro!$E531)+1,LEN(Registro!$E531)))&amp;"x")+1,20))),"Revisar formato")))</f>
        <v/>
      </c>
      <c r="F531" s="11" t="str">
        <f>IF(Registro!$F531="","",N(Registro!$F531))</f>
        <v/>
      </c>
      <c r="G531" s="11" t="str">
        <f t="shared" si="25"/>
        <v/>
      </c>
      <c r="H531" s="10" t="str">
        <f>IF(Registro!$G531="","",IF(ISERROR(FIND("x",LOWER(Registro!$G531))),"-",IFERROR(SUMPRODUCT(--("0"&amp;LEFT(TRIM(MID(SUBSTITUTE(SUBSTITUTE(SUBSTITUTE(SUBSTITUTE(SUBSTITUTE(LOWER(Registro!$G531),"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",LEN(Registro!$G531))),({1,2,3,4,5,6,7,8,9,10,11,12,13,14,15,16,17,18,19,20,21,22,23,24,25,26,27,28,29,30}-1)*LEN(Registro!$G531)+1,LEN(Registro!$G531))),FIND("x",TRIM(MID(SUBSTITUTE(SUBSTITUTE(SUBSTITUTE(SUBSTITUTE(SUBSTITUTE(LOWER(Registro!$G531),"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",LEN(Registro!$G531))),({1,2,3,4,5,6,7,8,9,10,11,12,13,14,15,16,17,18,19,20,21,22,23,24,25,26,27,28,29,30}-1)*LEN(Registro!$G531)+1,LEN(Registro!$G531)))&amp;"x")-1))),"Revisar formato")))</f>
        <v/>
      </c>
      <c r="I531" s="11" t="str">
        <f>IF(Registro!$G531="","",IF(ISERROR(FIND("x",LOWER(Registro!$G531))),N(Registro!$H531),IFERROR(SUMPRODUCT(--("0"&amp;LEFT(TRIM(MID(SUBSTITUTE(SUBSTITUTE(SUBSTITUTE(SUBSTITUTE(SUBSTITUTE(LOWER(Registro!$G531),"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",LEN(Registro!$G531))),({1,2,3,4,5,6,7,8,9,10,11,12,13,14,15,16,17,18,19,20,21,22,23,24,25,26,27,28,29,30}-1)*LEN(Registro!$G531)+1,LEN(Registro!$G531))),FIND("x",TRIM(MID(SUBSTITUTE(SUBSTITUTE(SUBSTITUTE(SUBSTITUTE(SUBSTITUTE(LOWER(Registro!$G531),"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",LEN(Registro!$G531))),({1,2,3,4,5,6,7,8,9,10,11,12,13,14,15,16,17,18,19,20,21,22,23,24,25,26,27,28,29,30}-1)*LEN(Registro!$G531)+1,LEN(Registro!$G531)))&amp;"x")-1)),--("0"&amp;MID(TRIM(MID(SUBSTITUTE(SUBSTITUTE(SUBSTITUTE(SUBSTITUTE(SUBSTITUTE(LOWER(Registro!$G531),"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",LEN(Registro!$G531))),({1,2,3,4,5,6,7,8,9,10,11,12,13,14,15,16,17,18,19,20,21,22,23,24,25,26,27,28,29,30}-1)*LEN(Registro!$G531)+1,LEN(Registro!$G531))),FIND("x",TRIM(MID(SUBSTITUTE(SUBSTITUTE(SUBSTITUTE(SUBSTITUTE(SUBSTITUTE(LOWER(Registro!$G531),"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",LEN(Registro!$G531))),({1,2,3,4,5,6,7,8,9,10,11,12,13,14,15,16,17,18,19,20,21,22,23,24,25,26,27,28,29,30}-1)*LEN(Registro!$G531)+1,LEN(Registro!$G531)))&amp;"x")+1,20))),"Revisar formato")))</f>
        <v/>
      </c>
      <c r="J531" s="9" t="str">
        <f>IF(AND(Registro!$E531="",Registro!$G531=""),"",IF(NOT(AND(ISNUMBER(I531),ISNUMBER(Registro!$H531))),"",IF(I531&lt;Registro!$H531,"FALTA BOLETOS",IF(I531=Registro!$H531,"CONFORME","DIFERENCIA"))))</f>
        <v/>
      </c>
      <c r="K531" s="11" t="str">
        <f>IF(Registro!$I531="","",IFERROR(SUMPRODUCT(--("0"&amp;TRIM(RIGHT(SUBSTITUTE(TRIM(MID(SUBSTITUTE(SUBSTITUTE(Registro!$I531,";",CHAR(10)),CHAR(10),REPT(" ",LEN(Registro!$I531))),({1,2,3,4,5,6,7,8,9,10,11,12,13,14,15,16,17,18,19,20,21,22,23,24,25,26,27,28,29,30}-1)*LEN(Registro!$I531)+1,LEN(Registro!$I531)))," ",REPT(" ",50)),50)))),"Revisar formato"))</f>
        <v/>
      </c>
      <c r="L531" s="11" t="str">
        <f>IF(Registro!$J531="","",IFERROR(SUMPRODUCT(--("0"&amp;TRIM(RIGHT(SUBSTITUTE(TRIM(MID(SUBSTITUTE(SUBSTITUTE(Registro!$J531,";",CHAR(10)),CHAR(10),REPT(" ",LEN(Registro!$J531))),({1,2,3,4,5,6,7,8,9,10,11,12,13,14,15,16,17,18,19,20,21,22,23,24,25,26,27,28,29,30}-1)*LEN(Registro!$J531)+1,LEN(Registro!$J531)))," ",REPT(" ",50)),50)))),"Revisar formato"))</f>
        <v/>
      </c>
      <c r="M531" s="11" t="str">
        <f>IF(AND(Registro!$H531="",Registro!$I531=""),"",IF(AND(ISTEXT(K531),K531&lt;&gt;""),"Revisar formato",N(Registro!$H531)-N(K531)))</f>
        <v/>
      </c>
      <c r="N531" s="11" t="str">
        <f t="shared" si="26"/>
        <v/>
      </c>
      <c r="O531" s="15" t="str">
        <f>IF(AND(A531=Consulta!$B$3,C531=Consulta!$H$3),B531*10000+ROW(),"")</f>
        <v/>
      </c>
    </row>
    <row r="532" spans="1:15" x14ac:dyDescent="0.25">
      <c r="A532" s="9" t="str">
        <f>IF(Registro!$A532="","",Registro!$A532)</f>
        <v/>
      </c>
      <c r="B532" s="8" t="str">
        <f>IF(Registro!$B532="","",Registro!$B532)</f>
        <v/>
      </c>
      <c r="C532" s="14" t="str">
        <f t="shared" si="24"/>
        <v/>
      </c>
      <c r="D532" s="10" t="str">
        <f>IF(Registro!$E532="","",IF(ISERROR(FIND("x",LOWER(Registro!$E532))),"-",IFERROR(SUMPRODUCT(--("0"&amp;LEFT(TRIM(MID(SUBSTITUTE(SUBSTITUTE(SUBSTITUTE(SUBSTITUTE(SUBSTITUTE(LOWER(Registro!$E532),"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",LEN(Registro!$E532))),({1,2,3,4,5,6,7,8,9,10,11,12,13,14,15,16,17,18,19,20,21,22,23,24,25,26,27,28,29,30}-1)*LEN(Registro!$E532)+1,LEN(Registro!$E532)))&amp;"x")-1))),"Revisar formato")))</f>
        <v/>
      </c>
      <c r="E532" s="11" t="str">
        <f>IF(Registro!$E532="","",IF(ISERROR(FIND("x",LOWER(Registro!$E532))),"-",IFERROR(SUMPRODUCT(--("0"&amp;LEFT(TRIM(MID(SUBSTITUTE(SUBSTITUTE(SUBSTITUTE(SUBSTITUTE(SUBSTITUTE(LOWER(Registro!$E532),"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",LEN(Registro!$E532))),({1,2,3,4,5,6,7,8,9,10,11,12,13,14,15,16,17,18,19,20,21,22,23,24,25,26,27,28,29,30}-1)*LEN(Registro!$E532)+1,LEN(Registro!$E532)))&amp;"x")-1)),--("0"&amp;MID(TRIM(MID(SUBSTITUTE(SUBSTITUTE(SUBSTITUTE(SUBSTITUTE(SUBSTITUTE(LOWER(Registro!$E532),"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",LEN(Registro!$E532))),({1,2,3,4,5,6,7,8,9,10,11,12,13,14,15,16,17,18,19,20,21,22,23,24,25,26,27,28,29,30}-1)*LEN(Registro!$E532)+1,LEN(Registro!$E532)))&amp;"x")+1,20))),"Revisar formato")))</f>
        <v/>
      </c>
      <c r="F532" s="11" t="str">
        <f>IF(Registro!$F532="","",N(Registro!$F532))</f>
        <v/>
      </c>
      <c r="G532" s="11" t="str">
        <f t="shared" si="25"/>
        <v/>
      </c>
      <c r="H532" s="10" t="str">
        <f>IF(Registro!$G532="","",IF(ISERROR(FIND("x",LOWER(Registro!$G532))),"-",IFERROR(SUMPRODUCT(--("0"&amp;LEFT(TRIM(MID(SUBSTITUTE(SUBSTITUTE(SUBSTITUTE(SUBSTITUTE(SUBSTITUTE(LOWER(Registro!$G532),"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",LEN(Registro!$G532))),({1,2,3,4,5,6,7,8,9,10,11,12,13,14,15,16,17,18,19,20,21,22,23,24,25,26,27,28,29,30}-1)*LEN(Registro!$G532)+1,LEN(Registro!$G532))),FIND("x",TRIM(MID(SUBSTITUTE(SUBSTITUTE(SUBSTITUTE(SUBSTITUTE(SUBSTITUTE(LOWER(Registro!$G532),"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",LEN(Registro!$G532))),({1,2,3,4,5,6,7,8,9,10,11,12,13,14,15,16,17,18,19,20,21,22,23,24,25,26,27,28,29,30}-1)*LEN(Registro!$G532)+1,LEN(Registro!$G532)))&amp;"x")-1))),"Revisar formato")))</f>
        <v/>
      </c>
      <c r="I532" s="11" t="str">
        <f>IF(Registro!$G532="","",IF(ISERROR(FIND("x",LOWER(Registro!$G532))),N(Registro!$H532),IFERROR(SUMPRODUCT(--("0"&amp;LEFT(TRIM(MID(SUBSTITUTE(SUBSTITUTE(SUBSTITUTE(SUBSTITUTE(SUBSTITUTE(LOWER(Registro!$G532),"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",LEN(Registro!$G532))),({1,2,3,4,5,6,7,8,9,10,11,12,13,14,15,16,17,18,19,20,21,22,23,24,25,26,27,28,29,30}-1)*LEN(Registro!$G532)+1,LEN(Registro!$G532))),FIND("x",TRIM(MID(SUBSTITUTE(SUBSTITUTE(SUBSTITUTE(SUBSTITUTE(SUBSTITUTE(LOWER(Registro!$G532),"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",LEN(Registro!$G532))),({1,2,3,4,5,6,7,8,9,10,11,12,13,14,15,16,17,18,19,20,21,22,23,24,25,26,27,28,29,30}-1)*LEN(Registro!$G532)+1,LEN(Registro!$G532)))&amp;"x")-1)),--("0"&amp;MID(TRIM(MID(SUBSTITUTE(SUBSTITUTE(SUBSTITUTE(SUBSTITUTE(SUBSTITUTE(LOWER(Registro!$G532),"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",LEN(Registro!$G532))),({1,2,3,4,5,6,7,8,9,10,11,12,13,14,15,16,17,18,19,20,21,22,23,24,25,26,27,28,29,30}-1)*LEN(Registro!$G532)+1,LEN(Registro!$G532))),FIND("x",TRIM(MID(SUBSTITUTE(SUBSTITUTE(SUBSTITUTE(SUBSTITUTE(SUBSTITUTE(LOWER(Registro!$G532),"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",LEN(Registro!$G532))),({1,2,3,4,5,6,7,8,9,10,11,12,13,14,15,16,17,18,19,20,21,22,23,24,25,26,27,28,29,30}-1)*LEN(Registro!$G532)+1,LEN(Registro!$G532)))&amp;"x")+1,20))),"Revisar formato")))</f>
        <v/>
      </c>
      <c r="J532" s="9" t="str">
        <f>IF(AND(Registro!$E532="",Registro!$G532=""),"",IF(NOT(AND(ISNUMBER(I532),ISNUMBER(Registro!$H532))),"",IF(I532&lt;Registro!$H532,"FALTA BOLETOS",IF(I532=Registro!$H532,"CONFORME","DIFERENCIA"))))</f>
        <v/>
      </c>
      <c r="K532" s="11" t="str">
        <f>IF(Registro!$I532="","",IFERROR(SUMPRODUCT(--("0"&amp;TRIM(RIGHT(SUBSTITUTE(TRIM(MID(SUBSTITUTE(SUBSTITUTE(Registro!$I532,";",CHAR(10)),CHAR(10),REPT(" ",LEN(Registro!$I532))),({1,2,3,4,5,6,7,8,9,10,11,12,13,14,15,16,17,18,19,20,21,22,23,24,25,26,27,28,29,30}-1)*LEN(Registro!$I532)+1,LEN(Registro!$I532)))," ",REPT(" ",50)),50)))),"Revisar formato"))</f>
        <v/>
      </c>
      <c r="L532" s="11" t="str">
        <f>IF(Registro!$J532="","",IFERROR(SUMPRODUCT(--("0"&amp;TRIM(RIGHT(SUBSTITUTE(TRIM(MID(SUBSTITUTE(SUBSTITUTE(Registro!$J532,";",CHAR(10)),CHAR(10),REPT(" ",LEN(Registro!$J532))),({1,2,3,4,5,6,7,8,9,10,11,12,13,14,15,16,17,18,19,20,21,22,23,24,25,26,27,28,29,30}-1)*LEN(Registro!$J532)+1,LEN(Registro!$J532)))," ",REPT(" ",50)),50)))),"Revisar formato"))</f>
        <v/>
      </c>
      <c r="M532" s="11" t="str">
        <f>IF(AND(Registro!$H532="",Registro!$I532=""),"",IF(AND(ISTEXT(K532),K532&lt;&gt;""),"Revisar formato",N(Registro!$H532)-N(K532)))</f>
        <v/>
      </c>
      <c r="N532" s="11" t="str">
        <f t="shared" si="26"/>
        <v/>
      </c>
      <c r="O532" s="15" t="str">
        <f>IF(AND(A532=Consulta!$B$3,C532=Consulta!$H$3),B532*10000+ROW(),"")</f>
        <v/>
      </c>
    </row>
    <row r="533" spans="1:15" x14ac:dyDescent="0.25">
      <c r="A533" s="9" t="str">
        <f>IF(Registro!$A533="","",Registro!$A533)</f>
        <v/>
      </c>
      <c r="B533" s="8" t="str">
        <f>IF(Registro!$B533="","",Registro!$B533)</f>
        <v/>
      </c>
      <c r="C533" s="14" t="str">
        <f t="shared" si="24"/>
        <v/>
      </c>
      <c r="D533" s="10" t="str">
        <f>IF(Registro!$E533="","",IF(ISERROR(FIND("x",LOWER(Registro!$E533))),"-",IFERROR(SUMPRODUCT(--("0"&amp;LEFT(TRIM(MID(SUBSTITUTE(SUBSTITUTE(SUBSTITUTE(SUBSTITUTE(SUBSTITUTE(LOWER(Registro!$E533),"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",LEN(Registro!$E533))),({1,2,3,4,5,6,7,8,9,10,11,12,13,14,15,16,17,18,19,20,21,22,23,24,25,26,27,28,29,30}-1)*LEN(Registro!$E533)+1,LEN(Registro!$E533)))&amp;"x")-1))),"Revisar formato")))</f>
        <v/>
      </c>
      <c r="E533" s="11" t="str">
        <f>IF(Registro!$E533="","",IF(ISERROR(FIND("x",LOWER(Registro!$E533))),"-",IFERROR(SUMPRODUCT(--("0"&amp;LEFT(TRIM(MID(SUBSTITUTE(SUBSTITUTE(SUBSTITUTE(SUBSTITUTE(SUBSTITUTE(LOWER(Registro!$E533),"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",LEN(Registro!$E533))),({1,2,3,4,5,6,7,8,9,10,11,12,13,14,15,16,17,18,19,20,21,22,23,24,25,26,27,28,29,30}-1)*LEN(Registro!$E533)+1,LEN(Registro!$E533)))&amp;"x")-1)),--("0"&amp;MID(TRIM(MID(SUBSTITUTE(SUBSTITUTE(SUBSTITUTE(SUBSTITUTE(SUBSTITUTE(LOWER(Registro!$E533),"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",LEN(Registro!$E533))),({1,2,3,4,5,6,7,8,9,10,11,12,13,14,15,16,17,18,19,20,21,22,23,24,25,26,27,28,29,30}-1)*LEN(Registro!$E533)+1,LEN(Registro!$E533)))&amp;"x")+1,20))),"Revisar formato")))</f>
        <v/>
      </c>
      <c r="F533" s="11" t="str">
        <f>IF(Registro!$F533="","",N(Registro!$F533))</f>
        <v/>
      </c>
      <c r="G533" s="11" t="str">
        <f t="shared" si="25"/>
        <v/>
      </c>
      <c r="H533" s="10" t="str">
        <f>IF(Registro!$G533="","",IF(ISERROR(FIND("x",LOWER(Registro!$G533))),"-",IFERROR(SUMPRODUCT(--("0"&amp;LEFT(TRIM(MID(SUBSTITUTE(SUBSTITUTE(SUBSTITUTE(SUBSTITUTE(SUBSTITUTE(LOWER(Registro!$G533),"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",LEN(Registro!$G533))),({1,2,3,4,5,6,7,8,9,10,11,12,13,14,15,16,17,18,19,20,21,22,23,24,25,26,27,28,29,30}-1)*LEN(Registro!$G533)+1,LEN(Registro!$G533))),FIND("x",TRIM(MID(SUBSTITUTE(SUBSTITUTE(SUBSTITUTE(SUBSTITUTE(SUBSTITUTE(LOWER(Registro!$G533),"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",LEN(Registro!$G533))),({1,2,3,4,5,6,7,8,9,10,11,12,13,14,15,16,17,18,19,20,21,22,23,24,25,26,27,28,29,30}-1)*LEN(Registro!$G533)+1,LEN(Registro!$G533)))&amp;"x")-1))),"Revisar formato")))</f>
        <v/>
      </c>
      <c r="I533" s="11" t="str">
        <f>IF(Registro!$G533="","",IF(ISERROR(FIND("x",LOWER(Registro!$G533))),N(Registro!$H533),IFERROR(SUMPRODUCT(--("0"&amp;LEFT(TRIM(MID(SUBSTITUTE(SUBSTITUTE(SUBSTITUTE(SUBSTITUTE(SUBSTITUTE(LOWER(Registro!$G533),"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",LEN(Registro!$G533))),({1,2,3,4,5,6,7,8,9,10,11,12,13,14,15,16,17,18,19,20,21,22,23,24,25,26,27,28,29,30}-1)*LEN(Registro!$G533)+1,LEN(Registro!$G533))),FIND("x",TRIM(MID(SUBSTITUTE(SUBSTITUTE(SUBSTITUTE(SUBSTITUTE(SUBSTITUTE(LOWER(Registro!$G533),"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",LEN(Registro!$G533))),({1,2,3,4,5,6,7,8,9,10,11,12,13,14,15,16,17,18,19,20,21,22,23,24,25,26,27,28,29,30}-1)*LEN(Registro!$G533)+1,LEN(Registro!$G533)))&amp;"x")-1)),--("0"&amp;MID(TRIM(MID(SUBSTITUTE(SUBSTITUTE(SUBSTITUTE(SUBSTITUTE(SUBSTITUTE(LOWER(Registro!$G533),"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",LEN(Registro!$G533))),({1,2,3,4,5,6,7,8,9,10,11,12,13,14,15,16,17,18,19,20,21,22,23,24,25,26,27,28,29,30}-1)*LEN(Registro!$G533)+1,LEN(Registro!$G533))),FIND("x",TRIM(MID(SUBSTITUTE(SUBSTITUTE(SUBSTITUTE(SUBSTITUTE(SUBSTITUTE(LOWER(Registro!$G533),"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",LEN(Registro!$G533))),({1,2,3,4,5,6,7,8,9,10,11,12,13,14,15,16,17,18,19,20,21,22,23,24,25,26,27,28,29,30}-1)*LEN(Registro!$G533)+1,LEN(Registro!$G533)))&amp;"x")+1,20))),"Revisar formato")))</f>
        <v/>
      </c>
      <c r="J533" s="9" t="str">
        <f>IF(AND(Registro!$E533="",Registro!$G533=""),"",IF(NOT(AND(ISNUMBER(I533),ISNUMBER(Registro!$H533))),"",IF(I533&lt;Registro!$H533,"FALTA BOLETOS",IF(I533=Registro!$H533,"CONFORME","DIFERENCIA"))))</f>
        <v/>
      </c>
      <c r="K533" s="11" t="str">
        <f>IF(Registro!$I533="","",IFERROR(SUMPRODUCT(--("0"&amp;TRIM(RIGHT(SUBSTITUTE(TRIM(MID(SUBSTITUTE(SUBSTITUTE(Registro!$I533,";",CHAR(10)),CHAR(10),REPT(" ",LEN(Registro!$I533))),({1,2,3,4,5,6,7,8,9,10,11,12,13,14,15,16,17,18,19,20,21,22,23,24,25,26,27,28,29,30}-1)*LEN(Registro!$I533)+1,LEN(Registro!$I533)))," ",REPT(" ",50)),50)))),"Revisar formato"))</f>
        <v/>
      </c>
      <c r="L533" s="11" t="str">
        <f>IF(Registro!$J533="","",IFERROR(SUMPRODUCT(--("0"&amp;TRIM(RIGHT(SUBSTITUTE(TRIM(MID(SUBSTITUTE(SUBSTITUTE(Registro!$J533,";",CHAR(10)),CHAR(10),REPT(" ",LEN(Registro!$J533))),({1,2,3,4,5,6,7,8,9,10,11,12,13,14,15,16,17,18,19,20,21,22,23,24,25,26,27,28,29,30}-1)*LEN(Registro!$J533)+1,LEN(Registro!$J533)))," ",REPT(" ",50)),50)))),"Revisar formato"))</f>
        <v/>
      </c>
      <c r="M533" s="11" t="str">
        <f>IF(AND(Registro!$H533="",Registro!$I533=""),"",IF(AND(ISTEXT(K533),K533&lt;&gt;""),"Revisar formato",N(Registro!$H533)-N(K533)))</f>
        <v/>
      </c>
      <c r="N533" s="11" t="str">
        <f t="shared" si="26"/>
        <v/>
      </c>
      <c r="O533" s="15" t="str">
        <f>IF(AND(A533=Consulta!$B$3,C533=Consulta!$H$3),B533*10000+ROW(),"")</f>
        <v/>
      </c>
    </row>
    <row r="534" spans="1:15" x14ac:dyDescent="0.25">
      <c r="A534" s="9" t="str">
        <f>IF(Registro!$A534="","",Registro!$A534)</f>
        <v/>
      </c>
      <c r="B534" s="8" t="str">
        <f>IF(Registro!$B534="","",Registro!$B534)</f>
        <v/>
      </c>
      <c r="C534" s="14" t="str">
        <f t="shared" si="24"/>
        <v/>
      </c>
      <c r="D534" s="10" t="str">
        <f>IF(Registro!$E534="","",IF(ISERROR(FIND("x",LOWER(Registro!$E534))),"-",IFERROR(SUMPRODUCT(--("0"&amp;LEFT(TRIM(MID(SUBSTITUTE(SUBSTITUTE(SUBSTITUTE(SUBSTITUTE(SUBSTITUTE(LOWER(Registro!$E534),"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",LEN(Registro!$E534))),({1,2,3,4,5,6,7,8,9,10,11,12,13,14,15,16,17,18,19,20,21,22,23,24,25,26,27,28,29,30}-1)*LEN(Registro!$E534)+1,LEN(Registro!$E534)))&amp;"x")-1))),"Revisar formato")))</f>
        <v/>
      </c>
      <c r="E534" s="11" t="str">
        <f>IF(Registro!$E534="","",IF(ISERROR(FIND("x",LOWER(Registro!$E534))),"-",IFERROR(SUMPRODUCT(--("0"&amp;LEFT(TRIM(MID(SUBSTITUTE(SUBSTITUTE(SUBSTITUTE(SUBSTITUTE(SUBSTITUTE(LOWER(Registro!$E534),"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",LEN(Registro!$E534))),({1,2,3,4,5,6,7,8,9,10,11,12,13,14,15,16,17,18,19,20,21,22,23,24,25,26,27,28,29,30}-1)*LEN(Registro!$E534)+1,LEN(Registro!$E534)))&amp;"x")-1)),--("0"&amp;MID(TRIM(MID(SUBSTITUTE(SUBSTITUTE(SUBSTITUTE(SUBSTITUTE(SUBSTITUTE(LOWER(Registro!$E534),"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",LEN(Registro!$E534))),({1,2,3,4,5,6,7,8,9,10,11,12,13,14,15,16,17,18,19,20,21,22,23,24,25,26,27,28,29,30}-1)*LEN(Registro!$E534)+1,LEN(Registro!$E534)))&amp;"x")+1,20))),"Revisar formato")))</f>
        <v/>
      </c>
      <c r="F534" s="11" t="str">
        <f>IF(Registro!$F534="","",N(Registro!$F534))</f>
        <v/>
      </c>
      <c r="G534" s="11" t="str">
        <f t="shared" si="25"/>
        <v/>
      </c>
      <c r="H534" s="10" t="str">
        <f>IF(Registro!$G534="","",IF(ISERROR(FIND("x",LOWER(Registro!$G534))),"-",IFERROR(SUMPRODUCT(--("0"&amp;LEFT(TRIM(MID(SUBSTITUTE(SUBSTITUTE(SUBSTITUTE(SUBSTITUTE(SUBSTITUTE(LOWER(Registro!$G534),"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",LEN(Registro!$G534))),({1,2,3,4,5,6,7,8,9,10,11,12,13,14,15,16,17,18,19,20,21,22,23,24,25,26,27,28,29,30}-1)*LEN(Registro!$G534)+1,LEN(Registro!$G534))),FIND("x",TRIM(MID(SUBSTITUTE(SUBSTITUTE(SUBSTITUTE(SUBSTITUTE(SUBSTITUTE(LOWER(Registro!$G534),"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",LEN(Registro!$G534))),({1,2,3,4,5,6,7,8,9,10,11,12,13,14,15,16,17,18,19,20,21,22,23,24,25,26,27,28,29,30}-1)*LEN(Registro!$G534)+1,LEN(Registro!$G534)))&amp;"x")-1))),"Revisar formato")))</f>
        <v/>
      </c>
      <c r="I534" s="11" t="str">
        <f>IF(Registro!$G534="","",IF(ISERROR(FIND("x",LOWER(Registro!$G534))),N(Registro!$H534),IFERROR(SUMPRODUCT(--("0"&amp;LEFT(TRIM(MID(SUBSTITUTE(SUBSTITUTE(SUBSTITUTE(SUBSTITUTE(SUBSTITUTE(LOWER(Registro!$G534),"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",LEN(Registro!$G534))),({1,2,3,4,5,6,7,8,9,10,11,12,13,14,15,16,17,18,19,20,21,22,23,24,25,26,27,28,29,30}-1)*LEN(Registro!$G534)+1,LEN(Registro!$G534))),FIND("x",TRIM(MID(SUBSTITUTE(SUBSTITUTE(SUBSTITUTE(SUBSTITUTE(SUBSTITUTE(LOWER(Registro!$G534),"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",LEN(Registro!$G534))),({1,2,3,4,5,6,7,8,9,10,11,12,13,14,15,16,17,18,19,20,21,22,23,24,25,26,27,28,29,30}-1)*LEN(Registro!$G534)+1,LEN(Registro!$G534)))&amp;"x")-1)),--("0"&amp;MID(TRIM(MID(SUBSTITUTE(SUBSTITUTE(SUBSTITUTE(SUBSTITUTE(SUBSTITUTE(LOWER(Registro!$G534),"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",LEN(Registro!$G534))),({1,2,3,4,5,6,7,8,9,10,11,12,13,14,15,16,17,18,19,20,21,22,23,24,25,26,27,28,29,30}-1)*LEN(Registro!$G534)+1,LEN(Registro!$G534))),FIND("x",TRIM(MID(SUBSTITUTE(SUBSTITUTE(SUBSTITUTE(SUBSTITUTE(SUBSTITUTE(LOWER(Registro!$G534),"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",LEN(Registro!$G534))),({1,2,3,4,5,6,7,8,9,10,11,12,13,14,15,16,17,18,19,20,21,22,23,24,25,26,27,28,29,30}-1)*LEN(Registro!$G534)+1,LEN(Registro!$G534)))&amp;"x")+1,20))),"Revisar formato")))</f>
        <v/>
      </c>
      <c r="J534" s="9" t="str">
        <f>IF(AND(Registro!$E534="",Registro!$G534=""),"",IF(NOT(AND(ISNUMBER(I534),ISNUMBER(Registro!$H534))),"",IF(I534&lt;Registro!$H534,"FALTA BOLETOS",IF(I534=Registro!$H534,"CONFORME","DIFERENCIA"))))</f>
        <v/>
      </c>
      <c r="K534" s="11" t="str">
        <f>IF(Registro!$I534="","",IFERROR(SUMPRODUCT(--("0"&amp;TRIM(RIGHT(SUBSTITUTE(TRIM(MID(SUBSTITUTE(SUBSTITUTE(Registro!$I534,";",CHAR(10)),CHAR(10),REPT(" ",LEN(Registro!$I534))),({1,2,3,4,5,6,7,8,9,10,11,12,13,14,15,16,17,18,19,20,21,22,23,24,25,26,27,28,29,30}-1)*LEN(Registro!$I534)+1,LEN(Registro!$I534)))," ",REPT(" ",50)),50)))),"Revisar formato"))</f>
        <v/>
      </c>
      <c r="L534" s="11" t="str">
        <f>IF(Registro!$J534="","",IFERROR(SUMPRODUCT(--("0"&amp;TRIM(RIGHT(SUBSTITUTE(TRIM(MID(SUBSTITUTE(SUBSTITUTE(Registro!$J534,";",CHAR(10)),CHAR(10),REPT(" ",LEN(Registro!$J534))),({1,2,3,4,5,6,7,8,9,10,11,12,13,14,15,16,17,18,19,20,21,22,23,24,25,26,27,28,29,30}-1)*LEN(Registro!$J534)+1,LEN(Registro!$J534)))," ",REPT(" ",50)),50)))),"Revisar formato"))</f>
        <v/>
      </c>
      <c r="M534" s="11" t="str">
        <f>IF(AND(Registro!$H534="",Registro!$I534=""),"",IF(AND(ISTEXT(K534),K534&lt;&gt;""),"Revisar formato",N(Registro!$H534)-N(K534)))</f>
        <v/>
      </c>
      <c r="N534" s="11" t="str">
        <f t="shared" si="26"/>
        <v/>
      </c>
      <c r="O534" s="15" t="str">
        <f>IF(AND(A534=Consulta!$B$3,C534=Consulta!$H$3),B534*10000+ROW(),"")</f>
        <v/>
      </c>
    </row>
    <row r="535" spans="1:15" x14ac:dyDescent="0.25">
      <c r="A535" s="9" t="str">
        <f>IF(Registro!$A535="","",Registro!$A535)</f>
        <v/>
      </c>
      <c r="B535" s="8" t="str">
        <f>IF(Registro!$B535="","",Registro!$B535)</f>
        <v/>
      </c>
      <c r="C535" s="14" t="str">
        <f t="shared" si="24"/>
        <v/>
      </c>
      <c r="D535" s="10" t="str">
        <f>IF(Registro!$E535="","",IF(ISERROR(FIND("x",LOWER(Registro!$E535))),"-",IFERROR(SUMPRODUCT(--("0"&amp;LEFT(TRIM(MID(SUBSTITUTE(SUBSTITUTE(SUBSTITUTE(SUBSTITUTE(SUBSTITUTE(LOWER(Registro!$E535),"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",LEN(Registro!$E535))),({1,2,3,4,5,6,7,8,9,10,11,12,13,14,15,16,17,18,19,20,21,22,23,24,25,26,27,28,29,30}-1)*LEN(Registro!$E535)+1,LEN(Registro!$E535)))&amp;"x")-1))),"Revisar formato")))</f>
        <v/>
      </c>
      <c r="E535" s="11" t="str">
        <f>IF(Registro!$E535="","",IF(ISERROR(FIND("x",LOWER(Registro!$E535))),"-",IFERROR(SUMPRODUCT(--("0"&amp;LEFT(TRIM(MID(SUBSTITUTE(SUBSTITUTE(SUBSTITUTE(SUBSTITUTE(SUBSTITUTE(LOWER(Registro!$E535),"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",LEN(Registro!$E535))),({1,2,3,4,5,6,7,8,9,10,11,12,13,14,15,16,17,18,19,20,21,22,23,24,25,26,27,28,29,30}-1)*LEN(Registro!$E535)+1,LEN(Registro!$E535)))&amp;"x")-1)),--("0"&amp;MID(TRIM(MID(SUBSTITUTE(SUBSTITUTE(SUBSTITUTE(SUBSTITUTE(SUBSTITUTE(LOWER(Registro!$E535),"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",LEN(Registro!$E535))),({1,2,3,4,5,6,7,8,9,10,11,12,13,14,15,16,17,18,19,20,21,22,23,24,25,26,27,28,29,30}-1)*LEN(Registro!$E535)+1,LEN(Registro!$E535)))&amp;"x")+1,20))),"Revisar formato")))</f>
        <v/>
      </c>
      <c r="F535" s="11" t="str">
        <f>IF(Registro!$F535="","",N(Registro!$F535))</f>
        <v/>
      </c>
      <c r="G535" s="11" t="str">
        <f t="shared" si="25"/>
        <v/>
      </c>
      <c r="H535" s="10" t="str">
        <f>IF(Registro!$G535="","",IF(ISERROR(FIND("x",LOWER(Registro!$G535))),"-",IFERROR(SUMPRODUCT(--("0"&amp;LEFT(TRIM(MID(SUBSTITUTE(SUBSTITUTE(SUBSTITUTE(SUBSTITUTE(SUBSTITUTE(LOWER(Registro!$G535),"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",LEN(Registro!$G535))),({1,2,3,4,5,6,7,8,9,10,11,12,13,14,15,16,17,18,19,20,21,22,23,24,25,26,27,28,29,30}-1)*LEN(Registro!$G535)+1,LEN(Registro!$G535))),FIND("x",TRIM(MID(SUBSTITUTE(SUBSTITUTE(SUBSTITUTE(SUBSTITUTE(SUBSTITUTE(LOWER(Registro!$G535),"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",LEN(Registro!$G535))),({1,2,3,4,5,6,7,8,9,10,11,12,13,14,15,16,17,18,19,20,21,22,23,24,25,26,27,28,29,30}-1)*LEN(Registro!$G535)+1,LEN(Registro!$G535)))&amp;"x")-1))),"Revisar formato")))</f>
        <v/>
      </c>
      <c r="I535" s="11" t="str">
        <f>IF(Registro!$G535="","",IF(ISERROR(FIND("x",LOWER(Registro!$G535))),N(Registro!$H535),IFERROR(SUMPRODUCT(--("0"&amp;LEFT(TRIM(MID(SUBSTITUTE(SUBSTITUTE(SUBSTITUTE(SUBSTITUTE(SUBSTITUTE(LOWER(Registro!$G535),"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",LEN(Registro!$G535))),({1,2,3,4,5,6,7,8,9,10,11,12,13,14,15,16,17,18,19,20,21,22,23,24,25,26,27,28,29,30}-1)*LEN(Registro!$G535)+1,LEN(Registro!$G535))),FIND("x",TRIM(MID(SUBSTITUTE(SUBSTITUTE(SUBSTITUTE(SUBSTITUTE(SUBSTITUTE(LOWER(Registro!$G535),"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",LEN(Registro!$G535))),({1,2,3,4,5,6,7,8,9,10,11,12,13,14,15,16,17,18,19,20,21,22,23,24,25,26,27,28,29,30}-1)*LEN(Registro!$G535)+1,LEN(Registro!$G535)))&amp;"x")-1)),--("0"&amp;MID(TRIM(MID(SUBSTITUTE(SUBSTITUTE(SUBSTITUTE(SUBSTITUTE(SUBSTITUTE(LOWER(Registro!$G535),"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",LEN(Registro!$G535))),({1,2,3,4,5,6,7,8,9,10,11,12,13,14,15,16,17,18,19,20,21,22,23,24,25,26,27,28,29,30}-1)*LEN(Registro!$G535)+1,LEN(Registro!$G535))),FIND("x",TRIM(MID(SUBSTITUTE(SUBSTITUTE(SUBSTITUTE(SUBSTITUTE(SUBSTITUTE(LOWER(Registro!$G535),"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",LEN(Registro!$G535))),({1,2,3,4,5,6,7,8,9,10,11,12,13,14,15,16,17,18,19,20,21,22,23,24,25,26,27,28,29,30}-1)*LEN(Registro!$G535)+1,LEN(Registro!$G535)))&amp;"x")+1,20))),"Revisar formato")))</f>
        <v/>
      </c>
      <c r="J535" s="9" t="str">
        <f>IF(AND(Registro!$E535="",Registro!$G535=""),"",IF(NOT(AND(ISNUMBER(I535),ISNUMBER(Registro!$H535))),"",IF(I535&lt;Registro!$H535,"FALTA BOLETOS",IF(I535=Registro!$H535,"CONFORME","DIFERENCIA"))))</f>
        <v/>
      </c>
      <c r="K535" s="11" t="str">
        <f>IF(Registro!$I535="","",IFERROR(SUMPRODUCT(--("0"&amp;TRIM(RIGHT(SUBSTITUTE(TRIM(MID(SUBSTITUTE(SUBSTITUTE(Registro!$I535,";",CHAR(10)),CHAR(10),REPT(" ",LEN(Registro!$I535))),({1,2,3,4,5,6,7,8,9,10,11,12,13,14,15,16,17,18,19,20,21,22,23,24,25,26,27,28,29,30}-1)*LEN(Registro!$I535)+1,LEN(Registro!$I535)))," ",REPT(" ",50)),50)))),"Revisar formato"))</f>
        <v/>
      </c>
      <c r="L535" s="11" t="str">
        <f>IF(Registro!$J535="","",IFERROR(SUMPRODUCT(--("0"&amp;TRIM(RIGHT(SUBSTITUTE(TRIM(MID(SUBSTITUTE(SUBSTITUTE(Registro!$J535,";",CHAR(10)),CHAR(10),REPT(" ",LEN(Registro!$J535))),({1,2,3,4,5,6,7,8,9,10,11,12,13,14,15,16,17,18,19,20,21,22,23,24,25,26,27,28,29,30}-1)*LEN(Registro!$J535)+1,LEN(Registro!$J535)))," ",REPT(" ",50)),50)))),"Revisar formato"))</f>
        <v/>
      </c>
      <c r="M535" s="11" t="str">
        <f>IF(AND(Registro!$H535="",Registro!$I535=""),"",IF(AND(ISTEXT(K535),K535&lt;&gt;""),"Revisar formato",N(Registro!$H535)-N(K535)))</f>
        <v/>
      </c>
      <c r="N535" s="11" t="str">
        <f t="shared" si="26"/>
        <v/>
      </c>
      <c r="O535" s="15" t="str">
        <f>IF(AND(A535=Consulta!$B$3,C535=Consulta!$H$3),B535*10000+ROW(),"")</f>
        <v/>
      </c>
    </row>
    <row r="536" spans="1:15" x14ac:dyDescent="0.25">
      <c r="A536" s="9" t="str">
        <f>IF(Registro!$A536="","",Registro!$A536)</f>
        <v/>
      </c>
      <c r="B536" s="8" t="str">
        <f>IF(Registro!$B536="","",Registro!$B536)</f>
        <v/>
      </c>
      <c r="C536" s="14" t="str">
        <f t="shared" si="24"/>
        <v/>
      </c>
      <c r="D536" s="10" t="str">
        <f>IF(Registro!$E536="","",IF(ISERROR(FIND("x",LOWER(Registro!$E536))),"-",IFERROR(SUMPRODUCT(--("0"&amp;LEFT(TRIM(MID(SUBSTITUTE(SUBSTITUTE(SUBSTITUTE(SUBSTITUTE(SUBSTITUTE(LOWER(Registro!$E536),"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",LEN(Registro!$E536))),({1,2,3,4,5,6,7,8,9,10,11,12,13,14,15,16,17,18,19,20,21,22,23,24,25,26,27,28,29,30}-1)*LEN(Registro!$E536)+1,LEN(Registro!$E536)))&amp;"x")-1))),"Revisar formato")))</f>
        <v/>
      </c>
      <c r="E536" s="11" t="str">
        <f>IF(Registro!$E536="","",IF(ISERROR(FIND("x",LOWER(Registro!$E536))),"-",IFERROR(SUMPRODUCT(--("0"&amp;LEFT(TRIM(MID(SUBSTITUTE(SUBSTITUTE(SUBSTITUTE(SUBSTITUTE(SUBSTITUTE(LOWER(Registro!$E536),"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",LEN(Registro!$E536))),({1,2,3,4,5,6,7,8,9,10,11,12,13,14,15,16,17,18,19,20,21,22,23,24,25,26,27,28,29,30}-1)*LEN(Registro!$E536)+1,LEN(Registro!$E536)))&amp;"x")-1)),--("0"&amp;MID(TRIM(MID(SUBSTITUTE(SUBSTITUTE(SUBSTITUTE(SUBSTITUTE(SUBSTITUTE(LOWER(Registro!$E536),"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",LEN(Registro!$E536))),({1,2,3,4,5,6,7,8,9,10,11,12,13,14,15,16,17,18,19,20,21,22,23,24,25,26,27,28,29,30}-1)*LEN(Registro!$E536)+1,LEN(Registro!$E536)))&amp;"x")+1,20))),"Revisar formato")))</f>
        <v/>
      </c>
      <c r="F536" s="11" t="str">
        <f>IF(Registro!$F536="","",N(Registro!$F536))</f>
        <v/>
      </c>
      <c r="G536" s="11" t="str">
        <f t="shared" si="25"/>
        <v/>
      </c>
      <c r="H536" s="10" t="str">
        <f>IF(Registro!$G536="","",IF(ISERROR(FIND("x",LOWER(Registro!$G536))),"-",IFERROR(SUMPRODUCT(--("0"&amp;LEFT(TRIM(MID(SUBSTITUTE(SUBSTITUTE(SUBSTITUTE(SUBSTITUTE(SUBSTITUTE(LOWER(Registro!$G536),"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",LEN(Registro!$G536))),({1,2,3,4,5,6,7,8,9,10,11,12,13,14,15,16,17,18,19,20,21,22,23,24,25,26,27,28,29,30}-1)*LEN(Registro!$G536)+1,LEN(Registro!$G536))),FIND("x",TRIM(MID(SUBSTITUTE(SUBSTITUTE(SUBSTITUTE(SUBSTITUTE(SUBSTITUTE(LOWER(Registro!$G536),"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",LEN(Registro!$G536))),({1,2,3,4,5,6,7,8,9,10,11,12,13,14,15,16,17,18,19,20,21,22,23,24,25,26,27,28,29,30}-1)*LEN(Registro!$G536)+1,LEN(Registro!$G536)))&amp;"x")-1))),"Revisar formato")))</f>
        <v/>
      </c>
      <c r="I536" s="11" t="str">
        <f>IF(Registro!$G536="","",IF(ISERROR(FIND("x",LOWER(Registro!$G536))),N(Registro!$H536),IFERROR(SUMPRODUCT(--("0"&amp;LEFT(TRIM(MID(SUBSTITUTE(SUBSTITUTE(SUBSTITUTE(SUBSTITUTE(SUBSTITUTE(LOWER(Registro!$G536),"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",LEN(Registro!$G536))),({1,2,3,4,5,6,7,8,9,10,11,12,13,14,15,16,17,18,19,20,21,22,23,24,25,26,27,28,29,30}-1)*LEN(Registro!$G536)+1,LEN(Registro!$G536))),FIND("x",TRIM(MID(SUBSTITUTE(SUBSTITUTE(SUBSTITUTE(SUBSTITUTE(SUBSTITUTE(LOWER(Registro!$G536),"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",LEN(Registro!$G536))),({1,2,3,4,5,6,7,8,9,10,11,12,13,14,15,16,17,18,19,20,21,22,23,24,25,26,27,28,29,30}-1)*LEN(Registro!$G536)+1,LEN(Registro!$G536)))&amp;"x")-1)),--("0"&amp;MID(TRIM(MID(SUBSTITUTE(SUBSTITUTE(SUBSTITUTE(SUBSTITUTE(SUBSTITUTE(LOWER(Registro!$G536),"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",LEN(Registro!$G536))),({1,2,3,4,5,6,7,8,9,10,11,12,13,14,15,16,17,18,19,20,21,22,23,24,25,26,27,28,29,30}-1)*LEN(Registro!$G536)+1,LEN(Registro!$G536))),FIND("x",TRIM(MID(SUBSTITUTE(SUBSTITUTE(SUBSTITUTE(SUBSTITUTE(SUBSTITUTE(LOWER(Registro!$G536),"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",LEN(Registro!$G536))),({1,2,3,4,5,6,7,8,9,10,11,12,13,14,15,16,17,18,19,20,21,22,23,24,25,26,27,28,29,30}-1)*LEN(Registro!$G536)+1,LEN(Registro!$G536)))&amp;"x")+1,20))),"Revisar formato")))</f>
        <v/>
      </c>
      <c r="J536" s="9" t="str">
        <f>IF(AND(Registro!$E536="",Registro!$G536=""),"",IF(NOT(AND(ISNUMBER(I536),ISNUMBER(Registro!$H536))),"",IF(I536&lt;Registro!$H536,"FALTA BOLETOS",IF(I536=Registro!$H536,"CONFORME","DIFERENCIA"))))</f>
        <v/>
      </c>
      <c r="K536" s="11" t="str">
        <f>IF(Registro!$I536="","",IFERROR(SUMPRODUCT(--("0"&amp;TRIM(RIGHT(SUBSTITUTE(TRIM(MID(SUBSTITUTE(SUBSTITUTE(Registro!$I536,";",CHAR(10)),CHAR(10),REPT(" ",LEN(Registro!$I536))),({1,2,3,4,5,6,7,8,9,10,11,12,13,14,15,16,17,18,19,20,21,22,23,24,25,26,27,28,29,30}-1)*LEN(Registro!$I536)+1,LEN(Registro!$I536)))," ",REPT(" ",50)),50)))),"Revisar formato"))</f>
        <v/>
      </c>
      <c r="L536" s="11" t="str">
        <f>IF(Registro!$J536="","",IFERROR(SUMPRODUCT(--("0"&amp;TRIM(RIGHT(SUBSTITUTE(TRIM(MID(SUBSTITUTE(SUBSTITUTE(Registro!$J536,";",CHAR(10)),CHAR(10),REPT(" ",LEN(Registro!$J536))),({1,2,3,4,5,6,7,8,9,10,11,12,13,14,15,16,17,18,19,20,21,22,23,24,25,26,27,28,29,30}-1)*LEN(Registro!$J536)+1,LEN(Registro!$J536)))," ",REPT(" ",50)),50)))),"Revisar formato"))</f>
        <v/>
      </c>
      <c r="M536" s="11" t="str">
        <f>IF(AND(Registro!$H536="",Registro!$I536=""),"",IF(AND(ISTEXT(K536),K536&lt;&gt;""),"Revisar formato",N(Registro!$H536)-N(K536)))</f>
        <v/>
      </c>
      <c r="N536" s="11" t="str">
        <f t="shared" si="26"/>
        <v/>
      </c>
      <c r="O536" s="15" t="str">
        <f>IF(AND(A536=Consulta!$B$3,C536=Consulta!$H$3),B536*10000+ROW(),"")</f>
        <v/>
      </c>
    </row>
    <row r="537" spans="1:15" x14ac:dyDescent="0.25">
      <c r="A537" s="9" t="str">
        <f>IF(Registro!$A537="","",Registro!$A537)</f>
        <v/>
      </c>
      <c r="B537" s="8" t="str">
        <f>IF(Registro!$B537="","",Registro!$B537)</f>
        <v/>
      </c>
      <c r="C537" s="14" t="str">
        <f t="shared" si="24"/>
        <v/>
      </c>
      <c r="D537" s="10" t="str">
        <f>IF(Registro!$E537="","",IF(ISERROR(FIND("x",LOWER(Registro!$E537))),"-",IFERROR(SUMPRODUCT(--("0"&amp;LEFT(TRIM(MID(SUBSTITUTE(SUBSTITUTE(SUBSTITUTE(SUBSTITUTE(SUBSTITUTE(LOWER(Registro!$E537),"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",LEN(Registro!$E537))),({1,2,3,4,5,6,7,8,9,10,11,12,13,14,15,16,17,18,19,20,21,22,23,24,25,26,27,28,29,30}-1)*LEN(Registro!$E537)+1,LEN(Registro!$E537)))&amp;"x")-1))),"Revisar formato")))</f>
        <v/>
      </c>
      <c r="E537" s="11" t="str">
        <f>IF(Registro!$E537="","",IF(ISERROR(FIND("x",LOWER(Registro!$E537))),"-",IFERROR(SUMPRODUCT(--("0"&amp;LEFT(TRIM(MID(SUBSTITUTE(SUBSTITUTE(SUBSTITUTE(SUBSTITUTE(SUBSTITUTE(LOWER(Registro!$E537),"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",LEN(Registro!$E537))),({1,2,3,4,5,6,7,8,9,10,11,12,13,14,15,16,17,18,19,20,21,22,23,24,25,26,27,28,29,30}-1)*LEN(Registro!$E537)+1,LEN(Registro!$E537)))&amp;"x")-1)),--("0"&amp;MID(TRIM(MID(SUBSTITUTE(SUBSTITUTE(SUBSTITUTE(SUBSTITUTE(SUBSTITUTE(LOWER(Registro!$E537),"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",LEN(Registro!$E537))),({1,2,3,4,5,6,7,8,9,10,11,12,13,14,15,16,17,18,19,20,21,22,23,24,25,26,27,28,29,30}-1)*LEN(Registro!$E537)+1,LEN(Registro!$E537)))&amp;"x")+1,20))),"Revisar formato")))</f>
        <v/>
      </c>
      <c r="F537" s="11" t="str">
        <f>IF(Registro!$F537="","",N(Registro!$F537))</f>
        <v/>
      </c>
      <c r="G537" s="11" t="str">
        <f t="shared" si="25"/>
        <v/>
      </c>
      <c r="H537" s="10" t="str">
        <f>IF(Registro!$G537="","",IF(ISERROR(FIND("x",LOWER(Registro!$G537))),"-",IFERROR(SUMPRODUCT(--("0"&amp;LEFT(TRIM(MID(SUBSTITUTE(SUBSTITUTE(SUBSTITUTE(SUBSTITUTE(SUBSTITUTE(LOWER(Registro!$G537),"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",LEN(Registro!$G537))),({1,2,3,4,5,6,7,8,9,10,11,12,13,14,15,16,17,18,19,20,21,22,23,24,25,26,27,28,29,30}-1)*LEN(Registro!$G537)+1,LEN(Registro!$G537))),FIND("x",TRIM(MID(SUBSTITUTE(SUBSTITUTE(SUBSTITUTE(SUBSTITUTE(SUBSTITUTE(LOWER(Registro!$G537),"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",LEN(Registro!$G537))),({1,2,3,4,5,6,7,8,9,10,11,12,13,14,15,16,17,18,19,20,21,22,23,24,25,26,27,28,29,30}-1)*LEN(Registro!$G537)+1,LEN(Registro!$G537)))&amp;"x")-1))),"Revisar formato")))</f>
        <v/>
      </c>
      <c r="I537" s="11" t="str">
        <f>IF(Registro!$G537="","",IF(ISERROR(FIND("x",LOWER(Registro!$G537))),N(Registro!$H537),IFERROR(SUMPRODUCT(--("0"&amp;LEFT(TRIM(MID(SUBSTITUTE(SUBSTITUTE(SUBSTITUTE(SUBSTITUTE(SUBSTITUTE(LOWER(Registro!$G537),"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",LEN(Registro!$G537))),({1,2,3,4,5,6,7,8,9,10,11,12,13,14,15,16,17,18,19,20,21,22,23,24,25,26,27,28,29,30}-1)*LEN(Registro!$G537)+1,LEN(Registro!$G537))),FIND("x",TRIM(MID(SUBSTITUTE(SUBSTITUTE(SUBSTITUTE(SUBSTITUTE(SUBSTITUTE(LOWER(Registro!$G537),"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",LEN(Registro!$G537))),({1,2,3,4,5,6,7,8,9,10,11,12,13,14,15,16,17,18,19,20,21,22,23,24,25,26,27,28,29,30}-1)*LEN(Registro!$G537)+1,LEN(Registro!$G537)))&amp;"x")-1)),--("0"&amp;MID(TRIM(MID(SUBSTITUTE(SUBSTITUTE(SUBSTITUTE(SUBSTITUTE(SUBSTITUTE(LOWER(Registro!$G537),"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",LEN(Registro!$G537))),({1,2,3,4,5,6,7,8,9,10,11,12,13,14,15,16,17,18,19,20,21,22,23,24,25,26,27,28,29,30}-1)*LEN(Registro!$G537)+1,LEN(Registro!$G537))),FIND("x",TRIM(MID(SUBSTITUTE(SUBSTITUTE(SUBSTITUTE(SUBSTITUTE(SUBSTITUTE(LOWER(Registro!$G537),"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",LEN(Registro!$G537))),({1,2,3,4,5,6,7,8,9,10,11,12,13,14,15,16,17,18,19,20,21,22,23,24,25,26,27,28,29,30}-1)*LEN(Registro!$G537)+1,LEN(Registro!$G537)))&amp;"x")+1,20))),"Revisar formato")))</f>
        <v/>
      </c>
      <c r="J537" s="9" t="str">
        <f>IF(AND(Registro!$E537="",Registro!$G537=""),"",IF(NOT(AND(ISNUMBER(I537),ISNUMBER(Registro!$H537))),"",IF(I537&lt;Registro!$H537,"FALTA BOLETOS",IF(I537=Registro!$H537,"CONFORME","DIFERENCIA"))))</f>
        <v/>
      </c>
      <c r="K537" s="11" t="str">
        <f>IF(Registro!$I537="","",IFERROR(SUMPRODUCT(--("0"&amp;TRIM(RIGHT(SUBSTITUTE(TRIM(MID(SUBSTITUTE(SUBSTITUTE(Registro!$I537,";",CHAR(10)),CHAR(10),REPT(" ",LEN(Registro!$I537))),({1,2,3,4,5,6,7,8,9,10,11,12,13,14,15,16,17,18,19,20,21,22,23,24,25,26,27,28,29,30}-1)*LEN(Registro!$I537)+1,LEN(Registro!$I537)))," ",REPT(" ",50)),50)))),"Revisar formato"))</f>
        <v/>
      </c>
      <c r="L537" s="11" t="str">
        <f>IF(Registro!$J537="","",IFERROR(SUMPRODUCT(--("0"&amp;TRIM(RIGHT(SUBSTITUTE(TRIM(MID(SUBSTITUTE(SUBSTITUTE(Registro!$J537,";",CHAR(10)),CHAR(10),REPT(" ",LEN(Registro!$J537))),({1,2,3,4,5,6,7,8,9,10,11,12,13,14,15,16,17,18,19,20,21,22,23,24,25,26,27,28,29,30}-1)*LEN(Registro!$J537)+1,LEN(Registro!$J537)))," ",REPT(" ",50)),50)))),"Revisar formato"))</f>
        <v/>
      </c>
      <c r="M537" s="11" t="str">
        <f>IF(AND(Registro!$H537="",Registro!$I537=""),"",IF(AND(ISTEXT(K537),K537&lt;&gt;""),"Revisar formato",N(Registro!$H537)-N(K537)))</f>
        <v/>
      </c>
      <c r="N537" s="11" t="str">
        <f t="shared" si="26"/>
        <v/>
      </c>
      <c r="O537" s="15" t="str">
        <f>IF(AND(A537=Consulta!$B$3,C537=Consulta!$H$3),B537*10000+ROW(),"")</f>
        <v/>
      </c>
    </row>
    <row r="538" spans="1:15" x14ac:dyDescent="0.25">
      <c r="A538" s="9" t="str">
        <f>IF(Registro!$A538="","",Registro!$A538)</f>
        <v/>
      </c>
      <c r="B538" s="8" t="str">
        <f>IF(Registro!$B538="","",Registro!$B538)</f>
        <v/>
      </c>
      <c r="C538" s="14" t="str">
        <f t="shared" si="24"/>
        <v/>
      </c>
      <c r="D538" s="10" t="str">
        <f>IF(Registro!$E538="","",IF(ISERROR(FIND("x",LOWER(Registro!$E538))),"-",IFERROR(SUMPRODUCT(--("0"&amp;LEFT(TRIM(MID(SUBSTITUTE(SUBSTITUTE(SUBSTITUTE(SUBSTITUTE(SUBSTITUTE(LOWER(Registro!$E538),"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",LEN(Registro!$E538))),({1,2,3,4,5,6,7,8,9,10,11,12,13,14,15,16,17,18,19,20,21,22,23,24,25,26,27,28,29,30}-1)*LEN(Registro!$E538)+1,LEN(Registro!$E538)))&amp;"x")-1))),"Revisar formato")))</f>
        <v/>
      </c>
      <c r="E538" s="11" t="str">
        <f>IF(Registro!$E538="","",IF(ISERROR(FIND("x",LOWER(Registro!$E538))),"-",IFERROR(SUMPRODUCT(--("0"&amp;LEFT(TRIM(MID(SUBSTITUTE(SUBSTITUTE(SUBSTITUTE(SUBSTITUTE(SUBSTITUTE(LOWER(Registro!$E538),"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",LEN(Registro!$E538))),({1,2,3,4,5,6,7,8,9,10,11,12,13,14,15,16,17,18,19,20,21,22,23,24,25,26,27,28,29,30}-1)*LEN(Registro!$E538)+1,LEN(Registro!$E538)))&amp;"x")-1)),--("0"&amp;MID(TRIM(MID(SUBSTITUTE(SUBSTITUTE(SUBSTITUTE(SUBSTITUTE(SUBSTITUTE(LOWER(Registro!$E538),"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",LEN(Registro!$E538))),({1,2,3,4,5,6,7,8,9,10,11,12,13,14,15,16,17,18,19,20,21,22,23,24,25,26,27,28,29,30}-1)*LEN(Registro!$E538)+1,LEN(Registro!$E538)))&amp;"x")+1,20))),"Revisar formato")))</f>
        <v/>
      </c>
      <c r="F538" s="11" t="str">
        <f>IF(Registro!$F538="","",N(Registro!$F538))</f>
        <v/>
      </c>
      <c r="G538" s="11" t="str">
        <f t="shared" si="25"/>
        <v/>
      </c>
      <c r="H538" s="10" t="str">
        <f>IF(Registro!$G538="","",IF(ISERROR(FIND("x",LOWER(Registro!$G538))),"-",IFERROR(SUMPRODUCT(--("0"&amp;LEFT(TRIM(MID(SUBSTITUTE(SUBSTITUTE(SUBSTITUTE(SUBSTITUTE(SUBSTITUTE(LOWER(Registro!$G538),"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",LEN(Registro!$G538))),({1,2,3,4,5,6,7,8,9,10,11,12,13,14,15,16,17,18,19,20,21,22,23,24,25,26,27,28,29,30}-1)*LEN(Registro!$G538)+1,LEN(Registro!$G538))),FIND("x",TRIM(MID(SUBSTITUTE(SUBSTITUTE(SUBSTITUTE(SUBSTITUTE(SUBSTITUTE(LOWER(Registro!$G538),"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",LEN(Registro!$G538))),({1,2,3,4,5,6,7,8,9,10,11,12,13,14,15,16,17,18,19,20,21,22,23,24,25,26,27,28,29,30}-1)*LEN(Registro!$G538)+1,LEN(Registro!$G538)))&amp;"x")-1))),"Revisar formato")))</f>
        <v/>
      </c>
      <c r="I538" s="11" t="str">
        <f>IF(Registro!$G538="","",IF(ISERROR(FIND("x",LOWER(Registro!$G538))),N(Registro!$H538),IFERROR(SUMPRODUCT(--("0"&amp;LEFT(TRIM(MID(SUBSTITUTE(SUBSTITUTE(SUBSTITUTE(SUBSTITUTE(SUBSTITUTE(LOWER(Registro!$G538),"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",LEN(Registro!$G538))),({1,2,3,4,5,6,7,8,9,10,11,12,13,14,15,16,17,18,19,20,21,22,23,24,25,26,27,28,29,30}-1)*LEN(Registro!$G538)+1,LEN(Registro!$G538))),FIND("x",TRIM(MID(SUBSTITUTE(SUBSTITUTE(SUBSTITUTE(SUBSTITUTE(SUBSTITUTE(LOWER(Registro!$G538),"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",LEN(Registro!$G538))),({1,2,3,4,5,6,7,8,9,10,11,12,13,14,15,16,17,18,19,20,21,22,23,24,25,26,27,28,29,30}-1)*LEN(Registro!$G538)+1,LEN(Registro!$G538)))&amp;"x")-1)),--("0"&amp;MID(TRIM(MID(SUBSTITUTE(SUBSTITUTE(SUBSTITUTE(SUBSTITUTE(SUBSTITUTE(LOWER(Registro!$G538),"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",LEN(Registro!$G538))),({1,2,3,4,5,6,7,8,9,10,11,12,13,14,15,16,17,18,19,20,21,22,23,24,25,26,27,28,29,30}-1)*LEN(Registro!$G538)+1,LEN(Registro!$G538))),FIND("x",TRIM(MID(SUBSTITUTE(SUBSTITUTE(SUBSTITUTE(SUBSTITUTE(SUBSTITUTE(LOWER(Registro!$G538),"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",LEN(Registro!$G538))),({1,2,3,4,5,6,7,8,9,10,11,12,13,14,15,16,17,18,19,20,21,22,23,24,25,26,27,28,29,30}-1)*LEN(Registro!$G538)+1,LEN(Registro!$G538)))&amp;"x")+1,20))),"Revisar formato")))</f>
        <v/>
      </c>
      <c r="J538" s="9" t="str">
        <f>IF(AND(Registro!$E538="",Registro!$G538=""),"",IF(NOT(AND(ISNUMBER(I538),ISNUMBER(Registro!$H538))),"",IF(I538&lt;Registro!$H538,"FALTA BOLETOS",IF(I538=Registro!$H538,"CONFORME","DIFERENCIA"))))</f>
        <v/>
      </c>
      <c r="K538" s="11" t="str">
        <f>IF(Registro!$I538="","",IFERROR(SUMPRODUCT(--("0"&amp;TRIM(RIGHT(SUBSTITUTE(TRIM(MID(SUBSTITUTE(SUBSTITUTE(Registro!$I538,";",CHAR(10)),CHAR(10),REPT(" ",LEN(Registro!$I538))),({1,2,3,4,5,6,7,8,9,10,11,12,13,14,15,16,17,18,19,20,21,22,23,24,25,26,27,28,29,30}-1)*LEN(Registro!$I538)+1,LEN(Registro!$I538)))," ",REPT(" ",50)),50)))),"Revisar formato"))</f>
        <v/>
      </c>
      <c r="L538" s="11" t="str">
        <f>IF(Registro!$J538="","",IFERROR(SUMPRODUCT(--("0"&amp;TRIM(RIGHT(SUBSTITUTE(TRIM(MID(SUBSTITUTE(SUBSTITUTE(Registro!$J538,";",CHAR(10)),CHAR(10),REPT(" ",LEN(Registro!$J538))),({1,2,3,4,5,6,7,8,9,10,11,12,13,14,15,16,17,18,19,20,21,22,23,24,25,26,27,28,29,30}-1)*LEN(Registro!$J538)+1,LEN(Registro!$J538)))," ",REPT(" ",50)),50)))),"Revisar formato"))</f>
        <v/>
      </c>
      <c r="M538" s="11" t="str">
        <f>IF(AND(Registro!$H538="",Registro!$I538=""),"",IF(AND(ISTEXT(K538),K538&lt;&gt;""),"Revisar formato",N(Registro!$H538)-N(K538)))</f>
        <v/>
      </c>
      <c r="N538" s="11" t="str">
        <f t="shared" si="26"/>
        <v/>
      </c>
      <c r="O538" s="15" t="str">
        <f>IF(AND(A538=Consulta!$B$3,C538=Consulta!$H$3),B538*10000+ROW(),"")</f>
        <v/>
      </c>
    </row>
    <row r="539" spans="1:15" x14ac:dyDescent="0.25">
      <c r="A539" s="9" t="str">
        <f>IF(Registro!$A539="","",Registro!$A539)</f>
        <v/>
      </c>
      <c r="B539" s="8" t="str">
        <f>IF(Registro!$B539="","",Registro!$B539)</f>
        <v/>
      </c>
      <c r="C539" s="14" t="str">
        <f t="shared" si="24"/>
        <v/>
      </c>
      <c r="D539" s="10" t="str">
        <f>IF(Registro!$E539="","",IF(ISERROR(FIND("x",LOWER(Registro!$E539))),"-",IFERROR(SUMPRODUCT(--("0"&amp;LEFT(TRIM(MID(SUBSTITUTE(SUBSTITUTE(SUBSTITUTE(SUBSTITUTE(SUBSTITUTE(LOWER(Registro!$E539),"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",LEN(Registro!$E539))),({1,2,3,4,5,6,7,8,9,10,11,12,13,14,15,16,17,18,19,20,21,22,23,24,25,26,27,28,29,30}-1)*LEN(Registro!$E539)+1,LEN(Registro!$E539)))&amp;"x")-1))),"Revisar formato")))</f>
        <v/>
      </c>
      <c r="E539" s="11" t="str">
        <f>IF(Registro!$E539="","",IF(ISERROR(FIND("x",LOWER(Registro!$E539))),"-",IFERROR(SUMPRODUCT(--("0"&amp;LEFT(TRIM(MID(SUBSTITUTE(SUBSTITUTE(SUBSTITUTE(SUBSTITUTE(SUBSTITUTE(LOWER(Registro!$E539),"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",LEN(Registro!$E539))),({1,2,3,4,5,6,7,8,9,10,11,12,13,14,15,16,17,18,19,20,21,22,23,24,25,26,27,28,29,30}-1)*LEN(Registro!$E539)+1,LEN(Registro!$E539)))&amp;"x")-1)),--("0"&amp;MID(TRIM(MID(SUBSTITUTE(SUBSTITUTE(SUBSTITUTE(SUBSTITUTE(SUBSTITUTE(LOWER(Registro!$E539),"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",LEN(Registro!$E539))),({1,2,3,4,5,6,7,8,9,10,11,12,13,14,15,16,17,18,19,20,21,22,23,24,25,26,27,28,29,30}-1)*LEN(Registro!$E539)+1,LEN(Registro!$E539)))&amp;"x")+1,20))),"Revisar formato")))</f>
        <v/>
      </c>
      <c r="F539" s="11" t="str">
        <f>IF(Registro!$F539="","",N(Registro!$F539))</f>
        <v/>
      </c>
      <c r="G539" s="11" t="str">
        <f t="shared" si="25"/>
        <v/>
      </c>
      <c r="H539" s="10" t="str">
        <f>IF(Registro!$G539="","",IF(ISERROR(FIND("x",LOWER(Registro!$G539))),"-",IFERROR(SUMPRODUCT(--("0"&amp;LEFT(TRIM(MID(SUBSTITUTE(SUBSTITUTE(SUBSTITUTE(SUBSTITUTE(SUBSTITUTE(LOWER(Registro!$G539),"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",LEN(Registro!$G539))),({1,2,3,4,5,6,7,8,9,10,11,12,13,14,15,16,17,18,19,20,21,22,23,24,25,26,27,28,29,30}-1)*LEN(Registro!$G539)+1,LEN(Registro!$G539))),FIND("x",TRIM(MID(SUBSTITUTE(SUBSTITUTE(SUBSTITUTE(SUBSTITUTE(SUBSTITUTE(LOWER(Registro!$G539),"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",LEN(Registro!$G539))),({1,2,3,4,5,6,7,8,9,10,11,12,13,14,15,16,17,18,19,20,21,22,23,24,25,26,27,28,29,30}-1)*LEN(Registro!$G539)+1,LEN(Registro!$G539)))&amp;"x")-1))),"Revisar formato")))</f>
        <v/>
      </c>
      <c r="I539" s="11" t="str">
        <f>IF(Registro!$G539="","",IF(ISERROR(FIND("x",LOWER(Registro!$G539))),N(Registro!$H539),IFERROR(SUMPRODUCT(--("0"&amp;LEFT(TRIM(MID(SUBSTITUTE(SUBSTITUTE(SUBSTITUTE(SUBSTITUTE(SUBSTITUTE(LOWER(Registro!$G539),"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",LEN(Registro!$G539))),({1,2,3,4,5,6,7,8,9,10,11,12,13,14,15,16,17,18,19,20,21,22,23,24,25,26,27,28,29,30}-1)*LEN(Registro!$G539)+1,LEN(Registro!$G539))),FIND("x",TRIM(MID(SUBSTITUTE(SUBSTITUTE(SUBSTITUTE(SUBSTITUTE(SUBSTITUTE(LOWER(Registro!$G539),"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",LEN(Registro!$G539))),({1,2,3,4,5,6,7,8,9,10,11,12,13,14,15,16,17,18,19,20,21,22,23,24,25,26,27,28,29,30}-1)*LEN(Registro!$G539)+1,LEN(Registro!$G539)))&amp;"x")-1)),--("0"&amp;MID(TRIM(MID(SUBSTITUTE(SUBSTITUTE(SUBSTITUTE(SUBSTITUTE(SUBSTITUTE(LOWER(Registro!$G539),"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",LEN(Registro!$G539))),({1,2,3,4,5,6,7,8,9,10,11,12,13,14,15,16,17,18,19,20,21,22,23,24,25,26,27,28,29,30}-1)*LEN(Registro!$G539)+1,LEN(Registro!$G539))),FIND("x",TRIM(MID(SUBSTITUTE(SUBSTITUTE(SUBSTITUTE(SUBSTITUTE(SUBSTITUTE(LOWER(Registro!$G539),"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",LEN(Registro!$G539))),({1,2,3,4,5,6,7,8,9,10,11,12,13,14,15,16,17,18,19,20,21,22,23,24,25,26,27,28,29,30}-1)*LEN(Registro!$G539)+1,LEN(Registro!$G539)))&amp;"x")+1,20))),"Revisar formato")))</f>
        <v/>
      </c>
      <c r="J539" s="9" t="str">
        <f>IF(AND(Registro!$E539="",Registro!$G539=""),"",IF(NOT(AND(ISNUMBER(I539),ISNUMBER(Registro!$H539))),"",IF(I539&lt;Registro!$H539,"FALTA BOLETOS",IF(I539=Registro!$H539,"CONFORME","DIFERENCIA"))))</f>
        <v/>
      </c>
      <c r="K539" s="11" t="str">
        <f>IF(Registro!$I539="","",IFERROR(SUMPRODUCT(--("0"&amp;TRIM(RIGHT(SUBSTITUTE(TRIM(MID(SUBSTITUTE(SUBSTITUTE(Registro!$I539,";",CHAR(10)),CHAR(10),REPT(" ",LEN(Registro!$I539))),({1,2,3,4,5,6,7,8,9,10,11,12,13,14,15,16,17,18,19,20,21,22,23,24,25,26,27,28,29,30}-1)*LEN(Registro!$I539)+1,LEN(Registro!$I539)))," ",REPT(" ",50)),50)))),"Revisar formato"))</f>
        <v/>
      </c>
      <c r="L539" s="11" t="str">
        <f>IF(Registro!$J539="","",IFERROR(SUMPRODUCT(--("0"&amp;TRIM(RIGHT(SUBSTITUTE(TRIM(MID(SUBSTITUTE(SUBSTITUTE(Registro!$J539,";",CHAR(10)),CHAR(10),REPT(" ",LEN(Registro!$J539))),({1,2,3,4,5,6,7,8,9,10,11,12,13,14,15,16,17,18,19,20,21,22,23,24,25,26,27,28,29,30}-1)*LEN(Registro!$J539)+1,LEN(Registro!$J539)))," ",REPT(" ",50)),50)))),"Revisar formato"))</f>
        <v/>
      </c>
      <c r="M539" s="11" t="str">
        <f>IF(AND(Registro!$H539="",Registro!$I539=""),"",IF(AND(ISTEXT(K539),K539&lt;&gt;""),"Revisar formato",N(Registro!$H539)-N(K539)))</f>
        <v/>
      </c>
      <c r="N539" s="11" t="str">
        <f t="shared" si="26"/>
        <v/>
      </c>
      <c r="O539" s="15" t="str">
        <f>IF(AND(A539=Consulta!$B$3,C539=Consulta!$H$3),B539*10000+ROW(),"")</f>
        <v/>
      </c>
    </row>
    <row r="540" spans="1:15" x14ac:dyDescent="0.25">
      <c r="A540" s="9" t="str">
        <f>IF(Registro!$A540="","",Registro!$A540)</f>
        <v/>
      </c>
      <c r="B540" s="8" t="str">
        <f>IF(Registro!$B540="","",Registro!$B540)</f>
        <v/>
      </c>
      <c r="C540" s="14" t="str">
        <f t="shared" si="24"/>
        <v/>
      </c>
      <c r="D540" s="10" t="str">
        <f>IF(Registro!$E540="","",IF(ISERROR(FIND("x",LOWER(Registro!$E540))),"-",IFERROR(SUMPRODUCT(--("0"&amp;LEFT(TRIM(MID(SUBSTITUTE(SUBSTITUTE(SUBSTITUTE(SUBSTITUTE(SUBSTITUTE(LOWER(Registro!$E540),"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",LEN(Registro!$E540))),({1,2,3,4,5,6,7,8,9,10,11,12,13,14,15,16,17,18,19,20,21,22,23,24,25,26,27,28,29,30}-1)*LEN(Registro!$E540)+1,LEN(Registro!$E540)))&amp;"x")-1))),"Revisar formato")))</f>
        <v/>
      </c>
      <c r="E540" s="11" t="str">
        <f>IF(Registro!$E540="","",IF(ISERROR(FIND("x",LOWER(Registro!$E540))),"-",IFERROR(SUMPRODUCT(--("0"&amp;LEFT(TRIM(MID(SUBSTITUTE(SUBSTITUTE(SUBSTITUTE(SUBSTITUTE(SUBSTITUTE(LOWER(Registro!$E540),"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",LEN(Registro!$E540))),({1,2,3,4,5,6,7,8,9,10,11,12,13,14,15,16,17,18,19,20,21,22,23,24,25,26,27,28,29,30}-1)*LEN(Registro!$E540)+1,LEN(Registro!$E540)))&amp;"x")-1)),--("0"&amp;MID(TRIM(MID(SUBSTITUTE(SUBSTITUTE(SUBSTITUTE(SUBSTITUTE(SUBSTITUTE(LOWER(Registro!$E540),"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",LEN(Registro!$E540))),({1,2,3,4,5,6,7,8,9,10,11,12,13,14,15,16,17,18,19,20,21,22,23,24,25,26,27,28,29,30}-1)*LEN(Registro!$E540)+1,LEN(Registro!$E540)))&amp;"x")+1,20))),"Revisar formato")))</f>
        <v/>
      </c>
      <c r="F540" s="11" t="str">
        <f>IF(Registro!$F540="","",N(Registro!$F540))</f>
        <v/>
      </c>
      <c r="G540" s="11" t="str">
        <f t="shared" si="25"/>
        <v/>
      </c>
      <c r="H540" s="10" t="str">
        <f>IF(Registro!$G540="","",IF(ISERROR(FIND("x",LOWER(Registro!$G540))),"-",IFERROR(SUMPRODUCT(--("0"&amp;LEFT(TRIM(MID(SUBSTITUTE(SUBSTITUTE(SUBSTITUTE(SUBSTITUTE(SUBSTITUTE(LOWER(Registro!$G540),"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",LEN(Registro!$G540))),({1,2,3,4,5,6,7,8,9,10,11,12,13,14,15,16,17,18,19,20,21,22,23,24,25,26,27,28,29,30}-1)*LEN(Registro!$G540)+1,LEN(Registro!$G540))),FIND("x",TRIM(MID(SUBSTITUTE(SUBSTITUTE(SUBSTITUTE(SUBSTITUTE(SUBSTITUTE(LOWER(Registro!$G540),"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",LEN(Registro!$G540))),({1,2,3,4,5,6,7,8,9,10,11,12,13,14,15,16,17,18,19,20,21,22,23,24,25,26,27,28,29,30}-1)*LEN(Registro!$G540)+1,LEN(Registro!$G540)))&amp;"x")-1))),"Revisar formato")))</f>
        <v/>
      </c>
      <c r="I540" s="11" t="str">
        <f>IF(Registro!$G540="","",IF(ISERROR(FIND("x",LOWER(Registro!$G540))),N(Registro!$H540),IFERROR(SUMPRODUCT(--("0"&amp;LEFT(TRIM(MID(SUBSTITUTE(SUBSTITUTE(SUBSTITUTE(SUBSTITUTE(SUBSTITUTE(LOWER(Registro!$G540),"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",LEN(Registro!$G540))),({1,2,3,4,5,6,7,8,9,10,11,12,13,14,15,16,17,18,19,20,21,22,23,24,25,26,27,28,29,30}-1)*LEN(Registro!$G540)+1,LEN(Registro!$G540))),FIND("x",TRIM(MID(SUBSTITUTE(SUBSTITUTE(SUBSTITUTE(SUBSTITUTE(SUBSTITUTE(LOWER(Registro!$G540),"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",LEN(Registro!$G540))),({1,2,3,4,5,6,7,8,9,10,11,12,13,14,15,16,17,18,19,20,21,22,23,24,25,26,27,28,29,30}-1)*LEN(Registro!$G540)+1,LEN(Registro!$G540)))&amp;"x")-1)),--("0"&amp;MID(TRIM(MID(SUBSTITUTE(SUBSTITUTE(SUBSTITUTE(SUBSTITUTE(SUBSTITUTE(LOWER(Registro!$G540),"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",LEN(Registro!$G540))),({1,2,3,4,5,6,7,8,9,10,11,12,13,14,15,16,17,18,19,20,21,22,23,24,25,26,27,28,29,30}-1)*LEN(Registro!$G540)+1,LEN(Registro!$G540))),FIND("x",TRIM(MID(SUBSTITUTE(SUBSTITUTE(SUBSTITUTE(SUBSTITUTE(SUBSTITUTE(LOWER(Registro!$G540),"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",LEN(Registro!$G540))),({1,2,3,4,5,6,7,8,9,10,11,12,13,14,15,16,17,18,19,20,21,22,23,24,25,26,27,28,29,30}-1)*LEN(Registro!$G540)+1,LEN(Registro!$G540)))&amp;"x")+1,20))),"Revisar formato")))</f>
        <v/>
      </c>
      <c r="J540" s="9" t="str">
        <f>IF(AND(Registro!$E540="",Registro!$G540=""),"",IF(NOT(AND(ISNUMBER(I540),ISNUMBER(Registro!$H540))),"",IF(I540&lt;Registro!$H540,"FALTA BOLETOS",IF(I540=Registro!$H540,"CONFORME","DIFERENCIA"))))</f>
        <v/>
      </c>
      <c r="K540" s="11" t="str">
        <f>IF(Registro!$I540="","",IFERROR(SUMPRODUCT(--("0"&amp;TRIM(RIGHT(SUBSTITUTE(TRIM(MID(SUBSTITUTE(SUBSTITUTE(Registro!$I540,";",CHAR(10)),CHAR(10),REPT(" ",LEN(Registro!$I540))),({1,2,3,4,5,6,7,8,9,10,11,12,13,14,15,16,17,18,19,20,21,22,23,24,25,26,27,28,29,30}-1)*LEN(Registro!$I540)+1,LEN(Registro!$I540)))," ",REPT(" ",50)),50)))),"Revisar formato"))</f>
        <v/>
      </c>
      <c r="L540" s="11" t="str">
        <f>IF(Registro!$J540="","",IFERROR(SUMPRODUCT(--("0"&amp;TRIM(RIGHT(SUBSTITUTE(TRIM(MID(SUBSTITUTE(SUBSTITUTE(Registro!$J540,";",CHAR(10)),CHAR(10),REPT(" ",LEN(Registro!$J540))),({1,2,3,4,5,6,7,8,9,10,11,12,13,14,15,16,17,18,19,20,21,22,23,24,25,26,27,28,29,30}-1)*LEN(Registro!$J540)+1,LEN(Registro!$J540)))," ",REPT(" ",50)),50)))),"Revisar formato"))</f>
        <v/>
      </c>
      <c r="M540" s="11" t="str">
        <f>IF(AND(Registro!$H540="",Registro!$I540=""),"",IF(AND(ISTEXT(K540),K540&lt;&gt;""),"Revisar formato",N(Registro!$H540)-N(K540)))</f>
        <v/>
      </c>
      <c r="N540" s="11" t="str">
        <f t="shared" si="26"/>
        <v/>
      </c>
      <c r="O540" s="15" t="str">
        <f>IF(AND(A540=Consulta!$B$3,C540=Consulta!$H$3),B540*10000+ROW(),"")</f>
        <v/>
      </c>
    </row>
    <row r="541" spans="1:15" x14ac:dyDescent="0.25">
      <c r="A541" s="9" t="str">
        <f>IF(Registro!$A541="","",Registro!$A541)</f>
        <v/>
      </c>
      <c r="B541" s="8" t="str">
        <f>IF(Registro!$B541="","",Registro!$B541)</f>
        <v/>
      </c>
      <c r="C541" s="14" t="str">
        <f t="shared" si="24"/>
        <v/>
      </c>
      <c r="D541" s="10" t="str">
        <f>IF(Registro!$E541="","",IF(ISERROR(FIND("x",LOWER(Registro!$E541))),"-",IFERROR(SUMPRODUCT(--("0"&amp;LEFT(TRIM(MID(SUBSTITUTE(SUBSTITUTE(SUBSTITUTE(SUBSTITUTE(SUBSTITUTE(LOWER(Registro!$E541),"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",LEN(Registro!$E541))),({1,2,3,4,5,6,7,8,9,10,11,12,13,14,15,16,17,18,19,20,21,22,23,24,25,26,27,28,29,30}-1)*LEN(Registro!$E541)+1,LEN(Registro!$E541)))&amp;"x")-1))),"Revisar formato")))</f>
        <v/>
      </c>
      <c r="E541" s="11" t="str">
        <f>IF(Registro!$E541="","",IF(ISERROR(FIND("x",LOWER(Registro!$E541))),"-",IFERROR(SUMPRODUCT(--("0"&amp;LEFT(TRIM(MID(SUBSTITUTE(SUBSTITUTE(SUBSTITUTE(SUBSTITUTE(SUBSTITUTE(LOWER(Registro!$E541),"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",LEN(Registro!$E541))),({1,2,3,4,5,6,7,8,9,10,11,12,13,14,15,16,17,18,19,20,21,22,23,24,25,26,27,28,29,30}-1)*LEN(Registro!$E541)+1,LEN(Registro!$E541)))&amp;"x")-1)),--("0"&amp;MID(TRIM(MID(SUBSTITUTE(SUBSTITUTE(SUBSTITUTE(SUBSTITUTE(SUBSTITUTE(LOWER(Registro!$E541),"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",LEN(Registro!$E541))),({1,2,3,4,5,6,7,8,9,10,11,12,13,14,15,16,17,18,19,20,21,22,23,24,25,26,27,28,29,30}-1)*LEN(Registro!$E541)+1,LEN(Registro!$E541)))&amp;"x")+1,20))),"Revisar formato")))</f>
        <v/>
      </c>
      <c r="F541" s="11" t="str">
        <f>IF(Registro!$F541="","",N(Registro!$F541))</f>
        <v/>
      </c>
      <c r="G541" s="11" t="str">
        <f t="shared" si="25"/>
        <v/>
      </c>
      <c r="H541" s="10" t="str">
        <f>IF(Registro!$G541="","",IF(ISERROR(FIND("x",LOWER(Registro!$G541))),"-",IFERROR(SUMPRODUCT(--("0"&amp;LEFT(TRIM(MID(SUBSTITUTE(SUBSTITUTE(SUBSTITUTE(SUBSTITUTE(SUBSTITUTE(LOWER(Registro!$G541),"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",LEN(Registro!$G541))),({1,2,3,4,5,6,7,8,9,10,11,12,13,14,15,16,17,18,19,20,21,22,23,24,25,26,27,28,29,30}-1)*LEN(Registro!$G541)+1,LEN(Registro!$G541))),FIND("x",TRIM(MID(SUBSTITUTE(SUBSTITUTE(SUBSTITUTE(SUBSTITUTE(SUBSTITUTE(LOWER(Registro!$G541),"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",LEN(Registro!$G541))),({1,2,3,4,5,6,7,8,9,10,11,12,13,14,15,16,17,18,19,20,21,22,23,24,25,26,27,28,29,30}-1)*LEN(Registro!$G541)+1,LEN(Registro!$G541)))&amp;"x")-1))),"Revisar formato")))</f>
        <v/>
      </c>
      <c r="I541" s="11" t="str">
        <f>IF(Registro!$G541="","",IF(ISERROR(FIND("x",LOWER(Registro!$G541))),N(Registro!$H541),IFERROR(SUMPRODUCT(--("0"&amp;LEFT(TRIM(MID(SUBSTITUTE(SUBSTITUTE(SUBSTITUTE(SUBSTITUTE(SUBSTITUTE(LOWER(Registro!$G541),"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",LEN(Registro!$G541))),({1,2,3,4,5,6,7,8,9,10,11,12,13,14,15,16,17,18,19,20,21,22,23,24,25,26,27,28,29,30}-1)*LEN(Registro!$G541)+1,LEN(Registro!$G541))),FIND("x",TRIM(MID(SUBSTITUTE(SUBSTITUTE(SUBSTITUTE(SUBSTITUTE(SUBSTITUTE(LOWER(Registro!$G541),"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",LEN(Registro!$G541))),({1,2,3,4,5,6,7,8,9,10,11,12,13,14,15,16,17,18,19,20,21,22,23,24,25,26,27,28,29,30}-1)*LEN(Registro!$G541)+1,LEN(Registro!$G541)))&amp;"x")-1)),--("0"&amp;MID(TRIM(MID(SUBSTITUTE(SUBSTITUTE(SUBSTITUTE(SUBSTITUTE(SUBSTITUTE(LOWER(Registro!$G541),"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",LEN(Registro!$G541))),({1,2,3,4,5,6,7,8,9,10,11,12,13,14,15,16,17,18,19,20,21,22,23,24,25,26,27,28,29,30}-1)*LEN(Registro!$G541)+1,LEN(Registro!$G541))),FIND("x",TRIM(MID(SUBSTITUTE(SUBSTITUTE(SUBSTITUTE(SUBSTITUTE(SUBSTITUTE(LOWER(Registro!$G541),"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",LEN(Registro!$G541))),({1,2,3,4,5,6,7,8,9,10,11,12,13,14,15,16,17,18,19,20,21,22,23,24,25,26,27,28,29,30}-1)*LEN(Registro!$G541)+1,LEN(Registro!$G541)))&amp;"x")+1,20))),"Revisar formato")))</f>
        <v/>
      </c>
      <c r="J541" s="9" t="str">
        <f>IF(AND(Registro!$E541="",Registro!$G541=""),"",IF(NOT(AND(ISNUMBER(I541),ISNUMBER(Registro!$H541))),"",IF(I541&lt;Registro!$H541,"FALTA BOLETOS",IF(I541=Registro!$H541,"CONFORME","DIFERENCIA"))))</f>
        <v/>
      </c>
      <c r="K541" s="11" t="str">
        <f>IF(Registro!$I541="","",IFERROR(SUMPRODUCT(--("0"&amp;TRIM(RIGHT(SUBSTITUTE(TRIM(MID(SUBSTITUTE(SUBSTITUTE(Registro!$I541,";",CHAR(10)),CHAR(10),REPT(" ",LEN(Registro!$I541))),({1,2,3,4,5,6,7,8,9,10,11,12,13,14,15,16,17,18,19,20,21,22,23,24,25,26,27,28,29,30}-1)*LEN(Registro!$I541)+1,LEN(Registro!$I541)))," ",REPT(" ",50)),50)))),"Revisar formato"))</f>
        <v/>
      </c>
      <c r="L541" s="11" t="str">
        <f>IF(Registro!$J541="","",IFERROR(SUMPRODUCT(--("0"&amp;TRIM(RIGHT(SUBSTITUTE(TRIM(MID(SUBSTITUTE(SUBSTITUTE(Registro!$J541,";",CHAR(10)),CHAR(10),REPT(" ",LEN(Registro!$J541))),({1,2,3,4,5,6,7,8,9,10,11,12,13,14,15,16,17,18,19,20,21,22,23,24,25,26,27,28,29,30}-1)*LEN(Registro!$J541)+1,LEN(Registro!$J541)))," ",REPT(" ",50)),50)))),"Revisar formato"))</f>
        <v/>
      </c>
      <c r="M541" s="11" t="str">
        <f>IF(AND(Registro!$H541="",Registro!$I541=""),"",IF(AND(ISTEXT(K541),K541&lt;&gt;""),"Revisar formato",N(Registro!$H541)-N(K541)))</f>
        <v/>
      </c>
      <c r="N541" s="11" t="str">
        <f t="shared" si="26"/>
        <v/>
      </c>
      <c r="O541" s="15" t="str">
        <f>IF(AND(A541=Consulta!$B$3,C541=Consulta!$H$3),B541*10000+ROW(),"")</f>
        <v/>
      </c>
    </row>
    <row r="542" spans="1:15" x14ac:dyDescent="0.25">
      <c r="A542" s="9" t="str">
        <f>IF(Registro!$A542="","",Registro!$A542)</f>
        <v/>
      </c>
      <c r="B542" s="8" t="str">
        <f>IF(Registro!$B542="","",Registro!$B542)</f>
        <v/>
      </c>
      <c r="C542" s="14" t="str">
        <f t="shared" si="24"/>
        <v/>
      </c>
      <c r="D542" s="10" t="str">
        <f>IF(Registro!$E542="","",IF(ISERROR(FIND("x",LOWER(Registro!$E542))),"-",IFERROR(SUMPRODUCT(--("0"&amp;LEFT(TRIM(MID(SUBSTITUTE(SUBSTITUTE(SUBSTITUTE(SUBSTITUTE(SUBSTITUTE(LOWER(Registro!$E542),"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",LEN(Registro!$E542))),({1,2,3,4,5,6,7,8,9,10,11,12,13,14,15,16,17,18,19,20,21,22,23,24,25,26,27,28,29,30}-1)*LEN(Registro!$E542)+1,LEN(Registro!$E542)))&amp;"x")-1))),"Revisar formato")))</f>
        <v/>
      </c>
      <c r="E542" s="11" t="str">
        <f>IF(Registro!$E542="","",IF(ISERROR(FIND("x",LOWER(Registro!$E542))),"-",IFERROR(SUMPRODUCT(--("0"&amp;LEFT(TRIM(MID(SUBSTITUTE(SUBSTITUTE(SUBSTITUTE(SUBSTITUTE(SUBSTITUTE(LOWER(Registro!$E542),"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",LEN(Registro!$E542))),({1,2,3,4,5,6,7,8,9,10,11,12,13,14,15,16,17,18,19,20,21,22,23,24,25,26,27,28,29,30}-1)*LEN(Registro!$E542)+1,LEN(Registro!$E542)))&amp;"x")-1)),--("0"&amp;MID(TRIM(MID(SUBSTITUTE(SUBSTITUTE(SUBSTITUTE(SUBSTITUTE(SUBSTITUTE(LOWER(Registro!$E542),"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",LEN(Registro!$E542))),({1,2,3,4,5,6,7,8,9,10,11,12,13,14,15,16,17,18,19,20,21,22,23,24,25,26,27,28,29,30}-1)*LEN(Registro!$E542)+1,LEN(Registro!$E542)))&amp;"x")+1,20))),"Revisar formato")))</f>
        <v/>
      </c>
      <c r="F542" s="11" t="str">
        <f>IF(Registro!$F542="","",N(Registro!$F542))</f>
        <v/>
      </c>
      <c r="G542" s="11" t="str">
        <f t="shared" si="25"/>
        <v/>
      </c>
      <c r="H542" s="10" t="str">
        <f>IF(Registro!$G542="","",IF(ISERROR(FIND("x",LOWER(Registro!$G542))),"-",IFERROR(SUMPRODUCT(--("0"&amp;LEFT(TRIM(MID(SUBSTITUTE(SUBSTITUTE(SUBSTITUTE(SUBSTITUTE(SUBSTITUTE(LOWER(Registro!$G542),"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",LEN(Registro!$G542))),({1,2,3,4,5,6,7,8,9,10,11,12,13,14,15,16,17,18,19,20,21,22,23,24,25,26,27,28,29,30}-1)*LEN(Registro!$G542)+1,LEN(Registro!$G542))),FIND("x",TRIM(MID(SUBSTITUTE(SUBSTITUTE(SUBSTITUTE(SUBSTITUTE(SUBSTITUTE(LOWER(Registro!$G542),"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",LEN(Registro!$G542))),({1,2,3,4,5,6,7,8,9,10,11,12,13,14,15,16,17,18,19,20,21,22,23,24,25,26,27,28,29,30}-1)*LEN(Registro!$G542)+1,LEN(Registro!$G542)))&amp;"x")-1))),"Revisar formato")))</f>
        <v/>
      </c>
      <c r="I542" s="11" t="str">
        <f>IF(Registro!$G542="","",IF(ISERROR(FIND("x",LOWER(Registro!$G542))),N(Registro!$H542),IFERROR(SUMPRODUCT(--("0"&amp;LEFT(TRIM(MID(SUBSTITUTE(SUBSTITUTE(SUBSTITUTE(SUBSTITUTE(SUBSTITUTE(LOWER(Registro!$G542),"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",LEN(Registro!$G542))),({1,2,3,4,5,6,7,8,9,10,11,12,13,14,15,16,17,18,19,20,21,22,23,24,25,26,27,28,29,30}-1)*LEN(Registro!$G542)+1,LEN(Registro!$G542))),FIND("x",TRIM(MID(SUBSTITUTE(SUBSTITUTE(SUBSTITUTE(SUBSTITUTE(SUBSTITUTE(LOWER(Registro!$G542),"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",LEN(Registro!$G542))),({1,2,3,4,5,6,7,8,9,10,11,12,13,14,15,16,17,18,19,20,21,22,23,24,25,26,27,28,29,30}-1)*LEN(Registro!$G542)+1,LEN(Registro!$G542)))&amp;"x")-1)),--("0"&amp;MID(TRIM(MID(SUBSTITUTE(SUBSTITUTE(SUBSTITUTE(SUBSTITUTE(SUBSTITUTE(LOWER(Registro!$G542),"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",LEN(Registro!$G542))),({1,2,3,4,5,6,7,8,9,10,11,12,13,14,15,16,17,18,19,20,21,22,23,24,25,26,27,28,29,30}-1)*LEN(Registro!$G542)+1,LEN(Registro!$G542))),FIND("x",TRIM(MID(SUBSTITUTE(SUBSTITUTE(SUBSTITUTE(SUBSTITUTE(SUBSTITUTE(LOWER(Registro!$G542),"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",LEN(Registro!$G542))),({1,2,3,4,5,6,7,8,9,10,11,12,13,14,15,16,17,18,19,20,21,22,23,24,25,26,27,28,29,30}-1)*LEN(Registro!$G542)+1,LEN(Registro!$G542)))&amp;"x")+1,20))),"Revisar formato")))</f>
        <v/>
      </c>
      <c r="J542" s="9" t="str">
        <f>IF(AND(Registro!$E542="",Registro!$G542=""),"",IF(NOT(AND(ISNUMBER(I542),ISNUMBER(Registro!$H542))),"",IF(I542&lt;Registro!$H542,"FALTA BOLETOS",IF(I542=Registro!$H542,"CONFORME","DIFERENCIA"))))</f>
        <v/>
      </c>
      <c r="K542" s="11" t="str">
        <f>IF(Registro!$I542="","",IFERROR(SUMPRODUCT(--("0"&amp;TRIM(RIGHT(SUBSTITUTE(TRIM(MID(SUBSTITUTE(SUBSTITUTE(Registro!$I542,";",CHAR(10)),CHAR(10),REPT(" ",LEN(Registro!$I542))),({1,2,3,4,5,6,7,8,9,10,11,12,13,14,15,16,17,18,19,20,21,22,23,24,25,26,27,28,29,30}-1)*LEN(Registro!$I542)+1,LEN(Registro!$I542)))," ",REPT(" ",50)),50)))),"Revisar formato"))</f>
        <v/>
      </c>
      <c r="L542" s="11" t="str">
        <f>IF(Registro!$J542="","",IFERROR(SUMPRODUCT(--("0"&amp;TRIM(RIGHT(SUBSTITUTE(TRIM(MID(SUBSTITUTE(SUBSTITUTE(Registro!$J542,";",CHAR(10)),CHAR(10),REPT(" ",LEN(Registro!$J542))),({1,2,3,4,5,6,7,8,9,10,11,12,13,14,15,16,17,18,19,20,21,22,23,24,25,26,27,28,29,30}-1)*LEN(Registro!$J542)+1,LEN(Registro!$J542)))," ",REPT(" ",50)),50)))),"Revisar formato"))</f>
        <v/>
      </c>
      <c r="M542" s="11" t="str">
        <f>IF(AND(Registro!$H542="",Registro!$I542=""),"",IF(AND(ISTEXT(K542),K542&lt;&gt;""),"Revisar formato",N(Registro!$H542)-N(K542)))</f>
        <v/>
      </c>
      <c r="N542" s="11" t="str">
        <f t="shared" si="26"/>
        <v/>
      </c>
      <c r="O542" s="15" t="str">
        <f>IF(AND(A542=Consulta!$B$3,C542=Consulta!$H$3),B542*10000+ROW(),"")</f>
        <v/>
      </c>
    </row>
    <row r="543" spans="1:15" x14ac:dyDescent="0.25">
      <c r="A543" s="9" t="str">
        <f>IF(Registro!$A543="","",Registro!$A543)</f>
        <v/>
      </c>
      <c r="B543" s="8" t="str">
        <f>IF(Registro!$B543="","",Registro!$B543)</f>
        <v/>
      </c>
      <c r="C543" s="14" t="str">
        <f t="shared" si="24"/>
        <v/>
      </c>
      <c r="D543" s="10" t="str">
        <f>IF(Registro!$E543="","",IF(ISERROR(FIND("x",LOWER(Registro!$E543))),"-",IFERROR(SUMPRODUCT(--("0"&amp;LEFT(TRIM(MID(SUBSTITUTE(SUBSTITUTE(SUBSTITUTE(SUBSTITUTE(SUBSTITUTE(LOWER(Registro!$E543),"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",LEN(Registro!$E543))),({1,2,3,4,5,6,7,8,9,10,11,12,13,14,15,16,17,18,19,20,21,22,23,24,25,26,27,28,29,30}-1)*LEN(Registro!$E543)+1,LEN(Registro!$E543)))&amp;"x")-1))),"Revisar formato")))</f>
        <v/>
      </c>
      <c r="E543" s="11" t="str">
        <f>IF(Registro!$E543="","",IF(ISERROR(FIND("x",LOWER(Registro!$E543))),"-",IFERROR(SUMPRODUCT(--("0"&amp;LEFT(TRIM(MID(SUBSTITUTE(SUBSTITUTE(SUBSTITUTE(SUBSTITUTE(SUBSTITUTE(LOWER(Registro!$E543),"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",LEN(Registro!$E543))),({1,2,3,4,5,6,7,8,9,10,11,12,13,14,15,16,17,18,19,20,21,22,23,24,25,26,27,28,29,30}-1)*LEN(Registro!$E543)+1,LEN(Registro!$E543)))&amp;"x")-1)),--("0"&amp;MID(TRIM(MID(SUBSTITUTE(SUBSTITUTE(SUBSTITUTE(SUBSTITUTE(SUBSTITUTE(LOWER(Registro!$E543),"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",LEN(Registro!$E543))),({1,2,3,4,5,6,7,8,9,10,11,12,13,14,15,16,17,18,19,20,21,22,23,24,25,26,27,28,29,30}-1)*LEN(Registro!$E543)+1,LEN(Registro!$E543)))&amp;"x")+1,20))),"Revisar formato")))</f>
        <v/>
      </c>
      <c r="F543" s="11" t="str">
        <f>IF(Registro!$F543="","",N(Registro!$F543))</f>
        <v/>
      </c>
      <c r="G543" s="11" t="str">
        <f t="shared" si="25"/>
        <v/>
      </c>
      <c r="H543" s="10" t="str">
        <f>IF(Registro!$G543="","",IF(ISERROR(FIND("x",LOWER(Registro!$G543))),"-",IFERROR(SUMPRODUCT(--("0"&amp;LEFT(TRIM(MID(SUBSTITUTE(SUBSTITUTE(SUBSTITUTE(SUBSTITUTE(SUBSTITUTE(LOWER(Registro!$G543),"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",LEN(Registro!$G543))),({1,2,3,4,5,6,7,8,9,10,11,12,13,14,15,16,17,18,19,20,21,22,23,24,25,26,27,28,29,30}-1)*LEN(Registro!$G543)+1,LEN(Registro!$G543))),FIND("x",TRIM(MID(SUBSTITUTE(SUBSTITUTE(SUBSTITUTE(SUBSTITUTE(SUBSTITUTE(LOWER(Registro!$G543),"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",LEN(Registro!$G543))),({1,2,3,4,5,6,7,8,9,10,11,12,13,14,15,16,17,18,19,20,21,22,23,24,25,26,27,28,29,30}-1)*LEN(Registro!$G543)+1,LEN(Registro!$G543)))&amp;"x")-1))),"Revisar formato")))</f>
        <v/>
      </c>
      <c r="I543" s="11" t="str">
        <f>IF(Registro!$G543="","",IF(ISERROR(FIND("x",LOWER(Registro!$G543))),N(Registro!$H543),IFERROR(SUMPRODUCT(--("0"&amp;LEFT(TRIM(MID(SUBSTITUTE(SUBSTITUTE(SUBSTITUTE(SUBSTITUTE(SUBSTITUTE(LOWER(Registro!$G543),"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",LEN(Registro!$G543))),({1,2,3,4,5,6,7,8,9,10,11,12,13,14,15,16,17,18,19,20,21,22,23,24,25,26,27,28,29,30}-1)*LEN(Registro!$G543)+1,LEN(Registro!$G543))),FIND("x",TRIM(MID(SUBSTITUTE(SUBSTITUTE(SUBSTITUTE(SUBSTITUTE(SUBSTITUTE(LOWER(Registro!$G543),"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",LEN(Registro!$G543))),({1,2,3,4,5,6,7,8,9,10,11,12,13,14,15,16,17,18,19,20,21,22,23,24,25,26,27,28,29,30}-1)*LEN(Registro!$G543)+1,LEN(Registro!$G543)))&amp;"x")-1)),--("0"&amp;MID(TRIM(MID(SUBSTITUTE(SUBSTITUTE(SUBSTITUTE(SUBSTITUTE(SUBSTITUTE(LOWER(Registro!$G543),"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",LEN(Registro!$G543))),({1,2,3,4,5,6,7,8,9,10,11,12,13,14,15,16,17,18,19,20,21,22,23,24,25,26,27,28,29,30}-1)*LEN(Registro!$G543)+1,LEN(Registro!$G543))),FIND("x",TRIM(MID(SUBSTITUTE(SUBSTITUTE(SUBSTITUTE(SUBSTITUTE(SUBSTITUTE(LOWER(Registro!$G543),"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",LEN(Registro!$G543))),({1,2,3,4,5,6,7,8,9,10,11,12,13,14,15,16,17,18,19,20,21,22,23,24,25,26,27,28,29,30}-1)*LEN(Registro!$G543)+1,LEN(Registro!$G543)))&amp;"x")+1,20))),"Revisar formato")))</f>
        <v/>
      </c>
      <c r="J543" s="9" t="str">
        <f>IF(AND(Registro!$E543="",Registro!$G543=""),"",IF(NOT(AND(ISNUMBER(I543),ISNUMBER(Registro!$H543))),"",IF(I543&lt;Registro!$H543,"FALTA BOLETOS",IF(I543=Registro!$H543,"CONFORME","DIFERENCIA"))))</f>
        <v/>
      </c>
      <c r="K543" s="11" t="str">
        <f>IF(Registro!$I543="","",IFERROR(SUMPRODUCT(--("0"&amp;TRIM(RIGHT(SUBSTITUTE(TRIM(MID(SUBSTITUTE(SUBSTITUTE(Registro!$I543,";",CHAR(10)),CHAR(10),REPT(" ",LEN(Registro!$I543))),({1,2,3,4,5,6,7,8,9,10,11,12,13,14,15,16,17,18,19,20,21,22,23,24,25,26,27,28,29,30}-1)*LEN(Registro!$I543)+1,LEN(Registro!$I543)))," ",REPT(" ",50)),50)))),"Revisar formato"))</f>
        <v/>
      </c>
      <c r="L543" s="11" t="str">
        <f>IF(Registro!$J543="","",IFERROR(SUMPRODUCT(--("0"&amp;TRIM(RIGHT(SUBSTITUTE(TRIM(MID(SUBSTITUTE(SUBSTITUTE(Registro!$J543,";",CHAR(10)),CHAR(10),REPT(" ",LEN(Registro!$J543))),({1,2,3,4,5,6,7,8,9,10,11,12,13,14,15,16,17,18,19,20,21,22,23,24,25,26,27,28,29,30}-1)*LEN(Registro!$J543)+1,LEN(Registro!$J543)))," ",REPT(" ",50)),50)))),"Revisar formato"))</f>
        <v/>
      </c>
      <c r="M543" s="11" t="str">
        <f>IF(AND(Registro!$H543="",Registro!$I543=""),"",IF(AND(ISTEXT(K543),K543&lt;&gt;""),"Revisar formato",N(Registro!$H543)-N(K543)))</f>
        <v/>
      </c>
      <c r="N543" s="11" t="str">
        <f t="shared" si="26"/>
        <v/>
      </c>
      <c r="O543" s="15" t="str">
        <f>IF(AND(A543=Consulta!$B$3,C543=Consulta!$H$3),B543*10000+ROW(),"")</f>
        <v/>
      </c>
    </row>
    <row r="544" spans="1:15" x14ac:dyDescent="0.25">
      <c r="A544" s="9" t="str">
        <f>IF(Registro!$A544="","",Registro!$A544)</f>
        <v/>
      </c>
      <c r="B544" s="8" t="str">
        <f>IF(Registro!$B544="","",Registro!$B544)</f>
        <v/>
      </c>
      <c r="C544" s="14" t="str">
        <f t="shared" si="24"/>
        <v/>
      </c>
      <c r="D544" s="10" t="str">
        <f>IF(Registro!$E544="","",IF(ISERROR(FIND("x",LOWER(Registro!$E544))),"-",IFERROR(SUMPRODUCT(--("0"&amp;LEFT(TRIM(MID(SUBSTITUTE(SUBSTITUTE(SUBSTITUTE(SUBSTITUTE(SUBSTITUTE(LOWER(Registro!$E544),"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",LEN(Registro!$E544))),({1,2,3,4,5,6,7,8,9,10,11,12,13,14,15,16,17,18,19,20,21,22,23,24,25,26,27,28,29,30}-1)*LEN(Registro!$E544)+1,LEN(Registro!$E544)))&amp;"x")-1))),"Revisar formato")))</f>
        <v/>
      </c>
      <c r="E544" s="11" t="str">
        <f>IF(Registro!$E544="","",IF(ISERROR(FIND("x",LOWER(Registro!$E544))),"-",IFERROR(SUMPRODUCT(--("0"&amp;LEFT(TRIM(MID(SUBSTITUTE(SUBSTITUTE(SUBSTITUTE(SUBSTITUTE(SUBSTITUTE(LOWER(Registro!$E544),"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",LEN(Registro!$E544))),({1,2,3,4,5,6,7,8,9,10,11,12,13,14,15,16,17,18,19,20,21,22,23,24,25,26,27,28,29,30}-1)*LEN(Registro!$E544)+1,LEN(Registro!$E544)))&amp;"x")-1)),--("0"&amp;MID(TRIM(MID(SUBSTITUTE(SUBSTITUTE(SUBSTITUTE(SUBSTITUTE(SUBSTITUTE(LOWER(Registro!$E544),"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",LEN(Registro!$E544))),({1,2,3,4,5,6,7,8,9,10,11,12,13,14,15,16,17,18,19,20,21,22,23,24,25,26,27,28,29,30}-1)*LEN(Registro!$E544)+1,LEN(Registro!$E544)))&amp;"x")+1,20))),"Revisar formato")))</f>
        <v/>
      </c>
      <c r="F544" s="11" t="str">
        <f>IF(Registro!$F544="","",N(Registro!$F544))</f>
        <v/>
      </c>
      <c r="G544" s="11" t="str">
        <f t="shared" si="25"/>
        <v/>
      </c>
      <c r="H544" s="10" t="str">
        <f>IF(Registro!$G544="","",IF(ISERROR(FIND("x",LOWER(Registro!$G544))),"-",IFERROR(SUMPRODUCT(--("0"&amp;LEFT(TRIM(MID(SUBSTITUTE(SUBSTITUTE(SUBSTITUTE(SUBSTITUTE(SUBSTITUTE(LOWER(Registro!$G544),"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",LEN(Registro!$G544))),({1,2,3,4,5,6,7,8,9,10,11,12,13,14,15,16,17,18,19,20,21,22,23,24,25,26,27,28,29,30}-1)*LEN(Registro!$G544)+1,LEN(Registro!$G544))),FIND("x",TRIM(MID(SUBSTITUTE(SUBSTITUTE(SUBSTITUTE(SUBSTITUTE(SUBSTITUTE(LOWER(Registro!$G544),"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",LEN(Registro!$G544))),({1,2,3,4,5,6,7,8,9,10,11,12,13,14,15,16,17,18,19,20,21,22,23,24,25,26,27,28,29,30}-1)*LEN(Registro!$G544)+1,LEN(Registro!$G544)))&amp;"x")-1))),"Revisar formato")))</f>
        <v/>
      </c>
      <c r="I544" s="11" t="str">
        <f>IF(Registro!$G544="","",IF(ISERROR(FIND("x",LOWER(Registro!$G544))),N(Registro!$H544),IFERROR(SUMPRODUCT(--("0"&amp;LEFT(TRIM(MID(SUBSTITUTE(SUBSTITUTE(SUBSTITUTE(SUBSTITUTE(SUBSTITUTE(LOWER(Registro!$G544),"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",LEN(Registro!$G544))),({1,2,3,4,5,6,7,8,9,10,11,12,13,14,15,16,17,18,19,20,21,22,23,24,25,26,27,28,29,30}-1)*LEN(Registro!$G544)+1,LEN(Registro!$G544))),FIND("x",TRIM(MID(SUBSTITUTE(SUBSTITUTE(SUBSTITUTE(SUBSTITUTE(SUBSTITUTE(LOWER(Registro!$G544),"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",LEN(Registro!$G544))),({1,2,3,4,5,6,7,8,9,10,11,12,13,14,15,16,17,18,19,20,21,22,23,24,25,26,27,28,29,30}-1)*LEN(Registro!$G544)+1,LEN(Registro!$G544)))&amp;"x")-1)),--("0"&amp;MID(TRIM(MID(SUBSTITUTE(SUBSTITUTE(SUBSTITUTE(SUBSTITUTE(SUBSTITUTE(LOWER(Registro!$G544),"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",LEN(Registro!$G544))),({1,2,3,4,5,6,7,8,9,10,11,12,13,14,15,16,17,18,19,20,21,22,23,24,25,26,27,28,29,30}-1)*LEN(Registro!$G544)+1,LEN(Registro!$G544))),FIND("x",TRIM(MID(SUBSTITUTE(SUBSTITUTE(SUBSTITUTE(SUBSTITUTE(SUBSTITUTE(LOWER(Registro!$G544),"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",LEN(Registro!$G544))),({1,2,3,4,5,6,7,8,9,10,11,12,13,14,15,16,17,18,19,20,21,22,23,24,25,26,27,28,29,30}-1)*LEN(Registro!$G544)+1,LEN(Registro!$G544)))&amp;"x")+1,20))),"Revisar formato")))</f>
        <v/>
      </c>
      <c r="J544" s="9" t="str">
        <f>IF(AND(Registro!$E544="",Registro!$G544=""),"",IF(NOT(AND(ISNUMBER(I544),ISNUMBER(Registro!$H544))),"",IF(I544&lt;Registro!$H544,"FALTA BOLETOS",IF(I544=Registro!$H544,"CONFORME","DIFERENCIA"))))</f>
        <v/>
      </c>
      <c r="K544" s="11" t="str">
        <f>IF(Registro!$I544="","",IFERROR(SUMPRODUCT(--("0"&amp;TRIM(RIGHT(SUBSTITUTE(TRIM(MID(SUBSTITUTE(SUBSTITUTE(Registro!$I544,";",CHAR(10)),CHAR(10),REPT(" ",LEN(Registro!$I544))),({1,2,3,4,5,6,7,8,9,10,11,12,13,14,15,16,17,18,19,20,21,22,23,24,25,26,27,28,29,30}-1)*LEN(Registro!$I544)+1,LEN(Registro!$I544)))," ",REPT(" ",50)),50)))),"Revisar formato"))</f>
        <v/>
      </c>
      <c r="L544" s="11" t="str">
        <f>IF(Registro!$J544="","",IFERROR(SUMPRODUCT(--("0"&amp;TRIM(RIGHT(SUBSTITUTE(TRIM(MID(SUBSTITUTE(SUBSTITUTE(Registro!$J544,";",CHAR(10)),CHAR(10),REPT(" ",LEN(Registro!$J544))),({1,2,3,4,5,6,7,8,9,10,11,12,13,14,15,16,17,18,19,20,21,22,23,24,25,26,27,28,29,30}-1)*LEN(Registro!$J544)+1,LEN(Registro!$J544)))," ",REPT(" ",50)),50)))),"Revisar formato"))</f>
        <v/>
      </c>
      <c r="M544" s="11" t="str">
        <f>IF(AND(Registro!$H544="",Registro!$I544=""),"",IF(AND(ISTEXT(K544),K544&lt;&gt;""),"Revisar formato",N(Registro!$H544)-N(K544)))</f>
        <v/>
      </c>
      <c r="N544" s="11" t="str">
        <f t="shared" si="26"/>
        <v/>
      </c>
      <c r="O544" s="15" t="str">
        <f>IF(AND(A544=Consulta!$B$3,C544=Consulta!$H$3),B544*10000+ROW(),"")</f>
        <v/>
      </c>
    </row>
    <row r="545" spans="1:15" x14ac:dyDescent="0.25">
      <c r="A545" s="9" t="str">
        <f>IF(Registro!$A545="","",Registro!$A545)</f>
        <v/>
      </c>
      <c r="B545" s="8" t="str">
        <f>IF(Registro!$B545="","",Registro!$B545)</f>
        <v/>
      </c>
      <c r="C545" s="14" t="str">
        <f t="shared" si="24"/>
        <v/>
      </c>
      <c r="D545" s="10" t="str">
        <f>IF(Registro!$E545="","",IF(ISERROR(FIND("x",LOWER(Registro!$E545))),"-",IFERROR(SUMPRODUCT(--("0"&amp;LEFT(TRIM(MID(SUBSTITUTE(SUBSTITUTE(SUBSTITUTE(SUBSTITUTE(SUBSTITUTE(LOWER(Registro!$E545),"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",LEN(Registro!$E545))),({1,2,3,4,5,6,7,8,9,10,11,12,13,14,15,16,17,18,19,20,21,22,23,24,25,26,27,28,29,30}-1)*LEN(Registro!$E545)+1,LEN(Registro!$E545)))&amp;"x")-1))),"Revisar formato")))</f>
        <v/>
      </c>
      <c r="E545" s="11" t="str">
        <f>IF(Registro!$E545="","",IF(ISERROR(FIND("x",LOWER(Registro!$E545))),"-",IFERROR(SUMPRODUCT(--("0"&amp;LEFT(TRIM(MID(SUBSTITUTE(SUBSTITUTE(SUBSTITUTE(SUBSTITUTE(SUBSTITUTE(LOWER(Registro!$E545),"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",LEN(Registro!$E545))),({1,2,3,4,5,6,7,8,9,10,11,12,13,14,15,16,17,18,19,20,21,22,23,24,25,26,27,28,29,30}-1)*LEN(Registro!$E545)+1,LEN(Registro!$E545)))&amp;"x")-1)),--("0"&amp;MID(TRIM(MID(SUBSTITUTE(SUBSTITUTE(SUBSTITUTE(SUBSTITUTE(SUBSTITUTE(LOWER(Registro!$E545),"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",LEN(Registro!$E545))),({1,2,3,4,5,6,7,8,9,10,11,12,13,14,15,16,17,18,19,20,21,22,23,24,25,26,27,28,29,30}-1)*LEN(Registro!$E545)+1,LEN(Registro!$E545)))&amp;"x")+1,20))),"Revisar formato")))</f>
        <v/>
      </c>
      <c r="F545" s="11" t="str">
        <f>IF(Registro!$F545="","",N(Registro!$F545))</f>
        <v/>
      </c>
      <c r="G545" s="11" t="str">
        <f t="shared" si="25"/>
        <v/>
      </c>
      <c r="H545" s="10" t="str">
        <f>IF(Registro!$G545="","",IF(ISERROR(FIND("x",LOWER(Registro!$G545))),"-",IFERROR(SUMPRODUCT(--("0"&amp;LEFT(TRIM(MID(SUBSTITUTE(SUBSTITUTE(SUBSTITUTE(SUBSTITUTE(SUBSTITUTE(LOWER(Registro!$G545),"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",LEN(Registro!$G545))),({1,2,3,4,5,6,7,8,9,10,11,12,13,14,15,16,17,18,19,20,21,22,23,24,25,26,27,28,29,30}-1)*LEN(Registro!$G545)+1,LEN(Registro!$G545))),FIND("x",TRIM(MID(SUBSTITUTE(SUBSTITUTE(SUBSTITUTE(SUBSTITUTE(SUBSTITUTE(LOWER(Registro!$G545),"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",LEN(Registro!$G545))),({1,2,3,4,5,6,7,8,9,10,11,12,13,14,15,16,17,18,19,20,21,22,23,24,25,26,27,28,29,30}-1)*LEN(Registro!$G545)+1,LEN(Registro!$G545)))&amp;"x")-1))),"Revisar formato")))</f>
        <v/>
      </c>
      <c r="I545" s="11" t="str">
        <f>IF(Registro!$G545="","",IF(ISERROR(FIND("x",LOWER(Registro!$G545))),N(Registro!$H545),IFERROR(SUMPRODUCT(--("0"&amp;LEFT(TRIM(MID(SUBSTITUTE(SUBSTITUTE(SUBSTITUTE(SUBSTITUTE(SUBSTITUTE(LOWER(Registro!$G545),"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",LEN(Registro!$G545))),({1,2,3,4,5,6,7,8,9,10,11,12,13,14,15,16,17,18,19,20,21,22,23,24,25,26,27,28,29,30}-1)*LEN(Registro!$G545)+1,LEN(Registro!$G545))),FIND("x",TRIM(MID(SUBSTITUTE(SUBSTITUTE(SUBSTITUTE(SUBSTITUTE(SUBSTITUTE(LOWER(Registro!$G545),"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",LEN(Registro!$G545))),({1,2,3,4,5,6,7,8,9,10,11,12,13,14,15,16,17,18,19,20,21,22,23,24,25,26,27,28,29,30}-1)*LEN(Registro!$G545)+1,LEN(Registro!$G545)))&amp;"x")-1)),--("0"&amp;MID(TRIM(MID(SUBSTITUTE(SUBSTITUTE(SUBSTITUTE(SUBSTITUTE(SUBSTITUTE(LOWER(Registro!$G545),"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",LEN(Registro!$G545))),({1,2,3,4,5,6,7,8,9,10,11,12,13,14,15,16,17,18,19,20,21,22,23,24,25,26,27,28,29,30}-1)*LEN(Registro!$G545)+1,LEN(Registro!$G545))),FIND("x",TRIM(MID(SUBSTITUTE(SUBSTITUTE(SUBSTITUTE(SUBSTITUTE(SUBSTITUTE(LOWER(Registro!$G545),"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",LEN(Registro!$G545))),({1,2,3,4,5,6,7,8,9,10,11,12,13,14,15,16,17,18,19,20,21,22,23,24,25,26,27,28,29,30}-1)*LEN(Registro!$G545)+1,LEN(Registro!$G545)))&amp;"x")+1,20))),"Revisar formato")))</f>
        <v/>
      </c>
      <c r="J545" s="9" t="str">
        <f>IF(AND(Registro!$E545="",Registro!$G545=""),"",IF(NOT(AND(ISNUMBER(I545),ISNUMBER(Registro!$H545))),"",IF(I545&lt;Registro!$H545,"FALTA BOLETOS",IF(I545=Registro!$H545,"CONFORME","DIFERENCIA"))))</f>
        <v/>
      </c>
      <c r="K545" s="11" t="str">
        <f>IF(Registro!$I545="","",IFERROR(SUMPRODUCT(--("0"&amp;TRIM(RIGHT(SUBSTITUTE(TRIM(MID(SUBSTITUTE(SUBSTITUTE(Registro!$I545,";",CHAR(10)),CHAR(10),REPT(" ",LEN(Registro!$I545))),({1,2,3,4,5,6,7,8,9,10,11,12,13,14,15,16,17,18,19,20,21,22,23,24,25,26,27,28,29,30}-1)*LEN(Registro!$I545)+1,LEN(Registro!$I545)))," ",REPT(" ",50)),50)))),"Revisar formato"))</f>
        <v/>
      </c>
      <c r="L545" s="11" t="str">
        <f>IF(Registro!$J545="","",IFERROR(SUMPRODUCT(--("0"&amp;TRIM(RIGHT(SUBSTITUTE(TRIM(MID(SUBSTITUTE(SUBSTITUTE(Registro!$J545,";",CHAR(10)),CHAR(10),REPT(" ",LEN(Registro!$J545))),({1,2,3,4,5,6,7,8,9,10,11,12,13,14,15,16,17,18,19,20,21,22,23,24,25,26,27,28,29,30}-1)*LEN(Registro!$J545)+1,LEN(Registro!$J545)))," ",REPT(" ",50)),50)))),"Revisar formato"))</f>
        <v/>
      </c>
      <c r="M545" s="11" t="str">
        <f>IF(AND(Registro!$H545="",Registro!$I545=""),"",IF(AND(ISTEXT(K545),K545&lt;&gt;""),"Revisar formato",N(Registro!$H545)-N(K545)))</f>
        <v/>
      </c>
      <c r="N545" s="11" t="str">
        <f t="shared" si="26"/>
        <v/>
      </c>
      <c r="O545" s="15" t="str">
        <f>IF(AND(A545=Consulta!$B$3,C545=Consulta!$H$3),B545*10000+ROW(),"")</f>
        <v/>
      </c>
    </row>
    <row r="546" spans="1:15" x14ac:dyDescent="0.25">
      <c r="A546" s="9" t="str">
        <f>IF(Registro!$A546="","",Registro!$A546)</f>
        <v/>
      </c>
      <c r="B546" s="8" t="str">
        <f>IF(Registro!$B546="","",Registro!$B546)</f>
        <v/>
      </c>
      <c r="C546" s="14" t="str">
        <f t="shared" si="24"/>
        <v/>
      </c>
      <c r="D546" s="10" t="str">
        <f>IF(Registro!$E546="","",IF(ISERROR(FIND("x",LOWER(Registro!$E546))),"-",IFERROR(SUMPRODUCT(--("0"&amp;LEFT(TRIM(MID(SUBSTITUTE(SUBSTITUTE(SUBSTITUTE(SUBSTITUTE(SUBSTITUTE(LOWER(Registro!$E546),"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",LEN(Registro!$E546))),({1,2,3,4,5,6,7,8,9,10,11,12,13,14,15,16,17,18,19,20,21,22,23,24,25,26,27,28,29,30}-1)*LEN(Registro!$E546)+1,LEN(Registro!$E546)))&amp;"x")-1))),"Revisar formato")))</f>
        <v/>
      </c>
      <c r="E546" s="11" t="str">
        <f>IF(Registro!$E546="","",IF(ISERROR(FIND("x",LOWER(Registro!$E546))),"-",IFERROR(SUMPRODUCT(--("0"&amp;LEFT(TRIM(MID(SUBSTITUTE(SUBSTITUTE(SUBSTITUTE(SUBSTITUTE(SUBSTITUTE(LOWER(Registro!$E546),"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",LEN(Registro!$E546))),({1,2,3,4,5,6,7,8,9,10,11,12,13,14,15,16,17,18,19,20,21,22,23,24,25,26,27,28,29,30}-1)*LEN(Registro!$E546)+1,LEN(Registro!$E546)))&amp;"x")-1)),--("0"&amp;MID(TRIM(MID(SUBSTITUTE(SUBSTITUTE(SUBSTITUTE(SUBSTITUTE(SUBSTITUTE(LOWER(Registro!$E546),"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",LEN(Registro!$E546))),({1,2,3,4,5,6,7,8,9,10,11,12,13,14,15,16,17,18,19,20,21,22,23,24,25,26,27,28,29,30}-1)*LEN(Registro!$E546)+1,LEN(Registro!$E546)))&amp;"x")+1,20))),"Revisar formato")))</f>
        <v/>
      </c>
      <c r="F546" s="11" t="str">
        <f>IF(Registro!$F546="","",N(Registro!$F546))</f>
        <v/>
      </c>
      <c r="G546" s="11" t="str">
        <f t="shared" si="25"/>
        <v/>
      </c>
      <c r="H546" s="10" t="str">
        <f>IF(Registro!$G546="","",IF(ISERROR(FIND("x",LOWER(Registro!$G546))),"-",IFERROR(SUMPRODUCT(--("0"&amp;LEFT(TRIM(MID(SUBSTITUTE(SUBSTITUTE(SUBSTITUTE(SUBSTITUTE(SUBSTITUTE(LOWER(Registro!$G546),"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",LEN(Registro!$G546))),({1,2,3,4,5,6,7,8,9,10,11,12,13,14,15,16,17,18,19,20,21,22,23,24,25,26,27,28,29,30}-1)*LEN(Registro!$G546)+1,LEN(Registro!$G546))),FIND("x",TRIM(MID(SUBSTITUTE(SUBSTITUTE(SUBSTITUTE(SUBSTITUTE(SUBSTITUTE(LOWER(Registro!$G546),"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",LEN(Registro!$G546))),({1,2,3,4,5,6,7,8,9,10,11,12,13,14,15,16,17,18,19,20,21,22,23,24,25,26,27,28,29,30}-1)*LEN(Registro!$G546)+1,LEN(Registro!$G546)))&amp;"x")-1))),"Revisar formato")))</f>
        <v/>
      </c>
      <c r="I546" s="11" t="str">
        <f>IF(Registro!$G546="","",IF(ISERROR(FIND("x",LOWER(Registro!$G546))),N(Registro!$H546),IFERROR(SUMPRODUCT(--("0"&amp;LEFT(TRIM(MID(SUBSTITUTE(SUBSTITUTE(SUBSTITUTE(SUBSTITUTE(SUBSTITUTE(LOWER(Registro!$G546),"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",LEN(Registro!$G546))),({1,2,3,4,5,6,7,8,9,10,11,12,13,14,15,16,17,18,19,20,21,22,23,24,25,26,27,28,29,30}-1)*LEN(Registro!$G546)+1,LEN(Registro!$G546))),FIND("x",TRIM(MID(SUBSTITUTE(SUBSTITUTE(SUBSTITUTE(SUBSTITUTE(SUBSTITUTE(LOWER(Registro!$G546),"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",LEN(Registro!$G546))),({1,2,3,4,5,6,7,8,9,10,11,12,13,14,15,16,17,18,19,20,21,22,23,24,25,26,27,28,29,30}-1)*LEN(Registro!$G546)+1,LEN(Registro!$G546)))&amp;"x")-1)),--("0"&amp;MID(TRIM(MID(SUBSTITUTE(SUBSTITUTE(SUBSTITUTE(SUBSTITUTE(SUBSTITUTE(LOWER(Registro!$G546),"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",LEN(Registro!$G546))),({1,2,3,4,5,6,7,8,9,10,11,12,13,14,15,16,17,18,19,20,21,22,23,24,25,26,27,28,29,30}-1)*LEN(Registro!$G546)+1,LEN(Registro!$G546))),FIND("x",TRIM(MID(SUBSTITUTE(SUBSTITUTE(SUBSTITUTE(SUBSTITUTE(SUBSTITUTE(LOWER(Registro!$G546),"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",LEN(Registro!$G546))),({1,2,3,4,5,6,7,8,9,10,11,12,13,14,15,16,17,18,19,20,21,22,23,24,25,26,27,28,29,30}-1)*LEN(Registro!$G546)+1,LEN(Registro!$G546)))&amp;"x")+1,20))),"Revisar formato")))</f>
        <v/>
      </c>
      <c r="J546" s="9" t="str">
        <f>IF(AND(Registro!$E546="",Registro!$G546=""),"",IF(NOT(AND(ISNUMBER(I546),ISNUMBER(Registro!$H546))),"",IF(I546&lt;Registro!$H546,"FALTA BOLETOS",IF(I546=Registro!$H546,"CONFORME","DIFERENCIA"))))</f>
        <v/>
      </c>
      <c r="K546" s="11" t="str">
        <f>IF(Registro!$I546="","",IFERROR(SUMPRODUCT(--("0"&amp;TRIM(RIGHT(SUBSTITUTE(TRIM(MID(SUBSTITUTE(SUBSTITUTE(Registro!$I546,";",CHAR(10)),CHAR(10),REPT(" ",LEN(Registro!$I546))),({1,2,3,4,5,6,7,8,9,10,11,12,13,14,15,16,17,18,19,20,21,22,23,24,25,26,27,28,29,30}-1)*LEN(Registro!$I546)+1,LEN(Registro!$I546)))," ",REPT(" ",50)),50)))),"Revisar formato"))</f>
        <v/>
      </c>
      <c r="L546" s="11" t="str">
        <f>IF(Registro!$J546="","",IFERROR(SUMPRODUCT(--("0"&amp;TRIM(RIGHT(SUBSTITUTE(TRIM(MID(SUBSTITUTE(SUBSTITUTE(Registro!$J546,";",CHAR(10)),CHAR(10),REPT(" ",LEN(Registro!$J546))),({1,2,3,4,5,6,7,8,9,10,11,12,13,14,15,16,17,18,19,20,21,22,23,24,25,26,27,28,29,30}-1)*LEN(Registro!$J546)+1,LEN(Registro!$J546)))," ",REPT(" ",50)),50)))),"Revisar formato"))</f>
        <v/>
      </c>
      <c r="M546" s="11" t="str">
        <f>IF(AND(Registro!$H546="",Registro!$I546=""),"",IF(AND(ISTEXT(K546),K546&lt;&gt;""),"Revisar formato",N(Registro!$H546)-N(K546)))</f>
        <v/>
      </c>
      <c r="N546" s="11" t="str">
        <f t="shared" si="26"/>
        <v/>
      </c>
      <c r="O546" s="15" t="str">
        <f>IF(AND(A546=Consulta!$B$3,C546=Consulta!$H$3),B546*10000+ROW(),"")</f>
        <v/>
      </c>
    </row>
    <row r="547" spans="1:15" x14ac:dyDescent="0.25">
      <c r="A547" s="9" t="str">
        <f>IF(Registro!$A547="","",Registro!$A547)</f>
        <v/>
      </c>
      <c r="B547" s="8" t="str">
        <f>IF(Registro!$B547="","",Registro!$B547)</f>
        <v/>
      </c>
      <c r="C547" s="14" t="str">
        <f t="shared" si="24"/>
        <v/>
      </c>
      <c r="D547" s="10" t="str">
        <f>IF(Registro!$E547="","",IF(ISERROR(FIND("x",LOWER(Registro!$E547))),"-",IFERROR(SUMPRODUCT(--("0"&amp;LEFT(TRIM(MID(SUBSTITUTE(SUBSTITUTE(SUBSTITUTE(SUBSTITUTE(SUBSTITUTE(LOWER(Registro!$E547),"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",LEN(Registro!$E547))),({1,2,3,4,5,6,7,8,9,10,11,12,13,14,15,16,17,18,19,20,21,22,23,24,25,26,27,28,29,30}-1)*LEN(Registro!$E547)+1,LEN(Registro!$E547)))&amp;"x")-1))),"Revisar formato")))</f>
        <v/>
      </c>
      <c r="E547" s="11" t="str">
        <f>IF(Registro!$E547="","",IF(ISERROR(FIND("x",LOWER(Registro!$E547))),"-",IFERROR(SUMPRODUCT(--("0"&amp;LEFT(TRIM(MID(SUBSTITUTE(SUBSTITUTE(SUBSTITUTE(SUBSTITUTE(SUBSTITUTE(LOWER(Registro!$E547),"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",LEN(Registro!$E547))),({1,2,3,4,5,6,7,8,9,10,11,12,13,14,15,16,17,18,19,20,21,22,23,24,25,26,27,28,29,30}-1)*LEN(Registro!$E547)+1,LEN(Registro!$E547)))&amp;"x")-1)),--("0"&amp;MID(TRIM(MID(SUBSTITUTE(SUBSTITUTE(SUBSTITUTE(SUBSTITUTE(SUBSTITUTE(LOWER(Registro!$E547),"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",LEN(Registro!$E547))),({1,2,3,4,5,6,7,8,9,10,11,12,13,14,15,16,17,18,19,20,21,22,23,24,25,26,27,28,29,30}-1)*LEN(Registro!$E547)+1,LEN(Registro!$E547)))&amp;"x")+1,20))),"Revisar formato")))</f>
        <v/>
      </c>
      <c r="F547" s="11" t="str">
        <f>IF(Registro!$F547="","",N(Registro!$F547))</f>
        <v/>
      </c>
      <c r="G547" s="11" t="str">
        <f t="shared" si="25"/>
        <v/>
      </c>
      <c r="H547" s="10" t="str">
        <f>IF(Registro!$G547="","",IF(ISERROR(FIND("x",LOWER(Registro!$G547))),"-",IFERROR(SUMPRODUCT(--("0"&amp;LEFT(TRIM(MID(SUBSTITUTE(SUBSTITUTE(SUBSTITUTE(SUBSTITUTE(SUBSTITUTE(LOWER(Registro!$G547),"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",LEN(Registro!$G547))),({1,2,3,4,5,6,7,8,9,10,11,12,13,14,15,16,17,18,19,20,21,22,23,24,25,26,27,28,29,30}-1)*LEN(Registro!$G547)+1,LEN(Registro!$G547))),FIND("x",TRIM(MID(SUBSTITUTE(SUBSTITUTE(SUBSTITUTE(SUBSTITUTE(SUBSTITUTE(LOWER(Registro!$G547),"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",LEN(Registro!$G547))),({1,2,3,4,5,6,7,8,9,10,11,12,13,14,15,16,17,18,19,20,21,22,23,24,25,26,27,28,29,30}-1)*LEN(Registro!$G547)+1,LEN(Registro!$G547)))&amp;"x")-1))),"Revisar formato")))</f>
        <v/>
      </c>
      <c r="I547" s="11" t="str">
        <f>IF(Registro!$G547="","",IF(ISERROR(FIND("x",LOWER(Registro!$G547))),N(Registro!$H547),IFERROR(SUMPRODUCT(--("0"&amp;LEFT(TRIM(MID(SUBSTITUTE(SUBSTITUTE(SUBSTITUTE(SUBSTITUTE(SUBSTITUTE(LOWER(Registro!$G547),"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",LEN(Registro!$G547))),({1,2,3,4,5,6,7,8,9,10,11,12,13,14,15,16,17,18,19,20,21,22,23,24,25,26,27,28,29,30}-1)*LEN(Registro!$G547)+1,LEN(Registro!$G547))),FIND("x",TRIM(MID(SUBSTITUTE(SUBSTITUTE(SUBSTITUTE(SUBSTITUTE(SUBSTITUTE(LOWER(Registro!$G547),"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",LEN(Registro!$G547))),({1,2,3,4,5,6,7,8,9,10,11,12,13,14,15,16,17,18,19,20,21,22,23,24,25,26,27,28,29,30}-1)*LEN(Registro!$G547)+1,LEN(Registro!$G547)))&amp;"x")-1)),--("0"&amp;MID(TRIM(MID(SUBSTITUTE(SUBSTITUTE(SUBSTITUTE(SUBSTITUTE(SUBSTITUTE(LOWER(Registro!$G547),"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",LEN(Registro!$G547))),({1,2,3,4,5,6,7,8,9,10,11,12,13,14,15,16,17,18,19,20,21,22,23,24,25,26,27,28,29,30}-1)*LEN(Registro!$G547)+1,LEN(Registro!$G547))),FIND("x",TRIM(MID(SUBSTITUTE(SUBSTITUTE(SUBSTITUTE(SUBSTITUTE(SUBSTITUTE(LOWER(Registro!$G547),"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",LEN(Registro!$G547))),({1,2,3,4,5,6,7,8,9,10,11,12,13,14,15,16,17,18,19,20,21,22,23,24,25,26,27,28,29,30}-1)*LEN(Registro!$G547)+1,LEN(Registro!$G547)))&amp;"x")+1,20))),"Revisar formato")))</f>
        <v/>
      </c>
      <c r="J547" s="9" t="str">
        <f>IF(AND(Registro!$E547="",Registro!$G547=""),"",IF(NOT(AND(ISNUMBER(I547),ISNUMBER(Registro!$H547))),"",IF(I547&lt;Registro!$H547,"FALTA BOLETOS",IF(I547=Registro!$H547,"CONFORME","DIFERENCIA"))))</f>
        <v/>
      </c>
      <c r="K547" s="11" t="str">
        <f>IF(Registro!$I547="","",IFERROR(SUMPRODUCT(--("0"&amp;TRIM(RIGHT(SUBSTITUTE(TRIM(MID(SUBSTITUTE(SUBSTITUTE(Registro!$I547,";",CHAR(10)),CHAR(10),REPT(" ",LEN(Registro!$I547))),({1,2,3,4,5,6,7,8,9,10,11,12,13,14,15,16,17,18,19,20,21,22,23,24,25,26,27,28,29,30}-1)*LEN(Registro!$I547)+1,LEN(Registro!$I547)))," ",REPT(" ",50)),50)))),"Revisar formato"))</f>
        <v/>
      </c>
      <c r="L547" s="11" t="str">
        <f>IF(Registro!$J547="","",IFERROR(SUMPRODUCT(--("0"&amp;TRIM(RIGHT(SUBSTITUTE(TRIM(MID(SUBSTITUTE(SUBSTITUTE(Registro!$J547,";",CHAR(10)),CHAR(10),REPT(" ",LEN(Registro!$J547))),({1,2,3,4,5,6,7,8,9,10,11,12,13,14,15,16,17,18,19,20,21,22,23,24,25,26,27,28,29,30}-1)*LEN(Registro!$J547)+1,LEN(Registro!$J547)))," ",REPT(" ",50)),50)))),"Revisar formato"))</f>
        <v/>
      </c>
      <c r="M547" s="11" t="str">
        <f>IF(AND(Registro!$H547="",Registro!$I547=""),"",IF(AND(ISTEXT(K547),K547&lt;&gt;""),"Revisar formato",N(Registro!$H547)-N(K547)))</f>
        <v/>
      </c>
      <c r="N547" s="11" t="str">
        <f t="shared" si="26"/>
        <v/>
      </c>
      <c r="O547" s="15" t="str">
        <f>IF(AND(A547=Consulta!$B$3,C547=Consulta!$H$3),B547*10000+ROW(),"")</f>
        <v/>
      </c>
    </row>
    <row r="548" spans="1:15" x14ac:dyDescent="0.25">
      <c r="A548" s="9" t="str">
        <f>IF(Registro!$A548="","",Registro!$A548)</f>
        <v/>
      </c>
      <c r="B548" s="8" t="str">
        <f>IF(Registro!$B548="","",Registro!$B548)</f>
        <v/>
      </c>
      <c r="C548" s="14" t="str">
        <f t="shared" si="24"/>
        <v/>
      </c>
      <c r="D548" s="10" t="str">
        <f>IF(Registro!$E548="","",IF(ISERROR(FIND("x",LOWER(Registro!$E548))),"-",IFERROR(SUMPRODUCT(--("0"&amp;LEFT(TRIM(MID(SUBSTITUTE(SUBSTITUTE(SUBSTITUTE(SUBSTITUTE(SUBSTITUTE(LOWER(Registro!$E548),"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",LEN(Registro!$E548))),({1,2,3,4,5,6,7,8,9,10,11,12,13,14,15,16,17,18,19,20,21,22,23,24,25,26,27,28,29,30}-1)*LEN(Registro!$E548)+1,LEN(Registro!$E548)))&amp;"x")-1))),"Revisar formato")))</f>
        <v/>
      </c>
      <c r="E548" s="11" t="str">
        <f>IF(Registro!$E548="","",IF(ISERROR(FIND("x",LOWER(Registro!$E548))),"-",IFERROR(SUMPRODUCT(--("0"&amp;LEFT(TRIM(MID(SUBSTITUTE(SUBSTITUTE(SUBSTITUTE(SUBSTITUTE(SUBSTITUTE(LOWER(Registro!$E548),"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",LEN(Registro!$E548))),({1,2,3,4,5,6,7,8,9,10,11,12,13,14,15,16,17,18,19,20,21,22,23,24,25,26,27,28,29,30}-1)*LEN(Registro!$E548)+1,LEN(Registro!$E548)))&amp;"x")-1)),--("0"&amp;MID(TRIM(MID(SUBSTITUTE(SUBSTITUTE(SUBSTITUTE(SUBSTITUTE(SUBSTITUTE(LOWER(Registro!$E548),"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",LEN(Registro!$E548))),({1,2,3,4,5,6,7,8,9,10,11,12,13,14,15,16,17,18,19,20,21,22,23,24,25,26,27,28,29,30}-1)*LEN(Registro!$E548)+1,LEN(Registro!$E548)))&amp;"x")+1,20))),"Revisar formato")))</f>
        <v/>
      </c>
      <c r="F548" s="11" t="str">
        <f>IF(Registro!$F548="","",N(Registro!$F548))</f>
        <v/>
      </c>
      <c r="G548" s="11" t="str">
        <f t="shared" si="25"/>
        <v/>
      </c>
      <c r="H548" s="10" t="str">
        <f>IF(Registro!$G548="","",IF(ISERROR(FIND("x",LOWER(Registro!$G548))),"-",IFERROR(SUMPRODUCT(--("0"&amp;LEFT(TRIM(MID(SUBSTITUTE(SUBSTITUTE(SUBSTITUTE(SUBSTITUTE(SUBSTITUTE(LOWER(Registro!$G548),"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",LEN(Registro!$G548))),({1,2,3,4,5,6,7,8,9,10,11,12,13,14,15,16,17,18,19,20,21,22,23,24,25,26,27,28,29,30}-1)*LEN(Registro!$G548)+1,LEN(Registro!$G548))),FIND("x",TRIM(MID(SUBSTITUTE(SUBSTITUTE(SUBSTITUTE(SUBSTITUTE(SUBSTITUTE(LOWER(Registro!$G548),"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",LEN(Registro!$G548))),({1,2,3,4,5,6,7,8,9,10,11,12,13,14,15,16,17,18,19,20,21,22,23,24,25,26,27,28,29,30}-1)*LEN(Registro!$G548)+1,LEN(Registro!$G548)))&amp;"x")-1))),"Revisar formato")))</f>
        <v/>
      </c>
      <c r="I548" s="11" t="str">
        <f>IF(Registro!$G548="","",IF(ISERROR(FIND("x",LOWER(Registro!$G548))),N(Registro!$H548),IFERROR(SUMPRODUCT(--("0"&amp;LEFT(TRIM(MID(SUBSTITUTE(SUBSTITUTE(SUBSTITUTE(SUBSTITUTE(SUBSTITUTE(LOWER(Registro!$G548),"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",LEN(Registro!$G548))),({1,2,3,4,5,6,7,8,9,10,11,12,13,14,15,16,17,18,19,20,21,22,23,24,25,26,27,28,29,30}-1)*LEN(Registro!$G548)+1,LEN(Registro!$G548))),FIND("x",TRIM(MID(SUBSTITUTE(SUBSTITUTE(SUBSTITUTE(SUBSTITUTE(SUBSTITUTE(LOWER(Registro!$G548),"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",LEN(Registro!$G548))),({1,2,3,4,5,6,7,8,9,10,11,12,13,14,15,16,17,18,19,20,21,22,23,24,25,26,27,28,29,30}-1)*LEN(Registro!$G548)+1,LEN(Registro!$G548)))&amp;"x")-1)),--("0"&amp;MID(TRIM(MID(SUBSTITUTE(SUBSTITUTE(SUBSTITUTE(SUBSTITUTE(SUBSTITUTE(LOWER(Registro!$G548),"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",LEN(Registro!$G548))),({1,2,3,4,5,6,7,8,9,10,11,12,13,14,15,16,17,18,19,20,21,22,23,24,25,26,27,28,29,30}-1)*LEN(Registro!$G548)+1,LEN(Registro!$G548))),FIND("x",TRIM(MID(SUBSTITUTE(SUBSTITUTE(SUBSTITUTE(SUBSTITUTE(SUBSTITUTE(LOWER(Registro!$G548),"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",LEN(Registro!$G548))),({1,2,3,4,5,6,7,8,9,10,11,12,13,14,15,16,17,18,19,20,21,22,23,24,25,26,27,28,29,30}-1)*LEN(Registro!$G548)+1,LEN(Registro!$G548)))&amp;"x")+1,20))),"Revisar formato")))</f>
        <v/>
      </c>
      <c r="J548" s="9" t="str">
        <f>IF(AND(Registro!$E548="",Registro!$G548=""),"",IF(NOT(AND(ISNUMBER(I548),ISNUMBER(Registro!$H548))),"",IF(I548&lt;Registro!$H548,"FALTA BOLETOS",IF(I548=Registro!$H548,"CONFORME","DIFERENCIA"))))</f>
        <v/>
      </c>
      <c r="K548" s="11" t="str">
        <f>IF(Registro!$I548="","",IFERROR(SUMPRODUCT(--("0"&amp;TRIM(RIGHT(SUBSTITUTE(TRIM(MID(SUBSTITUTE(SUBSTITUTE(Registro!$I548,";",CHAR(10)),CHAR(10),REPT(" ",LEN(Registro!$I548))),({1,2,3,4,5,6,7,8,9,10,11,12,13,14,15,16,17,18,19,20,21,22,23,24,25,26,27,28,29,30}-1)*LEN(Registro!$I548)+1,LEN(Registro!$I548)))," ",REPT(" ",50)),50)))),"Revisar formato"))</f>
        <v/>
      </c>
      <c r="L548" s="11" t="str">
        <f>IF(Registro!$J548="","",IFERROR(SUMPRODUCT(--("0"&amp;TRIM(RIGHT(SUBSTITUTE(TRIM(MID(SUBSTITUTE(SUBSTITUTE(Registro!$J548,";",CHAR(10)),CHAR(10),REPT(" ",LEN(Registro!$J548))),({1,2,3,4,5,6,7,8,9,10,11,12,13,14,15,16,17,18,19,20,21,22,23,24,25,26,27,28,29,30}-1)*LEN(Registro!$J548)+1,LEN(Registro!$J548)))," ",REPT(" ",50)),50)))),"Revisar formato"))</f>
        <v/>
      </c>
      <c r="M548" s="11" t="str">
        <f>IF(AND(Registro!$H548="",Registro!$I548=""),"",IF(AND(ISTEXT(K548),K548&lt;&gt;""),"Revisar formato",N(Registro!$H548)-N(K548)))</f>
        <v/>
      </c>
      <c r="N548" s="11" t="str">
        <f t="shared" si="26"/>
        <v/>
      </c>
      <c r="O548" s="15" t="str">
        <f>IF(AND(A548=Consulta!$B$3,C548=Consulta!$H$3),B548*10000+ROW(),"")</f>
        <v/>
      </c>
    </row>
    <row r="549" spans="1:15" x14ac:dyDescent="0.25">
      <c r="A549" s="9" t="str">
        <f>IF(Registro!$A549="","",Registro!$A549)</f>
        <v/>
      </c>
      <c r="B549" s="8" t="str">
        <f>IF(Registro!$B549="","",Registro!$B549)</f>
        <v/>
      </c>
      <c r="C549" s="14" t="str">
        <f t="shared" si="24"/>
        <v/>
      </c>
      <c r="D549" s="10" t="str">
        <f>IF(Registro!$E549="","",IF(ISERROR(FIND("x",LOWER(Registro!$E549))),"-",IFERROR(SUMPRODUCT(--("0"&amp;LEFT(TRIM(MID(SUBSTITUTE(SUBSTITUTE(SUBSTITUTE(SUBSTITUTE(SUBSTITUTE(LOWER(Registro!$E549),"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",LEN(Registro!$E549))),({1,2,3,4,5,6,7,8,9,10,11,12,13,14,15,16,17,18,19,20,21,22,23,24,25,26,27,28,29,30}-1)*LEN(Registro!$E549)+1,LEN(Registro!$E549)))&amp;"x")-1))),"Revisar formato")))</f>
        <v/>
      </c>
      <c r="E549" s="11" t="str">
        <f>IF(Registro!$E549="","",IF(ISERROR(FIND("x",LOWER(Registro!$E549))),"-",IFERROR(SUMPRODUCT(--("0"&amp;LEFT(TRIM(MID(SUBSTITUTE(SUBSTITUTE(SUBSTITUTE(SUBSTITUTE(SUBSTITUTE(LOWER(Registro!$E549),"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",LEN(Registro!$E549))),({1,2,3,4,5,6,7,8,9,10,11,12,13,14,15,16,17,18,19,20,21,22,23,24,25,26,27,28,29,30}-1)*LEN(Registro!$E549)+1,LEN(Registro!$E549)))&amp;"x")-1)),--("0"&amp;MID(TRIM(MID(SUBSTITUTE(SUBSTITUTE(SUBSTITUTE(SUBSTITUTE(SUBSTITUTE(LOWER(Registro!$E549),"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",LEN(Registro!$E549))),({1,2,3,4,5,6,7,8,9,10,11,12,13,14,15,16,17,18,19,20,21,22,23,24,25,26,27,28,29,30}-1)*LEN(Registro!$E549)+1,LEN(Registro!$E549)))&amp;"x")+1,20))),"Revisar formato")))</f>
        <v/>
      </c>
      <c r="F549" s="11" t="str">
        <f>IF(Registro!$F549="","",N(Registro!$F549))</f>
        <v/>
      </c>
      <c r="G549" s="11" t="str">
        <f t="shared" si="25"/>
        <v/>
      </c>
      <c r="H549" s="10" t="str">
        <f>IF(Registro!$G549="","",IF(ISERROR(FIND("x",LOWER(Registro!$G549))),"-",IFERROR(SUMPRODUCT(--("0"&amp;LEFT(TRIM(MID(SUBSTITUTE(SUBSTITUTE(SUBSTITUTE(SUBSTITUTE(SUBSTITUTE(LOWER(Registro!$G549),"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",LEN(Registro!$G549))),({1,2,3,4,5,6,7,8,9,10,11,12,13,14,15,16,17,18,19,20,21,22,23,24,25,26,27,28,29,30}-1)*LEN(Registro!$G549)+1,LEN(Registro!$G549))),FIND("x",TRIM(MID(SUBSTITUTE(SUBSTITUTE(SUBSTITUTE(SUBSTITUTE(SUBSTITUTE(LOWER(Registro!$G549),"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",LEN(Registro!$G549))),({1,2,3,4,5,6,7,8,9,10,11,12,13,14,15,16,17,18,19,20,21,22,23,24,25,26,27,28,29,30}-1)*LEN(Registro!$G549)+1,LEN(Registro!$G549)))&amp;"x")-1))),"Revisar formato")))</f>
        <v/>
      </c>
      <c r="I549" s="11" t="str">
        <f>IF(Registro!$G549="","",IF(ISERROR(FIND("x",LOWER(Registro!$G549))),N(Registro!$H549),IFERROR(SUMPRODUCT(--("0"&amp;LEFT(TRIM(MID(SUBSTITUTE(SUBSTITUTE(SUBSTITUTE(SUBSTITUTE(SUBSTITUTE(LOWER(Registro!$G549),"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",LEN(Registro!$G549))),({1,2,3,4,5,6,7,8,9,10,11,12,13,14,15,16,17,18,19,20,21,22,23,24,25,26,27,28,29,30}-1)*LEN(Registro!$G549)+1,LEN(Registro!$G549))),FIND("x",TRIM(MID(SUBSTITUTE(SUBSTITUTE(SUBSTITUTE(SUBSTITUTE(SUBSTITUTE(LOWER(Registro!$G549),"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",LEN(Registro!$G549))),({1,2,3,4,5,6,7,8,9,10,11,12,13,14,15,16,17,18,19,20,21,22,23,24,25,26,27,28,29,30}-1)*LEN(Registro!$G549)+1,LEN(Registro!$G549)))&amp;"x")-1)),--("0"&amp;MID(TRIM(MID(SUBSTITUTE(SUBSTITUTE(SUBSTITUTE(SUBSTITUTE(SUBSTITUTE(LOWER(Registro!$G549),"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",LEN(Registro!$G549))),({1,2,3,4,5,6,7,8,9,10,11,12,13,14,15,16,17,18,19,20,21,22,23,24,25,26,27,28,29,30}-1)*LEN(Registro!$G549)+1,LEN(Registro!$G549))),FIND("x",TRIM(MID(SUBSTITUTE(SUBSTITUTE(SUBSTITUTE(SUBSTITUTE(SUBSTITUTE(LOWER(Registro!$G549),"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",LEN(Registro!$G549))),({1,2,3,4,5,6,7,8,9,10,11,12,13,14,15,16,17,18,19,20,21,22,23,24,25,26,27,28,29,30}-1)*LEN(Registro!$G549)+1,LEN(Registro!$G549)))&amp;"x")+1,20))),"Revisar formato")))</f>
        <v/>
      </c>
      <c r="J549" s="9" t="str">
        <f>IF(AND(Registro!$E549="",Registro!$G549=""),"",IF(NOT(AND(ISNUMBER(I549),ISNUMBER(Registro!$H549))),"",IF(I549&lt;Registro!$H549,"FALTA BOLETOS",IF(I549=Registro!$H549,"CONFORME","DIFERENCIA"))))</f>
        <v/>
      </c>
      <c r="K549" s="11" t="str">
        <f>IF(Registro!$I549="","",IFERROR(SUMPRODUCT(--("0"&amp;TRIM(RIGHT(SUBSTITUTE(TRIM(MID(SUBSTITUTE(SUBSTITUTE(Registro!$I549,";",CHAR(10)),CHAR(10),REPT(" ",LEN(Registro!$I549))),({1,2,3,4,5,6,7,8,9,10,11,12,13,14,15,16,17,18,19,20,21,22,23,24,25,26,27,28,29,30}-1)*LEN(Registro!$I549)+1,LEN(Registro!$I549)))," ",REPT(" ",50)),50)))),"Revisar formato"))</f>
        <v/>
      </c>
      <c r="L549" s="11" t="str">
        <f>IF(Registro!$J549="","",IFERROR(SUMPRODUCT(--("0"&amp;TRIM(RIGHT(SUBSTITUTE(TRIM(MID(SUBSTITUTE(SUBSTITUTE(Registro!$J549,";",CHAR(10)),CHAR(10),REPT(" ",LEN(Registro!$J549))),({1,2,3,4,5,6,7,8,9,10,11,12,13,14,15,16,17,18,19,20,21,22,23,24,25,26,27,28,29,30}-1)*LEN(Registro!$J549)+1,LEN(Registro!$J549)))," ",REPT(" ",50)),50)))),"Revisar formato"))</f>
        <v/>
      </c>
      <c r="M549" s="11" t="str">
        <f>IF(AND(Registro!$H549="",Registro!$I549=""),"",IF(AND(ISTEXT(K549),K549&lt;&gt;""),"Revisar formato",N(Registro!$H549)-N(K549)))</f>
        <v/>
      </c>
      <c r="N549" s="11" t="str">
        <f t="shared" si="26"/>
        <v/>
      </c>
      <c r="O549" s="15" t="str">
        <f>IF(AND(A549=Consulta!$B$3,C549=Consulta!$H$3),B549*10000+ROW(),"")</f>
        <v/>
      </c>
    </row>
    <row r="550" spans="1:15" x14ac:dyDescent="0.25">
      <c r="A550" s="9" t="str">
        <f>IF(Registro!$A550="","",Registro!$A550)</f>
        <v/>
      </c>
      <c r="B550" s="8" t="str">
        <f>IF(Registro!$B550="","",Registro!$B550)</f>
        <v/>
      </c>
      <c r="C550" s="14" t="str">
        <f t="shared" si="24"/>
        <v/>
      </c>
      <c r="D550" s="10" t="str">
        <f>IF(Registro!$E550="","",IF(ISERROR(FIND("x",LOWER(Registro!$E550))),"-",IFERROR(SUMPRODUCT(--("0"&amp;LEFT(TRIM(MID(SUBSTITUTE(SUBSTITUTE(SUBSTITUTE(SUBSTITUTE(SUBSTITUTE(LOWER(Registro!$E550),"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",LEN(Registro!$E550))),({1,2,3,4,5,6,7,8,9,10,11,12,13,14,15,16,17,18,19,20,21,22,23,24,25,26,27,28,29,30}-1)*LEN(Registro!$E550)+1,LEN(Registro!$E550)))&amp;"x")-1))),"Revisar formato")))</f>
        <v/>
      </c>
      <c r="E550" s="11" t="str">
        <f>IF(Registro!$E550="","",IF(ISERROR(FIND("x",LOWER(Registro!$E550))),"-",IFERROR(SUMPRODUCT(--("0"&amp;LEFT(TRIM(MID(SUBSTITUTE(SUBSTITUTE(SUBSTITUTE(SUBSTITUTE(SUBSTITUTE(LOWER(Registro!$E550),"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",LEN(Registro!$E550))),({1,2,3,4,5,6,7,8,9,10,11,12,13,14,15,16,17,18,19,20,21,22,23,24,25,26,27,28,29,30}-1)*LEN(Registro!$E550)+1,LEN(Registro!$E550)))&amp;"x")-1)),--("0"&amp;MID(TRIM(MID(SUBSTITUTE(SUBSTITUTE(SUBSTITUTE(SUBSTITUTE(SUBSTITUTE(LOWER(Registro!$E550),"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",LEN(Registro!$E550))),({1,2,3,4,5,6,7,8,9,10,11,12,13,14,15,16,17,18,19,20,21,22,23,24,25,26,27,28,29,30}-1)*LEN(Registro!$E550)+1,LEN(Registro!$E550)))&amp;"x")+1,20))),"Revisar formato")))</f>
        <v/>
      </c>
      <c r="F550" s="11" t="str">
        <f>IF(Registro!$F550="","",N(Registro!$F550))</f>
        <v/>
      </c>
      <c r="G550" s="11" t="str">
        <f t="shared" si="25"/>
        <v/>
      </c>
      <c r="H550" s="10" t="str">
        <f>IF(Registro!$G550="","",IF(ISERROR(FIND("x",LOWER(Registro!$G550))),"-",IFERROR(SUMPRODUCT(--("0"&amp;LEFT(TRIM(MID(SUBSTITUTE(SUBSTITUTE(SUBSTITUTE(SUBSTITUTE(SUBSTITUTE(LOWER(Registro!$G550),"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",LEN(Registro!$G550))),({1,2,3,4,5,6,7,8,9,10,11,12,13,14,15,16,17,18,19,20,21,22,23,24,25,26,27,28,29,30}-1)*LEN(Registro!$G550)+1,LEN(Registro!$G550))),FIND("x",TRIM(MID(SUBSTITUTE(SUBSTITUTE(SUBSTITUTE(SUBSTITUTE(SUBSTITUTE(LOWER(Registro!$G550),"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",LEN(Registro!$G550))),({1,2,3,4,5,6,7,8,9,10,11,12,13,14,15,16,17,18,19,20,21,22,23,24,25,26,27,28,29,30}-1)*LEN(Registro!$G550)+1,LEN(Registro!$G550)))&amp;"x")-1))),"Revisar formato")))</f>
        <v/>
      </c>
      <c r="I550" s="11" t="str">
        <f>IF(Registro!$G550="","",IF(ISERROR(FIND("x",LOWER(Registro!$G550))),N(Registro!$H550),IFERROR(SUMPRODUCT(--("0"&amp;LEFT(TRIM(MID(SUBSTITUTE(SUBSTITUTE(SUBSTITUTE(SUBSTITUTE(SUBSTITUTE(LOWER(Registro!$G550),"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",LEN(Registro!$G550))),({1,2,3,4,5,6,7,8,9,10,11,12,13,14,15,16,17,18,19,20,21,22,23,24,25,26,27,28,29,30}-1)*LEN(Registro!$G550)+1,LEN(Registro!$G550))),FIND("x",TRIM(MID(SUBSTITUTE(SUBSTITUTE(SUBSTITUTE(SUBSTITUTE(SUBSTITUTE(LOWER(Registro!$G550),"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",LEN(Registro!$G550))),({1,2,3,4,5,6,7,8,9,10,11,12,13,14,15,16,17,18,19,20,21,22,23,24,25,26,27,28,29,30}-1)*LEN(Registro!$G550)+1,LEN(Registro!$G550)))&amp;"x")-1)),--("0"&amp;MID(TRIM(MID(SUBSTITUTE(SUBSTITUTE(SUBSTITUTE(SUBSTITUTE(SUBSTITUTE(LOWER(Registro!$G550),"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",LEN(Registro!$G550))),({1,2,3,4,5,6,7,8,9,10,11,12,13,14,15,16,17,18,19,20,21,22,23,24,25,26,27,28,29,30}-1)*LEN(Registro!$G550)+1,LEN(Registro!$G550))),FIND("x",TRIM(MID(SUBSTITUTE(SUBSTITUTE(SUBSTITUTE(SUBSTITUTE(SUBSTITUTE(LOWER(Registro!$G550),"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",LEN(Registro!$G550))),({1,2,3,4,5,6,7,8,9,10,11,12,13,14,15,16,17,18,19,20,21,22,23,24,25,26,27,28,29,30}-1)*LEN(Registro!$G550)+1,LEN(Registro!$G550)))&amp;"x")+1,20))),"Revisar formato")))</f>
        <v/>
      </c>
      <c r="J550" s="9" t="str">
        <f>IF(AND(Registro!$E550="",Registro!$G550=""),"",IF(NOT(AND(ISNUMBER(I550),ISNUMBER(Registro!$H550))),"",IF(I550&lt;Registro!$H550,"FALTA BOLETOS",IF(I550=Registro!$H550,"CONFORME","DIFERENCIA"))))</f>
        <v/>
      </c>
      <c r="K550" s="11" t="str">
        <f>IF(Registro!$I550="","",IFERROR(SUMPRODUCT(--("0"&amp;TRIM(RIGHT(SUBSTITUTE(TRIM(MID(SUBSTITUTE(SUBSTITUTE(Registro!$I550,";",CHAR(10)),CHAR(10),REPT(" ",LEN(Registro!$I550))),({1,2,3,4,5,6,7,8,9,10,11,12,13,14,15,16,17,18,19,20,21,22,23,24,25,26,27,28,29,30}-1)*LEN(Registro!$I550)+1,LEN(Registro!$I550)))," ",REPT(" ",50)),50)))),"Revisar formato"))</f>
        <v/>
      </c>
      <c r="L550" s="11" t="str">
        <f>IF(Registro!$J550="","",IFERROR(SUMPRODUCT(--("0"&amp;TRIM(RIGHT(SUBSTITUTE(TRIM(MID(SUBSTITUTE(SUBSTITUTE(Registro!$J550,";",CHAR(10)),CHAR(10),REPT(" ",LEN(Registro!$J550))),({1,2,3,4,5,6,7,8,9,10,11,12,13,14,15,16,17,18,19,20,21,22,23,24,25,26,27,28,29,30}-1)*LEN(Registro!$J550)+1,LEN(Registro!$J550)))," ",REPT(" ",50)),50)))),"Revisar formato"))</f>
        <v/>
      </c>
      <c r="M550" s="11" t="str">
        <f>IF(AND(Registro!$H550="",Registro!$I550=""),"",IF(AND(ISTEXT(K550),K550&lt;&gt;""),"Revisar formato",N(Registro!$H550)-N(K550)))</f>
        <v/>
      </c>
      <c r="N550" s="11" t="str">
        <f t="shared" si="26"/>
        <v/>
      </c>
      <c r="O550" s="15" t="str">
        <f>IF(AND(A550=Consulta!$B$3,C550=Consulta!$H$3),B550*10000+ROW(),"")</f>
        <v/>
      </c>
    </row>
    <row r="551" spans="1:15" x14ac:dyDescent="0.25">
      <c r="A551" s="9" t="str">
        <f>IF(Registro!$A551="","",Registro!$A551)</f>
        <v/>
      </c>
      <c r="B551" s="8" t="str">
        <f>IF(Registro!$B551="","",Registro!$B551)</f>
        <v/>
      </c>
      <c r="C551" s="14" t="str">
        <f t="shared" si="24"/>
        <v/>
      </c>
      <c r="D551" s="10" t="str">
        <f>IF(Registro!$E551="","",IF(ISERROR(FIND("x",LOWER(Registro!$E551))),"-",IFERROR(SUMPRODUCT(--("0"&amp;LEFT(TRIM(MID(SUBSTITUTE(SUBSTITUTE(SUBSTITUTE(SUBSTITUTE(SUBSTITUTE(LOWER(Registro!$E551),"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",LEN(Registro!$E551))),({1,2,3,4,5,6,7,8,9,10,11,12,13,14,15,16,17,18,19,20,21,22,23,24,25,26,27,28,29,30}-1)*LEN(Registro!$E551)+1,LEN(Registro!$E551)))&amp;"x")-1))),"Revisar formato")))</f>
        <v/>
      </c>
      <c r="E551" s="11" t="str">
        <f>IF(Registro!$E551="","",IF(ISERROR(FIND("x",LOWER(Registro!$E551))),"-",IFERROR(SUMPRODUCT(--("0"&amp;LEFT(TRIM(MID(SUBSTITUTE(SUBSTITUTE(SUBSTITUTE(SUBSTITUTE(SUBSTITUTE(LOWER(Registro!$E551),"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",LEN(Registro!$E551))),({1,2,3,4,5,6,7,8,9,10,11,12,13,14,15,16,17,18,19,20,21,22,23,24,25,26,27,28,29,30}-1)*LEN(Registro!$E551)+1,LEN(Registro!$E551)))&amp;"x")-1)),--("0"&amp;MID(TRIM(MID(SUBSTITUTE(SUBSTITUTE(SUBSTITUTE(SUBSTITUTE(SUBSTITUTE(LOWER(Registro!$E551),"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",LEN(Registro!$E551))),({1,2,3,4,5,6,7,8,9,10,11,12,13,14,15,16,17,18,19,20,21,22,23,24,25,26,27,28,29,30}-1)*LEN(Registro!$E551)+1,LEN(Registro!$E551)))&amp;"x")+1,20))),"Revisar formato")))</f>
        <v/>
      </c>
      <c r="F551" s="11" t="str">
        <f>IF(Registro!$F551="","",N(Registro!$F551))</f>
        <v/>
      </c>
      <c r="G551" s="11" t="str">
        <f t="shared" si="25"/>
        <v/>
      </c>
      <c r="H551" s="10" t="str">
        <f>IF(Registro!$G551="","",IF(ISERROR(FIND("x",LOWER(Registro!$G551))),"-",IFERROR(SUMPRODUCT(--("0"&amp;LEFT(TRIM(MID(SUBSTITUTE(SUBSTITUTE(SUBSTITUTE(SUBSTITUTE(SUBSTITUTE(LOWER(Registro!$G551),"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",LEN(Registro!$G551))),({1,2,3,4,5,6,7,8,9,10,11,12,13,14,15,16,17,18,19,20,21,22,23,24,25,26,27,28,29,30}-1)*LEN(Registro!$G551)+1,LEN(Registro!$G551))),FIND("x",TRIM(MID(SUBSTITUTE(SUBSTITUTE(SUBSTITUTE(SUBSTITUTE(SUBSTITUTE(LOWER(Registro!$G551),"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",LEN(Registro!$G551))),({1,2,3,4,5,6,7,8,9,10,11,12,13,14,15,16,17,18,19,20,21,22,23,24,25,26,27,28,29,30}-1)*LEN(Registro!$G551)+1,LEN(Registro!$G551)))&amp;"x")-1))),"Revisar formato")))</f>
        <v/>
      </c>
      <c r="I551" s="11" t="str">
        <f>IF(Registro!$G551="","",IF(ISERROR(FIND("x",LOWER(Registro!$G551))),N(Registro!$H551),IFERROR(SUMPRODUCT(--("0"&amp;LEFT(TRIM(MID(SUBSTITUTE(SUBSTITUTE(SUBSTITUTE(SUBSTITUTE(SUBSTITUTE(LOWER(Registro!$G551),"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",LEN(Registro!$G551))),({1,2,3,4,5,6,7,8,9,10,11,12,13,14,15,16,17,18,19,20,21,22,23,24,25,26,27,28,29,30}-1)*LEN(Registro!$G551)+1,LEN(Registro!$G551))),FIND("x",TRIM(MID(SUBSTITUTE(SUBSTITUTE(SUBSTITUTE(SUBSTITUTE(SUBSTITUTE(LOWER(Registro!$G551),"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",LEN(Registro!$G551))),({1,2,3,4,5,6,7,8,9,10,11,12,13,14,15,16,17,18,19,20,21,22,23,24,25,26,27,28,29,30}-1)*LEN(Registro!$G551)+1,LEN(Registro!$G551)))&amp;"x")-1)),--("0"&amp;MID(TRIM(MID(SUBSTITUTE(SUBSTITUTE(SUBSTITUTE(SUBSTITUTE(SUBSTITUTE(LOWER(Registro!$G551),"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",LEN(Registro!$G551))),({1,2,3,4,5,6,7,8,9,10,11,12,13,14,15,16,17,18,19,20,21,22,23,24,25,26,27,28,29,30}-1)*LEN(Registro!$G551)+1,LEN(Registro!$G551))),FIND("x",TRIM(MID(SUBSTITUTE(SUBSTITUTE(SUBSTITUTE(SUBSTITUTE(SUBSTITUTE(LOWER(Registro!$G551),"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",LEN(Registro!$G551))),({1,2,3,4,5,6,7,8,9,10,11,12,13,14,15,16,17,18,19,20,21,22,23,24,25,26,27,28,29,30}-1)*LEN(Registro!$G551)+1,LEN(Registro!$G551)))&amp;"x")+1,20))),"Revisar formato")))</f>
        <v/>
      </c>
      <c r="J551" s="9" t="str">
        <f>IF(AND(Registro!$E551="",Registro!$G551=""),"",IF(NOT(AND(ISNUMBER(I551),ISNUMBER(Registro!$H551))),"",IF(I551&lt;Registro!$H551,"FALTA BOLETOS",IF(I551=Registro!$H551,"CONFORME","DIFERENCIA"))))</f>
        <v/>
      </c>
      <c r="K551" s="11" t="str">
        <f>IF(Registro!$I551="","",IFERROR(SUMPRODUCT(--("0"&amp;TRIM(RIGHT(SUBSTITUTE(TRIM(MID(SUBSTITUTE(SUBSTITUTE(Registro!$I551,";",CHAR(10)),CHAR(10),REPT(" ",LEN(Registro!$I551))),({1,2,3,4,5,6,7,8,9,10,11,12,13,14,15,16,17,18,19,20,21,22,23,24,25,26,27,28,29,30}-1)*LEN(Registro!$I551)+1,LEN(Registro!$I551)))," ",REPT(" ",50)),50)))),"Revisar formato"))</f>
        <v/>
      </c>
      <c r="L551" s="11" t="str">
        <f>IF(Registro!$J551="","",IFERROR(SUMPRODUCT(--("0"&amp;TRIM(RIGHT(SUBSTITUTE(TRIM(MID(SUBSTITUTE(SUBSTITUTE(Registro!$J551,";",CHAR(10)),CHAR(10),REPT(" ",LEN(Registro!$J551))),({1,2,3,4,5,6,7,8,9,10,11,12,13,14,15,16,17,18,19,20,21,22,23,24,25,26,27,28,29,30}-1)*LEN(Registro!$J551)+1,LEN(Registro!$J551)))," ",REPT(" ",50)),50)))),"Revisar formato"))</f>
        <v/>
      </c>
      <c r="M551" s="11" t="str">
        <f>IF(AND(Registro!$H551="",Registro!$I551=""),"",IF(AND(ISTEXT(K551),K551&lt;&gt;""),"Revisar formato",N(Registro!$H551)-N(K551)))</f>
        <v/>
      </c>
      <c r="N551" s="11" t="str">
        <f t="shared" si="26"/>
        <v/>
      </c>
      <c r="O551" s="15" t="str">
        <f>IF(AND(A551=Consulta!$B$3,C551=Consulta!$H$3),B551*10000+ROW(),"")</f>
        <v/>
      </c>
    </row>
    <row r="552" spans="1:15" x14ac:dyDescent="0.25">
      <c r="A552" s="9" t="str">
        <f>IF(Registro!$A552="","",Registro!$A552)</f>
        <v/>
      </c>
      <c r="B552" s="8" t="str">
        <f>IF(Registro!$B552="","",Registro!$B552)</f>
        <v/>
      </c>
      <c r="C552" s="14" t="str">
        <f t="shared" si="24"/>
        <v/>
      </c>
      <c r="D552" s="10" t="str">
        <f>IF(Registro!$E552="","",IF(ISERROR(FIND("x",LOWER(Registro!$E552))),"-",IFERROR(SUMPRODUCT(--("0"&amp;LEFT(TRIM(MID(SUBSTITUTE(SUBSTITUTE(SUBSTITUTE(SUBSTITUTE(SUBSTITUTE(LOWER(Registro!$E552),"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",LEN(Registro!$E552))),({1,2,3,4,5,6,7,8,9,10,11,12,13,14,15,16,17,18,19,20,21,22,23,24,25,26,27,28,29,30}-1)*LEN(Registro!$E552)+1,LEN(Registro!$E552)))&amp;"x")-1))),"Revisar formato")))</f>
        <v/>
      </c>
      <c r="E552" s="11" t="str">
        <f>IF(Registro!$E552="","",IF(ISERROR(FIND("x",LOWER(Registro!$E552))),"-",IFERROR(SUMPRODUCT(--("0"&amp;LEFT(TRIM(MID(SUBSTITUTE(SUBSTITUTE(SUBSTITUTE(SUBSTITUTE(SUBSTITUTE(LOWER(Registro!$E552),"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",LEN(Registro!$E552))),({1,2,3,4,5,6,7,8,9,10,11,12,13,14,15,16,17,18,19,20,21,22,23,24,25,26,27,28,29,30}-1)*LEN(Registro!$E552)+1,LEN(Registro!$E552)))&amp;"x")-1)),--("0"&amp;MID(TRIM(MID(SUBSTITUTE(SUBSTITUTE(SUBSTITUTE(SUBSTITUTE(SUBSTITUTE(LOWER(Registro!$E552),"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",LEN(Registro!$E552))),({1,2,3,4,5,6,7,8,9,10,11,12,13,14,15,16,17,18,19,20,21,22,23,24,25,26,27,28,29,30}-1)*LEN(Registro!$E552)+1,LEN(Registro!$E552)))&amp;"x")+1,20))),"Revisar formato")))</f>
        <v/>
      </c>
      <c r="F552" s="11" t="str">
        <f>IF(Registro!$F552="","",N(Registro!$F552))</f>
        <v/>
      </c>
      <c r="G552" s="11" t="str">
        <f t="shared" si="25"/>
        <v/>
      </c>
      <c r="H552" s="10" t="str">
        <f>IF(Registro!$G552="","",IF(ISERROR(FIND("x",LOWER(Registro!$G552))),"-",IFERROR(SUMPRODUCT(--("0"&amp;LEFT(TRIM(MID(SUBSTITUTE(SUBSTITUTE(SUBSTITUTE(SUBSTITUTE(SUBSTITUTE(LOWER(Registro!$G552),"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",LEN(Registro!$G552))),({1,2,3,4,5,6,7,8,9,10,11,12,13,14,15,16,17,18,19,20,21,22,23,24,25,26,27,28,29,30}-1)*LEN(Registro!$G552)+1,LEN(Registro!$G552))),FIND("x",TRIM(MID(SUBSTITUTE(SUBSTITUTE(SUBSTITUTE(SUBSTITUTE(SUBSTITUTE(LOWER(Registro!$G552),"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",LEN(Registro!$G552))),({1,2,3,4,5,6,7,8,9,10,11,12,13,14,15,16,17,18,19,20,21,22,23,24,25,26,27,28,29,30}-1)*LEN(Registro!$G552)+1,LEN(Registro!$G552)))&amp;"x")-1))),"Revisar formato")))</f>
        <v/>
      </c>
      <c r="I552" s="11" t="str">
        <f>IF(Registro!$G552="","",IF(ISERROR(FIND("x",LOWER(Registro!$G552))),N(Registro!$H552),IFERROR(SUMPRODUCT(--("0"&amp;LEFT(TRIM(MID(SUBSTITUTE(SUBSTITUTE(SUBSTITUTE(SUBSTITUTE(SUBSTITUTE(LOWER(Registro!$G552),"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",LEN(Registro!$G552))),({1,2,3,4,5,6,7,8,9,10,11,12,13,14,15,16,17,18,19,20,21,22,23,24,25,26,27,28,29,30}-1)*LEN(Registro!$G552)+1,LEN(Registro!$G552))),FIND("x",TRIM(MID(SUBSTITUTE(SUBSTITUTE(SUBSTITUTE(SUBSTITUTE(SUBSTITUTE(LOWER(Registro!$G552),"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",LEN(Registro!$G552))),({1,2,3,4,5,6,7,8,9,10,11,12,13,14,15,16,17,18,19,20,21,22,23,24,25,26,27,28,29,30}-1)*LEN(Registro!$G552)+1,LEN(Registro!$G552)))&amp;"x")-1)),--("0"&amp;MID(TRIM(MID(SUBSTITUTE(SUBSTITUTE(SUBSTITUTE(SUBSTITUTE(SUBSTITUTE(LOWER(Registro!$G552),"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",LEN(Registro!$G552))),({1,2,3,4,5,6,7,8,9,10,11,12,13,14,15,16,17,18,19,20,21,22,23,24,25,26,27,28,29,30}-1)*LEN(Registro!$G552)+1,LEN(Registro!$G552))),FIND("x",TRIM(MID(SUBSTITUTE(SUBSTITUTE(SUBSTITUTE(SUBSTITUTE(SUBSTITUTE(LOWER(Registro!$G552),"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",LEN(Registro!$G552))),({1,2,3,4,5,6,7,8,9,10,11,12,13,14,15,16,17,18,19,20,21,22,23,24,25,26,27,28,29,30}-1)*LEN(Registro!$G552)+1,LEN(Registro!$G552)))&amp;"x")+1,20))),"Revisar formato")))</f>
        <v/>
      </c>
      <c r="J552" s="9" t="str">
        <f>IF(AND(Registro!$E552="",Registro!$G552=""),"",IF(NOT(AND(ISNUMBER(I552),ISNUMBER(Registro!$H552))),"",IF(I552&lt;Registro!$H552,"FALTA BOLETOS",IF(I552=Registro!$H552,"CONFORME","DIFERENCIA"))))</f>
        <v/>
      </c>
      <c r="K552" s="11" t="str">
        <f>IF(Registro!$I552="","",IFERROR(SUMPRODUCT(--("0"&amp;TRIM(RIGHT(SUBSTITUTE(TRIM(MID(SUBSTITUTE(SUBSTITUTE(Registro!$I552,";",CHAR(10)),CHAR(10),REPT(" ",LEN(Registro!$I552))),({1,2,3,4,5,6,7,8,9,10,11,12,13,14,15,16,17,18,19,20,21,22,23,24,25,26,27,28,29,30}-1)*LEN(Registro!$I552)+1,LEN(Registro!$I552)))," ",REPT(" ",50)),50)))),"Revisar formato"))</f>
        <v/>
      </c>
      <c r="L552" s="11" t="str">
        <f>IF(Registro!$J552="","",IFERROR(SUMPRODUCT(--("0"&amp;TRIM(RIGHT(SUBSTITUTE(TRIM(MID(SUBSTITUTE(SUBSTITUTE(Registro!$J552,";",CHAR(10)),CHAR(10),REPT(" ",LEN(Registro!$J552))),({1,2,3,4,5,6,7,8,9,10,11,12,13,14,15,16,17,18,19,20,21,22,23,24,25,26,27,28,29,30}-1)*LEN(Registro!$J552)+1,LEN(Registro!$J552)))," ",REPT(" ",50)),50)))),"Revisar formato"))</f>
        <v/>
      </c>
      <c r="M552" s="11" t="str">
        <f>IF(AND(Registro!$H552="",Registro!$I552=""),"",IF(AND(ISTEXT(K552),K552&lt;&gt;""),"Revisar formato",N(Registro!$H552)-N(K552)))</f>
        <v/>
      </c>
      <c r="N552" s="11" t="str">
        <f t="shared" si="26"/>
        <v/>
      </c>
      <c r="O552" s="15" t="str">
        <f>IF(AND(A552=Consulta!$B$3,C552=Consulta!$H$3),B552*10000+ROW(),"")</f>
        <v/>
      </c>
    </row>
    <row r="553" spans="1:15" x14ac:dyDescent="0.25">
      <c r="A553" s="9" t="str">
        <f>IF(Registro!$A553="","",Registro!$A553)</f>
        <v/>
      </c>
      <c r="B553" s="8" t="str">
        <f>IF(Registro!$B553="","",Registro!$B553)</f>
        <v/>
      </c>
      <c r="C553" s="14" t="str">
        <f t="shared" si="24"/>
        <v/>
      </c>
      <c r="D553" s="10" t="str">
        <f>IF(Registro!$E553="","",IF(ISERROR(FIND("x",LOWER(Registro!$E553))),"-",IFERROR(SUMPRODUCT(--("0"&amp;LEFT(TRIM(MID(SUBSTITUTE(SUBSTITUTE(SUBSTITUTE(SUBSTITUTE(SUBSTITUTE(LOWER(Registro!$E553),"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",LEN(Registro!$E553))),({1,2,3,4,5,6,7,8,9,10,11,12,13,14,15,16,17,18,19,20,21,22,23,24,25,26,27,28,29,30}-1)*LEN(Registro!$E553)+1,LEN(Registro!$E553)))&amp;"x")-1))),"Revisar formato")))</f>
        <v/>
      </c>
      <c r="E553" s="11" t="str">
        <f>IF(Registro!$E553="","",IF(ISERROR(FIND("x",LOWER(Registro!$E553))),"-",IFERROR(SUMPRODUCT(--("0"&amp;LEFT(TRIM(MID(SUBSTITUTE(SUBSTITUTE(SUBSTITUTE(SUBSTITUTE(SUBSTITUTE(LOWER(Registro!$E553),"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",LEN(Registro!$E553))),({1,2,3,4,5,6,7,8,9,10,11,12,13,14,15,16,17,18,19,20,21,22,23,24,25,26,27,28,29,30}-1)*LEN(Registro!$E553)+1,LEN(Registro!$E553)))&amp;"x")-1)),--("0"&amp;MID(TRIM(MID(SUBSTITUTE(SUBSTITUTE(SUBSTITUTE(SUBSTITUTE(SUBSTITUTE(LOWER(Registro!$E553),"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",LEN(Registro!$E553))),({1,2,3,4,5,6,7,8,9,10,11,12,13,14,15,16,17,18,19,20,21,22,23,24,25,26,27,28,29,30}-1)*LEN(Registro!$E553)+1,LEN(Registro!$E553)))&amp;"x")+1,20))),"Revisar formato")))</f>
        <v/>
      </c>
      <c r="F553" s="11" t="str">
        <f>IF(Registro!$F553="","",N(Registro!$F553))</f>
        <v/>
      </c>
      <c r="G553" s="11" t="str">
        <f t="shared" si="25"/>
        <v/>
      </c>
      <c r="H553" s="10" t="str">
        <f>IF(Registro!$G553="","",IF(ISERROR(FIND("x",LOWER(Registro!$G553))),"-",IFERROR(SUMPRODUCT(--("0"&amp;LEFT(TRIM(MID(SUBSTITUTE(SUBSTITUTE(SUBSTITUTE(SUBSTITUTE(SUBSTITUTE(LOWER(Registro!$G553),"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",LEN(Registro!$G553))),({1,2,3,4,5,6,7,8,9,10,11,12,13,14,15,16,17,18,19,20,21,22,23,24,25,26,27,28,29,30}-1)*LEN(Registro!$G553)+1,LEN(Registro!$G553))),FIND("x",TRIM(MID(SUBSTITUTE(SUBSTITUTE(SUBSTITUTE(SUBSTITUTE(SUBSTITUTE(LOWER(Registro!$G553),"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",LEN(Registro!$G553))),({1,2,3,4,5,6,7,8,9,10,11,12,13,14,15,16,17,18,19,20,21,22,23,24,25,26,27,28,29,30}-1)*LEN(Registro!$G553)+1,LEN(Registro!$G553)))&amp;"x")-1))),"Revisar formato")))</f>
        <v/>
      </c>
      <c r="I553" s="11" t="str">
        <f>IF(Registro!$G553="","",IF(ISERROR(FIND("x",LOWER(Registro!$G553))),N(Registro!$H553),IFERROR(SUMPRODUCT(--("0"&amp;LEFT(TRIM(MID(SUBSTITUTE(SUBSTITUTE(SUBSTITUTE(SUBSTITUTE(SUBSTITUTE(LOWER(Registro!$G553),"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",LEN(Registro!$G553))),({1,2,3,4,5,6,7,8,9,10,11,12,13,14,15,16,17,18,19,20,21,22,23,24,25,26,27,28,29,30}-1)*LEN(Registro!$G553)+1,LEN(Registro!$G553))),FIND("x",TRIM(MID(SUBSTITUTE(SUBSTITUTE(SUBSTITUTE(SUBSTITUTE(SUBSTITUTE(LOWER(Registro!$G553),"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",LEN(Registro!$G553))),({1,2,3,4,5,6,7,8,9,10,11,12,13,14,15,16,17,18,19,20,21,22,23,24,25,26,27,28,29,30}-1)*LEN(Registro!$G553)+1,LEN(Registro!$G553)))&amp;"x")-1)),--("0"&amp;MID(TRIM(MID(SUBSTITUTE(SUBSTITUTE(SUBSTITUTE(SUBSTITUTE(SUBSTITUTE(LOWER(Registro!$G553),"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",LEN(Registro!$G553))),({1,2,3,4,5,6,7,8,9,10,11,12,13,14,15,16,17,18,19,20,21,22,23,24,25,26,27,28,29,30}-1)*LEN(Registro!$G553)+1,LEN(Registro!$G553))),FIND("x",TRIM(MID(SUBSTITUTE(SUBSTITUTE(SUBSTITUTE(SUBSTITUTE(SUBSTITUTE(LOWER(Registro!$G553),"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",LEN(Registro!$G553))),({1,2,3,4,5,6,7,8,9,10,11,12,13,14,15,16,17,18,19,20,21,22,23,24,25,26,27,28,29,30}-1)*LEN(Registro!$G553)+1,LEN(Registro!$G553)))&amp;"x")+1,20))),"Revisar formato")))</f>
        <v/>
      </c>
      <c r="J553" s="9" t="str">
        <f>IF(AND(Registro!$E553="",Registro!$G553=""),"",IF(NOT(AND(ISNUMBER(I553),ISNUMBER(Registro!$H553))),"",IF(I553&lt;Registro!$H553,"FALTA BOLETOS",IF(I553=Registro!$H553,"CONFORME","DIFERENCIA"))))</f>
        <v/>
      </c>
      <c r="K553" s="11" t="str">
        <f>IF(Registro!$I553="","",IFERROR(SUMPRODUCT(--("0"&amp;TRIM(RIGHT(SUBSTITUTE(TRIM(MID(SUBSTITUTE(SUBSTITUTE(Registro!$I553,";",CHAR(10)),CHAR(10),REPT(" ",LEN(Registro!$I553))),({1,2,3,4,5,6,7,8,9,10,11,12,13,14,15,16,17,18,19,20,21,22,23,24,25,26,27,28,29,30}-1)*LEN(Registro!$I553)+1,LEN(Registro!$I553)))," ",REPT(" ",50)),50)))),"Revisar formato"))</f>
        <v/>
      </c>
      <c r="L553" s="11" t="str">
        <f>IF(Registro!$J553="","",IFERROR(SUMPRODUCT(--("0"&amp;TRIM(RIGHT(SUBSTITUTE(TRIM(MID(SUBSTITUTE(SUBSTITUTE(Registro!$J553,";",CHAR(10)),CHAR(10),REPT(" ",LEN(Registro!$J553))),({1,2,3,4,5,6,7,8,9,10,11,12,13,14,15,16,17,18,19,20,21,22,23,24,25,26,27,28,29,30}-1)*LEN(Registro!$J553)+1,LEN(Registro!$J553)))," ",REPT(" ",50)),50)))),"Revisar formato"))</f>
        <v/>
      </c>
      <c r="M553" s="11" t="str">
        <f>IF(AND(Registro!$H553="",Registro!$I553=""),"",IF(AND(ISTEXT(K553),K553&lt;&gt;""),"Revisar formato",N(Registro!$H553)-N(K553)))</f>
        <v/>
      </c>
      <c r="N553" s="11" t="str">
        <f t="shared" si="26"/>
        <v/>
      </c>
      <c r="O553" s="15" t="str">
        <f>IF(AND(A553=Consulta!$B$3,C553=Consulta!$H$3),B553*10000+ROW(),"")</f>
        <v/>
      </c>
    </row>
    <row r="554" spans="1:15" x14ac:dyDescent="0.25">
      <c r="A554" s="9" t="str">
        <f>IF(Registro!$A554="","",Registro!$A554)</f>
        <v/>
      </c>
      <c r="B554" s="8" t="str">
        <f>IF(Registro!$B554="","",Registro!$B554)</f>
        <v/>
      </c>
      <c r="C554" s="14" t="str">
        <f t="shared" si="24"/>
        <v/>
      </c>
      <c r="D554" s="10" t="str">
        <f>IF(Registro!$E554="","",IF(ISERROR(FIND("x",LOWER(Registro!$E554))),"-",IFERROR(SUMPRODUCT(--("0"&amp;LEFT(TRIM(MID(SUBSTITUTE(SUBSTITUTE(SUBSTITUTE(SUBSTITUTE(SUBSTITUTE(LOWER(Registro!$E554),"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",LEN(Registro!$E554))),({1,2,3,4,5,6,7,8,9,10,11,12,13,14,15,16,17,18,19,20,21,22,23,24,25,26,27,28,29,30}-1)*LEN(Registro!$E554)+1,LEN(Registro!$E554)))&amp;"x")-1))),"Revisar formato")))</f>
        <v/>
      </c>
      <c r="E554" s="11" t="str">
        <f>IF(Registro!$E554="","",IF(ISERROR(FIND("x",LOWER(Registro!$E554))),"-",IFERROR(SUMPRODUCT(--("0"&amp;LEFT(TRIM(MID(SUBSTITUTE(SUBSTITUTE(SUBSTITUTE(SUBSTITUTE(SUBSTITUTE(LOWER(Registro!$E554),"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",LEN(Registro!$E554))),({1,2,3,4,5,6,7,8,9,10,11,12,13,14,15,16,17,18,19,20,21,22,23,24,25,26,27,28,29,30}-1)*LEN(Registro!$E554)+1,LEN(Registro!$E554)))&amp;"x")-1)),--("0"&amp;MID(TRIM(MID(SUBSTITUTE(SUBSTITUTE(SUBSTITUTE(SUBSTITUTE(SUBSTITUTE(LOWER(Registro!$E554),"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",LEN(Registro!$E554))),({1,2,3,4,5,6,7,8,9,10,11,12,13,14,15,16,17,18,19,20,21,22,23,24,25,26,27,28,29,30}-1)*LEN(Registro!$E554)+1,LEN(Registro!$E554)))&amp;"x")+1,20))),"Revisar formato")))</f>
        <v/>
      </c>
      <c r="F554" s="11" t="str">
        <f>IF(Registro!$F554="","",N(Registro!$F554))</f>
        <v/>
      </c>
      <c r="G554" s="11" t="str">
        <f t="shared" si="25"/>
        <v/>
      </c>
      <c r="H554" s="10" t="str">
        <f>IF(Registro!$G554="","",IF(ISERROR(FIND("x",LOWER(Registro!$G554))),"-",IFERROR(SUMPRODUCT(--("0"&amp;LEFT(TRIM(MID(SUBSTITUTE(SUBSTITUTE(SUBSTITUTE(SUBSTITUTE(SUBSTITUTE(LOWER(Registro!$G554),"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",LEN(Registro!$G554))),({1,2,3,4,5,6,7,8,9,10,11,12,13,14,15,16,17,18,19,20,21,22,23,24,25,26,27,28,29,30}-1)*LEN(Registro!$G554)+1,LEN(Registro!$G554))),FIND("x",TRIM(MID(SUBSTITUTE(SUBSTITUTE(SUBSTITUTE(SUBSTITUTE(SUBSTITUTE(LOWER(Registro!$G554),"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",LEN(Registro!$G554))),({1,2,3,4,5,6,7,8,9,10,11,12,13,14,15,16,17,18,19,20,21,22,23,24,25,26,27,28,29,30}-1)*LEN(Registro!$G554)+1,LEN(Registro!$G554)))&amp;"x")-1))),"Revisar formato")))</f>
        <v/>
      </c>
      <c r="I554" s="11" t="str">
        <f>IF(Registro!$G554="","",IF(ISERROR(FIND("x",LOWER(Registro!$G554))),N(Registro!$H554),IFERROR(SUMPRODUCT(--("0"&amp;LEFT(TRIM(MID(SUBSTITUTE(SUBSTITUTE(SUBSTITUTE(SUBSTITUTE(SUBSTITUTE(LOWER(Registro!$G554),"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",LEN(Registro!$G554))),({1,2,3,4,5,6,7,8,9,10,11,12,13,14,15,16,17,18,19,20,21,22,23,24,25,26,27,28,29,30}-1)*LEN(Registro!$G554)+1,LEN(Registro!$G554))),FIND("x",TRIM(MID(SUBSTITUTE(SUBSTITUTE(SUBSTITUTE(SUBSTITUTE(SUBSTITUTE(LOWER(Registro!$G554),"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",LEN(Registro!$G554))),({1,2,3,4,5,6,7,8,9,10,11,12,13,14,15,16,17,18,19,20,21,22,23,24,25,26,27,28,29,30}-1)*LEN(Registro!$G554)+1,LEN(Registro!$G554)))&amp;"x")-1)),--("0"&amp;MID(TRIM(MID(SUBSTITUTE(SUBSTITUTE(SUBSTITUTE(SUBSTITUTE(SUBSTITUTE(LOWER(Registro!$G554),"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",LEN(Registro!$G554))),({1,2,3,4,5,6,7,8,9,10,11,12,13,14,15,16,17,18,19,20,21,22,23,24,25,26,27,28,29,30}-1)*LEN(Registro!$G554)+1,LEN(Registro!$G554))),FIND("x",TRIM(MID(SUBSTITUTE(SUBSTITUTE(SUBSTITUTE(SUBSTITUTE(SUBSTITUTE(LOWER(Registro!$G554),"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",LEN(Registro!$G554))),({1,2,3,4,5,6,7,8,9,10,11,12,13,14,15,16,17,18,19,20,21,22,23,24,25,26,27,28,29,30}-1)*LEN(Registro!$G554)+1,LEN(Registro!$G554)))&amp;"x")+1,20))),"Revisar formato")))</f>
        <v/>
      </c>
      <c r="J554" s="9" t="str">
        <f>IF(AND(Registro!$E554="",Registro!$G554=""),"",IF(NOT(AND(ISNUMBER(I554),ISNUMBER(Registro!$H554))),"",IF(I554&lt;Registro!$H554,"FALTA BOLETOS",IF(I554=Registro!$H554,"CONFORME","DIFERENCIA"))))</f>
        <v/>
      </c>
      <c r="K554" s="11" t="str">
        <f>IF(Registro!$I554="","",IFERROR(SUMPRODUCT(--("0"&amp;TRIM(RIGHT(SUBSTITUTE(TRIM(MID(SUBSTITUTE(SUBSTITUTE(Registro!$I554,";",CHAR(10)),CHAR(10),REPT(" ",LEN(Registro!$I554))),({1,2,3,4,5,6,7,8,9,10,11,12,13,14,15,16,17,18,19,20,21,22,23,24,25,26,27,28,29,30}-1)*LEN(Registro!$I554)+1,LEN(Registro!$I554)))," ",REPT(" ",50)),50)))),"Revisar formato"))</f>
        <v/>
      </c>
      <c r="L554" s="11" t="str">
        <f>IF(Registro!$J554="","",IFERROR(SUMPRODUCT(--("0"&amp;TRIM(RIGHT(SUBSTITUTE(TRIM(MID(SUBSTITUTE(SUBSTITUTE(Registro!$J554,";",CHAR(10)),CHAR(10),REPT(" ",LEN(Registro!$J554))),({1,2,3,4,5,6,7,8,9,10,11,12,13,14,15,16,17,18,19,20,21,22,23,24,25,26,27,28,29,30}-1)*LEN(Registro!$J554)+1,LEN(Registro!$J554)))," ",REPT(" ",50)),50)))),"Revisar formato"))</f>
        <v/>
      </c>
      <c r="M554" s="11" t="str">
        <f>IF(AND(Registro!$H554="",Registro!$I554=""),"",IF(AND(ISTEXT(K554),K554&lt;&gt;""),"Revisar formato",N(Registro!$H554)-N(K554)))</f>
        <v/>
      </c>
      <c r="N554" s="11" t="str">
        <f t="shared" si="26"/>
        <v/>
      </c>
      <c r="O554" s="15" t="str">
        <f>IF(AND(A554=Consulta!$B$3,C554=Consulta!$H$3),B554*10000+ROW(),"")</f>
        <v/>
      </c>
    </row>
    <row r="555" spans="1:15" x14ac:dyDescent="0.25">
      <c r="A555" s="9" t="str">
        <f>IF(Registro!$A555="","",Registro!$A555)</f>
        <v/>
      </c>
      <c r="B555" s="8" t="str">
        <f>IF(Registro!$B555="","",Registro!$B555)</f>
        <v/>
      </c>
      <c r="C555" s="14" t="str">
        <f t="shared" si="24"/>
        <v/>
      </c>
      <c r="D555" s="10" t="str">
        <f>IF(Registro!$E555="","",IF(ISERROR(FIND("x",LOWER(Registro!$E555))),"-",IFERROR(SUMPRODUCT(--("0"&amp;LEFT(TRIM(MID(SUBSTITUTE(SUBSTITUTE(SUBSTITUTE(SUBSTITUTE(SUBSTITUTE(LOWER(Registro!$E555),"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",LEN(Registro!$E555))),({1,2,3,4,5,6,7,8,9,10,11,12,13,14,15,16,17,18,19,20,21,22,23,24,25,26,27,28,29,30}-1)*LEN(Registro!$E555)+1,LEN(Registro!$E555)))&amp;"x")-1))),"Revisar formato")))</f>
        <v/>
      </c>
      <c r="E555" s="11" t="str">
        <f>IF(Registro!$E555="","",IF(ISERROR(FIND("x",LOWER(Registro!$E555))),"-",IFERROR(SUMPRODUCT(--("0"&amp;LEFT(TRIM(MID(SUBSTITUTE(SUBSTITUTE(SUBSTITUTE(SUBSTITUTE(SUBSTITUTE(LOWER(Registro!$E555),"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",LEN(Registro!$E555))),({1,2,3,4,5,6,7,8,9,10,11,12,13,14,15,16,17,18,19,20,21,22,23,24,25,26,27,28,29,30}-1)*LEN(Registro!$E555)+1,LEN(Registro!$E555)))&amp;"x")-1)),--("0"&amp;MID(TRIM(MID(SUBSTITUTE(SUBSTITUTE(SUBSTITUTE(SUBSTITUTE(SUBSTITUTE(LOWER(Registro!$E555),"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",LEN(Registro!$E555))),({1,2,3,4,5,6,7,8,9,10,11,12,13,14,15,16,17,18,19,20,21,22,23,24,25,26,27,28,29,30}-1)*LEN(Registro!$E555)+1,LEN(Registro!$E555)))&amp;"x")+1,20))),"Revisar formato")))</f>
        <v/>
      </c>
      <c r="F555" s="11" t="str">
        <f>IF(Registro!$F555="","",N(Registro!$F555))</f>
        <v/>
      </c>
      <c r="G555" s="11" t="str">
        <f t="shared" si="25"/>
        <v/>
      </c>
      <c r="H555" s="10" t="str">
        <f>IF(Registro!$G555="","",IF(ISERROR(FIND("x",LOWER(Registro!$G555))),"-",IFERROR(SUMPRODUCT(--("0"&amp;LEFT(TRIM(MID(SUBSTITUTE(SUBSTITUTE(SUBSTITUTE(SUBSTITUTE(SUBSTITUTE(LOWER(Registro!$G555),"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",LEN(Registro!$G555))),({1,2,3,4,5,6,7,8,9,10,11,12,13,14,15,16,17,18,19,20,21,22,23,24,25,26,27,28,29,30}-1)*LEN(Registro!$G555)+1,LEN(Registro!$G555))),FIND("x",TRIM(MID(SUBSTITUTE(SUBSTITUTE(SUBSTITUTE(SUBSTITUTE(SUBSTITUTE(LOWER(Registro!$G555),"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",LEN(Registro!$G555))),({1,2,3,4,5,6,7,8,9,10,11,12,13,14,15,16,17,18,19,20,21,22,23,24,25,26,27,28,29,30}-1)*LEN(Registro!$G555)+1,LEN(Registro!$G555)))&amp;"x")-1))),"Revisar formato")))</f>
        <v/>
      </c>
      <c r="I555" s="11" t="str">
        <f>IF(Registro!$G555="","",IF(ISERROR(FIND("x",LOWER(Registro!$G555))),N(Registro!$H555),IFERROR(SUMPRODUCT(--("0"&amp;LEFT(TRIM(MID(SUBSTITUTE(SUBSTITUTE(SUBSTITUTE(SUBSTITUTE(SUBSTITUTE(LOWER(Registro!$G555),"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",LEN(Registro!$G555))),({1,2,3,4,5,6,7,8,9,10,11,12,13,14,15,16,17,18,19,20,21,22,23,24,25,26,27,28,29,30}-1)*LEN(Registro!$G555)+1,LEN(Registro!$G555))),FIND("x",TRIM(MID(SUBSTITUTE(SUBSTITUTE(SUBSTITUTE(SUBSTITUTE(SUBSTITUTE(LOWER(Registro!$G555),"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",LEN(Registro!$G555))),({1,2,3,4,5,6,7,8,9,10,11,12,13,14,15,16,17,18,19,20,21,22,23,24,25,26,27,28,29,30}-1)*LEN(Registro!$G555)+1,LEN(Registro!$G555)))&amp;"x")-1)),--("0"&amp;MID(TRIM(MID(SUBSTITUTE(SUBSTITUTE(SUBSTITUTE(SUBSTITUTE(SUBSTITUTE(LOWER(Registro!$G555),"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",LEN(Registro!$G555))),({1,2,3,4,5,6,7,8,9,10,11,12,13,14,15,16,17,18,19,20,21,22,23,24,25,26,27,28,29,30}-1)*LEN(Registro!$G555)+1,LEN(Registro!$G555))),FIND("x",TRIM(MID(SUBSTITUTE(SUBSTITUTE(SUBSTITUTE(SUBSTITUTE(SUBSTITUTE(LOWER(Registro!$G555),"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",LEN(Registro!$G555))),({1,2,3,4,5,6,7,8,9,10,11,12,13,14,15,16,17,18,19,20,21,22,23,24,25,26,27,28,29,30}-1)*LEN(Registro!$G555)+1,LEN(Registro!$G555)))&amp;"x")+1,20))),"Revisar formato")))</f>
        <v/>
      </c>
      <c r="J555" s="9" t="str">
        <f>IF(AND(Registro!$E555="",Registro!$G555=""),"",IF(NOT(AND(ISNUMBER(I555),ISNUMBER(Registro!$H555))),"",IF(I555&lt;Registro!$H555,"FALTA BOLETOS",IF(I555=Registro!$H555,"CONFORME","DIFERENCIA"))))</f>
        <v/>
      </c>
      <c r="K555" s="11" t="str">
        <f>IF(Registro!$I555="","",IFERROR(SUMPRODUCT(--("0"&amp;TRIM(RIGHT(SUBSTITUTE(TRIM(MID(SUBSTITUTE(SUBSTITUTE(Registro!$I555,";",CHAR(10)),CHAR(10),REPT(" ",LEN(Registro!$I555))),({1,2,3,4,5,6,7,8,9,10,11,12,13,14,15,16,17,18,19,20,21,22,23,24,25,26,27,28,29,30}-1)*LEN(Registro!$I555)+1,LEN(Registro!$I555)))," ",REPT(" ",50)),50)))),"Revisar formato"))</f>
        <v/>
      </c>
      <c r="L555" s="11" t="str">
        <f>IF(Registro!$J555="","",IFERROR(SUMPRODUCT(--("0"&amp;TRIM(RIGHT(SUBSTITUTE(TRIM(MID(SUBSTITUTE(SUBSTITUTE(Registro!$J555,";",CHAR(10)),CHAR(10),REPT(" ",LEN(Registro!$J555))),({1,2,3,4,5,6,7,8,9,10,11,12,13,14,15,16,17,18,19,20,21,22,23,24,25,26,27,28,29,30}-1)*LEN(Registro!$J555)+1,LEN(Registro!$J555)))," ",REPT(" ",50)),50)))),"Revisar formato"))</f>
        <v/>
      </c>
      <c r="M555" s="11" t="str">
        <f>IF(AND(Registro!$H555="",Registro!$I555=""),"",IF(AND(ISTEXT(K555),K555&lt;&gt;""),"Revisar formato",N(Registro!$H555)-N(K555)))</f>
        <v/>
      </c>
      <c r="N555" s="11" t="str">
        <f t="shared" si="26"/>
        <v/>
      </c>
      <c r="O555" s="15" t="str">
        <f>IF(AND(A555=Consulta!$B$3,C555=Consulta!$H$3),B555*10000+ROW(),"")</f>
        <v/>
      </c>
    </row>
    <row r="556" spans="1:15" x14ac:dyDescent="0.25">
      <c r="A556" s="9" t="str">
        <f>IF(Registro!$A556="","",Registro!$A556)</f>
        <v/>
      </c>
      <c r="B556" s="8" t="str">
        <f>IF(Registro!$B556="","",Registro!$B556)</f>
        <v/>
      </c>
      <c r="C556" s="14" t="str">
        <f t="shared" si="24"/>
        <v/>
      </c>
      <c r="D556" s="10" t="str">
        <f>IF(Registro!$E556="","",IF(ISERROR(FIND("x",LOWER(Registro!$E556))),"-",IFERROR(SUMPRODUCT(--("0"&amp;LEFT(TRIM(MID(SUBSTITUTE(SUBSTITUTE(SUBSTITUTE(SUBSTITUTE(SUBSTITUTE(LOWER(Registro!$E556),"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",LEN(Registro!$E556))),({1,2,3,4,5,6,7,8,9,10,11,12,13,14,15,16,17,18,19,20,21,22,23,24,25,26,27,28,29,30}-1)*LEN(Registro!$E556)+1,LEN(Registro!$E556)))&amp;"x")-1))),"Revisar formato")))</f>
        <v/>
      </c>
      <c r="E556" s="11" t="str">
        <f>IF(Registro!$E556="","",IF(ISERROR(FIND("x",LOWER(Registro!$E556))),"-",IFERROR(SUMPRODUCT(--("0"&amp;LEFT(TRIM(MID(SUBSTITUTE(SUBSTITUTE(SUBSTITUTE(SUBSTITUTE(SUBSTITUTE(LOWER(Registro!$E556),"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",LEN(Registro!$E556))),({1,2,3,4,5,6,7,8,9,10,11,12,13,14,15,16,17,18,19,20,21,22,23,24,25,26,27,28,29,30}-1)*LEN(Registro!$E556)+1,LEN(Registro!$E556)))&amp;"x")-1)),--("0"&amp;MID(TRIM(MID(SUBSTITUTE(SUBSTITUTE(SUBSTITUTE(SUBSTITUTE(SUBSTITUTE(LOWER(Registro!$E556),"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",LEN(Registro!$E556))),({1,2,3,4,5,6,7,8,9,10,11,12,13,14,15,16,17,18,19,20,21,22,23,24,25,26,27,28,29,30}-1)*LEN(Registro!$E556)+1,LEN(Registro!$E556)))&amp;"x")+1,20))),"Revisar formato")))</f>
        <v/>
      </c>
      <c r="F556" s="11" t="str">
        <f>IF(Registro!$F556="","",N(Registro!$F556))</f>
        <v/>
      </c>
      <c r="G556" s="11" t="str">
        <f t="shared" si="25"/>
        <v/>
      </c>
      <c r="H556" s="10" t="str">
        <f>IF(Registro!$G556="","",IF(ISERROR(FIND("x",LOWER(Registro!$G556))),"-",IFERROR(SUMPRODUCT(--("0"&amp;LEFT(TRIM(MID(SUBSTITUTE(SUBSTITUTE(SUBSTITUTE(SUBSTITUTE(SUBSTITUTE(LOWER(Registro!$G556),"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",LEN(Registro!$G556))),({1,2,3,4,5,6,7,8,9,10,11,12,13,14,15,16,17,18,19,20,21,22,23,24,25,26,27,28,29,30}-1)*LEN(Registro!$G556)+1,LEN(Registro!$G556))),FIND("x",TRIM(MID(SUBSTITUTE(SUBSTITUTE(SUBSTITUTE(SUBSTITUTE(SUBSTITUTE(LOWER(Registro!$G556),"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",LEN(Registro!$G556))),({1,2,3,4,5,6,7,8,9,10,11,12,13,14,15,16,17,18,19,20,21,22,23,24,25,26,27,28,29,30}-1)*LEN(Registro!$G556)+1,LEN(Registro!$G556)))&amp;"x")-1))),"Revisar formato")))</f>
        <v/>
      </c>
      <c r="I556" s="11" t="str">
        <f>IF(Registro!$G556="","",IF(ISERROR(FIND("x",LOWER(Registro!$G556))),N(Registro!$H556),IFERROR(SUMPRODUCT(--("0"&amp;LEFT(TRIM(MID(SUBSTITUTE(SUBSTITUTE(SUBSTITUTE(SUBSTITUTE(SUBSTITUTE(LOWER(Registro!$G556),"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",LEN(Registro!$G556))),({1,2,3,4,5,6,7,8,9,10,11,12,13,14,15,16,17,18,19,20,21,22,23,24,25,26,27,28,29,30}-1)*LEN(Registro!$G556)+1,LEN(Registro!$G556))),FIND("x",TRIM(MID(SUBSTITUTE(SUBSTITUTE(SUBSTITUTE(SUBSTITUTE(SUBSTITUTE(LOWER(Registro!$G556),"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",LEN(Registro!$G556))),({1,2,3,4,5,6,7,8,9,10,11,12,13,14,15,16,17,18,19,20,21,22,23,24,25,26,27,28,29,30}-1)*LEN(Registro!$G556)+1,LEN(Registro!$G556)))&amp;"x")-1)),--("0"&amp;MID(TRIM(MID(SUBSTITUTE(SUBSTITUTE(SUBSTITUTE(SUBSTITUTE(SUBSTITUTE(LOWER(Registro!$G556),"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",LEN(Registro!$G556))),({1,2,3,4,5,6,7,8,9,10,11,12,13,14,15,16,17,18,19,20,21,22,23,24,25,26,27,28,29,30}-1)*LEN(Registro!$G556)+1,LEN(Registro!$G556))),FIND("x",TRIM(MID(SUBSTITUTE(SUBSTITUTE(SUBSTITUTE(SUBSTITUTE(SUBSTITUTE(LOWER(Registro!$G556),"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",LEN(Registro!$G556))),({1,2,3,4,5,6,7,8,9,10,11,12,13,14,15,16,17,18,19,20,21,22,23,24,25,26,27,28,29,30}-1)*LEN(Registro!$G556)+1,LEN(Registro!$G556)))&amp;"x")+1,20))),"Revisar formato")))</f>
        <v/>
      </c>
      <c r="J556" s="9" t="str">
        <f>IF(AND(Registro!$E556="",Registro!$G556=""),"",IF(NOT(AND(ISNUMBER(I556),ISNUMBER(Registro!$H556))),"",IF(I556&lt;Registro!$H556,"FALTA BOLETOS",IF(I556=Registro!$H556,"CONFORME","DIFERENCIA"))))</f>
        <v/>
      </c>
      <c r="K556" s="11" t="str">
        <f>IF(Registro!$I556="","",IFERROR(SUMPRODUCT(--("0"&amp;TRIM(RIGHT(SUBSTITUTE(TRIM(MID(SUBSTITUTE(SUBSTITUTE(Registro!$I556,";",CHAR(10)),CHAR(10),REPT(" ",LEN(Registro!$I556))),({1,2,3,4,5,6,7,8,9,10,11,12,13,14,15,16,17,18,19,20,21,22,23,24,25,26,27,28,29,30}-1)*LEN(Registro!$I556)+1,LEN(Registro!$I556)))," ",REPT(" ",50)),50)))),"Revisar formato"))</f>
        <v/>
      </c>
      <c r="L556" s="11" t="str">
        <f>IF(Registro!$J556="","",IFERROR(SUMPRODUCT(--("0"&amp;TRIM(RIGHT(SUBSTITUTE(TRIM(MID(SUBSTITUTE(SUBSTITUTE(Registro!$J556,";",CHAR(10)),CHAR(10),REPT(" ",LEN(Registro!$J556))),({1,2,3,4,5,6,7,8,9,10,11,12,13,14,15,16,17,18,19,20,21,22,23,24,25,26,27,28,29,30}-1)*LEN(Registro!$J556)+1,LEN(Registro!$J556)))," ",REPT(" ",50)),50)))),"Revisar formato"))</f>
        <v/>
      </c>
      <c r="M556" s="11" t="str">
        <f>IF(AND(Registro!$H556="",Registro!$I556=""),"",IF(AND(ISTEXT(K556),K556&lt;&gt;""),"Revisar formato",N(Registro!$H556)-N(K556)))</f>
        <v/>
      </c>
      <c r="N556" s="11" t="str">
        <f t="shared" si="26"/>
        <v/>
      </c>
      <c r="O556" s="15" t="str">
        <f>IF(AND(A556=Consulta!$B$3,C556=Consulta!$H$3),B556*10000+ROW(),"")</f>
        <v/>
      </c>
    </row>
    <row r="557" spans="1:15" x14ac:dyDescent="0.25">
      <c r="A557" s="9" t="str">
        <f>IF(Registro!$A557="","",Registro!$A557)</f>
        <v/>
      </c>
      <c r="B557" s="8" t="str">
        <f>IF(Registro!$B557="","",Registro!$B557)</f>
        <v/>
      </c>
      <c r="C557" s="14" t="str">
        <f t="shared" si="24"/>
        <v/>
      </c>
      <c r="D557" s="10" t="str">
        <f>IF(Registro!$E557="","",IF(ISERROR(FIND("x",LOWER(Registro!$E557))),"-",IFERROR(SUMPRODUCT(--("0"&amp;LEFT(TRIM(MID(SUBSTITUTE(SUBSTITUTE(SUBSTITUTE(SUBSTITUTE(SUBSTITUTE(LOWER(Registro!$E557),"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",LEN(Registro!$E557))),({1,2,3,4,5,6,7,8,9,10,11,12,13,14,15,16,17,18,19,20,21,22,23,24,25,26,27,28,29,30}-1)*LEN(Registro!$E557)+1,LEN(Registro!$E557)))&amp;"x")-1))),"Revisar formato")))</f>
        <v/>
      </c>
      <c r="E557" s="11" t="str">
        <f>IF(Registro!$E557="","",IF(ISERROR(FIND("x",LOWER(Registro!$E557))),"-",IFERROR(SUMPRODUCT(--("0"&amp;LEFT(TRIM(MID(SUBSTITUTE(SUBSTITUTE(SUBSTITUTE(SUBSTITUTE(SUBSTITUTE(LOWER(Registro!$E557),"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",LEN(Registro!$E557))),({1,2,3,4,5,6,7,8,9,10,11,12,13,14,15,16,17,18,19,20,21,22,23,24,25,26,27,28,29,30}-1)*LEN(Registro!$E557)+1,LEN(Registro!$E557)))&amp;"x")-1)),--("0"&amp;MID(TRIM(MID(SUBSTITUTE(SUBSTITUTE(SUBSTITUTE(SUBSTITUTE(SUBSTITUTE(LOWER(Registro!$E557),"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",LEN(Registro!$E557))),({1,2,3,4,5,6,7,8,9,10,11,12,13,14,15,16,17,18,19,20,21,22,23,24,25,26,27,28,29,30}-1)*LEN(Registro!$E557)+1,LEN(Registro!$E557)))&amp;"x")+1,20))),"Revisar formato")))</f>
        <v/>
      </c>
      <c r="F557" s="11" t="str">
        <f>IF(Registro!$F557="","",N(Registro!$F557))</f>
        <v/>
      </c>
      <c r="G557" s="11" t="str">
        <f t="shared" si="25"/>
        <v/>
      </c>
      <c r="H557" s="10" t="str">
        <f>IF(Registro!$G557="","",IF(ISERROR(FIND("x",LOWER(Registro!$G557))),"-",IFERROR(SUMPRODUCT(--("0"&amp;LEFT(TRIM(MID(SUBSTITUTE(SUBSTITUTE(SUBSTITUTE(SUBSTITUTE(SUBSTITUTE(LOWER(Registro!$G557),"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",LEN(Registro!$G557))),({1,2,3,4,5,6,7,8,9,10,11,12,13,14,15,16,17,18,19,20,21,22,23,24,25,26,27,28,29,30}-1)*LEN(Registro!$G557)+1,LEN(Registro!$G557))),FIND("x",TRIM(MID(SUBSTITUTE(SUBSTITUTE(SUBSTITUTE(SUBSTITUTE(SUBSTITUTE(LOWER(Registro!$G557),"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",LEN(Registro!$G557))),({1,2,3,4,5,6,7,8,9,10,11,12,13,14,15,16,17,18,19,20,21,22,23,24,25,26,27,28,29,30}-1)*LEN(Registro!$G557)+1,LEN(Registro!$G557)))&amp;"x")-1))),"Revisar formato")))</f>
        <v/>
      </c>
      <c r="I557" s="11" t="str">
        <f>IF(Registro!$G557="","",IF(ISERROR(FIND("x",LOWER(Registro!$G557))),N(Registro!$H557),IFERROR(SUMPRODUCT(--("0"&amp;LEFT(TRIM(MID(SUBSTITUTE(SUBSTITUTE(SUBSTITUTE(SUBSTITUTE(SUBSTITUTE(LOWER(Registro!$G557),"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",LEN(Registro!$G557))),({1,2,3,4,5,6,7,8,9,10,11,12,13,14,15,16,17,18,19,20,21,22,23,24,25,26,27,28,29,30}-1)*LEN(Registro!$G557)+1,LEN(Registro!$G557))),FIND("x",TRIM(MID(SUBSTITUTE(SUBSTITUTE(SUBSTITUTE(SUBSTITUTE(SUBSTITUTE(LOWER(Registro!$G557),"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",LEN(Registro!$G557))),({1,2,3,4,5,6,7,8,9,10,11,12,13,14,15,16,17,18,19,20,21,22,23,24,25,26,27,28,29,30}-1)*LEN(Registro!$G557)+1,LEN(Registro!$G557)))&amp;"x")-1)),--("0"&amp;MID(TRIM(MID(SUBSTITUTE(SUBSTITUTE(SUBSTITUTE(SUBSTITUTE(SUBSTITUTE(LOWER(Registro!$G557),"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",LEN(Registro!$G557))),({1,2,3,4,5,6,7,8,9,10,11,12,13,14,15,16,17,18,19,20,21,22,23,24,25,26,27,28,29,30}-1)*LEN(Registro!$G557)+1,LEN(Registro!$G557))),FIND("x",TRIM(MID(SUBSTITUTE(SUBSTITUTE(SUBSTITUTE(SUBSTITUTE(SUBSTITUTE(LOWER(Registro!$G557),"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",LEN(Registro!$G557))),({1,2,3,4,5,6,7,8,9,10,11,12,13,14,15,16,17,18,19,20,21,22,23,24,25,26,27,28,29,30}-1)*LEN(Registro!$G557)+1,LEN(Registro!$G557)))&amp;"x")+1,20))),"Revisar formato")))</f>
        <v/>
      </c>
      <c r="J557" s="9" t="str">
        <f>IF(AND(Registro!$E557="",Registro!$G557=""),"",IF(NOT(AND(ISNUMBER(I557),ISNUMBER(Registro!$H557))),"",IF(I557&lt;Registro!$H557,"FALTA BOLETOS",IF(I557=Registro!$H557,"CONFORME","DIFERENCIA"))))</f>
        <v/>
      </c>
      <c r="K557" s="11" t="str">
        <f>IF(Registro!$I557="","",IFERROR(SUMPRODUCT(--("0"&amp;TRIM(RIGHT(SUBSTITUTE(TRIM(MID(SUBSTITUTE(SUBSTITUTE(Registro!$I557,";",CHAR(10)),CHAR(10),REPT(" ",LEN(Registro!$I557))),({1,2,3,4,5,6,7,8,9,10,11,12,13,14,15,16,17,18,19,20,21,22,23,24,25,26,27,28,29,30}-1)*LEN(Registro!$I557)+1,LEN(Registro!$I557)))," ",REPT(" ",50)),50)))),"Revisar formato"))</f>
        <v/>
      </c>
      <c r="L557" s="11" t="str">
        <f>IF(Registro!$J557="","",IFERROR(SUMPRODUCT(--("0"&amp;TRIM(RIGHT(SUBSTITUTE(TRIM(MID(SUBSTITUTE(SUBSTITUTE(Registro!$J557,";",CHAR(10)),CHAR(10),REPT(" ",LEN(Registro!$J557))),({1,2,3,4,5,6,7,8,9,10,11,12,13,14,15,16,17,18,19,20,21,22,23,24,25,26,27,28,29,30}-1)*LEN(Registro!$J557)+1,LEN(Registro!$J557)))," ",REPT(" ",50)),50)))),"Revisar formato"))</f>
        <v/>
      </c>
      <c r="M557" s="11" t="str">
        <f>IF(AND(Registro!$H557="",Registro!$I557=""),"",IF(AND(ISTEXT(K557),K557&lt;&gt;""),"Revisar formato",N(Registro!$H557)-N(K557)))</f>
        <v/>
      </c>
      <c r="N557" s="11" t="str">
        <f t="shared" si="26"/>
        <v/>
      </c>
      <c r="O557" s="15" t="str">
        <f>IF(AND(A557=Consulta!$B$3,C557=Consulta!$H$3),B557*10000+ROW(),"")</f>
        <v/>
      </c>
    </row>
    <row r="558" spans="1:15" x14ac:dyDescent="0.25">
      <c r="A558" s="9" t="str">
        <f>IF(Registro!$A558="","",Registro!$A558)</f>
        <v/>
      </c>
      <c r="B558" s="8" t="str">
        <f>IF(Registro!$B558="","",Registro!$B558)</f>
        <v/>
      </c>
      <c r="C558" s="14" t="str">
        <f t="shared" si="24"/>
        <v/>
      </c>
      <c r="D558" s="10" t="str">
        <f>IF(Registro!$E558="","",IF(ISERROR(FIND("x",LOWER(Registro!$E558))),"-",IFERROR(SUMPRODUCT(--("0"&amp;LEFT(TRIM(MID(SUBSTITUTE(SUBSTITUTE(SUBSTITUTE(SUBSTITUTE(SUBSTITUTE(LOWER(Registro!$E558),"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",LEN(Registro!$E558))),({1,2,3,4,5,6,7,8,9,10,11,12,13,14,15,16,17,18,19,20,21,22,23,24,25,26,27,28,29,30}-1)*LEN(Registro!$E558)+1,LEN(Registro!$E558)))&amp;"x")-1))),"Revisar formato")))</f>
        <v/>
      </c>
      <c r="E558" s="11" t="str">
        <f>IF(Registro!$E558="","",IF(ISERROR(FIND("x",LOWER(Registro!$E558))),"-",IFERROR(SUMPRODUCT(--("0"&amp;LEFT(TRIM(MID(SUBSTITUTE(SUBSTITUTE(SUBSTITUTE(SUBSTITUTE(SUBSTITUTE(LOWER(Registro!$E558),"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",LEN(Registro!$E558))),({1,2,3,4,5,6,7,8,9,10,11,12,13,14,15,16,17,18,19,20,21,22,23,24,25,26,27,28,29,30}-1)*LEN(Registro!$E558)+1,LEN(Registro!$E558)))&amp;"x")-1)),--("0"&amp;MID(TRIM(MID(SUBSTITUTE(SUBSTITUTE(SUBSTITUTE(SUBSTITUTE(SUBSTITUTE(LOWER(Registro!$E558),"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",LEN(Registro!$E558))),({1,2,3,4,5,6,7,8,9,10,11,12,13,14,15,16,17,18,19,20,21,22,23,24,25,26,27,28,29,30}-1)*LEN(Registro!$E558)+1,LEN(Registro!$E558)))&amp;"x")+1,20))),"Revisar formato")))</f>
        <v/>
      </c>
      <c r="F558" s="11" t="str">
        <f>IF(Registro!$F558="","",N(Registro!$F558))</f>
        <v/>
      </c>
      <c r="G558" s="11" t="str">
        <f t="shared" si="25"/>
        <v/>
      </c>
      <c r="H558" s="10" t="str">
        <f>IF(Registro!$G558="","",IF(ISERROR(FIND("x",LOWER(Registro!$G558))),"-",IFERROR(SUMPRODUCT(--("0"&amp;LEFT(TRIM(MID(SUBSTITUTE(SUBSTITUTE(SUBSTITUTE(SUBSTITUTE(SUBSTITUTE(LOWER(Registro!$G558),"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",LEN(Registro!$G558))),({1,2,3,4,5,6,7,8,9,10,11,12,13,14,15,16,17,18,19,20,21,22,23,24,25,26,27,28,29,30}-1)*LEN(Registro!$G558)+1,LEN(Registro!$G558))),FIND("x",TRIM(MID(SUBSTITUTE(SUBSTITUTE(SUBSTITUTE(SUBSTITUTE(SUBSTITUTE(LOWER(Registro!$G558),"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",LEN(Registro!$G558))),({1,2,3,4,5,6,7,8,9,10,11,12,13,14,15,16,17,18,19,20,21,22,23,24,25,26,27,28,29,30}-1)*LEN(Registro!$G558)+1,LEN(Registro!$G558)))&amp;"x")-1))),"Revisar formato")))</f>
        <v/>
      </c>
      <c r="I558" s="11" t="str">
        <f>IF(Registro!$G558="","",IF(ISERROR(FIND("x",LOWER(Registro!$G558))),N(Registro!$H558),IFERROR(SUMPRODUCT(--("0"&amp;LEFT(TRIM(MID(SUBSTITUTE(SUBSTITUTE(SUBSTITUTE(SUBSTITUTE(SUBSTITUTE(LOWER(Registro!$G558),"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",LEN(Registro!$G558))),({1,2,3,4,5,6,7,8,9,10,11,12,13,14,15,16,17,18,19,20,21,22,23,24,25,26,27,28,29,30}-1)*LEN(Registro!$G558)+1,LEN(Registro!$G558))),FIND("x",TRIM(MID(SUBSTITUTE(SUBSTITUTE(SUBSTITUTE(SUBSTITUTE(SUBSTITUTE(LOWER(Registro!$G558),"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",LEN(Registro!$G558))),({1,2,3,4,5,6,7,8,9,10,11,12,13,14,15,16,17,18,19,20,21,22,23,24,25,26,27,28,29,30}-1)*LEN(Registro!$G558)+1,LEN(Registro!$G558)))&amp;"x")-1)),--("0"&amp;MID(TRIM(MID(SUBSTITUTE(SUBSTITUTE(SUBSTITUTE(SUBSTITUTE(SUBSTITUTE(LOWER(Registro!$G558),"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",LEN(Registro!$G558))),({1,2,3,4,5,6,7,8,9,10,11,12,13,14,15,16,17,18,19,20,21,22,23,24,25,26,27,28,29,30}-1)*LEN(Registro!$G558)+1,LEN(Registro!$G558))),FIND("x",TRIM(MID(SUBSTITUTE(SUBSTITUTE(SUBSTITUTE(SUBSTITUTE(SUBSTITUTE(LOWER(Registro!$G558),"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",LEN(Registro!$G558))),({1,2,3,4,5,6,7,8,9,10,11,12,13,14,15,16,17,18,19,20,21,22,23,24,25,26,27,28,29,30}-1)*LEN(Registro!$G558)+1,LEN(Registro!$G558)))&amp;"x")+1,20))),"Revisar formato")))</f>
        <v/>
      </c>
      <c r="J558" s="9" t="str">
        <f>IF(AND(Registro!$E558="",Registro!$G558=""),"",IF(NOT(AND(ISNUMBER(I558),ISNUMBER(Registro!$H558))),"",IF(I558&lt;Registro!$H558,"FALTA BOLETOS",IF(I558=Registro!$H558,"CONFORME","DIFERENCIA"))))</f>
        <v/>
      </c>
      <c r="K558" s="11" t="str">
        <f>IF(Registro!$I558="","",IFERROR(SUMPRODUCT(--("0"&amp;TRIM(RIGHT(SUBSTITUTE(TRIM(MID(SUBSTITUTE(SUBSTITUTE(Registro!$I558,";",CHAR(10)),CHAR(10),REPT(" ",LEN(Registro!$I558))),({1,2,3,4,5,6,7,8,9,10,11,12,13,14,15,16,17,18,19,20,21,22,23,24,25,26,27,28,29,30}-1)*LEN(Registro!$I558)+1,LEN(Registro!$I558)))," ",REPT(" ",50)),50)))),"Revisar formato"))</f>
        <v/>
      </c>
      <c r="L558" s="11" t="str">
        <f>IF(Registro!$J558="","",IFERROR(SUMPRODUCT(--("0"&amp;TRIM(RIGHT(SUBSTITUTE(TRIM(MID(SUBSTITUTE(SUBSTITUTE(Registro!$J558,";",CHAR(10)),CHAR(10),REPT(" ",LEN(Registro!$J558))),({1,2,3,4,5,6,7,8,9,10,11,12,13,14,15,16,17,18,19,20,21,22,23,24,25,26,27,28,29,30}-1)*LEN(Registro!$J558)+1,LEN(Registro!$J558)))," ",REPT(" ",50)),50)))),"Revisar formato"))</f>
        <v/>
      </c>
      <c r="M558" s="11" t="str">
        <f>IF(AND(Registro!$H558="",Registro!$I558=""),"",IF(AND(ISTEXT(K558),K558&lt;&gt;""),"Revisar formato",N(Registro!$H558)-N(K558)))</f>
        <v/>
      </c>
      <c r="N558" s="11" t="str">
        <f t="shared" si="26"/>
        <v/>
      </c>
      <c r="O558" s="15" t="str">
        <f>IF(AND(A558=Consulta!$B$3,C558=Consulta!$H$3),B558*10000+ROW(),"")</f>
        <v/>
      </c>
    </row>
    <row r="559" spans="1:15" x14ac:dyDescent="0.25">
      <c r="A559" s="9" t="str">
        <f>IF(Registro!$A559="","",Registro!$A559)</f>
        <v/>
      </c>
      <c r="B559" s="8" t="str">
        <f>IF(Registro!$B559="","",Registro!$B559)</f>
        <v/>
      </c>
      <c r="C559" s="14" t="str">
        <f t="shared" si="24"/>
        <v/>
      </c>
      <c r="D559" s="10" t="str">
        <f>IF(Registro!$E559="","",IF(ISERROR(FIND("x",LOWER(Registro!$E559))),"-",IFERROR(SUMPRODUCT(--("0"&amp;LEFT(TRIM(MID(SUBSTITUTE(SUBSTITUTE(SUBSTITUTE(SUBSTITUTE(SUBSTITUTE(LOWER(Registro!$E559),"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",LEN(Registro!$E559))),({1,2,3,4,5,6,7,8,9,10,11,12,13,14,15,16,17,18,19,20,21,22,23,24,25,26,27,28,29,30}-1)*LEN(Registro!$E559)+1,LEN(Registro!$E559)))&amp;"x")-1))),"Revisar formato")))</f>
        <v/>
      </c>
      <c r="E559" s="11" t="str">
        <f>IF(Registro!$E559="","",IF(ISERROR(FIND("x",LOWER(Registro!$E559))),"-",IFERROR(SUMPRODUCT(--("0"&amp;LEFT(TRIM(MID(SUBSTITUTE(SUBSTITUTE(SUBSTITUTE(SUBSTITUTE(SUBSTITUTE(LOWER(Registro!$E559),"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",LEN(Registro!$E559))),({1,2,3,4,5,6,7,8,9,10,11,12,13,14,15,16,17,18,19,20,21,22,23,24,25,26,27,28,29,30}-1)*LEN(Registro!$E559)+1,LEN(Registro!$E559)))&amp;"x")-1)),--("0"&amp;MID(TRIM(MID(SUBSTITUTE(SUBSTITUTE(SUBSTITUTE(SUBSTITUTE(SUBSTITUTE(LOWER(Registro!$E559),"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",LEN(Registro!$E559))),({1,2,3,4,5,6,7,8,9,10,11,12,13,14,15,16,17,18,19,20,21,22,23,24,25,26,27,28,29,30}-1)*LEN(Registro!$E559)+1,LEN(Registro!$E559)))&amp;"x")+1,20))),"Revisar formato")))</f>
        <v/>
      </c>
      <c r="F559" s="11" t="str">
        <f>IF(Registro!$F559="","",N(Registro!$F559))</f>
        <v/>
      </c>
      <c r="G559" s="11" t="str">
        <f t="shared" si="25"/>
        <v/>
      </c>
      <c r="H559" s="10" t="str">
        <f>IF(Registro!$G559="","",IF(ISERROR(FIND("x",LOWER(Registro!$G559))),"-",IFERROR(SUMPRODUCT(--("0"&amp;LEFT(TRIM(MID(SUBSTITUTE(SUBSTITUTE(SUBSTITUTE(SUBSTITUTE(SUBSTITUTE(LOWER(Registro!$G559),"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",LEN(Registro!$G559))),({1,2,3,4,5,6,7,8,9,10,11,12,13,14,15,16,17,18,19,20,21,22,23,24,25,26,27,28,29,30}-1)*LEN(Registro!$G559)+1,LEN(Registro!$G559))),FIND("x",TRIM(MID(SUBSTITUTE(SUBSTITUTE(SUBSTITUTE(SUBSTITUTE(SUBSTITUTE(LOWER(Registro!$G559),"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",LEN(Registro!$G559))),({1,2,3,4,5,6,7,8,9,10,11,12,13,14,15,16,17,18,19,20,21,22,23,24,25,26,27,28,29,30}-1)*LEN(Registro!$G559)+1,LEN(Registro!$G559)))&amp;"x")-1))),"Revisar formato")))</f>
        <v/>
      </c>
      <c r="I559" s="11" t="str">
        <f>IF(Registro!$G559="","",IF(ISERROR(FIND("x",LOWER(Registro!$G559))),N(Registro!$H559),IFERROR(SUMPRODUCT(--("0"&amp;LEFT(TRIM(MID(SUBSTITUTE(SUBSTITUTE(SUBSTITUTE(SUBSTITUTE(SUBSTITUTE(LOWER(Registro!$G559),"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",LEN(Registro!$G559))),({1,2,3,4,5,6,7,8,9,10,11,12,13,14,15,16,17,18,19,20,21,22,23,24,25,26,27,28,29,30}-1)*LEN(Registro!$G559)+1,LEN(Registro!$G559))),FIND("x",TRIM(MID(SUBSTITUTE(SUBSTITUTE(SUBSTITUTE(SUBSTITUTE(SUBSTITUTE(LOWER(Registro!$G559),"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",LEN(Registro!$G559))),({1,2,3,4,5,6,7,8,9,10,11,12,13,14,15,16,17,18,19,20,21,22,23,24,25,26,27,28,29,30}-1)*LEN(Registro!$G559)+1,LEN(Registro!$G559)))&amp;"x")-1)),--("0"&amp;MID(TRIM(MID(SUBSTITUTE(SUBSTITUTE(SUBSTITUTE(SUBSTITUTE(SUBSTITUTE(LOWER(Registro!$G559),"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",LEN(Registro!$G559))),({1,2,3,4,5,6,7,8,9,10,11,12,13,14,15,16,17,18,19,20,21,22,23,24,25,26,27,28,29,30}-1)*LEN(Registro!$G559)+1,LEN(Registro!$G559))),FIND("x",TRIM(MID(SUBSTITUTE(SUBSTITUTE(SUBSTITUTE(SUBSTITUTE(SUBSTITUTE(LOWER(Registro!$G559),"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",LEN(Registro!$G559))),({1,2,3,4,5,6,7,8,9,10,11,12,13,14,15,16,17,18,19,20,21,22,23,24,25,26,27,28,29,30}-1)*LEN(Registro!$G559)+1,LEN(Registro!$G559)))&amp;"x")+1,20))),"Revisar formato")))</f>
        <v/>
      </c>
      <c r="J559" s="9" t="str">
        <f>IF(AND(Registro!$E559="",Registro!$G559=""),"",IF(NOT(AND(ISNUMBER(I559),ISNUMBER(Registro!$H559))),"",IF(I559&lt;Registro!$H559,"FALTA BOLETOS",IF(I559=Registro!$H559,"CONFORME","DIFERENCIA"))))</f>
        <v/>
      </c>
      <c r="K559" s="11" t="str">
        <f>IF(Registro!$I559="","",IFERROR(SUMPRODUCT(--("0"&amp;TRIM(RIGHT(SUBSTITUTE(TRIM(MID(SUBSTITUTE(SUBSTITUTE(Registro!$I559,";",CHAR(10)),CHAR(10),REPT(" ",LEN(Registro!$I559))),({1,2,3,4,5,6,7,8,9,10,11,12,13,14,15,16,17,18,19,20,21,22,23,24,25,26,27,28,29,30}-1)*LEN(Registro!$I559)+1,LEN(Registro!$I559)))," ",REPT(" ",50)),50)))),"Revisar formato"))</f>
        <v/>
      </c>
      <c r="L559" s="11" t="str">
        <f>IF(Registro!$J559="","",IFERROR(SUMPRODUCT(--("0"&amp;TRIM(RIGHT(SUBSTITUTE(TRIM(MID(SUBSTITUTE(SUBSTITUTE(Registro!$J559,";",CHAR(10)),CHAR(10),REPT(" ",LEN(Registro!$J559))),({1,2,3,4,5,6,7,8,9,10,11,12,13,14,15,16,17,18,19,20,21,22,23,24,25,26,27,28,29,30}-1)*LEN(Registro!$J559)+1,LEN(Registro!$J559)))," ",REPT(" ",50)),50)))),"Revisar formato"))</f>
        <v/>
      </c>
      <c r="M559" s="11" t="str">
        <f>IF(AND(Registro!$H559="",Registro!$I559=""),"",IF(AND(ISTEXT(K559),K559&lt;&gt;""),"Revisar formato",N(Registro!$H559)-N(K559)))</f>
        <v/>
      </c>
      <c r="N559" s="11" t="str">
        <f t="shared" si="26"/>
        <v/>
      </c>
      <c r="O559" s="15" t="str">
        <f>IF(AND(A559=Consulta!$B$3,C559=Consulta!$H$3),B559*10000+ROW(),"")</f>
        <v/>
      </c>
    </row>
    <row r="560" spans="1:15" x14ac:dyDescent="0.25">
      <c r="A560" s="9" t="str">
        <f>IF(Registro!$A560="","",Registro!$A560)</f>
        <v/>
      </c>
      <c r="B560" s="8" t="str">
        <f>IF(Registro!$B560="","",Registro!$B560)</f>
        <v/>
      </c>
      <c r="C560" s="14" t="str">
        <f t="shared" si="24"/>
        <v/>
      </c>
      <c r="D560" s="10" t="str">
        <f>IF(Registro!$E560="","",IF(ISERROR(FIND("x",LOWER(Registro!$E560))),"-",IFERROR(SUMPRODUCT(--("0"&amp;LEFT(TRIM(MID(SUBSTITUTE(SUBSTITUTE(SUBSTITUTE(SUBSTITUTE(SUBSTITUTE(LOWER(Registro!$E560),"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",LEN(Registro!$E560))),({1,2,3,4,5,6,7,8,9,10,11,12,13,14,15,16,17,18,19,20,21,22,23,24,25,26,27,28,29,30}-1)*LEN(Registro!$E560)+1,LEN(Registro!$E560)))&amp;"x")-1))),"Revisar formato")))</f>
        <v/>
      </c>
      <c r="E560" s="11" t="str">
        <f>IF(Registro!$E560="","",IF(ISERROR(FIND("x",LOWER(Registro!$E560))),"-",IFERROR(SUMPRODUCT(--("0"&amp;LEFT(TRIM(MID(SUBSTITUTE(SUBSTITUTE(SUBSTITUTE(SUBSTITUTE(SUBSTITUTE(LOWER(Registro!$E560),"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",LEN(Registro!$E560))),({1,2,3,4,5,6,7,8,9,10,11,12,13,14,15,16,17,18,19,20,21,22,23,24,25,26,27,28,29,30}-1)*LEN(Registro!$E560)+1,LEN(Registro!$E560)))&amp;"x")-1)),--("0"&amp;MID(TRIM(MID(SUBSTITUTE(SUBSTITUTE(SUBSTITUTE(SUBSTITUTE(SUBSTITUTE(LOWER(Registro!$E560),"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",LEN(Registro!$E560))),({1,2,3,4,5,6,7,8,9,10,11,12,13,14,15,16,17,18,19,20,21,22,23,24,25,26,27,28,29,30}-1)*LEN(Registro!$E560)+1,LEN(Registro!$E560)))&amp;"x")+1,20))),"Revisar formato")))</f>
        <v/>
      </c>
      <c r="F560" s="11" t="str">
        <f>IF(Registro!$F560="","",N(Registro!$F560))</f>
        <v/>
      </c>
      <c r="G560" s="11" t="str">
        <f t="shared" si="25"/>
        <v/>
      </c>
      <c r="H560" s="10" t="str">
        <f>IF(Registro!$G560="","",IF(ISERROR(FIND("x",LOWER(Registro!$G560))),"-",IFERROR(SUMPRODUCT(--("0"&amp;LEFT(TRIM(MID(SUBSTITUTE(SUBSTITUTE(SUBSTITUTE(SUBSTITUTE(SUBSTITUTE(LOWER(Registro!$G560),"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",LEN(Registro!$G560))),({1,2,3,4,5,6,7,8,9,10,11,12,13,14,15,16,17,18,19,20,21,22,23,24,25,26,27,28,29,30}-1)*LEN(Registro!$G560)+1,LEN(Registro!$G560))),FIND("x",TRIM(MID(SUBSTITUTE(SUBSTITUTE(SUBSTITUTE(SUBSTITUTE(SUBSTITUTE(LOWER(Registro!$G560),"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",LEN(Registro!$G560))),({1,2,3,4,5,6,7,8,9,10,11,12,13,14,15,16,17,18,19,20,21,22,23,24,25,26,27,28,29,30}-1)*LEN(Registro!$G560)+1,LEN(Registro!$G560)))&amp;"x")-1))),"Revisar formato")))</f>
        <v/>
      </c>
      <c r="I560" s="11" t="str">
        <f>IF(Registro!$G560="","",IF(ISERROR(FIND("x",LOWER(Registro!$G560))),N(Registro!$H560),IFERROR(SUMPRODUCT(--("0"&amp;LEFT(TRIM(MID(SUBSTITUTE(SUBSTITUTE(SUBSTITUTE(SUBSTITUTE(SUBSTITUTE(LOWER(Registro!$G560),"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",LEN(Registro!$G560))),({1,2,3,4,5,6,7,8,9,10,11,12,13,14,15,16,17,18,19,20,21,22,23,24,25,26,27,28,29,30}-1)*LEN(Registro!$G560)+1,LEN(Registro!$G560))),FIND("x",TRIM(MID(SUBSTITUTE(SUBSTITUTE(SUBSTITUTE(SUBSTITUTE(SUBSTITUTE(LOWER(Registro!$G560),"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",LEN(Registro!$G560))),({1,2,3,4,5,6,7,8,9,10,11,12,13,14,15,16,17,18,19,20,21,22,23,24,25,26,27,28,29,30}-1)*LEN(Registro!$G560)+1,LEN(Registro!$G560)))&amp;"x")-1)),--("0"&amp;MID(TRIM(MID(SUBSTITUTE(SUBSTITUTE(SUBSTITUTE(SUBSTITUTE(SUBSTITUTE(LOWER(Registro!$G560),"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",LEN(Registro!$G560))),({1,2,3,4,5,6,7,8,9,10,11,12,13,14,15,16,17,18,19,20,21,22,23,24,25,26,27,28,29,30}-1)*LEN(Registro!$G560)+1,LEN(Registro!$G560))),FIND("x",TRIM(MID(SUBSTITUTE(SUBSTITUTE(SUBSTITUTE(SUBSTITUTE(SUBSTITUTE(LOWER(Registro!$G560),"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",LEN(Registro!$G560))),({1,2,3,4,5,6,7,8,9,10,11,12,13,14,15,16,17,18,19,20,21,22,23,24,25,26,27,28,29,30}-1)*LEN(Registro!$G560)+1,LEN(Registro!$G560)))&amp;"x")+1,20))),"Revisar formato")))</f>
        <v/>
      </c>
      <c r="J560" s="9" t="str">
        <f>IF(AND(Registro!$E560="",Registro!$G560=""),"",IF(NOT(AND(ISNUMBER(I560),ISNUMBER(Registro!$H560))),"",IF(I560&lt;Registro!$H560,"FALTA BOLETOS",IF(I560=Registro!$H560,"CONFORME","DIFERENCIA"))))</f>
        <v/>
      </c>
      <c r="K560" s="11" t="str">
        <f>IF(Registro!$I560="","",IFERROR(SUMPRODUCT(--("0"&amp;TRIM(RIGHT(SUBSTITUTE(TRIM(MID(SUBSTITUTE(SUBSTITUTE(Registro!$I560,";",CHAR(10)),CHAR(10),REPT(" ",LEN(Registro!$I560))),({1,2,3,4,5,6,7,8,9,10,11,12,13,14,15,16,17,18,19,20,21,22,23,24,25,26,27,28,29,30}-1)*LEN(Registro!$I560)+1,LEN(Registro!$I560)))," ",REPT(" ",50)),50)))),"Revisar formato"))</f>
        <v/>
      </c>
      <c r="L560" s="11" t="str">
        <f>IF(Registro!$J560="","",IFERROR(SUMPRODUCT(--("0"&amp;TRIM(RIGHT(SUBSTITUTE(TRIM(MID(SUBSTITUTE(SUBSTITUTE(Registro!$J560,";",CHAR(10)),CHAR(10),REPT(" ",LEN(Registro!$J560))),({1,2,3,4,5,6,7,8,9,10,11,12,13,14,15,16,17,18,19,20,21,22,23,24,25,26,27,28,29,30}-1)*LEN(Registro!$J560)+1,LEN(Registro!$J560)))," ",REPT(" ",50)),50)))),"Revisar formato"))</f>
        <v/>
      </c>
      <c r="M560" s="11" t="str">
        <f>IF(AND(Registro!$H560="",Registro!$I560=""),"",IF(AND(ISTEXT(K560),K560&lt;&gt;""),"Revisar formato",N(Registro!$H560)-N(K560)))</f>
        <v/>
      </c>
      <c r="N560" s="11" t="str">
        <f t="shared" si="26"/>
        <v/>
      </c>
      <c r="O560" s="15" t="str">
        <f>IF(AND(A560=Consulta!$B$3,C560=Consulta!$H$3),B560*10000+ROW(),"")</f>
        <v/>
      </c>
    </row>
    <row r="561" spans="1:15" x14ac:dyDescent="0.25">
      <c r="A561" s="9" t="str">
        <f>IF(Registro!$A561="","",Registro!$A561)</f>
        <v/>
      </c>
      <c r="B561" s="8" t="str">
        <f>IF(Registro!$B561="","",Registro!$B561)</f>
        <v/>
      </c>
      <c r="C561" s="14" t="str">
        <f t="shared" si="24"/>
        <v/>
      </c>
      <c r="D561" s="10" t="str">
        <f>IF(Registro!$E561="","",IF(ISERROR(FIND("x",LOWER(Registro!$E561))),"-",IFERROR(SUMPRODUCT(--("0"&amp;LEFT(TRIM(MID(SUBSTITUTE(SUBSTITUTE(SUBSTITUTE(SUBSTITUTE(SUBSTITUTE(LOWER(Registro!$E561),"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",LEN(Registro!$E561))),({1,2,3,4,5,6,7,8,9,10,11,12,13,14,15,16,17,18,19,20,21,22,23,24,25,26,27,28,29,30}-1)*LEN(Registro!$E561)+1,LEN(Registro!$E561)))&amp;"x")-1))),"Revisar formato")))</f>
        <v/>
      </c>
      <c r="E561" s="11" t="str">
        <f>IF(Registro!$E561="","",IF(ISERROR(FIND("x",LOWER(Registro!$E561))),"-",IFERROR(SUMPRODUCT(--("0"&amp;LEFT(TRIM(MID(SUBSTITUTE(SUBSTITUTE(SUBSTITUTE(SUBSTITUTE(SUBSTITUTE(LOWER(Registro!$E561),"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",LEN(Registro!$E561))),({1,2,3,4,5,6,7,8,9,10,11,12,13,14,15,16,17,18,19,20,21,22,23,24,25,26,27,28,29,30}-1)*LEN(Registro!$E561)+1,LEN(Registro!$E561)))&amp;"x")-1)),--("0"&amp;MID(TRIM(MID(SUBSTITUTE(SUBSTITUTE(SUBSTITUTE(SUBSTITUTE(SUBSTITUTE(LOWER(Registro!$E561),"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",LEN(Registro!$E561))),({1,2,3,4,5,6,7,8,9,10,11,12,13,14,15,16,17,18,19,20,21,22,23,24,25,26,27,28,29,30}-1)*LEN(Registro!$E561)+1,LEN(Registro!$E561)))&amp;"x")+1,20))),"Revisar formato")))</f>
        <v/>
      </c>
      <c r="F561" s="11" t="str">
        <f>IF(Registro!$F561="","",N(Registro!$F561))</f>
        <v/>
      </c>
      <c r="G561" s="11" t="str">
        <f t="shared" si="25"/>
        <v/>
      </c>
      <c r="H561" s="10" t="str">
        <f>IF(Registro!$G561="","",IF(ISERROR(FIND("x",LOWER(Registro!$G561))),"-",IFERROR(SUMPRODUCT(--("0"&amp;LEFT(TRIM(MID(SUBSTITUTE(SUBSTITUTE(SUBSTITUTE(SUBSTITUTE(SUBSTITUTE(LOWER(Registro!$G561),"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",LEN(Registro!$G561))),({1,2,3,4,5,6,7,8,9,10,11,12,13,14,15,16,17,18,19,20,21,22,23,24,25,26,27,28,29,30}-1)*LEN(Registro!$G561)+1,LEN(Registro!$G561))),FIND("x",TRIM(MID(SUBSTITUTE(SUBSTITUTE(SUBSTITUTE(SUBSTITUTE(SUBSTITUTE(LOWER(Registro!$G561),"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",LEN(Registro!$G561))),({1,2,3,4,5,6,7,8,9,10,11,12,13,14,15,16,17,18,19,20,21,22,23,24,25,26,27,28,29,30}-1)*LEN(Registro!$G561)+1,LEN(Registro!$G561)))&amp;"x")-1))),"Revisar formato")))</f>
        <v/>
      </c>
      <c r="I561" s="11" t="str">
        <f>IF(Registro!$G561="","",IF(ISERROR(FIND("x",LOWER(Registro!$G561))),N(Registro!$H561),IFERROR(SUMPRODUCT(--("0"&amp;LEFT(TRIM(MID(SUBSTITUTE(SUBSTITUTE(SUBSTITUTE(SUBSTITUTE(SUBSTITUTE(LOWER(Registro!$G561),"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",LEN(Registro!$G561))),({1,2,3,4,5,6,7,8,9,10,11,12,13,14,15,16,17,18,19,20,21,22,23,24,25,26,27,28,29,30}-1)*LEN(Registro!$G561)+1,LEN(Registro!$G561))),FIND("x",TRIM(MID(SUBSTITUTE(SUBSTITUTE(SUBSTITUTE(SUBSTITUTE(SUBSTITUTE(LOWER(Registro!$G561),"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",LEN(Registro!$G561))),({1,2,3,4,5,6,7,8,9,10,11,12,13,14,15,16,17,18,19,20,21,22,23,24,25,26,27,28,29,30}-1)*LEN(Registro!$G561)+1,LEN(Registro!$G561)))&amp;"x")-1)),--("0"&amp;MID(TRIM(MID(SUBSTITUTE(SUBSTITUTE(SUBSTITUTE(SUBSTITUTE(SUBSTITUTE(LOWER(Registro!$G561),"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",LEN(Registro!$G561))),({1,2,3,4,5,6,7,8,9,10,11,12,13,14,15,16,17,18,19,20,21,22,23,24,25,26,27,28,29,30}-1)*LEN(Registro!$G561)+1,LEN(Registro!$G561))),FIND("x",TRIM(MID(SUBSTITUTE(SUBSTITUTE(SUBSTITUTE(SUBSTITUTE(SUBSTITUTE(LOWER(Registro!$G561),"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",LEN(Registro!$G561))),({1,2,3,4,5,6,7,8,9,10,11,12,13,14,15,16,17,18,19,20,21,22,23,24,25,26,27,28,29,30}-1)*LEN(Registro!$G561)+1,LEN(Registro!$G561)))&amp;"x")+1,20))),"Revisar formato")))</f>
        <v/>
      </c>
      <c r="J561" s="9" t="str">
        <f>IF(AND(Registro!$E561="",Registro!$G561=""),"",IF(NOT(AND(ISNUMBER(I561),ISNUMBER(Registro!$H561))),"",IF(I561&lt;Registro!$H561,"FALTA BOLETOS",IF(I561=Registro!$H561,"CONFORME","DIFERENCIA"))))</f>
        <v/>
      </c>
      <c r="K561" s="11" t="str">
        <f>IF(Registro!$I561="","",IFERROR(SUMPRODUCT(--("0"&amp;TRIM(RIGHT(SUBSTITUTE(TRIM(MID(SUBSTITUTE(SUBSTITUTE(Registro!$I561,";",CHAR(10)),CHAR(10),REPT(" ",LEN(Registro!$I561))),({1,2,3,4,5,6,7,8,9,10,11,12,13,14,15,16,17,18,19,20,21,22,23,24,25,26,27,28,29,30}-1)*LEN(Registro!$I561)+1,LEN(Registro!$I561)))," ",REPT(" ",50)),50)))),"Revisar formato"))</f>
        <v/>
      </c>
      <c r="L561" s="11" t="str">
        <f>IF(Registro!$J561="","",IFERROR(SUMPRODUCT(--("0"&amp;TRIM(RIGHT(SUBSTITUTE(TRIM(MID(SUBSTITUTE(SUBSTITUTE(Registro!$J561,";",CHAR(10)),CHAR(10),REPT(" ",LEN(Registro!$J561))),({1,2,3,4,5,6,7,8,9,10,11,12,13,14,15,16,17,18,19,20,21,22,23,24,25,26,27,28,29,30}-1)*LEN(Registro!$J561)+1,LEN(Registro!$J561)))," ",REPT(" ",50)),50)))),"Revisar formato"))</f>
        <v/>
      </c>
      <c r="M561" s="11" t="str">
        <f>IF(AND(Registro!$H561="",Registro!$I561=""),"",IF(AND(ISTEXT(K561),K561&lt;&gt;""),"Revisar formato",N(Registro!$H561)-N(K561)))</f>
        <v/>
      </c>
      <c r="N561" s="11" t="str">
        <f t="shared" si="26"/>
        <v/>
      </c>
      <c r="O561" s="15" t="str">
        <f>IF(AND(A561=Consulta!$B$3,C561=Consulta!$H$3),B561*10000+ROW(),"")</f>
        <v/>
      </c>
    </row>
    <row r="562" spans="1:15" x14ac:dyDescent="0.25">
      <c r="A562" s="9" t="str">
        <f>IF(Registro!$A562="","",Registro!$A562)</f>
        <v/>
      </c>
      <c r="B562" s="8" t="str">
        <f>IF(Registro!$B562="","",Registro!$B562)</f>
        <v/>
      </c>
      <c r="C562" s="14" t="str">
        <f t="shared" si="24"/>
        <v/>
      </c>
      <c r="D562" s="10" t="str">
        <f>IF(Registro!$E562="","",IF(ISERROR(FIND("x",LOWER(Registro!$E562))),"-",IFERROR(SUMPRODUCT(--("0"&amp;LEFT(TRIM(MID(SUBSTITUTE(SUBSTITUTE(SUBSTITUTE(SUBSTITUTE(SUBSTITUTE(LOWER(Registro!$E562),"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",LEN(Registro!$E562))),({1,2,3,4,5,6,7,8,9,10,11,12,13,14,15,16,17,18,19,20,21,22,23,24,25,26,27,28,29,30}-1)*LEN(Registro!$E562)+1,LEN(Registro!$E562)))&amp;"x")-1))),"Revisar formato")))</f>
        <v/>
      </c>
      <c r="E562" s="11" t="str">
        <f>IF(Registro!$E562="","",IF(ISERROR(FIND("x",LOWER(Registro!$E562))),"-",IFERROR(SUMPRODUCT(--("0"&amp;LEFT(TRIM(MID(SUBSTITUTE(SUBSTITUTE(SUBSTITUTE(SUBSTITUTE(SUBSTITUTE(LOWER(Registro!$E562),"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",LEN(Registro!$E562))),({1,2,3,4,5,6,7,8,9,10,11,12,13,14,15,16,17,18,19,20,21,22,23,24,25,26,27,28,29,30}-1)*LEN(Registro!$E562)+1,LEN(Registro!$E562)))&amp;"x")-1)),--("0"&amp;MID(TRIM(MID(SUBSTITUTE(SUBSTITUTE(SUBSTITUTE(SUBSTITUTE(SUBSTITUTE(LOWER(Registro!$E562),"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",LEN(Registro!$E562))),({1,2,3,4,5,6,7,8,9,10,11,12,13,14,15,16,17,18,19,20,21,22,23,24,25,26,27,28,29,30}-1)*LEN(Registro!$E562)+1,LEN(Registro!$E562)))&amp;"x")+1,20))),"Revisar formato")))</f>
        <v/>
      </c>
      <c r="F562" s="11" t="str">
        <f>IF(Registro!$F562="","",N(Registro!$F562))</f>
        <v/>
      </c>
      <c r="G562" s="11" t="str">
        <f t="shared" si="25"/>
        <v/>
      </c>
      <c r="H562" s="10" t="str">
        <f>IF(Registro!$G562="","",IF(ISERROR(FIND("x",LOWER(Registro!$G562))),"-",IFERROR(SUMPRODUCT(--("0"&amp;LEFT(TRIM(MID(SUBSTITUTE(SUBSTITUTE(SUBSTITUTE(SUBSTITUTE(SUBSTITUTE(LOWER(Registro!$G562),"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",LEN(Registro!$G562))),({1,2,3,4,5,6,7,8,9,10,11,12,13,14,15,16,17,18,19,20,21,22,23,24,25,26,27,28,29,30}-1)*LEN(Registro!$G562)+1,LEN(Registro!$G562))),FIND("x",TRIM(MID(SUBSTITUTE(SUBSTITUTE(SUBSTITUTE(SUBSTITUTE(SUBSTITUTE(LOWER(Registro!$G562),"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",LEN(Registro!$G562))),({1,2,3,4,5,6,7,8,9,10,11,12,13,14,15,16,17,18,19,20,21,22,23,24,25,26,27,28,29,30}-1)*LEN(Registro!$G562)+1,LEN(Registro!$G562)))&amp;"x")-1))),"Revisar formato")))</f>
        <v/>
      </c>
      <c r="I562" s="11" t="str">
        <f>IF(Registro!$G562="","",IF(ISERROR(FIND("x",LOWER(Registro!$G562))),N(Registro!$H562),IFERROR(SUMPRODUCT(--("0"&amp;LEFT(TRIM(MID(SUBSTITUTE(SUBSTITUTE(SUBSTITUTE(SUBSTITUTE(SUBSTITUTE(LOWER(Registro!$G562),"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",LEN(Registro!$G562))),({1,2,3,4,5,6,7,8,9,10,11,12,13,14,15,16,17,18,19,20,21,22,23,24,25,26,27,28,29,30}-1)*LEN(Registro!$G562)+1,LEN(Registro!$G562))),FIND("x",TRIM(MID(SUBSTITUTE(SUBSTITUTE(SUBSTITUTE(SUBSTITUTE(SUBSTITUTE(LOWER(Registro!$G562),"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",LEN(Registro!$G562))),({1,2,3,4,5,6,7,8,9,10,11,12,13,14,15,16,17,18,19,20,21,22,23,24,25,26,27,28,29,30}-1)*LEN(Registro!$G562)+1,LEN(Registro!$G562)))&amp;"x")-1)),--("0"&amp;MID(TRIM(MID(SUBSTITUTE(SUBSTITUTE(SUBSTITUTE(SUBSTITUTE(SUBSTITUTE(LOWER(Registro!$G562),"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",LEN(Registro!$G562))),({1,2,3,4,5,6,7,8,9,10,11,12,13,14,15,16,17,18,19,20,21,22,23,24,25,26,27,28,29,30}-1)*LEN(Registro!$G562)+1,LEN(Registro!$G562))),FIND("x",TRIM(MID(SUBSTITUTE(SUBSTITUTE(SUBSTITUTE(SUBSTITUTE(SUBSTITUTE(LOWER(Registro!$G562),"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",LEN(Registro!$G562))),({1,2,3,4,5,6,7,8,9,10,11,12,13,14,15,16,17,18,19,20,21,22,23,24,25,26,27,28,29,30}-1)*LEN(Registro!$G562)+1,LEN(Registro!$G562)))&amp;"x")+1,20))),"Revisar formato")))</f>
        <v/>
      </c>
      <c r="J562" s="9" t="str">
        <f>IF(AND(Registro!$E562="",Registro!$G562=""),"",IF(NOT(AND(ISNUMBER(I562),ISNUMBER(Registro!$H562))),"",IF(I562&lt;Registro!$H562,"FALTA BOLETOS",IF(I562=Registro!$H562,"CONFORME","DIFERENCIA"))))</f>
        <v/>
      </c>
      <c r="K562" s="11" t="str">
        <f>IF(Registro!$I562="","",IFERROR(SUMPRODUCT(--("0"&amp;TRIM(RIGHT(SUBSTITUTE(TRIM(MID(SUBSTITUTE(SUBSTITUTE(Registro!$I562,";",CHAR(10)),CHAR(10),REPT(" ",LEN(Registro!$I562))),({1,2,3,4,5,6,7,8,9,10,11,12,13,14,15,16,17,18,19,20,21,22,23,24,25,26,27,28,29,30}-1)*LEN(Registro!$I562)+1,LEN(Registro!$I562)))," ",REPT(" ",50)),50)))),"Revisar formato"))</f>
        <v/>
      </c>
      <c r="L562" s="11" t="str">
        <f>IF(Registro!$J562="","",IFERROR(SUMPRODUCT(--("0"&amp;TRIM(RIGHT(SUBSTITUTE(TRIM(MID(SUBSTITUTE(SUBSTITUTE(Registro!$J562,";",CHAR(10)),CHAR(10),REPT(" ",LEN(Registro!$J562))),({1,2,3,4,5,6,7,8,9,10,11,12,13,14,15,16,17,18,19,20,21,22,23,24,25,26,27,28,29,30}-1)*LEN(Registro!$J562)+1,LEN(Registro!$J562)))," ",REPT(" ",50)),50)))),"Revisar formato"))</f>
        <v/>
      </c>
      <c r="M562" s="11" t="str">
        <f>IF(AND(Registro!$H562="",Registro!$I562=""),"",IF(AND(ISTEXT(K562),K562&lt;&gt;""),"Revisar formato",N(Registro!$H562)-N(K562)))</f>
        <v/>
      </c>
      <c r="N562" s="11" t="str">
        <f t="shared" si="26"/>
        <v/>
      </c>
      <c r="O562" s="15" t="str">
        <f>IF(AND(A562=Consulta!$B$3,C562=Consulta!$H$3),B562*10000+ROW(),"")</f>
        <v/>
      </c>
    </row>
    <row r="563" spans="1:15" x14ac:dyDescent="0.25">
      <c r="A563" s="9" t="str">
        <f>IF(Registro!$A563="","",Registro!$A563)</f>
        <v/>
      </c>
      <c r="B563" s="8" t="str">
        <f>IF(Registro!$B563="","",Registro!$B563)</f>
        <v/>
      </c>
      <c r="C563" s="14" t="str">
        <f t="shared" si="24"/>
        <v/>
      </c>
      <c r="D563" s="10" t="str">
        <f>IF(Registro!$E563="","",IF(ISERROR(FIND("x",LOWER(Registro!$E563))),"-",IFERROR(SUMPRODUCT(--("0"&amp;LEFT(TRIM(MID(SUBSTITUTE(SUBSTITUTE(SUBSTITUTE(SUBSTITUTE(SUBSTITUTE(LOWER(Registro!$E563),"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",LEN(Registro!$E563))),({1,2,3,4,5,6,7,8,9,10,11,12,13,14,15,16,17,18,19,20,21,22,23,24,25,26,27,28,29,30}-1)*LEN(Registro!$E563)+1,LEN(Registro!$E563)))&amp;"x")-1))),"Revisar formato")))</f>
        <v/>
      </c>
      <c r="E563" s="11" t="str">
        <f>IF(Registro!$E563="","",IF(ISERROR(FIND("x",LOWER(Registro!$E563))),"-",IFERROR(SUMPRODUCT(--("0"&amp;LEFT(TRIM(MID(SUBSTITUTE(SUBSTITUTE(SUBSTITUTE(SUBSTITUTE(SUBSTITUTE(LOWER(Registro!$E563),"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",LEN(Registro!$E563))),({1,2,3,4,5,6,7,8,9,10,11,12,13,14,15,16,17,18,19,20,21,22,23,24,25,26,27,28,29,30}-1)*LEN(Registro!$E563)+1,LEN(Registro!$E563)))&amp;"x")-1)),--("0"&amp;MID(TRIM(MID(SUBSTITUTE(SUBSTITUTE(SUBSTITUTE(SUBSTITUTE(SUBSTITUTE(LOWER(Registro!$E563),"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",LEN(Registro!$E563))),({1,2,3,4,5,6,7,8,9,10,11,12,13,14,15,16,17,18,19,20,21,22,23,24,25,26,27,28,29,30}-1)*LEN(Registro!$E563)+1,LEN(Registro!$E563)))&amp;"x")+1,20))),"Revisar formato")))</f>
        <v/>
      </c>
      <c r="F563" s="11" t="str">
        <f>IF(Registro!$F563="","",N(Registro!$F563))</f>
        <v/>
      </c>
      <c r="G563" s="11" t="str">
        <f t="shared" si="25"/>
        <v/>
      </c>
      <c r="H563" s="10" t="str">
        <f>IF(Registro!$G563="","",IF(ISERROR(FIND("x",LOWER(Registro!$G563))),"-",IFERROR(SUMPRODUCT(--("0"&amp;LEFT(TRIM(MID(SUBSTITUTE(SUBSTITUTE(SUBSTITUTE(SUBSTITUTE(SUBSTITUTE(LOWER(Registro!$G563),"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",LEN(Registro!$G563))),({1,2,3,4,5,6,7,8,9,10,11,12,13,14,15,16,17,18,19,20,21,22,23,24,25,26,27,28,29,30}-1)*LEN(Registro!$G563)+1,LEN(Registro!$G563))),FIND("x",TRIM(MID(SUBSTITUTE(SUBSTITUTE(SUBSTITUTE(SUBSTITUTE(SUBSTITUTE(LOWER(Registro!$G563),"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",LEN(Registro!$G563))),({1,2,3,4,5,6,7,8,9,10,11,12,13,14,15,16,17,18,19,20,21,22,23,24,25,26,27,28,29,30}-1)*LEN(Registro!$G563)+1,LEN(Registro!$G563)))&amp;"x")-1))),"Revisar formato")))</f>
        <v/>
      </c>
      <c r="I563" s="11" t="str">
        <f>IF(Registro!$G563="","",IF(ISERROR(FIND("x",LOWER(Registro!$G563))),N(Registro!$H563),IFERROR(SUMPRODUCT(--("0"&amp;LEFT(TRIM(MID(SUBSTITUTE(SUBSTITUTE(SUBSTITUTE(SUBSTITUTE(SUBSTITUTE(LOWER(Registro!$G563),"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",LEN(Registro!$G563))),({1,2,3,4,5,6,7,8,9,10,11,12,13,14,15,16,17,18,19,20,21,22,23,24,25,26,27,28,29,30}-1)*LEN(Registro!$G563)+1,LEN(Registro!$G563))),FIND("x",TRIM(MID(SUBSTITUTE(SUBSTITUTE(SUBSTITUTE(SUBSTITUTE(SUBSTITUTE(LOWER(Registro!$G563),"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",LEN(Registro!$G563))),({1,2,3,4,5,6,7,8,9,10,11,12,13,14,15,16,17,18,19,20,21,22,23,24,25,26,27,28,29,30}-1)*LEN(Registro!$G563)+1,LEN(Registro!$G563)))&amp;"x")-1)),--("0"&amp;MID(TRIM(MID(SUBSTITUTE(SUBSTITUTE(SUBSTITUTE(SUBSTITUTE(SUBSTITUTE(LOWER(Registro!$G563),"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",LEN(Registro!$G563))),({1,2,3,4,5,6,7,8,9,10,11,12,13,14,15,16,17,18,19,20,21,22,23,24,25,26,27,28,29,30}-1)*LEN(Registro!$G563)+1,LEN(Registro!$G563))),FIND("x",TRIM(MID(SUBSTITUTE(SUBSTITUTE(SUBSTITUTE(SUBSTITUTE(SUBSTITUTE(LOWER(Registro!$G563),"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",LEN(Registro!$G563))),({1,2,3,4,5,6,7,8,9,10,11,12,13,14,15,16,17,18,19,20,21,22,23,24,25,26,27,28,29,30}-1)*LEN(Registro!$G563)+1,LEN(Registro!$G563)))&amp;"x")+1,20))),"Revisar formato")))</f>
        <v/>
      </c>
      <c r="J563" s="9" t="str">
        <f>IF(AND(Registro!$E563="",Registro!$G563=""),"",IF(NOT(AND(ISNUMBER(I563),ISNUMBER(Registro!$H563))),"",IF(I563&lt;Registro!$H563,"FALTA BOLETOS",IF(I563=Registro!$H563,"CONFORME","DIFERENCIA"))))</f>
        <v/>
      </c>
      <c r="K563" s="11" t="str">
        <f>IF(Registro!$I563="","",IFERROR(SUMPRODUCT(--("0"&amp;TRIM(RIGHT(SUBSTITUTE(TRIM(MID(SUBSTITUTE(SUBSTITUTE(Registro!$I563,";",CHAR(10)),CHAR(10),REPT(" ",LEN(Registro!$I563))),({1,2,3,4,5,6,7,8,9,10,11,12,13,14,15,16,17,18,19,20,21,22,23,24,25,26,27,28,29,30}-1)*LEN(Registro!$I563)+1,LEN(Registro!$I563)))," ",REPT(" ",50)),50)))),"Revisar formato"))</f>
        <v/>
      </c>
      <c r="L563" s="11" t="str">
        <f>IF(Registro!$J563="","",IFERROR(SUMPRODUCT(--("0"&amp;TRIM(RIGHT(SUBSTITUTE(TRIM(MID(SUBSTITUTE(SUBSTITUTE(Registro!$J563,";",CHAR(10)),CHAR(10),REPT(" ",LEN(Registro!$J563))),({1,2,3,4,5,6,7,8,9,10,11,12,13,14,15,16,17,18,19,20,21,22,23,24,25,26,27,28,29,30}-1)*LEN(Registro!$J563)+1,LEN(Registro!$J563)))," ",REPT(" ",50)),50)))),"Revisar formato"))</f>
        <v/>
      </c>
      <c r="M563" s="11" t="str">
        <f>IF(AND(Registro!$H563="",Registro!$I563=""),"",IF(AND(ISTEXT(K563),K563&lt;&gt;""),"Revisar formato",N(Registro!$H563)-N(K563)))</f>
        <v/>
      </c>
      <c r="N563" s="11" t="str">
        <f t="shared" si="26"/>
        <v/>
      </c>
      <c r="O563" s="15" t="str">
        <f>IF(AND(A563=Consulta!$B$3,C563=Consulta!$H$3),B563*10000+ROW(),"")</f>
        <v/>
      </c>
    </row>
    <row r="564" spans="1:15" x14ac:dyDescent="0.25">
      <c r="A564" s="9" t="str">
        <f>IF(Registro!$A564="","",Registro!$A564)</f>
        <v/>
      </c>
      <c r="B564" s="8" t="str">
        <f>IF(Registro!$B564="","",Registro!$B564)</f>
        <v/>
      </c>
      <c r="C564" s="14" t="str">
        <f t="shared" si="24"/>
        <v/>
      </c>
      <c r="D564" s="10" t="str">
        <f>IF(Registro!$E564="","",IF(ISERROR(FIND("x",LOWER(Registro!$E564))),"-",IFERROR(SUMPRODUCT(--("0"&amp;LEFT(TRIM(MID(SUBSTITUTE(SUBSTITUTE(SUBSTITUTE(SUBSTITUTE(SUBSTITUTE(LOWER(Registro!$E564),"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",LEN(Registro!$E564))),({1,2,3,4,5,6,7,8,9,10,11,12,13,14,15,16,17,18,19,20,21,22,23,24,25,26,27,28,29,30}-1)*LEN(Registro!$E564)+1,LEN(Registro!$E564)))&amp;"x")-1))),"Revisar formato")))</f>
        <v/>
      </c>
      <c r="E564" s="11" t="str">
        <f>IF(Registro!$E564="","",IF(ISERROR(FIND("x",LOWER(Registro!$E564))),"-",IFERROR(SUMPRODUCT(--("0"&amp;LEFT(TRIM(MID(SUBSTITUTE(SUBSTITUTE(SUBSTITUTE(SUBSTITUTE(SUBSTITUTE(LOWER(Registro!$E564),"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",LEN(Registro!$E564))),({1,2,3,4,5,6,7,8,9,10,11,12,13,14,15,16,17,18,19,20,21,22,23,24,25,26,27,28,29,30}-1)*LEN(Registro!$E564)+1,LEN(Registro!$E564)))&amp;"x")-1)),--("0"&amp;MID(TRIM(MID(SUBSTITUTE(SUBSTITUTE(SUBSTITUTE(SUBSTITUTE(SUBSTITUTE(LOWER(Registro!$E564),"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",LEN(Registro!$E564))),({1,2,3,4,5,6,7,8,9,10,11,12,13,14,15,16,17,18,19,20,21,22,23,24,25,26,27,28,29,30}-1)*LEN(Registro!$E564)+1,LEN(Registro!$E564)))&amp;"x")+1,20))),"Revisar formato")))</f>
        <v/>
      </c>
      <c r="F564" s="11" t="str">
        <f>IF(Registro!$F564="","",N(Registro!$F564))</f>
        <v/>
      </c>
      <c r="G564" s="11" t="str">
        <f t="shared" si="25"/>
        <v/>
      </c>
      <c r="H564" s="10" t="str">
        <f>IF(Registro!$G564="","",IF(ISERROR(FIND("x",LOWER(Registro!$G564))),"-",IFERROR(SUMPRODUCT(--("0"&amp;LEFT(TRIM(MID(SUBSTITUTE(SUBSTITUTE(SUBSTITUTE(SUBSTITUTE(SUBSTITUTE(LOWER(Registro!$G564),"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",LEN(Registro!$G564))),({1,2,3,4,5,6,7,8,9,10,11,12,13,14,15,16,17,18,19,20,21,22,23,24,25,26,27,28,29,30}-1)*LEN(Registro!$G564)+1,LEN(Registro!$G564))),FIND("x",TRIM(MID(SUBSTITUTE(SUBSTITUTE(SUBSTITUTE(SUBSTITUTE(SUBSTITUTE(LOWER(Registro!$G564),"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",LEN(Registro!$G564))),({1,2,3,4,5,6,7,8,9,10,11,12,13,14,15,16,17,18,19,20,21,22,23,24,25,26,27,28,29,30}-1)*LEN(Registro!$G564)+1,LEN(Registro!$G564)))&amp;"x")-1))),"Revisar formato")))</f>
        <v/>
      </c>
      <c r="I564" s="11" t="str">
        <f>IF(Registro!$G564="","",IF(ISERROR(FIND("x",LOWER(Registro!$G564))),N(Registro!$H564),IFERROR(SUMPRODUCT(--("0"&amp;LEFT(TRIM(MID(SUBSTITUTE(SUBSTITUTE(SUBSTITUTE(SUBSTITUTE(SUBSTITUTE(LOWER(Registro!$G564),"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",LEN(Registro!$G564))),({1,2,3,4,5,6,7,8,9,10,11,12,13,14,15,16,17,18,19,20,21,22,23,24,25,26,27,28,29,30}-1)*LEN(Registro!$G564)+1,LEN(Registro!$G564))),FIND("x",TRIM(MID(SUBSTITUTE(SUBSTITUTE(SUBSTITUTE(SUBSTITUTE(SUBSTITUTE(LOWER(Registro!$G564),"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",LEN(Registro!$G564))),({1,2,3,4,5,6,7,8,9,10,11,12,13,14,15,16,17,18,19,20,21,22,23,24,25,26,27,28,29,30}-1)*LEN(Registro!$G564)+1,LEN(Registro!$G564)))&amp;"x")-1)),--("0"&amp;MID(TRIM(MID(SUBSTITUTE(SUBSTITUTE(SUBSTITUTE(SUBSTITUTE(SUBSTITUTE(LOWER(Registro!$G564),"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",LEN(Registro!$G564))),({1,2,3,4,5,6,7,8,9,10,11,12,13,14,15,16,17,18,19,20,21,22,23,24,25,26,27,28,29,30}-1)*LEN(Registro!$G564)+1,LEN(Registro!$G564))),FIND("x",TRIM(MID(SUBSTITUTE(SUBSTITUTE(SUBSTITUTE(SUBSTITUTE(SUBSTITUTE(LOWER(Registro!$G564),"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",LEN(Registro!$G564))),({1,2,3,4,5,6,7,8,9,10,11,12,13,14,15,16,17,18,19,20,21,22,23,24,25,26,27,28,29,30}-1)*LEN(Registro!$G564)+1,LEN(Registro!$G564)))&amp;"x")+1,20))),"Revisar formato")))</f>
        <v/>
      </c>
      <c r="J564" s="9" t="str">
        <f>IF(AND(Registro!$E564="",Registro!$G564=""),"",IF(NOT(AND(ISNUMBER(I564),ISNUMBER(Registro!$H564))),"",IF(I564&lt;Registro!$H564,"FALTA BOLETOS",IF(I564=Registro!$H564,"CONFORME","DIFERENCIA"))))</f>
        <v/>
      </c>
      <c r="K564" s="11" t="str">
        <f>IF(Registro!$I564="","",IFERROR(SUMPRODUCT(--("0"&amp;TRIM(RIGHT(SUBSTITUTE(TRIM(MID(SUBSTITUTE(SUBSTITUTE(Registro!$I564,";",CHAR(10)),CHAR(10),REPT(" ",LEN(Registro!$I564))),({1,2,3,4,5,6,7,8,9,10,11,12,13,14,15,16,17,18,19,20,21,22,23,24,25,26,27,28,29,30}-1)*LEN(Registro!$I564)+1,LEN(Registro!$I564)))," ",REPT(" ",50)),50)))),"Revisar formato"))</f>
        <v/>
      </c>
      <c r="L564" s="11" t="str">
        <f>IF(Registro!$J564="","",IFERROR(SUMPRODUCT(--("0"&amp;TRIM(RIGHT(SUBSTITUTE(TRIM(MID(SUBSTITUTE(SUBSTITUTE(Registro!$J564,";",CHAR(10)),CHAR(10),REPT(" ",LEN(Registro!$J564))),({1,2,3,4,5,6,7,8,9,10,11,12,13,14,15,16,17,18,19,20,21,22,23,24,25,26,27,28,29,30}-1)*LEN(Registro!$J564)+1,LEN(Registro!$J564)))," ",REPT(" ",50)),50)))),"Revisar formato"))</f>
        <v/>
      </c>
      <c r="M564" s="11" t="str">
        <f>IF(AND(Registro!$H564="",Registro!$I564=""),"",IF(AND(ISTEXT(K564),K564&lt;&gt;""),"Revisar formato",N(Registro!$H564)-N(K564)))</f>
        <v/>
      </c>
      <c r="N564" s="11" t="str">
        <f t="shared" si="26"/>
        <v/>
      </c>
      <c r="O564" s="15" t="str">
        <f>IF(AND(A564=Consulta!$B$3,C564=Consulta!$H$3),B564*10000+ROW(),"")</f>
        <v/>
      </c>
    </row>
    <row r="565" spans="1:15" x14ac:dyDescent="0.25">
      <c r="A565" s="9" t="str">
        <f>IF(Registro!$A565="","",Registro!$A565)</f>
        <v/>
      </c>
      <c r="B565" s="8" t="str">
        <f>IF(Registro!$B565="","",Registro!$B565)</f>
        <v/>
      </c>
      <c r="C565" s="14" t="str">
        <f t="shared" si="24"/>
        <v/>
      </c>
      <c r="D565" s="10" t="str">
        <f>IF(Registro!$E565="","",IF(ISERROR(FIND("x",LOWER(Registro!$E565))),"-",IFERROR(SUMPRODUCT(--("0"&amp;LEFT(TRIM(MID(SUBSTITUTE(SUBSTITUTE(SUBSTITUTE(SUBSTITUTE(SUBSTITUTE(LOWER(Registro!$E565),"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",LEN(Registro!$E565))),({1,2,3,4,5,6,7,8,9,10,11,12,13,14,15,16,17,18,19,20,21,22,23,24,25,26,27,28,29,30}-1)*LEN(Registro!$E565)+1,LEN(Registro!$E565)))&amp;"x")-1))),"Revisar formato")))</f>
        <v/>
      </c>
      <c r="E565" s="11" t="str">
        <f>IF(Registro!$E565="","",IF(ISERROR(FIND("x",LOWER(Registro!$E565))),"-",IFERROR(SUMPRODUCT(--("0"&amp;LEFT(TRIM(MID(SUBSTITUTE(SUBSTITUTE(SUBSTITUTE(SUBSTITUTE(SUBSTITUTE(LOWER(Registro!$E565),"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",LEN(Registro!$E565))),({1,2,3,4,5,6,7,8,9,10,11,12,13,14,15,16,17,18,19,20,21,22,23,24,25,26,27,28,29,30}-1)*LEN(Registro!$E565)+1,LEN(Registro!$E565)))&amp;"x")-1)),--("0"&amp;MID(TRIM(MID(SUBSTITUTE(SUBSTITUTE(SUBSTITUTE(SUBSTITUTE(SUBSTITUTE(LOWER(Registro!$E565),"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",LEN(Registro!$E565))),({1,2,3,4,5,6,7,8,9,10,11,12,13,14,15,16,17,18,19,20,21,22,23,24,25,26,27,28,29,30}-1)*LEN(Registro!$E565)+1,LEN(Registro!$E565)))&amp;"x")+1,20))),"Revisar formato")))</f>
        <v/>
      </c>
      <c r="F565" s="11" t="str">
        <f>IF(Registro!$F565="","",N(Registro!$F565))</f>
        <v/>
      </c>
      <c r="G565" s="11" t="str">
        <f t="shared" si="25"/>
        <v/>
      </c>
      <c r="H565" s="10" t="str">
        <f>IF(Registro!$G565="","",IF(ISERROR(FIND("x",LOWER(Registro!$G565))),"-",IFERROR(SUMPRODUCT(--("0"&amp;LEFT(TRIM(MID(SUBSTITUTE(SUBSTITUTE(SUBSTITUTE(SUBSTITUTE(SUBSTITUTE(LOWER(Registro!$G565),"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",LEN(Registro!$G565))),({1,2,3,4,5,6,7,8,9,10,11,12,13,14,15,16,17,18,19,20,21,22,23,24,25,26,27,28,29,30}-1)*LEN(Registro!$G565)+1,LEN(Registro!$G565))),FIND("x",TRIM(MID(SUBSTITUTE(SUBSTITUTE(SUBSTITUTE(SUBSTITUTE(SUBSTITUTE(LOWER(Registro!$G565),"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",LEN(Registro!$G565))),({1,2,3,4,5,6,7,8,9,10,11,12,13,14,15,16,17,18,19,20,21,22,23,24,25,26,27,28,29,30}-1)*LEN(Registro!$G565)+1,LEN(Registro!$G565)))&amp;"x")-1))),"Revisar formato")))</f>
        <v/>
      </c>
      <c r="I565" s="11" t="str">
        <f>IF(Registro!$G565="","",IF(ISERROR(FIND("x",LOWER(Registro!$G565))),N(Registro!$H565),IFERROR(SUMPRODUCT(--("0"&amp;LEFT(TRIM(MID(SUBSTITUTE(SUBSTITUTE(SUBSTITUTE(SUBSTITUTE(SUBSTITUTE(LOWER(Registro!$G565),"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",LEN(Registro!$G565))),({1,2,3,4,5,6,7,8,9,10,11,12,13,14,15,16,17,18,19,20,21,22,23,24,25,26,27,28,29,30}-1)*LEN(Registro!$G565)+1,LEN(Registro!$G565))),FIND("x",TRIM(MID(SUBSTITUTE(SUBSTITUTE(SUBSTITUTE(SUBSTITUTE(SUBSTITUTE(LOWER(Registro!$G565),"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",LEN(Registro!$G565))),({1,2,3,4,5,6,7,8,9,10,11,12,13,14,15,16,17,18,19,20,21,22,23,24,25,26,27,28,29,30}-1)*LEN(Registro!$G565)+1,LEN(Registro!$G565)))&amp;"x")-1)),--("0"&amp;MID(TRIM(MID(SUBSTITUTE(SUBSTITUTE(SUBSTITUTE(SUBSTITUTE(SUBSTITUTE(LOWER(Registro!$G565),"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",LEN(Registro!$G565))),({1,2,3,4,5,6,7,8,9,10,11,12,13,14,15,16,17,18,19,20,21,22,23,24,25,26,27,28,29,30}-1)*LEN(Registro!$G565)+1,LEN(Registro!$G565))),FIND("x",TRIM(MID(SUBSTITUTE(SUBSTITUTE(SUBSTITUTE(SUBSTITUTE(SUBSTITUTE(LOWER(Registro!$G565),"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",LEN(Registro!$G565))),({1,2,3,4,5,6,7,8,9,10,11,12,13,14,15,16,17,18,19,20,21,22,23,24,25,26,27,28,29,30}-1)*LEN(Registro!$G565)+1,LEN(Registro!$G565)))&amp;"x")+1,20))),"Revisar formato")))</f>
        <v/>
      </c>
      <c r="J565" s="9" t="str">
        <f>IF(AND(Registro!$E565="",Registro!$G565=""),"",IF(NOT(AND(ISNUMBER(I565),ISNUMBER(Registro!$H565))),"",IF(I565&lt;Registro!$H565,"FALTA BOLETOS",IF(I565=Registro!$H565,"CONFORME","DIFERENCIA"))))</f>
        <v/>
      </c>
      <c r="K565" s="11" t="str">
        <f>IF(Registro!$I565="","",IFERROR(SUMPRODUCT(--("0"&amp;TRIM(RIGHT(SUBSTITUTE(TRIM(MID(SUBSTITUTE(SUBSTITUTE(Registro!$I565,";",CHAR(10)),CHAR(10),REPT(" ",LEN(Registro!$I565))),({1,2,3,4,5,6,7,8,9,10,11,12,13,14,15,16,17,18,19,20,21,22,23,24,25,26,27,28,29,30}-1)*LEN(Registro!$I565)+1,LEN(Registro!$I565)))," ",REPT(" ",50)),50)))),"Revisar formato"))</f>
        <v/>
      </c>
      <c r="L565" s="11" t="str">
        <f>IF(Registro!$J565="","",IFERROR(SUMPRODUCT(--("0"&amp;TRIM(RIGHT(SUBSTITUTE(TRIM(MID(SUBSTITUTE(SUBSTITUTE(Registro!$J565,";",CHAR(10)),CHAR(10),REPT(" ",LEN(Registro!$J565))),({1,2,3,4,5,6,7,8,9,10,11,12,13,14,15,16,17,18,19,20,21,22,23,24,25,26,27,28,29,30}-1)*LEN(Registro!$J565)+1,LEN(Registro!$J565)))," ",REPT(" ",50)),50)))),"Revisar formato"))</f>
        <v/>
      </c>
      <c r="M565" s="11" t="str">
        <f>IF(AND(Registro!$H565="",Registro!$I565=""),"",IF(AND(ISTEXT(K565),K565&lt;&gt;""),"Revisar formato",N(Registro!$H565)-N(K565)))</f>
        <v/>
      </c>
      <c r="N565" s="11" t="str">
        <f t="shared" si="26"/>
        <v/>
      </c>
      <c r="O565" s="15" t="str">
        <f>IF(AND(A565=Consulta!$B$3,C565=Consulta!$H$3),B565*10000+ROW(),"")</f>
        <v/>
      </c>
    </row>
    <row r="566" spans="1:15" x14ac:dyDescent="0.25">
      <c r="A566" s="9" t="str">
        <f>IF(Registro!$A566="","",Registro!$A566)</f>
        <v/>
      </c>
      <c r="B566" s="8" t="str">
        <f>IF(Registro!$B566="","",Registro!$B566)</f>
        <v/>
      </c>
      <c r="C566" s="14" t="str">
        <f t="shared" si="24"/>
        <v/>
      </c>
      <c r="D566" s="10" t="str">
        <f>IF(Registro!$E566="","",IF(ISERROR(FIND("x",LOWER(Registro!$E566))),"-",IFERROR(SUMPRODUCT(--("0"&amp;LEFT(TRIM(MID(SUBSTITUTE(SUBSTITUTE(SUBSTITUTE(SUBSTITUTE(SUBSTITUTE(LOWER(Registro!$E566),"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",LEN(Registro!$E566))),({1,2,3,4,5,6,7,8,9,10,11,12,13,14,15,16,17,18,19,20,21,22,23,24,25,26,27,28,29,30}-1)*LEN(Registro!$E566)+1,LEN(Registro!$E566)))&amp;"x")-1))),"Revisar formato")))</f>
        <v/>
      </c>
      <c r="E566" s="11" t="str">
        <f>IF(Registro!$E566="","",IF(ISERROR(FIND("x",LOWER(Registro!$E566))),"-",IFERROR(SUMPRODUCT(--("0"&amp;LEFT(TRIM(MID(SUBSTITUTE(SUBSTITUTE(SUBSTITUTE(SUBSTITUTE(SUBSTITUTE(LOWER(Registro!$E566),"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",LEN(Registro!$E566))),({1,2,3,4,5,6,7,8,9,10,11,12,13,14,15,16,17,18,19,20,21,22,23,24,25,26,27,28,29,30}-1)*LEN(Registro!$E566)+1,LEN(Registro!$E566)))&amp;"x")-1)),--("0"&amp;MID(TRIM(MID(SUBSTITUTE(SUBSTITUTE(SUBSTITUTE(SUBSTITUTE(SUBSTITUTE(LOWER(Registro!$E566),"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",LEN(Registro!$E566))),({1,2,3,4,5,6,7,8,9,10,11,12,13,14,15,16,17,18,19,20,21,22,23,24,25,26,27,28,29,30}-1)*LEN(Registro!$E566)+1,LEN(Registro!$E566)))&amp;"x")+1,20))),"Revisar formato")))</f>
        <v/>
      </c>
      <c r="F566" s="11" t="str">
        <f>IF(Registro!$F566="","",N(Registro!$F566))</f>
        <v/>
      </c>
      <c r="G566" s="11" t="str">
        <f t="shared" si="25"/>
        <v/>
      </c>
      <c r="H566" s="10" t="str">
        <f>IF(Registro!$G566="","",IF(ISERROR(FIND("x",LOWER(Registro!$G566))),"-",IFERROR(SUMPRODUCT(--("0"&amp;LEFT(TRIM(MID(SUBSTITUTE(SUBSTITUTE(SUBSTITUTE(SUBSTITUTE(SUBSTITUTE(LOWER(Registro!$G566),"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",LEN(Registro!$G566))),({1,2,3,4,5,6,7,8,9,10,11,12,13,14,15,16,17,18,19,20,21,22,23,24,25,26,27,28,29,30}-1)*LEN(Registro!$G566)+1,LEN(Registro!$G566))),FIND("x",TRIM(MID(SUBSTITUTE(SUBSTITUTE(SUBSTITUTE(SUBSTITUTE(SUBSTITUTE(LOWER(Registro!$G566),"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",LEN(Registro!$G566))),({1,2,3,4,5,6,7,8,9,10,11,12,13,14,15,16,17,18,19,20,21,22,23,24,25,26,27,28,29,30}-1)*LEN(Registro!$G566)+1,LEN(Registro!$G566)))&amp;"x")-1))),"Revisar formato")))</f>
        <v/>
      </c>
      <c r="I566" s="11" t="str">
        <f>IF(Registro!$G566="","",IF(ISERROR(FIND("x",LOWER(Registro!$G566))),N(Registro!$H566),IFERROR(SUMPRODUCT(--("0"&amp;LEFT(TRIM(MID(SUBSTITUTE(SUBSTITUTE(SUBSTITUTE(SUBSTITUTE(SUBSTITUTE(LOWER(Registro!$G566),"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",LEN(Registro!$G566))),({1,2,3,4,5,6,7,8,9,10,11,12,13,14,15,16,17,18,19,20,21,22,23,24,25,26,27,28,29,30}-1)*LEN(Registro!$G566)+1,LEN(Registro!$G566))),FIND("x",TRIM(MID(SUBSTITUTE(SUBSTITUTE(SUBSTITUTE(SUBSTITUTE(SUBSTITUTE(LOWER(Registro!$G566),"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",LEN(Registro!$G566))),({1,2,3,4,5,6,7,8,9,10,11,12,13,14,15,16,17,18,19,20,21,22,23,24,25,26,27,28,29,30}-1)*LEN(Registro!$G566)+1,LEN(Registro!$G566)))&amp;"x")-1)),--("0"&amp;MID(TRIM(MID(SUBSTITUTE(SUBSTITUTE(SUBSTITUTE(SUBSTITUTE(SUBSTITUTE(LOWER(Registro!$G566),"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",LEN(Registro!$G566))),({1,2,3,4,5,6,7,8,9,10,11,12,13,14,15,16,17,18,19,20,21,22,23,24,25,26,27,28,29,30}-1)*LEN(Registro!$G566)+1,LEN(Registro!$G566))),FIND("x",TRIM(MID(SUBSTITUTE(SUBSTITUTE(SUBSTITUTE(SUBSTITUTE(SUBSTITUTE(LOWER(Registro!$G566),"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",LEN(Registro!$G566))),({1,2,3,4,5,6,7,8,9,10,11,12,13,14,15,16,17,18,19,20,21,22,23,24,25,26,27,28,29,30}-1)*LEN(Registro!$G566)+1,LEN(Registro!$G566)))&amp;"x")+1,20))),"Revisar formato")))</f>
        <v/>
      </c>
      <c r="J566" s="9" t="str">
        <f>IF(AND(Registro!$E566="",Registro!$G566=""),"",IF(NOT(AND(ISNUMBER(I566),ISNUMBER(Registro!$H566))),"",IF(I566&lt;Registro!$H566,"FALTA BOLETOS",IF(I566=Registro!$H566,"CONFORME","DIFERENCIA"))))</f>
        <v/>
      </c>
      <c r="K566" s="11" t="str">
        <f>IF(Registro!$I566="","",IFERROR(SUMPRODUCT(--("0"&amp;TRIM(RIGHT(SUBSTITUTE(TRIM(MID(SUBSTITUTE(SUBSTITUTE(Registro!$I566,";",CHAR(10)),CHAR(10),REPT(" ",LEN(Registro!$I566))),({1,2,3,4,5,6,7,8,9,10,11,12,13,14,15,16,17,18,19,20,21,22,23,24,25,26,27,28,29,30}-1)*LEN(Registro!$I566)+1,LEN(Registro!$I566)))," ",REPT(" ",50)),50)))),"Revisar formato"))</f>
        <v/>
      </c>
      <c r="L566" s="11" t="str">
        <f>IF(Registro!$J566="","",IFERROR(SUMPRODUCT(--("0"&amp;TRIM(RIGHT(SUBSTITUTE(TRIM(MID(SUBSTITUTE(SUBSTITUTE(Registro!$J566,";",CHAR(10)),CHAR(10),REPT(" ",LEN(Registro!$J566))),({1,2,3,4,5,6,7,8,9,10,11,12,13,14,15,16,17,18,19,20,21,22,23,24,25,26,27,28,29,30}-1)*LEN(Registro!$J566)+1,LEN(Registro!$J566)))," ",REPT(" ",50)),50)))),"Revisar formato"))</f>
        <v/>
      </c>
      <c r="M566" s="11" t="str">
        <f>IF(AND(Registro!$H566="",Registro!$I566=""),"",IF(AND(ISTEXT(K566),K566&lt;&gt;""),"Revisar formato",N(Registro!$H566)-N(K566)))</f>
        <v/>
      </c>
      <c r="N566" s="11" t="str">
        <f t="shared" si="26"/>
        <v/>
      </c>
      <c r="O566" s="15" t="str">
        <f>IF(AND(A566=Consulta!$B$3,C566=Consulta!$H$3),B566*10000+ROW(),"")</f>
        <v/>
      </c>
    </row>
    <row r="567" spans="1:15" x14ac:dyDescent="0.25">
      <c r="A567" s="9" t="str">
        <f>IF(Registro!$A567="","",Registro!$A567)</f>
        <v/>
      </c>
      <c r="B567" s="8" t="str">
        <f>IF(Registro!$B567="","",Registro!$B567)</f>
        <v/>
      </c>
      <c r="C567" s="14" t="str">
        <f t="shared" si="24"/>
        <v/>
      </c>
      <c r="D567" s="10" t="str">
        <f>IF(Registro!$E567="","",IF(ISERROR(FIND("x",LOWER(Registro!$E567))),"-",IFERROR(SUMPRODUCT(--("0"&amp;LEFT(TRIM(MID(SUBSTITUTE(SUBSTITUTE(SUBSTITUTE(SUBSTITUTE(SUBSTITUTE(LOWER(Registro!$E567),"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",LEN(Registro!$E567))),({1,2,3,4,5,6,7,8,9,10,11,12,13,14,15,16,17,18,19,20,21,22,23,24,25,26,27,28,29,30}-1)*LEN(Registro!$E567)+1,LEN(Registro!$E567)))&amp;"x")-1))),"Revisar formato")))</f>
        <v/>
      </c>
      <c r="E567" s="11" t="str">
        <f>IF(Registro!$E567="","",IF(ISERROR(FIND("x",LOWER(Registro!$E567))),"-",IFERROR(SUMPRODUCT(--("0"&amp;LEFT(TRIM(MID(SUBSTITUTE(SUBSTITUTE(SUBSTITUTE(SUBSTITUTE(SUBSTITUTE(LOWER(Registro!$E567),"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",LEN(Registro!$E567))),({1,2,3,4,5,6,7,8,9,10,11,12,13,14,15,16,17,18,19,20,21,22,23,24,25,26,27,28,29,30}-1)*LEN(Registro!$E567)+1,LEN(Registro!$E567)))&amp;"x")-1)),--("0"&amp;MID(TRIM(MID(SUBSTITUTE(SUBSTITUTE(SUBSTITUTE(SUBSTITUTE(SUBSTITUTE(LOWER(Registro!$E567),"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",LEN(Registro!$E567))),({1,2,3,4,5,6,7,8,9,10,11,12,13,14,15,16,17,18,19,20,21,22,23,24,25,26,27,28,29,30}-1)*LEN(Registro!$E567)+1,LEN(Registro!$E567)))&amp;"x")+1,20))),"Revisar formato")))</f>
        <v/>
      </c>
      <c r="F567" s="11" t="str">
        <f>IF(Registro!$F567="","",N(Registro!$F567))</f>
        <v/>
      </c>
      <c r="G567" s="11" t="str">
        <f t="shared" si="25"/>
        <v/>
      </c>
      <c r="H567" s="10" t="str">
        <f>IF(Registro!$G567="","",IF(ISERROR(FIND("x",LOWER(Registro!$G567))),"-",IFERROR(SUMPRODUCT(--("0"&amp;LEFT(TRIM(MID(SUBSTITUTE(SUBSTITUTE(SUBSTITUTE(SUBSTITUTE(SUBSTITUTE(LOWER(Registro!$G567),"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",LEN(Registro!$G567))),({1,2,3,4,5,6,7,8,9,10,11,12,13,14,15,16,17,18,19,20,21,22,23,24,25,26,27,28,29,30}-1)*LEN(Registro!$G567)+1,LEN(Registro!$G567))),FIND("x",TRIM(MID(SUBSTITUTE(SUBSTITUTE(SUBSTITUTE(SUBSTITUTE(SUBSTITUTE(LOWER(Registro!$G567),"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",LEN(Registro!$G567))),({1,2,3,4,5,6,7,8,9,10,11,12,13,14,15,16,17,18,19,20,21,22,23,24,25,26,27,28,29,30}-1)*LEN(Registro!$G567)+1,LEN(Registro!$G567)))&amp;"x")-1))),"Revisar formato")))</f>
        <v/>
      </c>
      <c r="I567" s="11" t="str">
        <f>IF(Registro!$G567="","",IF(ISERROR(FIND("x",LOWER(Registro!$G567))),N(Registro!$H567),IFERROR(SUMPRODUCT(--("0"&amp;LEFT(TRIM(MID(SUBSTITUTE(SUBSTITUTE(SUBSTITUTE(SUBSTITUTE(SUBSTITUTE(LOWER(Registro!$G567),"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",LEN(Registro!$G567))),({1,2,3,4,5,6,7,8,9,10,11,12,13,14,15,16,17,18,19,20,21,22,23,24,25,26,27,28,29,30}-1)*LEN(Registro!$G567)+1,LEN(Registro!$G567))),FIND("x",TRIM(MID(SUBSTITUTE(SUBSTITUTE(SUBSTITUTE(SUBSTITUTE(SUBSTITUTE(LOWER(Registro!$G567),"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",LEN(Registro!$G567))),({1,2,3,4,5,6,7,8,9,10,11,12,13,14,15,16,17,18,19,20,21,22,23,24,25,26,27,28,29,30}-1)*LEN(Registro!$G567)+1,LEN(Registro!$G567)))&amp;"x")-1)),--("0"&amp;MID(TRIM(MID(SUBSTITUTE(SUBSTITUTE(SUBSTITUTE(SUBSTITUTE(SUBSTITUTE(LOWER(Registro!$G567),"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",LEN(Registro!$G567))),({1,2,3,4,5,6,7,8,9,10,11,12,13,14,15,16,17,18,19,20,21,22,23,24,25,26,27,28,29,30}-1)*LEN(Registro!$G567)+1,LEN(Registro!$G567))),FIND("x",TRIM(MID(SUBSTITUTE(SUBSTITUTE(SUBSTITUTE(SUBSTITUTE(SUBSTITUTE(LOWER(Registro!$G567),"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",LEN(Registro!$G567))),({1,2,3,4,5,6,7,8,9,10,11,12,13,14,15,16,17,18,19,20,21,22,23,24,25,26,27,28,29,30}-1)*LEN(Registro!$G567)+1,LEN(Registro!$G567)))&amp;"x")+1,20))),"Revisar formato")))</f>
        <v/>
      </c>
      <c r="J567" s="9" t="str">
        <f>IF(AND(Registro!$E567="",Registro!$G567=""),"",IF(NOT(AND(ISNUMBER(I567),ISNUMBER(Registro!$H567))),"",IF(I567&lt;Registro!$H567,"FALTA BOLETOS",IF(I567=Registro!$H567,"CONFORME","DIFERENCIA"))))</f>
        <v/>
      </c>
      <c r="K567" s="11" t="str">
        <f>IF(Registro!$I567="","",IFERROR(SUMPRODUCT(--("0"&amp;TRIM(RIGHT(SUBSTITUTE(TRIM(MID(SUBSTITUTE(SUBSTITUTE(Registro!$I567,";",CHAR(10)),CHAR(10),REPT(" ",LEN(Registro!$I567))),({1,2,3,4,5,6,7,8,9,10,11,12,13,14,15,16,17,18,19,20,21,22,23,24,25,26,27,28,29,30}-1)*LEN(Registro!$I567)+1,LEN(Registro!$I567)))," ",REPT(" ",50)),50)))),"Revisar formato"))</f>
        <v/>
      </c>
      <c r="L567" s="11" t="str">
        <f>IF(Registro!$J567="","",IFERROR(SUMPRODUCT(--("0"&amp;TRIM(RIGHT(SUBSTITUTE(TRIM(MID(SUBSTITUTE(SUBSTITUTE(Registro!$J567,";",CHAR(10)),CHAR(10),REPT(" ",LEN(Registro!$J567))),({1,2,3,4,5,6,7,8,9,10,11,12,13,14,15,16,17,18,19,20,21,22,23,24,25,26,27,28,29,30}-1)*LEN(Registro!$J567)+1,LEN(Registro!$J567)))," ",REPT(" ",50)),50)))),"Revisar formato"))</f>
        <v/>
      </c>
      <c r="M567" s="11" t="str">
        <f>IF(AND(Registro!$H567="",Registro!$I567=""),"",IF(AND(ISTEXT(K567),K567&lt;&gt;""),"Revisar formato",N(Registro!$H567)-N(K567)))</f>
        <v/>
      </c>
      <c r="N567" s="11" t="str">
        <f t="shared" si="26"/>
        <v/>
      </c>
      <c r="O567" s="15" t="str">
        <f>IF(AND(A567=Consulta!$B$3,C567=Consulta!$H$3),B567*10000+ROW(),"")</f>
        <v/>
      </c>
    </row>
    <row r="568" spans="1:15" x14ac:dyDescent="0.25">
      <c r="A568" s="9" t="str">
        <f>IF(Registro!$A568="","",Registro!$A568)</f>
        <v/>
      </c>
      <c r="B568" s="8" t="str">
        <f>IF(Registro!$B568="","",Registro!$B568)</f>
        <v/>
      </c>
      <c r="C568" s="14" t="str">
        <f t="shared" si="24"/>
        <v/>
      </c>
      <c r="D568" s="10" t="str">
        <f>IF(Registro!$E568="","",IF(ISERROR(FIND("x",LOWER(Registro!$E568))),"-",IFERROR(SUMPRODUCT(--("0"&amp;LEFT(TRIM(MID(SUBSTITUTE(SUBSTITUTE(SUBSTITUTE(SUBSTITUTE(SUBSTITUTE(LOWER(Registro!$E568),"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",LEN(Registro!$E568))),({1,2,3,4,5,6,7,8,9,10,11,12,13,14,15,16,17,18,19,20,21,22,23,24,25,26,27,28,29,30}-1)*LEN(Registro!$E568)+1,LEN(Registro!$E568)))&amp;"x")-1))),"Revisar formato")))</f>
        <v/>
      </c>
      <c r="E568" s="11" t="str">
        <f>IF(Registro!$E568="","",IF(ISERROR(FIND("x",LOWER(Registro!$E568))),"-",IFERROR(SUMPRODUCT(--("0"&amp;LEFT(TRIM(MID(SUBSTITUTE(SUBSTITUTE(SUBSTITUTE(SUBSTITUTE(SUBSTITUTE(LOWER(Registro!$E568),"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",LEN(Registro!$E568))),({1,2,3,4,5,6,7,8,9,10,11,12,13,14,15,16,17,18,19,20,21,22,23,24,25,26,27,28,29,30}-1)*LEN(Registro!$E568)+1,LEN(Registro!$E568)))&amp;"x")-1)),--("0"&amp;MID(TRIM(MID(SUBSTITUTE(SUBSTITUTE(SUBSTITUTE(SUBSTITUTE(SUBSTITUTE(LOWER(Registro!$E568),"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",LEN(Registro!$E568))),({1,2,3,4,5,6,7,8,9,10,11,12,13,14,15,16,17,18,19,20,21,22,23,24,25,26,27,28,29,30}-1)*LEN(Registro!$E568)+1,LEN(Registro!$E568)))&amp;"x")+1,20))),"Revisar formato")))</f>
        <v/>
      </c>
      <c r="F568" s="11" t="str">
        <f>IF(Registro!$F568="","",N(Registro!$F568))</f>
        <v/>
      </c>
      <c r="G568" s="11" t="str">
        <f t="shared" si="25"/>
        <v/>
      </c>
      <c r="H568" s="10" t="str">
        <f>IF(Registro!$G568="","",IF(ISERROR(FIND("x",LOWER(Registro!$G568))),"-",IFERROR(SUMPRODUCT(--("0"&amp;LEFT(TRIM(MID(SUBSTITUTE(SUBSTITUTE(SUBSTITUTE(SUBSTITUTE(SUBSTITUTE(LOWER(Registro!$G568),"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",LEN(Registro!$G568))),({1,2,3,4,5,6,7,8,9,10,11,12,13,14,15,16,17,18,19,20,21,22,23,24,25,26,27,28,29,30}-1)*LEN(Registro!$G568)+1,LEN(Registro!$G568))),FIND("x",TRIM(MID(SUBSTITUTE(SUBSTITUTE(SUBSTITUTE(SUBSTITUTE(SUBSTITUTE(LOWER(Registro!$G568),"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",LEN(Registro!$G568))),({1,2,3,4,5,6,7,8,9,10,11,12,13,14,15,16,17,18,19,20,21,22,23,24,25,26,27,28,29,30}-1)*LEN(Registro!$G568)+1,LEN(Registro!$G568)))&amp;"x")-1))),"Revisar formato")))</f>
        <v/>
      </c>
      <c r="I568" s="11" t="str">
        <f>IF(Registro!$G568="","",IF(ISERROR(FIND("x",LOWER(Registro!$G568))),N(Registro!$H568),IFERROR(SUMPRODUCT(--("0"&amp;LEFT(TRIM(MID(SUBSTITUTE(SUBSTITUTE(SUBSTITUTE(SUBSTITUTE(SUBSTITUTE(LOWER(Registro!$G568),"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",LEN(Registro!$G568))),({1,2,3,4,5,6,7,8,9,10,11,12,13,14,15,16,17,18,19,20,21,22,23,24,25,26,27,28,29,30}-1)*LEN(Registro!$G568)+1,LEN(Registro!$G568))),FIND("x",TRIM(MID(SUBSTITUTE(SUBSTITUTE(SUBSTITUTE(SUBSTITUTE(SUBSTITUTE(LOWER(Registro!$G568),"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",LEN(Registro!$G568))),({1,2,3,4,5,6,7,8,9,10,11,12,13,14,15,16,17,18,19,20,21,22,23,24,25,26,27,28,29,30}-1)*LEN(Registro!$G568)+1,LEN(Registro!$G568)))&amp;"x")-1)),--("0"&amp;MID(TRIM(MID(SUBSTITUTE(SUBSTITUTE(SUBSTITUTE(SUBSTITUTE(SUBSTITUTE(LOWER(Registro!$G568),"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",LEN(Registro!$G568))),({1,2,3,4,5,6,7,8,9,10,11,12,13,14,15,16,17,18,19,20,21,22,23,24,25,26,27,28,29,30}-1)*LEN(Registro!$G568)+1,LEN(Registro!$G568))),FIND("x",TRIM(MID(SUBSTITUTE(SUBSTITUTE(SUBSTITUTE(SUBSTITUTE(SUBSTITUTE(LOWER(Registro!$G568),"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",LEN(Registro!$G568))),({1,2,3,4,5,6,7,8,9,10,11,12,13,14,15,16,17,18,19,20,21,22,23,24,25,26,27,28,29,30}-1)*LEN(Registro!$G568)+1,LEN(Registro!$G568)))&amp;"x")+1,20))),"Revisar formato")))</f>
        <v/>
      </c>
      <c r="J568" s="9" t="str">
        <f>IF(AND(Registro!$E568="",Registro!$G568=""),"",IF(NOT(AND(ISNUMBER(I568),ISNUMBER(Registro!$H568))),"",IF(I568&lt;Registro!$H568,"FALTA BOLETOS",IF(I568=Registro!$H568,"CONFORME","DIFERENCIA"))))</f>
        <v/>
      </c>
      <c r="K568" s="11" t="str">
        <f>IF(Registro!$I568="","",IFERROR(SUMPRODUCT(--("0"&amp;TRIM(RIGHT(SUBSTITUTE(TRIM(MID(SUBSTITUTE(SUBSTITUTE(Registro!$I568,";",CHAR(10)),CHAR(10),REPT(" ",LEN(Registro!$I568))),({1,2,3,4,5,6,7,8,9,10,11,12,13,14,15,16,17,18,19,20,21,22,23,24,25,26,27,28,29,30}-1)*LEN(Registro!$I568)+1,LEN(Registro!$I568)))," ",REPT(" ",50)),50)))),"Revisar formato"))</f>
        <v/>
      </c>
      <c r="L568" s="11" t="str">
        <f>IF(Registro!$J568="","",IFERROR(SUMPRODUCT(--("0"&amp;TRIM(RIGHT(SUBSTITUTE(TRIM(MID(SUBSTITUTE(SUBSTITUTE(Registro!$J568,";",CHAR(10)),CHAR(10),REPT(" ",LEN(Registro!$J568))),({1,2,3,4,5,6,7,8,9,10,11,12,13,14,15,16,17,18,19,20,21,22,23,24,25,26,27,28,29,30}-1)*LEN(Registro!$J568)+1,LEN(Registro!$J568)))," ",REPT(" ",50)),50)))),"Revisar formato"))</f>
        <v/>
      </c>
      <c r="M568" s="11" t="str">
        <f>IF(AND(Registro!$H568="",Registro!$I568=""),"",IF(AND(ISTEXT(K568),K568&lt;&gt;""),"Revisar formato",N(Registro!$H568)-N(K568)))</f>
        <v/>
      </c>
      <c r="N568" s="11" t="str">
        <f t="shared" si="26"/>
        <v/>
      </c>
      <c r="O568" s="15" t="str">
        <f>IF(AND(A568=Consulta!$B$3,C568=Consulta!$H$3),B568*10000+ROW(),"")</f>
        <v/>
      </c>
    </row>
    <row r="569" spans="1:15" x14ac:dyDescent="0.25">
      <c r="A569" s="9" t="str">
        <f>IF(Registro!$A569="","",Registro!$A569)</f>
        <v/>
      </c>
      <c r="B569" s="8" t="str">
        <f>IF(Registro!$B569="","",Registro!$B569)</f>
        <v/>
      </c>
      <c r="C569" s="14" t="str">
        <f t="shared" si="24"/>
        <v/>
      </c>
      <c r="D569" s="10" t="str">
        <f>IF(Registro!$E569="","",IF(ISERROR(FIND("x",LOWER(Registro!$E569))),"-",IFERROR(SUMPRODUCT(--("0"&amp;LEFT(TRIM(MID(SUBSTITUTE(SUBSTITUTE(SUBSTITUTE(SUBSTITUTE(SUBSTITUTE(LOWER(Registro!$E569),"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",LEN(Registro!$E569))),({1,2,3,4,5,6,7,8,9,10,11,12,13,14,15,16,17,18,19,20,21,22,23,24,25,26,27,28,29,30}-1)*LEN(Registro!$E569)+1,LEN(Registro!$E569)))&amp;"x")-1))),"Revisar formato")))</f>
        <v/>
      </c>
      <c r="E569" s="11" t="str">
        <f>IF(Registro!$E569="","",IF(ISERROR(FIND("x",LOWER(Registro!$E569))),"-",IFERROR(SUMPRODUCT(--("0"&amp;LEFT(TRIM(MID(SUBSTITUTE(SUBSTITUTE(SUBSTITUTE(SUBSTITUTE(SUBSTITUTE(LOWER(Registro!$E569),"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",LEN(Registro!$E569))),({1,2,3,4,5,6,7,8,9,10,11,12,13,14,15,16,17,18,19,20,21,22,23,24,25,26,27,28,29,30}-1)*LEN(Registro!$E569)+1,LEN(Registro!$E569)))&amp;"x")-1)),--("0"&amp;MID(TRIM(MID(SUBSTITUTE(SUBSTITUTE(SUBSTITUTE(SUBSTITUTE(SUBSTITUTE(LOWER(Registro!$E569),"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",LEN(Registro!$E569))),({1,2,3,4,5,6,7,8,9,10,11,12,13,14,15,16,17,18,19,20,21,22,23,24,25,26,27,28,29,30}-1)*LEN(Registro!$E569)+1,LEN(Registro!$E569)))&amp;"x")+1,20))),"Revisar formato")))</f>
        <v/>
      </c>
      <c r="F569" s="11" t="str">
        <f>IF(Registro!$F569="","",N(Registro!$F569))</f>
        <v/>
      </c>
      <c r="G569" s="11" t="str">
        <f t="shared" si="25"/>
        <v/>
      </c>
      <c r="H569" s="10" t="str">
        <f>IF(Registro!$G569="","",IF(ISERROR(FIND("x",LOWER(Registro!$G569))),"-",IFERROR(SUMPRODUCT(--("0"&amp;LEFT(TRIM(MID(SUBSTITUTE(SUBSTITUTE(SUBSTITUTE(SUBSTITUTE(SUBSTITUTE(LOWER(Registro!$G569),"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",LEN(Registro!$G569))),({1,2,3,4,5,6,7,8,9,10,11,12,13,14,15,16,17,18,19,20,21,22,23,24,25,26,27,28,29,30}-1)*LEN(Registro!$G569)+1,LEN(Registro!$G569))),FIND("x",TRIM(MID(SUBSTITUTE(SUBSTITUTE(SUBSTITUTE(SUBSTITUTE(SUBSTITUTE(LOWER(Registro!$G569),"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",LEN(Registro!$G569))),({1,2,3,4,5,6,7,8,9,10,11,12,13,14,15,16,17,18,19,20,21,22,23,24,25,26,27,28,29,30}-1)*LEN(Registro!$G569)+1,LEN(Registro!$G569)))&amp;"x")-1))),"Revisar formato")))</f>
        <v/>
      </c>
      <c r="I569" s="11" t="str">
        <f>IF(Registro!$G569="","",IF(ISERROR(FIND("x",LOWER(Registro!$G569))),N(Registro!$H569),IFERROR(SUMPRODUCT(--("0"&amp;LEFT(TRIM(MID(SUBSTITUTE(SUBSTITUTE(SUBSTITUTE(SUBSTITUTE(SUBSTITUTE(LOWER(Registro!$G569),"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",LEN(Registro!$G569))),({1,2,3,4,5,6,7,8,9,10,11,12,13,14,15,16,17,18,19,20,21,22,23,24,25,26,27,28,29,30}-1)*LEN(Registro!$G569)+1,LEN(Registro!$G569))),FIND("x",TRIM(MID(SUBSTITUTE(SUBSTITUTE(SUBSTITUTE(SUBSTITUTE(SUBSTITUTE(LOWER(Registro!$G569),"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",LEN(Registro!$G569))),({1,2,3,4,5,6,7,8,9,10,11,12,13,14,15,16,17,18,19,20,21,22,23,24,25,26,27,28,29,30}-1)*LEN(Registro!$G569)+1,LEN(Registro!$G569)))&amp;"x")-1)),--("0"&amp;MID(TRIM(MID(SUBSTITUTE(SUBSTITUTE(SUBSTITUTE(SUBSTITUTE(SUBSTITUTE(LOWER(Registro!$G569),"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",LEN(Registro!$G569))),({1,2,3,4,5,6,7,8,9,10,11,12,13,14,15,16,17,18,19,20,21,22,23,24,25,26,27,28,29,30}-1)*LEN(Registro!$G569)+1,LEN(Registro!$G569))),FIND("x",TRIM(MID(SUBSTITUTE(SUBSTITUTE(SUBSTITUTE(SUBSTITUTE(SUBSTITUTE(LOWER(Registro!$G569),"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",LEN(Registro!$G569))),({1,2,3,4,5,6,7,8,9,10,11,12,13,14,15,16,17,18,19,20,21,22,23,24,25,26,27,28,29,30}-1)*LEN(Registro!$G569)+1,LEN(Registro!$G569)))&amp;"x")+1,20))),"Revisar formato")))</f>
        <v/>
      </c>
      <c r="J569" s="9" t="str">
        <f>IF(AND(Registro!$E569="",Registro!$G569=""),"",IF(NOT(AND(ISNUMBER(I569),ISNUMBER(Registro!$H569))),"",IF(I569&lt;Registro!$H569,"FALTA BOLETOS",IF(I569=Registro!$H569,"CONFORME","DIFERENCIA"))))</f>
        <v/>
      </c>
      <c r="K569" s="11" t="str">
        <f>IF(Registro!$I569="","",IFERROR(SUMPRODUCT(--("0"&amp;TRIM(RIGHT(SUBSTITUTE(TRIM(MID(SUBSTITUTE(SUBSTITUTE(Registro!$I569,";",CHAR(10)),CHAR(10),REPT(" ",LEN(Registro!$I569))),({1,2,3,4,5,6,7,8,9,10,11,12,13,14,15,16,17,18,19,20,21,22,23,24,25,26,27,28,29,30}-1)*LEN(Registro!$I569)+1,LEN(Registro!$I569)))," ",REPT(" ",50)),50)))),"Revisar formato"))</f>
        <v/>
      </c>
      <c r="L569" s="11" t="str">
        <f>IF(Registro!$J569="","",IFERROR(SUMPRODUCT(--("0"&amp;TRIM(RIGHT(SUBSTITUTE(TRIM(MID(SUBSTITUTE(SUBSTITUTE(Registro!$J569,";",CHAR(10)),CHAR(10),REPT(" ",LEN(Registro!$J569))),({1,2,3,4,5,6,7,8,9,10,11,12,13,14,15,16,17,18,19,20,21,22,23,24,25,26,27,28,29,30}-1)*LEN(Registro!$J569)+1,LEN(Registro!$J569)))," ",REPT(" ",50)),50)))),"Revisar formato"))</f>
        <v/>
      </c>
      <c r="M569" s="11" t="str">
        <f>IF(AND(Registro!$H569="",Registro!$I569=""),"",IF(AND(ISTEXT(K569),K569&lt;&gt;""),"Revisar formato",N(Registro!$H569)-N(K569)))</f>
        <v/>
      </c>
      <c r="N569" s="11" t="str">
        <f t="shared" si="26"/>
        <v/>
      </c>
      <c r="O569" s="15" t="str">
        <f>IF(AND(A569=Consulta!$B$3,C569=Consulta!$H$3),B569*10000+ROW(),"")</f>
        <v/>
      </c>
    </row>
    <row r="570" spans="1:15" x14ac:dyDescent="0.25">
      <c r="A570" s="9" t="str">
        <f>IF(Registro!$A570="","",Registro!$A570)</f>
        <v/>
      </c>
      <c r="B570" s="8" t="str">
        <f>IF(Registro!$B570="","",Registro!$B570)</f>
        <v/>
      </c>
      <c r="C570" s="14" t="str">
        <f t="shared" si="24"/>
        <v/>
      </c>
      <c r="D570" s="10" t="str">
        <f>IF(Registro!$E570="","",IF(ISERROR(FIND("x",LOWER(Registro!$E570))),"-",IFERROR(SUMPRODUCT(--("0"&amp;LEFT(TRIM(MID(SUBSTITUTE(SUBSTITUTE(SUBSTITUTE(SUBSTITUTE(SUBSTITUTE(LOWER(Registro!$E570),"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",LEN(Registro!$E570))),({1,2,3,4,5,6,7,8,9,10,11,12,13,14,15,16,17,18,19,20,21,22,23,24,25,26,27,28,29,30}-1)*LEN(Registro!$E570)+1,LEN(Registro!$E570)))&amp;"x")-1))),"Revisar formato")))</f>
        <v/>
      </c>
      <c r="E570" s="11" t="str">
        <f>IF(Registro!$E570="","",IF(ISERROR(FIND("x",LOWER(Registro!$E570))),"-",IFERROR(SUMPRODUCT(--("0"&amp;LEFT(TRIM(MID(SUBSTITUTE(SUBSTITUTE(SUBSTITUTE(SUBSTITUTE(SUBSTITUTE(LOWER(Registro!$E570),"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",LEN(Registro!$E570))),({1,2,3,4,5,6,7,8,9,10,11,12,13,14,15,16,17,18,19,20,21,22,23,24,25,26,27,28,29,30}-1)*LEN(Registro!$E570)+1,LEN(Registro!$E570)))&amp;"x")-1)),--("0"&amp;MID(TRIM(MID(SUBSTITUTE(SUBSTITUTE(SUBSTITUTE(SUBSTITUTE(SUBSTITUTE(LOWER(Registro!$E570),"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",LEN(Registro!$E570))),({1,2,3,4,5,6,7,8,9,10,11,12,13,14,15,16,17,18,19,20,21,22,23,24,25,26,27,28,29,30}-1)*LEN(Registro!$E570)+1,LEN(Registro!$E570)))&amp;"x")+1,20))),"Revisar formato")))</f>
        <v/>
      </c>
      <c r="F570" s="11" t="str">
        <f>IF(Registro!$F570="","",N(Registro!$F570))</f>
        <v/>
      </c>
      <c r="G570" s="11" t="str">
        <f t="shared" si="25"/>
        <v/>
      </c>
      <c r="H570" s="10" t="str">
        <f>IF(Registro!$G570="","",IF(ISERROR(FIND("x",LOWER(Registro!$G570))),"-",IFERROR(SUMPRODUCT(--("0"&amp;LEFT(TRIM(MID(SUBSTITUTE(SUBSTITUTE(SUBSTITUTE(SUBSTITUTE(SUBSTITUTE(LOWER(Registro!$G570),"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",LEN(Registro!$G570))),({1,2,3,4,5,6,7,8,9,10,11,12,13,14,15,16,17,18,19,20,21,22,23,24,25,26,27,28,29,30}-1)*LEN(Registro!$G570)+1,LEN(Registro!$G570))),FIND("x",TRIM(MID(SUBSTITUTE(SUBSTITUTE(SUBSTITUTE(SUBSTITUTE(SUBSTITUTE(LOWER(Registro!$G570),"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",LEN(Registro!$G570))),({1,2,3,4,5,6,7,8,9,10,11,12,13,14,15,16,17,18,19,20,21,22,23,24,25,26,27,28,29,30}-1)*LEN(Registro!$G570)+1,LEN(Registro!$G570)))&amp;"x")-1))),"Revisar formato")))</f>
        <v/>
      </c>
      <c r="I570" s="11" t="str">
        <f>IF(Registro!$G570="","",IF(ISERROR(FIND("x",LOWER(Registro!$G570))),N(Registro!$H570),IFERROR(SUMPRODUCT(--("0"&amp;LEFT(TRIM(MID(SUBSTITUTE(SUBSTITUTE(SUBSTITUTE(SUBSTITUTE(SUBSTITUTE(LOWER(Registro!$G570),"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",LEN(Registro!$G570))),({1,2,3,4,5,6,7,8,9,10,11,12,13,14,15,16,17,18,19,20,21,22,23,24,25,26,27,28,29,30}-1)*LEN(Registro!$G570)+1,LEN(Registro!$G570))),FIND("x",TRIM(MID(SUBSTITUTE(SUBSTITUTE(SUBSTITUTE(SUBSTITUTE(SUBSTITUTE(LOWER(Registro!$G570),"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",LEN(Registro!$G570))),({1,2,3,4,5,6,7,8,9,10,11,12,13,14,15,16,17,18,19,20,21,22,23,24,25,26,27,28,29,30}-1)*LEN(Registro!$G570)+1,LEN(Registro!$G570)))&amp;"x")-1)),--("0"&amp;MID(TRIM(MID(SUBSTITUTE(SUBSTITUTE(SUBSTITUTE(SUBSTITUTE(SUBSTITUTE(LOWER(Registro!$G570),"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",LEN(Registro!$G570))),({1,2,3,4,5,6,7,8,9,10,11,12,13,14,15,16,17,18,19,20,21,22,23,24,25,26,27,28,29,30}-1)*LEN(Registro!$G570)+1,LEN(Registro!$G570))),FIND("x",TRIM(MID(SUBSTITUTE(SUBSTITUTE(SUBSTITUTE(SUBSTITUTE(SUBSTITUTE(LOWER(Registro!$G570),"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",LEN(Registro!$G570))),({1,2,3,4,5,6,7,8,9,10,11,12,13,14,15,16,17,18,19,20,21,22,23,24,25,26,27,28,29,30}-1)*LEN(Registro!$G570)+1,LEN(Registro!$G570)))&amp;"x")+1,20))),"Revisar formato")))</f>
        <v/>
      </c>
      <c r="J570" s="9" t="str">
        <f>IF(AND(Registro!$E570="",Registro!$G570=""),"",IF(NOT(AND(ISNUMBER(I570),ISNUMBER(Registro!$H570))),"",IF(I570&lt;Registro!$H570,"FALTA BOLETOS",IF(I570=Registro!$H570,"CONFORME","DIFERENCIA"))))</f>
        <v/>
      </c>
      <c r="K570" s="11" t="str">
        <f>IF(Registro!$I570="","",IFERROR(SUMPRODUCT(--("0"&amp;TRIM(RIGHT(SUBSTITUTE(TRIM(MID(SUBSTITUTE(SUBSTITUTE(Registro!$I570,";",CHAR(10)),CHAR(10),REPT(" ",LEN(Registro!$I570))),({1,2,3,4,5,6,7,8,9,10,11,12,13,14,15,16,17,18,19,20,21,22,23,24,25,26,27,28,29,30}-1)*LEN(Registro!$I570)+1,LEN(Registro!$I570)))," ",REPT(" ",50)),50)))),"Revisar formato"))</f>
        <v/>
      </c>
      <c r="L570" s="11" t="str">
        <f>IF(Registro!$J570="","",IFERROR(SUMPRODUCT(--("0"&amp;TRIM(RIGHT(SUBSTITUTE(TRIM(MID(SUBSTITUTE(SUBSTITUTE(Registro!$J570,";",CHAR(10)),CHAR(10),REPT(" ",LEN(Registro!$J570))),({1,2,3,4,5,6,7,8,9,10,11,12,13,14,15,16,17,18,19,20,21,22,23,24,25,26,27,28,29,30}-1)*LEN(Registro!$J570)+1,LEN(Registro!$J570)))," ",REPT(" ",50)),50)))),"Revisar formato"))</f>
        <v/>
      </c>
      <c r="M570" s="11" t="str">
        <f>IF(AND(Registro!$H570="",Registro!$I570=""),"",IF(AND(ISTEXT(K570),K570&lt;&gt;""),"Revisar formato",N(Registro!$H570)-N(K570)))</f>
        <v/>
      </c>
      <c r="N570" s="11" t="str">
        <f t="shared" si="26"/>
        <v/>
      </c>
      <c r="O570" s="15" t="str">
        <f>IF(AND(A570=Consulta!$B$3,C570=Consulta!$H$3),B570*10000+ROW(),"")</f>
        <v/>
      </c>
    </row>
    <row r="571" spans="1:15" x14ac:dyDescent="0.25">
      <c r="A571" s="9" t="str">
        <f>IF(Registro!$A571="","",Registro!$A571)</f>
        <v/>
      </c>
      <c r="B571" s="8" t="str">
        <f>IF(Registro!$B571="","",Registro!$B571)</f>
        <v/>
      </c>
      <c r="C571" s="14" t="str">
        <f t="shared" si="24"/>
        <v/>
      </c>
      <c r="D571" s="10" t="str">
        <f>IF(Registro!$E571="","",IF(ISERROR(FIND("x",LOWER(Registro!$E571))),"-",IFERROR(SUMPRODUCT(--("0"&amp;LEFT(TRIM(MID(SUBSTITUTE(SUBSTITUTE(SUBSTITUTE(SUBSTITUTE(SUBSTITUTE(LOWER(Registro!$E571),"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",LEN(Registro!$E571))),({1,2,3,4,5,6,7,8,9,10,11,12,13,14,15,16,17,18,19,20,21,22,23,24,25,26,27,28,29,30}-1)*LEN(Registro!$E571)+1,LEN(Registro!$E571)))&amp;"x")-1))),"Revisar formato")))</f>
        <v/>
      </c>
      <c r="E571" s="11" t="str">
        <f>IF(Registro!$E571="","",IF(ISERROR(FIND("x",LOWER(Registro!$E571))),"-",IFERROR(SUMPRODUCT(--("0"&amp;LEFT(TRIM(MID(SUBSTITUTE(SUBSTITUTE(SUBSTITUTE(SUBSTITUTE(SUBSTITUTE(LOWER(Registro!$E571),"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",LEN(Registro!$E571))),({1,2,3,4,5,6,7,8,9,10,11,12,13,14,15,16,17,18,19,20,21,22,23,24,25,26,27,28,29,30}-1)*LEN(Registro!$E571)+1,LEN(Registro!$E571)))&amp;"x")-1)),--("0"&amp;MID(TRIM(MID(SUBSTITUTE(SUBSTITUTE(SUBSTITUTE(SUBSTITUTE(SUBSTITUTE(LOWER(Registro!$E571),"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",LEN(Registro!$E571))),({1,2,3,4,5,6,7,8,9,10,11,12,13,14,15,16,17,18,19,20,21,22,23,24,25,26,27,28,29,30}-1)*LEN(Registro!$E571)+1,LEN(Registro!$E571)))&amp;"x")+1,20))),"Revisar formato")))</f>
        <v/>
      </c>
      <c r="F571" s="11" t="str">
        <f>IF(Registro!$F571="","",N(Registro!$F571))</f>
        <v/>
      </c>
      <c r="G571" s="11" t="str">
        <f t="shared" si="25"/>
        <v/>
      </c>
      <c r="H571" s="10" t="str">
        <f>IF(Registro!$G571="","",IF(ISERROR(FIND("x",LOWER(Registro!$G571))),"-",IFERROR(SUMPRODUCT(--("0"&amp;LEFT(TRIM(MID(SUBSTITUTE(SUBSTITUTE(SUBSTITUTE(SUBSTITUTE(SUBSTITUTE(LOWER(Registro!$G571),"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",LEN(Registro!$G571))),({1,2,3,4,5,6,7,8,9,10,11,12,13,14,15,16,17,18,19,20,21,22,23,24,25,26,27,28,29,30}-1)*LEN(Registro!$G571)+1,LEN(Registro!$G571))),FIND("x",TRIM(MID(SUBSTITUTE(SUBSTITUTE(SUBSTITUTE(SUBSTITUTE(SUBSTITUTE(LOWER(Registro!$G571),"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",LEN(Registro!$G571))),({1,2,3,4,5,6,7,8,9,10,11,12,13,14,15,16,17,18,19,20,21,22,23,24,25,26,27,28,29,30}-1)*LEN(Registro!$G571)+1,LEN(Registro!$G571)))&amp;"x")-1))),"Revisar formato")))</f>
        <v/>
      </c>
      <c r="I571" s="11" t="str">
        <f>IF(Registro!$G571="","",IF(ISERROR(FIND("x",LOWER(Registro!$G571))),N(Registro!$H571),IFERROR(SUMPRODUCT(--("0"&amp;LEFT(TRIM(MID(SUBSTITUTE(SUBSTITUTE(SUBSTITUTE(SUBSTITUTE(SUBSTITUTE(LOWER(Registro!$G571),"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",LEN(Registro!$G571))),({1,2,3,4,5,6,7,8,9,10,11,12,13,14,15,16,17,18,19,20,21,22,23,24,25,26,27,28,29,30}-1)*LEN(Registro!$G571)+1,LEN(Registro!$G571))),FIND("x",TRIM(MID(SUBSTITUTE(SUBSTITUTE(SUBSTITUTE(SUBSTITUTE(SUBSTITUTE(LOWER(Registro!$G571),"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",LEN(Registro!$G571))),({1,2,3,4,5,6,7,8,9,10,11,12,13,14,15,16,17,18,19,20,21,22,23,24,25,26,27,28,29,30}-1)*LEN(Registro!$G571)+1,LEN(Registro!$G571)))&amp;"x")-1)),--("0"&amp;MID(TRIM(MID(SUBSTITUTE(SUBSTITUTE(SUBSTITUTE(SUBSTITUTE(SUBSTITUTE(LOWER(Registro!$G571),"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",LEN(Registro!$G571))),({1,2,3,4,5,6,7,8,9,10,11,12,13,14,15,16,17,18,19,20,21,22,23,24,25,26,27,28,29,30}-1)*LEN(Registro!$G571)+1,LEN(Registro!$G571))),FIND("x",TRIM(MID(SUBSTITUTE(SUBSTITUTE(SUBSTITUTE(SUBSTITUTE(SUBSTITUTE(LOWER(Registro!$G571),"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",LEN(Registro!$G571))),({1,2,3,4,5,6,7,8,9,10,11,12,13,14,15,16,17,18,19,20,21,22,23,24,25,26,27,28,29,30}-1)*LEN(Registro!$G571)+1,LEN(Registro!$G571)))&amp;"x")+1,20))),"Revisar formato")))</f>
        <v/>
      </c>
      <c r="J571" s="9" t="str">
        <f>IF(AND(Registro!$E571="",Registro!$G571=""),"",IF(NOT(AND(ISNUMBER(I571),ISNUMBER(Registro!$H571))),"",IF(I571&lt;Registro!$H571,"FALTA BOLETOS",IF(I571=Registro!$H571,"CONFORME","DIFERENCIA"))))</f>
        <v/>
      </c>
      <c r="K571" s="11" t="str">
        <f>IF(Registro!$I571="","",IFERROR(SUMPRODUCT(--("0"&amp;TRIM(RIGHT(SUBSTITUTE(TRIM(MID(SUBSTITUTE(SUBSTITUTE(Registro!$I571,";",CHAR(10)),CHAR(10),REPT(" ",LEN(Registro!$I571))),({1,2,3,4,5,6,7,8,9,10,11,12,13,14,15,16,17,18,19,20,21,22,23,24,25,26,27,28,29,30}-1)*LEN(Registro!$I571)+1,LEN(Registro!$I571)))," ",REPT(" ",50)),50)))),"Revisar formato"))</f>
        <v/>
      </c>
      <c r="L571" s="11" t="str">
        <f>IF(Registro!$J571="","",IFERROR(SUMPRODUCT(--("0"&amp;TRIM(RIGHT(SUBSTITUTE(TRIM(MID(SUBSTITUTE(SUBSTITUTE(Registro!$J571,";",CHAR(10)),CHAR(10),REPT(" ",LEN(Registro!$J571))),({1,2,3,4,5,6,7,8,9,10,11,12,13,14,15,16,17,18,19,20,21,22,23,24,25,26,27,28,29,30}-1)*LEN(Registro!$J571)+1,LEN(Registro!$J571)))," ",REPT(" ",50)),50)))),"Revisar formato"))</f>
        <v/>
      </c>
      <c r="M571" s="11" t="str">
        <f>IF(AND(Registro!$H571="",Registro!$I571=""),"",IF(AND(ISTEXT(K571),K571&lt;&gt;""),"Revisar formato",N(Registro!$H571)-N(K571)))</f>
        <v/>
      </c>
      <c r="N571" s="11" t="str">
        <f t="shared" si="26"/>
        <v/>
      </c>
      <c r="O571" s="15" t="str">
        <f>IF(AND(A571=Consulta!$B$3,C571=Consulta!$H$3),B571*10000+ROW(),"")</f>
        <v/>
      </c>
    </row>
    <row r="572" spans="1:15" x14ac:dyDescent="0.25">
      <c r="A572" s="9" t="str">
        <f>IF(Registro!$A572="","",Registro!$A572)</f>
        <v/>
      </c>
      <c r="B572" s="8" t="str">
        <f>IF(Registro!$B572="","",Registro!$B572)</f>
        <v/>
      </c>
      <c r="C572" s="14" t="str">
        <f t="shared" si="24"/>
        <v/>
      </c>
      <c r="D572" s="10" t="str">
        <f>IF(Registro!$E572="","",IF(ISERROR(FIND("x",LOWER(Registro!$E572))),"-",IFERROR(SUMPRODUCT(--("0"&amp;LEFT(TRIM(MID(SUBSTITUTE(SUBSTITUTE(SUBSTITUTE(SUBSTITUTE(SUBSTITUTE(LOWER(Registro!$E572),"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",LEN(Registro!$E572))),({1,2,3,4,5,6,7,8,9,10,11,12,13,14,15,16,17,18,19,20,21,22,23,24,25,26,27,28,29,30}-1)*LEN(Registro!$E572)+1,LEN(Registro!$E572)))&amp;"x")-1))),"Revisar formato")))</f>
        <v/>
      </c>
      <c r="E572" s="11" t="str">
        <f>IF(Registro!$E572="","",IF(ISERROR(FIND("x",LOWER(Registro!$E572))),"-",IFERROR(SUMPRODUCT(--("0"&amp;LEFT(TRIM(MID(SUBSTITUTE(SUBSTITUTE(SUBSTITUTE(SUBSTITUTE(SUBSTITUTE(LOWER(Registro!$E572),"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",LEN(Registro!$E572))),({1,2,3,4,5,6,7,8,9,10,11,12,13,14,15,16,17,18,19,20,21,22,23,24,25,26,27,28,29,30}-1)*LEN(Registro!$E572)+1,LEN(Registro!$E572)))&amp;"x")-1)),--("0"&amp;MID(TRIM(MID(SUBSTITUTE(SUBSTITUTE(SUBSTITUTE(SUBSTITUTE(SUBSTITUTE(LOWER(Registro!$E572),"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",LEN(Registro!$E572))),({1,2,3,4,5,6,7,8,9,10,11,12,13,14,15,16,17,18,19,20,21,22,23,24,25,26,27,28,29,30}-1)*LEN(Registro!$E572)+1,LEN(Registro!$E572)))&amp;"x")+1,20))),"Revisar formato")))</f>
        <v/>
      </c>
      <c r="F572" s="11" t="str">
        <f>IF(Registro!$F572="","",N(Registro!$F572))</f>
        <v/>
      </c>
      <c r="G572" s="11" t="str">
        <f t="shared" si="25"/>
        <v/>
      </c>
      <c r="H572" s="10" t="str">
        <f>IF(Registro!$G572="","",IF(ISERROR(FIND("x",LOWER(Registro!$G572))),"-",IFERROR(SUMPRODUCT(--("0"&amp;LEFT(TRIM(MID(SUBSTITUTE(SUBSTITUTE(SUBSTITUTE(SUBSTITUTE(SUBSTITUTE(LOWER(Registro!$G572),"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",LEN(Registro!$G572))),({1,2,3,4,5,6,7,8,9,10,11,12,13,14,15,16,17,18,19,20,21,22,23,24,25,26,27,28,29,30}-1)*LEN(Registro!$G572)+1,LEN(Registro!$G572))),FIND("x",TRIM(MID(SUBSTITUTE(SUBSTITUTE(SUBSTITUTE(SUBSTITUTE(SUBSTITUTE(LOWER(Registro!$G572),"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",LEN(Registro!$G572))),({1,2,3,4,5,6,7,8,9,10,11,12,13,14,15,16,17,18,19,20,21,22,23,24,25,26,27,28,29,30}-1)*LEN(Registro!$G572)+1,LEN(Registro!$G572)))&amp;"x")-1))),"Revisar formato")))</f>
        <v/>
      </c>
      <c r="I572" s="11" t="str">
        <f>IF(Registro!$G572="","",IF(ISERROR(FIND("x",LOWER(Registro!$G572))),N(Registro!$H572),IFERROR(SUMPRODUCT(--("0"&amp;LEFT(TRIM(MID(SUBSTITUTE(SUBSTITUTE(SUBSTITUTE(SUBSTITUTE(SUBSTITUTE(LOWER(Registro!$G572),"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",LEN(Registro!$G572))),({1,2,3,4,5,6,7,8,9,10,11,12,13,14,15,16,17,18,19,20,21,22,23,24,25,26,27,28,29,30}-1)*LEN(Registro!$G572)+1,LEN(Registro!$G572))),FIND("x",TRIM(MID(SUBSTITUTE(SUBSTITUTE(SUBSTITUTE(SUBSTITUTE(SUBSTITUTE(LOWER(Registro!$G572),"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",LEN(Registro!$G572))),({1,2,3,4,5,6,7,8,9,10,11,12,13,14,15,16,17,18,19,20,21,22,23,24,25,26,27,28,29,30}-1)*LEN(Registro!$G572)+1,LEN(Registro!$G572)))&amp;"x")-1)),--("0"&amp;MID(TRIM(MID(SUBSTITUTE(SUBSTITUTE(SUBSTITUTE(SUBSTITUTE(SUBSTITUTE(LOWER(Registro!$G572),"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",LEN(Registro!$G572))),({1,2,3,4,5,6,7,8,9,10,11,12,13,14,15,16,17,18,19,20,21,22,23,24,25,26,27,28,29,30}-1)*LEN(Registro!$G572)+1,LEN(Registro!$G572))),FIND("x",TRIM(MID(SUBSTITUTE(SUBSTITUTE(SUBSTITUTE(SUBSTITUTE(SUBSTITUTE(LOWER(Registro!$G572),"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",LEN(Registro!$G572))),({1,2,3,4,5,6,7,8,9,10,11,12,13,14,15,16,17,18,19,20,21,22,23,24,25,26,27,28,29,30}-1)*LEN(Registro!$G572)+1,LEN(Registro!$G572)))&amp;"x")+1,20))),"Revisar formato")))</f>
        <v/>
      </c>
      <c r="J572" s="9" t="str">
        <f>IF(AND(Registro!$E572="",Registro!$G572=""),"",IF(NOT(AND(ISNUMBER(I572),ISNUMBER(Registro!$H572))),"",IF(I572&lt;Registro!$H572,"FALTA BOLETOS",IF(I572=Registro!$H572,"CONFORME","DIFERENCIA"))))</f>
        <v/>
      </c>
      <c r="K572" s="11" t="str">
        <f>IF(Registro!$I572="","",IFERROR(SUMPRODUCT(--("0"&amp;TRIM(RIGHT(SUBSTITUTE(TRIM(MID(SUBSTITUTE(SUBSTITUTE(Registro!$I572,";",CHAR(10)),CHAR(10),REPT(" ",LEN(Registro!$I572))),({1,2,3,4,5,6,7,8,9,10,11,12,13,14,15,16,17,18,19,20,21,22,23,24,25,26,27,28,29,30}-1)*LEN(Registro!$I572)+1,LEN(Registro!$I572)))," ",REPT(" ",50)),50)))),"Revisar formato"))</f>
        <v/>
      </c>
      <c r="L572" s="11" t="str">
        <f>IF(Registro!$J572="","",IFERROR(SUMPRODUCT(--("0"&amp;TRIM(RIGHT(SUBSTITUTE(TRIM(MID(SUBSTITUTE(SUBSTITUTE(Registro!$J572,";",CHAR(10)),CHAR(10),REPT(" ",LEN(Registro!$J572))),({1,2,3,4,5,6,7,8,9,10,11,12,13,14,15,16,17,18,19,20,21,22,23,24,25,26,27,28,29,30}-1)*LEN(Registro!$J572)+1,LEN(Registro!$J572)))," ",REPT(" ",50)),50)))),"Revisar formato"))</f>
        <v/>
      </c>
      <c r="M572" s="11" t="str">
        <f>IF(AND(Registro!$H572="",Registro!$I572=""),"",IF(AND(ISTEXT(K572),K572&lt;&gt;""),"Revisar formato",N(Registro!$H572)-N(K572)))</f>
        <v/>
      </c>
      <c r="N572" s="11" t="str">
        <f t="shared" si="26"/>
        <v/>
      </c>
      <c r="O572" s="15" t="str">
        <f>IF(AND(A572=Consulta!$B$3,C572=Consulta!$H$3),B572*10000+ROW(),"")</f>
        <v/>
      </c>
    </row>
    <row r="573" spans="1:15" x14ac:dyDescent="0.25">
      <c r="A573" s="9" t="str">
        <f>IF(Registro!$A573="","",Registro!$A573)</f>
        <v/>
      </c>
      <c r="B573" s="8" t="str">
        <f>IF(Registro!$B573="","",Registro!$B573)</f>
        <v/>
      </c>
      <c r="C573" s="14" t="str">
        <f t="shared" si="24"/>
        <v/>
      </c>
      <c r="D573" s="10" t="str">
        <f>IF(Registro!$E573="","",IF(ISERROR(FIND("x",LOWER(Registro!$E573))),"-",IFERROR(SUMPRODUCT(--("0"&amp;LEFT(TRIM(MID(SUBSTITUTE(SUBSTITUTE(SUBSTITUTE(SUBSTITUTE(SUBSTITUTE(LOWER(Registro!$E573),"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",LEN(Registro!$E573))),({1,2,3,4,5,6,7,8,9,10,11,12,13,14,15,16,17,18,19,20,21,22,23,24,25,26,27,28,29,30}-1)*LEN(Registro!$E573)+1,LEN(Registro!$E573)))&amp;"x")-1))),"Revisar formato")))</f>
        <v/>
      </c>
      <c r="E573" s="11" t="str">
        <f>IF(Registro!$E573="","",IF(ISERROR(FIND("x",LOWER(Registro!$E573))),"-",IFERROR(SUMPRODUCT(--("0"&amp;LEFT(TRIM(MID(SUBSTITUTE(SUBSTITUTE(SUBSTITUTE(SUBSTITUTE(SUBSTITUTE(LOWER(Registro!$E573),"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",LEN(Registro!$E573))),({1,2,3,4,5,6,7,8,9,10,11,12,13,14,15,16,17,18,19,20,21,22,23,24,25,26,27,28,29,30}-1)*LEN(Registro!$E573)+1,LEN(Registro!$E573)))&amp;"x")-1)),--("0"&amp;MID(TRIM(MID(SUBSTITUTE(SUBSTITUTE(SUBSTITUTE(SUBSTITUTE(SUBSTITUTE(LOWER(Registro!$E573),"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",LEN(Registro!$E573))),({1,2,3,4,5,6,7,8,9,10,11,12,13,14,15,16,17,18,19,20,21,22,23,24,25,26,27,28,29,30}-1)*LEN(Registro!$E573)+1,LEN(Registro!$E573)))&amp;"x")+1,20))),"Revisar formato")))</f>
        <v/>
      </c>
      <c r="F573" s="11" t="str">
        <f>IF(Registro!$F573="","",N(Registro!$F573))</f>
        <v/>
      </c>
      <c r="G573" s="11" t="str">
        <f t="shared" si="25"/>
        <v/>
      </c>
      <c r="H573" s="10" t="str">
        <f>IF(Registro!$G573="","",IF(ISERROR(FIND("x",LOWER(Registro!$G573))),"-",IFERROR(SUMPRODUCT(--("0"&amp;LEFT(TRIM(MID(SUBSTITUTE(SUBSTITUTE(SUBSTITUTE(SUBSTITUTE(SUBSTITUTE(LOWER(Registro!$G573),"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",LEN(Registro!$G573))),({1,2,3,4,5,6,7,8,9,10,11,12,13,14,15,16,17,18,19,20,21,22,23,24,25,26,27,28,29,30}-1)*LEN(Registro!$G573)+1,LEN(Registro!$G573))),FIND("x",TRIM(MID(SUBSTITUTE(SUBSTITUTE(SUBSTITUTE(SUBSTITUTE(SUBSTITUTE(LOWER(Registro!$G573),"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",LEN(Registro!$G573))),({1,2,3,4,5,6,7,8,9,10,11,12,13,14,15,16,17,18,19,20,21,22,23,24,25,26,27,28,29,30}-1)*LEN(Registro!$G573)+1,LEN(Registro!$G573)))&amp;"x")-1))),"Revisar formato")))</f>
        <v/>
      </c>
      <c r="I573" s="11" t="str">
        <f>IF(Registro!$G573="","",IF(ISERROR(FIND("x",LOWER(Registro!$G573))),N(Registro!$H573),IFERROR(SUMPRODUCT(--("0"&amp;LEFT(TRIM(MID(SUBSTITUTE(SUBSTITUTE(SUBSTITUTE(SUBSTITUTE(SUBSTITUTE(LOWER(Registro!$G573),"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",LEN(Registro!$G573))),({1,2,3,4,5,6,7,8,9,10,11,12,13,14,15,16,17,18,19,20,21,22,23,24,25,26,27,28,29,30}-1)*LEN(Registro!$G573)+1,LEN(Registro!$G573))),FIND("x",TRIM(MID(SUBSTITUTE(SUBSTITUTE(SUBSTITUTE(SUBSTITUTE(SUBSTITUTE(LOWER(Registro!$G573),"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",LEN(Registro!$G573))),({1,2,3,4,5,6,7,8,9,10,11,12,13,14,15,16,17,18,19,20,21,22,23,24,25,26,27,28,29,30}-1)*LEN(Registro!$G573)+1,LEN(Registro!$G573)))&amp;"x")-1)),--("0"&amp;MID(TRIM(MID(SUBSTITUTE(SUBSTITUTE(SUBSTITUTE(SUBSTITUTE(SUBSTITUTE(LOWER(Registro!$G573),"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",LEN(Registro!$G573))),({1,2,3,4,5,6,7,8,9,10,11,12,13,14,15,16,17,18,19,20,21,22,23,24,25,26,27,28,29,30}-1)*LEN(Registro!$G573)+1,LEN(Registro!$G573))),FIND("x",TRIM(MID(SUBSTITUTE(SUBSTITUTE(SUBSTITUTE(SUBSTITUTE(SUBSTITUTE(LOWER(Registro!$G573),"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",LEN(Registro!$G573))),({1,2,3,4,5,6,7,8,9,10,11,12,13,14,15,16,17,18,19,20,21,22,23,24,25,26,27,28,29,30}-1)*LEN(Registro!$G573)+1,LEN(Registro!$G573)))&amp;"x")+1,20))),"Revisar formato")))</f>
        <v/>
      </c>
      <c r="J573" s="9" t="str">
        <f>IF(AND(Registro!$E573="",Registro!$G573=""),"",IF(NOT(AND(ISNUMBER(I573),ISNUMBER(Registro!$H573))),"",IF(I573&lt;Registro!$H573,"FALTA BOLETOS",IF(I573=Registro!$H573,"CONFORME","DIFERENCIA"))))</f>
        <v/>
      </c>
      <c r="K573" s="11" t="str">
        <f>IF(Registro!$I573="","",IFERROR(SUMPRODUCT(--("0"&amp;TRIM(RIGHT(SUBSTITUTE(TRIM(MID(SUBSTITUTE(SUBSTITUTE(Registro!$I573,";",CHAR(10)),CHAR(10),REPT(" ",LEN(Registro!$I573))),({1,2,3,4,5,6,7,8,9,10,11,12,13,14,15,16,17,18,19,20,21,22,23,24,25,26,27,28,29,30}-1)*LEN(Registro!$I573)+1,LEN(Registro!$I573)))," ",REPT(" ",50)),50)))),"Revisar formato"))</f>
        <v/>
      </c>
      <c r="L573" s="11" t="str">
        <f>IF(Registro!$J573="","",IFERROR(SUMPRODUCT(--("0"&amp;TRIM(RIGHT(SUBSTITUTE(TRIM(MID(SUBSTITUTE(SUBSTITUTE(Registro!$J573,";",CHAR(10)),CHAR(10),REPT(" ",LEN(Registro!$J573))),({1,2,3,4,5,6,7,8,9,10,11,12,13,14,15,16,17,18,19,20,21,22,23,24,25,26,27,28,29,30}-1)*LEN(Registro!$J573)+1,LEN(Registro!$J573)))," ",REPT(" ",50)),50)))),"Revisar formato"))</f>
        <v/>
      </c>
      <c r="M573" s="11" t="str">
        <f>IF(AND(Registro!$H573="",Registro!$I573=""),"",IF(AND(ISTEXT(K573),K573&lt;&gt;""),"Revisar formato",N(Registro!$H573)-N(K573)))</f>
        <v/>
      </c>
      <c r="N573" s="11" t="str">
        <f t="shared" si="26"/>
        <v/>
      </c>
      <c r="O573" s="15" t="str">
        <f>IF(AND(A573=Consulta!$B$3,C573=Consulta!$H$3),B573*10000+ROW(),"")</f>
        <v/>
      </c>
    </row>
    <row r="574" spans="1:15" x14ac:dyDescent="0.25">
      <c r="A574" s="9" t="str">
        <f>IF(Registro!$A574="","",Registro!$A574)</f>
        <v/>
      </c>
      <c r="B574" s="8" t="str">
        <f>IF(Registro!$B574="","",Registro!$B574)</f>
        <v/>
      </c>
      <c r="C574" s="14" t="str">
        <f t="shared" si="24"/>
        <v/>
      </c>
      <c r="D574" s="10" t="str">
        <f>IF(Registro!$E574="","",IF(ISERROR(FIND("x",LOWER(Registro!$E574))),"-",IFERROR(SUMPRODUCT(--("0"&amp;LEFT(TRIM(MID(SUBSTITUTE(SUBSTITUTE(SUBSTITUTE(SUBSTITUTE(SUBSTITUTE(LOWER(Registro!$E574),"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",LEN(Registro!$E574))),({1,2,3,4,5,6,7,8,9,10,11,12,13,14,15,16,17,18,19,20,21,22,23,24,25,26,27,28,29,30}-1)*LEN(Registro!$E574)+1,LEN(Registro!$E574)))&amp;"x")-1))),"Revisar formato")))</f>
        <v/>
      </c>
      <c r="E574" s="11" t="str">
        <f>IF(Registro!$E574="","",IF(ISERROR(FIND("x",LOWER(Registro!$E574))),"-",IFERROR(SUMPRODUCT(--("0"&amp;LEFT(TRIM(MID(SUBSTITUTE(SUBSTITUTE(SUBSTITUTE(SUBSTITUTE(SUBSTITUTE(LOWER(Registro!$E574),"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",LEN(Registro!$E574))),({1,2,3,4,5,6,7,8,9,10,11,12,13,14,15,16,17,18,19,20,21,22,23,24,25,26,27,28,29,30}-1)*LEN(Registro!$E574)+1,LEN(Registro!$E574)))&amp;"x")-1)),--("0"&amp;MID(TRIM(MID(SUBSTITUTE(SUBSTITUTE(SUBSTITUTE(SUBSTITUTE(SUBSTITUTE(LOWER(Registro!$E574),"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",LEN(Registro!$E574))),({1,2,3,4,5,6,7,8,9,10,11,12,13,14,15,16,17,18,19,20,21,22,23,24,25,26,27,28,29,30}-1)*LEN(Registro!$E574)+1,LEN(Registro!$E574)))&amp;"x")+1,20))),"Revisar formato")))</f>
        <v/>
      </c>
      <c r="F574" s="11" t="str">
        <f>IF(Registro!$F574="","",N(Registro!$F574))</f>
        <v/>
      </c>
      <c r="G574" s="11" t="str">
        <f t="shared" si="25"/>
        <v/>
      </c>
      <c r="H574" s="10" t="str">
        <f>IF(Registro!$G574="","",IF(ISERROR(FIND("x",LOWER(Registro!$G574))),"-",IFERROR(SUMPRODUCT(--("0"&amp;LEFT(TRIM(MID(SUBSTITUTE(SUBSTITUTE(SUBSTITUTE(SUBSTITUTE(SUBSTITUTE(LOWER(Registro!$G574),"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",LEN(Registro!$G574))),({1,2,3,4,5,6,7,8,9,10,11,12,13,14,15,16,17,18,19,20,21,22,23,24,25,26,27,28,29,30}-1)*LEN(Registro!$G574)+1,LEN(Registro!$G574))),FIND("x",TRIM(MID(SUBSTITUTE(SUBSTITUTE(SUBSTITUTE(SUBSTITUTE(SUBSTITUTE(LOWER(Registro!$G574),"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",LEN(Registro!$G574))),({1,2,3,4,5,6,7,8,9,10,11,12,13,14,15,16,17,18,19,20,21,22,23,24,25,26,27,28,29,30}-1)*LEN(Registro!$G574)+1,LEN(Registro!$G574)))&amp;"x")-1))),"Revisar formato")))</f>
        <v/>
      </c>
      <c r="I574" s="11" t="str">
        <f>IF(Registro!$G574="","",IF(ISERROR(FIND("x",LOWER(Registro!$G574))),N(Registro!$H574),IFERROR(SUMPRODUCT(--("0"&amp;LEFT(TRIM(MID(SUBSTITUTE(SUBSTITUTE(SUBSTITUTE(SUBSTITUTE(SUBSTITUTE(LOWER(Registro!$G574),"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",LEN(Registro!$G574))),({1,2,3,4,5,6,7,8,9,10,11,12,13,14,15,16,17,18,19,20,21,22,23,24,25,26,27,28,29,30}-1)*LEN(Registro!$G574)+1,LEN(Registro!$G574))),FIND("x",TRIM(MID(SUBSTITUTE(SUBSTITUTE(SUBSTITUTE(SUBSTITUTE(SUBSTITUTE(LOWER(Registro!$G574),"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",LEN(Registro!$G574))),({1,2,3,4,5,6,7,8,9,10,11,12,13,14,15,16,17,18,19,20,21,22,23,24,25,26,27,28,29,30}-1)*LEN(Registro!$G574)+1,LEN(Registro!$G574)))&amp;"x")-1)),--("0"&amp;MID(TRIM(MID(SUBSTITUTE(SUBSTITUTE(SUBSTITUTE(SUBSTITUTE(SUBSTITUTE(LOWER(Registro!$G574),"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",LEN(Registro!$G574))),({1,2,3,4,5,6,7,8,9,10,11,12,13,14,15,16,17,18,19,20,21,22,23,24,25,26,27,28,29,30}-1)*LEN(Registro!$G574)+1,LEN(Registro!$G574))),FIND("x",TRIM(MID(SUBSTITUTE(SUBSTITUTE(SUBSTITUTE(SUBSTITUTE(SUBSTITUTE(LOWER(Registro!$G574),"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",LEN(Registro!$G574))),({1,2,3,4,5,6,7,8,9,10,11,12,13,14,15,16,17,18,19,20,21,22,23,24,25,26,27,28,29,30}-1)*LEN(Registro!$G574)+1,LEN(Registro!$G574)))&amp;"x")+1,20))),"Revisar formato")))</f>
        <v/>
      </c>
      <c r="J574" s="9" t="str">
        <f>IF(AND(Registro!$E574="",Registro!$G574=""),"",IF(NOT(AND(ISNUMBER(I574),ISNUMBER(Registro!$H574))),"",IF(I574&lt;Registro!$H574,"FALTA BOLETOS",IF(I574=Registro!$H574,"CONFORME","DIFERENCIA"))))</f>
        <v/>
      </c>
      <c r="K574" s="11" t="str">
        <f>IF(Registro!$I574="","",IFERROR(SUMPRODUCT(--("0"&amp;TRIM(RIGHT(SUBSTITUTE(TRIM(MID(SUBSTITUTE(SUBSTITUTE(Registro!$I574,";",CHAR(10)),CHAR(10),REPT(" ",LEN(Registro!$I574))),({1,2,3,4,5,6,7,8,9,10,11,12,13,14,15,16,17,18,19,20,21,22,23,24,25,26,27,28,29,30}-1)*LEN(Registro!$I574)+1,LEN(Registro!$I574)))," ",REPT(" ",50)),50)))),"Revisar formato"))</f>
        <v/>
      </c>
      <c r="L574" s="11" t="str">
        <f>IF(Registro!$J574="","",IFERROR(SUMPRODUCT(--("0"&amp;TRIM(RIGHT(SUBSTITUTE(TRIM(MID(SUBSTITUTE(SUBSTITUTE(Registro!$J574,";",CHAR(10)),CHAR(10),REPT(" ",LEN(Registro!$J574))),({1,2,3,4,5,6,7,8,9,10,11,12,13,14,15,16,17,18,19,20,21,22,23,24,25,26,27,28,29,30}-1)*LEN(Registro!$J574)+1,LEN(Registro!$J574)))," ",REPT(" ",50)),50)))),"Revisar formato"))</f>
        <v/>
      </c>
      <c r="M574" s="11" t="str">
        <f>IF(AND(Registro!$H574="",Registro!$I574=""),"",IF(AND(ISTEXT(K574),K574&lt;&gt;""),"Revisar formato",N(Registro!$H574)-N(K574)))</f>
        <v/>
      </c>
      <c r="N574" s="11" t="str">
        <f t="shared" si="26"/>
        <v/>
      </c>
      <c r="O574" s="15" t="str">
        <f>IF(AND(A574=Consulta!$B$3,C574=Consulta!$H$3),B574*10000+ROW(),"")</f>
        <v/>
      </c>
    </row>
    <row r="575" spans="1:15" x14ac:dyDescent="0.25">
      <c r="A575" s="9" t="str">
        <f>IF(Registro!$A575="","",Registro!$A575)</f>
        <v/>
      </c>
      <c r="B575" s="8" t="str">
        <f>IF(Registro!$B575="","",Registro!$B575)</f>
        <v/>
      </c>
      <c r="C575" s="14" t="str">
        <f t="shared" si="24"/>
        <v/>
      </c>
      <c r="D575" s="10" t="str">
        <f>IF(Registro!$E575="","",IF(ISERROR(FIND("x",LOWER(Registro!$E575))),"-",IFERROR(SUMPRODUCT(--("0"&amp;LEFT(TRIM(MID(SUBSTITUTE(SUBSTITUTE(SUBSTITUTE(SUBSTITUTE(SUBSTITUTE(LOWER(Registro!$E575),"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",LEN(Registro!$E575))),({1,2,3,4,5,6,7,8,9,10,11,12,13,14,15,16,17,18,19,20,21,22,23,24,25,26,27,28,29,30}-1)*LEN(Registro!$E575)+1,LEN(Registro!$E575)))&amp;"x")-1))),"Revisar formato")))</f>
        <v/>
      </c>
      <c r="E575" s="11" t="str">
        <f>IF(Registro!$E575="","",IF(ISERROR(FIND("x",LOWER(Registro!$E575))),"-",IFERROR(SUMPRODUCT(--("0"&amp;LEFT(TRIM(MID(SUBSTITUTE(SUBSTITUTE(SUBSTITUTE(SUBSTITUTE(SUBSTITUTE(LOWER(Registro!$E575),"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",LEN(Registro!$E575))),({1,2,3,4,5,6,7,8,9,10,11,12,13,14,15,16,17,18,19,20,21,22,23,24,25,26,27,28,29,30}-1)*LEN(Registro!$E575)+1,LEN(Registro!$E575)))&amp;"x")-1)),--("0"&amp;MID(TRIM(MID(SUBSTITUTE(SUBSTITUTE(SUBSTITUTE(SUBSTITUTE(SUBSTITUTE(LOWER(Registro!$E575),"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",LEN(Registro!$E575))),({1,2,3,4,5,6,7,8,9,10,11,12,13,14,15,16,17,18,19,20,21,22,23,24,25,26,27,28,29,30}-1)*LEN(Registro!$E575)+1,LEN(Registro!$E575)))&amp;"x")+1,20))),"Revisar formato")))</f>
        <v/>
      </c>
      <c r="F575" s="11" t="str">
        <f>IF(Registro!$F575="","",N(Registro!$F575))</f>
        <v/>
      </c>
      <c r="G575" s="11" t="str">
        <f t="shared" si="25"/>
        <v/>
      </c>
      <c r="H575" s="10" t="str">
        <f>IF(Registro!$G575="","",IF(ISERROR(FIND("x",LOWER(Registro!$G575))),"-",IFERROR(SUMPRODUCT(--("0"&amp;LEFT(TRIM(MID(SUBSTITUTE(SUBSTITUTE(SUBSTITUTE(SUBSTITUTE(SUBSTITUTE(LOWER(Registro!$G575),"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",LEN(Registro!$G575))),({1,2,3,4,5,6,7,8,9,10,11,12,13,14,15,16,17,18,19,20,21,22,23,24,25,26,27,28,29,30}-1)*LEN(Registro!$G575)+1,LEN(Registro!$G575))),FIND("x",TRIM(MID(SUBSTITUTE(SUBSTITUTE(SUBSTITUTE(SUBSTITUTE(SUBSTITUTE(LOWER(Registro!$G575),"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",LEN(Registro!$G575))),({1,2,3,4,5,6,7,8,9,10,11,12,13,14,15,16,17,18,19,20,21,22,23,24,25,26,27,28,29,30}-1)*LEN(Registro!$G575)+1,LEN(Registro!$G575)))&amp;"x")-1))),"Revisar formato")))</f>
        <v/>
      </c>
      <c r="I575" s="11" t="str">
        <f>IF(Registro!$G575="","",IF(ISERROR(FIND("x",LOWER(Registro!$G575))),N(Registro!$H575),IFERROR(SUMPRODUCT(--("0"&amp;LEFT(TRIM(MID(SUBSTITUTE(SUBSTITUTE(SUBSTITUTE(SUBSTITUTE(SUBSTITUTE(LOWER(Registro!$G575),"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",LEN(Registro!$G575))),({1,2,3,4,5,6,7,8,9,10,11,12,13,14,15,16,17,18,19,20,21,22,23,24,25,26,27,28,29,30}-1)*LEN(Registro!$G575)+1,LEN(Registro!$G575))),FIND("x",TRIM(MID(SUBSTITUTE(SUBSTITUTE(SUBSTITUTE(SUBSTITUTE(SUBSTITUTE(LOWER(Registro!$G575),"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",LEN(Registro!$G575))),({1,2,3,4,5,6,7,8,9,10,11,12,13,14,15,16,17,18,19,20,21,22,23,24,25,26,27,28,29,30}-1)*LEN(Registro!$G575)+1,LEN(Registro!$G575)))&amp;"x")-1)),--("0"&amp;MID(TRIM(MID(SUBSTITUTE(SUBSTITUTE(SUBSTITUTE(SUBSTITUTE(SUBSTITUTE(LOWER(Registro!$G575),"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",LEN(Registro!$G575))),({1,2,3,4,5,6,7,8,9,10,11,12,13,14,15,16,17,18,19,20,21,22,23,24,25,26,27,28,29,30}-1)*LEN(Registro!$G575)+1,LEN(Registro!$G575))),FIND("x",TRIM(MID(SUBSTITUTE(SUBSTITUTE(SUBSTITUTE(SUBSTITUTE(SUBSTITUTE(LOWER(Registro!$G575),"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",LEN(Registro!$G575))),({1,2,3,4,5,6,7,8,9,10,11,12,13,14,15,16,17,18,19,20,21,22,23,24,25,26,27,28,29,30}-1)*LEN(Registro!$G575)+1,LEN(Registro!$G575)))&amp;"x")+1,20))),"Revisar formato")))</f>
        <v/>
      </c>
      <c r="J575" s="9" t="str">
        <f>IF(AND(Registro!$E575="",Registro!$G575=""),"",IF(NOT(AND(ISNUMBER(I575),ISNUMBER(Registro!$H575))),"",IF(I575&lt;Registro!$H575,"FALTA BOLETOS",IF(I575=Registro!$H575,"CONFORME","DIFERENCIA"))))</f>
        <v/>
      </c>
      <c r="K575" s="11" t="str">
        <f>IF(Registro!$I575="","",IFERROR(SUMPRODUCT(--("0"&amp;TRIM(RIGHT(SUBSTITUTE(TRIM(MID(SUBSTITUTE(SUBSTITUTE(Registro!$I575,";",CHAR(10)),CHAR(10),REPT(" ",LEN(Registro!$I575))),({1,2,3,4,5,6,7,8,9,10,11,12,13,14,15,16,17,18,19,20,21,22,23,24,25,26,27,28,29,30}-1)*LEN(Registro!$I575)+1,LEN(Registro!$I575)))," ",REPT(" ",50)),50)))),"Revisar formato"))</f>
        <v/>
      </c>
      <c r="L575" s="11" t="str">
        <f>IF(Registro!$J575="","",IFERROR(SUMPRODUCT(--("0"&amp;TRIM(RIGHT(SUBSTITUTE(TRIM(MID(SUBSTITUTE(SUBSTITUTE(Registro!$J575,";",CHAR(10)),CHAR(10),REPT(" ",LEN(Registro!$J575))),({1,2,3,4,5,6,7,8,9,10,11,12,13,14,15,16,17,18,19,20,21,22,23,24,25,26,27,28,29,30}-1)*LEN(Registro!$J575)+1,LEN(Registro!$J575)))," ",REPT(" ",50)),50)))),"Revisar formato"))</f>
        <v/>
      </c>
      <c r="M575" s="11" t="str">
        <f>IF(AND(Registro!$H575="",Registro!$I575=""),"",IF(AND(ISTEXT(K575),K575&lt;&gt;""),"Revisar formato",N(Registro!$H575)-N(K575)))</f>
        <v/>
      </c>
      <c r="N575" s="11" t="str">
        <f t="shared" si="26"/>
        <v/>
      </c>
      <c r="O575" s="15" t="str">
        <f>IF(AND(A575=Consulta!$B$3,C575=Consulta!$H$3),B575*10000+ROW(),"")</f>
        <v/>
      </c>
    </row>
    <row r="576" spans="1:15" x14ac:dyDescent="0.25">
      <c r="A576" s="9" t="str">
        <f>IF(Registro!$A576="","",Registro!$A576)</f>
        <v/>
      </c>
      <c r="B576" s="8" t="str">
        <f>IF(Registro!$B576="","",Registro!$B576)</f>
        <v/>
      </c>
      <c r="C576" s="14" t="str">
        <f t="shared" si="24"/>
        <v/>
      </c>
      <c r="D576" s="10" t="str">
        <f>IF(Registro!$E576="","",IF(ISERROR(FIND("x",LOWER(Registro!$E576))),"-",IFERROR(SUMPRODUCT(--("0"&amp;LEFT(TRIM(MID(SUBSTITUTE(SUBSTITUTE(SUBSTITUTE(SUBSTITUTE(SUBSTITUTE(LOWER(Registro!$E576),"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",LEN(Registro!$E576))),({1,2,3,4,5,6,7,8,9,10,11,12,13,14,15,16,17,18,19,20,21,22,23,24,25,26,27,28,29,30}-1)*LEN(Registro!$E576)+1,LEN(Registro!$E576)))&amp;"x")-1))),"Revisar formato")))</f>
        <v/>
      </c>
      <c r="E576" s="11" t="str">
        <f>IF(Registro!$E576="","",IF(ISERROR(FIND("x",LOWER(Registro!$E576))),"-",IFERROR(SUMPRODUCT(--("0"&amp;LEFT(TRIM(MID(SUBSTITUTE(SUBSTITUTE(SUBSTITUTE(SUBSTITUTE(SUBSTITUTE(LOWER(Registro!$E576),"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",LEN(Registro!$E576))),({1,2,3,4,5,6,7,8,9,10,11,12,13,14,15,16,17,18,19,20,21,22,23,24,25,26,27,28,29,30}-1)*LEN(Registro!$E576)+1,LEN(Registro!$E576)))&amp;"x")-1)),--("0"&amp;MID(TRIM(MID(SUBSTITUTE(SUBSTITUTE(SUBSTITUTE(SUBSTITUTE(SUBSTITUTE(LOWER(Registro!$E576),"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",LEN(Registro!$E576))),({1,2,3,4,5,6,7,8,9,10,11,12,13,14,15,16,17,18,19,20,21,22,23,24,25,26,27,28,29,30}-1)*LEN(Registro!$E576)+1,LEN(Registro!$E576)))&amp;"x")+1,20))),"Revisar formato")))</f>
        <v/>
      </c>
      <c r="F576" s="11" t="str">
        <f>IF(Registro!$F576="","",N(Registro!$F576))</f>
        <v/>
      </c>
      <c r="G576" s="11" t="str">
        <f t="shared" si="25"/>
        <v/>
      </c>
      <c r="H576" s="10" t="str">
        <f>IF(Registro!$G576="","",IF(ISERROR(FIND("x",LOWER(Registro!$G576))),"-",IFERROR(SUMPRODUCT(--("0"&amp;LEFT(TRIM(MID(SUBSTITUTE(SUBSTITUTE(SUBSTITUTE(SUBSTITUTE(SUBSTITUTE(LOWER(Registro!$G576),"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",LEN(Registro!$G576))),({1,2,3,4,5,6,7,8,9,10,11,12,13,14,15,16,17,18,19,20,21,22,23,24,25,26,27,28,29,30}-1)*LEN(Registro!$G576)+1,LEN(Registro!$G576))),FIND("x",TRIM(MID(SUBSTITUTE(SUBSTITUTE(SUBSTITUTE(SUBSTITUTE(SUBSTITUTE(LOWER(Registro!$G576),"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",LEN(Registro!$G576))),({1,2,3,4,5,6,7,8,9,10,11,12,13,14,15,16,17,18,19,20,21,22,23,24,25,26,27,28,29,30}-1)*LEN(Registro!$G576)+1,LEN(Registro!$G576)))&amp;"x")-1))),"Revisar formato")))</f>
        <v/>
      </c>
      <c r="I576" s="11" t="str">
        <f>IF(Registro!$G576="","",IF(ISERROR(FIND("x",LOWER(Registro!$G576))),N(Registro!$H576),IFERROR(SUMPRODUCT(--("0"&amp;LEFT(TRIM(MID(SUBSTITUTE(SUBSTITUTE(SUBSTITUTE(SUBSTITUTE(SUBSTITUTE(LOWER(Registro!$G576),"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",LEN(Registro!$G576))),({1,2,3,4,5,6,7,8,9,10,11,12,13,14,15,16,17,18,19,20,21,22,23,24,25,26,27,28,29,30}-1)*LEN(Registro!$G576)+1,LEN(Registro!$G576))),FIND("x",TRIM(MID(SUBSTITUTE(SUBSTITUTE(SUBSTITUTE(SUBSTITUTE(SUBSTITUTE(LOWER(Registro!$G576),"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",LEN(Registro!$G576))),({1,2,3,4,5,6,7,8,9,10,11,12,13,14,15,16,17,18,19,20,21,22,23,24,25,26,27,28,29,30}-1)*LEN(Registro!$G576)+1,LEN(Registro!$G576)))&amp;"x")-1)),--("0"&amp;MID(TRIM(MID(SUBSTITUTE(SUBSTITUTE(SUBSTITUTE(SUBSTITUTE(SUBSTITUTE(LOWER(Registro!$G576),"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",LEN(Registro!$G576))),({1,2,3,4,5,6,7,8,9,10,11,12,13,14,15,16,17,18,19,20,21,22,23,24,25,26,27,28,29,30}-1)*LEN(Registro!$G576)+1,LEN(Registro!$G576))),FIND("x",TRIM(MID(SUBSTITUTE(SUBSTITUTE(SUBSTITUTE(SUBSTITUTE(SUBSTITUTE(LOWER(Registro!$G576),"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",LEN(Registro!$G576))),({1,2,3,4,5,6,7,8,9,10,11,12,13,14,15,16,17,18,19,20,21,22,23,24,25,26,27,28,29,30}-1)*LEN(Registro!$G576)+1,LEN(Registro!$G576)))&amp;"x")+1,20))),"Revisar formato")))</f>
        <v/>
      </c>
      <c r="J576" s="9" t="str">
        <f>IF(AND(Registro!$E576="",Registro!$G576=""),"",IF(NOT(AND(ISNUMBER(I576),ISNUMBER(Registro!$H576))),"",IF(I576&lt;Registro!$H576,"FALTA BOLETOS",IF(I576=Registro!$H576,"CONFORME","DIFERENCIA"))))</f>
        <v/>
      </c>
      <c r="K576" s="11" t="str">
        <f>IF(Registro!$I576="","",IFERROR(SUMPRODUCT(--("0"&amp;TRIM(RIGHT(SUBSTITUTE(TRIM(MID(SUBSTITUTE(SUBSTITUTE(Registro!$I576,";",CHAR(10)),CHAR(10),REPT(" ",LEN(Registro!$I576))),({1,2,3,4,5,6,7,8,9,10,11,12,13,14,15,16,17,18,19,20,21,22,23,24,25,26,27,28,29,30}-1)*LEN(Registro!$I576)+1,LEN(Registro!$I576)))," ",REPT(" ",50)),50)))),"Revisar formato"))</f>
        <v/>
      </c>
      <c r="L576" s="11" t="str">
        <f>IF(Registro!$J576="","",IFERROR(SUMPRODUCT(--("0"&amp;TRIM(RIGHT(SUBSTITUTE(TRIM(MID(SUBSTITUTE(SUBSTITUTE(Registro!$J576,";",CHAR(10)),CHAR(10),REPT(" ",LEN(Registro!$J576))),({1,2,3,4,5,6,7,8,9,10,11,12,13,14,15,16,17,18,19,20,21,22,23,24,25,26,27,28,29,30}-1)*LEN(Registro!$J576)+1,LEN(Registro!$J576)))," ",REPT(" ",50)),50)))),"Revisar formato"))</f>
        <v/>
      </c>
      <c r="M576" s="11" t="str">
        <f>IF(AND(Registro!$H576="",Registro!$I576=""),"",IF(AND(ISTEXT(K576),K576&lt;&gt;""),"Revisar formato",N(Registro!$H576)-N(K576)))</f>
        <v/>
      </c>
      <c r="N576" s="11" t="str">
        <f t="shared" si="26"/>
        <v/>
      </c>
      <c r="O576" s="15" t="str">
        <f>IF(AND(A576=Consulta!$B$3,C576=Consulta!$H$3),B576*10000+ROW(),"")</f>
        <v/>
      </c>
    </row>
    <row r="577" spans="1:15" x14ac:dyDescent="0.25">
      <c r="A577" s="9" t="str">
        <f>IF(Registro!$A577="","",Registro!$A577)</f>
        <v/>
      </c>
      <c r="B577" s="8" t="str">
        <f>IF(Registro!$B577="","",Registro!$B577)</f>
        <v/>
      </c>
      <c r="C577" s="14" t="str">
        <f t="shared" si="24"/>
        <v/>
      </c>
      <c r="D577" s="10" t="str">
        <f>IF(Registro!$E577="","",IF(ISERROR(FIND("x",LOWER(Registro!$E577))),"-",IFERROR(SUMPRODUCT(--("0"&amp;LEFT(TRIM(MID(SUBSTITUTE(SUBSTITUTE(SUBSTITUTE(SUBSTITUTE(SUBSTITUTE(LOWER(Registro!$E577),"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",LEN(Registro!$E577))),({1,2,3,4,5,6,7,8,9,10,11,12,13,14,15,16,17,18,19,20,21,22,23,24,25,26,27,28,29,30}-1)*LEN(Registro!$E577)+1,LEN(Registro!$E577)))&amp;"x")-1))),"Revisar formato")))</f>
        <v/>
      </c>
      <c r="E577" s="11" t="str">
        <f>IF(Registro!$E577="","",IF(ISERROR(FIND("x",LOWER(Registro!$E577))),"-",IFERROR(SUMPRODUCT(--("0"&amp;LEFT(TRIM(MID(SUBSTITUTE(SUBSTITUTE(SUBSTITUTE(SUBSTITUTE(SUBSTITUTE(LOWER(Registro!$E577),"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",LEN(Registro!$E577))),({1,2,3,4,5,6,7,8,9,10,11,12,13,14,15,16,17,18,19,20,21,22,23,24,25,26,27,28,29,30}-1)*LEN(Registro!$E577)+1,LEN(Registro!$E577)))&amp;"x")-1)),--("0"&amp;MID(TRIM(MID(SUBSTITUTE(SUBSTITUTE(SUBSTITUTE(SUBSTITUTE(SUBSTITUTE(LOWER(Registro!$E577),"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",LEN(Registro!$E577))),({1,2,3,4,5,6,7,8,9,10,11,12,13,14,15,16,17,18,19,20,21,22,23,24,25,26,27,28,29,30}-1)*LEN(Registro!$E577)+1,LEN(Registro!$E577)))&amp;"x")+1,20))),"Revisar formato")))</f>
        <v/>
      </c>
      <c r="F577" s="11" t="str">
        <f>IF(Registro!$F577="","",N(Registro!$F577))</f>
        <v/>
      </c>
      <c r="G577" s="11" t="str">
        <f t="shared" si="25"/>
        <v/>
      </c>
      <c r="H577" s="10" t="str">
        <f>IF(Registro!$G577="","",IF(ISERROR(FIND("x",LOWER(Registro!$G577))),"-",IFERROR(SUMPRODUCT(--("0"&amp;LEFT(TRIM(MID(SUBSTITUTE(SUBSTITUTE(SUBSTITUTE(SUBSTITUTE(SUBSTITUTE(LOWER(Registro!$G577),"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",LEN(Registro!$G577))),({1,2,3,4,5,6,7,8,9,10,11,12,13,14,15,16,17,18,19,20,21,22,23,24,25,26,27,28,29,30}-1)*LEN(Registro!$G577)+1,LEN(Registro!$G577))),FIND("x",TRIM(MID(SUBSTITUTE(SUBSTITUTE(SUBSTITUTE(SUBSTITUTE(SUBSTITUTE(LOWER(Registro!$G577),"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",LEN(Registro!$G577))),({1,2,3,4,5,6,7,8,9,10,11,12,13,14,15,16,17,18,19,20,21,22,23,24,25,26,27,28,29,30}-1)*LEN(Registro!$G577)+1,LEN(Registro!$G577)))&amp;"x")-1))),"Revisar formato")))</f>
        <v/>
      </c>
      <c r="I577" s="11" t="str">
        <f>IF(Registro!$G577="","",IF(ISERROR(FIND("x",LOWER(Registro!$G577))),N(Registro!$H577),IFERROR(SUMPRODUCT(--("0"&amp;LEFT(TRIM(MID(SUBSTITUTE(SUBSTITUTE(SUBSTITUTE(SUBSTITUTE(SUBSTITUTE(LOWER(Registro!$G577),"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",LEN(Registro!$G577))),({1,2,3,4,5,6,7,8,9,10,11,12,13,14,15,16,17,18,19,20,21,22,23,24,25,26,27,28,29,30}-1)*LEN(Registro!$G577)+1,LEN(Registro!$G577))),FIND("x",TRIM(MID(SUBSTITUTE(SUBSTITUTE(SUBSTITUTE(SUBSTITUTE(SUBSTITUTE(LOWER(Registro!$G577),"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",LEN(Registro!$G577))),({1,2,3,4,5,6,7,8,9,10,11,12,13,14,15,16,17,18,19,20,21,22,23,24,25,26,27,28,29,30}-1)*LEN(Registro!$G577)+1,LEN(Registro!$G577)))&amp;"x")-1)),--("0"&amp;MID(TRIM(MID(SUBSTITUTE(SUBSTITUTE(SUBSTITUTE(SUBSTITUTE(SUBSTITUTE(LOWER(Registro!$G577),"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",LEN(Registro!$G577))),({1,2,3,4,5,6,7,8,9,10,11,12,13,14,15,16,17,18,19,20,21,22,23,24,25,26,27,28,29,30}-1)*LEN(Registro!$G577)+1,LEN(Registro!$G577))),FIND("x",TRIM(MID(SUBSTITUTE(SUBSTITUTE(SUBSTITUTE(SUBSTITUTE(SUBSTITUTE(LOWER(Registro!$G577),"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",LEN(Registro!$G577))),({1,2,3,4,5,6,7,8,9,10,11,12,13,14,15,16,17,18,19,20,21,22,23,24,25,26,27,28,29,30}-1)*LEN(Registro!$G577)+1,LEN(Registro!$G577)))&amp;"x")+1,20))),"Revisar formato")))</f>
        <v/>
      </c>
      <c r="J577" s="9" t="str">
        <f>IF(AND(Registro!$E577="",Registro!$G577=""),"",IF(NOT(AND(ISNUMBER(I577),ISNUMBER(Registro!$H577))),"",IF(I577&lt;Registro!$H577,"FALTA BOLETOS",IF(I577=Registro!$H577,"CONFORME","DIFERENCIA"))))</f>
        <v/>
      </c>
      <c r="K577" s="11" t="str">
        <f>IF(Registro!$I577="","",IFERROR(SUMPRODUCT(--("0"&amp;TRIM(RIGHT(SUBSTITUTE(TRIM(MID(SUBSTITUTE(SUBSTITUTE(Registro!$I577,";",CHAR(10)),CHAR(10),REPT(" ",LEN(Registro!$I577))),({1,2,3,4,5,6,7,8,9,10,11,12,13,14,15,16,17,18,19,20,21,22,23,24,25,26,27,28,29,30}-1)*LEN(Registro!$I577)+1,LEN(Registro!$I577)))," ",REPT(" ",50)),50)))),"Revisar formato"))</f>
        <v/>
      </c>
      <c r="L577" s="11" t="str">
        <f>IF(Registro!$J577="","",IFERROR(SUMPRODUCT(--("0"&amp;TRIM(RIGHT(SUBSTITUTE(TRIM(MID(SUBSTITUTE(SUBSTITUTE(Registro!$J577,";",CHAR(10)),CHAR(10),REPT(" ",LEN(Registro!$J577))),({1,2,3,4,5,6,7,8,9,10,11,12,13,14,15,16,17,18,19,20,21,22,23,24,25,26,27,28,29,30}-1)*LEN(Registro!$J577)+1,LEN(Registro!$J577)))," ",REPT(" ",50)),50)))),"Revisar formato"))</f>
        <v/>
      </c>
      <c r="M577" s="11" t="str">
        <f>IF(AND(Registro!$H577="",Registro!$I577=""),"",IF(AND(ISTEXT(K577),K577&lt;&gt;""),"Revisar formato",N(Registro!$H577)-N(K577)))</f>
        <v/>
      </c>
      <c r="N577" s="11" t="str">
        <f t="shared" si="26"/>
        <v/>
      </c>
      <c r="O577" s="15" t="str">
        <f>IF(AND(A577=Consulta!$B$3,C577=Consulta!$H$3),B577*10000+ROW(),"")</f>
        <v/>
      </c>
    </row>
    <row r="578" spans="1:15" x14ac:dyDescent="0.25">
      <c r="A578" s="9" t="str">
        <f>IF(Registro!$A578="","",Registro!$A578)</f>
        <v/>
      </c>
      <c r="B578" s="8" t="str">
        <f>IF(Registro!$B578="","",Registro!$B578)</f>
        <v/>
      </c>
      <c r="C578" s="14" t="str">
        <f t="shared" ref="C578:C641" si="27">IF(ISNUMBER(B578),YEAR(B578)*100+MONTH(B578),"")</f>
        <v/>
      </c>
      <c r="D578" s="10" t="str">
        <f>IF(Registro!$E578="","",IF(ISERROR(FIND("x",LOWER(Registro!$E578))),"-",IFERROR(SUMPRODUCT(--("0"&amp;LEFT(TRIM(MID(SUBSTITUTE(SUBSTITUTE(SUBSTITUTE(SUBSTITUTE(SUBSTITUTE(LOWER(Registro!$E578),"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",LEN(Registro!$E578))),({1,2,3,4,5,6,7,8,9,10,11,12,13,14,15,16,17,18,19,20,21,22,23,24,25,26,27,28,29,30}-1)*LEN(Registro!$E578)+1,LEN(Registro!$E578)))&amp;"x")-1))),"Revisar formato")))</f>
        <v/>
      </c>
      <c r="E578" s="11" t="str">
        <f>IF(Registro!$E578="","",IF(ISERROR(FIND("x",LOWER(Registro!$E578))),"-",IFERROR(SUMPRODUCT(--("0"&amp;LEFT(TRIM(MID(SUBSTITUTE(SUBSTITUTE(SUBSTITUTE(SUBSTITUTE(SUBSTITUTE(LOWER(Registro!$E578),"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",LEN(Registro!$E578))),({1,2,3,4,5,6,7,8,9,10,11,12,13,14,15,16,17,18,19,20,21,22,23,24,25,26,27,28,29,30}-1)*LEN(Registro!$E578)+1,LEN(Registro!$E578)))&amp;"x")-1)),--("0"&amp;MID(TRIM(MID(SUBSTITUTE(SUBSTITUTE(SUBSTITUTE(SUBSTITUTE(SUBSTITUTE(LOWER(Registro!$E578),"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",LEN(Registro!$E578))),({1,2,3,4,5,6,7,8,9,10,11,12,13,14,15,16,17,18,19,20,21,22,23,24,25,26,27,28,29,30}-1)*LEN(Registro!$E578)+1,LEN(Registro!$E578)))&amp;"x")+1,20))),"Revisar formato")))</f>
        <v/>
      </c>
      <c r="F578" s="11" t="str">
        <f>IF(Registro!$F578="","",N(Registro!$F578))</f>
        <v/>
      </c>
      <c r="G578" s="11" t="str">
        <f t="shared" ref="G578:G641" si="28">IF(AND(E578="",F578=""),"",IF(OR(E578="",ISNUMBER(E578)),N(E578)-N(F578),E578))</f>
        <v/>
      </c>
      <c r="H578" s="10" t="str">
        <f>IF(Registro!$G578="","",IF(ISERROR(FIND("x",LOWER(Registro!$G578))),"-",IFERROR(SUMPRODUCT(--("0"&amp;LEFT(TRIM(MID(SUBSTITUTE(SUBSTITUTE(SUBSTITUTE(SUBSTITUTE(SUBSTITUTE(LOWER(Registro!$G578),"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",LEN(Registro!$G578))),({1,2,3,4,5,6,7,8,9,10,11,12,13,14,15,16,17,18,19,20,21,22,23,24,25,26,27,28,29,30}-1)*LEN(Registro!$G578)+1,LEN(Registro!$G578))),FIND("x",TRIM(MID(SUBSTITUTE(SUBSTITUTE(SUBSTITUTE(SUBSTITUTE(SUBSTITUTE(LOWER(Registro!$G578),"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",LEN(Registro!$G578))),({1,2,3,4,5,6,7,8,9,10,11,12,13,14,15,16,17,18,19,20,21,22,23,24,25,26,27,28,29,30}-1)*LEN(Registro!$G578)+1,LEN(Registro!$G578)))&amp;"x")-1))),"Revisar formato")))</f>
        <v/>
      </c>
      <c r="I578" s="11" t="str">
        <f>IF(Registro!$G578="","",IF(ISERROR(FIND("x",LOWER(Registro!$G578))),N(Registro!$H578),IFERROR(SUMPRODUCT(--("0"&amp;LEFT(TRIM(MID(SUBSTITUTE(SUBSTITUTE(SUBSTITUTE(SUBSTITUTE(SUBSTITUTE(LOWER(Registro!$G578),"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",LEN(Registro!$G578))),({1,2,3,4,5,6,7,8,9,10,11,12,13,14,15,16,17,18,19,20,21,22,23,24,25,26,27,28,29,30}-1)*LEN(Registro!$G578)+1,LEN(Registro!$G578))),FIND("x",TRIM(MID(SUBSTITUTE(SUBSTITUTE(SUBSTITUTE(SUBSTITUTE(SUBSTITUTE(LOWER(Registro!$G578),"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",LEN(Registro!$G578))),({1,2,3,4,5,6,7,8,9,10,11,12,13,14,15,16,17,18,19,20,21,22,23,24,25,26,27,28,29,30}-1)*LEN(Registro!$G578)+1,LEN(Registro!$G578)))&amp;"x")-1)),--("0"&amp;MID(TRIM(MID(SUBSTITUTE(SUBSTITUTE(SUBSTITUTE(SUBSTITUTE(SUBSTITUTE(LOWER(Registro!$G578),"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",LEN(Registro!$G578))),({1,2,3,4,5,6,7,8,9,10,11,12,13,14,15,16,17,18,19,20,21,22,23,24,25,26,27,28,29,30}-1)*LEN(Registro!$G578)+1,LEN(Registro!$G578))),FIND("x",TRIM(MID(SUBSTITUTE(SUBSTITUTE(SUBSTITUTE(SUBSTITUTE(SUBSTITUTE(LOWER(Registro!$G578),"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",LEN(Registro!$G578))),({1,2,3,4,5,6,7,8,9,10,11,12,13,14,15,16,17,18,19,20,21,22,23,24,25,26,27,28,29,30}-1)*LEN(Registro!$G578)+1,LEN(Registro!$G578)))&amp;"x")+1,20))),"Revisar formato")))</f>
        <v/>
      </c>
      <c r="J578" s="9" t="str">
        <f>IF(AND(Registro!$E578="",Registro!$G578=""),"",IF(NOT(AND(ISNUMBER(I578),ISNUMBER(Registro!$H578))),"",IF(I578&lt;Registro!$H578,"FALTA BOLETOS",IF(I578=Registro!$H578,"CONFORME","DIFERENCIA"))))</f>
        <v/>
      </c>
      <c r="K578" s="11" t="str">
        <f>IF(Registro!$I578="","",IFERROR(SUMPRODUCT(--("0"&amp;TRIM(RIGHT(SUBSTITUTE(TRIM(MID(SUBSTITUTE(SUBSTITUTE(Registro!$I578,";",CHAR(10)),CHAR(10),REPT(" ",LEN(Registro!$I578))),({1,2,3,4,5,6,7,8,9,10,11,12,13,14,15,16,17,18,19,20,21,22,23,24,25,26,27,28,29,30}-1)*LEN(Registro!$I578)+1,LEN(Registro!$I578)))," ",REPT(" ",50)),50)))),"Revisar formato"))</f>
        <v/>
      </c>
      <c r="L578" s="11" t="str">
        <f>IF(Registro!$J578="","",IFERROR(SUMPRODUCT(--("0"&amp;TRIM(RIGHT(SUBSTITUTE(TRIM(MID(SUBSTITUTE(SUBSTITUTE(Registro!$J578,";",CHAR(10)),CHAR(10),REPT(" ",LEN(Registro!$J578))),({1,2,3,4,5,6,7,8,9,10,11,12,13,14,15,16,17,18,19,20,21,22,23,24,25,26,27,28,29,30}-1)*LEN(Registro!$J578)+1,LEN(Registro!$J578)))," ",REPT(" ",50)),50)))),"Revisar formato"))</f>
        <v/>
      </c>
      <c r="M578" s="11" t="str">
        <f>IF(AND(Registro!$H578="",Registro!$I578=""),"",IF(AND(ISTEXT(K578),K578&lt;&gt;""),"Revisar formato",N(Registro!$H578)-N(K578)))</f>
        <v/>
      </c>
      <c r="N578" s="11" t="str">
        <f t="shared" ref="N578:N641" si="29">IF(M578="","",IF(OR(M578="Revisar formato",AND(ISTEXT(L578),L578&lt;&gt;"")),"Revisar formato",M578-N(L578)))</f>
        <v/>
      </c>
      <c r="O578" s="15" t="str">
        <f>IF(AND(A578=Consulta!$B$3,C578=Consulta!$H$3),B578*10000+ROW(),"")</f>
        <v/>
      </c>
    </row>
    <row r="579" spans="1:15" x14ac:dyDescent="0.25">
      <c r="A579" s="9" t="str">
        <f>IF(Registro!$A579="","",Registro!$A579)</f>
        <v/>
      </c>
      <c r="B579" s="8" t="str">
        <f>IF(Registro!$B579="","",Registro!$B579)</f>
        <v/>
      </c>
      <c r="C579" s="14" t="str">
        <f t="shared" si="27"/>
        <v/>
      </c>
      <c r="D579" s="10" t="str">
        <f>IF(Registro!$E579="","",IF(ISERROR(FIND("x",LOWER(Registro!$E579))),"-",IFERROR(SUMPRODUCT(--("0"&amp;LEFT(TRIM(MID(SUBSTITUTE(SUBSTITUTE(SUBSTITUTE(SUBSTITUTE(SUBSTITUTE(LOWER(Registro!$E579),"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",LEN(Registro!$E579))),({1,2,3,4,5,6,7,8,9,10,11,12,13,14,15,16,17,18,19,20,21,22,23,24,25,26,27,28,29,30}-1)*LEN(Registro!$E579)+1,LEN(Registro!$E579)))&amp;"x")-1))),"Revisar formato")))</f>
        <v/>
      </c>
      <c r="E579" s="11" t="str">
        <f>IF(Registro!$E579="","",IF(ISERROR(FIND("x",LOWER(Registro!$E579))),"-",IFERROR(SUMPRODUCT(--("0"&amp;LEFT(TRIM(MID(SUBSTITUTE(SUBSTITUTE(SUBSTITUTE(SUBSTITUTE(SUBSTITUTE(LOWER(Registro!$E579),"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",LEN(Registro!$E579))),({1,2,3,4,5,6,7,8,9,10,11,12,13,14,15,16,17,18,19,20,21,22,23,24,25,26,27,28,29,30}-1)*LEN(Registro!$E579)+1,LEN(Registro!$E579)))&amp;"x")-1)),--("0"&amp;MID(TRIM(MID(SUBSTITUTE(SUBSTITUTE(SUBSTITUTE(SUBSTITUTE(SUBSTITUTE(LOWER(Registro!$E579),"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",LEN(Registro!$E579))),({1,2,3,4,5,6,7,8,9,10,11,12,13,14,15,16,17,18,19,20,21,22,23,24,25,26,27,28,29,30}-1)*LEN(Registro!$E579)+1,LEN(Registro!$E579)))&amp;"x")+1,20))),"Revisar formato")))</f>
        <v/>
      </c>
      <c r="F579" s="11" t="str">
        <f>IF(Registro!$F579="","",N(Registro!$F579))</f>
        <v/>
      </c>
      <c r="G579" s="11" t="str">
        <f t="shared" si="28"/>
        <v/>
      </c>
      <c r="H579" s="10" t="str">
        <f>IF(Registro!$G579="","",IF(ISERROR(FIND("x",LOWER(Registro!$G579))),"-",IFERROR(SUMPRODUCT(--("0"&amp;LEFT(TRIM(MID(SUBSTITUTE(SUBSTITUTE(SUBSTITUTE(SUBSTITUTE(SUBSTITUTE(LOWER(Registro!$G579),"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",LEN(Registro!$G579))),({1,2,3,4,5,6,7,8,9,10,11,12,13,14,15,16,17,18,19,20,21,22,23,24,25,26,27,28,29,30}-1)*LEN(Registro!$G579)+1,LEN(Registro!$G579))),FIND("x",TRIM(MID(SUBSTITUTE(SUBSTITUTE(SUBSTITUTE(SUBSTITUTE(SUBSTITUTE(LOWER(Registro!$G579),"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",LEN(Registro!$G579))),({1,2,3,4,5,6,7,8,9,10,11,12,13,14,15,16,17,18,19,20,21,22,23,24,25,26,27,28,29,30}-1)*LEN(Registro!$G579)+1,LEN(Registro!$G579)))&amp;"x")-1))),"Revisar formato")))</f>
        <v/>
      </c>
      <c r="I579" s="11" t="str">
        <f>IF(Registro!$G579="","",IF(ISERROR(FIND("x",LOWER(Registro!$G579))),N(Registro!$H579),IFERROR(SUMPRODUCT(--("0"&amp;LEFT(TRIM(MID(SUBSTITUTE(SUBSTITUTE(SUBSTITUTE(SUBSTITUTE(SUBSTITUTE(LOWER(Registro!$G579),"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",LEN(Registro!$G579))),({1,2,3,4,5,6,7,8,9,10,11,12,13,14,15,16,17,18,19,20,21,22,23,24,25,26,27,28,29,30}-1)*LEN(Registro!$G579)+1,LEN(Registro!$G579))),FIND("x",TRIM(MID(SUBSTITUTE(SUBSTITUTE(SUBSTITUTE(SUBSTITUTE(SUBSTITUTE(LOWER(Registro!$G579),"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",LEN(Registro!$G579))),({1,2,3,4,5,6,7,8,9,10,11,12,13,14,15,16,17,18,19,20,21,22,23,24,25,26,27,28,29,30}-1)*LEN(Registro!$G579)+1,LEN(Registro!$G579)))&amp;"x")-1)),--("0"&amp;MID(TRIM(MID(SUBSTITUTE(SUBSTITUTE(SUBSTITUTE(SUBSTITUTE(SUBSTITUTE(LOWER(Registro!$G579),"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",LEN(Registro!$G579))),({1,2,3,4,5,6,7,8,9,10,11,12,13,14,15,16,17,18,19,20,21,22,23,24,25,26,27,28,29,30}-1)*LEN(Registro!$G579)+1,LEN(Registro!$G579))),FIND("x",TRIM(MID(SUBSTITUTE(SUBSTITUTE(SUBSTITUTE(SUBSTITUTE(SUBSTITUTE(LOWER(Registro!$G579),"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",LEN(Registro!$G579))),({1,2,3,4,5,6,7,8,9,10,11,12,13,14,15,16,17,18,19,20,21,22,23,24,25,26,27,28,29,30}-1)*LEN(Registro!$G579)+1,LEN(Registro!$G579)))&amp;"x")+1,20))),"Revisar formato")))</f>
        <v/>
      </c>
      <c r="J579" s="9" t="str">
        <f>IF(AND(Registro!$E579="",Registro!$G579=""),"",IF(NOT(AND(ISNUMBER(I579),ISNUMBER(Registro!$H579))),"",IF(I579&lt;Registro!$H579,"FALTA BOLETOS",IF(I579=Registro!$H579,"CONFORME","DIFERENCIA"))))</f>
        <v/>
      </c>
      <c r="K579" s="11" t="str">
        <f>IF(Registro!$I579="","",IFERROR(SUMPRODUCT(--("0"&amp;TRIM(RIGHT(SUBSTITUTE(TRIM(MID(SUBSTITUTE(SUBSTITUTE(Registro!$I579,";",CHAR(10)),CHAR(10),REPT(" ",LEN(Registro!$I579))),({1,2,3,4,5,6,7,8,9,10,11,12,13,14,15,16,17,18,19,20,21,22,23,24,25,26,27,28,29,30}-1)*LEN(Registro!$I579)+1,LEN(Registro!$I579)))," ",REPT(" ",50)),50)))),"Revisar formato"))</f>
        <v/>
      </c>
      <c r="L579" s="11" t="str">
        <f>IF(Registro!$J579="","",IFERROR(SUMPRODUCT(--("0"&amp;TRIM(RIGHT(SUBSTITUTE(TRIM(MID(SUBSTITUTE(SUBSTITUTE(Registro!$J579,";",CHAR(10)),CHAR(10),REPT(" ",LEN(Registro!$J579))),({1,2,3,4,5,6,7,8,9,10,11,12,13,14,15,16,17,18,19,20,21,22,23,24,25,26,27,28,29,30}-1)*LEN(Registro!$J579)+1,LEN(Registro!$J579)))," ",REPT(" ",50)),50)))),"Revisar formato"))</f>
        <v/>
      </c>
      <c r="M579" s="11" t="str">
        <f>IF(AND(Registro!$H579="",Registro!$I579=""),"",IF(AND(ISTEXT(K579),K579&lt;&gt;""),"Revisar formato",N(Registro!$H579)-N(K579)))</f>
        <v/>
      </c>
      <c r="N579" s="11" t="str">
        <f t="shared" si="29"/>
        <v/>
      </c>
      <c r="O579" s="15" t="str">
        <f>IF(AND(A579=Consulta!$B$3,C579=Consulta!$H$3),B579*10000+ROW(),"")</f>
        <v/>
      </c>
    </row>
    <row r="580" spans="1:15" x14ac:dyDescent="0.25">
      <c r="A580" s="9" t="str">
        <f>IF(Registro!$A580="","",Registro!$A580)</f>
        <v/>
      </c>
      <c r="B580" s="8" t="str">
        <f>IF(Registro!$B580="","",Registro!$B580)</f>
        <v/>
      </c>
      <c r="C580" s="14" t="str">
        <f t="shared" si="27"/>
        <v/>
      </c>
      <c r="D580" s="10" t="str">
        <f>IF(Registro!$E580="","",IF(ISERROR(FIND("x",LOWER(Registro!$E580))),"-",IFERROR(SUMPRODUCT(--("0"&amp;LEFT(TRIM(MID(SUBSTITUTE(SUBSTITUTE(SUBSTITUTE(SUBSTITUTE(SUBSTITUTE(LOWER(Registro!$E580),"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",LEN(Registro!$E580))),({1,2,3,4,5,6,7,8,9,10,11,12,13,14,15,16,17,18,19,20,21,22,23,24,25,26,27,28,29,30}-1)*LEN(Registro!$E580)+1,LEN(Registro!$E580)))&amp;"x")-1))),"Revisar formato")))</f>
        <v/>
      </c>
      <c r="E580" s="11" t="str">
        <f>IF(Registro!$E580="","",IF(ISERROR(FIND("x",LOWER(Registro!$E580))),"-",IFERROR(SUMPRODUCT(--("0"&amp;LEFT(TRIM(MID(SUBSTITUTE(SUBSTITUTE(SUBSTITUTE(SUBSTITUTE(SUBSTITUTE(LOWER(Registro!$E580),"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",LEN(Registro!$E580))),({1,2,3,4,5,6,7,8,9,10,11,12,13,14,15,16,17,18,19,20,21,22,23,24,25,26,27,28,29,30}-1)*LEN(Registro!$E580)+1,LEN(Registro!$E580)))&amp;"x")-1)),--("0"&amp;MID(TRIM(MID(SUBSTITUTE(SUBSTITUTE(SUBSTITUTE(SUBSTITUTE(SUBSTITUTE(LOWER(Registro!$E580),"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",LEN(Registro!$E580))),({1,2,3,4,5,6,7,8,9,10,11,12,13,14,15,16,17,18,19,20,21,22,23,24,25,26,27,28,29,30}-1)*LEN(Registro!$E580)+1,LEN(Registro!$E580)))&amp;"x")+1,20))),"Revisar formato")))</f>
        <v/>
      </c>
      <c r="F580" s="11" t="str">
        <f>IF(Registro!$F580="","",N(Registro!$F580))</f>
        <v/>
      </c>
      <c r="G580" s="11" t="str">
        <f t="shared" si="28"/>
        <v/>
      </c>
      <c r="H580" s="10" t="str">
        <f>IF(Registro!$G580="","",IF(ISERROR(FIND("x",LOWER(Registro!$G580))),"-",IFERROR(SUMPRODUCT(--("0"&amp;LEFT(TRIM(MID(SUBSTITUTE(SUBSTITUTE(SUBSTITUTE(SUBSTITUTE(SUBSTITUTE(LOWER(Registro!$G580),"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",LEN(Registro!$G580))),({1,2,3,4,5,6,7,8,9,10,11,12,13,14,15,16,17,18,19,20,21,22,23,24,25,26,27,28,29,30}-1)*LEN(Registro!$G580)+1,LEN(Registro!$G580))),FIND("x",TRIM(MID(SUBSTITUTE(SUBSTITUTE(SUBSTITUTE(SUBSTITUTE(SUBSTITUTE(LOWER(Registro!$G580),"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",LEN(Registro!$G580))),({1,2,3,4,5,6,7,8,9,10,11,12,13,14,15,16,17,18,19,20,21,22,23,24,25,26,27,28,29,30}-1)*LEN(Registro!$G580)+1,LEN(Registro!$G580)))&amp;"x")-1))),"Revisar formato")))</f>
        <v/>
      </c>
      <c r="I580" s="11" t="str">
        <f>IF(Registro!$G580="","",IF(ISERROR(FIND("x",LOWER(Registro!$G580))),N(Registro!$H580),IFERROR(SUMPRODUCT(--("0"&amp;LEFT(TRIM(MID(SUBSTITUTE(SUBSTITUTE(SUBSTITUTE(SUBSTITUTE(SUBSTITUTE(LOWER(Registro!$G580),"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",LEN(Registro!$G580))),({1,2,3,4,5,6,7,8,9,10,11,12,13,14,15,16,17,18,19,20,21,22,23,24,25,26,27,28,29,30}-1)*LEN(Registro!$G580)+1,LEN(Registro!$G580))),FIND("x",TRIM(MID(SUBSTITUTE(SUBSTITUTE(SUBSTITUTE(SUBSTITUTE(SUBSTITUTE(LOWER(Registro!$G580),"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",LEN(Registro!$G580))),({1,2,3,4,5,6,7,8,9,10,11,12,13,14,15,16,17,18,19,20,21,22,23,24,25,26,27,28,29,30}-1)*LEN(Registro!$G580)+1,LEN(Registro!$G580)))&amp;"x")-1)),--("0"&amp;MID(TRIM(MID(SUBSTITUTE(SUBSTITUTE(SUBSTITUTE(SUBSTITUTE(SUBSTITUTE(LOWER(Registro!$G580),"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",LEN(Registro!$G580))),({1,2,3,4,5,6,7,8,9,10,11,12,13,14,15,16,17,18,19,20,21,22,23,24,25,26,27,28,29,30}-1)*LEN(Registro!$G580)+1,LEN(Registro!$G580))),FIND("x",TRIM(MID(SUBSTITUTE(SUBSTITUTE(SUBSTITUTE(SUBSTITUTE(SUBSTITUTE(LOWER(Registro!$G580),"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",LEN(Registro!$G580))),({1,2,3,4,5,6,7,8,9,10,11,12,13,14,15,16,17,18,19,20,21,22,23,24,25,26,27,28,29,30}-1)*LEN(Registro!$G580)+1,LEN(Registro!$G580)))&amp;"x")+1,20))),"Revisar formato")))</f>
        <v/>
      </c>
      <c r="J580" s="9" t="str">
        <f>IF(AND(Registro!$E580="",Registro!$G580=""),"",IF(NOT(AND(ISNUMBER(I580),ISNUMBER(Registro!$H580))),"",IF(I580&lt;Registro!$H580,"FALTA BOLETOS",IF(I580=Registro!$H580,"CONFORME","DIFERENCIA"))))</f>
        <v/>
      </c>
      <c r="K580" s="11" t="str">
        <f>IF(Registro!$I580="","",IFERROR(SUMPRODUCT(--("0"&amp;TRIM(RIGHT(SUBSTITUTE(TRIM(MID(SUBSTITUTE(SUBSTITUTE(Registro!$I580,";",CHAR(10)),CHAR(10),REPT(" ",LEN(Registro!$I580))),({1,2,3,4,5,6,7,8,9,10,11,12,13,14,15,16,17,18,19,20,21,22,23,24,25,26,27,28,29,30}-1)*LEN(Registro!$I580)+1,LEN(Registro!$I580)))," ",REPT(" ",50)),50)))),"Revisar formato"))</f>
        <v/>
      </c>
      <c r="L580" s="11" t="str">
        <f>IF(Registro!$J580="","",IFERROR(SUMPRODUCT(--("0"&amp;TRIM(RIGHT(SUBSTITUTE(TRIM(MID(SUBSTITUTE(SUBSTITUTE(Registro!$J580,";",CHAR(10)),CHAR(10),REPT(" ",LEN(Registro!$J580))),({1,2,3,4,5,6,7,8,9,10,11,12,13,14,15,16,17,18,19,20,21,22,23,24,25,26,27,28,29,30}-1)*LEN(Registro!$J580)+1,LEN(Registro!$J580)))," ",REPT(" ",50)),50)))),"Revisar formato"))</f>
        <v/>
      </c>
      <c r="M580" s="11" t="str">
        <f>IF(AND(Registro!$H580="",Registro!$I580=""),"",IF(AND(ISTEXT(K580),K580&lt;&gt;""),"Revisar formato",N(Registro!$H580)-N(K580)))</f>
        <v/>
      </c>
      <c r="N580" s="11" t="str">
        <f t="shared" si="29"/>
        <v/>
      </c>
      <c r="O580" s="15" t="str">
        <f>IF(AND(A580=Consulta!$B$3,C580=Consulta!$H$3),B580*10000+ROW(),"")</f>
        <v/>
      </c>
    </row>
    <row r="581" spans="1:15" x14ac:dyDescent="0.25">
      <c r="A581" s="9" t="str">
        <f>IF(Registro!$A581="","",Registro!$A581)</f>
        <v/>
      </c>
      <c r="B581" s="8" t="str">
        <f>IF(Registro!$B581="","",Registro!$B581)</f>
        <v/>
      </c>
      <c r="C581" s="14" t="str">
        <f t="shared" si="27"/>
        <v/>
      </c>
      <c r="D581" s="10" t="str">
        <f>IF(Registro!$E581="","",IF(ISERROR(FIND("x",LOWER(Registro!$E581))),"-",IFERROR(SUMPRODUCT(--("0"&amp;LEFT(TRIM(MID(SUBSTITUTE(SUBSTITUTE(SUBSTITUTE(SUBSTITUTE(SUBSTITUTE(LOWER(Registro!$E581),"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",LEN(Registro!$E581))),({1,2,3,4,5,6,7,8,9,10,11,12,13,14,15,16,17,18,19,20,21,22,23,24,25,26,27,28,29,30}-1)*LEN(Registro!$E581)+1,LEN(Registro!$E581)))&amp;"x")-1))),"Revisar formato")))</f>
        <v/>
      </c>
      <c r="E581" s="11" t="str">
        <f>IF(Registro!$E581="","",IF(ISERROR(FIND("x",LOWER(Registro!$E581))),"-",IFERROR(SUMPRODUCT(--("0"&amp;LEFT(TRIM(MID(SUBSTITUTE(SUBSTITUTE(SUBSTITUTE(SUBSTITUTE(SUBSTITUTE(LOWER(Registro!$E581),"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",LEN(Registro!$E581))),({1,2,3,4,5,6,7,8,9,10,11,12,13,14,15,16,17,18,19,20,21,22,23,24,25,26,27,28,29,30}-1)*LEN(Registro!$E581)+1,LEN(Registro!$E581)))&amp;"x")-1)),--("0"&amp;MID(TRIM(MID(SUBSTITUTE(SUBSTITUTE(SUBSTITUTE(SUBSTITUTE(SUBSTITUTE(LOWER(Registro!$E581),"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",LEN(Registro!$E581))),({1,2,3,4,5,6,7,8,9,10,11,12,13,14,15,16,17,18,19,20,21,22,23,24,25,26,27,28,29,30}-1)*LEN(Registro!$E581)+1,LEN(Registro!$E581)))&amp;"x")+1,20))),"Revisar formato")))</f>
        <v/>
      </c>
      <c r="F581" s="11" t="str">
        <f>IF(Registro!$F581="","",N(Registro!$F581))</f>
        <v/>
      </c>
      <c r="G581" s="11" t="str">
        <f t="shared" si="28"/>
        <v/>
      </c>
      <c r="H581" s="10" t="str">
        <f>IF(Registro!$G581="","",IF(ISERROR(FIND("x",LOWER(Registro!$G581))),"-",IFERROR(SUMPRODUCT(--("0"&amp;LEFT(TRIM(MID(SUBSTITUTE(SUBSTITUTE(SUBSTITUTE(SUBSTITUTE(SUBSTITUTE(LOWER(Registro!$G581),"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",LEN(Registro!$G581))),({1,2,3,4,5,6,7,8,9,10,11,12,13,14,15,16,17,18,19,20,21,22,23,24,25,26,27,28,29,30}-1)*LEN(Registro!$G581)+1,LEN(Registro!$G581))),FIND("x",TRIM(MID(SUBSTITUTE(SUBSTITUTE(SUBSTITUTE(SUBSTITUTE(SUBSTITUTE(LOWER(Registro!$G581),"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",LEN(Registro!$G581))),({1,2,3,4,5,6,7,8,9,10,11,12,13,14,15,16,17,18,19,20,21,22,23,24,25,26,27,28,29,30}-1)*LEN(Registro!$G581)+1,LEN(Registro!$G581)))&amp;"x")-1))),"Revisar formato")))</f>
        <v/>
      </c>
      <c r="I581" s="11" t="str">
        <f>IF(Registro!$G581="","",IF(ISERROR(FIND("x",LOWER(Registro!$G581))),N(Registro!$H581),IFERROR(SUMPRODUCT(--("0"&amp;LEFT(TRIM(MID(SUBSTITUTE(SUBSTITUTE(SUBSTITUTE(SUBSTITUTE(SUBSTITUTE(LOWER(Registro!$G581),"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",LEN(Registro!$G581))),({1,2,3,4,5,6,7,8,9,10,11,12,13,14,15,16,17,18,19,20,21,22,23,24,25,26,27,28,29,30}-1)*LEN(Registro!$G581)+1,LEN(Registro!$G581))),FIND("x",TRIM(MID(SUBSTITUTE(SUBSTITUTE(SUBSTITUTE(SUBSTITUTE(SUBSTITUTE(LOWER(Registro!$G581),"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",LEN(Registro!$G581))),({1,2,3,4,5,6,7,8,9,10,11,12,13,14,15,16,17,18,19,20,21,22,23,24,25,26,27,28,29,30}-1)*LEN(Registro!$G581)+1,LEN(Registro!$G581)))&amp;"x")-1)),--("0"&amp;MID(TRIM(MID(SUBSTITUTE(SUBSTITUTE(SUBSTITUTE(SUBSTITUTE(SUBSTITUTE(LOWER(Registro!$G581),"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",LEN(Registro!$G581))),({1,2,3,4,5,6,7,8,9,10,11,12,13,14,15,16,17,18,19,20,21,22,23,24,25,26,27,28,29,30}-1)*LEN(Registro!$G581)+1,LEN(Registro!$G581))),FIND("x",TRIM(MID(SUBSTITUTE(SUBSTITUTE(SUBSTITUTE(SUBSTITUTE(SUBSTITUTE(LOWER(Registro!$G581),"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",LEN(Registro!$G581))),({1,2,3,4,5,6,7,8,9,10,11,12,13,14,15,16,17,18,19,20,21,22,23,24,25,26,27,28,29,30}-1)*LEN(Registro!$G581)+1,LEN(Registro!$G581)))&amp;"x")+1,20))),"Revisar formato")))</f>
        <v/>
      </c>
      <c r="J581" s="9" t="str">
        <f>IF(AND(Registro!$E581="",Registro!$G581=""),"",IF(NOT(AND(ISNUMBER(I581),ISNUMBER(Registro!$H581))),"",IF(I581&lt;Registro!$H581,"FALTA BOLETOS",IF(I581=Registro!$H581,"CONFORME","DIFERENCIA"))))</f>
        <v/>
      </c>
      <c r="K581" s="11" t="str">
        <f>IF(Registro!$I581="","",IFERROR(SUMPRODUCT(--("0"&amp;TRIM(RIGHT(SUBSTITUTE(TRIM(MID(SUBSTITUTE(SUBSTITUTE(Registro!$I581,";",CHAR(10)),CHAR(10),REPT(" ",LEN(Registro!$I581))),({1,2,3,4,5,6,7,8,9,10,11,12,13,14,15,16,17,18,19,20,21,22,23,24,25,26,27,28,29,30}-1)*LEN(Registro!$I581)+1,LEN(Registro!$I581)))," ",REPT(" ",50)),50)))),"Revisar formato"))</f>
        <v/>
      </c>
      <c r="L581" s="11" t="str">
        <f>IF(Registro!$J581="","",IFERROR(SUMPRODUCT(--("0"&amp;TRIM(RIGHT(SUBSTITUTE(TRIM(MID(SUBSTITUTE(SUBSTITUTE(Registro!$J581,";",CHAR(10)),CHAR(10),REPT(" ",LEN(Registro!$J581))),({1,2,3,4,5,6,7,8,9,10,11,12,13,14,15,16,17,18,19,20,21,22,23,24,25,26,27,28,29,30}-1)*LEN(Registro!$J581)+1,LEN(Registro!$J581)))," ",REPT(" ",50)),50)))),"Revisar formato"))</f>
        <v/>
      </c>
      <c r="M581" s="11" t="str">
        <f>IF(AND(Registro!$H581="",Registro!$I581=""),"",IF(AND(ISTEXT(K581),K581&lt;&gt;""),"Revisar formato",N(Registro!$H581)-N(K581)))</f>
        <v/>
      </c>
      <c r="N581" s="11" t="str">
        <f t="shared" si="29"/>
        <v/>
      </c>
      <c r="O581" s="15" t="str">
        <f>IF(AND(A581=Consulta!$B$3,C581=Consulta!$H$3),B581*10000+ROW(),"")</f>
        <v/>
      </c>
    </row>
    <row r="582" spans="1:15" x14ac:dyDescent="0.25">
      <c r="A582" s="9" t="str">
        <f>IF(Registro!$A582="","",Registro!$A582)</f>
        <v/>
      </c>
      <c r="B582" s="8" t="str">
        <f>IF(Registro!$B582="","",Registro!$B582)</f>
        <v/>
      </c>
      <c r="C582" s="14" t="str">
        <f t="shared" si="27"/>
        <v/>
      </c>
      <c r="D582" s="10" t="str">
        <f>IF(Registro!$E582="","",IF(ISERROR(FIND("x",LOWER(Registro!$E582))),"-",IFERROR(SUMPRODUCT(--("0"&amp;LEFT(TRIM(MID(SUBSTITUTE(SUBSTITUTE(SUBSTITUTE(SUBSTITUTE(SUBSTITUTE(LOWER(Registro!$E582),"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",LEN(Registro!$E582))),({1,2,3,4,5,6,7,8,9,10,11,12,13,14,15,16,17,18,19,20,21,22,23,24,25,26,27,28,29,30}-1)*LEN(Registro!$E582)+1,LEN(Registro!$E582)))&amp;"x")-1))),"Revisar formato")))</f>
        <v/>
      </c>
      <c r="E582" s="11" t="str">
        <f>IF(Registro!$E582="","",IF(ISERROR(FIND("x",LOWER(Registro!$E582))),"-",IFERROR(SUMPRODUCT(--("0"&amp;LEFT(TRIM(MID(SUBSTITUTE(SUBSTITUTE(SUBSTITUTE(SUBSTITUTE(SUBSTITUTE(LOWER(Registro!$E582),"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",LEN(Registro!$E582))),({1,2,3,4,5,6,7,8,9,10,11,12,13,14,15,16,17,18,19,20,21,22,23,24,25,26,27,28,29,30}-1)*LEN(Registro!$E582)+1,LEN(Registro!$E582)))&amp;"x")-1)),--("0"&amp;MID(TRIM(MID(SUBSTITUTE(SUBSTITUTE(SUBSTITUTE(SUBSTITUTE(SUBSTITUTE(LOWER(Registro!$E582),"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",LEN(Registro!$E582))),({1,2,3,4,5,6,7,8,9,10,11,12,13,14,15,16,17,18,19,20,21,22,23,24,25,26,27,28,29,30}-1)*LEN(Registro!$E582)+1,LEN(Registro!$E582)))&amp;"x")+1,20))),"Revisar formato")))</f>
        <v/>
      </c>
      <c r="F582" s="11" t="str">
        <f>IF(Registro!$F582="","",N(Registro!$F582))</f>
        <v/>
      </c>
      <c r="G582" s="11" t="str">
        <f t="shared" si="28"/>
        <v/>
      </c>
      <c r="H582" s="10" t="str">
        <f>IF(Registro!$G582="","",IF(ISERROR(FIND("x",LOWER(Registro!$G582))),"-",IFERROR(SUMPRODUCT(--("0"&amp;LEFT(TRIM(MID(SUBSTITUTE(SUBSTITUTE(SUBSTITUTE(SUBSTITUTE(SUBSTITUTE(LOWER(Registro!$G582),"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",LEN(Registro!$G582))),({1,2,3,4,5,6,7,8,9,10,11,12,13,14,15,16,17,18,19,20,21,22,23,24,25,26,27,28,29,30}-1)*LEN(Registro!$G582)+1,LEN(Registro!$G582))),FIND("x",TRIM(MID(SUBSTITUTE(SUBSTITUTE(SUBSTITUTE(SUBSTITUTE(SUBSTITUTE(LOWER(Registro!$G582),"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",LEN(Registro!$G582))),({1,2,3,4,5,6,7,8,9,10,11,12,13,14,15,16,17,18,19,20,21,22,23,24,25,26,27,28,29,30}-1)*LEN(Registro!$G582)+1,LEN(Registro!$G582)))&amp;"x")-1))),"Revisar formato")))</f>
        <v/>
      </c>
      <c r="I582" s="11" t="str">
        <f>IF(Registro!$G582="","",IF(ISERROR(FIND("x",LOWER(Registro!$G582))),N(Registro!$H582),IFERROR(SUMPRODUCT(--("0"&amp;LEFT(TRIM(MID(SUBSTITUTE(SUBSTITUTE(SUBSTITUTE(SUBSTITUTE(SUBSTITUTE(LOWER(Registro!$G582),"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",LEN(Registro!$G582))),({1,2,3,4,5,6,7,8,9,10,11,12,13,14,15,16,17,18,19,20,21,22,23,24,25,26,27,28,29,30}-1)*LEN(Registro!$G582)+1,LEN(Registro!$G582))),FIND("x",TRIM(MID(SUBSTITUTE(SUBSTITUTE(SUBSTITUTE(SUBSTITUTE(SUBSTITUTE(LOWER(Registro!$G582),"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",LEN(Registro!$G582))),({1,2,3,4,5,6,7,8,9,10,11,12,13,14,15,16,17,18,19,20,21,22,23,24,25,26,27,28,29,30}-1)*LEN(Registro!$G582)+1,LEN(Registro!$G582)))&amp;"x")-1)),--("0"&amp;MID(TRIM(MID(SUBSTITUTE(SUBSTITUTE(SUBSTITUTE(SUBSTITUTE(SUBSTITUTE(LOWER(Registro!$G582),"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",LEN(Registro!$G582))),({1,2,3,4,5,6,7,8,9,10,11,12,13,14,15,16,17,18,19,20,21,22,23,24,25,26,27,28,29,30}-1)*LEN(Registro!$G582)+1,LEN(Registro!$G582))),FIND("x",TRIM(MID(SUBSTITUTE(SUBSTITUTE(SUBSTITUTE(SUBSTITUTE(SUBSTITUTE(LOWER(Registro!$G582),"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",LEN(Registro!$G582))),({1,2,3,4,5,6,7,8,9,10,11,12,13,14,15,16,17,18,19,20,21,22,23,24,25,26,27,28,29,30}-1)*LEN(Registro!$G582)+1,LEN(Registro!$G582)))&amp;"x")+1,20))),"Revisar formato")))</f>
        <v/>
      </c>
      <c r="J582" s="9" t="str">
        <f>IF(AND(Registro!$E582="",Registro!$G582=""),"",IF(NOT(AND(ISNUMBER(I582),ISNUMBER(Registro!$H582))),"",IF(I582&lt;Registro!$H582,"FALTA BOLETOS",IF(I582=Registro!$H582,"CONFORME","DIFERENCIA"))))</f>
        <v/>
      </c>
      <c r="K582" s="11" t="str">
        <f>IF(Registro!$I582="","",IFERROR(SUMPRODUCT(--("0"&amp;TRIM(RIGHT(SUBSTITUTE(TRIM(MID(SUBSTITUTE(SUBSTITUTE(Registro!$I582,";",CHAR(10)),CHAR(10),REPT(" ",LEN(Registro!$I582))),({1,2,3,4,5,6,7,8,9,10,11,12,13,14,15,16,17,18,19,20,21,22,23,24,25,26,27,28,29,30}-1)*LEN(Registro!$I582)+1,LEN(Registro!$I582)))," ",REPT(" ",50)),50)))),"Revisar formato"))</f>
        <v/>
      </c>
      <c r="L582" s="11" t="str">
        <f>IF(Registro!$J582="","",IFERROR(SUMPRODUCT(--("0"&amp;TRIM(RIGHT(SUBSTITUTE(TRIM(MID(SUBSTITUTE(SUBSTITUTE(Registro!$J582,";",CHAR(10)),CHAR(10),REPT(" ",LEN(Registro!$J582))),({1,2,3,4,5,6,7,8,9,10,11,12,13,14,15,16,17,18,19,20,21,22,23,24,25,26,27,28,29,30}-1)*LEN(Registro!$J582)+1,LEN(Registro!$J582)))," ",REPT(" ",50)),50)))),"Revisar formato"))</f>
        <v/>
      </c>
      <c r="M582" s="11" t="str">
        <f>IF(AND(Registro!$H582="",Registro!$I582=""),"",IF(AND(ISTEXT(K582),K582&lt;&gt;""),"Revisar formato",N(Registro!$H582)-N(K582)))</f>
        <v/>
      </c>
      <c r="N582" s="11" t="str">
        <f t="shared" si="29"/>
        <v/>
      </c>
      <c r="O582" s="15" t="str">
        <f>IF(AND(A582=Consulta!$B$3,C582=Consulta!$H$3),B582*10000+ROW(),"")</f>
        <v/>
      </c>
    </row>
    <row r="583" spans="1:15" x14ac:dyDescent="0.25">
      <c r="A583" s="9" t="str">
        <f>IF(Registro!$A583="","",Registro!$A583)</f>
        <v/>
      </c>
      <c r="B583" s="8" t="str">
        <f>IF(Registro!$B583="","",Registro!$B583)</f>
        <v/>
      </c>
      <c r="C583" s="14" t="str">
        <f t="shared" si="27"/>
        <v/>
      </c>
      <c r="D583" s="10" t="str">
        <f>IF(Registro!$E583="","",IF(ISERROR(FIND("x",LOWER(Registro!$E583))),"-",IFERROR(SUMPRODUCT(--("0"&amp;LEFT(TRIM(MID(SUBSTITUTE(SUBSTITUTE(SUBSTITUTE(SUBSTITUTE(SUBSTITUTE(LOWER(Registro!$E583),"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",LEN(Registro!$E583))),({1,2,3,4,5,6,7,8,9,10,11,12,13,14,15,16,17,18,19,20,21,22,23,24,25,26,27,28,29,30}-1)*LEN(Registro!$E583)+1,LEN(Registro!$E583)))&amp;"x")-1))),"Revisar formato")))</f>
        <v/>
      </c>
      <c r="E583" s="11" t="str">
        <f>IF(Registro!$E583="","",IF(ISERROR(FIND("x",LOWER(Registro!$E583))),"-",IFERROR(SUMPRODUCT(--("0"&amp;LEFT(TRIM(MID(SUBSTITUTE(SUBSTITUTE(SUBSTITUTE(SUBSTITUTE(SUBSTITUTE(LOWER(Registro!$E583),"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",LEN(Registro!$E583))),({1,2,3,4,5,6,7,8,9,10,11,12,13,14,15,16,17,18,19,20,21,22,23,24,25,26,27,28,29,30}-1)*LEN(Registro!$E583)+1,LEN(Registro!$E583)))&amp;"x")-1)),--("0"&amp;MID(TRIM(MID(SUBSTITUTE(SUBSTITUTE(SUBSTITUTE(SUBSTITUTE(SUBSTITUTE(LOWER(Registro!$E583),"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",LEN(Registro!$E583))),({1,2,3,4,5,6,7,8,9,10,11,12,13,14,15,16,17,18,19,20,21,22,23,24,25,26,27,28,29,30}-1)*LEN(Registro!$E583)+1,LEN(Registro!$E583)))&amp;"x")+1,20))),"Revisar formato")))</f>
        <v/>
      </c>
      <c r="F583" s="11" t="str">
        <f>IF(Registro!$F583="","",N(Registro!$F583))</f>
        <v/>
      </c>
      <c r="G583" s="11" t="str">
        <f t="shared" si="28"/>
        <v/>
      </c>
      <c r="H583" s="10" t="str">
        <f>IF(Registro!$G583="","",IF(ISERROR(FIND("x",LOWER(Registro!$G583))),"-",IFERROR(SUMPRODUCT(--("0"&amp;LEFT(TRIM(MID(SUBSTITUTE(SUBSTITUTE(SUBSTITUTE(SUBSTITUTE(SUBSTITUTE(LOWER(Registro!$G583),"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",LEN(Registro!$G583))),({1,2,3,4,5,6,7,8,9,10,11,12,13,14,15,16,17,18,19,20,21,22,23,24,25,26,27,28,29,30}-1)*LEN(Registro!$G583)+1,LEN(Registro!$G583))),FIND("x",TRIM(MID(SUBSTITUTE(SUBSTITUTE(SUBSTITUTE(SUBSTITUTE(SUBSTITUTE(LOWER(Registro!$G583),"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",LEN(Registro!$G583))),({1,2,3,4,5,6,7,8,9,10,11,12,13,14,15,16,17,18,19,20,21,22,23,24,25,26,27,28,29,30}-1)*LEN(Registro!$G583)+1,LEN(Registro!$G583)))&amp;"x")-1))),"Revisar formato")))</f>
        <v/>
      </c>
      <c r="I583" s="11" t="str">
        <f>IF(Registro!$G583="","",IF(ISERROR(FIND("x",LOWER(Registro!$G583))),N(Registro!$H583),IFERROR(SUMPRODUCT(--("0"&amp;LEFT(TRIM(MID(SUBSTITUTE(SUBSTITUTE(SUBSTITUTE(SUBSTITUTE(SUBSTITUTE(LOWER(Registro!$G583),"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",LEN(Registro!$G583))),({1,2,3,4,5,6,7,8,9,10,11,12,13,14,15,16,17,18,19,20,21,22,23,24,25,26,27,28,29,30}-1)*LEN(Registro!$G583)+1,LEN(Registro!$G583))),FIND("x",TRIM(MID(SUBSTITUTE(SUBSTITUTE(SUBSTITUTE(SUBSTITUTE(SUBSTITUTE(LOWER(Registro!$G583),"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",LEN(Registro!$G583))),({1,2,3,4,5,6,7,8,9,10,11,12,13,14,15,16,17,18,19,20,21,22,23,24,25,26,27,28,29,30}-1)*LEN(Registro!$G583)+1,LEN(Registro!$G583)))&amp;"x")-1)),--("0"&amp;MID(TRIM(MID(SUBSTITUTE(SUBSTITUTE(SUBSTITUTE(SUBSTITUTE(SUBSTITUTE(LOWER(Registro!$G583),"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",LEN(Registro!$G583))),({1,2,3,4,5,6,7,8,9,10,11,12,13,14,15,16,17,18,19,20,21,22,23,24,25,26,27,28,29,30}-1)*LEN(Registro!$G583)+1,LEN(Registro!$G583))),FIND("x",TRIM(MID(SUBSTITUTE(SUBSTITUTE(SUBSTITUTE(SUBSTITUTE(SUBSTITUTE(LOWER(Registro!$G583),"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",LEN(Registro!$G583))),({1,2,3,4,5,6,7,8,9,10,11,12,13,14,15,16,17,18,19,20,21,22,23,24,25,26,27,28,29,30}-1)*LEN(Registro!$G583)+1,LEN(Registro!$G583)))&amp;"x")+1,20))),"Revisar formato")))</f>
        <v/>
      </c>
      <c r="J583" s="9" t="str">
        <f>IF(AND(Registro!$E583="",Registro!$G583=""),"",IF(NOT(AND(ISNUMBER(I583),ISNUMBER(Registro!$H583))),"",IF(I583&lt;Registro!$H583,"FALTA BOLETOS",IF(I583=Registro!$H583,"CONFORME","DIFERENCIA"))))</f>
        <v/>
      </c>
      <c r="K583" s="11" t="str">
        <f>IF(Registro!$I583="","",IFERROR(SUMPRODUCT(--("0"&amp;TRIM(RIGHT(SUBSTITUTE(TRIM(MID(SUBSTITUTE(SUBSTITUTE(Registro!$I583,";",CHAR(10)),CHAR(10),REPT(" ",LEN(Registro!$I583))),({1,2,3,4,5,6,7,8,9,10,11,12,13,14,15,16,17,18,19,20,21,22,23,24,25,26,27,28,29,30}-1)*LEN(Registro!$I583)+1,LEN(Registro!$I583)))," ",REPT(" ",50)),50)))),"Revisar formato"))</f>
        <v/>
      </c>
      <c r="L583" s="11" t="str">
        <f>IF(Registro!$J583="","",IFERROR(SUMPRODUCT(--("0"&amp;TRIM(RIGHT(SUBSTITUTE(TRIM(MID(SUBSTITUTE(SUBSTITUTE(Registro!$J583,";",CHAR(10)),CHAR(10),REPT(" ",LEN(Registro!$J583))),({1,2,3,4,5,6,7,8,9,10,11,12,13,14,15,16,17,18,19,20,21,22,23,24,25,26,27,28,29,30}-1)*LEN(Registro!$J583)+1,LEN(Registro!$J583)))," ",REPT(" ",50)),50)))),"Revisar formato"))</f>
        <v/>
      </c>
      <c r="M583" s="11" t="str">
        <f>IF(AND(Registro!$H583="",Registro!$I583=""),"",IF(AND(ISTEXT(K583),K583&lt;&gt;""),"Revisar formato",N(Registro!$H583)-N(K583)))</f>
        <v/>
      </c>
      <c r="N583" s="11" t="str">
        <f t="shared" si="29"/>
        <v/>
      </c>
      <c r="O583" s="15" t="str">
        <f>IF(AND(A583=Consulta!$B$3,C583=Consulta!$H$3),B583*10000+ROW(),"")</f>
        <v/>
      </c>
    </row>
    <row r="584" spans="1:15" x14ac:dyDescent="0.25">
      <c r="A584" s="9" t="str">
        <f>IF(Registro!$A584="","",Registro!$A584)</f>
        <v/>
      </c>
      <c r="B584" s="8" t="str">
        <f>IF(Registro!$B584="","",Registro!$B584)</f>
        <v/>
      </c>
      <c r="C584" s="14" t="str">
        <f t="shared" si="27"/>
        <v/>
      </c>
      <c r="D584" s="10" t="str">
        <f>IF(Registro!$E584="","",IF(ISERROR(FIND("x",LOWER(Registro!$E584))),"-",IFERROR(SUMPRODUCT(--("0"&amp;LEFT(TRIM(MID(SUBSTITUTE(SUBSTITUTE(SUBSTITUTE(SUBSTITUTE(SUBSTITUTE(LOWER(Registro!$E584),"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",LEN(Registro!$E584))),({1,2,3,4,5,6,7,8,9,10,11,12,13,14,15,16,17,18,19,20,21,22,23,24,25,26,27,28,29,30}-1)*LEN(Registro!$E584)+1,LEN(Registro!$E584)))&amp;"x")-1))),"Revisar formato")))</f>
        <v/>
      </c>
      <c r="E584" s="11" t="str">
        <f>IF(Registro!$E584="","",IF(ISERROR(FIND("x",LOWER(Registro!$E584))),"-",IFERROR(SUMPRODUCT(--("0"&amp;LEFT(TRIM(MID(SUBSTITUTE(SUBSTITUTE(SUBSTITUTE(SUBSTITUTE(SUBSTITUTE(LOWER(Registro!$E584),"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",LEN(Registro!$E584))),({1,2,3,4,5,6,7,8,9,10,11,12,13,14,15,16,17,18,19,20,21,22,23,24,25,26,27,28,29,30}-1)*LEN(Registro!$E584)+1,LEN(Registro!$E584)))&amp;"x")-1)),--("0"&amp;MID(TRIM(MID(SUBSTITUTE(SUBSTITUTE(SUBSTITUTE(SUBSTITUTE(SUBSTITUTE(LOWER(Registro!$E584),"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",LEN(Registro!$E584))),({1,2,3,4,5,6,7,8,9,10,11,12,13,14,15,16,17,18,19,20,21,22,23,24,25,26,27,28,29,30}-1)*LEN(Registro!$E584)+1,LEN(Registro!$E584)))&amp;"x")+1,20))),"Revisar formato")))</f>
        <v/>
      </c>
      <c r="F584" s="11" t="str">
        <f>IF(Registro!$F584="","",N(Registro!$F584))</f>
        <v/>
      </c>
      <c r="G584" s="11" t="str">
        <f t="shared" si="28"/>
        <v/>
      </c>
      <c r="H584" s="10" t="str">
        <f>IF(Registro!$G584="","",IF(ISERROR(FIND("x",LOWER(Registro!$G584))),"-",IFERROR(SUMPRODUCT(--("0"&amp;LEFT(TRIM(MID(SUBSTITUTE(SUBSTITUTE(SUBSTITUTE(SUBSTITUTE(SUBSTITUTE(LOWER(Registro!$G584),"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",LEN(Registro!$G584))),({1,2,3,4,5,6,7,8,9,10,11,12,13,14,15,16,17,18,19,20,21,22,23,24,25,26,27,28,29,30}-1)*LEN(Registro!$G584)+1,LEN(Registro!$G584))),FIND("x",TRIM(MID(SUBSTITUTE(SUBSTITUTE(SUBSTITUTE(SUBSTITUTE(SUBSTITUTE(LOWER(Registro!$G584),"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",LEN(Registro!$G584))),({1,2,3,4,5,6,7,8,9,10,11,12,13,14,15,16,17,18,19,20,21,22,23,24,25,26,27,28,29,30}-1)*LEN(Registro!$G584)+1,LEN(Registro!$G584)))&amp;"x")-1))),"Revisar formato")))</f>
        <v/>
      </c>
      <c r="I584" s="11" t="str">
        <f>IF(Registro!$G584="","",IF(ISERROR(FIND("x",LOWER(Registro!$G584))),N(Registro!$H584),IFERROR(SUMPRODUCT(--("0"&amp;LEFT(TRIM(MID(SUBSTITUTE(SUBSTITUTE(SUBSTITUTE(SUBSTITUTE(SUBSTITUTE(LOWER(Registro!$G584),"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",LEN(Registro!$G584))),({1,2,3,4,5,6,7,8,9,10,11,12,13,14,15,16,17,18,19,20,21,22,23,24,25,26,27,28,29,30}-1)*LEN(Registro!$G584)+1,LEN(Registro!$G584))),FIND("x",TRIM(MID(SUBSTITUTE(SUBSTITUTE(SUBSTITUTE(SUBSTITUTE(SUBSTITUTE(LOWER(Registro!$G584),"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",LEN(Registro!$G584))),({1,2,3,4,5,6,7,8,9,10,11,12,13,14,15,16,17,18,19,20,21,22,23,24,25,26,27,28,29,30}-1)*LEN(Registro!$G584)+1,LEN(Registro!$G584)))&amp;"x")-1)),--("0"&amp;MID(TRIM(MID(SUBSTITUTE(SUBSTITUTE(SUBSTITUTE(SUBSTITUTE(SUBSTITUTE(LOWER(Registro!$G584),"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",LEN(Registro!$G584))),({1,2,3,4,5,6,7,8,9,10,11,12,13,14,15,16,17,18,19,20,21,22,23,24,25,26,27,28,29,30}-1)*LEN(Registro!$G584)+1,LEN(Registro!$G584))),FIND("x",TRIM(MID(SUBSTITUTE(SUBSTITUTE(SUBSTITUTE(SUBSTITUTE(SUBSTITUTE(LOWER(Registro!$G584),"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",LEN(Registro!$G584))),({1,2,3,4,5,6,7,8,9,10,11,12,13,14,15,16,17,18,19,20,21,22,23,24,25,26,27,28,29,30}-1)*LEN(Registro!$G584)+1,LEN(Registro!$G584)))&amp;"x")+1,20))),"Revisar formato")))</f>
        <v/>
      </c>
      <c r="J584" s="9" t="str">
        <f>IF(AND(Registro!$E584="",Registro!$G584=""),"",IF(NOT(AND(ISNUMBER(I584),ISNUMBER(Registro!$H584))),"",IF(I584&lt;Registro!$H584,"FALTA BOLETOS",IF(I584=Registro!$H584,"CONFORME","DIFERENCIA"))))</f>
        <v/>
      </c>
      <c r="K584" s="11" t="str">
        <f>IF(Registro!$I584="","",IFERROR(SUMPRODUCT(--("0"&amp;TRIM(RIGHT(SUBSTITUTE(TRIM(MID(SUBSTITUTE(SUBSTITUTE(Registro!$I584,";",CHAR(10)),CHAR(10),REPT(" ",LEN(Registro!$I584))),({1,2,3,4,5,6,7,8,9,10,11,12,13,14,15,16,17,18,19,20,21,22,23,24,25,26,27,28,29,30}-1)*LEN(Registro!$I584)+1,LEN(Registro!$I584)))," ",REPT(" ",50)),50)))),"Revisar formato"))</f>
        <v/>
      </c>
      <c r="L584" s="11" t="str">
        <f>IF(Registro!$J584="","",IFERROR(SUMPRODUCT(--("0"&amp;TRIM(RIGHT(SUBSTITUTE(TRIM(MID(SUBSTITUTE(SUBSTITUTE(Registro!$J584,";",CHAR(10)),CHAR(10),REPT(" ",LEN(Registro!$J584))),({1,2,3,4,5,6,7,8,9,10,11,12,13,14,15,16,17,18,19,20,21,22,23,24,25,26,27,28,29,30}-1)*LEN(Registro!$J584)+1,LEN(Registro!$J584)))," ",REPT(" ",50)),50)))),"Revisar formato"))</f>
        <v/>
      </c>
      <c r="M584" s="11" t="str">
        <f>IF(AND(Registro!$H584="",Registro!$I584=""),"",IF(AND(ISTEXT(K584),K584&lt;&gt;""),"Revisar formato",N(Registro!$H584)-N(K584)))</f>
        <v/>
      </c>
      <c r="N584" s="11" t="str">
        <f t="shared" si="29"/>
        <v/>
      </c>
      <c r="O584" s="15" t="str">
        <f>IF(AND(A584=Consulta!$B$3,C584=Consulta!$H$3),B584*10000+ROW(),"")</f>
        <v/>
      </c>
    </row>
    <row r="585" spans="1:15" x14ac:dyDescent="0.25">
      <c r="A585" s="9" t="str">
        <f>IF(Registro!$A585="","",Registro!$A585)</f>
        <v/>
      </c>
      <c r="B585" s="8" t="str">
        <f>IF(Registro!$B585="","",Registro!$B585)</f>
        <v/>
      </c>
      <c r="C585" s="14" t="str">
        <f t="shared" si="27"/>
        <v/>
      </c>
      <c r="D585" s="10" t="str">
        <f>IF(Registro!$E585="","",IF(ISERROR(FIND("x",LOWER(Registro!$E585))),"-",IFERROR(SUMPRODUCT(--("0"&amp;LEFT(TRIM(MID(SUBSTITUTE(SUBSTITUTE(SUBSTITUTE(SUBSTITUTE(SUBSTITUTE(LOWER(Registro!$E585),"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",LEN(Registro!$E585))),({1,2,3,4,5,6,7,8,9,10,11,12,13,14,15,16,17,18,19,20,21,22,23,24,25,26,27,28,29,30}-1)*LEN(Registro!$E585)+1,LEN(Registro!$E585)))&amp;"x")-1))),"Revisar formato")))</f>
        <v/>
      </c>
      <c r="E585" s="11" t="str">
        <f>IF(Registro!$E585="","",IF(ISERROR(FIND("x",LOWER(Registro!$E585))),"-",IFERROR(SUMPRODUCT(--("0"&amp;LEFT(TRIM(MID(SUBSTITUTE(SUBSTITUTE(SUBSTITUTE(SUBSTITUTE(SUBSTITUTE(LOWER(Registro!$E585),"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",LEN(Registro!$E585))),({1,2,3,4,5,6,7,8,9,10,11,12,13,14,15,16,17,18,19,20,21,22,23,24,25,26,27,28,29,30}-1)*LEN(Registro!$E585)+1,LEN(Registro!$E585)))&amp;"x")-1)),--("0"&amp;MID(TRIM(MID(SUBSTITUTE(SUBSTITUTE(SUBSTITUTE(SUBSTITUTE(SUBSTITUTE(LOWER(Registro!$E585),"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",LEN(Registro!$E585))),({1,2,3,4,5,6,7,8,9,10,11,12,13,14,15,16,17,18,19,20,21,22,23,24,25,26,27,28,29,30}-1)*LEN(Registro!$E585)+1,LEN(Registro!$E585)))&amp;"x")+1,20))),"Revisar formato")))</f>
        <v/>
      </c>
      <c r="F585" s="11" t="str">
        <f>IF(Registro!$F585="","",N(Registro!$F585))</f>
        <v/>
      </c>
      <c r="G585" s="11" t="str">
        <f t="shared" si="28"/>
        <v/>
      </c>
      <c r="H585" s="10" t="str">
        <f>IF(Registro!$G585="","",IF(ISERROR(FIND("x",LOWER(Registro!$G585))),"-",IFERROR(SUMPRODUCT(--("0"&amp;LEFT(TRIM(MID(SUBSTITUTE(SUBSTITUTE(SUBSTITUTE(SUBSTITUTE(SUBSTITUTE(LOWER(Registro!$G585),"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",LEN(Registro!$G585))),({1,2,3,4,5,6,7,8,9,10,11,12,13,14,15,16,17,18,19,20,21,22,23,24,25,26,27,28,29,30}-1)*LEN(Registro!$G585)+1,LEN(Registro!$G585))),FIND("x",TRIM(MID(SUBSTITUTE(SUBSTITUTE(SUBSTITUTE(SUBSTITUTE(SUBSTITUTE(LOWER(Registro!$G585),"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",LEN(Registro!$G585))),({1,2,3,4,5,6,7,8,9,10,11,12,13,14,15,16,17,18,19,20,21,22,23,24,25,26,27,28,29,30}-1)*LEN(Registro!$G585)+1,LEN(Registro!$G585)))&amp;"x")-1))),"Revisar formato")))</f>
        <v/>
      </c>
      <c r="I585" s="11" t="str">
        <f>IF(Registro!$G585="","",IF(ISERROR(FIND("x",LOWER(Registro!$G585))),N(Registro!$H585),IFERROR(SUMPRODUCT(--("0"&amp;LEFT(TRIM(MID(SUBSTITUTE(SUBSTITUTE(SUBSTITUTE(SUBSTITUTE(SUBSTITUTE(LOWER(Registro!$G585),"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",LEN(Registro!$G585))),({1,2,3,4,5,6,7,8,9,10,11,12,13,14,15,16,17,18,19,20,21,22,23,24,25,26,27,28,29,30}-1)*LEN(Registro!$G585)+1,LEN(Registro!$G585))),FIND("x",TRIM(MID(SUBSTITUTE(SUBSTITUTE(SUBSTITUTE(SUBSTITUTE(SUBSTITUTE(LOWER(Registro!$G585),"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",LEN(Registro!$G585))),({1,2,3,4,5,6,7,8,9,10,11,12,13,14,15,16,17,18,19,20,21,22,23,24,25,26,27,28,29,30}-1)*LEN(Registro!$G585)+1,LEN(Registro!$G585)))&amp;"x")-1)),--("0"&amp;MID(TRIM(MID(SUBSTITUTE(SUBSTITUTE(SUBSTITUTE(SUBSTITUTE(SUBSTITUTE(LOWER(Registro!$G585),"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",LEN(Registro!$G585))),({1,2,3,4,5,6,7,8,9,10,11,12,13,14,15,16,17,18,19,20,21,22,23,24,25,26,27,28,29,30}-1)*LEN(Registro!$G585)+1,LEN(Registro!$G585))),FIND("x",TRIM(MID(SUBSTITUTE(SUBSTITUTE(SUBSTITUTE(SUBSTITUTE(SUBSTITUTE(LOWER(Registro!$G585),"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",LEN(Registro!$G585))),({1,2,3,4,5,6,7,8,9,10,11,12,13,14,15,16,17,18,19,20,21,22,23,24,25,26,27,28,29,30}-1)*LEN(Registro!$G585)+1,LEN(Registro!$G585)))&amp;"x")+1,20))),"Revisar formato")))</f>
        <v/>
      </c>
      <c r="J585" s="9" t="str">
        <f>IF(AND(Registro!$E585="",Registro!$G585=""),"",IF(NOT(AND(ISNUMBER(I585),ISNUMBER(Registro!$H585))),"",IF(I585&lt;Registro!$H585,"FALTA BOLETOS",IF(I585=Registro!$H585,"CONFORME","DIFERENCIA"))))</f>
        <v/>
      </c>
      <c r="K585" s="11" t="str">
        <f>IF(Registro!$I585="","",IFERROR(SUMPRODUCT(--("0"&amp;TRIM(RIGHT(SUBSTITUTE(TRIM(MID(SUBSTITUTE(SUBSTITUTE(Registro!$I585,";",CHAR(10)),CHAR(10),REPT(" ",LEN(Registro!$I585))),({1,2,3,4,5,6,7,8,9,10,11,12,13,14,15,16,17,18,19,20,21,22,23,24,25,26,27,28,29,30}-1)*LEN(Registro!$I585)+1,LEN(Registro!$I585)))," ",REPT(" ",50)),50)))),"Revisar formato"))</f>
        <v/>
      </c>
      <c r="L585" s="11" t="str">
        <f>IF(Registro!$J585="","",IFERROR(SUMPRODUCT(--("0"&amp;TRIM(RIGHT(SUBSTITUTE(TRIM(MID(SUBSTITUTE(SUBSTITUTE(Registro!$J585,";",CHAR(10)),CHAR(10),REPT(" ",LEN(Registro!$J585))),({1,2,3,4,5,6,7,8,9,10,11,12,13,14,15,16,17,18,19,20,21,22,23,24,25,26,27,28,29,30}-1)*LEN(Registro!$J585)+1,LEN(Registro!$J585)))," ",REPT(" ",50)),50)))),"Revisar formato"))</f>
        <v/>
      </c>
      <c r="M585" s="11" t="str">
        <f>IF(AND(Registro!$H585="",Registro!$I585=""),"",IF(AND(ISTEXT(K585),K585&lt;&gt;""),"Revisar formato",N(Registro!$H585)-N(K585)))</f>
        <v/>
      </c>
      <c r="N585" s="11" t="str">
        <f t="shared" si="29"/>
        <v/>
      </c>
      <c r="O585" s="15" t="str">
        <f>IF(AND(A585=Consulta!$B$3,C585=Consulta!$H$3),B585*10000+ROW(),"")</f>
        <v/>
      </c>
    </row>
    <row r="586" spans="1:15" x14ac:dyDescent="0.25">
      <c r="A586" s="9" t="str">
        <f>IF(Registro!$A586="","",Registro!$A586)</f>
        <v/>
      </c>
      <c r="B586" s="8" t="str">
        <f>IF(Registro!$B586="","",Registro!$B586)</f>
        <v/>
      </c>
      <c r="C586" s="14" t="str">
        <f t="shared" si="27"/>
        <v/>
      </c>
      <c r="D586" s="10" t="str">
        <f>IF(Registro!$E586="","",IF(ISERROR(FIND("x",LOWER(Registro!$E586))),"-",IFERROR(SUMPRODUCT(--("0"&amp;LEFT(TRIM(MID(SUBSTITUTE(SUBSTITUTE(SUBSTITUTE(SUBSTITUTE(SUBSTITUTE(LOWER(Registro!$E586),"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",LEN(Registro!$E586))),({1,2,3,4,5,6,7,8,9,10,11,12,13,14,15,16,17,18,19,20,21,22,23,24,25,26,27,28,29,30}-1)*LEN(Registro!$E586)+1,LEN(Registro!$E586)))&amp;"x")-1))),"Revisar formato")))</f>
        <v/>
      </c>
      <c r="E586" s="11" t="str">
        <f>IF(Registro!$E586="","",IF(ISERROR(FIND("x",LOWER(Registro!$E586))),"-",IFERROR(SUMPRODUCT(--("0"&amp;LEFT(TRIM(MID(SUBSTITUTE(SUBSTITUTE(SUBSTITUTE(SUBSTITUTE(SUBSTITUTE(LOWER(Registro!$E586),"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",LEN(Registro!$E586))),({1,2,3,4,5,6,7,8,9,10,11,12,13,14,15,16,17,18,19,20,21,22,23,24,25,26,27,28,29,30}-1)*LEN(Registro!$E586)+1,LEN(Registro!$E586)))&amp;"x")-1)),--("0"&amp;MID(TRIM(MID(SUBSTITUTE(SUBSTITUTE(SUBSTITUTE(SUBSTITUTE(SUBSTITUTE(LOWER(Registro!$E586),"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",LEN(Registro!$E586))),({1,2,3,4,5,6,7,8,9,10,11,12,13,14,15,16,17,18,19,20,21,22,23,24,25,26,27,28,29,30}-1)*LEN(Registro!$E586)+1,LEN(Registro!$E586)))&amp;"x")+1,20))),"Revisar formato")))</f>
        <v/>
      </c>
      <c r="F586" s="11" t="str">
        <f>IF(Registro!$F586="","",N(Registro!$F586))</f>
        <v/>
      </c>
      <c r="G586" s="11" t="str">
        <f t="shared" si="28"/>
        <v/>
      </c>
      <c r="H586" s="10" t="str">
        <f>IF(Registro!$G586="","",IF(ISERROR(FIND("x",LOWER(Registro!$G586))),"-",IFERROR(SUMPRODUCT(--("0"&amp;LEFT(TRIM(MID(SUBSTITUTE(SUBSTITUTE(SUBSTITUTE(SUBSTITUTE(SUBSTITUTE(LOWER(Registro!$G586),"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",LEN(Registro!$G586))),({1,2,3,4,5,6,7,8,9,10,11,12,13,14,15,16,17,18,19,20,21,22,23,24,25,26,27,28,29,30}-1)*LEN(Registro!$G586)+1,LEN(Registro!$G586))),FIND("x",TRIM(MID(SUBSTITUTE(SUBSTITUTE(SUBSTITUTE(SUBSTITUTE(SUBSTITUTE(LOWER(Registro!$G586),"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",LEN(Registro!$G586))),({1,2,3,4,5,6,7,8,9,10,11,12,13,14,15,16,17,18,19,20,21,22,23,24,25,26,27,28,29,30}-1)*LEN(Registro!$G586)+1,LEN(Registro!$G586)))&amp;"x")-1))),"Revisar formato")))</f>
        <v/>
      </c>
      <c r="I586" s="11" t="str">
        <f>IF(Registro!$G586="","",IF(ISERROR(FIND("x",LOWER(Registro!$G586))),N(Registro!$H586),IFERROR(SUMPRODUCT(--("0"&amp;LEFT(TRIM(MID(SUBSTITUTE(SUBSTITUTE(SUBSTITUTE(SUBSTITUTE(SUBSTITUTE(LOWER(Registro!$G586),"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",LEN(Registro!$G586))),({1,2,3,4,5,6,7,8,9,10,11,12,13,14,15,16,17,18,19,20,21,22,23,24,25,26,27,28,29,30}-1)*LEN(Registro!$G586)+1,LEN(Registro!$G586))),FIND("x",TRIM(MID(SUBSTITUTE(SUBSTITUTE(SUBSTITUTE(SUBSTITUTE(SUBSTITUTE(LOWER(Registro!$G586),"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",LEN(Registro!$G586))),({1,2,3,4,5,6,7,8,9,10,11,12,13,14,15,16,17,18,19,20,21,22,23,24,25,26,27,28,29,30}-1)*LEN(Registro!$G586)+1,LEN(Registro!$G586)))&amp;"x")-1)),--("0"&amp;MID(TRIM(MID(SUBSTITUTE(SUBSTITUTE(SUBSTITUTE(SUBSTITUTE(SUBSTITUTE(LOWER(Registro!$G586),"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",LEN(Registro!$G586))),({1,2,3,4,5,6,7,8,9,10,11,12,13,14,15,16,17,18,19,20,21,22,23,24,25,26,27,28,29,30}-1)*LEN(Registro!$G586)+1,LEN(Registro!$G586))),FIND("x",TRIM(MID(SUBSTITUTE(SUBSTITUTE(SUBSTITUTE(SUBSTITUTE(SUBSTITUTE(LOWER(Registro!$G586),"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",LEN(Registro!$G586))),({1,2,3,4,5,6,7,8,9,10,11,12,13,14,15,16,17,18,19,20,21,22,23,24,25,26,27,28,29,30}-1)*LEN(Registro!$G586)+1,LEN(Registro!$G586)))&amp;"x")+1,20))),"Revisar formato")))</f>
        <v/>
      </c>
      <c r="J586" s="9" t="str">
        <f>IF(AND(Registro!$E586="",Registro!$G586=""),"",IF(NOT(AND(ISNUMBER(I586),ISNUMBER(Registro!$H586))),"",IF(I586&lt;Registro!$H586,"FALTA BOLETOS",IF(I586=Registro!$H586,"CONFORME","DIFERENCIA"))))</f>
        <v/>
      </c>
      <c r="K586" s="11" t="str">
        <f>IF(Registro!$I586="","",IFERROR(SUMPRODUCT(--("0"&amp;TRIM(RIGHT(SUBSTITUTE(TRIM(MID(SUBSTITUTE(SUBSTITUTE(Registro!$I586,";",CHAR(10)),CHAR(10),REPT(" ",LEN(Registro!$I586))),({1,2,3,4,5,6,7,8,9,10,11,12,13,14,15,16,17,18,19,20,21,22,23,24,25,26,27,28,29,30}-1)*LEN(Registro!$I586)+1,LEN(Registro!$I586)))," ",REPT(" ",50)),50)))),"Revisar formato"))</f>
        <v/>
      </c>
      <c r="L586" s="11" t="str">
        <f>IF(Registro!$J586="","",IFERROR(SUMPRODUCT(--("0"&amp;TRIM(RIGHT(SUBSTITUTE(TRIM(MID(SUBSTITUTE(SUBSTITUTE(Registro!$J586,";",CHAR(10)),CHAR(10),REPT(" ",LEN(Registro!$J586))),({1,2,3,4,5,6,7,8,9,10,11,12,13,14,15,16,17,18,19,20,21,22,23,24,25,26,27,28,29,30}-1)*LEN(Registro!$J586)+1,LEN(Registro!$J586)))," ",REPT(" ",50)),50)))),"Revisar formato"))</f>
        <v/>
      </c>
      <c r="M586" s="11" t="str">
        <f>IF(AND(Registro!$H586="",Registro!$I586=""),"",IF(AND(ISTEXT(K586),K586&lt;&gt;""),"Revisar formato",N(Registro!$H586)-N(K586)))</f>
        <v/>
      </c>
      <c r="N586" s="11" t="str">
        <f t="shared" si="29"/>
        <v/>
      </c>
      <c r="O586" s="15" t="str">
        <f>IF(AND(A586=Consulta!$B$3,C586=Consulta!$H$3),B586*10000+ROW(),"")</f>
        <v/>
      </c>
    </row>
    <row r="587" spans="1:15" x14ac:dyDescent="0.25">
      <c r="A587" s="9" t="str">
        <f>IF(Registro!$A587="","",Registro!$A587)</f>
        <v/>
      </c>
      <c r="B587" s="8" t="str">
        <f>IF(Registro!$B587="","",Registro!$B587)</f>
        <v/>
      </c>
      <c r="C587" s="14" t="str">
        <f t="shared" si="27"/>
        <v/>
      </c>
      <c r="D587" s="10" t="str">
        <f>IF(Registro!$E587="","",IF(ISERROR(FIND("x",LOWER(Registro!$E587))),"-",IFERROR(SUMPRODUCT(--("0"&amp;LEFT(TRIM(MID(SUBSTITUTE(SUBSTITUTE(SUBSTITUTE(SUBSTITUTE(SUBSTITUTE(LOWER(Registro!$E587),"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",LEN(Registro!$E587))),({1,2,3,4,5,6,7,8,9,10,11,12,13,14,15,16,17,18,19,20,21,22,23,24,25,26,27,28,29,30}-1)*LEN(Registro!$E587)+1,LEN(Registro!$E587)))&amp;"x")-1))),"Revisar formato")))</f>
        <v/>
      </c>
      <c r="E587" s="11" t="str">
        <f>IF(Registro!$E587="","",IF(ISERROR(FIND("x",LOWER(Registro!$E587))),"-",IFERROR(SUMPRODUCT(--("0"&amp;LEFT(TRIM(MID(SUBSTITUTE(SUBSTITUTE(SUBSTITUTE(SUBSTITUTE(SUBSTITUTE(LOWER(Registro!$E587),"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",LEN(Registro!$E587))),({1,2,3,4,5,6,7,8,9,10,11,12,13,14,15,16,17,18,19,20,21,22,23,24,25,26,27,28,29,30}-1)*LEN(Registro!$E587)+1,LEN(Registro!$E587)))&amp;"x")-1)),--("0"&amp;MID(TRIM(MID(SUBSTITUTE(SUBSTITUTE(SUBSTITUTE(SUBSTITUTE(SUBSTITUTE(LOWER(Registro!$E587),"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",LEN(Registro!$E587))),({1,2,3,4,5,6,7,8,9,10,11,12,13,14,15,16,17,18,19,20,21,22,23,24,25,26,27,28,29,30}-1)*LEN(Registro!$E587)+1,LEN(Registro!$E587)))&amp;"x")+1,20))),"Revisar formato")))</f>
        <v/>
      </c>
      <c r="F587" s="11" t="str">
        <f>IF(Registro!$F587="","",N(Registro!$F587))</f>
        <v/>
      </c>
      <c r="G587" s="11" t="str">
        <f t="shared" si="28"/>
        <v/>
      </c>
      <c r="H587" s="10" t="str">
        <f>IF(Registro!$G587="","",IF(ISERROR(FIND("x",LOWER(Registro!$G587))),"-",IFERROR(SUMPRODUCT(--("0"&amp;LEFT(TRIM(MID(SUBSTITUTE(SUBSTITUTE(SUBSTITUTE(SUBSTITUTE(SUBSTITUTE(LOWER(Registro!$G587),"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",LEN(Registro!$G587))),({1,2,3,4,5,6,7,8,9,10,11,12,13,14,15,16,17,18,19,20,21,22,23,24,25,26,27,28,29,30}-1)*LEN(Registro!$G587)+1,LEN(Registro!$G587))),FIND("x",TRIM(MID(SUBSTITUTE(SUBSTITUTE(SUBSTITUTE(SUBSTITUTE(SUBSTITUTE(LOWER(Registro!$G587),"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",LEN(Registro!$G587))),({1,2,3,4,5,6,7,8,9,10,11,12,13,14,15,16,17,18,19,20,21,22,23,24,25,26,27,28,29,30}-1)*LEN(Registro!$G587)+1,LEN(Registro!$G587)))&amp;"x")-1))),"Revisar formato")))</f>
        <v/>
      </c>
      <c r="I587" s="11" t="str">
        <f>IF(Registro!$G587="","",IF(ISERROR(FIND("x",LOWER(Registro!$G587))),N(Registro!$H587),IFERROR(SUMPRODUCT(--("0"&amp;LEFT(TRIM(MID(SUBSTITUTE(SUBSTITUTE(SUBSTITUTE(SUBSTITUTE(SUBSTITUTE(LOWER(Registro!$G587),"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",LEN(Registro!$G587))),({1,2,3,4,5,6,7,8,9,10,11,12,13,14,15,16,17,18,19,20,21,22,23,24,25,26,27,28,29,30}-1)*LEN(Registro!$G587)+1,LEN(Registro!$G587))),FIND("x",TRIM(MID(SUBSTITUTE(SUBSTITUTE(SUBSTITUTE(SUBSTITUTE(SUBSTITUTE(LOWER(Registro!$G587),"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",LEN(Registro!$G587))),({1,2,3,4,5,6,7,8,9,10,11,12,13,14,15,16,17,18,19,20,21,22,23,24,25,26,27,28,29,30}-1)*LEN(Registro!$G587)+1,LEN(Registro!$G587)))&amp;"x")-1)),--("0"&amp;MID(TRIM(MID(SUBSTITUTE(SUBSTITUTE(SUBSTITUTE(SUBSTITUTE(SUBSTITUTE(LOWER(Registro!$G587),"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",LEN(Registro!$G587))),({1,2,3,4,5,6,7,8,9,10,11,12,13,14,15,16,17,18,19,20,21,22,23,24,25,26,27,28,29,30}-1)*LEN(Registro!$G587)+1,LEN(Registro!$G587))),FIND("x",TRIM(MID(SUBSTITUTE(SUBSTITUTE(SUBSTITUTE(SUBSTITUTE(SUBSTITUTE(LOWER(Registro!$G587),"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",LEN(Registro!$G587))),({1,2,3,4,5,6,7,8,9,10,11,12,13,14,15,16,17,18,19,20,21,22,23,24,25,26,27,28,29,30}-1)*LEN(Registro!$G587)+1,LEN(Registro!$G587)))&amp;"x")+1,20))),"Revisar formato")))</f>
        <v/>
      </c>
      <c r="J587" s="9" t="str">
        <f>IF(AND(Registro!$E587="",Registro!$G587=""),"",IF(NOT(AND(ISNUMBER(I587),ISNUMBER(Registro!$H587))),"",IF(I587&lt;Registro!$H587,"FALTA BOLETOS",IF(I587=Registro!$H587,"CONFORME","DIFERENCIA"))))</f>
        <v/>
      </c>
      <c r="K587" s="11" t="str">
        <f>IF(Registro!$I587="","",IFERROR(SUMPRODUCT(--("0"&amp;TRIM(RIGHT(SUBSTITUTE(TRIM(MID(SUBSTITUTE(SUBSTITUTE(Registro!$I587,";",CHAR(10)),CHAR(10),REPT(" ",LEN(Registro!$I587))),({1,2,3,4,5,6,7,8,9,10,11,12,13,14,15,16,17,18,19,20,21,22,23,24,25,26,27,28,29,30}-1)*LEN(Registro!$I587)+1,LEN(Registro!$I587)))," ",REPT(" ",50)),50)))),"Revisar formato"))</f>
        <v/>
      </c>
      <c r="L587" s="11" t="str">
        <f>IF(Registro!$J587="","",IFERROR(SUMPRODUCT(--("0"&amp;TRIM(RIGHT(SUBSTITUTE(TRIM(MID(SUBSTITUTE(SUBSTITUTE(Registro!$J587,";",CHAR(10)),CHAR(10),REPT(" ",LEN(Registro!$J587))),({1,2,3,4,5,6,7,8,9,10,11,12,13,14,15,16,17,18,19,20,21,22,23,24,25,26,27,28,29,30}-1)*LEN(Registro!$J587)+1,LEN(Registro!$J587)))," ",REPT(" ",50)),50)))),"Revisar formato"))</f>
        <v/>
      </c>
      <c r="M587" s="11" t="str">
        <f>IF(AND(Registro!$H587="",Registro!$I587=""),"",IF(AND(ISTEXT(K587),K587&lt;&gt;""),"Revisar formato",N(Registro!$H587)-N(K587)))</f>
        <v/>
      </c>
      <c r="N587" s="11" t="str">
        <f t="shared" si="29"/>
        <v/>
      </c>
      <c r="O587" s="15" t="str">
        <f>IF(AND(A587=Consulta!$B$3,C587=Consulta!$H$3),B587*10000+ROW(),"")</f>
        <v/>
      </c>
    </row>
    <row r="588" spans="1:15" x14ac:dyDescent="0.25">
      <c r="A588" s="9" t="str">
        <f>IF(Registro!$A588="","",Registro!$A588)</f>
        <v/>
      </c>
      <c r="B588" s="8" t="str">
        <f>IF(Registro!$B588="","",Registro!$B588)</f>
        <v/>
      </c>
      <c r="C588" s="14" t="str">
        <f t="shared" si="27"/>
        <v/>
      </c>
      <c r="D588" s="10" t="str">
        <f>IF(Registro!$E588="","",IF(ISERROR(FIND("x",LOWER(Registro!$E588))),"-",IFERROR(SUMPRODUCT(--("0"&amp;LEFT(TRIM(MID(SUBSTITUTE(SUBSTITUTE(SUBSTITUTE(SUBSTITUTE(SUBSTITUTE(LOWER(Registro!$E588),"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",LEN(Registro!$E588))),({1,2,3,4,5,6,7,8,9,10,11,12,13,14,15,16,17,18,19,20,21,22,23,24,25,26,27,28,29,30}-1)*LEN(Registro!$E588)+1,LEN(Registro!$E588)))&amp;"x")-1))),"Revisar formato")))</f>
        <v/>
      </c>
      <c r="E588" s="11" t="str">
        <f>IF(Registro!$E588="","",IF(ISERROR(FIND("x",LOWER(Registro!$E588))),"-",IFERROR(SUMPRODUCT(--("0"&amp;LEFT(TRIM(MID(SUBSTITUTE(SUBSTITUTE(SUBSTITUTE(SUBSTITUTE(SUBSTITUTE(LOWER(Registro!$E588),"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",LEN(Registro!$E588))),({1,2,3,4,5,6,7,8,9,10,11,12,13,14,15,16,17,18,19,20,21,22,23,24,25,26,27,28,29,30}-1)*LEN(Registro!$E588)+1,LEN(Registro!$E588)))&amp;"x")-1)),--("0"&amp;MID(TRIM(MID(SUBSTITUTE(SUBSTITUTE(SUBSTITUTE(SUBSTITUTE(SUBSTITUTE(LOWER(Registro!$E588),"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",LEN(Registro!$E588))),({1,2,3,4,5,6,7,8,9,10,11,12,13,14,15,16,17,18,19,20,21,22,23,24,25,26,27,28,29,30}-1)*LEN(Registro!$E588)+1,LEN(Registro!$E588)))&amp;"x")+1,20))),"Revisar formato")))</f>
        <v/>
      </c>
      <c r="F588" s="11" t="str">
        <f>IF(Registro!$F588="","",N(Registro!$F588))</f>
        <v/>
      </c>
      <c r="G588" s="11" t="str">
        <f t="shared" si="28"/>
        <v/>
      </c>
      <c r="H588" s="10" t="str">
        <f>IF(Registro!$G588="","",IF(ISERROR(FIND("x",LOWER(Registro!$G588))),"-",IFERROR(SUMPRODUCT(--("0"&amp;LEFT(TRIM(MID(SUBSTITUTE(SUBSTITUTE(SUBSTITUTE(SUBSTITUTE(SUBSTITUTE(LOWER(Registro!$G588),"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",LEN(Registro!$G588))),({1,2,3,4,5,6,7,8,9,10,11,12,13,14,15,16,17,18,19,20,21,22,23,24,25,26,27,28,29,30}-1)*LEN(Registro!$G588)+1,LEN(Registro!$G588))),FIND("x",TRIM(MID(SUBSTITUTE(SUBSTITUTE(SUBSTITUTE(SUBSTITUTE(SUBSTITUTE(LOWER(Registro!$G588),"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",LEN(Registro!$G588))),({1,2,3,4,5,6,7,8,9,10,11,12,13,14,15,16,17,18,19,20,21,22,23,24,25,26,27,28,29,30}-1)*LEN(Registro!$G588)+1,LEN(Registro!$G588)))&amp;"x")-1))),"Revisar formato")))</f>
        <v/>
      </c>
      <c r="I588" s="11" t="str">
        <f>IF(Registro!$G588="","",IF(ISERROR(FIND("x",LOWER(Registro!$G588))),N(Registro!$H588),IFERROR(SUMPRODUCT(--("0"&amp;LEFT(TRIM(MID(SUBSTITUTE(SUBSTITUTE(SUBSTITUTE(SUBSTITUTE(SUBSTITUTE(LOWER(Registro!$G588),"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",LEN(Registro!$G588))),({1,2,3,4,5,6,7,8,9,10,11,12,13,14,15,16,17,18,19,20,21,22,23,24,25,26,27,28,29,30}-1)*LEN(Registro!$G588)+1,LEN(Registro!$G588))),FIND("x",TRIM(MID(SUBSTITUTE(SUBSTITUTE(SUBSTITUTE(SUBSTITUTE(SUBSTITUTE(LOWER(Registro!$G588),"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",LEN(Registro!$G588))),({1,2,3,4,5,6,7,8,9,10,11,12,13,14,15,16,17,18,19,20,21,22,23,24,25,26,27,28,29,30}-1)*LEN(Registro!$G588)+1,LEN(Registro!$G588)))&amp;"x")-1)),--("0"&amp;MID(TRIM(MID(SUBSTITUTE(SUBSTITUTE(SUBSTITUTE(SUBSTITUTE(SUBSTITUTE(LOWER(Registro!$G588),"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",LEN(Registro!$G588))),({1,2,3,4,5,6,7,8,9,10,11,12,13,14,15,16,17,18,19,20,21,22,23,24,25,26,27,28,29,30}-1)*LEN(Registro!$G588)+1,LEN(Registro!$G588))),FIND("x",TRIM(MID(SUBSTITUTE(SUBSTITUTE(SUBSTITUTE(SUBSTITUTE(SUBSTITUTE(LOWER(Registro!$G588),"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",LEN(Registro!$G588))),({1,2,3,4,5,6,7,8,9,10,11,12,13,14,15,16,17,18,19,20,21,22,23,24,25,26,27,28,29,30}-1)*LEN(Registro!$G588)+1,LEN(Registro!$G588)))&amp;"x")+1,20))),"Revisar formato")))</f>
        <v/>
      </c>
      <c r="J588" s="9" t="str">
        <f>IF(AND(Registro!$E588="",Registro!$G588=""),"",IF(NOT(AND(ISNUMBER(I588),ISNUMBER(Registro!$H588))),"",IF(I588&lt;Registro!$H588,"FALTA BOLETOS",IF(I588=Registro!$H588,"CONFORME","DIFERENCIA"))))</f>
        <v/>
      </c>
      <c r="K588" s="11" t="str">
        <f>IF(Registro!$I588="","",IFERROR(SUMPRODUCT(--("0"&amp;TRIM(RIGHT(SUBSTITUTE(TRIM(MID(SUBSTITUTE(SUBSTITUTE(Registro!$I588,";",CHAR(10)),CHAR(10),REPT(" ",LEN(Registro!$I588))),({1,2,3,4,5,6,7,8,9,10,11,12,13,14,15,16,17,18,19,20,21,22,23,24,25,26,27,28,29,30}-1)*LEN(Registro!$I588)+1,LEN(Registro!$I588)))," ",REPT(" ",50)),50)))),"Revisar formato"))</f>
        <v/>
      </c>
      <c r="L588" s="11" t="str">
        <f>IF(Registro!$J588="","",IFERROR(SUMPRODUCT(--("0"&amp;TRIM(RIGHT(SUBSTITUTE(TRIM(MID(SUBSTITUTE(SUBSTITUTE(Registro!$J588,";",CHAR(10)),CHAR(10),REPT(" ",LEN(Registro!$J588))),({1,2,3,4,5,6,7,8,9,10,11,12,13,14,15,16,17,18,19,20,21,22,23,24,25,26,27,28,29,30}-1)*LEN(Registro!$J588)+1,LEN(Registro!$J588)))," ",REPT(" ",50)),50)))),"Revisar formato"))</f>
        <v/>
      </c>
      <c r="M588" s="11" t="str">
        <f>IF(AND(Registro!$H588="",Registro!$I588=""),"",IF(AND(ISTEXT(K588),K588&lt;&gt;""),"Revisar formato",N(Registro!$H588)-N(K588)))</f>
        <v/>
      </c>
      <c r="N588" s="11" t="str">
        <f t="shared" si="29"/>
        <v/>
      </c>
      <c r="O588" s="15" t="str">
        <f>IF(AND(A588=Consulta!$B$3,C588=Consulta!$H$3),B588*10000+ROW(),"")</f>
        <v/>
      </c>
    </row>
    <row r="589" spans="1:15" x14ac:dyDescent="0.25">
      <c r="A589" s="9" t="str">
        <f>IF(Registro!$A589="","",Registro!$A589)</f>
        <v/>
      </c>
      <c r="B589" s="8" t="str">
        <f>IF(Registro!$B589="","",Registro!$B589)</f>
        <v/>
      </c>
      <c r="C589" s="14" t="str">
        <f t="shared" si="27"/>
        <v/>
      </c>
      <c r="D589" s="10" t="str">
        <f>IF(Registro!$E589="","",IF(ISERROR(FIND("x",LOWER(Registro!$E589))),"-",IFERROR(SUMPRODUCT(--("0"&amp;LEFT(TRIM(MID(SUBSTITUTE(SUBSTITUTE(SUBSTITUTE(SUBSTITUTE(SUBSTITUTE(LOWER(Registro!$E589),"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",LEN(Registro!$E589))),({1,2,3,4,5,6,7,8,9,10,11,12,13,14,15,16,17,18,19,20,21,22,23,24,25,26,27,28,29,30}-1)*LEN(Registro!$E589)+1,LEN(Registro!$E589)))&amp;"x")-1))),"Revisar formato")))</f>
        <v/>
      </c>
      <c r="E589" s="11" t="str">
        <f>IF(Registro!$E589="","",IF(ISERROR(FIND("x",LOWER(Registro!$E589))),"-",IFERROR(SUMPRODUCT(--("0"&amp;LEFT(TRIM(MID(SUBSTITUTE(SUBSTITUTE(SUBSTITUTE(SUBSTITUTE(SUBSTITUTE(LOWER(Registro!$E589),"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",LEN(Registro!$E589))),({1,2,3,4,5,6,7,8,9,10,11,12,13,14,15,16,17,18,19,20,21,22,23,24,25,26,27,28,29,30}-1)*LEN(Registro!$E589)+1,LEN(Registro!$E589)))&amp;"x")-1)),--("0"&amp;MID(TRIM(MID(SUBSTITUTE(SUBSTITUTE(SUBSTITUTE(SUBSTITUTE(SUBSTITUTE(LOWER(Registro!$E589),"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",LEN(Registro!$E589))),({1,2,3,4,5,6,7,8,9,10,11,12,13,14,15,16,17,18,19,20,21,22,23,24,25,26,27,28,29,30}-1)*LEN(Registro!$E589)+1,LEN(Registro!$E589)))&amp;"x")+1,20))),"Revisar formato")))</f>
        <v/>
      </c>
      <c r="F589" s="11" t="str">
        <f>IF(Registro!$F589="","",N(Registro!$F589))</f>
        <v/>
      </c>
      <c r="G589" s="11" t="str">
        <f t="shared" si="28"/>
        <v/>
      </c>
      <c r="H589" s="10" t="str">
        <f>IF(Registro!$G589="","",IF(ISERROR(FIND("x",LOWER(Registro!$G589))),"-",IFERROR(SUMPRODUCT(--("0"&amp;LEFT(TRIM(MID(SUBSTITUTE(SUBSTITUTE(SUBSTITUTE(SUBSTITUTE(SUBSTITUTE(LOWER(Registro!$G589),"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",LEN(Registro!$G589))),({1,2,3,4,5,6,7,8,9,10,11,12,13,14,15,16,17,18,19,20,21,22,23,24,25,26,27,28,29,30}-1)*LEN(Registro!$G589)+1,LEN(Registro!$G589))),FIND("x",TRIM(MID(SUBSTITUTE(SUBSTITUTE(SUBSTITUTE(SUBSTITUTE(SUBSTITUTE(LOWER(Registro!$G589),"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",LEN(Registro!$G589))),({1,2,3,4,5,6,7,8,9,10,11,12,13,14,15,16,17,18,19,20,21,22,23,24,25,26,27,28,29,30}-1)*LEN(Registro!$G589)+1,LEN(Registro!$G589)))&amp;"x")-1))),"Revisar formato")))</f>
        <v/>
      </c>
      <c r="I589" s="11" t="str">
        <f>IF(Registro!$G589="","",IF(ISERROR(FIND("x",LOWER(Registro!$G589))),N(Registro!$H589),IFERROR(SUMPRODUCT(--("0"&amp;LEFT(TRIM(MID(SUBSTITUTE(SUBSTITUTE(SUBSTITUTE(SUBSTITUTE(SUBSTITUTE(LOWER(Registro!$G589),"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",LEN(Registro!$G589))),({1,2,3,4,5,6,7,8,9,10,11,12,13,14,15,16,17,18,19,20,21,22,23,24,25,26,27,28,29,30}-1)*LEN(Registro!$G589)+1,LEN(Registro!$G589))),FIND("x",TRIM(MID(SUBSTITUTE(SUBSTITUTE(SUBSTITUTE(SUBSTITUTE(SUBSTITUTE(LOWER(Registro!$G589),"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",LEN(Registro!$G589))),({1,2,3,4,5,6,7,8,9,10,11,12,13,14,15,16,17,18,19,20,21,22,23,24,25,26,27,28,29,30}-1)*LEN(Registro!$G589)+1,LEN(Registro!$G589)))&amp;"x")-1)),--("0"&amp;MID(TRIM(MID(SUBSTITUTE(SUBSTITUTE(SUBSTITUTE(SUBSTITUTE(SUBSTITUTE(LOWER(Registro!$G589),"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",LEN(Registro!$G589))),({1,2,3,4,5,6,7,8,9,10,11,12,13,14,15,16,17,18,19,20,21,22,23,24,25,26,27,28,29,30}-1)*LEN(Registro!$G589)+1,LEN(Registro!$G589))),FIND("x",TRIM(MID(SUBSTITUTE(SUBSTITUTE(SUBSTITUTE(SUBSTITUTE(SUBSTITUTE(LOWER(Registro!$G589),"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",LEN(Registro!$G589))),({1,2,3,4,5,6,7,8,9,10,11,12,13,14,15,16,17,18,19,20,21,22,23,24,25,26,27,28,29,30}-1)*LEN(Registro!$G589)+1,LEN(Registro!$G589)))&amp;"x")+1,20))),"Revisar formato")))</f>
        <v/>
      </c>
      <c r="J589" s="9" t="str">
        <f>IF(AND(Registro!$E589="",Registro!$G589=""),"",IF(NOT(AND(ISNUMBER(I589),ISNUMBER(Registro!$H589))),"",IF(I589&lt;Registro!$H589,"FALTA BOLETOS",IF(I589=Registro!$H589,"CONFORME","DIFERENCIA"))))</f>
        <v/>
      </c>
      <c r="K589" s="11" t="str">
        <f>IF(Registro!$I589="","",IFERROR(SUMPRODUCT(--("0"&amp;TRIM(RIGHT(SUBSTITUTE(TRIM(MID(SUBSTITUTE(SUBSTITUTE(Registro!$I589,";",CHAR(10)),CHAR(10),REPT(" ",LEN(Registro!$I589))),({1,2,3,4,5,6,7,8,9,10,11,12,13,14,15,16,17,18,19,20,21,22,23,24,25,26,27,28,29,30}-1)*LEN(Registro!$I589)+1,LEN(Registro!$I589)))," ",REPT(" ",50)),50)))),"Revisar formato"))</f>
        <v/>
      </c>
      <c r="L589" s="11" t="str">
        <f>IF(Registro!$J589="","",IFERROR(SUMPRODUCT(--("0"&amp;TRIM(RIGHT(SUBSTITUTE(TRIM(MID(SUBSTITUTE(SUBSTITUTE(Registro!$J589,";",CHAR(10)),CHAR(10),REPT(" ",LEN(Registro!$J589))),({1,2,3,4,5,6,7,8,9,10,11,12,13,14,15,16,17,18,19,20,21,22,23,24,25,26,27,28,29,30}-1)*LEN(Registro!$J589)+1,LEN(Registro!$J589)))," ",REPT(" ",50)),50)))),"Revisar formato"))</f>
        <v/>
      </c>
      <c r="M589" s="11" t="str">
        <f>IF(AND(Registro!$H589="",Registro!$I589=""),"",IF(AND(ISTEXT(K589),K589&lt;&gt;""),"Revisar formato",N(Registro!$H589)-N(K589)))</f>
        <v/>
      </c>
      <c r="N589" s="11" t="str">
        <f t="shared" si="29"/>
        <v/>
      </c>
      <c r="O589" s="15" t="str">
        <f>IF(AND(A589=Consulta!$B$3,C589=Consulta!$H$3),B589*10000+ROW(),"")</f>
        <v/>
      </c>
    </row>
    <row r="590" spans="1:15" x14ac:dyDescent="0.25">
      <c r="A590" s="9" t="str">
        <f>IF(Registro!$A590="","",Registro!$A590)</f>
        <v/>
      </c>
      <c r="B590" s="8" t="str">
        <f>IF(Registro!$B590="","",Registro!$B590)</f>
        <v/>
      </c>
      <c r="C590" s="14" t="str">
        <f t="shared" si="27"/>
        <v/>
      </c>
      <c r="D590" s="10" t="str">
        <f>IF(Registro!$E590="","",IF(ISERROR(FIND("x",LOWER(Registro!$E590))),"-",IFERROR(SUMPRODUCT(--("0"&amp;LEFT(TRIM(MID(SUBSTITUTE(SUBSTITUTE(SUBSTITUTE(SUBSTITUTE(SUBSTITUTE(LOWER(Registro!$E590),"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",LEN(Registro!$E590))),({1,2,3,4,5,6,7,8,9,10,11,12,13,14,15,16,17,18,19,20,21,22,23,24,25,26,27,28,29,30}-1)*LEN(Registro!$E590)+1,LEN(Registro!$E590)))&amp;"x")-1))),"Revisar formato")))</f>
        <v/>
      </c>
      <c r="E590" s="11" t="str">
        <f>IF(Registro!$E590="","",IF(ISERROR(FIND("x",LOWER(Registro!$E590))),"-",IFERROR(SUMPRODUCT(--("0"&amp;LEFT(TRIM(MID(SUBSTITUTE(SUBSTITUTE(SUBSTITUTE(SUBSTITUTE(SUBSTITUTE(LOWER(Registro!$E590),"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",LEN(Registro!$E590))),({1,2,3,4,5,6,7,8,9,10,11,12,13,14,15,16,17,18,19,20,21,22,23,24,25,26,27,28,29,30}-1)*LEN(Registro!$E590)+1,LEN(Registro!$E590)))&amp;"x")-1)),--("0"&amp;MID(TRIM(MID(SUBSTITUTE(SUBSTITUTE(SUBSTITUTE(SUBSTITUTE(SUBSTITUTE(LOWER(Registro!$E590),"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",LEN(Registro!$E590))),({1,2,3,4,5,6,7,8,9,10,11,12,13,14,15,16,17,18,19,20,21,22,23,24,25,26,27,28,29,30}-1)*LEN(Registro!$E590)+1,LEN(Registro!$E590)))&amp;"x")+1,20))),"Revisar formato")))</f>
        <v/>
      </c>
      <c r="F590" s="11" t="str">
        <f>IF(Registro!$F590="","",N(Registro!$F590))</f>
        <v/>
      </c>
      <c r="G590" s="11" t="str">
        <f t="shared" si="28"/>
        <v/>
      </c>
      <c r="H590" s="10" t="str">
        <f>IF(Registro!$G590="","",IF(ISERROR(FIND("x",LOWER(Registro!$G590))),"-",IFERROR(SUMPRODUCT(--("0"&amp;LEFT(TRIM(MID(SUBSTITUTE(SUBSTITUTE(SUBSTITUTE(SUBSTITUTE(SUBSTITUTE(LOWER(Registro!$G590),"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",LEN(Registro!$G590))),({1,2,3,4,5,6,7,8,9,10,11,12,13,14,15,16,17,18,19,20,21,22,23,24,25,26,27,28,29,30}-1)*LEN(Registro!$G590)+1,LEN(Registro!$G590))),FIND("x",TRIM(MID(SUBSTITUTE(SUBSTITUTE(SUBSTITUTE(SUBSTITUTE(SUBSTITUTE(LOWER(Registro!$G590),"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",LEN(Registro!$G590))),({1,2,3,4,5,6,7,8,9,10,11,12,13,14,15,16,17,18,19,20,21,22,23,24,25,26,27,28,29,30}-1)*LEN(Registro!$G590)+1,LEN(Registro!$G590)))&amp;"x")-1))),"Revisar formato")))</f>
        <v/>
      </c>
      <c r="I590" s="11" t="str">
        <f>IF(Registro!$G590="","",IF(ISERROR(FIND("x",LOWER(Registro!$G590))),N(Registro!$H590),IFERROR(SUMPRODUCT(--("0"&amp;LEFT(TRIM(MID(SUBSTITUTE(SUBSTITUTE(SUBSTITUTE(SUBSTITUTE(SUBSTITUTE(LOWER(Registro!$G590),"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",LEN(Registro!$G590))),({1,2,3,4,5,6,7,8,9,10,11,12,13,14,15,16,17,18,19,20,21,22,23,24,25,26,27,28,29,30}-1)*LEN(Registro!$G590)+1,LEN(Registro!$G590))),FIND("x",TRIM(MID(SUBSTITUTE(SUBSTITUTE(SUBSTITUTE(SUBSTITUTE(SUBSTITUTE(LOWER(Registro!$G590),"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",LEN(Registro!$G590))),({1,2,3,4,5,6,7,8,9,10,11,12,13,14,15,16,17,18,19,20,21,22,23,24,25,26,27,28,29,30}-1)*LEN(Registro!$G590)+1,LEN(Registro!$G590)))&amp;"x")-1)),--("0"&amp;MID(TRIM(MID(SUBSTITUTE(SUBSTITUTE(SUBSTITUTE(SUBSTITUTE(SUBSTITUTE(LOWER(Registro!$G590),"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",LEN(Registro!$G590))),({1,2,3,4,5,6,7,8,9,10,11,12,13,14,15,16,17,18,19,20,21,22,23,24,25,26,27,28,29,30}-1)*LEN(Registro!$G590)+1,LEN(Registro!$G590))),FIND("x",TRIM(MID(SUBSTITUTE(SUBSTITUTE(SUBSTITUTE(SUBSTITUTE(SUBSTITUTE(LOWER(Registro!$G590),"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",LEN(Registro!$G590))),({1,2,3,4,5,6,7,8,9,10,11,12,13,14,15,16,17,18,19,20,21,22,23,24,25,26,27,28,29,30}-1)*LEN(Registro!$G590)+1,LEN(Registro!$G590)))&amp;"x")+1,20))),"Revisar formato")))</f>
        <v/>
      </c>
      <c r="J590" s="9" t="str">
        <f>IF(AND(Registro!$E590="",Registro!$G590=""),"",IF(NOT(AND(ISNUMBER(I590),ISNUMBER(Registro!$H590))),"",IF(I590&lt;Registro!$H590,"FALTA BOLETOS",IF(I590=Registro!$H590,"CONFORME","DIFERENCIA"))))</f>
        <v/>
      </c>
      <c r="K590" s="11" t="str">
        <f>IF(Registro!$I590="","",IFERROR(SUMPRODUCT(--("0"&amp;TRIM(RIGHT(SUBSTITUTE(TRIM(MID(SUBSTITUTE(SUBSTITUTE(Registro!$I590,";",CHAR(10)),CHAR(10),REPT(" ",LEN(Registro!$I590))),({1,2,3,4,5,6,7,8,9,10,11,12,13,14,15,16,17,18,19,20,21,22,23,24,25,26,27,28,29,30}-1)*LEN(Registro!$I590)+1,LEN(Registro!$I590)))," ",REPT(" ",50)),50)))),"Revisar formato"))</f>
        <v/>
      </c>
      <c r="L590" s="11" t="str">
        <f>IF(Registro!$J590="","",IFERROR(SUMPRODUCT(--("0"&amp;TRIM(RIGHT(SUBSTITUTE(TRIM(MID(SUBSTITUTE(SUBSTITUTE(Registro!$J590,";",CHAR(10)),CHAR(10),REPT(" ",LEN(Registro!$J590))),({1,2,3,4,5,6,7,8,9,10,11,12,13,14,15,16,17,18,19,20,21,22,23,24,25,26,27,28,29,30}-1)*LEN(Registro!$J590)+1,LEN(Registro!$J590)))," ",REPT(" ",50)),50)))),"Revisar formato"))</f>
        <v/>
      </c>
      <c r="M590" s="11" t="str">
        <f>IF(AND(Registro!$H590="",Registro!$I590=""),"",IF(AND(ISTEXT(K590),K590&lt;&gt;""),"Revisar formato",N(Registro!$H590)-N(K590)))</f>
        <v/>
      </c>
      <c r="N590" s="11" t="str">
        <f t="shared" si="29"/>
        <v/>
      </c>
      <c r="O590" s="15" t="str">
        <f>IF(AND(A590=Consulta!$B$3,C590=Consulta!$H$3),B590*10000+ROW(),"")</f>
        <v/>
      </c>
    </row>
    <row r="591" spans="1:15" x14ac:dyDescent="0.25">
      <c r="A591" s="9" t="str">
        <f>IF(Registro!$A591="","",Registro!$A591)</f>
        <v/>
      </c>
      <c r="B591" s="8" t="str">
        <f>IF(Registro!$B591="","",Registro!$B591)</f>
        <v/>
      </c>
      <c r="C591" s="14" t="str">
        <f t="shared" si="27"/>
        <v/>
      </c>
      <c r="D591" s="10" t="str">
        <f>IF(Registro!$E591="","",IF(ISERROR(FIND("x",LOWER(Registro!$E591))),"-",IFERROR(SUMPRODUCT(--("0"&amp;LEFT(TRIM(MID(SUBSTITUTE(SUBSTITUTE(SUBSTITUTE(SUBSTITUTE(SUBSTITUTE(LOWER(Registro!$E591),"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",LEN(Registro!$E591))),({1,2,3,4,5,6,7,8,9,10,11,12,13,14,15,16,17,18,19,20,21,22,23,24,25,26,27,28,29,30}-1)*LEN(Registro!$E591)+1,LEN(Registro!$E591)))&amp;"x")-1))),"Revisar formato")))</f>
        <v/>
      </c>
      <c r="E591" s="11" t="str">
        <f>IF(Registro!$E591="","",IF(ISERROR(FIND("x",LOWER(Registro!$E591))),"-",IFERROR(SUMPRODUCT(--("0"&amp;LEFT(TRIM(MID(SUBSTITUTE(SUBSTITUTE(SUBSTITUTE(SUBSTITUTE(SUBSTITUTE(LOWER(Registro!$E591),"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",LEN(Registro!$E591))),({1,2,3,4,5,6,7,8,9,10,11,12,13,14,15,16,17,18,19,20,21,22,23,24,25,26,27,28,29,30}-1)*LEN(Registro!$E591)+1,LEN(Registro!$E591)))&amp;"x")-1)),--("0"&amp;MID(TRIM(MID(SUBSTITUTE(SUBSTITUTE(SUBSTITUTE(SUBSTITUTE(SUBSTITUTE(LOWER(Registro!$E591),"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",LEN(Registro!$E591))),({1,2,3,4,5,6,7,8,9,10,11,12,13,14,15,16,17,18,19,20,21,22,23,24,25,26,27,28,29,30}-1)*LEN(Registro!$E591)+1,LEN(Registro!$E591)))&amp;"x")+1,20))),"Revisar formato")))</f>
        <v/>
      </c>
      <c r="F591" s="11" t="str">
        <f>IF(Registro!$F591="","",N(Registro!$F591))</f>
        <v/>
      </c>
      <c r="G591" s="11" t="str">
        <f t="shared" si="28"/>
        <v/>
      </c>
      <c r="H591" s="10" t="str">
        <f>IF(Registro!$G591="","",IF(ISERROR(FIND("x",LOWER(Registro!$G591))),"-",IFERROR(SUMPRODUCT(--("0"&amp;LEFT(TRIM(MID(SUBSTITUTE(SUBSTITUTE(SUBSTITUTE(SUBSTITUTE(SUBSTITUTE(LOWER(Registro!$G591),"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",LEN(Registro!$G591))),({1,2,3,4,5,6,7,8,9,10,11,12,13,14,15,16,17,18,19,20,21,22,23,24,25,26,27,28,29,30}-1)*LEN(Registro!$G591)+1,LEN(Registro!$G591))),FIND("x",TRIM(MID(SUBSTITUTE(SUBSTITUTE(SUBSTITUTE(SUBSTITUTE(SUBSTITUTE(LOWER(Registro!$G591),"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",LEN(Registro!$G591))),({1,2,3,4,5,6,7,8,9,10,11,12,13,14,15,16,17,18,19,20,21,22,23,24,25,26,27,28,29,30}-1)*LEN(Registro!$G591)+1,LEN(Registro!$G591)))&amp;"x")-1))),"Revisar formato")))</f>
        <v/>
      </c>
      <c r="I591" s="11" t="str">
        <f>IF(Registro!$G591="","",IF(ISERROR(FIND("x",LOWER(Registro!$G591))),N(Registro!$H591),IFERROR(SUMPRODUCT(--("0"&amp;LEFT(TRIM(MID(SUBSTITUTE(SUBSTITUTE(SUBSTITUTE(SUBSTITUTE(SUBSTITUTE(LOWER(Registro!$G591),"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",LEN(Registro!$G591))),({1,2,3,4,5,6,7,8,9,10,11,12,13,14,15,16,17,18,19,20,21,22,23,24,25,26,27,28,29,30}-1)*LEN(Registro!$G591)+1,LEN(Registro!$G591))),FIND("x",TRIM(MID(SUBSTITUTE(SUBSTITUTE(SUBSTITUTE(SUBSTITUTE(SUBSTITUTE(LOWER(Registro!$G591),"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",LEN(Registro!$G591))),({1,2,3,4,5,6,7,8,9,10,11,12,13,14,15,16,17,18,19,20,21,22,23,24,25,26,27,28,29,30}-1)*LEN(Registro!$G591)+1,LEN(Registro!$G591)))&amp;"x")-1)),--("0"&amp;MID(TRIM(MID(SUBSTITUTE(SUBSTITUTE(SUBSTITUTE(SUBSTITUTE(SUBSTITUTE(LOWER(Registro!$G591),"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",LEN(Registro!$G591))),({1,2,3,4,5,6,7,8,9,10,11,12,13,14,15,16,17,18,19,20,21,22,23,24,25,26,27,28,29,30}-1)*LEN(Registro!$G591)+1,LEN(Registro!$G591))),FIND("x",TRIM(MID(SUBSTITUTE(SUBSTITUTE(SUBSTITUTE(SUBSTITUTE(SUBSTITUTE(LOWER(Registro!$G591),"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",LEN(Registro!$G591))),({1,2,3,4,5,6,7,8,9,10,11,12,13,14,15,16,17,18,19,20,21,22,23,24,25,26,27,28,29,30}-1)*LEN(Registro!$G591)+1,LEN(Registro!$G591)))&amp;"x")+1,20))),"Revisar formato")))</f>
        <v/>
      </c>
      <c r="J591" s="9" t="str">
        <f>IF(AND(Registro!$E591="",Registro!$G591=""),"",IF(NOT(AND(ISNUMBER(I591),ISNUMBER(Registro!$H591))),"",IF(I591&lt;Registro!$H591,"FALTA BOLETOS",IF(I591=Registro!$H591,"CONFORME","DIFERENCIA"))))</f>
        <v/>
      </c>
      <c r="K591" s="11" t="str">
        <f>IF(Registro!$I591="","",IFERROR(SUMPRODUCT(--("0"&amp;TRIM(RIGHT(SUBSTITUTE(TRIM(MID(SUBSTITUTE(SUBSTITUTE(Registro!$I591,";",CHAR(10)),CHAR(10),REPT(" ",LEN(Registro!$I591))),({1,2,3,4,5,6,7,8,9,10,11,12,13,14,15,16,17,18,19,20,21,22,23,24,25,26,27,28,29,30}-1)*LEN(Registro!$I591)+1,LEN(Registro!$I591)))," ",REPT(" ",50)),50)))),"Revisar formato"))</f>
        <v/>
      </c>
      <c r="L591" s="11" t="str">
        <f>IF(Registro!$J591="","",IFERROR(SUMPRODUCT(--("0"&amp;TRIM(RIGHT(SUBSTITUTE(TRIM(MID(SUBSTITUTE(SUBSTITUTE(Registro!$J591,";",CHAR(10)),CHAR(10),REPT(" ",LEN(Registro!$J591))),({1,2,3,4,5,6,7,8,9,10,11,12,13,14,15,16,17,18,19,20,21,22,23,24,25,26,27,28,29,30}-1)*LEN(Registro!$J591)+1,LEN(Registro!$J591)))," ",REPT(" ",50)),50)))),"Revisar formato"))</f>
        <v/>
      </c>
      <c r="M591" s="11" t="str">
        <f>IF(AND(Registro!$H591="",Registro!$I591=""),"",IF(AND(ISTEXT(K591),K591&lt;&gt;""),"Revisar formato",N(Registro!$H591)-N(K591)))</f>
        <v/>
      </c>
      <c r="N591" s="11" t="str">
        <f t="shared" si="29"/>
        <v/>
      </c>
      <c r="O591" s="15" t="str">
        <f>IF(AND(A591=Consulta!$B$3,C591=Consulta!$H$3),B591*10000+ROW(),"")</f>
        <v/>
      </c>
    </row>
    <row r="592" spans="1:15" x14ac:dyDescent="0.25">
      <c r="A592" s="9" t="str">
        <f>IF(Registro!$A592="","",Registro!$A592)</f>
        <v/>
      </c>
      <c r="B592" s="8" t="str">
        <f>IF(Registro!$B592="","",Registro!$B592)</f>
        <v/>
      </c>
      <c r="C592" s="14" t="str">
        <f t="shared" si="27"/>
        <v/>
      </c>
      <c r="D592" s="10" t="str">
        <f>IF(Registro!$E592="","",IF(ISERROR(FIND("x",LOWER(Registro!$E592))),"-",IFERROR(SUMPRODUCT(--("0"&amp;LEFT(TRIM(MID(SUBSTITUTE(SUBSTITUTE(SUBSTITUTE(SUBSTITUTE(SUBSTITUTE(LOWER(Registro!$E592),"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",LEN(Registro!$E592))),({1,2,3,4,5,6,7,8,9,10,11,12,13,14,15,16,17,18,19,20,21,22,23,24,25,26,27,28,29,30}-1)*LEN(Registro!$E592)+1,LEN(Registro!$E592)))&amp;"x")-1))),"Revisar formato")))</f>
        <v/>
      </c>
      <c r="E592" s="11" t="str">
        <f>IF(Registro!$E592="","",IF(ISERROR(FIND("x",LOWER(Registro!$E592))),"-",IFERROR(SUMPRODUCT(--("0"&amp;LEFT(TRIM(MID(SUBSTITUTE(SUBSTITUTE(SUBSTITUTE(SUBSTITUTE(SUBSTITUTE(LOWER(Registro!$E592),"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",LEN(Registro!$E592))),({1,2,3,4,5,6,7,8,9,10,11,12,13,14,15,16,17,18,19,20,21,22,23,24,25,26,27,28,29,30}-1)*LEN(Registro!$E592)+1,LEN(Registro!$E592)))&amp;"x")-1)),--("0"&amp;MID(TRIM(MID(SUBSTITUTE(SUBSTITUTE(SUBSTITUTE(SUBSTITUTE(SUBSTITUTE(LOWER(Registro!$E592),"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",LEN(Registro!$E592))),({1,2,3,4,5,6,7,8,9,10,11,12,13,14,15,16,17,18,19,20,21,22,23,24,25,26,27,28,29,30}-1)*LEN(Registro!$E592)+1,LEN(Registro!$E592)))&amp;"x")+1,20))),"Revisar formato")))</f>
        <v/>
      </c>
      <c r="F592" s="11" t="str">
        <f>IF(Registro!$F592="","",N(Registro!$F592))</f>
        <v/>
      </c>
      <c r="G592" s="11" t="str">
        <f t="shared" si="28"/>
        <v/>
      </c>
      <c r="H592" s="10" t="str">
        <f>IF(Registro!$G592="","",IF(ISERROR(FIND("x",LOWER(Registro!$G592))),"-",IFERROR(SUMPRODUCT(--("0"&amp;LEFT(TRIM(MID(SUBSTITUTE(SUBSTITUTE(SUBSTITUTE(SUBSTITUTE(SUBSTITUTE(LOWER(Registro!$G592),"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",LEN(Registro!$G592))),({1,2,3,4,5,6,7,8,9,10,11,12,13,14,15,16,17,18,19,20,21,22,23,24,25,26,27,28,29,30}-1)*LEN(Registro!$G592)+1,LEN(Registro!$G592))),FIND("x",TRIM(MID(SUBSTITUTE(SUBSTITUTE(SUBSTITUTE(SUBSTITUTE(SUBSTITUTE(LOWER(Registro!$G592),"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",LEN(Registro!$G592))),({1,2,3,4,5,6,7,8,9,10,11,12,13,14,15,16,17,18,19,20,21,22,23,24,25,26,27,28,29,30}-1)*LEN(Registro!$G592)+1,LEN(Registro!$G592)))&amp;"x")-1))),"Revisar formato")))</f>
        <v/>
      </c>
      <c r="I592" s="11" t="str">
        <f>IF(Registro!$G592="","",IF(ISERROR(FIND("x",LOWER(Registro!$G592))),N(Registro!$H592),IFERROR(SUMPRODUCT(--("0"&amp;LEFT(TRIM(MID(SUBSTITUTE(SUBSTITUTE(SUBSTITUTE(SUBSTITUTE(SUBSTITUTE(LOWER(Registro!$G592),"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",LEN(Registro!$G592))),({1,2,3,4,5,6,7,8,9,10,11,12,13,14,15,16,17,18,19,20,21,22,23,24,25,26,27,28,29,30}-1)*LEN(Registro!$G592)+1,LEN(Registro!$G592))),FIND("x",TRIM(MID(SUBSTITUTE(SUBSTITUTE(SUBSTITUTE(SUBSTITUTE(SUBSTITUTE(LOWER(Registro!$G592),"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",LEN(Registro!$G592))),({1,2,3,4,5,6,7,8,9,10,11,12,13,14,15,16,17,18,19,20,21,22,23,24,25,26,27,28,29,30}-1)*LEN(Registro!$G592)+1,LEN(Registro!$G592)))&amp;"x")-1)),--("0"&amp;MID(TRIM(MID(SUBSTITUTE(SUBSTITUTE(SUBSTITUTE(SUBSTITUTE(SUBSTITUTE(LOWER(Registro!$G592),"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",LEN(Registro!$G592))),({1,2,3,4,5,6,7,8,9,10,11,12,13,14,15,16,17,18,19,20,21,22,23,24,25,26,27,28,29,30}-1)*LEN(Registro!$G592)+1,LEN(Registro!$G592))),FIND("x",TRIM(MID(SUBSTITUTE(SUBSTITUTE(SUBSTITUTE(SUBSTITUTE(SUBSTITUTE(LOWER(Registro!$G592),"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",LEN(Registro!$G592))),({1,2,3,4,5,6,7,8,9,10,11,12,13,14,15,16,17,18,19,20,21,22,23,24,25,26,27,28,29,30}-1)*LEN(Registro!$G592)+1,LEN(Registro!$G592)))&amp;"x")+1,20))),"Revisar formato")))</f>
        <v/>
      </c>
      <c r="J592" s="9" t="str">
        <f>IF(AND(Registro!$E592="",Registro!$G592=""),"",IF(NOT(AND(ISNUMBER(I592),ISNUMBER(Registro!$H592))),"",IF(I592&lt;Registro!$H592,"FALTA BOLETOS",IF(I592=Registro!$H592,"CONFORME","DIFERENCIA"))))</f>
        <v/>
      </c>
      <c r="K592" s="11" t="str">
        <f>IF(Registro!$I592="","",IFERROR(SUMPRODUCT(--("0"&amp;TRIM(RIGHT(SUBSTITUTE(TRIM(MID(SUBSTITUTE(SUBSTITUTE(Registro!$I592,";",CHAR(10)),CHAR(10),REPT(" ",LEN(Registro!$I592))),({1,2,3,4,5,6,7,8,9,10,11,12,13,14,15,16,17,18,19,20,21,22,23,24,25,26,27,28,29,30}-1)*LEN(Registro!$I592)+1,LEN(Registro!$I592)))," ",REPT(" ",50)),50)))),"Revisar formato"))</f>
        <v/>
      </c>
      <c r="L592" s="11" t="str">
        <f>IF(Registro!$J592="","",IFERROR(SUMPRODUCT(--("0"&amp;TRIM(RIGHT(SUBSTITUTE(TRIM(MID(SUBSTITUTE(SUBSTITUTE(Registro!$J592,";",CHAR(10)),CHAR(10),REPT(" ",LEN(Registro!$J592))),({1,2,3,4,5,6,7,8,9,10,11,12,13,14,15,16,17,18,19,20,21,22,23,24,25,26,27,28,29,30}-1)*LEN(Registro!$J592)+1,LEN(Registro!$J592)))," ",REPT(" ",50)),50)))),"Revisar formato"))</f>
        <v/>
      </c>
      <c r="M592" s="11" t="str">
        <f>IF(AND(Registro!$H592="",Registro!$I592=""),"",IF(AND(ISTEXT(K592),K592&lt;&gt;""),"Revisar formato",N(Registro!$H592)-N(K592)))</f>
        <v/>
      </c>
      <c r="N592" s="11" t="str">
        <f t="shared" si="29"/>
        <v/>
      </c>
      <c r="O592" s="15" t="str">
        <f>IF(AND(A592=Consulta!$B$3,C592=Consulta!$H$3),B592*10000+ROW(),"")</f>
        <v/>
      </c>
    </row>
    <row r="593" spans="1:15" x14ac:dyDescent="0.25">
      <c r="A593" s="9" t="str">
        <f>IF(Registro!$A593="","",Registro!$A593)</f>
        <v/>
      </c>
      <c r="B593" s="8" t="str">
        <f>IF(Registro!$B593="","",Registro!$B593)</f>
        <v/>
      </c>
      <c r="C593" s="14" t="str">
        <f t="shared" si="27"/>
        <v/>
      </c>
      <c r="D593" s="10" t="str">
        <f>IF(Registro!$E593="","",IF(ISERROR(FIND("x",LOWER(Registro!$E593))),"-",IFERROR(SUMPRODUCT(--("0"&amp;LEFT(TRIM(MID(SUBSTITUTE(SUBSTITUTE(SUBSTITUTE(SUBSTITUTE(SUBSTITUTE(LOWER(Registro!$E593),"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",LEN(Registro!$E593))),({1,2,3,4,5,6,7,8,9,10,11,12,13,14,15,16,17,18,19,20,21,22,23,24,25,26,27,28,29,30}-1)*LEN(Registro!$E593)+1,LEN(Registro!$E593)))&amp;"x")-1))),"Revisar formato")))</f>
        <v/>
      </c>
      <c r="E593" s="11" t="str">
        <f>IF(Registro!$E593="","",IF(ISERROR(FIND("x",LOWER(Registro!$E593))),"-",IFERROR(SUMPRODUCT(--("0"&amp;LEFT(TRIM(MID(SUBSTITUTE(SUBSTITUTE(SUBSTITUTE(SUBSTITUTE(SUBSTITUTE(LOWER(Registro!$E593),"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",LEN(Registro!$E593))),({1,2,3,4,5,6,7,8,9,10,11,12,13,14,15,16,17,18,19,20,21,22,23,24,25,26,27,28,29,30}-1)*LEN(Registro!$E593)+1,LEN(Registro!$E593)))&amp;"x")-1)),--("0"&amp;MID(TRIM(MID(SUBSTITUTE(SUBSTITUTE(SUBSTITUTE(SUBSTITUTE(SUBSTITUTE(LOWER(Registro!$E593),"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",LEN(Registro!$E593))),({1,2,3,4,5,6,7,8,9,10,11,12,13,14,15,16,17,18,19,20,21,22,23,24,25,26,27,28,29,30}-1)*LEN(Registro!$E593)+1,LEN(Registro!$E593)))&amp;"x")+1,20))),"Revisar formato")))</f>
        <v/>
      </c>
      <c r="F593" s="11" t="str">
        <f>IF(Registro!$F593="","",N(Registro!$F593))</f>
        <v/>
      </c>
      <c r="G593" s="11" t="str">
        <f t="shared" si="28"/>
        <v/>
      </c>
      <c r="H593" s="10" t="str">
        <f>IF(Registro!$G593="","",IF(ISERROR(FIND("x",LOWER(Registro!$G593))),"-",IFERROR(SUMPRODUCT(--("0"&amp;LEFT(TRIM(MID(SUBSTITUTE(SUBSTITUTE(SUBSTITUTE(SUBSTITUTE(SUBSTITUTE(LOWER(Registro!$G593),"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",LEN(Registro!$G593))),({1,2,3,4,5,6,7,8,9,10,11,12,13,14,15,16,17,18,19,20,21,22,23,24,25,26,27,28,29,30}-1)*LEN(Registro!$G593)+1,LEN(Registro!$G593))),FIND("x",TRIM(MID(SUBSTITUTE(SUBSTITUTE(SUBSTITUTE(SUBSTITUTE(SUBSTITUTE(LOWER(Registro!$G593),"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",LEN(Registro!$G593))),({1,2,3,4,5,6,7,8,9,10,11,12,13,14,15,16,17,18,19,20,21,22,23,24,25,26,27,28,29,30}-1)*LEN(Registro!$G593)+1,LEN(Registro!$G593)))&amp;"x")-1))),"Revisar formato")))</f>
        <v/>
      </c>
      <c r="I593" s="11" t="str">
        <f>IF(Registro!$G593="","",IF(ISERROR(FIND("x",LOWER(Registro!$G593))),N(Registro!$H593),IFERROR(SUMPRODUCT(--("0"&amp;LEFT(TRIM(MID(SUBSTITUTE(SUBSTITUTE(SUBSTITUTE(SUBSTITUTE(SUBSTITUTE(LOWER(Registro!$G593),"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",LEN(Registro!$G593))),({1,2,3,4,5,6,7,8,9,10,11,12,13,14,15,16,17,18,19,20,21,22,23,24,25,26,27,28,29,30}-1)*LEN(Registro!$G593)+1,LEN(Registro!$G593))),FIND("x",TRIM(MID(SUBSTITUTE(SUBSTITUTE(SUBSTITUTE(SUBSTITUTE(SUBSTITUTE(LOWER(Registro!$G593),"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",LEN(Registro!$G593))),({1,2,3,4,5,6,7,8,9,10,11,12,13,14,15,16,17,18,19,20,21,22,23,24,25,26,27,28,29,30}-1)*LEN(Registro!$G593)+1,LEN(Registro!$G593)))&amp;"x")-1)),--("0"&amp;MID(TRIM(MID(SUBSTITUTE(SUBSTITUTE(SUBSTITUTE(SUBSTITUTE(SUBSTITUTE(LOWER(Registro!$G593),"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",LEN(Registro!$G593))),({1,2,3,4,5,6,7,8,9,10,11,12,13,14,15,16,17,18,19,20,21,22,23,24,25,26,27,28,29,30}-1)*LEN(Registro!$G593)+1,LEN(Registro!$G593))),FIND("x",TRIM(MID(SUBSTITUTE(SUBSTITUTE(SUBSTITUTE(SUBSTITUTE(SUBSTITUTE(LOWER(Registro!$G593),"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",LEN(Registro!$G593))),({1,2,3,4,5,6,7,8,9,10,11,12,13,14,15,16,17,18,19,20,21,22,23,24,25,26,27,28,29,30}-1)*LEN(Registro!$G593)+1,LEN(Registro!$G593)))&amp;"x")+1,20))),"Revisar formato")))</f>
        <v/>
      </c>
      <c r="J593" s="9" t="str">
        <f>IF(AND(Registro!$E593="",Registro!$G593=""),"",IF(NOT(AND(ISNUMBER(I593),ISNUMBER(Registro!$H593))),"",IF(I593&lt;Registro!$H593,"FALTA BOLETOS",IF(I593=Registro!$H593,"CONFORME","DIFERENCIA"))))</f>
        <v/>
      </c>
      <c r="K593" s="11" t="str">
        <f>IF(Registro!$I593="","",IFERROR(SUMPRODUCT(--("0"&amp;TRIM(RIGHT(SUBSTITUTE(TRIM(MID(SUBSTITUTE(SUBSTITUTE(Registro!$I593,";",CHAR(10)),CHAR(10),REPT(" ",LEN(Registro!$I593))),({1,2,3,4,5,6,7,8,9,10,11,12,13,14,15,16,17,18,19,20,21,22,23,24,25,26,27,28,29,30}-1)*LEN(Registro!$I593)+1,LEN(Registro!$I593)))," ",REPT(" ",50)),50)))),"Revisar formato"))</f>
        <v/>
      </c>
      <c r="L593" s="11" t="str">
        <f>IF(Registro!$J593="","",IFERROR(SUMPRODUCT(--("0"&amp;TRIM(RIGHT(SUBSTITUTE(TRIM(MID(SUBSTITUTE(SUBSTITUTE(Registro!$J593,";",CHAR(10)),CHAR(10),REPT(" ",LEN(Registro!$J593))),({1,2,3,4,5,6,7,8,9,10,11,12,13,14,15,16,17,18,19,20,21,22,23,24,25,26,27,28,29,30}-1)*LEN(Registro!$J593)+1,LEN(Registro!$J593)))," ",REPT(" ",50)),50)))),"Revisar formato"))</f>
        <v/>
      </c>
      <c r="M593" s="11" t="str">
        <f>IF(AND(Registro!$H593="",Registro!$I593=""),"",IF(AND(ISTEXT(K593),K593&lt;&gt;""),"Revisar formato",N(Registro!$H593)-N(K593)))</f>
        <v/>
      </c>
      <c r="N593" s="11" t="str">
        <f t="shared" si="29"/>
        <v/>
      </c>
      <c r="O593" s="15" t="str">
        <f>IF(AND(A593=Consulta!$B$3,C593=Consulta!$H$3),B593*10000+ROW(),"")</f>
        <v/>
      </c>
    </row>
    <row r="594" spans="1:15" x14ac:dyDescent="0.25">
      <c r="A594" s="9" t="str">
        <f>IF(Registro!$A594="","",Registro!$A594)</f>
        <v/>
      </c>
      <c r="B594" s="8" t="str">
        <f>IF(Registro!$B594="","",Registro!$B594)</f>
        <v/>
      </c>
      <c r="C594" s="14" t="str">
        <f t="shared" si="27"/>
        <v/>
      </c>
      <c r="D594" s="10" t="str">
        <f>IF(Registro!$E594="","",IF(ISERROR(FIND("x",LOWER(Registro!$E594))),"-",IFERROR(SUMPRODUCT(--("0"&amp;LEFT(TRIM(MID(SUBSTITUTE(SUBSTITUTE(SUBSTITUTE(SUBSTITUTE(SUBSTITUTE(LOWER(Registro!$E594),"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",LEN(Registro!$E594))),({1,2,3,4,5,6,7,8,9,10,11,12,13,14,15,16,17,18,19,20,21,22,23,24,25,26,27,28,29,30}-1)*LEN(Registro!$E594)+1,LEN(Registro!$E594)))&amp;"x")-1))),"Revisar formato")))</f>
        <v/>
      </c>
      <c r="E594" s="11" t="str">
        <f>IF(Registro!$E594="","",IF(ISERROR(FIND("x",LOWER(Registro!$E594))),"-",IFERROR(SUMPRODUCT(--("0"&amp;LEFT(TRIM(MID(SUBSTITUTE(SUBSTITUTE(SUBSTITUTE(SUBSTITUTE(SUBSTITUTE(LOWER(Registro!$E594),"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",LEN(Registro!$E594))),({1,2,3,4,5,6,7,8,9,10,11,12,13,14,15,16,17,18,19,20,21,22,23,24,25,26,27,28,29,30}-1)*LEN(Registro!$E594)+1,LEN(Registro!$E594)))&amp;"x")-1)),--("0"&amp;MID(TRIM(MID(SUBSTITUTE(SUBSTITUTE(SUBSTITUTE(SUBSTITUTE(SUBSTITUTE(LOWER(Registro!$E594),"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",LEN(Registro!$E594))),({1,2,3,4,5,6,7,8,9,10,11,12,13,14,15,16,17,18,19,20,21,22,23,24,25,26,27,28,29,30}-1)*LEN(Registro!$E594)+1,LEN(Registro!$E594)))&amp;"x")+1,20))),"Revisar formato")))</f>
        <v/>
      </c>
      <c r="F594" s="11" t="str">
        <f>IF(Registro!$F594="","",N(Registro!$F594))</f>
        <v/>
      </c>
      <c r="G594" s="11" t="str">
        <f t="shared" si="28"/>
        <v/>
      </c>
      <c r="H594" s="10" t="str">
        <f>IF(Registro!$G594="","",IF(ISERROR(FIND("x",LOWER(Registro!$G594))),"-",IFERROR(SUMPRODUCT(--("0"&amp;LEFT(TRIM(MID(SUBSTITUTE(SUBSTITUTE(SUBSTITUTE(SUBSTITUTE(SUBSTITUTE(LOWER(Registro!$G594),"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",LEN(Registro!$G594))),({1,2,3,4,5,6,7,8,9,10,11,12,13,14,15,16,17,18,19,20,21,22,23,24,25,26,27,28,29,30}-1)*LEN(Registro!$G594)+1,LEN(Registro!$G594))),FIND("x",TRIM(MID(SUBSTITUTE(SUBSTITUTE(SUBSTITUTE(SUBSTITUTE(SUBSTITUTE(LOWER(Registro!$G594),"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",LEN(Registro!$G594))),({1,2,3,4,5,6,7,8,9,10,11,12,13,14,15,16,17,18,19,20,21,22,23,24,25,26,27,28,29,30}-1)*LEN(Registro!$G594)+1,LEN(Registro!$G594)))&amp;"x")-1))),"Revisar formato")))</f>
        <v/>
      </c>
      <c r="I594" s="11" t="str">
        <f>IF(Registro!$G594="","",IF(ISERROR(FIND("x",LOWER(Registro!$G594))),N(Registro!$H594),IFERROR(SUMPRODUCT(--("0"&amp;LEFT(TRIM(MID(SUBSTITUTE(SUBSTITUTE(SUBSTITUTE(SUBSTITUTE(SUBSTITUTE(LOWER(Registro!$G594),"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",LEN(Registro!$G594))),({1,2,3,4,5,6,7,8,9,10,11,12,13,14,15,16,17,18,19,20,21,22,23,24,25,26,27,28,29,30}-1)*LEN(Registro!$G594)+1,LEN(Registro!$G594))),FIND("x",TRIM(MID(SUBSTITUTE(SUBSTITUTE(SUBSTITUTE(SUBSTITUTE(SUBSTITUTE(LOWER(Registro!$G594),"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",LEN(Registro!$G594))),({1,2,3,4,5,6,7,8,9,10,11,12,13,14,15,16,17,18,19,20,21,22,23,24,25,26,27,28,29,30}-1)*LEN(Registro!$G594)+1,LEN(Registro!$G594)))&amp;"x")-1)),--("0"&amp;MID(TRIM(MID(SUBSTITUTE(SUBSTITUTE(SUBSTITUTE(SUBSTITUTE(SUBSTITUTE(LOWER(Registro!$G594),"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",LEN(Registro!$G594))),({1,2,3,4,5,6,7,8,9,10,11,12,13,14,15,16,17,18,19,20,21,22,23,24,25,26,27,28,29,30}-1)*LEN(Registro!$G594)+1,LEN(Registro!$G594))),FIND("x",TRIM(MID(SUBSTITUTE(SUBSTITUTE(SUBSTITUTE(SUBSTITUTE(SUBSTITUTE(LOWER(Registro!$G594),"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",LEN(Registro!$G594))),({1,2,3,4,5,6,7,8,9,10,11,12,13,14,15,16,17,18,19,20,21,22,23,24,25,26,27,28,29,30}-1)*LEN(Registro!$G594)+1,LEN(Registro!$G594)))&amp;"x")+1,20))),"Revisar formato")))</f>
        <v/>
      </c>
      <c r="J594" s="9" t="str">
        <f>IF(AND(Registro!$E594="",Registro!$G594=""),"",IF(NOT(AND(ISNUMBER(I594),ISNUMBER(Registro!$H594))),"",IF(I594&lt;Registro!$H594,"FALTA BOLETOS",IF(I594=Registro!$H594,"CONFORME","DIFERENCIA"))))</f>
        <v/>
      </c>
      <c r="K594" s="11" t="str">
        <f>IF(Registro!$I594="","",IFERROR(SUMPRODUCT(--("0"&amp;TRIM(RIGHT(SUBSTITUTE(TRIM(MID(SUBSTITUTE(SUBSTITUTE(Registro!$I594,";",CHAR(10)),CHAR(10),REPT(" ",LEN(Registro!$I594))),({1,2,3,4,5,6,7,8,9,10,11,12,13,14,15,16,17,18,19,20,21,22,23,24,25,26,27,28,29,30}-1)*LEN(Registro!$I594)+1,LEN(Registro!$I594)))," ",REPT(" ",50)),50)))),"Revisar formato"))</f>
        <v/>
      </c>
      <c r="L594" s="11" t="str">
        <f>IF(Registro!$J594="","",IFERROR(SUMPRODUCT(--("0"&amp;TRIM(RIGHT(SUBSTITUTE(TRIM(MID(SUBSTITUTE(SUBSTITUTE(Registro!$J594,";",CHAR(10)),CHAR(10),REPT(" ",LEN(Registro!$J594))),({1,2,3,4,5,6,7,8,9,10,11,12,13,14,15,16,17,18,19,20,21,22,23,24,25,26,27,28,29,30}-1)*LEN(Registro!$J594)+1,LEN(Registro!$J594)))," ",REPT(" ",50)),50)))),"Revisar formato"))</f>
        <v/>
      </c>
      <c r="M594" s="11" t="str">
        <f>IF(AND(Registro!$H594="",Registro!$I594=""),"",IF(AND(ISTEXT(K594),K594&lt;&gt;""),"Revisar formato",N(Registro!$H594)-N(K594)))</f>
        <v/>
      </c>
      <c r="N594" s="11" t="str">
        <f t="shared" si="29"/>
        <v/>
      </c>
      <c r="O594" s="15" t="str">
        <f>IF(AND(A594=Consulta!$B$3,C594=Consulta!$H$3),B594*10000+ROW(),"")</f>
        <v/>
      </c>
    </row>
    <row r="595" spans="1:15" x14ac:dyDescent="0.25">
      <c r="A595" s="9" t="str">
        <f>IF(Registro!$A595="","",Registro!$A595)</f>
        <v/>
      </c>
      <c r="B595" s="8" t="str">
        <f>IF(Registro!$B595="","",Registro!$B595)</f>
        <v/>
      </c>
      <c r="C595" s="14" t="str">
        <f t="shared" si="27"/>
        <v/>
      </c>
      <c r="D595" s="10" t="str">
        <f>IF(Registro!$E595="","",IF(ISERROR(FIND("x",LOWER(Registro!$E595))),"-",IFERROR(SUMPRODUCT(--("0"&amp;LEFT(TRIM(MID(SUBSTITUTE(SUBSTITUTE(SUBSTITUTE(SUBSTITUTE(SUBSTITUTE(LOWER(Registro!$E595),"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",LEN(Registro!$E595))),({1,2,3,4,5,6,7,8,9,10,11,12,13,14,15,16,17,18,19,20,21,22,23,24,25,26,27,28,29,30}-1)*LEN(Registro!$E595)+1,LEN(Registro!$E595)))&amp;"x")-1))),"Revisar formato")))</f>
        <v/>
      </c>
      <c r="E595" s="11" t="str">
        <f>IF(Registro!$E595="","",IF(ISERROR(FIND("x",LOWER(Registro!$E595))),"-",IFERROR(SUMPRODUCT(--("0"&amp;LEFT(TRIM(MID(SUBSTITUTE(SUBSTITUTE(SUBSTITUTE(SUBSTITUTE(SUBSTITUTE(LOWER(Registro!$E595),"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",LEN(Registro!$E595))),({1,2,3,4,5,6,7,8,9,10,11,12,13,14,15,16,17,18,19,20,21,22,23,24,25,26,27,28,29,30}-1)*LEN(Registro!$E595)+1,LEN(Registro!$E595)))&amp;"x")-1)),--("0"&amp;MID(TRIM(MID(SUBSTITUTE(SUBSTITUTE(SUBSTITUTE(SUBSTITUTE(SUBSTITUTE(LOWER(Registro!$E595),"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",LEN(Registro!$E595))),({1,2,3,4,5,6,7,8,9,10,11,12,13,14,15,16,17,18,19,20,21,22,23,24,25,26,27,28,29,30}-1)*LEN(Registro!$E595)+1,LEN(Registro!$E595)))&amp;"x")+1,20))),"Revisar formato")))</f>
        <v/>
      </c>
      <c r="F595" s="11" t="str">
        <f>IF(Registro!$F595="","",N(Registro!$F595))</f>
        <v/>
      </c>
      <c r="G595" s="11" t="str">
        <f t="shared" si="28"/>
        <v/>
      </c>
      <c r="H595" s="10" t="str">
        <f>IF(Registro!$G595="","",IF(ISERROR(FIND("x",LOWER(Registro!$G595))),"-",IFERROR(SUMPRODUCT(--("0"&amp;LEFT(TRIM(MID(SUBSTITUTE(SUBSTITUTE(SUBSTITUTE(SUBSTITUTE(SUBSTITUTE(LOWER(Registro!$G595),"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",LEN(Registro!$G595))),({1,2,3,4,5,6,7,8,9,10,11,12,13,14,15,16,17,18,19,20,21,22,23,24,25,26,27,28,29,30}-1)*LEN(Registro!$G595)+1,LEN(Registro!$G595))),FIND("x",TRIM(MID(SUBSTITUTE(SUBSTITUTE(SUBSTITUTE(SUBSTITUTE(SUBSTITUTE(LOWER(Registro!$G595),"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",LEN(Registro!$G595))),({1,2,3,4,5,6,7,8,9,10,11,12,13,14,15,16,17,18,19,20,21,22,23,24,25,26,27,28,29,30}-1)*LEN(Registro!$G595)+1,LEN(Registro!$G595)))&amp;"x")-1))),"Revisar formato")))</f>
        <v/>
      </c>
      <c r="I595" s="11" t="str">
        <f>IF(Registro!$G595="","",IF(ISERROR(FIND("x",LOWER(Registro!$G595))),N(Registro!$H595),IFERROR(SUMPRODUCT(--("0"&amp;LEFT(TRIM(MID(SUBSTITUTE(SUBSTITUTE(SUBSTITUTE(SUBSTITUTE(SUBSTITUTE(LOWER(Registro!$G595),"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",LEN(Registro!$G595))),({1,2,3,4,5,6,7,8,9,10,11,12,13,14,15,16,17,18,19,20,21,22,23,24,25,26,27,28,29,30}-1)*LEN(Registro!$G595)+1,LEN(Registro!$G595))),FIND("x",TRIM(MID(SUBSTITUTE(SUBSTITUTE(SUBSTITUTE(SUBSTITUTE(SUBSTITUTE(LOWER(Registro!$G595),"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",LEN(Registro!$G595))),({1,2,3,4,5,6,7,8,9,10,11,12,13,14,15,16,17,18,19,20,21,22,23,24,25,26,27,28,29,30}-1)*LEN(Registro!$G595)+1,LEN(Registro!$G595)))&amp;"x")-1)),--("0"&amp;MID(TRIM(MID(SUBSTITUTE(SUBSTITUTE(SUBSTITUTE(SUBSTITUTE(SUBSTITUTE(LOWER(Registro!$G595),"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",LEN(Registro!$G595))),({1,2,3,4,5,6,7,8,9,10,11,12,13,14,15,16,17,18,19,20,21,22,23,24,25,26,27,28,29,30}-1)*LEN(Registro!$G595)+1,LEN(Registro!$G595))),FIND("x",TRIM(MID(SUBSTITUTE(SUBSTITUTE(SUBSTITUTE(SUBSTITUTE(SUBSTITUTE(LOWER(Registro!$G595),"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",LEN(Registro!$G595))),({1,2,3,4,5,6,7,8,9,10,11,12,13,14,15,16,17,18,19,20,21,22,23,24,25,26,27,28,29,30}-1)*LEN(Registro!$G595)+1,LEN(Registro!$G595)))&amp;"x")+1,20))),"Revisar formato")))</f>
        <v/>
      </c>
      <c r="J595" s="9" t="str">
        <f>IF(AND(Registro!$E595="",Registro!$G595=""),"",IF(NOT(AND(ISNUMBER(I595),ISNUMBER(Registro!$H595))),"",IF(I595&lt;Registro!$H595,"FALTA BOLETOS",IF(I595=Registro!$H595,"CONFORME","DIFERENCIA"))))</f>
        <v/>
      </c>
      <c r="K595" s="11" t="str">
        <f>IF(Registro!$I595="","",IFERROR(SUMPRODUCT(--("0"&amp;TRIM(RIGHT(SUBSTITUTE(TRIM(MID(SUBSTITUTE(SUBSTITUTE(Registro!$I595,";",CHAR(10)),CHAR(10),REPT(" ",LEN(Registro!$I595))),({1,2,3,4,5,6,7,8,9,10,11,12,13,14,15,16,17,18,19,20,21,22,23,24,25,26,27,28,29,30}-1)*LEN(Registro!$I595)+1,LEN(Registro!$I595)))," ",REPT(" ",50)),50)))),"Revisar formato"))</f>
        <v/>
      </c>
      <c r="L595" s="11" t="str">
        <f>IF(Registro!$J595="","",IFERROR(SUMPRODUCT(--("0"&amp;TRIM(RIGHT(SUBSTITUTE(TRIM(MID(SUBSTITUTE(SUBSTITUTE(Registro!$J595,";",CHAR(10)),CHAR(10),REPT(" ",LEN(Registro!$J595))),({1,2,3,4,5,6,7,8,9,10,11,12,13,14,15,16,17,18,19,20,21,22,23,24,25,26,27,28,29,30}-1)*LEN(Registro!$J595)+1,LEN(Registro!$J595)))," ",REPT(" ",50)),50)))),"Revisar formato"))</f>
        <v/>
      </c>
      <c r="M595" s="11" t="str">
        <f>IF(AND(Registro!$H595="",Registro!$I595=""),"",IF(AND(ISTEXT(K595),K595&lt;&gt;""),"Revisar formato",N(Registro!$H595)-N(K595)))</f>
        <v/>
      </c>
      <c r="N595" s="11" t="str">
        <f t="shared" si="29"/>
        <v/>
      </c>
      <c r="O595" s="15" t="str">
        <f>IF(AND(A595=Consulta!$B$3,C595=Consulta!$H$3),B595*10000+ROW(),"")</f>
        <v/>
      </c>
    </row>
    <row r="596" spans="1:15" x14ac:dyDescent="0.25">
      <c r="A596" s="9" t="str">
        <f>IF(Registro!$A596="","",Registro!$A596)</f>
        <v/>
      </c>
      <c r="B596" s="8" t="str">
        <f>IF(Registro!$B596="","",Registro!$B596)</f>
        <v/>
      </c>
      <c r="C596" s="14" t="str">
        <f t="shared" si="27"/>
        <v/>
      </c>
      <c r="D596" s="10" t="str">
        <f>IF(Registro!$E596="","",IF(ISERROR(FIND("x",LOWER(Registro!$E596))),"-",IFERROR(SUMPRODUCT(--("0"&amp;LEFT(TRIM(MID(SUBSTITUTE(SUBSTITUTE(SUBSTITUTE(SUBSTITUTE(SUBSTITUTE(LOWER(Registro!$E596),"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",LEN(Registro!$E596))),({1,2,3,4,5,6,7,8,9,10,11,12,13,14,15,16,17,18,19,20,21,22,23,24,25,26,27,28,29,30}-1)*LEN(Registro!$E596)+1,LEN(Registro!$E596)))&amp;"x")-1))),"Revisar formato")))</f>
        <v/>
      </c>
      <c r="E596" s="11" t="str">
        <f>IF(Registro!$E596="","",IF(ISERROR(FIND("x",LOWER(Registro!$E596))),"-",IFERROR(SUMPRODUCT(--("0"&amp;LEFT(TRIM(MID(SUBSTITUTE(SUBSTITUTE(SUBSTITUTE(SUBSTITUTE(SUBSTITUTE(LOWER(Registro!$E596),"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",LEN(Registro!$E596))),({1,2,3,4,5,6,7,8,9,10,11,12,13,14,15,16,17,18,19,20,21,22,23,24,25,26,27,28,29,30}-1)*LEN(Registro!$E596)+1,LEN(Registro!$E596)))&amp;"x")-1)),--("0"&amp;MID(TRIM(MID(SUBSTITUTE(SUBSTITUTE(SUBSTITUTE(SUBSTITUTE(SUBSTITUTE(LOWER(Registro!$E596),"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",LEN(Registro!$E596))),({1,2,3,4,5,6,7,8,9,10,11,12,13,14,15,16,17,18,19,20,21,22,23,24,25,26,27,28,29,30}-1)*LEN(Registro!$E596)+1,LEN(Registro!$E596)))&amp;"x")+1,20))),"Revisar formato")))</f>
        <v/>
      </c>
      <c r="F596" s="11" t="str">
        <f>IF(Registro!$F596="","",N(Registro!$F596))</f>
        <v/>
      </c>
      <c r="G596" s="11" t="str">
        <f t="shared" si="28"/>
        <v/>
      </c>
      <c r="H596" s="10" t="str">
        <f>IF(Registro!$G596="","",IF(ISERROR(FIND("x",LOWER(Registro!$G596))),"-",IFERROR(SUMPRODUCT(--("0"&amp;LEFT(TRIM(MID(SUBSTITUTE(SUBSTITUTE(SUBSTITUTE(SUBSTITUTE(SUBSTITUTE(LOWER(Registro!$G596),"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",LEN(Registro!$G596))),({1,2,3,4,5,6,7,8,9,10,11,12,13,14,15,16,17,18,19,20,21,22,23,24,25,26,27,28,29,30}-1)*LEN(Registro!$G596)+1,LEN(Registro!$G596))),FIND("x",TRIM(MID(SUBSTITUTE(SUBSTITUTE(SUBSTITUTE(SUBSTITUTE(SUBSTITUTE(LOWER(Registro!$G596),"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",LEN(Registro!$G596))),({1,2,3,4,5,6,7,8,9,10,11,12,13,14,15,16,17,18,19,20,21,22,23,24,25,26,27,28,29,30}-1)*LEN(Registro!$G596)+1,LEN(Registro!$G596)))&amp;"x")-1))),"Revisar formato")))</f>
        <v/>
      </c>
      <c r="I596" s="11" t="str">
        <f>IF(Registro!$G596="","",IF(ISERROR(FIND("x",LOWER(Registro!$G596))),N(Registro!$H596),IFERROR(SUMPRODUCT(--("0"&amp;LEFT(TRIM(MID(SUBSTITUTE(SUBSTITUTE(SUBSTITUTE(SUBSTITUTE(SUBSTITUTE(LOWER(Registro!$G596),"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",LEN(Registro!$G596))),({1,2,3,4,5,6,7,8,9,10,11,12,13,14,15,16,17,18,19,20,21,22,23,24,25,26,27,28,29,30}-1)*LEN(Registro!$G596)+1,LEN(Registro!$G596))),FIND("x",TRIM(MID(SUBSTITUTE(SUBSTITUTE(SUBSTITUTE(SUBSTITUTE(SUBSTITUTE(LOWER(Registro!$G596),"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",LEN(Registro!$G596))),({1,2,3,4,5,6,7,8,9,10,11,12,13,14,15,16,17,18,19,20,21,22,23,24,25,26,27,28,29,30}-1)*LEN(Registro!$G596)+1,LEN(Registro!$G596)))&amp;"x")-1)),--("0"&amp;MID(TRIM(MID(SUBSTITUTE(SUBSTITUTE(SUBSTITUTE(SUBSTITUTE(SUBSTITUTE(LOWER(Registro!$G596),"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",LEN(Registro!$G596))),({1,2,3,4,5,6,7,8,9,10,11,12,13,14,15,16,17,18,19,20,21,22,23,24,25,26,27,28,29,30}-1)*LEN(Registro!$G596)+1,LEN(Registro!$G596))),FIND("x",TRIM(MID(SUBSTITUTE(SUBSTITUTE(SUBSTITUTE(SUBSTITUTE(SUBSTITUTE(LOWER(Registro!$G596),"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",LEN(Registro!$G596))),({1,2,3,4,5,6,7,8,9,10,11,12,13,14,15,16,17,18,19,20,21,22,23,24,25,26,27,28,29,30}-1)*LEN(Registro!$G596)+1,LEN(Registro!$G596)))&amp;"x")+1,20))),"Revisar formato")))</f>
        <v/>
      </c>
      <c r="J596" s="9" t="str">
        <f>IF(AND(Registro!$E596="",Registro!$G596=""),"",IF(NOT(AND(ISNUMBER(I596),ISNUMBER(Registro!$H596))),"",IF(I596&lt;Registro!$H596,"FALTA BOLETOS",IF(I596=Registro!$H596,"CONFORME","DIFERENCIA"))))</f>
        <v/>
      </c>
      <c r="K596" s="11" t="str">
        <f>IF(Registro!$I596="","",IFERROR(SUMPRODUCT(--("0"&amp;TRIM(RIGHT(SUBSTITUTE(TRIM(MID(SUBSTITUTE(SUBSTITUTE(Registro!$I596,";",CHAR(10)),CHAR(10),REPT(" ",LEN(Registro!$I596))),({1,2,3,4,5,6,7,8,9,10,11,12,13,14,15,16,17,18,19,20,21,22,23,24,25,26,27,28,29,30}-1)*LEN(Registro!$I596)+1,LEN(Registro!$I596)))," ",REPT(" ",50)),50)))),"Revisar formato"))</f>
        <v/>
      </c>
      <c r="L596" s="11" t="str">
        <f>IF(Registro!$J596="","",IFERROR(SUMPRODUCT(--("0"&amp;TRIM(RIGHT(SUBSTITUTE(TRIM(MID(SUBSTITUTE(SUBSTITUTE(Registro!$J596,";",CHAR(10)),CHAR(10),REPT(" ",LEN(Registro!$J596))),({1,2,3,4,5,6,7,8,9,10,11,12,13,14,15,16,17,18,19,20,21,22,23,24,25,26,27,28,29,30}-1)*LEN(Registro!$J596)+1,LEN(Registro!$J596)))," ",REPT(" ",50)),50)))),"Revisar formato"))</f>
        <v/>
      </c>
      <c r="M596" s="11" t="str">
        <f>IF(AND(Registro!$H596="",Registro!$I596=""),"",IF(AND(ISTEXT(K596),K596&lt;&gt;""),"Revisar formato",N(Registro!$H596)-N(K596)))</f>
        <v/>
      </c>
      <c r="N596" s="11" t="str">
        <f t="shared" si="29"/>
        <v/>
      </c>
      <c r="O596" s="15" t="str">
        <f>IF(AND(A596=Consulta!$B$3,C596=Consulta!$H$3),B596*10000+ROW(),"")</f>
        <v/>
      </c>
    </row>
    <row r="597" spans="1:15" x14ac:dyDescent="0.25">
      <c r="A597" s="9" t="str">
        <f>IF(Registro!$A597="","",Registro!$A597)</f>
        <v/>
      </c>
      <c r="B597" s="8" t="str">
        <f>IF(Registro!$B597="","",Registro!$B597)</f>
        <v/>
      </c>
      <c r="C597" s="14" t="str">
        <f t="shared" si="27"/>
        <v/>
      </c>
      <c r="D597" s="10" t="str">
        <f>IF(Registro!$E597="","",IF(ISERROR(FIND("x",LOWER(Registro!$E597))),"-",IFERROR(SUMPRODUCT(--("0"&amp;LEFT(TRIM(MID(SUBSTITUTE(SUBSTITUTE(SUBSTITUTE(SUBSTITUTE(SUBSTITUTE(LOWER(Registro!$E597),"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",LEN(Registro!$E597))),({1,2,3,4,5,6,7,8,9,10,11,12,13,14,15,16,17,18,19,20,21,22,23,24,25,26,27,28,29,30}-1)*LEN(Registro!$E597)+1,LEN(Registro!$E597)))&amp;"x")-1))),"Revisar formato")))</f>
        <v/>
      </c>
      <c r="E597" s="11" t="str">
        <f>IF(Registro!$E597="","",IF(ISERROR(FIND("x",LOWER(Registro!$E597))),"-",IFERROR(SUMPRODUCT(--("0"&amp;LEFT(TRIM(MID(SUBSTITUTE(SUBSTITUTE(SUBSTITUTE(SUBSTITUTE(SUBSTITUTE(LOWER(Registro!$E597),"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",LEN(Registro!$E597))),({1,2,3,4,5,6,7,8,9,10,11,12,13,14,15,16,17,18,19,20,21,22,23,24,25,26,27,28,29,30}-1)*LEN(Registro!$E597)+1,LEN(Registro!$E597)))&amp;"x")-1)),--("0"&amp;MID(TRIM(MID(SUBSTITUTE(SUBSTITUTE(SUBSTITUTE(SUBSTITUTE(SUBSTITUTE(LOWER(Registro!$E597),"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",LEN(Registro!$E597))),({1,2,3,4,5,6,7,8,9,10,11,12,13,14,15,16,17,18,19,20,21,22,23,24,25,26,27,28,29,30}-1)*LEN(Registro!$E597)+1,LEN(Registro!$E597)))&amp;"x")+1,20))),"Revisar formato")))</f>
        <v/>
      </c>
      <c r="F597" s="11" t="str">
        <f>IF(Registro!$F597="","",N(Registro!$F597))</f>
        <v/>
      </c>
      <c r="G597" s="11" t="str">
        <f t="shared" si="28"/>
        <v/>
      </c>
      <c r="H597" s="10" t="str">
        <f>IF(Registro!$G597="","",IF(ISERROR(FIND("x",LOWER(Registro!$G597))),"-",IFERROR(SUMPRODUCT(--("0"&amp;LEFT(TRIM(MID(SUBSTITUTE(SUBSTITUTE(SUBSTITUTE(SUBSTITUTE(SUBSTITUTE(LOWER(Registro!$G597),"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",LEN(Registro!$G597))),({1,2,3,4,5,6,7,8,9,10,11,12,13,14,15,16,17,18,19,20,21,22,23,24,25,26,27,28,29,30}-1)*LEN(Registro!$G597)+1,LEN(Registro!$G597))),FIND("x",TRIM(MID(SUBSTITUTE(SUBSTITUTE(SUBSTITUTE(SUBSTITUTE(SUBSTITUTE(LOWER(Registro!$G597),"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",LEN(Registro!$G597))),({1,2,3,4,5,6,7,8,9,10,11,12,13,14,15,16,17,18,19,20,21,22,23,24,25,26,27,28,29,30}-1)*LEN(Registro!$G597)+1,LEN(Registro!$G597)))&amp;"x")-1))),"Revisar formato")))</f>
        <v/>
      </c>
      <c r="I597" s="11" t="str">
        <f>IF(Registro!$G597="","",IF(ISERROR(FIND("x",LOWER(Registro!$G597))),N(Registro!$H597),IFERROR(SUMPRODUCT(--("0"&amp;LEFT(TRIM(MID(SUBSTITUTE(SUBSTITUTE(SUBSTITUTE(SUBSTITUTE(SUBSTITUTE(LOWER(Registro!$G597),"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",LEN(Registro!$G597))),({1,2,3,4,5,6,7,8,9,10,11,12,13,14,15,16,17,18,19,20,21,22,23,24,25,26,27,28,29,30}-1)*LEN(Registro!$G597)+1,LEN(Registro!$G597))),FIND("x",TRIM(MID(SUBSTITUTE(SUBSTITUTE(SUBSTITUTE(SUBSTITUTE(SUBSTITUTE(LOWER(Registro!$G597),"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",LEN(Registro!$G597))),({1,2,3,4,5,6,7,8,9,10,11,12,13,14,15,16,17,18,19,20,21,22,23,24,25,26,27,28,29,30}-1)*LEN(Registro!$G597)+1,LEN(Registro!$G597)))&amp;"x")-1)),--("0"&amp;MID(TRIM(MID(SUBSTITUTE(SUBSTITUTE(SUBSTITUTE(SUBSTITUTE(SUBSTITUTE(LOWER(Registro!$G597),"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",LEN(Registro!$G597))),({1,2,3,4,5,6,7,8,9,10,11,12,13,14,15,16,17,18,19,20,21,22,23,24,25,26,27,28,29,30}-1)*LEN(Registro!$G597)+1,LEN(Registro!$G597))),FIND("x",TRIM(MID(SUBSTITUTE(SUBSTITUTE(SUBSTITUTE(SUBSTITUTE(SUBSTITUTE(LOWER(Registro!$G597),"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",LEN(Registro!$G597))),({1,2,3,4,5,6,7,8,9,10,11,12,13,14,15,16,17,18,19,20,21,22,23,24,25,26,27,28,29,30}-1)*LEN(Registro!$G597)+1,LEN(Registro!$G597)))&amp;"x")+1,20))),"Revisar formato")))</f>
        <v/>
      </c>
      <c r="J597" s="9" t="str">
        <f>IF(AND(Registro!$E597="",Registro!$G597=""),"",IF(NOT(AND(ISNUMBER(I597),ISNUMBER(Registro!$H597))),"",IF(I597&lt;Registro!$H597,"FALTA BOLETOS",IF(I597=Registro!$H597,"CONFORME","DIFERENCIA"))))</f>
        <v/>
      </c>
      <c r="K597" s="11" t="str">
        <f>IF(Registro!$I597="","",IFERROR(SUMPRODUCT(--("0"&amp;TRIM(RIGHT(SUBSTITUTE(TRIM(MID(SUBSTITUTE(SUBSTITUTE(Registro!$I597,";",CHAR(10)),CHAR(10),REPT(" ",LEN(Registro!$I597))),({1,2,3,4,5,6,7,8,9,10,11,12,13,14,15,16,17,18,19,20,21,22,23,24,25,26,27,28,29,30}-1)*LEN(Registro!$I597)+1,LEN(Registro!$I597)))," ",REPT(" ",50)),50)))),"Revisar formato"))</f>
        <v/>
      </c>
      <c r="L597" s="11" t="str">
        <f>IF(Registro!$J597="","",IFERROR(SUMPRODUCT(--("0"&amp;TRIM(RIGHT(SUBSTITUTE(TRIM(MID(SUBSTITUTE(SUBSTITUTE(Registro!$J597,";",CHAR(10)),CHAR(10),REPT(" ",LEN(Registro!$J597))),({1,2,3,4,5,6,7,8,9,10,11,12,13,14,15,16,17,18,19,20,21,22,23,24,25,26,27,28,29,30}-1)*LEN(Registro!$J597)+1,LEN(Registro!$J597)))," ",REPT(" ",50)),50)))),"Revisar formato"))</f>
        <v/>
      </c>
      <c r="M597" s="11" t="str">
        <f>IF(AND(Registro!$H597="",Registro!$I597=""),"",IF(AND(ISTEXT(K597),K597&lt;&gt;""),"Revisar formato",N(Registro!$H597)-N(K597)))</f>
        <v/>
      </c>
      <c r="N597" s="11" t="str">
        <f t="shared" si="29"/>
        <v/>
      </c>
      <c r="O597" s="15" t="str">
        <f>IF(AND(A597=Consulta!$B$3,C597=Consulta!$H$3),B597*10000+ROW(),"")</f>
        <v/>
      </c>
    </row>
    <row r="598" spans="1:15" x14ac:dyDescent="0.25">
      <c r="A598" s="9" t="str">
        <f>IF(Registro!$A598="","",Registro!$A598)</f>
        <v/>
      </c>
      <c r="B598" s="8" t="str">
        <f>IF(Registro!$B598="","",Registro!$B598)</f>
        <v/>
      </c>
      <c r="C598" s="14" t="str">
        <f t="shared" si="27"/>
        <v/>
      </c>
      <c r="D598" s="10" t="str">
        <f>IF(Registro!$E598="","",IF(ISERROR(FIND("x",LOWER(Registro!$E598))),"-",IFERROR(SUMPRODUCT(--("0"&amp;LEFT(TRIM(MID(SUBSTITUTE(SUBSTITUTE(SUBSTITUTE(SUBSTITUTE(SUBSTITUTE(LOWER(Registro!$E598),"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",LEN(Registro!$E598))),({1,2,3,4,5,6,7,8,9,10,11,12,13,14,15,16,17,18,19,20,21,22,23,24,25,26,27,28,29,30}-1)*LEN(Registro!$E598)+1,LEN(Registro!$E598)))&amp;"x")-1))),"Revisar formato")))</f>
        <v/>
      </c>
      <c r="E598" s="11" t="str">
        <f>IF(Registro!$E598="","",IF(ISERROR(FIND("x",LOWER(Registro!$E598))),"-",IFERROR(SUMPRODUCT(--("0"&amp;LEFT(TRIM(MID(SUBSTITUTE(SUBSTITUTE(SUBSTITUTE(SUBSTITUTE(SUBSTITUTE(LOWER(Registro!$E598),"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",LEN(Registro!$E598))),({1,2,3,4,5,6,7,8,9,10,11,12,13,14,15,16,17,18,19,20,21,22,23,24,25,26,27,28,29,30}-1)*LEN(Registro!$E598)+1,LEN(Registro!$E598)))&amp;"x")-1)),--("0"&amp;MID(TRIM(MID(SUBSTITUTE(SUBSTITUTE(SUBSTITUTE(SUBSTITUTE(SUBSTITUTE(LOWER(Registro!$E598),"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",LEN(Registro!$E598))),({1,2,3,4,5,6,7,8,9,10,11,12,13,14,15,16,17,18,19,20,21,22,23,24,25,26,27,28,29,30}-1)*LEN(Registro!$E598)+1,LEN(Registro!$E598)))&amp;"x")+1,20))),"Revisar formato")))</f>
        <v/>
      </c>
      <c r="F598" s="11" t="str">
        <f>IF(Registro!$F598="","",N(Registro!$F598))</f>
        <v/>
      </c>
      <c r="G598" s="11" t="str">
        <f t="shared" si="28"/>
        <v/>
      </c>
      <c r="H598" s="10" t="str">
        <f>IF(Registro!$G598="","",IF(ISERROR(FIND("x",LOWER(Registro!$G598))),"-",IFERROR(SUMPRODUCT(--("0"&amp;LEFT(TRIM(MID(SUBSTITUTE(SUBSTITUTE(SUBSTITUTE(SUBSTITUTE(SUBSTITUTE(LOWER(Registro!$G598),"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",LEN(Registro!$G598))),({1,2,3,4,5,6,7,8,9,10,11,12,13,14,15,16,17,18,19,20,21,22,23,24,25,26,27,28,29,30}-1)*LEN(Registro!$G598)+1,LEN(Registro!$G598))),FIND("x",TRIM(MID(SUBSTITUTE(SUBSTITUTE(SUBSTITUTE(SUBSTITUTE(SUBSTITUTE(LOWER(Registro!$G598),"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",LEN(Registro!$G598))),({1,2,3,4,5,6,7,8,9,10,11,12,13,14,15,16,17,18,19,20,21,22,23,24,25,26,27,28,29,30}-1)*LEN(Registro!$G598)+1,LEN(Registro!$G598)))&amp;"x")-1))),"Revisar formato")))</f>
        <v/>
      </c>
      <c r="I598" s="11" t="str">
        <f>IF(Registro!$G598="","",IF(ISERROR(FIND("x",LOWER(Registro!$G598))),N(Registro!$H598),IFERROR(SUMPRODUCT(--("0"&amp;LEFT(TRIM(MID(SUBSTITUTE(SUBSTITUTE(SUBSTITUTE(SUBSTITUTE(SUBSTITUTE(LOWER(Registro!$G598),"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",LEN(Registro!$G598))),({1,2,3,4,5,6,7,8,9,10,11,12,13,14,15,16,17,18,19,20,21,22,23,24,25,26,27,28,29,30}-1)*LEN(Registro!$G598)+1,LEN(Registro!$G598))),FIND("x",TRIM(MID(SUBSTITUTE(SUBSTITUTE(SUBSTITUTE(SUBSTITUTE(SUBSTITUTE(LOWER(Registro!$G598),"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",LEN(Registro!$G598))),({1,2,3,4,5,6,7,8,9,10,11,12,13,14,15,16,17,18,19,20,21,22,23,24,25,26,27,28,29,30}-1)*LEN(Registro!$G598)+1,LEN(Registro!$G598)))&amp;"x")-1)),--("0"&amp;MID(TRIM(MID(SUBSTITUTE(SUBSTITUTE(SUBSTITUTE(SUBSTITUTE(SUBSTITUTE(LOWER(Registro!$G598),"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",LEN(Registro!$G598))),({1,2,3,4,5,6,7,8,9,10,11,12,13,14,15,16,17,18,19,20,21,22,23,24,25,26,27,28,29,30}-1)*LEN(Registro!$G598)+1,LEN(Registro!$G598))),FIND("x",TRIM(MID(SUBSTITUTE(SUBSTITUTE(SUBSTITUTE(SUBSTITUTE(SUBSTITUTE(LOWER(Registro!$G598),"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",LEN(Registro!$G598))),({1,2,3,4,5,6,7,8,9,10,11,12,13,14,15,16,17,18,19,20,21,22,23,24,25,26,27,28,29,30}-1)*LEN(Registro!$G598)+1,LEN(Registro!$G598)))&amp;"x")+1,20))),"Revisar formato")))</f>
        <v/>
      </c>
      <c r="J598" s="9" t="str">
        <f>IF(AND(Registro!$E598="",Registro!$G598=""),"",IF(NOT(AND(ISNUMBER(I598),ISNUMBER(Registro!$H598))),"",IF(I598&lt;Registro!$H598,"FALTA BOLETOS",IF(I598=Registro!$H598,"CONFORME","DIFERENCIA"))))</f>
        <v/>
      </c>
      <c r="K598" s="11" t="str">
        <f>IF(Registro!$I598="","",IFERROR(SUMPRODUCT(--("0"&amp;TRIM(RIGHT(SUBSTITUTE(TRIM(MID(SUBSTITUTE(SUBSTITUTE(Registro!$I598,";",CHAR(10)),CHAR(10),REPT(" ",LEN(Registro!$I598))),({1,2,3,4,5,6,7,8,9,10,11,12,13,14,15,16,17,18,19,20,21,22,23,24,25,26,27,28,29,30}-1)*LEN(Registro!$I598)+1,LEN(Registro!$I598)))," ",REPT(" ",50)),50)))),"Revisar formato"))</f>
        <v/>
      </c>
      <c r="L598" s="11" t="str">
        <f>IF(Registro!$J598="","",IFERROR(SUMPRODUCT(--("0"&amp;TRIM(RIGHT(SUBSTITUTE(TRIM(MID(SUBSTITUTE(SUBSTITUTE(Registro!$J598,";",CHAR(10)),CHAR(10),REPT(" ",LEN(Registro!$J598))),({1,2,3,4,5,6,7,8,9,10,11,12,13,14,15,16,17,18,19,20,21,22,23,24,25,26,27,28,29,30}-1)*LEN(Registro!$J598)+1,LEN(Registro!$J598)))," ",REPT(" ",50)),50)))),"Revisar formato"))</f>
        <v/>
      </c>
      <c r="M598" s="11" t="str">
        <f>IF(AND(Registro!$H598="",Registro!$I598=""),"",IF(AND(ISTEXT(K598),K598&lt;&gt;""),"Revisar formato",N(Registro!$H598)-N(K598)))</f>
        <v/>
      </c>
      <c r="N598" s="11" t="str">
        <f t="shared" si="29"/>
        <v/>
      </c>
      <c r="O598" s="15" t="str">
        <f>IF(AND(A598=Consulta!$B$3,C598=Consulta!$H$3),B598*10000+ROW(),"")</f>
        <v/>
      </c>
    </row>
    <row r="599" spans="1:15" x14ac:dyDescent="0.25">
      <c r="A599" s="9" t="str">
        <f>IF(Registro!$A599="","",Registro!$A599)</f>
        <v/>
      </c>
      <c r="B599" s="8" t="str">
        <f>IF(Registro!$B599="","",Registro!$B599)</f>
        <v/>
      </c>
      <c r="C599" s="14" t="str">
        <f t="shared" si="27"/>
        <v/>
      </c>
      <c r="D599" s="10" t="str">
        <f>IF(Registro!$E599="","",IF(ISERROR(FIND("x",LOWER(Registro!$E599))),"-",IFERROR(SUMPRODUCT(--("0"&amp;LEFT(TRIM(MID(SUBSTITUTE(SUBSTITUTE(SUBSTITUTE(SUBSTITUTE(SUBSTITUTE(LOWER(Registro!$E599),"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",LEN(Registro!$E599))),({1,2,3,4,5,6,7,8,9,10,11,12,13,14,15,16,17,18,19,20,21,22,23,24,25,26,27,28,29,30}-1)*LEN(Registro!$E599)+1,LEN(Registro!$E599)))&amp;"x")-1))),"Revisar formato")))</f>
        <v/>
      </c>
      <c r="E599" s="11" t="str">
        <f>IF(Registro!$E599="","",IF(ISERROR(FIND("x",LOWER(Registro!$E599))),"-",IFERROR(SUMPRODUCT(--("0"&amp;LEFT(TRIM(MID(SUBSTITUTE(SUBSTITUTE(SUBSTITUTE(SUBSTITUTE(SUBSTITUTE(LOWER(Registro!$E599),"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",LEN(Registro!$E599))),({1,2,3,4,5,6,7,8,9,10,11,12,13,14,15,16,17,18,19,20,21,22,23,24,25,26,27,28,29,30}-1)*LEN(Registro!$E599)+1,LEN(Registro!$E599)))&amp;"x")-1)),--("0"&amp;MID(TRIM(MID(SUBSTITUTE(SUBSTITUTE(SUBSTITUTE(SUBSTITUTE(SUBSTITUTE(LOWER(Registro!$E599),"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",LEN(Registro!$E599))),({1,2,3,4,5,6,7,8,9,10,11,12,13,14,15,16,17,18,19,20,21,22,23,24,25,26,27,28,29,30}-1)*LEN(Registro!$E599)+1,LEN(Registro!$E599)))&amp;"x")+1,20))),"Revisar formato")))</f>
        <v/>
      </c>
      <c r="F599" s="11" t="str">
        <f>IF(Registro!$F599="","",N(Registro!$F599))</f>
        <v/>
      </c>
      <c r="G599" s="11" t="str">
        <f t="shared" si="28"/>
        <v/>
      </c>
      <c r="H599" s="10" t="str">
        <f>IF(Registro!$G599="","",IF(ISERROR(FIND("x",LOWER(Registro!$G599))),"-",IFERROR(SUMPRODUCT(--("0"&amp;LEFT(TRIM(MID(SUBSTITUTE(SUBSTITUTE(SUBSTITUTE(SUBSTITUTE(SUBSTITUTE(LOWER(Registro!$G599),"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",LEN(Registro!$G599))),({1,2,3,4,5,6,7,8,9,10,11,12,13,14,15,16,17,18,19,20,21,22,23,24,25,26,27,28,29,30}-1)*LEN(Registro!$G599)+1,LEN(Registro!$G599))),FIND("x",TRIM(MID(SUBSTITUTE(SUBSTITUTE(SUBSTITUTE(SUBSTITUTE(SUBSTITUTE(LOWER(Registro!$G599),"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",LEN(Registro!$G599))),({1,2,3,4,5,6,7,8,9,10,11,12,13,14,15,16,17,18,19,20,21,22,23,24,25,26,27,28,29,30}-1)*LEN(Registro!$G599)+1,LEN(Registro!$G599)))&amp;"x")-1))),"Revisar formato")))</f>
        <v/>
      </c>
      <c r="I599" s="11" t="str">
        <f>IF(Registro!$G599="","",IF(ISERROR(FIND("x",LOWER(Registro!$G599))),N(Registro!$H599),IFERROR(SUMPRODUCT(--("0"&amp;LEFT(TRIM(MID(SUBSTITUTE(SUBSTITUTE(SUBSTITUTE(SUBSTITUTE(SUBSTITUTE(LOWER(Registro!$G599),"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",LEN(Registro!$G599))),({1,2,3,4,5,6,7,8,9,10,11,12,13,14,15,16,17,18,19,20,21,22,23,24,25,26,27,28,29,30}-1)*LEN(Registro!$G599)+1,LEN(Registro!$G599))),FIND("x",TRIM(MID(SUBSTITUTE(SUBSTITUTE(SUBSTITUTE(SUBSTITUTE(SUBSTITUTE(LOWER(Registro!$G599),"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",LEN(Registro!$G599))),({1,2,3,4,5,6,7,8,9,10,11,12,13,14,15,16,17,18,19,20,21,22,23,24,25,26,27,28,29,30}-1)*LEN(Registro!$G599)+1,LEN(Registro!$G599)))&amp;"x")-1)),--("0"&amp;MID(TRIM(MID(SUBSTITUTE(SUBSTITUTE(SUBSTITUTE(SUBSTITUTE(SUBSTITUTE(LOWER(Registro!$G599),"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",LEN(Registro!$G599))),({1,2,3,4,5,6,7,8,9,10,11,12,13,14,15,16,17,18,19,20,21,22,23,24,25,26,27,28,29,30}-1)*LEN(Registro!$G599)+1,LEN(Registro!$G599))),FIND("x",TRIM(MID(SUBSTITUTE(SUBSTITUTE(SUBSTITUTE(SUBSTITUTE(SUBSTITUTE(LOWER(Registro!$G599),"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",LEN(Registro!$G599))),({1,2,3,4,5,6,7,8,9,10,11,12,13,14,15,16,17,18,19,20,21,22,23,24,25,26,27,28,29,30}-1)*LEN(Registro!$G599)+1,LEN(Registro!$G599)))&amp;"x")+1,20))),"Revisar formato")))</f>
        <v/>
      </c>
      <c r="J599" s="9" t="str">
        <f>IF(AND(Registro!$E599="",Registro!$G599=""),"",IF(NOT(AND(ISNUMBER(I599),ISNUMBER(Registro!$H599))),"",IF(I599&lt;Registro!$H599,"FALTA BOLETOS",IF(I599=Registro!$H599,"CONFORME","DIFERENCIA"))))</f>
        <v/>
      </c>
      <c r="K599" s="11" t="str">
        <f>IF(Registro!$I599="","",IFERROR(SUMPRODUCT(--("0"&amp;TRIM(RIGHT(SUBSTITUTE(TRIM(MID(SUBSTITUTE(SUBSTITUTE(Registro!$I599,";",CHAR(10)),CHAR(10),REPT(" ",LEN(Registro!$I599))),({1,2,3,4,5,6,7,8,9,10,11,12,13,14,15,16,17,18,19,20,21,22,23,24,25,26,27,28,29,30}-1)*LEN(Registro!$I599)+1,LEN(Registro!$I599)))," ",REPT(" ",50)),50)))),"Revisar formato"))</f>
        <v/>
      </c>
      <c r="L599" s="11" t="str">
        <f>IF(Registro!$J599="","",IFERROR(SUMPRODUCT(--("0"&amp;TRIM(RIGHT(SUBSTITUTE(TRIM(MID(SUBSTITUTE(SUBSTITUTE(Registro!$J599,";",CHAR(10)),CHAR(10),REPT(" ",LEN(Registro!$J599))),({1,2,3,4,5,6,7,8,9,10,11,12,13,14,15,16,17,18,19,20,21,22,23,24,25,26,27,28,29,30}-1)*LEN(Registro!$J599)+1,LEN(Registro!$J599)))," ",REPT(" ",50)),50)))),"Revisar formato"))</f>
        <v/>
      </c>
      <c r="M599" s="11" t="str">
        <f>IF(AND(Registro!$H599="",Registro!$I599=""),"",IF(AND(ISTEXT(K599),K599&lt;&gt;""),"Revisar formato",N(Registro!$H599)-N(K599)))</f>
        <v/>
      </c>
      <c r="N599" s="11" t="str">
        <f t="shared" si="29"/>
        <v/>
      </c>
      <c r="O599" s="15" t="str">
        <f>IF(AND(A599=Consulta!$B$3,C599=Consulta!$H$3),B599*10000+ROW(),"")</f>
        <v/>
      </c>
    </row>
    <row r="600" spans="1:15" x14ac:dyDescent="0.25">
      <c r="A600" s="9" t="str">
        <f>IF(Registro!$A600="","",Registro!$A600)</f>
        <v/>
      </c>
      <c r="B600" s="8" t="str">
        <f>IF(Registro!$B600="","",Registro!$B600)</f>
        <v/>
      </c>
      <c r="C600" s="14" t="str">
        <f t="shared" si="27"/>
        <v/>
      </c>
      <c r="D600" s="10" t="str">
        <f>IF(Registro!$E600="","",IF(ISERROR(FIND("x",LOWER(Registro!$E600))),"-",IFERROR(SUMPRODUCT(--("0"&amp;LEFT(TRIM(MID(SUBSTITUTE(SUBSTITUTE(SUBSTITUTE(SUBSTITUTE(SUBSTITUTE(LOWER(Registro!$E600),"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",LEN(Registro!$E600))),({1,2,3,4,5,6,7,8,9,10,11,12,13,14,15,16,17,18,19,20,21,22,23,24,25,26,27,28,29,30}-1)*LEN(Registro!$E600)+1,LEN(Registro!$E600)))&amp;"x")-1))),"Revisar formato")))</f>
        <v/>
      </c>
      <c r="E600" s="11" t="str">
        <f>IF(Registro!$E600="","",IF(ISERROR(FIND("x",LOWER(Registro!$E600))),"-",IFERROR(SUMPRODUCT(--("0"&amp;LEFT(TRIM(MID(SUBSTITUTE(SUBSTITUTE(SUBSTITUTE(SUBSTITUTE(SUBSTITUTE(LOWER(Registro!$E600),"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",LEN(Registro!$E600))),({1,2,3,4,5,6,7,8,9,10,11,12,13,14,15,16,17,18,19,20,21,22,23,24,25,26,27,28,29,30}-1)*LEN(Registro!$E600)+1,LEN(Registro!$E600)))&amp;"x")-1)),--("0"&amp;MID(TRIM(MID(SUBSTITUTE(SUBSTITUTE(SUBSTITUTE(SUBSTITUTE(SUBSTITUTE(LOWER(Registro!$E600),"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",LEN(Registro!$E600))),({1,2,3,4,5,6,7,8,9,10,11,12,13,14,15,16,17,18,19,20,21,22,23,24,25,26,27,28,29,30}-1)*LEN(Registro!$E600)+1,LEN(Registro!$E600)))&amp;"x")+1,20))),"Revisar formato")))</f>
        <v/>
      </c>
      <c r="F600" s="11" t="str">
        <f>IF(Registro!$F600="","",N(Registro!$F600))</f>
        <v/>
      </c>
      <c r="G600" s="11" t="str">
        <f t="shared" si="28"/>
        <v/>
      </c>
      <c r="H600" s="10" t="str">
        <f>IF(Registro!$G600="","",IF(ISERROR(FIND("x",LOWER(Registro!$G600))),"-",IFERROR(SUMPRODUCT(--("0"&amp;LEFT(TRIM(MID(SUBSTITUTE(SUBSTITUTE(SUBSTITUTE(SUBSTITUTE(SUBSTITUTE(LOWER(Registro!$G600),"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",LEN(Registro!$G600))),({1,2,3,4,5,6,7,8,9,10,11,12,13,14,15,16,17,18,19,20,21,22,23,24,25,26,27,28,29,30}-1)*LEN(Registro!$G600)+1,LEN(Registro!$G600))),FIND("x",TRIM(MID(SUBSTITUTE(SUBSTITUTE(SUBSTITUTE(SUBSTITUTE(SUBSTITUTE(LOWER(Registro!$G600),"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",LEN(Registro!$G600))),({1,2,3,4,5,6,7,8,9,10,11,12,13,14,15,16,17,18,19,20,21,22,23,24,25,26,27,28,29,30}-1)*LEN(Registro!$G600)+1,LEN(Registro!$G600)))&amp;"x")-1))),"Revisar formato")))</f>
        <v/>
      </c>
      <c r="I600" s="11" t="str">
        <f>IF(Registro!$G600="","",IF(ISERROR(FIND("x",LOWER(Registro!$G600))),N(Registro!$H600),IFERROR(SUMPRODUCT(--("0"&amp;LEFT(TRIM(MID(SUBSTITUTE(SUBSTITUTE(SUBSTITUTE(SUBSTITUTE(SUBSTITUTE(LOWER(Registro!$G600),"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",LEN(Registro!$G600))),({1,2,3,4,5,6,7,8,9,10,11,12,13,14,15,16,17,18,19,20,21,22,23,24,25,26,27,28,29,30}-1)*LEN(Registro!$G600)+1,LEN(Registro!$G600))),FIND("x",TRIM(MID(SUBSTITUTE(SUBSTITUTE(SUBSTITUTE(SUBSTITUTE(SUBSTITUTE(LOWER(Registro!$G600),"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",LEN(Registro!$G600))),({1,2,3,4,5,6,7,8,9,10,11,12,13,14,15,16,17,18,19,20,21,22,23,24,25,26,27,28,29,30}-1)*LEN(Registro!$G600)+1,LEN(Registro!$G600)))&amp;"x")-1)),--("0"&amp;MID(TRIM(MID(SUBSTITUTE(SUBSTITUTE(SUBSTITUTE(SUBSTITUTE(SUBSTITUTE(LOWER(Registro!$G600),"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",LEN(Registro!$G600))),({1,2,3,4,5,6,7,8,9,10,11,12,13,14,15,16,17,18,19,20,21,22,23,24,25,26,27,28,29,30}-1)*LEN(Registro!$G600)+1,LEN(Registro!$G600))),FIND("x",TRIM(MID(SUBSTITUTE(SUBSTITUTE(SUBSTITUTE(SUBSTITUTE(SUBSTITUTE(LOWER(Registro!$G600),"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",LEN(Registro!$G600))),({1,2,3,4,5,6,7,8,9,10,11,12,13,14,15,16,17,18,19,20,21,22,23,24,25,26,27,28,29,30}-1)*LEN(Registro!$G600)+1,LEN(Registro!$G600)))&amp;"x")+1,20))),"Revisar formato")))</f>
        <v/>
      </c>
      <c r="J600" s="9" t="str">
        <f>IF(AND(Registro!$E600="",Registro!$G600=""),"",IF(NOT(AND(ISNUMBER(I600),ISNUMBER(Registro!$H600))),"",IF(I600&lt;Registro!$H600,"FALTA BOLETOS",IF(I600=Registro!$H600,"CONFORME","DIFERENCIA"))))</f>
        <v/>
      </c>
      <c r="K600" s="11" t="str">
        <f>IF(Registro!$I600="","",IFERROR(SUMPRODUCT(--("0"&amp;TRIM(RIGHT(SUBSTITUTE(TRIM(MID(SUBSTITUTE(SUBSTITUTE(Registro!$I600,";",CHAR(10)),CHAR(10),REPT(" ",LEN(Registro!$I600))),({1,2,3,4,5,6,7,8,9,10,11,12,13,14,15,16,17,18,19,20,21,22,23,24,25,26,27,28,29,30}-1)*LEN(Registro!$I600)+1,LEN(Registro!$I600)))," ",REPT(" ",50)),50)))),"Revisar formato"))</f>
        <v/>
      </c>
      <c r="L600" s="11" t="str">
        <f>IF(Registro!$J600="","",IFERROR(SUMPRODUCT(--("0"&amp;TRIM(RIGHT(SUBSTITUTE(TRIM(MID(SUBSTITUTE(SUBSTITUTE(Registro!$J600,";",CHAR(10)),CHAR(10),REPT(" ",LEN(Registro!$J600))),({1,2,3,4,5,6,7,8,9,10,11,12,13,14,15,16,17,18,19,20,21,22,23,24,25,26,27,28,29,30}-1)*LEN(Registro!$J600)+1,LEN(Registro!$J600)))," ",REPT(" ",50)),50)))),"Revisar formato"))</f>
        <v/>
      </c>
      <c r="M600" s="11" t="str">
        <f>IF(AND(Registro!$H600="",Registro!$I600=""),"",IF(AND(ISTEXT(K600),K600&lt;&gt;""),"Revisar formato",N(Registro!$H600)-N(K600)))</f>
        <v/>
      </c>
      <c r="N600" s="11" t="str">
        <f t="shared" si="29"/>
        <v/>
      </c>
      <c r="O600" s="15" t="str">
        <f>IF(AND(A600=Consulta!$B$3,C600=Consulta!$H$3),B600*10000+ROW(),"")</f>
        <v/>
      </c>
    </row>
    <row r="601" spans="1:15" x14ac:dyDescent="0.25">
      <c r="A601" s="9" t="str">
        <f>IF(Registro!$A601="","",Registro!$A601)</f>
        <v/>
      </c>
      <c r="B601" s="8" t="str">
        <f>IF(Registro!$B601="","",Registro!$B601)</f>
        <v/>
      </c>
      <c r="C601" s="14" t="str">
        <f t="shared" si="27"/>
        <v/>
      </c>
      <c r="D601" s="10" t="str">
        <f>IF(Registro!$E601="","",IF(ISERROR(FIND("x",LOWER(Registro!$E601))),"-",IFERROR(SUMPRODUCT(--("0"&amp;LEFT(TRIM(MID(SUBSTITUTE(SUBSTITUTE(SUBSTITUTE(SUBSTITUTE(SUBSTITUTE(LOWER(Registro!$E601),"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",LEN(Registro!$E601))),({1,2,3,4,5,6,7,8,9,10,11,12,13,14,15,16,17,18,19,20,21,22,23,24,25,26,27,28,29,30}-1)*LEN(Registro!$E601)+1,LEN(Registro!$E601)))&amp;"x")-1))),"Revisar formato")))</f>
        <v/>
      </c>
      <c r="E601" s="11" t="str">
        <f>IF(Registro!$E601="","",IF(ISERROR(FIND("x",LOWER(Registro!$E601))),"-",IFERROR(SUMPRODUCT(--("0"&amp;LEFT(TRIM(MID(SUBSTITUTE(SUBSTITUTE(SUBSTITUTE(SUBSTITUTE(SUBSTITUTE(LOWER(Registro!$E601),"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",LEN(Registro!$E601))),({1,2,3,4,5,6,7,8,9,10,11,12,13,14,15,16,17,18,19,20,21,22,23,24,25,26,27,28,29,30}-1)*LEN(Registro!$E601)+1,LEN(Registro!$E601)))&amp;"x")-1)),--("0"&amp;MID(TRIM(MID(SUBSTITUTE(SUBSTITUTE(SUBSTITUTE(SUBSTITUTE(SUBSTITUTE(LOWER(Registro!$E601),"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",LEN(Registro!$E601))),({1,2,3,4,5,6,7,8,9,10,11,12,13,14,15,16,17,18,19,20,21,22,23,24,25,26,27,28,29,30}-1)*LEN(Registro!$E601)+1,LEN(Registro!$E601)))&amp;"x")+1,20))),"Revisar formato")))</f>
        <v/>
      </c>
      <c r="F601" s="11" t="str">
        <f>IF(Registro!$F601="","",N(Registro!$F601))</f>
        <v/>
      </c>
      <c r="G601" s="11" t="str">
        <f t="shared" si="28"/>
        <v/>
      </c>
      <c r="H601" s="10" t="str">
        <f>IF(Registro!$G601="","",IF(ISERROR(FIND("x",LOWER(Registro!$G601))),"-",IFERROR(SUMPRODUCT(--("0"&amp;LEFT(TRIM(MID(SUBSTITUTE(SUBSTITUTE(SUBSTITUTE(SUBSTITUTE(SUBSTITUTE(LOWER(Registro!$G601),"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",LEN(Registro!$G601))),({1,2,3,4,5,6,7,8,9,10,11,12,13,14,15,16,17,18,19,20,21,22,23,24,25,26,27,28,29,30}-1)*LEN(Registro!$G601)+1,LEN(Registro!$G601))),FIND("x",TRIM(MID(SUBSTITUTE(SUBSTITUTE(SUBSTITUTE(SUBSTITUTE(SUBSTITUTE(LOWER(Registro!$G601),"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",LEN(Registro!$G601))),({1,2,3,4,5,6,7,8,9,10,11,12,13,14,15,16,17,18,19,20,21,22,23,24,25,26,27,28,29,30}-1)*LEN(Registro!$G601)+1,LEN(Registro!$G601)))&amp;"x")-1))),"Revisar formato")))</f>
        <v/>
      </c>
      <c r="I601" s="11" t="str">
        <f>IF(Registro!$G601="","",IF(ISERROR(FIND("x",LOWER(Registro!$G601))),N(Registro!$H601),IFERROR(SUMPRODUCT(--("0"&amp;LEFT(TRIM(MID(SUBSTITUTE(SUBSTITUTE(SUBSTITUTE(SUBSTITUTE(SUBSTITUTE(LOWER(Registro!$G601),"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",LEN(Registro!$G601))),({1,2,3,4,5,6,7,8,9,10,11,12,13,14,15,16,17,18,19,20,21,22,23,24,25,26,27,28,29,30}-1)*LEN(Registro!$G601)+1,LEN(Registro!$G601))),FIND("x",TRIM(MID(SUBSTITUTE(SUBSTITUTE(SUBSTITUTE(SUBSTITUTE(SUBSTITUTE(LOWER(Registro!$G601),"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",LEN(Registro!$G601))),({1,2,3,4,5,6,7,8,9,10,11,12,13,14,15,16,17,18,19,20,21,22,23,24,25,26,27,28,29,30}-1)*LEN(Registro!$G601)+1,LEN(Registro!$G601)))&amp;"x")-1)),--("0"&amp;MID(TRIM(MID(SUBSTITUTE(SUBSTITUTE(SUBSTITUTE(SUBSTITUTE(SUBSTITUTE(LOWER(Registro!$G601),"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",LEN(Registro!$G601))),({1,2,3,4,5,6,7,8,9,10,11,12,13,14,15,16,17,18,19,20,21,22,23,24,25,26,27,28,29,30}-1)*LEN(Registro!$G601)+1,LEN(Registro!$G601))),FIND("x",TRIM(MID(SUBSTITUTE(SUBSTITUTE(SUBSTITUTE(SUBSTITUTE(SUBSTITUTE(LOWER(Registro!$G601),"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",LEN(Registro!$G601))),({1,2,3,4,5,6,7,8,9,10,11,12,13,14,15,16,17,18,19,20,21,22,23,24,25,26,27,28,29,30}-1)*LEN(Registro!$G601)+1,LEN(Registro!$G601)))&amp;"x")+1,20))),"Revisar formato")))</f>
        <v/>
      </c>
      <c r="J601" s="9" t="str">
        <f>IF(AND(Registro!$E601="",Registro!$G601=""),"",IF(NOT(AND(ISNUMBER(I601),ISNUMBER(Registro!$H601))),"",IF(I601&lt;Registro!$H601,"FALTA BOLETOS",IF(I601=Registro!$H601,"CONFORME","DIFERENCIA"))))</f>
        <v/>
      </c>
      <c r="K601" s="11" t="str">
        <f>IF(Registro!$I601="","",IFERROR(SUMPRODUCT(--("0"&amp;TRIM(RIGHT(SUBSTITUTE(TRIM(MID(SUBSTITUTE(SUBSTITUTE(Registro!$I601,";",CHAR(10)),CHAR(10),REPT(" ",LEN(Registro!$I601))),({1,2,3,4,5,6,7,8,9,10,11,12,13,14,15,16,17,18,19,20,21,22,23,24,25,26,27,28,29,30}-1)*LEN(Registro!$I601)+1,LEN(Registro!$I601)))," ",REPT(" ",50)),50)))),"Revisar formato"))</f>
        <v/>
      </c>
      <c r="L601" s="11" t="str">
        <f>IF(Registro!$J601="","",IFERROR(SUMPRODUCT(--("0"&amp;TRIM(RIGHT(SUBSTITUTE(TRIM(MID(SUBSTITUTE(SUBSTITUTE(Registro!$J601,";",CHAR(10)),CHAR(10),REPT(" ",LEN(Registro!$J601))),({1,2,3,4,5,6,7,8,9,10,11,12,13,14,15,16,17,18,19,20,21,22,23,24,25,26,27,28,29,30}-1)*LEN(Registro!$J601)+1,LEN(Registro!$J601)))," ",REPT(" ",50)),50)))),"Revisar formato"))</f>
        <v/>
      </c>
      <c r="M601" s="11" t="str">
        <f>IF(AND(Registro!$H601="",Registro!$I601=""),"",IF(AND(ISTEXT(K601),K601&lt;&gt;""),"Revisar formato",N(Registro!$H601)-N(K601)))</f>
        <v/>
      </c>
      <c r="N601" s="11" t="str">
        <f t="shared" si="29"/>
        <v/>
      </c>
      <c r="O601" s="15" t="str">
        <f>IF(AND(A601=Consulta!$B$3,C601=Consulta!$H$3),B601*10000+ROW(),"")</f>
        <v/>
      </c>
    </row>
    <row r="602" spans="1:15" x14ac:dyDescent="0.25">
      <c r="A602" s="9" t="str">
        <f>IF(Registro!$A602="","",Registro!$A602)</f>
        <v/>
      </c>
      <c r="B602" s="8" t="str">
        <f>IF(Registro!$B602="","",Registro!$B602)</f>
        <v/>
      </c>
      <c r="C602" s="14" t="str">
        <f t="shared" si="27"/>
        <v/>
      </c>
      <c r="D602" s="10" t="str">
        <f>IF(Registro!$E602="","",IF(ISERROR(FIND("x",LOWER(Registro!$E602))),"-",IFERROR(SUMPRODUCT(--("0"&amp;LEFT(TRIM(MID(SUBSTITUTE(SUBSTITUTE(SUBSTITUTE(SUBSTITUTE(SUBSTITUTE(LOWER(Registro!$E602),"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",LEN(Registro!$E602))),({1,2,3,4,5,6,7,8,9,10,11,12,13,14,15,16,17,18,19,20,21,22,23,24,25,26,27,28,29,30}-1)*LEN(Registro!$E602)+1,LEN(Registro!$E602)))&amp;"x")-1))),"Revisar formato")))</f>
        <v/>
      </c>
      <c r="E602" s="11" t="str">
        <f>IF(Registro!$E602="","",IF(ISERROR(FIND("x",LOWER(Registro!$E602))),"-",IFERROR(SUMPRODUCT(--("0"&amp;LEFT(TRIM(MID(SUBSTITUTE(SUBSTITUTE(SUBSTITUTE(SUBSTITUTE(SUBSTITUTE(LOWER(Registro!$E602),"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",LEN(Registro!$E602))),({1,2,3,4,5,6,7,8,9,10,11,12,13,14,15,16,17,18,19,20,21,22,23,24,25,26,27,28,29,30}-1)*LEN(Registro!$E602)+1,LEN(Registro!$E602)))&amp;"x")-1)),--("0"&amp;MID(TRIM(MID(SUBSTITUTE(SUBSTITUTE(SUBSTITUTE(SUBSTITUTE(SUBSTITUTE(LOWER(Registro!$E602),"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",LEN(Registro!$E602))),({1,2,3,4,5,6,7,8,9,10,11,12,13,14,15,16,17,18,19,20,21,22,23,24,25,26,27,28,29,30}-1)*LEN(Registro!$E602)+1,LEN(Registro!$E602)))&amp;"x")+1,20))),"Revisar formato")))</f>
        <v/>
      </c>
      <c r="F602" s="11" t="str">
        <f>IF(Registro!$F602="","",N(Registro!$F602))</f>
        <v/>
      </c>
      <c r="G602" s="11" t="str">
        <f t="shared" si="28"/>
        <v/>
      </c>
      <c r="H602" s="10" t="str">
        <f>IF(Registro!$G602="","",IF(ISERROR(FIND("x",LOWER(Registro!$G602))),"-",IFERROR(SUMPRODUCT(--("0"&amp;LEFT(TRIM(MID(SUBSTITUTE(SUBSTITUTE(SUBSTITUTE(SUBSTITUTE(SUBSTITUTE(LOWER(Registro!$G602),"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",LEN(Registro!$G602))),({1,2,3,4,5,6,7,8,9,10,11,12,13,14,15,16,17,18,19,20,21,22,23,24,25,26,27,28,29,30}-1)*LEN(Registro!$G602)+1,LEN(Registro!$G602))),FIND("x",TRIM(MID(SUBSTITUTE(SUBSTITUTE(SUBSTITUTE(SUBSTITUTE(SUBSTITUTE(LOWER(Registro!$G602),"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",LEN(Registro!$G602))),({1,2,3,4,5,6,7,8,9,10,11,12,13,14,15,16,17,18,19,20,21,22,23,24,25,26,27,28,29,30}-1)*LEN(Registro!$G602)+1,LEN(Registro!$G602)))&amp;"x")-1))),"Revisar formato")))</f>
        <v/>
      </c>
      <c r="I602" s="11" t="str">
        <f>IF(Registro!$G602="","",IF(ISERROR(FIND("x",LOWER(Registro!$G602))),N(Registro!$H602),IFERROR(SUMPRODUCT(--("0"&amp;LEFT(TRIM(MID(SUBSTITUTE(SUBSTITUTE(SUBSTITUTE(SUBSTITUTE(SUBSTITUTE(LOWER(Registro!$G602),"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",LEN(Registro!$G602))),({1,2,3,4,5,6,7,8,9,10,11,12,13,14,15,16,17,18,19,20,21,22,23,24,25,26,27,28,29,30}-1)*LEN(Registro!$G602)+1,LEN(Registro!$G602))),FIND("x",TRIM(MID(SUBSTITUTE(SUBSTITUTE(SUBSTITUTE(SUBSTITUTE(SUBSTITUTE(LOWER(Registro!$G602),"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",LEN(Registro!$G602))),({1,2,3,4,5,6,7,8,9,10,11,12,13,14,15,16,17,18,19,20,21,22,23,24,25,26,27,28,29,30}-1)*LEN(Registro!$G602)+1,LEN(Registro!$G602)))&amp;"x")-1)),--("0"&amp;MID(TRIM(MID(SUBSTITUTE(SUBSTITUTE(SUBSTITUTE(SUBSTITUTE(SUBSTITUTE(LOWER(Registro!$G602),"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",LEN(Registro!$G602))),({1,2,3,4,5,6,7,8,9,10,11,12,13,14,15,16,17,18,19,20,21,22,23,24,25,26,27,28,29,30}-1)*LEN(Registro!$G602)+1,LEN(Registro!$G602))),FIND("x",TRIM(MID(SUBSTITUTE(SUBSTITUTE(SUBSTITUTE(SUBSTITUTE(SUBSTITUTE(LOWER(Registro!$G602),"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",LEN(Registro!$G602))),({1,2,3,4,5,6,7,8,9,10,11,12,13,14,15,16,17,18,19,20,21,22,23,24,25,26,27,28,29,30}-1)*LEN(Registro!$G602)+1,LEN(Registro!$G602)))&amp;"x")+1,20))),"Revisar formato")))</f>
        <v/>
      </c>
      <c r="J602" s="9" t="str">
        <f>IF(AND(Registro!$E602="",Registro!$G602=""),"",IF(NOT(AND(ISNUMBER(I602),ISNUMBER(Registro!$H602))),"",IF(I602&lt;Registro!$H602,"FALTA BOLETOS",IF(I602=Registro!$H602,"CONFORME","DIFERENCIA"))))</f>
        <v/>
      </c>
      <c r="K602" s="11" t="str">
        <f>IF(Registro!$I602="","",IFERROR(SUMPRODUCT(--("0"&amp;TRIM(RIGHT(SUBSTITUTE(TRIM(MID(SUBSTITUTE(SUBSTITUTE(Registro!$I602,";",CHAR(10)),CHAR(10),REPT(" ",LEN(Registro!$I602))),({1,2,3,4,5,6,7,8,9,10,11,12,13,14,15,16,17,18,19,20,21,22,23,24,25,26,27,28,29,30}-1)*LEN(Registro!$I602)+1,LEN(Registro!$I602)))," ",REPT(" ",50)),50)))),"Revisar formato"))</f>
        <v/>
      </c>
      <c r="L602" s="11" t="str">
        <f>IF(Registro!$J602="","",IFERROR(SUMPRODUCT(--("0"&amp;TRIM(RIGHT(SUBSTITUTE(TRIM(MID(SUBSTITUTE(SUBSTITUTE(Registro!$J602,";",CHAR(10)),CHAR(10),REPT(" ",LEN(Registro!$J602))),({1,2,3,4,5,6,7,8,9,10,11,12,13,14,15,16,17,18,19,20,21,22,23,24,25,26,27,28,29,30}-1)*LEN(Registro!$J602)+1,LEN(Registro!$J602)))," ",REPT(" ",50)),50)))),"Revisar formato"))</f>
        <v/>
      </c>
      <c r="M602" s="11" t="str">
        <f>IF(AND(Registro!$H602="",Registro!$I602=""),"",IF(AND(ISTEXT(K602),K602&lt;&gt;""),"Revisar formato",N(Registro!$H602)-N(K602)))</f>
        <v/>
      </c>
      <c r="N602" s="11" t="str">
        <f t="shared" si="29"/>
        <v/>
      </c>
      <c r="O602" s="15" t="str">
        <f>IF(AND(A602=Consulta!$B$3,C602=Consulta!$H$3),B602*10000+ROW(),"")</f>
        <v/>
      </c>
    </row>
    <row r="603" spans="1:15" x14ac:dyDescent="0.25">
      <c r="A603" s="9" t="str">
        <f>IF(Registro!$A603="","",Registro!$A603)</f>
        <v/>
      </c>
      <c r="B603" s="8" t="str">
        <f>IF(Registro!$B603="","",Registro!$B603)</f>
        <v/>
      </c>
      <c r="C603" s="14" t="str">
        <f t="shared" si="27"/>
        <v/>
      </c>
      <c r="D603" s="10" t="str">
        <f>IF(Registro!$E603="","",IF(ISERROR(FIND("x",LOWER(Registro!$E603))),"-",IFERROR(SUMPRODUCT(--("0"&amp;LEFT(TRIM(MID(SUBSTITUTE(SUBSTITUTE(SUBSTITUTE(SUBSTITUTE(SUBSTITUTE(LOWER(Registro!$E603),"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",LEN(Registro!$E603))),({1,2,3,4,5,6,7,8,9,10,11,12,13,14,15,16,17,18,19,20,21,22,23,24,25,26,27,28,29,30}-1)*LEN(Registro!$E603)+1,LEN(Registro!$E603)))&amp;"x")-1))),"Revisar formato")))</f>
        <v/>
      </c>
      <c r="E603" s="11" t="str">
        <f>IF(Registro!$E603="","",IF(ISERROR(FIND("x",LOWER(Registro!$E603))),"-",IFERROR(SUMPRODUCT(--("0"&amp;LEFT(TRIM(MID(SUBSTITUTE(SUBSTITUTE(SUBSTITUTE(SUBSTITUTE(SUBSTITUTE(LOWER(Registro!$E603),"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",LEN(Registro!$E603))),({1,2,3,4,5,6,7,8,9,10,11,12,13,14,15,16,17,18,19,20,21,22,23,24,25,26,27,28,29,30}-1)*LEN(Registro!$E603)+1,LEN(Registro!$E603)))&amp;"x")-1)),--("0"&amp;MID(TRIM(MID(SUBSTITUTE(SUBSTITUTE(SUBSTITUTE(SUBSTITUTE(SUBSTITUTE(LOWER(Registro!$E603),"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",LEN(Registro!$E603))),({1,2,3,4,5,6,7,8,9,10,11,12,13,14,15,16,17,18,19,20,21,22,23,24,25,26,27,28,29,30}-1)*LEN(Registro!$E603)+1,LEN(Registro!$E603)))&amp;"x")+1,20))),"Revisar formato")))</f>
        <v/>
      </c>
      <c r="F603" s="11" t="str">
        <f>IF(Registro!$F603="","",N(Registro!$F603))</f>
        <v/>
      </c>
      <c r="G603" s="11" t="str">
        <f t="shared" si="28"/>
        <v/>
      </c>
      <c r="H603" s="10" t="str">
        <f>IF(Registro!$G603="","",IF(ISERROR(FIND("x",LOWER(Registro!$G603))),"-",IFERROR(SUMPRODUCT(--("0"&amp;LEFT(TRIM(MID(SUBSTITUTE(SUBSTITUTE(SUBSTITUTE(SUBSTITUTE(SUBSTITUTE(LOWER(Registro!$G603),"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",LEN(Registro!$G603))),({1,2,3,4,5,6,7,8,9,10,11,12,13,14,15,16,17,18,19,20,21,22,23,24,25,26,27,28,29,30}-1)*LEN(Registro!$G603)+1,LEN(Registro!$G603))),FIND("x",TRIM(MID(SUBSTITUTE(SUBSTITUTE(SUBSTITUTE(SUBSTITUTE(SUBSTITUTE(LOWER(Registro!$G603),"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",LEN(Registro!$G603))),({1,2,3,4,5,6,7,8,9,10,11,12,13,14,15,16,17,18,19,20,21,22,23,24,25,26,27,28,29,30}-1)*LEN(Registro!$G603)+1,LEN(Registro!$G603)))&amp;"x")-1))),"Revisar formato")))</f>
        <v/>
      </c>
      <c r="I603" s="11" t="str">
        <f>IF(Registro!$G603="","",IF(ISERROR(FIND("x",LOWER(Registro!$G603))),N(Registro!$H603),IFERROR(SUMPRODUCT(--("0"&amp;LEFT(TRIM(MID(SUBSTITUTE(SUBSTITUTE(SUBSTITUTE(SUBSTITUTE(SUBSTITUTE(LOWER(Registro!$G603),"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",LEN(Registro!$G603))),({1,2,3,4,5,6,7,8,9,10,11,12,13,14,15,16,17,18,19,20,21,22,23,24,25,26,27,28,29,30}-1)*LEN(Registro!$G603)+1,LEN(Registro!$G603))),FIND("x",TRIM(MID(SUBSTITUTE(SUBSTITUTE(SUBSTITUTE(SUBSTITUTE(SUBSTITUTE(LOWER(Registro!$G603),"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",LEN(Registro!$G603))),({1,2,3,4,5,6,7,8,9,10,11,12,13,14,15,16,17,18,19,20,21,22,23,24,25,26,27,28,29,30}-1)*LEN(Registro!$G603)+1,LEN(Registro!$G603)))&amp;"x")-1)),--("0"&amp;MID(TRIM(MID(SUBSTITUTE(SUBSTITUTE(SUBSTITUTE(SUBSTITUTE(SUBSTITUTE(LOWER(Registro!$G603),"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",LEN(Registro!$G603))),({1,2,3,4,5,6,7,8,9,10,11,12,13,14,15,16,17,18,19,20,21,22,23,24,25,26,27,28,29,30}-1)*LEN(Registro!$G603)+1,LEN(Registro!$G603))),FIND("x",TRIM(MID(SUBSTITUTE(SUBSTITUTE(SUBSTITUTE(SUBSTITUTE(SUBSTITUTE(LOWER(Registro!$G603),"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",LEN(Registro!$G603))),({1,2,3,4,5,6,7,8,9,10,11,12,13,14,15,16,17,18,19,20,21,22,23,24,25,26,27,28,29,30}-1)*LEN(Registro!$G603)+1,LEN(Registro!$G603)))&amp;"x")+1,20))),"Revisar formato")))</f>
        <v/>
      </c>
      <c r="J603" s="9" t="str">
        <f>IF(AND(Registro!$E603="",Registro!$G603=""),"",IF(NOT(AND(ISNUMBER(I603),ISNUMBER(Registro!$H603))),"",IF(I603&lt;Registro!$H603,"FALTA BOLETOS",IF(I603=Registro!$H603,"CONFORME","DIFERENCIA"))))</f>
        <v/>
      </c>
      <c r="K603" s="11" t="str">
        <f>IF(Registro!$I603="","",IFERROR(SUMPRODUCT(--("0"&amp;TRIM(RIGHT(SUBSTITUTE(TRIM(MID(SUBSTITUTE(SUBSTITUTE(Registro!$I603,";",CHAR(10)),CHAR(10),REPT(" ",LEN(Registro!$I603))),({1,2,3,4,5,6,7,8,9,10,11,12,13,14,15,16,17,18,19,20,21,22,23,24,25,26,27,28,29,30}-1)*LEN(Registro!$I603)+1,LEN(Registro!$I603)))," ",REPT(" ",50)),50)))),"Revisar formato"))</f>
        <v/>
      </c>
      <c r="L603" s="11" t="str">
        <f>IF(Registro!$J603="","",IFERROR(SUMPRODUCT(--("0"&amp;TRIM(RIGHT(SUBSTITUTE(TRIM(MID(SUBSTITUTE(SUBSTITUTE(Registro!$J603,";",CHAR(10)),CHAR(10),REPT(" ",LEN(Registro!$J603))),({1,2,3,4,5,6,7,8,9,10,11,12,13,14,15,16,17,18,19,20,21,22,23,24,25,26,27,28,29,30}-1)*LEN(Registro!$J603)+1,LEN(Registro!$J603)))," ",REPT(" ",50)),50)))),"Revisar formato"))</f>
        <v/>
      </c>
      <c r="M603" s="11" t="str">
        <f>IF(AND(Registro!$H603="",Registro!$I603=""),"",IF(AND(ISTEXT(K603),K603&lt;&gt;""),"Revisar formato",N(Registro!$H603)-N(K603)))</f>
        <v/>
      </c>
      <c r="N603" s="11" t="str">
        <f t="shared" si="29"/>
        <v/>
      </c>
      <c r="O603" s="15" t="str">
        <f>IF(AND(A603=Consulta!$B$3,C603=Consulta!$H$3),B603*10000+ROW(),"")</f>
        <v/>
      </c>
    </row>
    <row r="604" spans="1:15" x14ac:dyDescent="0.25">
      <c r="A604" s="9" t="str">
        <f>IF(Registro!$A604="","",Registro!$A604)</f>
        <v/>
      </c>
      <c r="B604" s="8" t="str">
        <f>IF(Registro!$B604="","",Registro!$B604)</f>
        <v/>
      </c>
      <c r="C604" s="14" t="str">
        <f t="shared" si="27"/>
        <v/>
      </c>
      <c r="D604" s="10" t="str">
        <f>IF(Registro!$E604="","",IF(ISERROR(FIND("x",LOWER(Registro!$E604))),"-",IFERROR(SUMPRODUCT(--("0"&amp;LEFT(TRIM(MID(SUBSTITUTE(SUBSTITUTE(SUBSTITUTE(SUBSTITUTE(SUBSTITUTE(LOWER(Registro!$E604),"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",LEN(Registro!$E604))),({1,2,3,4,5,6,7,8,9,10,11,12,13,14,15,16,17,18,19,20,21,22,23,24,25,26,27,28,29,30}-1)*LEN(Registro!$E604)+1,LEN(Registro!$E604)))&amp;"x")-1))),"Revisar formato")))</f>
        <v/>
      </c>
      <c r="E604" s="11" t="str">
        <f>IF(Registro!$E604="","",IF(ISERROR(FIND("x",LOWER(Registro!$E604))),"-",IFERROR(SUMPRODUCT(--("0"&amp;LEFT(TRIM(MID(SUBSTITUTE(SUBSTITUTE(SUBSTITUTE(SUBSTITUTE(SUBSTITUTE(LOWER(Registro!$E604),"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",LEN(Registro!$E604))),({1,2,3,4,5,6,7,8,9,10,11,12,13,14,15,16,17,18,19,20,21,22,23,24,25,26,27,28,29,30}-1)*LEN(Registro!$E604)+1,LEN(Registro!$E604)))&amp;"x")-1)),--("0"&amp;MID(TRIM(MID(SUBSTITUTE(SUBSTITUTE(SUBSTITUTE(SUBSTITUTE(SUBSTITUTE(LOWER(Registro!$E604),"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",LEN(Registro!$E604))),({1,2,3,4,5,6,7,8,9,10,11,12,13,14,15,16,17,18,19,20,21,22,23,24,25,26,27,28,29,30}-1)*LEN(Registro!$E604)+1,LEN(Registro!$E604)))&amp;"x")+1,20))),"Revisar formato")))</f>
        <v/>
      </c>
      <c r="F604" s="11" t="str">
        <f>IF(Registro!$F604="","",N(Registro!$F604))</f>
        <v/>
      </c>
      <c r="G604" s="11" t="str">
        <f t="shared" si="28"/>
        <v/>
      </c>
      <c r="H604" s="10" t="str">
        <f>IF(Registro!$G604="","",IF(ISERROR(FIND("x",LOWER(Registro!$G604))),"-",IFERROR(SUMPRODUCT(--("0"&amp;LEFT(TRIM(MID(SUBSTITUTE(SUBSTITUTE(SUBSTITUTE(SUBSTITUTE(SUBSTITUTE(LOWER(Registro!$G604),"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",LEN(Registro!$G604))),({1,2,3,4,5,6,7,8,9,10,11,12,13,14,15,16,17,18,19,20,21,22,23,24,25,26,27,28,29,30}-1)*LEN(Registro!$G604)+1,LEN(Registro!$G604))),FIND("x",TRIM(MID(SUBSTITUTE(SUBSTITUTE(SUBSTITUTE(SUBSTITUTE(SUBSTITUTE(LOWER(Registro!$G604),"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",LEN(Registro!$G604))),({1,2,3,4,5,6,7,8,9,10,11,12,13,14,15,16,17,18,19,20,21,22,23,24,25,26,27,28,29,30}-1)*LEN(Registro!$G604)+1,LEN(Registro!$G604)))&amp;"x")-1))),"Revisar formato")))</f>
        <v/>
      </c>
      <c r="I604" s="11" t="str">
        <f>IF(Registro!$G604="","",IF(ISERROR(FIND("x",LOWER(Registro!$G604))),N(Registro!$H604),IFERROR(SUMPRODUCT(--("0"&amp;LEFT(TRIM(MID(SUBSTITUTE(SUBSTITUTE(SUBSTITUTE(SUBSTITUTE(SUBSTITUTE(LOWER(Registro!$G604),"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",LEN(Registro!$G604))),({1,2,3,4,5,6,7,8,9,10,11,12,13,14,15,16,17,18,19,20,21,22,23,24,25,26,27,28,29,30}-1)*LEN(Registro!$G604)+1,LEN(Registro!$G604))),FIND("x",TRIM(MID(SUBSTITUTE(SUBSTITUTE(SUBSTITUTE(SUBSTITUTE(SUBSTITUTE(LOWER(Registro!$G604),"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",LEN(Registro!$G604))),({1,2,3,4,5,6,7,8,9,10,11,12,13,14,15,16,17,18,19,20,21,22,23,24,25,26,27,28,29,30}-1)*LEN(Registro!$G604)+1,LEN(Registro!$G604)))&amp;"x")-1)),--("0"&amp;MID(TRIM(MID(SUBSTITUTE(SUBSTITUTE(SUBSTITUTE(SUBSTITUTE(SUBSTITUTE(LOWER(Registro!$G604),"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",LEN(Registro!$G604))),({1,2,3,4,5,6,7,8,9,10,11,12,13,14,15,16,17,18,19,20,21,22,23,24,25,26,27,28,29,30}-1)*LEN(Registro!$G604)+1,LEN(Registro!$G604))),FIND("x",TRIM(MID(SUBSTITUTE(SUBSTITUTE(SUBSTITUTE(SUBSTITUTE(SUBSTITUTE(LOWER(Registro!$G604),"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",LEN(Registro!$G604))),({1,2,3,4,5,6,7,8,9,10,11,12,13,14,15,16,17,18,19,20,21,22,23,24,25,26,27,28,29,30}-1)*LEN(Registro!$G604)+1,LEN(Registro!$G604)))&amp;"x")+1,20))),"Revisar formato")))</f>
        <v/>
      </c>
      <c r="J604" s="9" t="str">
        <f>IF(AND(Registro!$E604="",Registro!$G604=""),"",IF(NOT(AND(ISNUMBER(I604),ISNUMBER(Registro!$H604))),"",IF(I604&lt;Registro!$H604,"FALTA BOLETOS",IF(I604=Registro!$H604,"CONFORME","DIFERENCIA"))))</f>
        <v/>
      </c>
      <c r="K604" s="11" t="str">
        <f>IF(Registro!$I604="","",IFERROR(SUMPRODUCT(--("0"&amp;TRIM(RIGHT(SUBSTITUTE(TRIM(MID(SUBSTITUTE(SUBSTITUTE(Registro!$I604,";",CHAR(10)),CHAR(10),REPT(" ",LEN(Registro!$I604))),({1,2,3,4,5,6,7,8,9,10,11,12,13,14,15,16,17,18,19,20,21,22,23,24,25,26,27,28,29,30}-1)*LEN(Registro!$I604)+1,LEN(Registro!$I604)))," ",REPT(" ",50)),50)))),"Revisar formato"))</f>
        <v/>
      </c>
      <c r="L604" s="11" t="str">
        <f>IF(Registro!$J604="","",IFERROR(SUMPRODUCT(--("0"&amp;TRIM(RIGHT(SUBSTITUTE(TRIM(MID(SUBSTITUTE(SUBSTITUTE(Registro!$J604,";",CHAR(10)),CHAR(10),REPT(" ",LEN(Registro!$J604))),({1,2,3,4,5,6,7,8,9,10,11,12,13,14,15,16,17,18,19,20,21,22,23,24,25,26,27,28,29,30}-1)*LEN(Registro!$J604)+1,LEN(Registro!$J604)))," ",REPT(" ",50)),50)))),"Revisar formato"))</f>
        <v/>
      </c>
      <c r="M604" s="11" t="str">
        <f>IF(AND(Registro!$H604="",Registro!$I604=""),"",IF(AND(ISTEXT(K604),K604&lt;&gt;""),"Revisar formato",N(Registro!$H604)-N(K604)))</f>
        <v/>
      </c>
      <c r="N604" s="11" t="str">
        <f t="shared" si="29"/>
        <v/>
      </c>
      <c r="O604" s="15" t="str">
        <f>IF(AND(A604=Consulta!$B$3,C604=Consulta!$H$3),B604*10000+ROW(),"")</f>
        <v/>
      </c>
    </row>
    <row r="605" spans="1:15" x14ac:dyDescent="0.25">
      <c r="A605" s="9" t="str">
        <f>IF(Registro!$A605="","",Registro!$A605)</f>
        <v/>
      </c>
      <c r="B605" s="8" t="str">
        <f>IF(Registro!$B605="","",Registro!$B605)</f>
        <v/>
      </c>
      <c r="C605" s="14" t="str">
        <f t="shared" si="27"/>
        <v/>
      </c>
      <c r="D605" s="10" t="str">
        <f>IF(Registro!$E605="","",IF(ISERROR(FIND("x",LOWER(Registro!$E605))),"-",IFERROR(SUMPRODUCT(--("0"&amp;LEFT(TRIM(MID(SUBSTITUTE(SUBSTITUTE(SUBSTITUTE(SUBSTITUTE(SUBSTITUTE(LOWER(Registro!$E605),"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",LEN(Registro!$E605))),({1,2,3,4,5,6,7,8,9,10,11,12,13,14,15,16,17,18,19,20,21,22,23,24,25,26,27,28,29,30}-1)*LEN(Registro!$E605)+1,LEN(Registro!$E605)))&amp;"x")-1))),"Revisar formato")))</f>
        <v/>
      </c>
      <c r="E605" s="11" t="str">
        <f>IF(Registro!$E605="","",IF(ISERROR(FIND("x",LOWER(Registro!$E605))),"-",IFERROR(SUMPRODUCT(--("0"&amp;LEFT(TRIM(MID(SUBSTITUTE(SUBSTITUTE(SUBSTITUTE(SUBSTITUTE(SUBSTITUTE(LOWER(Registro!$E605),"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",LEN(Registro!$E605))),({1,2,3,4,5,6,7,8,9,10,11,12,13,14,15,16,17,18,19,20,21,22,23,24,25,26,27,28,29,30}-1)*LEN(Registro!$E605)+1,LEN(Registro!$E605)))&amp;"x")-1)),--("0"&amp;MID(TRIM(MID(SUBSTITUTE(SUBSTITUTE(SUBSTITUTE(SUBSTITUTE(SUBSTITUTE(LOWER(Registro!$E605),"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",LEN(Registro!$E605))),({1,2,3,4,5,6,7,8,9,10,11,12,13,14,15,16,17,18,19,20,21,22,23,24,25,26,27,28,29,30}-1)*LEN(Registro!$E605)+1,LEN(Registro!$E605)))&amp;"x")+1,20))),"Revisar formato")))</f>
        <v/>
      </c>
      <c r="F605" s="11" t="str">
        <f>IF(Registro!$F605="","",N(Registro!$F605))</f>
        <v/>
      </c>
      <c r="G605" s="11" t="str">
        <f t="shared" si="28"/>
        <v/>
      </c>
      <c r="H605" s="10" t="str">
        <f>IF(Registro!$G605="","",IF(ISERROR(FIND("x",LOWER(Registro!$G605))),"-",IFERROR(SUMPRODUCT(--("0"&amp;LEFT(TRIM(MID(SUBSTITUTE(SUBSTITUTE(SUBSTITUTE(SUBSTITUTE(SUBSTITUTE(LOWER(Registro!$G605),"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",LEN(Registro!$G605))),({1,2,3,4,5,6,7,8,9,10,11,12,13,14,15,16,17,18,19,20,21,22,23,24,25,26,27,28,29,30}-1)*LEN(Registro!$G605)+1,LEN(Registro!$G605))),FIND("x",TRIM(MID(SUBSTITUTE(SUBSTITUTE(SUBSTITUTE(SUBSTITUTE(SUBSTITUTE(LOWER(Registro!$G605),"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",LEN(Registro!$G605))),({1,2,3,4,5,6,7,8,9,10,11,12,13,14,15,16,17,18,19,20,21,22,23,24,25,26,27,28,29,30}-1)*LEN(Registro!$G605)+1,LEN(Registro!$G605)))&amp;"x")-1))),"Revisar formato")))</f>
        <v/>
      </c>
      <c r="I605" s="11" t="str">
        <f>IF(Registro!$G605="","",IF(ISERROR(FIND("x",LOWER(Registro!$G605))),N(Registro!$H605),IFERROR(SUMPRODUCT(--("0"&amp;LEFT(TRIM(MID(SUBSTITUTE(SUBSTITUTE(SUBSTITUTE(SUBSTITUTE(SUBSTITUTE(LOWER(Registro!$G605),"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",LEN(Registro!$G605))),({1,2,3,4,5,6,7,8,9,10,11,12,13,14,15,16,17,18,19,20,21,22,23,24,25,26,27,28,29,30}-1)*LEN(Registro!$G605)+1,LEN(Registro!$G605))),FIND("x",TRIM(MID(SUBSTITUTE(SUBSTITUTE(SUBSTITUTE(SUBSTITUTE(SUBSTITUTE(LOWER(Registro!$G605),"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",LEN(Registro!$G605))),({1,2,3,4,5,6,7,8,9,10,11,12,13,14,15,16,17,18,19,20,21,22,23,24,25,26,27,28,29,30}-1)*LEN(Registro!$G605)+1,LEN(Registro!$G605)))&amp;"x")-1)),--("0"&amp;MID(TRIM(MID(SUBSTITUTE(SUBSTITUTE(SUBSTITUTE(SUBSTITUTE(SUBSTITUTE(LOWER(Registro!$G605),"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",LEN(Registro!$G605))),({1,2,3,4,5,6,7,8,9,10,11,12,13,14,15,16,17,18,19,20,21,22,23,24,25,26,27,28,29,30}-1)*LEN(Registro!$G605)+1,LEN(Registro!$G605))),FIND("x",TRIM(MID(SUBSTITUTE(SUBSTITUTE(SUBSTITUTE(SUBSTITUTE(SUBSTITUTE(LOWER(Registro!$G605),"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",LEN(Registro!$G605))),({1,2,3,4,5,6,7,8,9,10,11,12,13,14,15,16,17,18,19,20,21,22,23,24,25,26,27,28,29,30}-1)*LEN(Registro!$G605)+1,LEN(Registro!$G605)))&amp;"x")+1,20))),"Revisar formato")))</f>
        <v/>
      </c>
      <c r="J605" s="9" t="str">
        <f>IF(AND(Registro!$E605="",Registro!$G605=""),"",IF(NOT(AND(ISNUMBER(I605),ISNUMBER(Registro!$H605))),"",IF(I605&lt;Registro!$H605,"FALTA BOLETOS",IF(I605=Registro!$H605,"CONFORME","DIFERENCIA"))))</f>
        <v/>
      </c>
      <c r="K605" s="11" t="str">
        <f>IF(Registro!$I605="","",IFERROR(SUMPRODUCT(--("0"&amp;TRIM(RIGHT(SUBSTITUTE(TRIM(MID(SUBSTITUTE(SUBSTITUTE(Registro!$I605,";",CHAR(10)),CHAR(10),REPT(" ",LEN(Registro!$I605))),({1,2,3,4,5,6,7,8,9,10,11,12,13,14,15,16,17,18,19,20,21,22,23,24,25,26,27,28,29,30}-1)*LEN(Registro!$I605)+1,LEN(Registro!$I605)))," ",REPT(" ",50)),50)))),"Revisar formato"))</f>
        <v/>
      </c>
      <c r="L605" s="11" t="str">
        <f>IF(Registro!$J605="","",IFERROR(SUMPRODUCT(--("0"&amp;TRIM(RIGHT(SUBSTITUTE(TRIM(MID(SUBSTITUTE(SUBSTITUTE(Registro!$J605,";",CHAR(10)),CHAR(10),REPT(" ",LEN(Registro!$J605))),({1,2,3,4,5,6,7,8,9,10,11,12,13,14,15,16,17,18,19,20,21,22,23,24,25,26,27,28,29,30}-1)*LEN(Registro!$J605)+1,LEN(Registro!$J605)))," ",REPT(" ",50)),50)))),"Revisar formato"))</f>
        <v/>
      </c>
      <c r="M605" s="11" t="str">
        <f>IF(AND(Registro!$H605="",Registro!$I605=""),"",IF(AND(ISTEXT(K605),K605&lt;&gt;""),"Revisar formato",N(Registro!$H605)-N(K605)))</f>
        <v/>
      </c>
      <c r="N605" s="11" t="str">
        <f t="shared" si="29"/>
        <v/>
      </c>
      <c r="O605" s="15" t="str">
        <f>IF(AND(A605=Consulta!$B$3,C605=Consulta!$H$3),B605*10000+ROW(),"")</f>
        <v/>
      </c>
    </row>
    <row r="606" spans="1:15" x14ac:dyDescent="0.25">
      <c r="A606" s="9" t="str">
        <f>IF(Registro!$A606="","",Registro!$A606)</f>
        <v/>
      </c>
      <c r="B606" s="8" t="str">
        <f>IF(Registro!$B606="","",Registro!$B606)</f>
        <v/>
      </c>
      <c r="C606" s="14" t="str">
        <f t="shared" si="27"/>
        <v/>
      </c>
      <c r="D606" s="10" t="str">
        <f>IF(Registro!$E606="","",IF(ISERROR(FIND("x",LOWER(Registro!$E606))),"-",IFERROR(SUMPRODUCT(--("0"&amp;LEFT(TRIM(MID(SUBSTITUTE(SUBSTITUTE(SUBSTITUTE(SUBSTITUTE(SUBSTITUTE(LOWER(Registro!$E606),"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",LEN(Registro!$E606))),({1,2,3,4,5,6,7,8,9,10,11,12,13,14,15,16,17,18,19,20,21,22,23,24,25,26,27,28,29,30}-1)*LEN(Registro!$E606)+1,LEN(Registro!$E606)))&amp;"x")-1))),"Revisar formato")))</f>
        <v/>
      </c>
      <c r="E606" s="11" t="str">
        <f>IF(Registro!$E606="","",IF(ISERROR(FIND("x",LOWER(Registro!$E606))),"-",IFERROR(SUMPRODUCT(--("0"&amp;LEFT(TRIM(MID(SUBSTITUTE(SUBSTITUTE(SUBSTITUTE(SUBSTITUTE(SUBSTITUTE(LOWER(Registro!$E606),"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",LEN(Registro!$E606))),({1,2,3,4,5,6,7,8,9,10,11,12,13,14,15,16,17,18,19,20,21,22,23,24,25,26,27,28,29,30}-1)*LEN(Registro!$E606)+1,LEN(Registro!$E606)))&amp;"x")-1)),--("0"&amp;MID(TRIM(MID(SUBSTITUTE(SUBSTITUTE(SUBSTITUTE(SUBSTITUTE(SUBSTITUTE(LOWER(Registro!$E606),"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",LEN(Registro!$E606))),({1,2,3,4,5,6,7,8,9,10,11,12,13,14,15,16,17,18,19,20,21,22,23,24,25,26,27,28,29,30}-1)*LEN(Registro!$E606)+1,LEN(Registro!$E606)))&amp;"x")+1,20))),"Revisar formato")))</f>
        <v/>
      </c>
      <c r="F606" s="11" t="str">
        <f>IF(Registro!$F606="","",N(Registro!$F606))</f>
        <v/>
      </c>
      <c r="G606" s="11" t="str">
        <f t="shared" si="28"/>
        <v/>
      </c>
      <c r="H606" s="10" t="str">
        <f>IF(Registro!$G606="","",IF(ISERROR(FIND("x",LOWER(Registro!$G606))),"-",IFERROR(SUMPRODUCT(--("0"&amp;LEFT(TRIM(MID(SUBSTITUTE(SUBSTITUTE(SUBSTITUTE(SUBSTITUTE(SUBSTITUTE(LOWER(Registro!$G606),"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",LEN(Registro!$G606))),({1,2,3,4,5,6,7,8,9,10,11,12,13,14,15,16,17,18,19,20,21,22,23,24,25,26,27,28,29,30}-1)*LEN(Registro!$G606)+1,LEN(Registro!$G606))),FIND("x",TRIM(MID(SUBSTITUTE(SUBSTITUTE(SUBSTITUTE(SUBSTITUTE(SUBSTITUTE(LOWER(Registro!$G606),"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",LEN(Registro!$G606))),({1,2,3,4,5,6,7,8,9,10,11,12,13,14,15,16,17,18,19,20,21,22,23,24,25,26,27,28,29,30}-1)*LEN(Registro!$G606)+1,LEN(Registro!$G606)))&amp;"x")-1))),"Revisar formato")))</f>
        <v/>
      </c>
      <c r="I606" s="11" t="str">
        <f>IF(Registro!$G606="","",IF(ISERROR(FIND("x",LOWER(Registro!$G606))),N(Registro!$H606),IFERROR(SUMPRODUCT(--("0"&amp;LEFT(TRIM(MID(SUBSTITUTE(SUBSTITUTE(SUBSTITUTE(SUBSTITUTE(SUBSTITUTE(LOWER(Registro!$G606),"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",LEN(Registro!$G606))),({1,2,3,4,5,6,7,8,9,10,11,12,13,14,15,16,17,18,19,20,21,22,23,24,25,26,27,28,29,30}-1)*LEN(Registro!$G606)+1,LEN(Registro!$G606))),FIND("x",TRIM(MID(SUBSTITUTE(SUBSTITUTE(SUBSTITUTE(SUBSTITUTE(SUBSTITUTE(LOWER(Registro!$G606),"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",LEN(Registro!$G606))),({1,2,3,4,5,6,7,8,9,10,11,12,13,14,15,16,17,18,19,20,21,22,23,24,25,26,27,28,29,30}-1)*LEN(Registro!$G606)+1,LEN(Registro!$G606)))&amp;"x")-1)),--("0"&amp;MID(TRIM(MID(SUBSTITUTE(SUBSTITUTE(SUBSTITUTE(SUBSTITUTE(SUBSTITUTE(LOWER(Registro!$G606),"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",LEN(Registro!$G606))),({1,2,3,4,5,6,7,8,9,10,11,12,13,14,15,16,17,18,19,20,21,22,23,24,25,26,27,28,29,30}-1)*LEN(Registro!$G606)+1,LEN(Registro!$G606))),FIND("x",TRIM(MID(SUBSTITUTE(SUBSTITUTE(SUBSTITUTE(SUBSTITUTE(SUBSTITUTE(LOWER(Registro!$G606),"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",LEN(Registro!$G606))),({1,2,3,4,5,6,7,8,9,10,11,12,13,14,15,16,17,18,19,20,21,22,23,24,25,26,27,28,29,30}-1)*LEN(Registro!$G606)+1,LEN(Registro!$G606)))&amp;"x")+1,20))),"Revisar formato")))</f>
        <v/>
      </c>
      <c r="J606" s="9" t="str">
        <f>IF(AND(Registro!$E606="",Registro!$G606=""),"",IF(NOT(AND(ISNUMBER(I606),ISNUMBER(Registro!$H606))),"",IF(I606&lt;Registro!$H606,"FALTA BOLETOS",IF(I606=Registro!$H606,"CONFORME","DIFERENCIA"))))</f>
        <v/>
      </c>
      <c r="K606" s="11" t="str">
        <f>IF(Registro!$I606="","",IFERROR(SUMPRODUCT(--("0"&amp;TRIM(RIGHT(SUBSTITUTE(TRIM(MID(SUBSTITUTE(SUBSTITUTE(Registro!$I606,";",CHAR(10)),CHAR(10),REPT(" ",LEN(Registro!$I606))),({1,2,3,4,5,6,7,8,9,10,11,12,13,14,15,16,17,18,19,20,21,22,23,24,25,26,27,28,29,30}-1)*LEN(Registro!$I606)+1,LEN(Registro!$I606)))," ",REPT(" ",50)),50)))),"Revisar formato"))</f>
        <v/>
      </c>
      <c r="L606" s="11" t="str">
        <f>IF(Registro!$J606="","",IFERROR(SUMPRODUCT(--("0"&amp;TRIM(RIGHT(SUBSTITUTE(TRIM(MID(SUBSTITUTE(SUBSTITUTE(Registro!$J606,";",CHAR(10)),CHAR(10),REPT(" ",LEN(Registro!$J606))),({1,2,3,4,5,6,7,8,9,10,11,12,13,14,15,16,17,18,19,20,21,22,23,24,25,26,27,28,29,30}-1)*LEN(Registro!$J606)+1,LEN(Registro!$J606)))," ",REPT(" ",50)),50)))),"Revisar formato"))</f>
        <v/>
      </c>
      <c r="M606" s="11" t="str">
        <f>IF(AND(Registro!$H606="",Registro!$I606=""),"",IF(AND(ISTEXT(K606),K606&lt;&gt;""),"Revisar formato",N(Registro!$H606)-N(K606)))</f>
        <v/>
      </c>
      <c r="N606" s="11" t="str">
        <f t="shared" si="29"/>
        <v/>
      </c>
      <c r="O606" s="15" t="str">
        <f>IF(AND(A606=Consulta!$B$3,C606=Consulta!$H$3),B606*10000+ROW(),"")</f>
        <v/>
      </c>
    </row>
    <row r="607" spans="1:15" x14ac:dyDescent="0.25">
      <c r="A607" s="9" t="str">
        <f>IF(Registro!$A607="","",Registro!$A607)</f>
        <v/>
      </c>
      <c r="B607" s="8" t="str">
        <f>IF(Registro!$B607="","",Registro!$B607)</f>
        <v/>
      </c>
      <c r="C607" s="14" t="str">
        <f t="shared" si="27"/>
        <v/>
      </c>
      <c r="D607" s="10" t="str">
        <f>IF(Registro!$E607="","",IF(ISERROR(FIND("x",LOWER(Registro!$E607))),"-",IFERROR(SUMPRODUCT(--("0"&amp;LEFT(TRIM(MID(SUBSTITUTE(SUBSTITUTE(SUBSTITUTE(SUBSTITUTE(SUBSTITUTE(LOWER(Registro!$E607),"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",LEN(Registro!$E607))),({1,2,3,4,5,6,7,8,9,10,11,12,13,14,15,16,17,18,19,20,21,22,23,24,25,26,27,28,29,30}-1)*LEN(Registro!$E607)+1,LEN(Registro!$E607)))&amp;"x")-1))),"Revisar formato")))</f>
        <v/>
      </c>
      <c r="E607" s="11" t="str">
        <f>IF(Registro!$E607="","",IF(ISERROR(FIND("x",LOWER(Registro!$E607))),"-",IFERROR(SUMPRODUCT(--("0"&amp;LEFT(TRIM(MID(SUBSTITUTE(SUBSTITUTE(SUBSTITUTE(SUBSTITUTE(SUBSTITUTE(LOWER(Registro!$E607),"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",LEN(Registro!$E607))),({1,2,3,4,5,6,7,8,9,10,11,12,13,14,15,16,17,18,19,20,21,22,23,24,25,26,27,28,29,30}-1)*LEN(Registro!$E607)+1,LEN(Registro!$E607)))&amp;"x")-1)),--("0"&amp;MID(TRIM(MID(SUBSTITUTE(SUBSTITUTE(SUBSTITUTE(SUBSTITUTE(SUBSTITUTE(LOWER(Registro!$E607),"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",LEN(Registro!$E607))),({1,2,3,4,5,6,7,8,9,10,11,12,13,14,15,16,17,18,19,20,21,22,23,24,25,26,27,28,29,30}-1)*LEN(Registro!$E607)+1,LEN(Registro!$E607)))&amp;"x")+1,20))),"Revisar formato")))</f>
        <v/>
      </c>
      <c r="F607" s="11" t="str">
        <f>IF(Registro!$F607="","",N(Registro!$F607))</f>
        <v/>
      </c>
      <c r="G607" s="11" t="str">
        <f t="shared" si="28"/>
        <v/>
      </c>
      <c r="H607" s="10" t="str">
        <f>IF(Registro!$G607="","",IF(ISERROR(FIND("x",LOWER(Registro!$G607))),"-",IFERROR(SUMPRODUCT(--("0"&amp;LEFT(TRIM(MID(SUBSTITUTE(SUBSTITUTE(SUBSTITUTE(SUBSTITUTE(SUBSTITUTE(LOWER(Registro!$G607),"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",LEN(Registro!$G607))),({1,2,3,4,5,6,7,8,9,10,11,12,13,14,15,16,17,18,19,20,21,22,23,24,25,26,27,28,29,30}-1)*LEN(Registro!$G607)+1,LEN(Registro!$G607))),FIND("x",TRIM(MID(SUBSTITUTE(SUBSTITUTE(SUBSTITUTE(SUBSTITUTE(SUBSTITUTE(LOWER(Registro!$G607),"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",LEN(Registro!$G607))),({1,2,3,4,5,6,7,8,9,10,11,12,13,14,15,16,17,18,19,20,21,22,23,24,25,26,27,28,29,30}-1)*LEN(Registro!$G607)+1,LEN(Registro!$G607)))&amp;"x")-1))),"Revisar formato")))</f>
        <v/>
      </c>
      <c r="I607" s="11" t="str">
        <f>IF(Registro!$G607="","",IF(ISERROR(FIND("x",LOWER(Registro!$G607))),N(Registro!$H607),IFERROR(SUMPRODUCT(--("0"&amp;LEFT(TRIM(MID(SUBSTITUTE(SUBSTITUTE(SUBSTITUTE(SUBSTITUTE(SUBSTITUTE(LOWER(Registro!$G607),"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",LEN(Registro!$G607))),({1,2,3,4,5,6,7,8,9,10,11,12,13,14,15,16,17,18,19,20,21,22,23,24,25,26,27,28,29,30}-1)*LEN(Registro!$G607)+1,LEN(Registro!$G607))),FIND("x",TRIM(MID(SUBSTITUTE(SUBSTITUTE(SUBSTITUTE(SUBSTITUTE(SUBSTITUTE(LOWER(Registro!$G607),"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",LEN(Registro!$G607))),({1,2,3,4,5,6,7,8,9,10,11,12,13,14,15,16,17,18,19,20,21,22,23,24,25,26,27,28,29,30}-1)*LEN(Registro!$G607)+1,LEN(Registro!$G607)))&amp;"x")-1)),--("0"&amp;MID(TRIM(MID(SUBSTITUTE(SUBSTITUTE(SUBSTITUTE(SUBSTITUTE(SUBSTITUTE(LOWER(Registro!$G607),"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",LEN(Registro!$G607))),({1,2,3,4,5,6,7,8,9,10,11,12,13,14,15,16,17,18,19,20,21,22,23,24,25,26,27,28,29,30}-1)*LEN(Registro!$G607)+1,LEN(Registro!$G607))),FIND("x",TRIM(MID(SUBSTITUTE(SUBSTITUTE(SUBSTITUTE(SUBSTITUTE(SUBSTITUTE(LOWER(Registro!$G607),"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",LEN(Registro!$G607))),({1,2,3,4,5,6,7,8,9,10,11,12,13,14,15,16,17,18,19,20,21,22,23,24,25,26,27,28,29,30}-1)*LEN(Registro!$G607)+1,LEN(Registro!$G607)))&amp;"x")+1,20))),"Revisar formato")))</f>
        <v/>
      </c>
      <c r="J607" s="9" t="str">
        <f>IF(AND(Registro!$E607="",Registro!$G607=""),"",IF(NOT(AND(ISNUMBER(I607),ISNUMBER(Registro!$H607))),"",IF(I607&lt;Registro!$H607,"FALTA BOLETOS",IF(I607=Registro!$H607,"CONFORME","DIFERENCIA"))))</f>
        <v/>
      </c>
      <c r="K607" s="11" t="str">
        <f>IF(Registro!$I607="","",IFERROR(SUMPRODUCT(--("0"&amp;TRIM(RIGHT(SUBSTITUTE(TRIM(MID(SUBSTITUTE(SUBSTITUTE(Registro!$I607,";",CHAR(10)),CHAR(10),REPT(" ",LEN(Registro!$I607))),({1,2,3,4,5,6,7,8,9,10,11,12,13,14,15,16,17,18,19,20,21,22,23,24,25,26,27,28,29,30}-1)*LEN(Registro!$I607)+1,LEN(Registro!$I607)))," ",REPT(" ",50)),50)))),"Revisar formato"))</f>
        <v/>
      </c>
      <c r="L607" s="11" t="str">
        <f>IF(Registro!$J607="","",IFERROR(SUMPRODUCT(--("0"&amp;TRIM(RIGHT(SUBSTITUTE(TRIM(MID(SUBSTITUTE(SUBSTITUTE(Registro!$J607,";",CHAR(10)),CHAR(10),REPT(" ",LEN(Registro!$J607))),({1,2,3,4,5,6,7,8,9,10,11,12,13,14,15,16,17,18,19,20,21,22,23,24,25,26,27,28,29,30}-1)*LEN(Registro!$J607)+1,LEN(Registro!$J607)))," ",REPT(" ",50)),50)))),"Revisar formato"))</f>
        <v/>
      </c>
      <c r="M607" s="11" t="str">
        <f>IF(AND(Registro!$H607="",Registro!$I607=""),"",IF(AND(ISTEXT(K607),K607&lt;&gt;""),"Revisar formato",N(Registro!$H607)-N(K607)))</f>
        <v/>
      </c>
      <c r="N607" s="11" t="str">
        <f t="shared" si="29"/>
        <v/>
      </c>
      <c r="O607" s="15" t="str">
        <f>IF(AND(A607=Consulta!$B$3,C607=Consulta!$H$3),B607*10000+ROW(),"")</f>
        <v/>
      </c>
    </row>
    <row r="608" spans="1:15" x14ac:dyDescent="0.25">
      <c r="A608" s="9" t="str">
        <f>IF(Registro!$A608="","",Registro!$A608)</f>
        <v/>
      </c>
      <c r="B608" s="8" t="str">
        <f>IF(Registro!$B608="","",Registro!$B608)</f>
        <v/>
      </c>
      <c r="C608" s="14" t="str">
        <f t="shared" si="27"/>
        <v/>
      </c>
      <c r="D608" s="10" t="str">
        <f>IF(Registro!$E608="","",IF(ISERROR(FIND("x",LOWER(Registro!$E608))),"-",IFERROR(SUMPRODUCT(--("0"&amp;LEFT(TRIM(MID(SUBSTITUTE(SUBSTITUTE(SUBSTITUTE(SUBSTITUTE(SUBSTITUTE(LOWER(Registro!$E608),"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",LEN(Registro!$E608))),({1,2,3,4,5,6,7,8,9,10,11,12,13,14,15,16,17,18,19,20,21,22,23,24,25,26,27,28,29,30}-1)*LEN(Registro!$E608)+1,LEN(Registro!$E608)))&amp;"x")-1))),"Revisar formato")))</f>
        <v/>
      </c>
      <c r="E608" s="11" t="str">
        <f>IF(Registro!$E608="","",IF(ISERROR(FIND("x",LOWER(Registro!$E608))),"-",IFERROR(SUMPRODUCT(--("0"&amp;LEFT(TRIM(MID(SUBSTITUTE(SUBSTITUTE(SUBSTITUTE(SUBSTITUTE(SUBSTITUTE(LOWER(Registro!$E608),"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",LEN(Registro!$E608))),({1,2,3,4,5,6,7,8,9,10,11,12,13,14,15,16,17,18,19,20,21,22,23,24,25,26,27,28,29,30}-1)*LEN(Registro!$E608)+1,LEN(Registro!$E608)))&amp;"x")-1)),--("0"&amp;MID(TRIM(MID(SUBSTITUTE(SUBSTITUTE(SUBSTITUTE(SUBSTITUTE(SUBSTITUTE(LOWER(Registro!$E608),"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",LEN(Registro!$E608))),({1,2,3,4,5,6,7,8,9,10,11,12,13,14,15,16,17,18,19,20,21,22,23,24,25,26,27,28,29,30}-1)*LEN(Registro!$E608)+1,LEN(Registro!$E608)))&amp;"x")+1,20))),"Revisar formato")))</f>
        <v/>
      </c>
      <c r="F608" s="11" t="str">
        <f>IF(Registro!$F608="","",N(Registro!$F608))</f>
        <v/>
      </c>
      <c r="G608" s="11" t="str">
        <f t="shared" si="28"/>
        <v/>
      </c>
      <c r="H608" s="10" t="str">
        <f>IF(Registro!$G608="","",IF(ISERROR(FIND("x",LOWER(Registro!$G608))),"-",IFERROR(SUMPRODUCT(--("0"&amp;LEFT(TRIM(MID(SUBSTITUTE(SUBSTITUTE(SUBSTITUTE(SUBSTITUTE(SUBSTITUTE(LOWER(Registro!$G608),"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",LEN(Registro!$G608))),({1,2,3,4,5,6,7,8,9,10,11,12,13,14,15,16,17,18,19,20,21,22,23,24,25,26,27,28,29,30}-1)*LEN(Registro!$G608)+1,LEN(Registro!$G608))),FIND("x",TRIM(MID(SUBSTITUTE(SUBSTITUTE(SUBSTITUTE(SUBSTITUTE(SUBSTITUTE(LOWER(Registro!$G608),"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",LEN(Registro!$G608))),({1,2,3,4,5,6,7,8,9,10,11,12,13,14,15,16,17,18,19,20,21,22,23,24,25,26,27,28,29,30}-1)*LEN(Registro!$G608)+1,LEN(Registro!$G608)))&amp;"x")-1))),"Revisar formato")))</f>
        <v/>
      </c>
      <c r="I608" s="11" t="str">
        <f>IF(Registro!$G608="","",IF(ISERROR(FIND("x",LOWER(Registro!$G608))),N(Registro!$H608),IFERROR(SUMPRODUCT(--("0"&amp;LEFT(TRIM(MID(SUBSTITUTE(SUBSTITUTE(SUBSTITUTE(SUBSTITUTE(SUBSTITUTE(LOWER(Registro!$G608),"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",LEN(Registro!$G608))),({1,2,3,4,5,6,7,8,9,10,11,12,13,14,15,16,17,18,19,20,21,22,23,24,25,26,27,28,29,30}-1)*LEN(Registro!$G608)+1,LEN(Registro!$G608))),FIND("x",TRIM(MID(SUBSTITUTE(SUBSTITUTE(SUBSTITUTE(SUBSTITUTE(SUBSTITUTE(LOWER(Registro!$G608),"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",LEN(Registro!$G608))),({1,2,3,4,5,6,7,8,9,10,11,12,13,14,15,16,17,18,19,20,21,22,23,24,25,26,27,28,29,30}-1)*LEN(Registro!$G608)+1,LEN(Registro!$G608)))&amp;"x")-1)),--("0"&amp;MID(TRIM(MID(SUBSTITUTE(SUBSTITUTE(SUBSTITUTE(SUBSTITUTE(SUBSTITUTE(LOWER(Registro!$G608),"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",LEN(Registro!$G608))),({1,2,3,4,5,6,7,8,9,10,11,12,13,14,15,16,17,18,19,20,21,22,23,24,25,26,27,28,29,30}-1)*LEN(Registro!$G608)+1,LEN(Registro!$G608))),FIND("x",TRIM(MID(SUBSTITUTE(SUBSTITUTE(SUBSTITUTE(SUBSTITUTE(SUBSTITUTE(LOWER(Registro!$G608),"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",LEN(Registro!$G608))),({1,2,3,4,5,6,7,8,9,10,11,12,13,14,15,16,17,18,19,20,21,22,23,24,25,26,27,28,29,30}-1)*LEN(Registro!$G608)+1,LEN(Registro!$G608)))&amp;"x")+1,20))),"Revisar formato")))</f>
        <v/>
      </c>
      <c r="J608" s="9" t="str">
        <f>IF(AND(Registro!$E608="",Registro!$G608=""),"",IF(NOT(AND(ISNUMBER(I608),ISNUMBER(Registro!$H608))),"",IF(I608&lt;Registro!$H608,"FALTA BOLETOS",IF(I608=Registro!$H608,"CONFORME","DIFERENCIA"))))</f>
        <v/>
      </c>
      <c r="K608" s="11" t="str">
        <f>IF(Registro!$I608="","",IFERROR(SUMPRODUCT(--("0"&amp;TRIM(RIGHT(SUBSTITUTE(TRIM(MID(SUBSTITUTE(SUBSTITUTE(Registro!$I608,";",CHAR(10)),CHAR(10),REPT(" ",LEN(Registro!$I608))),({1,2,3,4,5,6,7,8,9,10,11,12,13,14,15,16,17,18,19,20,21,22,23,24,25,26,27,28,29,30}-1)*LEN(Registro!$I608)+1,LEN(Registro!$I608)))," ",REPT(" ",50)),50)))),"Revisar formato"))</f>
        <v/>
      </c>
      <c r="L608" s="11" t="str">
        <f>IF(Registro!$J608="","",IFERROR(SUMPRODUCT(--("0"&amp;TRIM(RIGHT(SUBSTITUTE(TRIM(MID(SUBSTITUTE(SUBSTITUTE(Registro!$J608,";",CHAR(10)),CHAR(10),REPT(" ",LEN(Registro!$J608))),({1,2,3,4,5,6,7,8,9,10,11,12,13,14,15,16,17,18,19,20,21,22,23,24,25,26,27,28,29,30}-1)*LEN(Registro!$J608)+1,LEN(Registro!$J608)))," ",REPT(" ",50)),50)))),"Revisar formato"))</f>
        <v/>
      </c>
      <c r="M608" s="11" t="str">
        <f>IF(AND(Registro!$H608="",Registro!$I608=""),"",IF(AND(ISTEXT(K608),K608&lt;&gt;""),"Revisar formato",N(Registro!$H608)-N(K608)))</f>
        <v/>
      </c>
      <c r="N608" s="11" t="str">
        <f t="shared" si="29"/>
        <v/>
      </c>
      <c r="O608" s="15" t="str">
        <f>IF(AND(A608=Consulta!$B$3,C608=Consulta!$H$3),B608*10000+ROW(),"")</f>
        <v/>
      </c>
    </row>
    <row r="609" spans="1:15" x14ac:dyDescent="0.25">
      <c r="A609" s="9" t="str">
        <f>IF(Registro!$A609="","",Registro!$A609)</f>
        <v/>
      </c>
      <c r="B609" s="8" t="str">
        <f>IF(Registro!$B609="","",Registro!$B609)</f>
        <v/>
      </c>
      <c r="C609" s="14" t="str">
        <f t="shared" si="27"/>
        <v/>
      </c>
      <c r="D609" s="10" t="str">
        <f>IF(Registro!$E609="","",IF(ISERROR(FIND("x",LOWER(Registro!$E609))),"-",IFERROR(SUMPRODUCT(--("0"&amp;LEFT(TRIM(MID(SUBSTITUTE(SUBSTITUTE(SUBSTITUTE(SUBSTITUTE(SUBSTITUTE(LOWER(Registro!$E609),"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",LEN(Registro!$E609))),({1,2,3,4,5,6,7,8,9,10,11,12,13,14,15,16,17,18,19,20,21,22,23,24,25,26,27,28,29,30}-1)*LEN(Registro!$E609)+1,LEN(Registro!$E609)))&amp;"x")-1))),"Revisar formato")))</f>
        <v/>
      </c>
      <c r="E609" s="11" t="str">
        <f>IF(Registro!$E609="","",IF(ISERROR(FIND("x",LOWER(Registro!$E609))),"-",IFERROR(SUMPRODUCT(--("0"&amp;LEFT(TRIM(MID(SUBSTITUTE(SUBSTITUTE(SUBSTITUTE(SUBSTITUTE(SUBSTITUTE(LOWER(Registro!$E609),"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",LEN(Registro!$E609))),({1,2,3,4,5,6,7,8,9,10,11,12,13,14,15,16,17,18,19,20,21,22,23,24,25,26,27,28,29,30}-1)*LEN(Registro!$E609)+1,LEN(Registro!$E609)))&amp;"x")-1)),--("0"&amp;MID(TRIM(MID(SUBSTITUTE(SUBSTITUTE(SUBSTITUTE(SUBSTITUTE(SUBSTITUTE(LOWER(Registro!$E609),"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",LEN(Registro!$E609))),({1,2,3,4,5,6,7,8,9,10,11,12,13,14,15,16,17,18,19,20,21,22,23,24,25,26,27,28,29,30}-1)*LEN(Registro!$E609)+1,LEN(Registro!$E609)))&amp;"x")+1,20))),"Revisar formato")))</f>
        <v/>
      </c>
      <c r="F609" s="11" t="str">
        <f>IF(Registro!$F609="","",N(Registro!$F609))</f>
        <v/>
      </c>
      <c r="G609" s="11" t="str">
        <f t="shared" si="28"/>
        <v/>
      </c>
      <c r="H609" s="10" t="str">
        <f>IF(Registro!$G609="","",IF(ISERROR(FIND("x",LOWER(Registro!$G609))),"-",IFERROR(SUMPRODUCT(--("0"&amp;LEFT(TRIM(MID(SUBSTITUTE(SUBSTITUTE(SUBSTITUTE(SUBSTITUTE(SUBSTITUTE(LOWER(Registro!$G609),"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",LEN(Registro!$G609))),({1,2,3,4,5,6,7,8,9,10,11,12,13,14,15,16,17,18,19,20,21,22,23,24,25,26,27,28,29,30}-1)*LEN(Registro!$G609)+1,LEN(Registro!$G609))),FIND("x",TRIM(MID(SUBSTITUTE(SUBSTITUTE(SUBSTITUTE(SUBSTITUTE(SUBSTITUTE(LOWER(Registro!$G609),"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",LEN(Registro!$G609))),({1,2,3,4,5,6,7,8,9,10,11,12,13,14,15,16,17,18,19,20,21,22,23,24,25,26,27,28,29,30}-1)*LEN(Registro!$G609)+1,LEN(Registro!$G609)))&amp;"x")-1))),"Revisar formato")))</f>
        <v/>
      </c>
      <c r="I609" s="11" t="str">
        <f>IF(Registro!$G609="","",IF(ISERROR(FIND("x",LOWER(Registro!$G609))),N(Registro!$H609),IFERROR(SUMPRODUCT(--("0"&amp;LEFT(TRIM(MID(SUBSTITUTE(SUBSTITUTE(SUBSTITUTE(SUBSTITUTE(SUBSTITUTE(LOWER(Registro!$G609),"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",LEN(Registro!$G609))),({1,2,3,4,5,6,7,8,9,10,11,12,13,14,15,16,17,18,19,20,21,22,23,24,25,26,27,28,29,30}-1)*LEN(Registro!$G609)+1,LEN(Registro!$G609))),FIND("x",TRIM(MID(SUBSTITUTE(SUBSTITUTE(SUBSTITUTE(SUBSTITUTE(SUBSTITUTE(LOWER(Registro!$G609),"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",LEN(Registro!$G609))),({1,2,3,4,5,6,7,8,9,10,11,12,13,14,15,16,17,18,19,20,21,22,23,24,25,26,27,28,29,30}-1)*LEN(Registro!$G609)+1,LEN(Registro!$G609)))&amp;"x")-1)),--("0"&amp;MID(TRIM(MID(SUBSTITUTE(SUBSTITUTE(SUBSTITUTE(SUBSTITUTE(SUBSTITUTE(LOWER(Registro!$G609),"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",LEN(Registro!$G609))),({1,2,3,4,5,6,7,8,9,10,11,12,13,14,15,16,17,18,19,20,21,22,23,24,25,26,27,28,29,30}-1)*LEN(Registro!$G609)+1,LEN(Registro!$G609))),FIND("x",TRIM(MID(SUBSTITUTE(SUBSTITUTE(SUBSTITUTE(SUBSTITUTE(SUBSTITUTE(LOWER(Registro!$G609),"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",LEN(Registro!$G609))),({1,2,3,4,5,6,7,8,9,10,11,12,13,14,15,16,17,18,19,20,21,22,23,24,25,26,27,28,29,30}-1)*LEN(Registro!$G609)+1,LEN(Registro!$G609)))&amp;"x")+1,20))),"Revisar formato")))</f>
        <v/>
      </c>
      <c r="J609" s="9" t="str">
        <f>IF(AND(Registro!$E609="",Registro!$G609=""),"",IF(NOT(AND(ISNUMBER(I609),ISNUMBER(Registro!$H609))),"",IF(I609&lt;Registro!$H609,"FALTA BOLETOS",IF(I609=Registro!$H609,"CONFORME","DIFERENCIA"))))</f>
        <v/>
      </c>
      <c r="K609" s="11" t="str">
        <f>IF(Registro!$I609="","",IFERROR(SUMPRODUCT(--("0"&amp;TRIM(RIGHT(SUBSTITUTE(TRIM(MID(SUBSTITUTE(SUBSTITUTE(Registro!$I609,";",CHAR(10)),CHAR(10),REPT(" ",LEN(Registro!$I609))),({1,2,3,4,5,6,7,8,9,10,11,12,13,14,15,16,17,18,19,20,21,22,23,24,25,26,27,28,29,30}-1)*LEN(Registro!$I609)+1,LEN(Registro!$I609)))," ",REPT(" ",50)),50)))),"Revisar formato"))</f>
        <v/>
      </c>
      <c r="L609" s="11" t="str">
        <f>IF(Registro!$J609="","",IFERROR(SUMPRODUCT(--("0"&amp;TRIM(RIGHT(SUBSTITUTE(TRIM(MID(SUBSTITUTE(SUBSTITUTE(Registro!$J609,";",CHAR(10)),CHAR(10),REPT(" ",LEN(Registro!$J609))),({1,2,3,4,5,6,7,8,9,10,11,12,13,14,15,16,17,18,19,20,21,22,23,24,25,26,27,28,29,30}-1)*LEN(Registro!$J609)+1,LEN(Registro!$J609)))," ",REPT(" ",50)),50)))),"Revisar formato"))</f>
        <v/>
      </c>
      <c r="M609" s="11" t="str">
        <f>IF(AND(Registro!$H609="",Registro!$I609=""),"",IF(AND(ISTEXT(K609),K609&lt;&gt;""),"Revisar formato",N(Registro!$H609)-N(K609)))</f>
        <v/>
      </c>
      <c r="N609" s="11" t="str">
        <f t="shared" si="29"/>
        <v/>
      </c>
      <c r="O609" s="15" t="str">
        <f>IF(AND(A609=Consulta!$B$3,C609=Consulta!$H$3),B609*10000+ROW(),"")</f>
        <v/>
      </c>
    </row>
    <row r="610" spans="1:15" x14ac:dyDescent="0.25">
      <c r="A610" s="9" t="str">
        <f>IF(Registro!$A610="","",Registro!$A610)</f>
        <v/>
      </c>
      <c r="B610" s="8" t="str">
        <f>IF(Registro!$B610="","",Registro!$B610)</f>
        <v/>
      </c>
      <c r="C610" s="14" t="str">
        <f t="shared" si="27"/>
        <v/>
      </c>
      <c r="D610" s="10" t="str">
        <f>IF(Registro!$E610="","",IF(ISERROR(FIND("x",LOWER(Registro!$E610))),"-",IFERROR(SUMPRODUCT(--("0"&amp;LEFT(TRIM(MID(SUBSTITUTE(SUBSTITUTE(SUBSTITUTE(SUBSTITUTE(SUBSTITUTE(LOWER(Registro!$E610),"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",LEN(Registro!$E610))),({1,2,3,4,5,6,7,8,9,10,11,12,13,14,15,16,17,18,19,20,21,22,23,24,25,26,27,28,29,30}-1)*LEN(Registro!$E610)+1,LEN(Registro!$E610)))&amp;"x")-1))),"Revisar formato")))</f>
        <v/>
      </c>
      <c r="E610" s="11" t="str">
        <f>IF(Registro!$E610="","",IF(ISERROR(FIND("x",LOWER(Registro!$E610))),"-",IFERROR(SUMPRODUCT(--("0"&amp;LEFT(TRIM(MID(SUBSTITUTE(SUBSTITUTE(SUBSTITUTE(SUBSTITUTE(SUBSTITUTE(LOWER(Registro!$E610),"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",LEN(Registro!$E610))),({1,2,3,4,5,6,7,8,9,10,11,12,13,14,15,16,17,18,19,20,21,22,23,24,25,26,27,28,29,30}-1)*LEN(Registro!$E610)+1,LEN(Registro!$E610)))&amp;"x")-1)),--("0"&amp;MID(TRIM(MID(SUBSTITUTE(SUBSTITUTE(SUBSTITUTE(SUBSTITUTE(SUBSTITUTE(LOWER(Registro!$E610),"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",LEN(Registro!$E610))),({1,2,3,4,5,6,7,8,9,10,11,12,13,14,15,16,17,18,19,20,21,22,23,24,25,26,27,28,29,30}-1)*LEN(Registro!$E610)+1,LEN(Registro!$E610)))&amp;"x")+1,20))),"Revisar formato")))</f>
        <v/>
      </c>
      <c r="F610" s="11" t="str">
        <f>IF(Registro!$F610="","",N(Registro!$F610))</f>
        <v/>
      </c>
      <c r="G610" s="11" t="str">
        <f t="shared" si="28"/>
        <v/>
      </c>
      <c r="H610" s="10" t="str">
        <f>IF(Registro!$G610="","",IF(ISERROR(FIND("x",LOWER(Registro!$G610))),"-",IFERROR(SUMPRODUCT(--("0"&amp;LEFT(TRIM(MID(SUBSTITUTE(SUBSTITUTE(SUBSTITUTE(SUBSTITUTE(SUBSTITUTE(LOWER(Registro!$G610),"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",LEN(Registro!$G610))),({1,2,3,4,5,6,7,8,9,10,11,12,13,14,15,16,17,18,19,20,21,22,23,24,25,26,27,28,29,30}-1)*LEN(Registro!$G610)+1,LEN(Registro!$G610))),FIND("x",TRIM(MID(SUBSTITUTE(SUBSTITUTE(SUBSTITUTE(SUBSTITUTE(SUBSTITUTE(LOWER(Registro!$G610),"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",LEN(Registro!$G610))),({1,2,3,4,5,6,7,8,9,10,11,12,13,14,15,16,17,18,19,20,21,22,23,24,25,26,27,28,29,30}-1)*LEN(Registro!$G610)+1,LEN(Registro!$G610)))&amp;"x")-1))),"Revisar formato")))</f>
        <v/>
      </c>
      <c r="I610" s="11" t="str">
        <f>IF(Registro!$G610="","",IF(ISERROR(FIND("x",LOWER(Registro!$G610))),N(Registro!$H610),IFERROR(SUMPRODUCT(--("0"&amp;LEFT(TRIM(MID(SUBSTITUTE(SUBSTITUTE(SUBSTITUTE(SUBSTITUTE(SUBSTITUTE(LOWER(Registro!$G610),"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",LEN(Registro!$G610))),({1,2,3,4,5,6,7,8,9,10,11,12,13,14,15,16,17,18,19,20,21,22,23,24,25,26,27,28,29,30}-1)*LEN(Registro!$G610)+1,LEN(Registro!$G610))),FIND("x",TRIM(MID(SUBSTITUTE(SUBSTITUTE(SUBSTITUTE(SUBSTITUTE(SUBSTITUTE(LOWER(Registro!$G610),"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",LEN(Registro!$G610))),({1,2,3,4,5,6,7,8,9,10,11,12,13,14,15,16,17,18,19,20,21,22,23,24,25,26,27,28,29,30}-1)*LEN(Registro!$G610)+1,LEN(Registro!$G610)))&amp;"x")-1)),--("0"&amp;MID(TRIM(MID(SUBSTITUTE(SUBSTITUTE(SUBSTITUTE(SUBSTITUTE(SUBSTITUTE(LOWER(Registro!$G610),"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",LEN(Registro!$G610))),({1,2,3,4,5,6,7,8,9,10,11,12,13,14,15,16,17,18,19,20,21,22,23,24,25,26,27,28,29,30}-1)*LEN(Registro!$G610)+1,LEN(Registro!$G610))),FIND("x",TRIM(MID(SUBSTITUTE(SUBSTITUTE(SUBSTITUTE(SUBSTITUTE(SUBSTITUTE(LOWER(Registro!$G610),"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",LEN(Registro!$G610))),({1,2,3,4,5,6,7,8,9,10,11,12,13,14,15,16,17,18,19,20,21,22,23,24,25,26,27,28,29,30}-1)*LEN(Registro!$G610)+1,LEN(Registro!$G610)))&amp;"x")+1,20))),"Revisar formato")))</f>
        <v/>
      </c>
      <c r="J610" s="9" t="str">
        <f>IF(AND(Registro!$E610="",Registro!$G610=""),"",IF(NOT(AND(ISNUMBER(I610),ISNUMBER(Registro!$H610))),"",IF(I610&lt;Registro!$H610,"FALTA BOLETOS",IF(I610=Registro!$H610,"CONFORME","DIFERENCIA"))))</f>
        <v/>
      </c>
      <c r="K610" s="11" t="str">
        <f>IF(Registro!$I610="","",IFERROR(SUMPRODUCT(--("0"&amp;TRIM(RIGHT(SUBSTITUTE(TRIM(MID(SUBSTITUTE(SUBSTITUTE(Registro!$I610,";",CHAR(10)),CHAR(10),REPT(" ",LEN(Registro!$I610))),({1,2,3,4,5,6,7,8,9,10,11,12,13,14,15,16,17,18,19,20,21,22,23,24,25,26,27,28,29,30}-1)*LEN(Registro!$I610)+1,LEN(Registro!$I610)))," ",REPT(" ",50)),50)))),"Revisar formato"))</f>
        <v/>
      </c>
      <c r="L610" s="11" t="str">
        <f>IF(Registro!$J610="","",IFERROR(SUMPRODUCT(--("0"&amp;TRIM(RIGHT(SUBSTITUTE(TRIM(MID(SUBSTITUTE(SUBSTITUTE(Registro!$J610,";",CHAR(10)),CHAR(10),REPT(" ",LEN(Registro!$J610))),({1,2,3,4,5,6,7,8,9,10,11,12,13,14,15,16,17,18,19,20,21,22,23,24,25,26,27,28,29,30}-1)*LEN(Registro!$J610)+1,LEN(Registro!$J610)))," ",REPT(" ",50)),50)))),"Revisar formato"))</f>
        <v/>
      </c>
      <c r="M610" s="11" t="str">
        <f>IF(AND(Registro!$H610="",Registro!$I610=""),"",IF(AND(ISTEXT(K610),K610&lt;&gt;""),"Revisar formato",N(Registro!$H610)-N(K610)))</f>
        <v/>
      </c>
      <c r="N610" s="11" t="str">
        <f t="shared" si="29"/>
        <v/>
      </c>
      <c r="O610" s="15" t="str">
        <f>IF(AND(A610=Consulta!$B$3,C610=Consulta!$H$3),B610*10000+ROW(),"")</f>
        <v/>
      </c>
    </row>
    <row r="611" spans="1:15" x14ac:dyDescent="0.25">
      <c r="A611" s="9" t="str">
        <f>IF(Registro!$A611="","",Registro!$A611)</f>
        <v/>
      </c>
      <c r="B611" s="8" t="str">
        <f>IF(Registro!$B611="","",Registro!$B611)</f>
        <v/>
      </c>
      <c r="C611" s="14" t="str">
        <f t="shared" si="27"/>
        <v/>
      </c>
      <c r="D611" s="10" t="str">
        <f>IF(Registro!$E611="","",IF(ISERROR(FIND("x",LOWER(Registro!$E611))),"-",IFERROR(SUMPRODUCT(--("0"&amp;LEFT(TRIM(MID(SUBSTITUTE(SUBSTITUTE(SUBSTITUTE(SUBSTITUTE(SUBSTITUTE(LOWER(Registro!$E611),"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",LEN(Registro!$E611))),({1,2,3,4,5,6,7,8,9,10,11,12,13,14,15,16,17,18,19,20,21,22,23,24,25,26,27,28,29,30}-1)*LEN(Registro!$E611)+1,LEN(Registro!$E611)))&amp;"x")-1))),"Revisar formato")))</f>
        <v/>
      </c>
      <c r="E611" s="11" t="str">
        <f>IF(Registro!$E611="","",IF(ISERROR(FIND("x",LOWER(Registro!$E611))),"-",IFERROR(SUMPRODUCT(--("0"&amp;LEFT(TRIM(MID(SUBSTITUTE(SUBSTITUTE(SUBSTITUTE(SUBSTITUTE(SUBSTITUTE(LOWER(Registro!$E611),"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",LEN(Registro!$E611))),({1,2,3,4,5,6,7,8,9,10,11,12,13,14,15,16,17,18,19,20,21,22,23,24,25,26,27,28,29,30}-1)*LEN(Registro!$E611)+1,LEN(Registro!$E611)))&amp;"x")-1)),--("0"&amp;MID(TRIM(MID(SUBSTITUTE(SUBSTITUTE(SUBSTITUTE(SUBSTITUTE(SUBSTITUTE(LOWER(Registro!$E611),"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",LEN(Registro!$E611))),({1,2,3,4,5,6,7,8,9,10,11,12,13,14,15,16,17,18,19,20,21,22,23,24,25,26,27,28,29,30}-1)*LEN(Registro!$E611)+1,LEN(Registro!$E611)))&amp;"x")+1,20))),"Revisar formato")))</f>
        <v/>
      </c>
      <c r="F611" s="11" t="str">
        <f>IF(Registro!$F611="","",N(Registro!$F611))</f>
        <v/>
      </c>
      <c r="G611" s="11" t="str">
        <f t="shared" si="28"/>
        <v/>
      </c>
      <c r="H611" s="10" t="str">
        <f>IF(Registro!$G611="","",IF(ISERROR(FIND("x",LOWER(Registro!$G611))),"-",IFERROR(SUMPRODUCT(--("0"&amp;LEFT(TRIM(MID(SUBSTITUTE(SUBSTITUTE(SUBSTITUTE(SUBSTITUTE(SUBSTITUTE(LOWER(Registro!$G611),"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",LEN(Registro!$G611))),({1,2,3,4,5,6,7,8,9,10,11,12,13,14,15,16,17,18,19,20,21,22,23,24,25,26,27,28,29,30}-1)*LEN(Registro!$G611)+1,LEN(Registro!$G611))),FIND("x",TRIM(MID(SUBSTITUTE(SUBSTITUTE(SUBSTITUTE(SUBSTITUTE(SUBSTITUTE(LOWER(Registro!$G611),"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",LEN(Registro!$G611))),({1,2,3,4,5,6,7,8,9,10,11,12,13,14,15,16,17,18,19,20,21,22,23,24,25,26,27,28,29,30}-1)*LEN(Registro!$G611)+1,LEN(Registro!$G611)))&amp;"x")-1))),"Revisar formato")))</f>
        <v/>
      </c>
      <c r="I611" s="11" t="str">
        <f>IF(Registro!$G611="","",IF(ISERROR(FIND("x",LOWER(Registro!$G611))),N(Registro!$H611),IFERROR(SUMPRODUCT(--("0"&amp;LEFT(TRIM(MID(SUBSTITUTE(SUBSTITUTE(SUBSTITUTE(SUBSTITUTE(SUBSTITUTE(LOWER(Registro!$G611),"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",LEN(Registro!$G611))),({1,2,3,4,5,6,7,8,9,10,11,12,13,14,15,16,17,18,19,20,21,22,23,24,25,26,27,28,29,30}-1)*LEN(Registro!$G611)+1,LEN(Registro!$G611))),FIND("x",TRIM(MID(SUBSTITUTE(SUBSTITUTE(SUBSTITUTE(SUBSTITUTE(SUBSTITUTE(LOWER(Registro!$G611),"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",LEN(Registro!$G611))),({1,2,3,4,5,6,7,8,9,10,11,12,13,14,15,16,17,18,19,20,21,22,23,24,25,26,27,28,29,30}-1)*LEN(Registro!$G611)+1,LEN(Registro!$G611)))&amp;"x")-1)),--("0"&amp;MID(TRIM(MID(SUBSTITUTE(SUBSTITUTE(SUBSTITUTE(SUBSTITUTE(SUBSTITUTE(LOWER(Registro!$G611),"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",LEN(Registro!$G611))),({1,2,3,4,5,6,7,8,9,10,11,12,13,14,15,16,17,18,19,20,21,22,23,24,25,26,27,28,29,30}-1)*LEN(Registro!$G611)+1,LEN(Registro!$G611))),FIND("x",TRIM(MID(SUBSTITUTE(SUBSTITUTE(SUBSTITUTE(SUBSTITUTE(SUBSTITUTE(LOWER(Registro!$G611),"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",LEN(Registro!$G611))),({1,2,3,4,5,6,7,8,9,10,11,12,13,14,15,16,17,18,19,20,21,22,23,24,25,26,27,28,29,30}-1)*LEN(Registro!$G611)+1,LEN(Registro!$G611)))&amp;"x")+1,20))),"Revisar formato")))</f>
        <v/>
      </c>
      <c r="J611" s="9" t="str">
        <f>IF(AND(Registro!$E611="",Registro!$G611=""),"",IF(NOT(AND(ISNUMBER(I611),ISNUMBER(Registro!$H611))),"",IF(I611&lt;Registro!$H611,"FALTA BOLETOS",IF(I611=Registro!$H611,"CONFORME","DIFERENCIA"))))</f>
        <v/>
      </c>
      <c r="K611" s="11" t="str">
        <f>IF(Registro!$I611="","",IFERROR(SUMPRODUCT(--("0"&amp;TRIM(RIGHT(SUBSTITUTE(TRIM(MID(SUBSTITUTE(SUBSTITUTE(Registro!$I611,";",CHAR(10)),CHAR(10),REPT(" ",LEN(Registro!$I611))),({1,2,3,4,5,6,7,8,9,10,11,12,13,14,15,16,17,18,19,20,21,22,23,24,25,26,27,28,29,30}-1)*LEN(Registro!$I611)+1,LEN(Registro!$I611)))," ",REPT(" ",50)),50)))),"Revisar formato"))</f>
        <v/>
      </c>
      <c r="L611" s="11" t="str">
        <f>IF(Registro!$J611="","",IFERROR(SUMPRODUCT(--("0"&amp;TRIM(RIGHT(SUBSTITUTE(TRIM(MID(SUBSTITUTE(SUBSTITUTE(Registro!$J611,";",CHAR(10)),CHAR(10),REPT(" ",LEN(Registro!$J611))),({1,2,3,4,5,6,7,8,9,10,11,12,13,14,15,16,17,18,19,20,21,22,23,24,25,26,27,28,29,30}-1)*LEN(Registro!$J611)+1,LEN(Registro!$J611)))," ",REPT(" ",50)),50)))),"Revisar formato"))</f>
        <v/>
      </c>
      <c r="M611" s="11" t="str">
        <f>IF(AND(Registro!$H611="",Registro!$I611=""),"",IF(AND(ISTEXT(K611),K611&lt;&gt;""),"Revisar formato",N(Registro!$H611)-N(K611)))</f>
        <v/>
      </c>
      <c r="N611" s="11" t="str">
        <f t="shared" si="29"/>
        <v/>
      </c>
      <c r="O611" s="15" t="str">
        <f>IF(AND(A611=Consulta!$B$3,C611=Consulta!$H$3),B611*10000+ROW(),"")</f>
        <v/>
      </c>
    </row>
    <row r="612" spans="1:15" x14ac:dyDescent="0.25">
      <c r="A612" s="9" t="str">
        <f>IF(Registro!$A612="","",Registro!$A612)</f>
        <v/>
      </c>
      <c r="B612" s="8" t="str">
        <f>IF(Registro!$B612="","",Registro!$B612)</f>
        <v/>
      </c>
      <c r="C612" s="14" t="str">
        <f t="shared" si="27"/>
        <v/>
      </c>
      <c r="D612" s="10" t="str">
        <f>IF(Registro!$E612="","",IF(ISERROR(FIND("x",LOWER(Registro!$E612))),"-",IFERROR(SUMPRODUCT(--("0"&amp;LEFT(TRIM(MID(SUBSTITUTE(SUBSTITUTE(SUBSTITUTE(SUBSTITUTE(SUBSTITUTE(LOWER(Registro!$E612),"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",LEN(Registro!$E612))),({1,2,3,4,5,6,7,8,9,10,11,12,13,14,15,16,17,18,19,20,21,22,23,24,25,26,27,28,29,30}-1)*LEN(Registro!$E612)+1,LEN(Registro!$E612)))&amp;"x")-1))),"Revisar formato")))</f>
        <v/>
      </c>
      <c r="E612" s="11" t="str">
        <f>IF(Registro!$E612="","",IF(ISERROR(FIND("x",LOWER(Registro!$E612))),"-",IFERROR(SUMPRODUCT(--("0"&amp;LEFT(TRIM(MID(SUBSTITUTE(SUBSTITUTE(SUBSTITUTE(SUBSTITUTE(SUBSTITUTE(LOWER(Registro!$E612),"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",LEN(Registro!$E612))),({1,2,3,4,5,6,7,8,9,10,11,12,13,14,15,16,17,18,19,20,21,22,23,24,25,26,27,28,29,30}-1)*LEN(Registro!$E612)+1,LEN(Registro!$E612)))&amp;"x")-1)),--("0"&amp;MID(TRIM(MID(SUBSTITUTE(SUBSTITUTE(SUBSTITUTE(SUBSTITUTE(SUBSTITUTE(LOWER(Registro!$E612),"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",LEN(Registro!$E612))),({1,2,3,4,5,6,7,8,9,10,11,12,13,14,15,16,17,18,19,20,21,22,23,24,25,26,27,28,29,30}-1)*LEN(Registro!$E612)+1,LEN(Registro!$E612)))&amp;"x")+1,20))),"Revisar formato")))</f>
        <v/>
      </c>
      <c r="F612" s="11" t="str">
        <f>IF(Registro!$F612="","",N(Registro!$F612))</f>
        <v/>
      </c>
      <c r="G612" s="11" t="str">
        <f t="shared" si="28"/>
        <v/>
      </c>
      <c r="H612" s="10" t="str">
        <f>IF(Registro!$G612="","",IF(ISERROR(FIND("x",LOWER(Registro!$G612))),"-",IFERROR(SUMPRODUCT(--("0"&amp;LEFT(TRIM(MID(SUBSTITUTE(SUBSTITUTE(SUBSTITUTE(SUBSTITUTE(SUBSTITUTE(LOWER(Registro!$G612),"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",LEN(Registro!$G612))),({1,2,3,4,5,6,7,8,9,10,11,12,13,14,15,16,17,18,19,20,21,22,23,24,25,26,27,28,29,30}-1)*LEN(Registro!$G612)+1,LEN(Registro!$G612))),FIND("x",TRIM(MID(SUBSTITUTE(SUBSTITUTE(SUBSTITUTE(SUBSTITUTE(SUBSTITUTE(LOWER(Registro!$G612),"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",LEN(Registro!$G612))),({1,2,3,4,5,6,7,8,9,10,11,12,13,14,15,16,17,18,19,20,21,22,23,24,25,26,27,28,29,30}-1)*LEN(Registro!$G612)+1,LEN(Registro!$G612)))&amp;"x")-1))),"Revisar formato")))</f>
        <v/>
      </c>
      <c r="I612" s="11" t="str">
        <f>IF(Registro!$G612="","",IF(ISERROR(FIND("x",LOWER(Registro!$G612))),N(Registro!$H612),IFERROR(SUMPRODUCT(--("0"&amp;LEFT(TRIM(MID(SUBSTITUTE(SUBSTITUTE(SUBSTITUTE(SUBSTITUTE(SUBSTITUTE(LOWER(Registro!$G612),"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",LEN(Registro!$G612))),({1,2,3,4,5,6,7,8,9,10,11,12,13,14,15,16,17,18,19,20,21,22,23,24,25,26,27,28,29,30}-1)*LEN(Registro!$G612)+1,LEN(Registro!$G612))),FIND("x",TRIM(MID(SUBSTITUTE(SUBSTITUTE(SUBSTITUTE(SUBSTITUTE(SUBSTITUTE(LOWER(Registro!$G612),"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",LEN(Registro!$G612))),({1,2,3,4,5,6,7,8,9,10,11,12,13,14,15,16,17,18,19,20,21,22,23,24,25,26,27,28,29,30}-1)*LEN(Registro!$G612)+1,LEN(Registro!$G612)))&amp;"x")-1)),--("0"&amp;MID(TRIM(MID(SUBSTITUTE(SUBSTITUTE(SUBSTITUTE(SUBSTITUTE(SUBSTITUTE(LOWER(Registro!$G612),"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",LEN(Registro!$G612))),({1,2,3,4,5,6,7,8,9,10,11,12,13,14,15,16,17,18,19,20,21,22,23,24,25,26,27,28,29,30}-1)*LEN(Registro!$G612)+1,LEN(Registro!$G612))),FIND("x",TRIM(MID(SUBSTITUTE(SUBSTITUTE(SUBSTITUTE(SUBSTITUTE(SUBSTITUTE(LOWER(Registro!$G612),"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",LEN(Registro!$G612))),({1,2,3,4,5,6,7,8,9,10,11,12,13,14,15,16,17,18,19,20,21,22,23,24,25,26,27,28,29,30}-1)*LEN(Registro!$G612)+1,LEN(Registro!$G612)))&amp;"x")+1,20))),"Revisar formato")))</f>
        <v/>
      </c>
      <c r="J612" s="9" t="str">
        <f>IF(AND(Registro!$E612="",Registro!$G612=""),"",IF(NOT(AND(ISNUMBER(I612),ISNUMBER(Registro!$H612))),"",IF(I612&lt;Registro!$H612,"FALTA BOLETOS",IF(I612=Registro!$H612,"CONFORME","DIFERENCIA"))))</f>
        <v/>
      </c>
      <c r="K612" s="11" t="str">
        <f>IF(Registro!$I612="","",IFERROR(SUMPRODUCT(--("0"&amp;TRIM(RIGHT(SUBSTITUTE(TRIM(MID(SUBSTITUTE(SUBSTITUTE(Registro!$I612,";",CHAR(10)),CHAR(10),REPT(" ",LEN(Registro!$I612))),({1,2,3,4,5,6,7,8,9,10,11,12,13,14,15,16,17,18,19,20,21,22,23,24,25,26,27,28,29,30}-1)*LEN(Registro!$I612)+1,LEN(Registro!$I612)))," ",REPT(" ",50)),50)))),"Revisar formato"))</f>
        <v/>
      </c>
      <c r="L612" s="11" t="str">
        <f>IF(Registro!$J612="","",IFERROR(SUMPRODUCT(--("0"&amp;TRIM(RIGHT(SUBSTITUTE(TRIM(MID(SUBSTITUTE(SUBSTITUTE(Registro!$J612,";",CHAR(10)),CHAR(10),REPT(" ",LEN(Registro!$J612))),({1,2,3,4,5,6,7,8,9,10,11,12,13,14,15,16,17,18,19,20,21,22,23,24,25,26,27,28,29,30}-1)*LEN(Registro!$J612)+1,LEN(Registro!$J612)))," ",REPT(" ",50)),50)))),"Revisar formato"))</f>
        <v/>
      </c>
      <c r="M612" s="11" t="str">
        <f>IF(AND(Registro!$H612="",Registro!$I612=""),"",IF(AND(ISTEXT(K612),K612&lt;&gt;""),"Revisar formato",N(Registro!$H612)-N(K612)))</f>
        <v/>
      </c>
      <c r="N612" s="11" t="str">
        <f t="shared" si="29"/>
        <v/>
      </c>
      <c r="O612" s="15" t="str">
        <f>IF(AND(A612=Consulta!$B$3,C612=Consulta!$H$3),B612*10000+ROW(),"")</f>
        <v/>
      </c>
    </row>
    <row r="613" spans="1:15" x14ac:dyDescent="0.25">
      <c r="A613" s="9" t="str">
        <f>IF(Registro!$A613="","",Registro!$A613)</f>
        <v/>
      </c>
      <c r="B613" s="8" t="str">
        <f>IF(Registro!$B613="","",Registro!$B613)</f>
        <v/>
      </c>
      <c r="C613" s="14" t="str">
        <f t="shared" si="27"/>
        <v/>
      </c>
      <c r="D613" s="10" t="str">
        <f>IF(Registro!$E613="","",IF(ISERROR(FIND("x",LOWER(Registro!$E613))),"-",IFERROR(SUMPRODUCT(--("0"&amp;LEFT(TRIM(MID(SUBSTITUTE(SUBSTITUTE(SUBSTITUTE(SUBSTITUTE(SUBSTITUTE(LOWER(Registro!$E613),"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",LEN(Registro!$E613))),({1,2,3,4,5,6,7,8,9,10,11,12,13,14,15,16,17,18,19,20,21,22,23,24,25,26,27,28,29,30}-1)*LEN(Registro!$E613)+1,LEN(Registro!$E613)))&amp;"x")-1))),"Revisar formato")))</f>
        <v/>
      </c>
      <c r="E613" s="11" t="str">
        <f>IF(Registro!$E613="","",IF(ISERROR(FIND("x",LOWER(Registro!$E613))),"-",IFERROR(SUMPRODUCT(--("0"&amp;LEFT(TRIM(MID(SUBSTITUTE(SUBSTITUTE(SUBSTITUTE(SUBSTITUTE(SUBSTITUTE(LOWER(Registro!$E613),"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",LEN(Registro!$E613))),({1,2,3,4,5,6,7,8,9,10,11,12,13,14,15,16,17,18,19,20,21,22,23,24,25,26,27,28,29,30}-1)*LEN(Registro!$E613)+1,LEN(Registro!$E613)))&amp;"x")-1)),--("0"&amp;MID(TRIM(MID(SUBSTITUTE(SUBSTITUTE(SUBSTITUTE(SUBSTITUTE(SUBSTITUTE(LOWER(Registro!$E613),"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",LEN(Registro!$E613))),({1,2,3,4,5,6,7,8,9,10,11,12,13,14,15,16,17,18,19,20,21,22,23,24,25,26,27,28,29,30}-1)*LEN(Registro!$E613)+1,LEN(Registro!$E613)))&amp;"x")+1,20))),"Revisar formato")))</f>
        <v/>
      </c>
      <c r="F613" s="11" t="str">
        <f>IF(Registro!$F613="","",N(Registro!$F613))</f>
        <v/>
      </c>
      <c r="G613" s="11" t="str">
        <f t="shared" si="28"/>
        <v/>
      </c>
      <c r="H613" s="10" t="str">
        <f>IF(Registro!$G613="","",IF(ISERROR(FIND("x",LOWER(Registro!$G613))),"-",IFERROR(SUMPRODUCT(--("0"&amp;LEFT(TRIM(MID(SUBSTITUTE(SUBSTITUTE(SUBSTITUTE(SUBSTITUTE(SUBSTITUTE(LOWER(Registro!$G613),"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",LEN(Registro!$G613))),({1,2,3,4,5,6,7,8,9,10,11,12,13,14,15,16,17,18,19,20,21,22,23,24,25,26,27,28,29,30}-1)*LEN(Registro!$G613)+1,LEN(Registro!$G613))),FIND("x",TRIM(MID(SUBSTITUTE(SUBSTITUTE(SUBSTITUTE(SUBSTITUTE(SUBSTITUTE(LOWER(Registro!$G613),"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",LEN(Registro!$G613))),({1,2,3,4,5,6,7,8,9,10,11,12,13,14,15,16,17,18,19,20,21,22,23,24,25,26,27,28,29,30}-1)*LEN(Registro!$G613)+1,LEN(Registro!$G613)))&amp;"x")-1))),"Revisar formato")))</f>
        <v/>
      </c>
      <c r="I613" s="11" t="str">
        <f>IF(Registro!$G613="","",IF(ISERROR(FIND("x",LOWER(Registro!$G613))),N(Registro!$H613),IFERROR(SUMPRODUCT(--("0"&amp;LEFT(TRIM(MID(SUBSTITUTE(SUBSTITUTE(SUBSTITUTE(SUBSTITUTE(SUBSTITUTE(LOWER(Registro!$G613),"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",LEN(Registro!$G613))),({1,2,3,4,5,6,7,8,9,10,11,12,13,14,15,16,17,18,19,20,21,22,23,24,25,26,27,28,29,30}-1)*LEN(Registro!$G613)+1,LEN(Registro!$G613))),FIND("x",TRIM(MID(SUBSTITUTE(SUBSTITUTE(SUBSTITUTE(SUBSTITUTE(SUBSTITUTE(LOWER(Registro!$G613),"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",LEN(Registro!$G613))),({1,2,3,4,5,6,7,8,9,10,11,12,13,14,15,16,17,18,19,20,21,22,23,24,25,26,27,28,29,30}-1)*LEN(Registro!$G613)+1,LEN(Registro!$G613)))&amp;"x")-1)),--("0"&amp;MID(TRIM(MID(SUBSTITUTE(SUBSTITUTE(SUBSTITUTE(SUBSTITUTE(SUBSTITUTE(LOWER(Registro!$G613),"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",LEN(Registro!$G613))),({1,2,3,4,5,6,7,8,9,10,11,12,13,14,15,16,17,18,19,20,21,22,23,24,25,26,27,28,29,30}-1)*LEN(Registro!$G613)+1,LEN(Registro!$G613))),FIND("x",TRIM(MID(SUBSTITUTE(SUBSTITUTE(SUBSTITUTE(SUBSTITUTE(SUBSTITUTE(LOWER(Registro!$G613),"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",LEN(Registro!$G613))),({1,2,3,4,5,6,7,8,9,10,11,12,13,14,15,16,17,18,19,20,21,22,23,24,25,26,27,28,29,30}-1)*LEN(Registro!$G613)+1,LEN(Registro!$G613)))&amp;"x")+1,20))),"Revisar formato")))</f>
        <v/>
      </c>
      <c r="J613" s="9" t="str">
        <f>IF(AND(Registro!$E613="",Registro!$G613=""),"",IF(NOT(AND(ISNUMBER(I613),ISNUMBER(Registro!$H613))),"",IF(I613&lt;Registro!$H613,"FALTA BOLETOS",IF(I613=Registro!$H613,"CONFORME","DIFERENCIA"))))</f>
        <v/>
      </c>
      <c r="K613" s="11" t="str">
        <f>IF(Registro!$I613="","",IFERROR(SUMPRODUCT(--("0"&amp;TRIM(RIGHT(SUBSTITUTE(TRIM(MID(SUBSTITUTE(SUBSTITUTE(Registro!$I613,";",CHAR(10)),CHAR(10),REPT(" ",LEN(Registro!$I613))),({1,2,3,4,5,6,7,8,9,10,11,12,13,14,15,16,17,18,19,20,21,22,23,24,25,26,27,28,29,30}-1)*LEN(Registro!$I613)+1,LEN(Registro!$I613)))," ",REPT(" ",50)),50)))),"Revisar formato"))</f>
        <v/>
      </c>
      <c r="L613" s="11" t="str">
        <f>IF(Registro!$J613="","",IFERROR(SUMPRODUCT(--("0"&amp;TRIM(RIGHT(SUBSTITUTE(TRIM(MID(SUBSTITUTE(SUBSTITUTE(Registro!$J613,";",CHAR(10)),CHAR(10),REPT(" ",LEN(Registro!$J613))),({1,2,3,4,5,6,7,8,9,10,11,12,13,14,15,16,17,18,19,20,21,22,23,24,25,26,27,28,29,30}-1)*LEN(Registro!$J613)+1,LEN(Registro!$J613)))," ",REPT(" ",50)),50)))),"Revisar formato"))</f>
        <v/>
      </c>
      <c r="M613" s="11" t="str">
        <f>IF(AND(Registro!$H613="",Registro!$I613=""),"",IF(AND(ISTEXT(K613),K613&lt;&gt;""),"Revisar formato",N(Registro!$H613)-N(K613)))</f>
        <v/>
      </c>
      <c r="N613" s="11" t="str">
        <f t="shared" si="29"/>
        <v/>
      </c>
      <c r="O613" s="15" t="str">
        <f>IF(AND(A613=Consulta!$B$3,C613=Consulta!$H$3),B613*10000+ROW(),"")</f>
        <v/>
      </c>
    </row>
    <row r="614" spans="1:15" x14ac:dyDescent="0.25">
      <c r="A614" s="9" t="str">
        <f>IF(Registro!$A614="","",Registro!$A614)</f>
        <v/>
      </c>
      <c r="B614" s="8" t="str">
        <f>IF(Registro!$B614="","",Registro!$B614)</f>
        <v/>
      </c>
      <c r="C614" s="14" t="str">
        <f t="shared" si="27"/>
        <v/>
      </c>
      <c r="D614" s="10" t="str">
        <f>IF(Registro!$E614="","",IF(ISERROR(FIND("x",LOWER(Registro!$E614))),"-",IFERROR(SUMPRODUCT(--("0"&amp;LEFT(TRIM(MID(SUBSTITUTE(SUBSTITUTE(SUBSTITUTE(SUBSTITUTE(SUBSTITUTE(LOWER(Registro!$E614),"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",LEN(Registro!$E614))),({1,2,3,4,5,6,7,8,9,10,11,12,13,14,15,16,17,18,19,20,21,22,23,24,25,26,27,28,29,30}-1)*LEN(Registro!$E614)+1,LEN(Registro!$E614)))&amp;"x")-1))),"Revisar formato")))</f>
        <v/>
      </c>
      <c r="E614" s="11" t="str">
        <f>IF(Registro!$E614="","",IF(ISERROR(FIND("x",LOWER(Registro!$E614))),"-",IFERROR(SUMPRODUCT(--("0"&amp;LEFT(TRIM(MID(SUBSTITUTE(SUBSTITUTE(SUBSTITUTE(SUBSTITUTE(SUBSTITUTE(LOWER(Registro!$E614),"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",LEN(Registro!$E614))),({1,2,3,4,5,6,7,8,9,10,11,12,13,14,15,16,17,18,19,20,21,22,23,24,25,26,27,28,29,30}-1)*LEN(Registro!$E614)+1,LEN(Registro!$E614)))&amp;"x")-1)),--("0"&amp;MID(TRIM(MID(SUBSTITUTE(SUBSTITUTE(SUBSTITUTE(SUBSTITUTE(SUBSTITUTE(LOWER(Registro!$E614),"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",LEN(Registro!$E614))),({1,2,3,4,5,6,7,8,9,10,11,12,13,14,15,16,17,18,19,20,21,22,23,24,25,26,27,28,29,30}-1)*LEN(Registro!$E614)+1,LEN(Registro!$E614)))&amp;"x")+1,20))),"Revisar formato")))</f>
        <v/>
      </c>
      <c r="F614" s="11" t="str">
        <f>IF(Registro!$F614="","",N(Registro!$F614))</f>
        <v/>
      </c>
      <c r="G614" s="11" t="str">
        <f t="shared" si="28"/>
        <v/>
      </c>
      <c r="H614" s="10" t="str">
        <f>IF(Registro!$G614="","",IF(ISERROR(FIND("x",LOWER(Registro!$G614))),"-",IFERROR(SUMPRODUCT(--("0"&amp;LEFT(TRIM(MID(SUBSTITUTE(SUBSTITUTE(SUBSTITUTE(SUBSTITUTE(SUBSTITUTE(LOWER(Registro!$G614),"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",LEN(Registro!$G614))),({1,2,3,4,5,6,7,8,9,10,11,12,13,14,15,16,17,18,19,20,21,22,23,24,25,26,27,28,29,30}-1)*LEN(Registro!$G614)+1,LEN(Registro!$G614))),FIND("x",TRIM(MID(SUBSTITUTE(SUBSTITUTE(SUBSTITUTE(SUBSTITUTE(SUBSTITUTE(LOWER(Registro!$G614),"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",LEN(Registro!$G614))),({1,2,3,4,5,6,7,8,9,10,11,12,13,14,15,16,17,18,19,20,21,22,23,24,25,26,27,28,29,30}-1)*LEN(Registro!$G614)+1,LEN(Registro!$G614)))&amp;"x")-1))),"Revisar formato")))</f>
        <v/>
      </c>
      <c r="I614" s="11" t="str">
        <f>IF(Registro!$G614="","",IF(ISERROR(FIND("x",LOWER(Registro!$G614))),N(Registro!$H614),IFERROR(SUMPRODUCT(--("0"&amp;LEFT(TRIM(MID(SUBSTITUTE(SUBSTITUTE(SUBSTITUTE(SUBSTITUTE(SUBSTITUTE(LOWER(Registro!$G614),"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",LEN(Registro!$G614))),({1,2,3,4,5,6,7,8,9,10,11,12,13,14,15,16,17,18,19,20,21,22,23,24,25,26,27,28,29,30}-1)*LEN(Registro!$G614)+1,LEN(Registro!$G614))),FIND("x",TRIM(MID(SUBSTITUTE(SUBSTITUTE(SUBSTITUTE(SUBSTITUTE(SUBSTITUTE(LOWER(Registro!$G614),"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",LEN(Registro!$G614))),({1,2,3,4,5,6,7,8,9,10,11,12,13,14,15,16,17,18,19,20,21,22,23,24,25,26,27,28,29,30}-1)*LEN(Registro!$G614)+1,LEN(Registro!$G614)))&amp;"x")-1)),--("0"&amp;MID(TRIM(MID(SUBSTITUTE(SUBSTITUTE(SUBSTITUTE(SUBSTITUTE(SUBSTITUTE(LOWER(Registro!$G614),"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",LEN(Registro!$G614))),({1,2,3,4,5,6,7,8,9,10,11,12,13,14,15,16,17,18,19,20,21,22,23,24,25,26,27,28,29,30}-1)*LEN(Registro!$G614)+1,LEN(Registro!$G614))),FIND("x",TRIM(MID(SUBSTITUTE(SUBSTITUTE(SUBSTITUTE(SUBSTITUTE(SUBSTITUTE(LOWER(Registro!$G614),"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",LEN(Registro!$G614))),({1,2,3,4,5,6,7,8,9,10,11,12,13,14,15,16,17,18,19,20,21,22,23,24,25,26,27,28,29,30}-1)*LEN(Registro!$G614)+1,LEN(Registro!$G614)))&amp;"x")+1,20))),"Revisar formato")))</f>
        <v/>
      </c>
      <c r="J614" s="9" t="str">
        <f>IF(AND(Registro!$E614="",Registro!$G614=""),"",IF(NOT(AND(ISNUMBER(I614),ISNUMBER(Registro!$H614))),"",IF(I614&lt;Registro!$H614,"FALTA BOLETOS",IF(I614=Registro!$H614,"CONFORME","DIFERENCIA"))))</f>
        <v/>
      </c>
      <c r="K614" s="11" t="str">
        <f>IF(Registro!$I614="","",IFERROR(SUMPRODUCT(--("0"&amp;TRIM(RIGHT(SUBSTITUTE(TRIM(MID(SUBSTITUTE(SUBSTITUTE(Registro!$I614,";",CHAR(10)),CHAR(10),REPT(" ",LEN(Registro!$I614))),({1,2,3,4,5,6,7,8,9,10,11,12,13,14,15,16,17,18,19,20,21,22,23,24,25,26,27,28,29,30}-1)*LEN(Registro!$I614)+1,LEN(Registro!$I614)))," ",REPT(" ",50)),50)))),"Revisar formato"))</f>
        <v/>
      </c>
      <c r="L614" s="11" t="str">
        <f>IF(Registro!$J614="","",IFERROR(SUMPRODUCT(--("0"&amp;TRIM(RIGHT(SUBSTITUTE(TRIM(MID(SUBSTITUTE(SUBSTITUTE(Registro!$J614,";",CHAR(10)),CHAR(10),REPT(" ",LEN(Registro!$J614))),({1,2,3,4,5,6,7,8,9,10,11,12,13,14,15,16,17,18,19,20,21,22,23,24,25,26,27,28,29,30}-1)*LEN(Registro!$J614)+1,LEN(Registro!$J614)))," ",REPT(" ",50)),50)))),"Revisar formato"))</f>
        <v/>
      </c>
      <c r="M614" s="11" t="str">
        <f>IF(AND(Registro!$H614="",Registro!$I614=""),"",IF(AND(ISTEXT(K614),K614&lt;&gt;""),"Revisar formato",N(Registro!$H614)-N(K614)))</f>
        <v/>
      </c>
      <c r="N614" s="11" t="str">
        <f t="shared" si="29"/>
        <v/>
      </c>
      <c r="O614" s="15" t="str">
        <f>IF(AND(A614=Consulta!$B$3,C614=Consulta!$H$3),B614*10000+ROW(),"")</f>
        <v/>
      </c>
    </row>
    <row r="615" spans="1:15" x14ac:dyDescent="0.25">
      <c r="A615" s="9" t="str">
        <f>IF(Registro!$A615="","",Registro!$A615)</f>
        <v/>
      </c>
      <c r="B615" s="8" t="str">
        <f>IF(Registro!$B615="","",Registro!$B615)</f>
        <v/>
      </c>
      <c r="C615" s="14" t="str">
        <f t="shared" si="27"/>
        <v/>
      </c>
      <c r="D615" s="10" t="str">
        <f>IF(Registro!$E615="","",IF(ISERROR(FIND("x",LOWER(Registro!$E615))),"-",IFERROR(SUMPRODUCT(--("0"&amp;LEFT(TRIM(MID(SUBSTITUTE(SUBSTITUTE(SUBSTITUTE(SUBSTITUTE(SUBSTITUTE(LOWER(Registro!$E615),"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",LEN(Registro!$E615))),({1,2,3,4,5,6,7,8,9,10,11,12,13,14,15,16,17,18,19,20,21,22,23,24,25,26,27,28,29,30}-1)*LEN(Registro!$E615)+1,LEN(Registro!$E615)))&amp;"x")-1))),"Revisar formato")))</f>
        <v/>
      </c>
      <c r="E615" s="11" t="str">
        <f>IF(Registro!$E615="","",IF(ISERROR(FIND("x",LOWER(Registro!$E615))),"-",IFERROR(SUMPRODUCT(--("0"&amp;LEFT(TRIM(MID(SUBSTITUTE(SUBSTITUTE(SUBSTITUTE(SUBSTITUTE(SUBSTITUTE(LOWER(Registro!$E615),"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",LEN(Registro!$E615))),({1,2,3,4,5,6,7,8,9,10,11,12,13,14,15,16,17,18,19,20,21,22,23,24,25,26,27,28,29,30}-1)*LEN(Registro!$E615)+1,LEN(Registro!$E615)))&amp;"x")-1)),--("0"&amp;MID(TRIM(MID(SUBSTITUTE(SUBSTITUTE(SUBSTITUTE(SUBSTITUTE(SUBSTITUTE(LOWER(Registro!$E615),"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",LEN(Registro!$E615))),({1,2,3,4,5,6,7,8,9,10,11,12,13,14,15,16,17,18,19,20,21,22,23,24,25,26,27,28,29,30}-1)*LEN(Registro!$E615)+1,LEN(Registro!$E615)))&amp;"x")+1,20))),"Revisar formato")))</f>
        <v/>
      </c>
      <c r="F615" s="11" t="str">
        <f>IF(Registro!$F615="","",N(Registro!$F615))</f>
        <v/>
      </c>
      <c r="G615" s="11" t="str">
        <f t="shared" si="28"/>
        <v/>
      </c>
      <c r="H615" s="10" t="str">
        <f>IF(Registro!$G615="","",IF(ISERROR(FIND("x",LOWER(Registro!$G615))),"-",IFERROR(SUMPRODUCT(--("0"&amp;LEFT(TRIM(MID(SUBSTITUTE(SUBSTITUTE(SUBSTITUTE(SUBSTITUTE(SUBSTITUTE(LOWER(Registro!$G615),"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",LEN(Registro!$G615))),({1,2,3,4,5,6,7,8,9,10,11,12,13,14,15,16,17,18,19,20,21,22,23,24,25,26,27,28,29,30}-1)*LEN(Registro!$G615)+1,LEN(Registro!$G615))),FIND("x",TRIM(MID(SUBSTITUTE(SUBSTITUTE(SUBSTITUTE(SUBSTITUTE(SUBSTITUTE(LOWER(Registro!$G615),"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",LEN(Registro!$G615))),({1,2,3,4,5,6,7,8,9,10,11,12,13,14,15,16,17,18,19,20,21,22,23,24,25,26,27,28,29,30}-1)*LEN(Registro!$G615)+1,LEN(Registro!$G615)))&amp;"x")-1))),"Revisar formato")))</f>
        <v/>
      </c>
      <c r="I615" s="11" t="str">
        <f>IF(Registro!$G615="","",IF(ISERROR(FIND("x",LOWER(Registro!$G615))),N(Registro!$H615),IFERROR(SUMPRODUCT(--("0"&amp;LEFT(TRIM(MID(SUBSTITUTE(SUBSTITUTE(SUBSTITUTE(SUBSTITUTE(SUBSTITUTE(LOWER(Registro!$G615),"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",LEN(Registro!$G615))),({1,2,3,4,5,6,7,8,9,10,11,12,13,14,15,16,17,18,19,20,21,22,23,24,25,26,27,28,29,30}-1)*LEN(Registro!$G615)+1,LEN(Registro!$G615))),FIND("x",TRIM(MID(SUBSTITUTE(SUBSTITUTE(SUBSTITUTE(SUBSTITUTE(SUBSTITUTE(LOWER(Registro!$G615),"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",LEN(Registro!$G615))),({1,2,3,4,5,6,7,8,9,10,11,12,13,14,15,16,17,18,19,20,21,22,23,24,25,26,27,28,29,30}-1)*LEN(Registro!$G615)+1,LEN(Registro!$G615)))&amp;"x")-1)),--("0"&amp;MID(TRIM(MID(SUBSTITUTE(SUBSTITUTE(SUBSTITUTE(SUBSTITUTE(SUBSTITUTE(LOWER(Registro!$G615),"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",LEN(Registro!$G615))),({1,2,3,4,5,6,7,8,9,10,11,12,13,14,15,16,17,18,19,20,21,22,23,24,25,26,27,28,29,30}-1)*LEN(Registro!$G615)+1,LEN(Registro!$G615))),FIND("x",TRIM(MID(SUBSTITUTE(SUBSTITUTE(SUBSTITUTE(SUBSTITUTE(SUBSTITUTE(LOWER(Registro!$G615),"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",LEN(Registro!$G615))),({1,2,3,4,5,6,7,8,9,10,11,12,13,14,15,16,17,18,19,20,21,22,23,24,25,26,27,28,29,30}-1)*LEN(Registro!$G615)+1,LEN(Registro!$G615)))&amp;"x")+1,20))),"Revisar formato")))</f>
        <v/>
      </c>
      <c r="J615" s="9" t="str">
        <f>IF(AND(Registro!$E615="",Registro!$G615=""),"",IF(NOT(AND(ISNUMBER(I615),ISNUMBER(Registro!$H615))),"",IF(I615&lt;Registro!$H615,"FALTA BOLETOS",IF(I615=Registro!$H615,"CONFORME","DIFERENCIA"))))</f>
        <v/>
      </c>
      <c r="K615" s="11" t="str">
        <f>IF(Registro!$I615="","",IFERROR(SUMPRODUCT(--("0"&amp;TRIM(RIGHT(SUBSTITUTE(TRIM(MID(SUBSTITUTE(SUBSTITUTE(Registro!$I615,";",CHAR(10)),CHAR(10),REPT(" ",LEN(Registro!$I615))),({1,2,3,4,5,6,7,8,9,10,11,12,13,14,15,16,17,18,19,20,21,22,23,24,25,26,27,28,29,30}-1)*LEN(Registro!$I615)+1,LEN(Registro!$I615)))," ",REPT(" ",50)),50)))),"Revisar formato"))</f>
        <v/>
      </c>
      <c r="L615" s="11" t="str">
        <f>IF(Registro!$J615="","",IFERROR(SUMPRODUCT(--("0"&amp;TRIM(RIGHT(SUBSTITUTE(TRIM(MID(SUBSTITUTE(SUBSTITUTE(Registro!$J615,";",CHAR(10)),CHAR(10),REPT(" ",LEN(Registro!$J615))),({1,2,3,4,5,6,7,8,9,10,11,12,13,14,15,16,17,18,19,20,21,22,23,24,25,26,27,28,29,30}-1)*LEN(Registro!$J615)+1,LEN(Registro!$J615)))," ",REPT(" ",50)),50)))),"Revisar formato"))</f>
        <v/>
      </c>
      <c r="M615" s="11" t="str">
        <f>IF(AND(Registro!$H615="",Registro!$I615=""),"",IF(AND(ISTEXT(K615),K615&lt;&gt;""),"Revisar formato",N(Registro!$H615)-N(K615)))</f>
        <v/>
      </c>
      <c r="N615" s="11" t="str">
        <f t="shared" si="29"/>
        <v/>
      </c>
      <c r="O615" s="15" t="str">
        <f>IF(AND(A615=Consulta!$B$3,C615=Consulta!$H$3),B615*10000+ROW(),"")</f>
        <v/>
      </c>
    </row>
    <row r="616" spans="1:15" x14ac:dyDescent="0.25">
      <c r="A616" s="9" t="str">
        <f>IF(Registro!$A616="","",Registro!$A616)</f>
        <v/>
      </c>
      <c r="B616" s="8" t="str">
        <f>IF(Registro!$B616="","",Registro!$B616)</f>
        <v/>
      </c>
      <c r="C616" s="14" t="str">
        <f t="shared" si="27"/>
        <v/>
      </c>
      <c r="D616" s="10" t="str">
        <f>IF(Registro!$E616="","",IF(ISERROR(FIND("x",LOWER(Registro!$E616))),"-",IFERROR(SUMPRODUCT(--("0"&amp;LEFT(TRIM(MID(SUBSTITUTE(SUBSTITUTE(SUBSTITUTE(SUBSTITUTE(SUBSTITUTE(LOWER(Registro!$E616),"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",LEN(Registro!$E616))),({1,2,3,4,5,6,7,8,9,10,11,12,13,14,15,16,17,18,19,20,21,22,23,24,25,26,27,28,29,30}-1)*LEN(Registro!$E616)+1,LEN(Registro!$E616)))&amp;"x")-1))),"Revisar formato")))</f>
        <v/>
      </c>
      <c r="E616" s="11" t="str">
        <f>IF(Registro!$E616="","",IF(ISERROR(FIND("x",LOWER(Registro!$E616))),"-",IFERROR(SUMPRODUCT(--("0"&amp;LEFT(TRIM(MID(SUBSTITUTE(SUBSTITUTE(SUBSTITUTE(SUBSTITUTE(SUBSTITUTE(LOWER(Registro!$E616),"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",LEN(Registro!$E616))),({1,2,3,4,5,6,7,8,9,10,11,12,13,14,15,16,17,18,19,20,21,22,23,24,25,26,27,28,29,30}-1)*LEN(Registro!$E616)+1,LEN(Registro!$E616)))&amp;"x")-1)),--("0"&amp;MID(TRIM(MID(SUBSTITUTE(SUBSTITUTE(SUBSTITUTE(SUBSTITUTE(SUBSTITUTE(LOWER(Registro!$E616),"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",LEN(Registro!$E616))),({1,2,3,4,5,6,7,8,9,10,11,12,13,14,15,16,17,18,19,20,21,22,23,24,25,26,27,28,29,30}-1)*LEN(Registro!$E616)+1,LEN(Registro!$E616)))&amp;"x")+1,20))),"Revisar formato")))</f>
        <v/>
      </c>
      <c r="F616" s="11" t="str">
        <f>IF(Registro!$F616="","",N(Registro!$F616))</f>
        <v/>
      </c>
      <c r="G616" s="11" t="str">
        <f t="shared" si="28"/>
        <v/>
      </c>
      <c r="H616" s="10" t="str">
        <f>IF(Registro!$G616="","",IF(ISERROR(FIND("x",LOWER(Registro!$G616))),"-",IFERROR(SUMPRODUCT(--("0"&amp;LEFT(TRIM(MID(SUBSTITUTE(SUBSTITUTE(SUBSTITUTE(SUBSTITUTE(SUBSTITUTE(LOWER(Registro!$G616),"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",LEN(Registro!$G616))),({1,2,3,4,5,6,7,8,9,10,11,12,13,14,15,16,17,18,19,20,21,22,23,24,25,26,27,28,29,30}-1)*LEN(Registro!$G616)+1,LEN(Registro!$G616))),FIND("x",TRIM(MID(SUBSTITUTE(SUBSTITUTE(SUBSTITUTE(SUBSTITUTE(SUBSTITUTE(LOWER(Registro!$G616),"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",LEN(Registro!$G616))),({1,2,3,4,5,6,7,8,9,10,11,12,13,14,15,16,17,18,19,20,21,22,23,24,25,26,27,28,29,30}-1)*LEN(Registro!$G616)+1,LEN(Registro!$G616)))&amp;"x")-1))),"Revisar formato")))</f>
        <v/>
      </c>
      <c r="I616" s="11" t="str">
        <f>IF(Registro!$G616="","",IF(ISERROR(FIND("x",LOWER(Registro!$G616))),N(Registro!$H616),IFERROR(SUMPRODUCT(--("0"&amp;LEFT(TRIM(MID(SUBSTITUTE(SUBSTITUTE(SUBSTITUTE(SUBSTITUTE(SUBSTITUTE(LOWER(Registro!$G616),"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",LEN(Registro!$G616))),({1,2,3,4,5,6,7,8,9,10,11,12,13,14,15,16,17,18,19,20,21,22,23,24,25,26,27,28,29,30}-1)*LEN(Registro!$G616)+1,LEN(Registro!$G616))),FIND("x",TRIM(MID(SUBSTITUTE(SUBSTITUTE(SUBSTITUTE(SUBSTITUTE(SUBSTITUTE(LOWER(Registro!$G616),"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",LEN(Registro!$G616))),({1,2,3,4,5,6,7,8,9,10,11,12,13,14,15,16,17,18,19,20,21,22,23,24,25,26,27,28,29,30}-1)*LEN(Registro!$G616)+1,LEN(Registro!$G616)))&amp;"x")-1)),--("0"&amp;MID(TRIM(MID(SUBSTITUTE(SUBSTITUTE(SUBSTITUTE(SUBSTITUTE(SUBSTITUTE(LOWER(Registro!$G616),"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",LEN(Registro!$G616))),({1,2,3,4,5,6,7,8,9,10,11,12,13,14,15,16,17,18,19,20,21,22,23,24,25,26,27,28,29,30}-1)*LEN(Registro!$G616)+1,LEN(Registro!$G616))),FIND("x",TRIM(MID(SUBSTITUTE(SUBSTITUTE(SUBSTITUTE(SUBSTITUTE(SUBSTITUTE(LOWER(Registro!$G616),"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",LEN(Registro!$G616))),({1,2,3,4,5,6,7,8,9,10,11,12,13,14,15,16,17,18,19,20,21,22,23,24,25,26,27,28,29,30}-1)*LEN(Registro!$G616)+1,LEN(Registro!$G616)))&amp;"x")+1,20))),"Revisar formato")))</f>
        <v/>
      </c>
      <c r="J616" s="9" t="str">
        <f>IF(AND(Registro!$E616="",Registro!$G616=""),"",IF(NOT(AND(ISNUMBER(I616),ISNUMBER(Registro!$H616))),"",IF(I616&lt;Registro!$H616,"FALTA BOLETOS",IF(I616=Registro!$H616,"CONFORME","DIFERENCIA"))))</f>
        <v/>
      </c>
      <c r="K616" s="11" t="str">
        <f>IF(Registro!$I616="","",IFERROR(SUMPRODUCT(--("0"&amp;TRIM(RIGHT(SUBSTITUTE(TRIM(MID(SUBSTITUTE(SUBSTITUTE(Registro!$I616,";",CHAR(10)),CHAR(10),REPT(" ",LEN(Registro!$I616))),({1,2,3,4,5,6,7,8,9,10,11,12,13,14,15,16,17,18,19,20,21,22,23,24,25,26,27,28,29,30}-1)*LEN(Registro!$I616)+1,LEN(Registro!$I616)))," ",REPT(" ",50)),50)))),"Revisar formato"))</f>
        <v/>
      </c>
      <c r="L616" s="11" t="str">
        <f>IF(Registro!$J616="","",IFERROR(SUMPRODUCT(--("0"&amp;TRIM(RIGHT(SUBSTITUTE(TRIM(MID(SUBSTITUTE(SUBSTITUTE(Registro!$J616,";",CHAR(10)),CHAR(10),REPT(" ",LEN(Registro!$J616))),({1,2,3,4,5,6,7,8,9,10,11,12,13,14,15,16,17,18,19,20,21,22,23,24,25,26,27,28,29,30}-1)*LEN(Registro!$J616)+1,LEN(Registro!$J616)))," ",REPT(" ",50)),50)))),"Revisar formato"))</f>
        <v/>
      </c>
      <c r="M616" s="11" t="str">
        <f>IF(AND(Registro!$H616="",Registro!$I616=""),"",IF(AND(ISTEXT(K616),K616&lt;&gt;""),"Revisar formato",N(Registro!$H616)-N(K616)))</f>
        <v/>
      </c>
      <c r="N616" s="11" t="str">
        <f t="shared" si="29"/>
        <v/>
      </c>
      <c r="O616" s="15" t="str">
        <f>IF(AND(A616=Consulta!$B$3,C616=Consulta!$H$3),B616*10000+ROW(),"")</f>
        <v/>
      </c>
    </row>
    <row r="617" spans="1:15" x14ac:dyDescent="0.25">
      <c r="A617" s="9" t="str">
        <f>IF(Registro!$A617="","",Registro!$A617)</f>
        <v/>
      </c>
      <c r="B617" s="8" t="str">
        <f>IF(Registro!$B617="","",Registro!$B617)</f>
        <v/>
      </c>
      <c r="C617" s="14" t="str">
        <f t="shared" si="27"/>
        <v/>
      </c>
      <c r="D617" s="10" t="str">
        <f>IF(Registro!$E617="","",IF(ISERROR(FIND("x",LOWER(Registro!$E617))),"-",IFERROR(SUMPRODUCT(--("0"&amp;LEFT(TRIM(MID(SUBSTITUTE(SUBSTITUTE(SUBSTITUTE(SUBSTITUTE(SUBSTITUTE(LOWER(Registro!$E617),"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",LEN(Registro!$E617))),({1,2,3,4,5,6,7,8,9,10,11,12,13,14,15,16,17,18,19,20,21,22,23,24,25,26,27,28,29,30}-1)*LEN(Registro!$E617)+1,LEN(Registro!$E617)))&amp;"x")-1))),"Revisar formato")))</f>
        <v/>
      </c>
      <c r="E617" s="11" t="str">
        <f>IF(Registro!$E617="","",IF(ISERROR(FIND("x",LOWER(Registro!$E617))),"-",IFERROR(SUMPRODUCT(--("0"&amp;LEFT(TRIM(MID(SUBSTITUTE(SUBSTITUTE(SUBSTITUTE(SUBSTITUTE(SUBSTITUTE(LOWER(Registro!$E617),"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",LEN(Registro!$E617))),({1,2,3,4,5,6,7,8,9,10,11,12,13,14,15,16,17,18,19,20,21,22,23,24,25,26,27,28,29,30}-1)*LEN(Registro!$E617)+1,LEN(Registro!$E617)))&amp;"x")-1)),--("0"&amp;MID(TRIM(MID(SUBSTITUTE(SUBSTITUTE(SUBSTITUTE(SUBSTITUTE(SUBSTITUTE(LOWER(Registro!$E617),"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",LEN(Registro!$E617))),({1,2,3,4,5,6,7,8,9,10,11,12,13,14,15,16,17,18,19,20,21,22,23,24,25,26,27,28,29,30}-1)*LEN(Registro!$E617)+1,LEN(Registro!$E617)))&amp;"x")+1,20))),"Revisar formato")))</f>
        <v/>
      </c>
      <c r="F617" s="11" t="str">
        <f>IF(Registro!$F617="","",N(Registro!$F617))</f>
        <v/>
      </c>
      <c r="G617" s="11" t="str">
        <f t="shared" si="28"/>
        <v/>
      </c>
      <c r="H617" s="10" t="str">
        <f>IF(Registro!$G617="","",IF(ISERROR(FIND("x",LOWER(Registro!$G617))),"-",IFERROR(SUMPRODUCT(--("0"&amp;LEFT(TRIM(MID(SUBSTITUTE(SUBSTITUTE(SUBSTITUTE(SUBSTITUTE(SUBSTITUTE(LOWER(Registro!$G617),"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",LEN(Registro!$G617))),({1,2,3,4,5,6,7,8,9,10,11,12,13,14,15,16,17,18,19,20,21,22,23,24,25,26,27,28,29,30}-1)*LEN(Registro!$G617)+1,LEN(Registro!$G617))),FIND("x",TRIM(MID(SUBSTITUTE(SUBSTITUTE(SUBSTITUTE(SUBSTITUTE(SUBSTITUTE(LOWER(Registro!$G617),"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",LEN(Registro!$G617))),({1,2,3,4,5,6,7,8,9,10,11,12,13,14,15,16,17,18,19,20,21,22,23,24,25,26,27,28,29,30}-1)*LEN(Registro!$G617)+1,LEN(Registro!$G617)))&amp;"x")-1))),"Revisar formato")))</f>
        <v/>
      </c>
      <c r="I617" s="11" t="str">
        <f>IF(Registro!$G617="","",IF(ISERROR(FIND("x",LOWER(Registro!$G617))),N(Registro!$H617),IFERROR(SUMPRODUCT(--("0"&amp;LEFT(TRIM(MID(SUBSTITUTE(SUBSTITUTE(SUBSTITUTE(SUBSTITUTE(SUBSTITUTE(LOWER(Registro!$G617),"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",LEN(Registro!$G617))),({1,2,3,4,5,6,7,8,9,10,11,12,13,14,15,16,17,18,19,20,21,22,23,24,25,26,27,28,29,30}-1)*LEN(Registro!$G617)+1,LEN(Registro!$G617))),FIND("x",TRIM(MID(SUBSTITUTE(SUBSTITUTE(SUBSTITUTE(SUBSTITUTE(SUBSTITUTE(LOWER(Registro!$G617),"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",LEN(Registro!$G617))),({1,2,3,4,5,6,7,8,9,10,11,12,13,14,15,16,17,18,19,20,21,22,23,24,25,26,27,28,29,30}-1)*LEN(Registro!$G617)+1,LEN(Registro!$G617)))&amp;"x")-1)),--("0"&amp;MID(TRIM(MID(SUBSTITUTE(SUBSTITUTE(SUBSTITUTE(SUBSTITUTE(SUBSTITUTE(LOWER(Registro!$G617),"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",LEN(Registro!$G617))),({1,2,3,4,5,6,7,8,9,10,11,12,13,14,15,16,17,18,19,20,21,22,23,24,25,26,27,28,29,30}-1)*LEN(Registro!$G617)+1,LEN(Registro!$G617))),FIND("x",TRIM(MID(SUBSTITUTE(SUBSTITUTE(SUBSTITUTE(SUBSTITUTE(SUBSTITUTE(LOWER(Registro!$G617),"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",LEN(Registro!$G617))),({1,2,3,4,5,6,7,8,9,10,11,12,13,14,15,16,17,18,19,20,21,22,23,24,25,26,27,28,29,30}-1)*LEN(Registro!$G617)+1,LEN(Registro!$G617)))&amp;"x")+1,20))),"Revisar formato")))</f>
        <v/>
      </c>
      <c r="J617" s="9" t="str">
        <f>IF(AND(Registro!$E617="",Registro!$G617=""),"",IF(NOT(AND(ISNUMBER(I617),ISNUMBER(Registro!$H617))),"",IF(I617&lt;Registro!$H617,"FALTA BOLETOS",IF(I617=Registro!$H617,"CONFORME","DIFERENCIA"))))</f>
        <v/>
      </c>
      <c r="K617" s="11" t="str">
        <f>IF(Registro!$I617="","",IFERROR(SUMPRODUCT(--("0"&amp;TRIM(RIGHT(SUBSTITUTE(TRIM(MID(SUBSTITUTE(SUBSTITUTE(Registro!$I617,";",CHAR(10)),CHAR(10),REPT(" ",LEN(Registro!$I617))),({1,2,3,4,5,6,7,8,9,10,11,12,13,14,15,16,17,18,19,20,21,22,23,24,25,26,27,28,29,30}-1)*LEN(Registro!$I617)+1,LEN(Registro!$I617)))," ",REPT(" ",50)),50)))),"Revisar formato"))</f>
        <v/>
      </c>
      <c r="L617" s="11" t="str">
        <f>IF(Registro!$J617="","",IFERROR(SUMPRODUCT(--("0"&amp;TRIM(RIGHT(SUBSTITUTE(TRIM(MID(SUBSTITUTE(SUBSTITUTE(Registro!$J617,";",CHAR(10)),CHAR(10),REPT(" ",LEN(Registro!$J617))),({1,2,3,4,5,6,7,8,9,10,11,12,13,14,15,16,17,18,19,20,21,22,23,24,25,26,27,28,29,30}-1)*LEN(Registro!$J617)+1,LEN(Registro!$J617)))," ",REPT(" ",50)),50)))),"Revisar formato"))</f>
        <v/>
      </c>
      <c r="M617" s="11" t="str">
        <f>IF(AND(Registro!$H617="",Registro!$I617=""),"",IF(AND(ISTEXT(K617),K617&lt;&gt;""),"Revisar formato",N(Registro!$H617)-N(K617)))</f>
        <v/>
      </c>
      <c r="N617" s="11" t="str">
        <f t="shared" si="29"/>
        <v/>
      </c>
      <c r="O617" s="15" t="str">
        <f>IF(AND(A617=Consulta!$B$3,C617=Consulta!$H$3),B617*10000+ROW(),"")</f>
        <v/>
      </c>
    </row>
    <row r="618" spans="1:15" x14ac:dyDescent="0.25">
      <c r="A618" s="9" t="str">
        <f>IF(Registro!$A618="","",Registro!$A618)</f>
        <v/>
      </c>
      <c r="B618" s="8" t="str">
        <f>IF(Registro!$B618="","",Registro!$B618)</f>
        <v/>
      </c>
      <c r="C618" s="14" t="str">
        <f t="shared" si="27"/>
        <v/>
      </c>
      <c r="D618" s="10" t="str">
        <f>IF(Registro!$E618="","",IF(ISERROR(FIND("x",LOWER(Registro!$E618))),"-",IFERROR(SUMPRODUCT(--("0"&amp;LEFT(TRIM(MID(SUBSTITUTE(SUBSTITUTE(SUBSTITUTE(SUBSTITUTE(SUBSTITUTE(LOWER(Registro!$E618),"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",LEN(Registro!$E618))),({1,2,3,4,5,6,7,8,9,10,11,12,13,14,15,16,17,18,19,20,21,22,23,24,25,26,27,28,29,30}-1)*LEN(Registro!$E618)+1,LEN(Registro!$E618)))&amp;"x")-1))),"Revisar formato")))</f>
        <v/>
      </c>
      <c r="E618" s="11" t="str">
        <f>IF(Registro!$E618="","",IF(ISERROR(FIND("x",LOWER(Registro!$E618))),"-",IFERROR(SUMPRODUCT(--("0"&amp;LEFT(TRIM(MID(SUBSTITUTE(SUBSTITUTE(SUBSTITUTE(SUBSTITUTE(SUBSTITUTE(LOWER(Registro!$E618),"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",LEN(Registro!$E618))),({1,2,3,4,5,6,7,8,9,10,11,12,13,14,15,16,17,18,19,20,21,22,23,24,25,26,27,28,29,30}-1)*LEN(Registro!$E618)+1,LEN(Registro!$E618)))&amp;"x")-1)),--("0"&amp;MID(TRIM(MID(SUBSTITUTE(SUBSTITUTE(SUBSTITUTE(SUBSTITUTE(SUBSTITUTE(LOWER(Registro!$E618),"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",LEN(Registro!$E618))),({1,2,3,4,5,6,7,8,9,10,11,12,13,14,15,16,17,18,19,20,21,22,23,24,25,26,27,28,29,30}-1)*LEN(Registro!$E618)+1,LEN(Registro!$E618)))&amp;"x")+1,20))),"Revisar formato")))</f>
        <v/>
      </c>
      <c r="F618" s="11" t="str">
        <f>IF(Registro!$F618="","",N(Registro!$F618))</f>
        <v/>
      </c>
      <c r="G618" s="11" t="str">
        <f t="shared" si="28"/>
        <v/>
      </c>
      <c r="H618" s="10" t="str">
        <f>IF(Registro!$G618="","",IF(ISERROR(FIND("x",LOWER(Registro!$G618))),"-",IFERROR(SUMPRODUCT(--("0"&amp;LEFT(TRIM(MID(SUBSTITUTE(SUBSTITUTE(SUBSTITUTE(SUBSTITUTE(SUBSTITUTE(LOWER(Registro!$G618),"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",LEN(Registro!$G618))),({1,2,3,4,5,6,7,8,9,10,11,12,13,14,15,16,17,18,19,20,21,22,23,24,25,26,27,28,29,30}-1)*LEN(Registro!$G618)+1,LEN(Registro!$G618))),FIND("x",TRIM(MID(SUBSTITUTE(SUBSTITUTE(SUBSTITUTE(SUBSTITUTE(SUBSTITUTE(LOWER(Registro!$G618),"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",LEN(Registro!$G618))),({1,2,3,4,5,6,7,8,9,10,11,12,13,14,15,16,17,18,19,20,21,22,23,24,25,26,27,28,29,30}-1)*LEN(Registro!$G618)+1,LEN(Registro!$G618)))&amp;"x")-1))),"Revisar formato")))</f>
        <v/>
      </c>
      <c r="I618" s="11" t="str">
        <f>IF(Registro!$G618="","",IF(ISERROR(FIND("x",LOWER(Registro!$G618))),N(Registro!$H618),IFERROR(SUMPRODUCT(--("0"&amp;LEFT(TRIM(MID(SUBSTITUTE(SUBSTITUTE(SUBSTITUTE(SUBSTITUTE(SUBSTITUTE(LOWER(Registro!$G618),"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",LEN(Registro!$G618))),({1,2,3,4,5,6,7,8,9,10,11,12,13,14,15,16,17,18,19,20,21,22,23,24,25,26,27,28,29,30}-1)*LEN(Registro!$G618)+1,LEN(Registro!$G618))),FIND("x",TRIM(MID(SUBSTITUTE(SUBSTITUTE(SUBSTITUTE(SUBSTITUTE(SUBSTITUTE(LOWER(Registro!$G618),"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",LEN(Registro!$G618))),({1,2,3,4,5,6,7,8,9,10,11,12,13,14,15,16,17,18,19,20,21,22,23,24,25,26,27,28,29,30}-1)*LEN(Registro!$G618)+1,LEN(Registro!$G618)))&amp;"x")-1)),--("0"&amp;MID(TRIM(MID(SUBSTITUTE(SUBSTITUTE(SUBSTITUTE(SUBSTITUTE(SUBSTITUTE(LOWER(Registro!$G618),"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",LEN(Registro!$G618))),({1,2,3,4,5,6,7,8,9,10,11,12,13,14,15,16,17,18,19,20,21,22,23,24,25,26,27,28,29,30}-1)*LEN(Registro!$G618)+1,LEN(Registro!$G618))),FIND("x",TRIM(MID(SUBSTITUTE(SUBSTITUTE(SUBSTITUTE(SUBSTITUTE(SUBSTITUTE(LOWER(Registro!$G618),"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",LEN(Registro!$G618))),({1,2,3,4,5,6,7,8,9,10,11,12,13,14,15,16,17,18,19,20,21,22,23,24,25,26,27,28,29,30}-1)*LEN(Registro!$G618)+1,LEN(Registro!$G618)))&amp;"x")+1,20))),"Revisar formato")))</f>
        <v/>
      </c>
      <c r="J618" s="9" t="str">
        <f>IF(AND(Registro!$E618="",Registro!$G618=""),"",IF(NOT(AND(ISNUMBER(I618),ISNUMBER(Registro!$H618))),"",IF(I618&lt;Registro!$H618,"FALTA BOLETOS",IF(I618=Registro!$H618,"CONFORME","DIFERENCIA"))))</f>
        <v/>
      </c>
      <c r="K618" s="11" t="str">
        <f>IF(Registro!$I618="","",IFERROR(SUMPRODUCT(--("0"&amp;TRIM(RIGHT(SUBSTITUTE(TRIM(MID(SUBSTITUTE(SUBSTITUTE(Registro!$I618,";",CHAR(10)),CHAR(10),REPT(" ",LEN(Registro!$I618))),({1,2,3,4,5,6,7,8,9,10,11,12,13,14,15,16,17,18,19,20,21,22,23,24,25,26,27,28,29,30}-1)*LEN(Registro!$I618)+1,LEN(Registro!$I618)))," ",REPT(" ",50)),50)))),"Revisar formato"))</f>
        <v/>
      </c>
      <c r="L618" s="11" t="str">
        <f>IF(Registro!$J618="","",IFERROR(SUMPRODUCT(--("0"&amp;TRIM(RIGHT(SUBSTITUTE(TRIM(MID(SUBSTITUTE(SUBSTITUTE(Registro!$J618,";",CHAR(10)),CHAR(10),REPT(" ",LEN(Registro!$J618))),({1,2,3,4,5,6,7,8,9,10,11,12,13,14,15,16,17,18,19,20,21,22,23,24,25,26,27,28,29,30}-1)*LEN(Registro!$J618)+1,LEN(Registro!$J618)))," ",REPT(" ",50)),50)))),"Revisar formato"))</f>
        <v/>
      </c>
      <c r="M618" s="11" t="str">
        <f>IF(AND(Registro!$H618="",Registro!$I618=""),"",IF(AND(ISTEXT(K618),K618&lt;&gt;""),"Revisar formato",N(Registro!$H618)-N(K618)))</f>
        <v/>
      </c>
      <c r="N618" s="11" t="str">
        <f t="shared" si="29"/>
        <v/>
      </c>
      <c r="O618" s="15" t="str">
        <f>IF(AND(A618=Consulta!$B$3,C618=Consulta!$H$3),B618*10000+ROW(),"")</f>
        <v/>
      </c>
    </row>
    <row r="619" spans="1:15" x14ac:dyDescent="0.25">
      <c r="A619" s="9" t="str">
        <f>IF(Registro!$A619="","",Registro!$A619)</f>
        <v/>
      </c>
      <c r="B619" s="8" t="str">
        <f>IF(Registro!$B619="","",Registro!$B619)</f>
        <v/>
      </c>
      <c r="C619" s="14" t="str">
        <f t="shared" si="27"/>
        <v/>
      </c>
      <c r="D619" s="10" t="str">
        <f>IF(Registro!$E619="","",IF(ISERROR(FIND("x",LOWER(Registro!$E619))),"-",IFERROR(SUMPRODUCT(--("0"&amp;LEFT(TRIM(MID(SUBSTITUTE(SUBSTITUTE(SUBSTITUTE(SUBSTITUTE(SUBSTITUTE(LOWER(Registro!$E619),"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",LEN(Registro!$E619))),({1,2,3,4,5,6,7,8,9,10,11,12,13,14,15,16,17,18,19,20,21,22,23,24,25,26,27,28,29,30}-1)*LEN(Registro!$E619)+1,LEN(Registro!$E619)))&amp;"x")-1))),"Revisar formato")))</f>
        <v/>
      </c>
      <c r="E619" s="11" t="str">
        <f>IF(Registro!$E619="","",IF(ISERROR(FIND("x",LOWER(Registro!$E619))),"-",IFERROR(SUMPRODUCT(--("0"&amp;LEFT(TRIM(MID(SUBSTITUTE(SUBSTITUTE(SUBSTITUTE(SUBSTITUTE(SUBSTITUTE(LOWER(Registro!$E619),"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",LEN(Registro!$E619))),({1,2,3,4,5,6,7,8,9,10,11,12,13,14,15,16,17,18,19,20,21,22,23,24,25,26,27,28,29,30}-1)*LEN(Registro!$E619)+1,LEN(Registro!$E619)))&amp;"x")-1)),--("0"&amp;MID(TRIM(MID(SUBSTITUTE(SUBSTITUTE(SUBSTITUTE(SUBSTITUTE(SUBSTITUTE(LOWER(Registro!$E619),"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",LEN(Registro!$E619))),({1,2,3,4,5,6,7,8,9,10,11,12,13,14,15,16,17,18,19,20,21,22,23,24,25,26,27,28,29,30}-1)*LEN(Registro!$E619)+1,LEN(Registro!$E619)))&amp;"x")+1,20))),"Revisar formato")))</f>
        <v/>
      </c>
      <c r="F619" s="11" t="str">
        <f>IF(Registro!$F619="","",N(Registro!$F619))</f>
        <v/>
      </c>
      <c r="G619" s="11" t="str">
        <f t="shared" si="28"/>
        <v/>
      </c>
      <c r="H619" s="10" t="str">
        <f>IF(Registro!$G619="","",IF(ISERROR(FIND("x",LOWER(Registro!$G619))),"-",IFERROR(SUMPRODUCT(--("0"&amp;LEFT(TRIM(MID(SUBSTITUTE(SUBSTITUTE(SUBSTITUTE(SUBSTITUTE(SUBSTITUTE(LOWER(Registro!$G619),"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",LEN(Registro!$G619))),({1,2,3,4,5,6,7,8,9,10,11,12,13,14,15,16,17,18,19,20,21,22,23,24,25,26,27,28,29,30}-1)*LEN(Registro!$G619)+1,LEN(Registro!$G619))),FIND("x",TRIM(MID(SUBSTITUTE(SUBSTITUTE(SUBSTITUTE(SUBSTITUTE(SUBSTITUTE(LOWER(Registro!$G619),"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",LEN(Registro!$G619))),({1,2,3,4,5,6,7,8,9,10,11,12,13,14,15,16,17,18,19,20,21,22,23,24,25,26,27,28,29,30}-1)*LEN(Registro!$G619)+1,LEN(Registro!$G619)))&amp;"x")-1))),"Revisar formato")))</f>
        <v/>
      </c>
      <c r="I619" s="11" t="str">
        <f>IF(Registro!$G619="","",IF(ISERROR(FIND("x",LOWER(Registro!$G619))),N(Registro!$H619),IFERROR(SUMPRODUCT(--("0"&amp;LEFT(TRIM(MID(SUBSTITUTE(SUBSTITUTE(SUBSTITUTE(SUBSTITUTE(SUBSTITUTE(LOWER(Registro!$G619),"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",LEN(Registro!$G619))),({1,2,3,4,5,6,7,8,9,10,11,12,13,14,15,16,17,18,19,20,21,22,23,24,25,26,27,28,29,30}-1)*LEN(Registro!$G619)+1,LEN(Registro!$G619))),FIND("x",TRIM(MID(SUBSTITUTE(SUBSTITUTE(SUBSTITUTE(SUBSTITUTE(SUBSTITUTE(LOWER(Registro!$G619),"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",LEN(Registro!$G619))),({1,2,3,4,5,6,7,8,9,10,11,12,13,14,15,16,17,18,19,20,21,22,23,24,25,26,27,28,29,30}-1)*LEN(Registro!$G619)+1,LEN(Registro!$G619)))&amp;"x")-1)),--("0"&amp;MID(TRIM(MID(SUBSTITUTE(SUBSTITUTE(SUBSTITUTE(SUBSTITUTE(SUBSTITUTE(LOWER(Registro!$G619),"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",LEN(Registro!$G619))),({1,2,3,4,5,6,7,8,9,10,11,12,13,14,15,16,17,18,19,20,21,22,23,24,25,26,27,28,29,30}-1)*LEN(Registro!$G619)+1,LEN(Registro!$G619))),FIND("x",TRIM(MID(SUBSTITUTE(SUBSTITUTE(SUBSTITUTE(SUBSTITUTE(SUBSTITUTE(LOWER(Registro!$G619),"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",LEN(Registro!$G619))),({1,2,3,4,5,6,7,8,9,10,11,12,13,14,15,16,17,18,19,20,21,22,23,24,25,26,27,28,29,30}-1)*LEN(Registro!$G619)+1,LEN(Registro!$G619)))&amp;"x")+1,20))),"Revisar formato")))</f>
        <v/>
      </c>
      <c r="J619" s="9" t="str">
        <f>IF(AND(Registro!$E619="",Registro!$G619=""),"",IF(NOT(AND(ISNUMBER(I619),ISNUMBER(Registro!$H619))),"",IF(I619&lt;Registro!$H619,"FALTA BOLETOS",IF(I619=Registro!$H619,"CONFORME","DIFERENCIA"))))</f>
        <v/>
      </c>
      <c r="K619" s="11" t="str">
        <f>IF(Registro!$I619="","",IFERROR(SUMPRODUCT(--("0"&amp;TRIM(RIGHT(SUBSTITUTE(TRIM(MID(SUBSTITUTE(SUBSTITUTE(Registro!$I619,";",CHAR(10)),CHAR(10),REPT(" ",LEN(Registro!$I619))),({1,2,3,4,5,6,7,8,9,10,11,12,13,14,15,16,17,18,19,20,21,22,23,24,25,26,27,28,29,30}-1)*LEN(Registro!$I619)+1,LEN(Registro!$I619)))," ",REPT(" ",50)),50)))),"Revisar formato"))</f>
        <v/>
      </c>
      <c r="L619" s="11" t="str">
        <f>IF(Registro!$J619="","",IFERROR(SUMPRODUCT(--("0"&amp;TRIM(RIGHT(SUBSTITUTE(TRIM(MID(SUBSTITUTE(SUBSTITUTE(Registro!$J619,";",CHAR(10)),CHAR(10),REPT(" ",LEN(Registro!$J619))),({1,2,3,4,5,6,7,8,9,10,11,12,13,14,15,16,17,18,19,20,21,22,23,24,25,26,27,28,29,30}-1)*LEN(Registro!$J619)+1,LEN(Registro!$J619)))," ",REPT(" ",50)),50)))),"Revisar formato"))</f>
        <v/>
      </c>
      <c r="M619" s="11" t="str">
        <f>IF(AND(Registro!$H619="",Registro!$I619=""),"",IF(AND(ISTEXT(K619),K619&lt;&gt;""),"Revisar formato",N(Registro!$H619)-N(K619)))</f>
        <v/>
      </c>
      <c r="N619" s="11" t="str">
        <f t="shared" si="29"/>
        <v/>
      </c>
      <c r="O619" s="15" t="str">
        <f>IF(AND(A619=Consulta!$B$3,C619=Consulta!$H$3),B619*10000+ROW(),"")</f>
        <v/>
      </c>
    </row>
    <row r="620" spans="1:15" x14ac:dyDescent="0.25">
      <c r="A620" s="9" t="str">
        <f>IF(Registro!$A620="","",Registro!$A620)</f>
        <v/>
      </c>
      <c r="B620" s="8" t="str">
        <f>IF(Registro!$B620="","",Registro!$B620)</f>
        <v/>
      </c>
      <c r="C620" s="14" t="str">
        <f t="shared" si="27"/>
        <v/>
      </c>
      <c r="D620" s="10" t="str">
        <f>IF(Registro!$E620="","",IF(ISERROR(FIND("x",LOWER(Registro!$E620))),"-",IFERROR(SUMPRODUCT(--("0"&amp;LEFT(TRIM(MID(SUBSTITUTE(SUBSTITUTE(SUBSTITUTE(SUBSTITUTE(SUBSTITUTE(LOWER(Registro!$E620),"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",LEN(Registro!$E620))),({1,2,3,4,5,6,7,8,9,10,11,12,13,14,15,16,17,18,19,20,21,22,23,24,25,26,27,28,29,30}-1)*LEN(Registro!$E620)+1,LEN(Registro!$E620)))&amp;"x")-1))),"Revisar formato")))</f>
        <v/>
      </c>
      <c r="E620" s="11" t="str">
        <f>IF(Registro!$E620="","",IF(ISERROR(FIND("x",LOWER(Registro!$E620))),"-",IFERROR(SUMPRODUCT(--("0"&amp;LEFT(TRIM(MID(SUBSTITUTE(SUBSTITUTE(SUBSTITUTE(SUBSTITUTE(SUBSTITUTE(LOWER(Registro!$E620),"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",LEN(Registro!$E620))),({1,2,3,4,5,6,7,8,9,10,11,12,13,14,15,16,17,18,19,20,21,22,23,24,25,26,27,28,29,30}-1)*LEN(Registro!$E620)+1,LEN(Registro!$E620)))&amp;"x")-1)),--("0"&amp;MID(TRIM(MID(SUBSTITUTE(SUBSTITUTE(SUBSTITUTE(SUBSTITUTE(SUBSTITUTE(LOWER(Registro!$E620),"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",LEN(Registro!$E620))),({1,2,3,4,5,6,7,8,9,10,11,12,13,14,15,16,17,18,19,20,21,22,23,24,25,26,27,28,29,30}-1)*LEN(Registro!$E620)+1,LEN(Registro!$E620)))&amp;"x")+1,20))),"Revisar formato")))</f>
        <v/>
      </c>
      <c r="F620" s="11" t="str">
        <f>IF(Registro!$F620="","",N(Registro!$F620))</f>
        <v/>
      </c>
      <c r="G620" s="11" t="str">
        <f t="shared" si="28"/>
        <v/>
      </c>
      <c r="H620" s="10" t="str">
        <f>IF(Registro!$G620="","",IF(ISERROR(FIND("x",LOWER(Registro!$G620))),"-",IFERROR(SUMPRODUCT(--("0"&amp;LEFT(TRIM(MID(SUBSTITUTE(SUBSTITUTE(SUBSTITUTE(SUBSTITUTE(SUBSTITUTE(LOWER(Registro!$G620),"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",LEN(Registro!$G620))),({1,2,3,4,5,6,7,8,9,10,11,12,13,14,15,16,17,18,19,20,21,22,23,24,25,26,27,28,29,30}-1)*LEN(Registro!$G620)+1,LEN(Registro!$G620))),FIND("x",TRIM(MID(SUBSTITUTE(SUBSTITUTE(SUBSTITUTE(SUBSTITUTE(SUBSTITUTE(LOWER(Registro!$G620),"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",LEN(Registro!$G620))),({1,2,3,4,5,6,7,8,9,10,11,12,13,14,15,16,17,18,19,20,21,22,23,24,25,26,27,28,29,30}-1)*LEN(Registro!$G620)+1,LEN(Registro!$G620)))&amp;"x")-1))),"Revisar formato")))</f>
        <v/>
      </c>
      <c r="I620" s="11" t="str">
        <f>IF(Registro!$G620="","",IF(ISERROR(FIND("x",LOWER(Registro!$G620))),N(Registro!$H620),IFERROR(SUMPRODUCT(--("0"&amp;LEFT(TRIM(MID(SUBSTITUTE(SUBSTITUTE(SUBSTITUTE(SUBSTITUTE(SUBSTITUTE(LOWER(Registro!$G620),"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",LEN(Registro!$G620))),({1,2,3,4,5,6,7,8,9,10,11,12,13,14,15,16,17,18,19,20,21,22,23,24,25,26,27,28,29,30}-1)*LEN(Registro!$G620)+1,LEN(Registro!$G620))),FIND("x",TRIM(MID(SUBSTITUTE(SUBSTITUTE(SUBSTITUTE(SUBSTITUTE(SUBSTITUTE(LOWER(Registro!$G620),"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",LEN(Registro!$G620))),({1,2,3,4,5,6,7,8,9,10,11,12,13,14,15,16,17,18,19,20,21,22,23,24,25,26,27,28,29,30}-1)*LEN(Registro!$G620)+1,LEN(Registro!$G620)))&amp;"x")-1)),--("0"&amp;MID(TRIM(MID(SUBSTITUTE(SUBSTITUTE(SUBSTITUTE(SUBSTITUTE(SUBSTITUTE(LOWER(Registro!$G620),"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",LEN(Registro!$G620))),({1,2,3,4,5,6,7,8,9,10,11,12,13,14,15,16,17,18,19,20,21,22,23,24,25,26,27,28,29,30}-1)*LEN(Registro!$G620)+1,LEN(Registro!$G620))),FIND("x",TRIM(MID(SUBSTITUTE(SUBSTITUTE(SUBSTITUTE(SUBSTITUTE(SUBSTITUTE(LOWER(Registro!$G620),"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",LEN(Registro!$G620))),({1,2,3,4,5,6,7,8,9,10,11,12,13,14,15,16,17,18,19,20,21,22,23,24,25,26,27,28,29,30}-1)*LEN(Registro!$G620)+1,LEN(Registro!$G620)))&amp;"x")+1,20))),"Revisar formato")))</f>
        <v/>
      </c>
      <c r="J620" s="9" t="str">
        <f>IF(AND(Registro!$E620="",Registro!$G620=""),"",IF(NOT(AND(ISNUMBER(I620),ISNUMBER(Registro!$H620))),"",IF(I620&lt;Registro!$H620,"FALTA BOLETOS",IF(I620=Registro!$H620,"CONFORME","DIFERENCIA"))))</f>
        <v/>
      </c>
      <c r="K620" s="11" t="str">
        <f>IF(Registro!$I620="","",IFERROR(SUMPRODUCT(--("0"&amp;TRIM(RIGHT(SUBSTITUTE(TRIM(MID(SUBSTITUTE(SUBSTITUTE(Registro!$I620,";",CHAR(10)),CHAR(10),REPT(" ",LEN(Registro!$I620))),({1,2,3,4,5,6,7,8,9,10,11,12,13,14,15,16,17,18,19,20,21,22,23,24,25,26,27,28,29,30}-1)*LEN(Registro!$I620)+1,LEN(Registro!$I620)))," ",REPT(" ",50)),50)))),"Revisar formato"))</f>
        <v/>
      </c>
      <c r="L620" s="11" t="str">
        <f>IF(Registro!$J620="","",IFERROR(SUMPRODUCT(--("0"&amp;TRIM(RIGHT(SUBSTITUTE(TRIM(MID(SUBSTITUTE(SUBSTITUTE(Registro!$J620,";",CHAR(10)),CHAR(10),REPT(" ",LEN(Registro!$J620))),({1,2,3,4,5,6,7,8,9,10,11,12,13,14,15,16,17,18,19,20,21,22,23,24,25,26,27,28,29,30}-1)*LEN(Registro!$J620)+1,LEN(Registro!$J620)))," ",REPT(" ",50)),50)))),"Revisar formato"))</f>
        <v/>
      </c>
      <c r="M620" s="11" t="str">
        <f>IF(AND(Registro!$H620="",Registro!$I620=""),"",IF(AND(ISTEXT(K620),K620&lt;&gt;""),"Revisar formato",N(Registro!$H620)-N(K620)))</f>
        <v/>
      </c>
      <c r="N620" s="11" t="str">
        <f t="shared" si="29"/>
        <v/>
      </c>
      <c r="O620" s="15" t="str">
        <f>IF(AND(A620=Consulta!$B$3,C620=Consulta!$H$3),B620*10000+ROW(),"")</f>
        <v/>
      </c>
    </row>
    <row r="621" spans="1:15" x14ac:dyDescent="0.25">
      <c r="A621" s="9" t="str">
        <f>IF(Registro!$A621="","",Registro!$A621)</f>
        <v/>
      </c>
      <c r="B621" s="8" t="str">
        <f>IF(Registro!$B621="","",Registro!$B621)</f>
        <v/>
      </c>
      <c r="C621" s="14" t="str">
        <f t="shared" si="27"/>
        <v/>
      </c>
      <c r="D621" s="10" t="str">
        <f>IF(Registro!$E621="","",IF(ISERROR(FIND("x",LOWER(Registro!$E621))),"-",IFERROR(SUMPRODUCT(--("0"&amp;LEFT(TRIM(MID(SUBSTITUTE(SUBSTITUTE(SUBSTITUTE(SUBSTITUTE(SUBSTITUTE(LOWER(Registro!$E621),"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",LEN(Registro!$E621))),({1,2,3,4,5,6,7,8,9,10,11,12,13,14,15,16,17,18,19,20,21,22,23,24,25,26,27,28,29,30}-1)*LEN(Registro!$E621)+1,LEN(Registro!$E621)))&amp;"x")-1))),"Revisar formato")))</f>
        <v/>
      </c>
      <c r="E621" s="11" t="str">
        <f>IF(Registro!$E621="","",IF(ISERROR(FIND("x",LOWER(Registro!$E621))),"-",IFERROR(SUMPRODUCT(--("0"&amp;LEFT(TRIM(MID(SUBSTITUTE(SUBSTITUTE(SUBSTITUTE(SUBSTITUTE(SUBSTITUTE(LOWER(Registro!$E621),"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",LEN(Registro!$E621))),({1,2,3,4,5,6,7,8,9,10,11,12,13,14,15,16,17,18,19,20,21,22,23,24,25,26,27,28,29,30}-1)*LEN(Registro!$E621)+1,LEN(Registro!$E621)))&amp;"x")-1)),--("0"&amp;MID(TRIM(MID(SUBSTITUTE(SUBSTITUTE(SUBSTITUTE(SUBSTITUTE(SUBSTITUTE(LOWER(Registro!$E621),"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",LEN(Registro!$E621))),({1,2,3,4,5,6,7,8,9,10,11,12,13,14,15,16,17,18,19,20,21,22,23,24,25,26,27,28,29,30}-1)*LEN(Registro!$E621)+1,LEN(Registro!$E621)))&amp;"x")+1,20))),"Revisar formato")))</f>
        <v/>
      </c>
      <c r="F621" s="11" t="str">
        <f>IF(Registro!$F621="","",N(Registro!$F621))</f>
        <v/>
      </c>
      <c r="G621" s="11" t="str">
        <f t="shared" si="28"/>
        <v/>
      </c>
      <c r="H621" s="10" t="str">
        <f>IF(Registro!$G621="","",IF(ISERROR(FIND("x",LOWER(Registro!$G621))),"-",IFERROR(SUMPRODUCT(--("0"&amp;LEFT(TRIM(MID(SUBSTITUTE(SUBSTITUTE(SUBSTITUTE(SUBSTITUTE(SUBSTITUTE(LOWER(Registro!$G621),"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",LEN(Registro!$G621))),({1,2,3,4,5,6,7,8,9,10,11,12,13,14,15,16,17,18,19,20,21,22,23,24,25,26,27,28,29,30}-1)*LEN(Registro!$G621)+1,LEN(Registro!$G621))),FIND("x",TRIM(MID(SUBSTITUTE(SUBSTITUTE(SUBSTITUTE(SUBSTITUTE(SUBSTITUTE(LOWER(Registro!$G621),"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",LEN(Registro!$G621))),({1,2,3,4,5,6,7,8,9,10,11,12,13,14,15,16,17,18,19,20,21,22,23,24,25,26,27,28,29,30}-1)*LEN(Registro!$G621)+1,LEN(Registro!$G621)))&amp;"x")-1))),"Revisar formato")))</f>
        <v/>
      </c>
      <c r="I621" s="11" t="str">
        <f>IF(Registro!$G621="","",IF(ISERROR(FIND("x",LOWER(Registro!$G621))),N(Registro!$H621),IFERROR(SUMPRODUCT(--("0"&amp;LEFT(TRIM(MID(SUBSTITUTE(SUBSTITUTE(SUBSTITUTE(SUBSTITUTE(SUBSTITUTE(LOWER(Registro!$G621),"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",LEN(Registro!$G621))),({1,2,3,4,5,6,7,8,9,10,11,12,13,14,15,16,17,18,19,20,21,22,23,24,25,26,27,28,29,30}-1)*LEN(Registro!$G621)+1,LEN(Registro!$G621))),FIND("x",TRIM(MID(SUBSTITUTE(SUBSTITUTE(SUBSTITUTE(SUBSTITUTE(SUBSTITUTE(LOWER(Registro!$G621),"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",LEN(Registro!$G621))),({1,2,3,4,5,6,7,8,9,10,11,12,13,14,15,16,17,18,19,20,21,22,23,24,25,26,27,28,29,30}-1)*LEN(Registro!$G621)+1,LEN(Registro!$G621)))&amp;"x")-1)),--("0"&amp;MID(TRIM(MID(SUBSTITUTE(SUBSTITUTE(SUBSTITUTE(SUBSTITUTE(SUBSTITUTE(LOWER(Registro!$G621),"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",LEN(Registro!$G621))),({1,2,3,4,5,6,7,8,9,10,11,12,13,14,15,16,17,18,19,20,21,22,23,24,25,26,27,28,29,30}-1)*LEN(Registro!$G621)+1,LEN(Registro!$G621))),FIND("x",TRIM(MID(SUBSTITUTE(SUBSTITUTE(SUBSTITUTE(SUBSTITUTE(SUBSTITUTE(LOWER(Registro!$G621),"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",LEN(Registro!$G621))),({1,2,3,4,5,6,7,8,9,10,11,12,13,14,15,16,17,18,19,20,21,22,23,24,25,26,27,28,29,30}-1)*LEN(Registro!$G621)+1,LEN(Registro!$G621)))&amp;"x")+1,20))),"Revisar formato")))</f>
        <v/>
      </c>
      <c r="J621" s="9" t="str">
        <f>IF(AND(Registro!$E621="",Registro!$G621=""),"",IF(NOT(AND(ISNUMBER(I621),ISNUMBER(Registro!$H621))),"",IF(I621&lt;Registro!$H621,"FALTA BOLETOS",IF(I621=Registro!$H621,"CONFORME","DIFERENCIA"))))</f>
        <v/>
      </c>
      <c r="K621" s="11" t="str">
        <f>IF(Registro!$I621="","",IFERROR(SUMPRODUCT(--("0"&amp;TRIM(RIGHT(SUBSTITUTE(TRIM(MID(SUBSTITUTE(SUBSTITUTE(Registro!$I621,";",CHAR(10)),CHAR(10),REPT(" ",LEN(Registro!$I621))),({1,2,3,4,5,6,7,8,9,10,11,12,13,14,15,16,17,18,19,20,21,22,23,24,25,26,27,28,29,30}-1)*LEN(Registro!$I621)+1,LEN(Registro!$I621)))," ",REPT(" ",50)),50)))),"Revisar formato"))</f>
        <v/>
      </c>
      <c r="L621" s="11" t="str">
        <f>IF(Registro!$J621="","",IFERROR(SUMPRODUCT(--("0"&amp;TRIM(RIGHT(SUBSTITUTE(TRIM(MID(SUBSTITUTE(SUBSTITUTE(Registro!$J621,";",CHAR(10)),CHAR(10),REPT(" ",LEN(Registro!$J621))),({1,2,3,4,5,6,7,8,9,10,11,12,13,14,15,16,17,18,19,20,21,22,23,24,25,26,27,28,29,30}-1)*LEN(Registro!$J621)+1,LEN(Registro!$J621)))," ",REPT(" ",50)),50)))),"Revisar formato"))</f>
        <v/>
      </c>
      <c r="M621" s="11" t="str">
        <f>IF(AND(Registro!$H621="",Registro!$I621=""),"",IF(AND(ISTEXT(K621),K621&lt;&gt;""),"Revisar formato",N(Registro!$H621)-N(K621)))</f>
        <v/>
      </c>
      <c r="N621" s="11" t="str">
        <f t="shared" si="29"/>
        <v/>
      </c>
      <c r="O621" s="15" t="str">
        <f>IF(AND(A621=Consulta!$B$3,C621=Consulta!$H$3),B621*10000+ROW(),"")</f>
        <v/>
      </c>
    </row>
    <row r="622" spans="1:15" x14ac:dyDescent="0.25">
      <c r="A622" s="9" t="str">
        <f>IF(Registro!$A622="","",Registro!$A622)</f>
        <v/>
      </c>
      <c r="B622" s="8" t="str">
        <f>IF(Registro!$B622="","",Registro!$B622)</f>
        <v/>
      </c>
      <c r="C622" s="14" t="str">
        <f t="shared" si="27"/>
        <v/>
      </c>
      <c r="D622" s="10" t="str">
        <f>IF(Registro!$E622="","",IF(ISERROR(FIND("x",LOWER(Registro!$E622))),"-",IFERROR(SUMPRODUCT(--("0"&amp;LEFT(TRIM(MID(SUBSTITUTE(SUBSTITUTE(SUBSTITUTE(SUBSTITUTE(SUBSTITUTE(LOWER(Registro!$E622),"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",LEN(Registro!$E622))),({1,2,3,4,5,6,7,8,9,10,11,12,13,14,15,16,17,18,19,20,21,22,23,24,25,26,27,28,29,30}-1)*LEN(Registro!$E622)+1,LEN(Registro!$E622)))&amp;"x")-1))),"Revisar formato")))</f>
        <v/>
      </c>
      <c r="E622" s="11" t="str">
        <f>IF(Registro!$E622="","",IF(ISERROR(FIND("x",LOWER(Registro!$E622))),"-",IFERROR(SUMPRODUCT(--("0"&amp;LEFT(TRIM(MID(SUBSTITUTE(SUBSTITUTE(SUBSTITUTE(SUBSTITUTE(SUBSTITUTE(LOWER(Registro!$E622),"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",LEN(Registro!$E622))),({1,2,3,4,5,6,7,8,9,10,11,12,13,14,15,16,17,18,19,20,21,22,23,24,25,26,27,28,29,30}-1)*LEN(Registro!$E622)+1,LEN(Registro!$E622)))&amp;"x")-1)),--("0"&amp;MID(TRIM(MID(SUBSTITUTE(SUBSTITUTE(SUBSTITUTE(SUBSTITUTE(SUBSTITUTE(LOWER(Registro!$E622),"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",LEN(Registro!$E622))),({1,2,3,4,5,6,7,8,9,10,11,12,13,14,15,16,17,18,19,20,21,22,23,24,25,26,27,28,29,30}-1)*LEN(Registro!$E622)+1,LEN(Registro!$E622)))&amp;"x")+1,20))),"Revisar formato")))</f>
        <v/>
      </c>
      <c r="F622" s="11" t="str">
        <f>IF(Registro!$F622="","",N(Registro!$F622))</f>
        <v/>
      </c>
      <c r="G622" s="11" t="str">
        <f t="shared" si="28"/>
        <v/>
      </c>
      <c r="H622" s="10" t="str">
        <f>IF(Registro!$G622="","",IF(ISERROR(FIND("x",LOWER(Registro!$G622))),"-",IFERROR(SUMPRODUCT(--("0"&amp;LEFT(TRIM(MID(SUBSTITUTE(SUBSTITUTE(SUBSTITUTE(SUBSTITUTE(SUBSTITUTE(LOWER(Registro!$G622),"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",LEN(Registro!$G622))),({1,2,3,4,5,6,7,8,9,10,11,12,13,14,15,16,17,18,19,20,21,22,23,24,25,26,27,28,29,30}-1)*LEN(Registro!$G622)+1,LEN(Registro!$G622))),FIND("x",TRIM(MID(SUBSTITUTE(SUBSTITUTE(SUBSTITUTE(SUBSTITUTE(SUBSTITUTE(LOWER(Registro!$G622),"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",LEN(Registro!$G622))),({1,2,3,4,5,6,7,8,9,10,11,12,13,14,15,16,17,18,19,20,21,22,23,24,25,26,27,28,29,30}-1)*LEN(Registro!$G622)+1,LEN(Registro!$G622)))&amp;"x")-1))),"Revisar formato")))</f>
        <v/>
      </c>
      <c r="I622" s="11" t="str">
        <f>IF(Registro!$G622="","",IF(ISERROR(FIND("x",LOWER(Registro!$G622))),N(Registro!$H622),IFERROR(SUMPRODUCT(--("0"&amp;LEFT(TRIM(MID(SUBSTITUTE(SUBSTITUTE(SUBSTITUTE(SUBSTITUTE(SUBSTITUTE(LOWER(Registro!$G622),"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",LEN(Registro!$G622))),({1,2,3,4,5,6,7,8,9,10,11,12,13,14,15,16,17,18,19,20,21,22,23,24,25,26,27,28,29,30}-1)*LEN(Registro!$G622)+1,LEN(Registro!$G622))),FIND("x",TRIM(MID(SUBSTITUTE(SUBSTITUTE(SUBSTITUTE(SUBSTITUTE(SUBSTITUTE(LOWER(Registro!$G622),"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",LEN(Registro!$G622))),({1,2,3,4,5,6,7,8,9,10,11,12,13,14,15,16,17,18,19,20,21,22,23,24,25,26,27,28,29,30}-1)*LEN(Registro!$G622)+1,LEN(Registro!$G622)))&amp;"x")-1)),--("0"&amp;MID(TRIM(MID(SUBSTITUTE(SUBSTITUTE(SUBSTITUTE(SUBSTITUTE(SUBSTITUTE(LOWER(Registro!$G622),"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",LEN(Registro!$G622))),({1,2,3,4,5,6,7,8,9,10,11,12,13,14,15,16,17,18,19,20,21,22,23,24,25,26,27,28,29,30}-1)*LEN(Registro!$G622)+1,LEN(Registro!$G622))),FIND("x",TRIM(MID(SUBSTITUTE(SUBSTITUTE(SUBSTITUTE(SUBSTITUTE(SUBSTITUTE(LOWER(Registro!$G622),"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",LEN(Registro!$G622))),({1,2,3,4,5,6,7,8,9,10,11,12,13,14,15,16,17,18,19,20,21,22,23,24,25,26,27,28,29,30}-1)*LEN(Registro!$G622)+1,LEN(Registro!$G622)))&amp;"x")+1,20))),"Revisar formato")))</f>
        <v/>
      </c>
      <c r="J622" s="9" t="str">
        <f>IF(AND(Registro!$E622="",Registro!$G622=""),"",IF(NOT(AND(ISNUMBER(I622),ISNUMBER(Registro!$H622))),"",IF(I622&lt;Registro!$H622,"FALTA BOLETOS",IF(I622=Registro!$H622,"CONFORME","DIFERENCIA"))))</f>
        <v/>
      </c>
      <c r="K622" s="11" t="str">
        <f>IF(Registro!$I622="","",IFERROR(SUMPRODUCT(--("0"&amp;TRIM(RIGHT(SUBSTITUTE(TRIM(MID(SUBSTITUTE(SUBSTITUTE(Registro!$I622,";",CHAR(10)),CHAR(10),REPT(" ",LEN(Registro!$I622))),({1,2,3,4,5,6,7,8,9,10,11,12,13,14,15,16,17,18,19,20,21,22,23,24,25,26,27,28,29,30}-1)*LEN(Registro!$I622)+1,LEN(Registro!$I622)))," ",REPT(" ",50)),50)))),"Revisar formato"))</f>
        <v/>
      </c>
      <c r="L622" s="11" t="str">
        <f>IF(Registro!$J622="","",IFERROR(SUMPRODUCT(--("0"&amp;TRIM(RIGHT(SUBSTITUTE(TRIM(MID(SUBSTITUTE(SUBSTITUTE(Registro!$J622,";",CHAR(10)),CHAR(10),REPT(" ",LEN(Registro!$J622))),({1,2,3,4,5,6,7,8,9,10,11,12,13,14,15,16,17,18,19,20,21,22,23,24,25,26,27,28,29,30}-1)*LEN(Registro!$J622)+1,LEN(Registro!$J622)))," ",REPT(" ",50)),50)))),"Revisar formato"))</f>
        <v/>
      </c>
      <c r="M622" s="11" t="str">
        <f>IF(AND(Registro!$H622="",Registro!$I622=""),"",IF(AND(ISTEXT(K622),K622&lt;&gt;""),"Revisar formato",N(Registro!$H622)-N(K622)))</f>
        <v/>
      </c>
      <c r="N622" s="11" t="str">
        <f t="shared" si="29"/>
        <v/>
      </c>
      <c r="O622" s="15" t="str">
        <f>IF(AND(A622=Consulta!$B$3,C622=Consulta!$H$3),B622*10000+ROW(),"")</f>
        <v/>
      </c>
    </row>
    <row r="623" spans="1:15" x14ac:dyDescent="0.25">
      <c r="A623" s="9" t="str">
        <f>IF(Registro!$A623="","",Registro!$A623)</f>
        <v/>
      </c>
      <c r="B623" s="8" t="str">
        <f>IF(Registro!$B623="","",Registro!$B623)</f>
        <v/>
      </c>
      <c r="C623" s="14" t="str">
        <f t="shared" si="27"/>
        <v/>
      </c>
      <c r="D623" s="10" t="str">
        <f>IF(Registro!$E623="","",IF(ISERROR(FIND("x",LOWER(Registro!$E623))),"-",IFERROR(SUMPRODUCT(--("0"&amp;LEFT(TRIM(MID(SUBSTITUTE(SUBSTITUTE(SUBSTITUTE(SUBSTITUTE(SUBSTITUTE(LOWER(Registro!$E623),"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",LEN(Registro!$E623))),({1,2,3,4,5,6,7,8,9,10,11,12,13,14,15,16,17,18,19,20,21,22,23,24,25,26,27,28,29,30}-1)*LEN(Registro!$E623)+1,LEN(Registro!$E623)))&amp;"x")-1))),"Revisar formato")))</f>
        <v/>
      </c>
      <c r="E623" s="11" t="str">
        <f>IF(Registro!$E623="","",IF(ISERROR(FIND("x",LOWER(Registro!$E623))),"-",IFERROR(SUMPRODUCT(--("0"&amp;LEFT(TRIM(MID(SUBSTITUTE(SUBSTITUTE(SUBSTITUTE(SUBSTITUTE(SUBSTITUTE(LOWER(Registro!$E623),"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",LEN(Registro!$E623))),({1,2,3,4,5,6,7,8,9,10,11,12,13,14,15,16,17,18,19,20,21,22,23,24,25,26,27,28,29,30}-1)*LEN(Registro!$E623)+1,LEN(Registro!$E623)))&amp;"x")-1)),--("0"&amp;MID(TRIM(MID(SUBSTITUTE(SUBSTITUTE(SUBSTITUTE(SUBSTITUTE(SUBSTITUTE(LOWER(Registro!$E623),"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",LEN(Registro!$E623))),({1,2,3,4,5,6,7,8,9,10,11,12,13,14,15,16,17,18,19,20,21,22,23,24,25,26,27,28,29,30}-1)*LEN(Registro!$E623)+1,LEN(Registro!$E623)))&amp;"x")+1,20))),"Revisar formato")))</f>
        <v/>
      </c>
      <c r="F623" s="11" t="str">
        <f>IF(Registro!$F623="","",N(Registro!$F623))</f>
        <v/>
      </c>
      <c r="G623" s="11" t="str">
        <f t="shared" si="28"/>
        <v/>
      </c>
      <c r="H623" s="10" t="str">
        <f>IF(Registro!$G623="","",IF(ISERROR(FIND("x",LOWER(Registro!$G623))),"-",IFERROR(SUMPRODUCT(--("0"&amp;LEFT(TRIM(MID(SUBSTITUTE(SUBSTITUTE(SUBSTITUTE(SUBSTITUTE(SUBSTITUTE(LOWER(Registro!$G623),"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",LEN(Registro!$G623))),({1,2,3,4,5,6,7,8,9,10,11,12,13,14,15,16,17,18,19,20,21,22,23,24,25,26,27,28,29,30}-1)*LEN(Registro!$G623)+1,LEN(Registro!$G623))),FIND("x",TRIM(MID(SUBSTITUTE(SUBSTITUTE(SUBSTITUTE(SUBSTITUTE(SUBSTITUTE(LOWER(Registro!$G623),"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",LEN(Registro!$G623))),({1,2,3,4,5,6,7,8,9,10,11,12,13,14,15,16,17,18,19,20,21,22,23,24,25,26,27,28,29,30}-1)*LEN(Registro!$G623)+1,LEN(Registro!$G623)))&amp;"x")-1))),"Revisar formato")))</f>
        <v/>
      </c>
      <c r="I623" s="11" t="str">
        <f>IF(Registro!$G623="","",IF(ISERROR(FIND("x",LOWER(Registro!$G623))),N(Registro!$H623),IFERROR(SUMPRODUCT(--("0"&amp;LEFT(TRIM(MID(SUBSTITUTE(SUBSTITUTE(SUBSTITUTE(SUBSTITUTE(SUBSTITUTE(LOWER(Registro!$G623),"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",LEN(Registro!$G623))),({1,2,3,4,5,6,7,8,9,10,11,12,13,14,15,16,17,18,19,20,21,22,23,24,25,26,27,28,29,30}-1)*LEN(Registro!$G623)+1,LEN(Registro!$G623))),FIND("x",TRIM(MID(SUBSTITUTE(SUBSTITUTE(SUBSTITUTE(SUBSTITUTE(SUBSTITUTE(LOWER(Registro!$G623),"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",LEN(Registro!$G623))),({1,2,3,4,5,6,7,8,9,10,11,12,13,14,15,16,17,18,19,20,21,22,23,24,25,26,27,28,29,30}-1)*LEN(Registro!$G623)+1,LEN(Registro!$G623)))&amp;"x")-1)),--("0"&amp;MID(TRIM(MID(SUBSTITUTE(SUBSTITUTE(SUBSTITUTE(SUBSTITUTE(SUBSTITUTE(LOWER(Registro!$G623),"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",LEN(Registro!$G623))),({1,2,3,4,5,6,7,8,9,10,11,12,13,14,15,16,17,18,19,20,21,22,23,24,25,26,27,28,29,30}-1)*LEN(Registro!$G623)+1,LEN(Registro!$G623))),FIND("x",TRIM(MID(SUBSTITUTE(SUBSTITUTE(SUBSTITUTE(SUBSTITUTE(SUBSTITUTE(LOWER(Registro!$G623),"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",LEN(Registro!$G623))),({1,2,3,4,5,6,7,8,9,10,11,12,13,14,15,16,17,18,19,20,21,22,23,24,25,26,27,28,29,30}-1)*LEN(Registro!$G623)+1,LEN(Registro!$G623)))&amp;"x")+1,20))),"Revisar formato")))</f>
        <v/>
      </c>
      <c r="J623" s="9" t="str">
        <f>IF(AND(Registro!$E623="",Registro!$G623=""),"",IF(NOT(AND(ISNUMBER(I623),ISNUMBER(Registro!$H623))),"",IF(I623&lt;Registro!$H623,"FALTA BOLETOS",IF(I623=Registro!$H623,"CONFORME","DIFERENCIA"))))</f>
        <v/>
      </c>
      <c r="K623" s="11" t="str">
        <f>IF(Registro!$I623="","",IFERROR(SUMPRODUCT(--("0"&amp;TRIM(RIGHT(SUBSTITUTE(TRIM(MID(SUBSTITUTE(SUBSTITUTE(Registro!$I623,";",CHAR(10)),CHAR(10),REPT(" ",LEN(Registro!$I623))),({1,2,3,4,5,6,7,8,9,10,11,12,13,14,15,16,17,18,19,20,21,22,23,24,25,26,27,28,29,30}-1)*LEN(Registro!$I623)+1,LEN(Registro!$I623)))," ",REPT(" ",50)),50)))),"Revisar formato"))</f>
        <v/>
      </c>
      <c r="L623" s="11" t="str">
        <f>IF(Registro!$J623="","",IFERROR(SUMPRODUCT(--("0"&amp;TRIM(RIGHT(SUBSTITUTE(TRIM(MID(SUBSTITUTE(SUBSTITUTE(Registro!$J623,";",CHAR(10)),CHAR(10),REPT(" ",LEN(Registro!$J623))),({1,2,3,4,5,6,7,8,9,10,11,12,13,14,15,16,17,18,19,20,21,22,23,24,25,26,27,28,29,30}-1)*LEN(Registro!$J623)+1,LEN(Registro!$J623)))," ",REPT(" ",50)),50)))),"Revisar formato"))</f>
        <v/>
      </c>
      <c r="M623" s="11" t="str">
        <f>IF(AND(Registro!$H623="",Registro!$I623=""),"",IF(AND(ISTEXT(K623),K623&lt;&gt;""),"Revisar formato",N(Registro!$H623)-N(K623)))</f>
        <v/>
      </c>
      <c r="N623" s="11" t="str">
        <f t="shared" si="29"/>
        <v/>
      </c>
      <c r="O623" s="15" t="str">
        <f>IF(AND(A623=Consulta!$B$3,C623=Consulta!$H$3),B623*10000+ROW(),"")</f>
        <v/>
      </c>
    </row>
    <row r="624" spans="1:15" x14ac:dyDescent="0.25">
      <c r="A624" s="9" t="str">
        <f>IF(Registro!$A624="","",Registro!$A624)</f>
        <v/>
      </c>
      <c r="B624" s="8" t="str">
        <f>IF(Registro!$B624="","",Registro!$B624)</f>
        <v/>
      </c>
      <c r="C624" s="14" t="str">
        <f t="shared" si="27"/>
        <v/>
      </c>
      <c r="D624" s="10" t="str">
        <f>IF(Registro!$E624="","",IF(ISERROR(FIND("x",LOWER(Registro!$E624))),"-",IFERROR(SUMPRODUCT(--("0"&amp;LEFT(TRIM(MID(SUBSTITUTE(SUBSTITUTE(SUBSTITUTE(SUBSTITUTE(SUBSTITUTE(LOWER(Registro!$E624),"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",LEN(Registro!$E624))),({1,2,3,4,5,6,7,8,9,10,11,12,13,14,15,16,17,18,19,20,21,22,23,24,25,26,27,28,29,30}-1)*LEN(Registro!$E624)+1,LEN(Registro!$E624)))&amp;"x")-1))),"Revisar formato")))</f>
        <v/>
      </c>
      <c r="E624" s="11" t="str">
        <f>IF(Registro!$E624="","",IF(ISERROR(FIND("x",LOWER(Registro!$E624))),"-",IFERROR(SUMPRODUCT(--("0"&amp;LEFT(TRIM(MID(SUBSTITUTE(SUBSTITUTE(SUBSTITUTE(SUBSTITUTE(SUBSTITUTE(LOWER(Registro!$E624),"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",LEN(Registro!$E624))),({1,2,3,4,5,6,7,8,9,10,11,12,13,14,15,16,17,18,19,20,21,22,23,24,25,26,27,28,29,30}-1)*LEN(Registro!$E624)+1,LEN(Registro!$E624)))&amp;"x")-1)),--("0"&amp;MID(TRIM(MID(SUBSTITUTE(SUBSTITUTE(SUBSTITUTE(SUBSTITUTE(SUBSTITUTE(LOWER(Registro!$E624),"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",LEN(Registro!$E624))),({1,2,3,4,5,6,7,8,9,10,11,12,13,14,15,16,17,18,19,20,21,22,23,24,25,26,27,28,29,30}-1)*LEN(Registro!$E624)+1,LEN(Registro!$E624)))&amp;"x")+1,20))),"Revisar formato")))</f>
        <v/>
      </c>
      <c r="F624" s="11" t="str">
        <f>IF(Registro!$F624="","",N(Registro!$F624))</f>
        <v/>
      </c>
      <c r="G624" s="11" t="str">
        <f t="shared" si="28"/>
        <v/>
      </c>
      <c r="H624" s="10" t="str">
        <f>IF(Registro!$G624="","",IF(ISERROR(FIND("x",LOWER(Registro!$G624))),"-",IFERROR(SUMPRODUCT(--("0"&amp;LEFT(TRIM(MID(SUBSTITUTE(SUBSTITUTE(SUBSTITUTE(SUBSTITUTE(SUBSTITUTE(LOWER(Registro!$G624),"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",LEN(Registro!$G624))),({1,2,3,4,5,6,7,8,9,10,11,12,13,14,15,16,17,18,19,20,21,22,23,24,25,26,27,28,29,30}-1)*LEN(Registro!$G624)+1,LEN(Registro!$G624))),FIND("x",TRIM(MID(SUBSTITUTE(SUBSTITUTE(SUBSTITUTE(SUBSTITUTE(SUBSTITUTE(LOWER(Registro!$G624),"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",LEN(Registro!$G624))),({1,2,3,4,5,6,7,8,9,10,11,12,13,14,15,16,17,18,19,20,21,22,23,24,25,26,27,28,29,30}-1)*LEN(Registro!$G624)+1,LEN(Registro!$G624)))&amp;"x")-1))),"Revisar formato")))</f>
        <v/>
      </c>
      <c r="I624" s="11" t="str">
        <f>IF(Registro!$G624="","",IF(ISERROR(FIND("x",LOWER(Registro!$G624))),N(Registro!$H624),IFERROR(SUMPRODUCT(--("0"&amp;LEFT(TRIM(MID(SUBSTITUTE(SUBSTITUTE(SUBSTITUTE(SUBSTITUTE(SUBSTITUTE(LOWER(Registro!$G624),"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",LEN(Registro!$G624))),({1,2,3,4,5,6,7,8,9,10,11,12,13,14,15,16,17,18,19,20,21,22,23,24,25,26,27,28,29,30}-1)*LEN(Registro!$G624)+1,LEN(Registro!$G624))),FIND("x",TRIM(MID(SUBSTITUTE(SUBSTITUTE(SUBSTITUTE(SUBSTITUTE(SUBSTITUTE(LOWER(Registro!$G624),"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",LEN(Registro!$G624))),({1,2,3,4,5,6,7,8,9,10,11,12,13,14,15,16,17,18,19,20,21,22,23,24,25,26,27,28,29,30}-1)*LEN(Registro!$G624)+1,LEN(Registro!$G624)))&amp;"x")-1)),--("0"&amp;MID(TRIM(MID(SUBSTITUTE(SUBSTITUTE(SUBSTITUTE(SUBSTITUTE(SUBSTITUTE(LOWER(Registro!$G624),"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",LEN(Registro!$G624))),({1,2,3,4,5,6,7,8,9,10,11,12,13,14,15,16,17,18,19,20,21,22,23,24,25,26,27,28,29,30}-1)*LEN(Registro!$G624)+1,LEN(Registro!$G624))),FIND("x",TRIM(MID(SUBSTITUTE(SUBSTITUTE(SUBSTITUTE(SUBSTITUTE(SUBSTITUTE(LOWER(Registro!$G624),"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",LEN(Registro!$G624))),({1,2,3,4,5,6,7,8,9,10,11,12,13,14,15,16,17,18,19,20,21,22,23,24,25,26,27,28,29,30}-1)*LEN(Registro!$G624)+1,LEN(Registro!$G624)))&amp;"x")+1,20))),"Revisar formato")))</f>
        <v/>
      </c>
      <c r="J624" s="9" t="str">
        <f>IF(AND(Registro!$E624="",Registro!$G624=""),"",IF(NOT(AND(ISNUMBER(I624),ISNUMBER(Registro!$H624))),"",IF(I624&lt;Registro!$H624,"FALTA BOLETOS",IF(I624=Registro!$H624,"CONFORME","DIFERENCIA"))))</f>
        <v/>
      </c>
      <c r="K624" s="11" t="str">
        <f>IF(Registro!$I624="","",IFERROR(SUMPRODUCT(--("0"&amp;TRIM(RIGHT(SUBSTITUTE(TRIM(MID(SUBSTITUTE(SUBSTITUTE(Registro!$I624,";",CHAR(10)),CHAR(10),REPT(" ",LEN(Registro!$I624))),({1,2,3,4,5,6,7,8,9,10,11,12,13,14,15,16,17,18,19,20,21,22,23,24,25,26,27,28,29,30}-1)*LEN(Registro!$I624)+1,LEN(Registro!$I624)))," ",REPT(" ",50)),50)))),"Revisar formato"))</f>
        <v/>
      </c>
      <c r="L624" s="11" t="str">
        <f>IF(Registro!$J624="","",IFERROR(SUMPRODUCT(--("0"&amp;TRIM(RIGHT(SUBSTITUTE(TRIM(MID(SUBSTITUTE(SUBSTITUTE(Registro!$J624,";",CHAR(10)),CHAR(10),REPT(" ",LEN(Registro!$J624))),({1,2,3,4,5,6,7,8,9,10,11,12,13,14,15,16,17,18,19,20,21,22,23,24,25,26,27,28,29,30}-1)*LEN(Registro!$J624)+1,LEN(Registro!$J624)))," ",REPT(" ",50)),50)))),"Revisar formato"))</f>
        <v/>
      </c>
      <c r="M624" s="11" t="str">
        <f>IF(AND(Registro!$H624="",Registro!$I624=""),"",IF(AND(ISTEXT(K624),K624&lt;&gt;""),"Revisar formato",N(Registro!$H624)-N(K624)))</f>
        <v/>
      </c>
      <c r="N624" s="11" t="str">
        <f t="shared" si="29"/>
        <v/>
      </c>
      <c r="O624" s="15" t="str">
        <f>IF(AND(A624=Consulta!$B$3,C624=Consulta!$H$3),B624*10000+ROW(),"")</f>
        <v/>
      </c>
    </row>
    <row r="625" spans="1:15" x14ac:dyDescent="0.25">
      <c r="A625" s="9" t="str">
        <f>IF(Registro!$A625="","",Registro!$A625)</f>
        <v/>
      </c>
      <c r="B625" s="8" t="str">
        <f>IF(Registro!$B625="","",Registro!$B625)</f>
        <v/>
      </c>
      <c r="C625" s="14" t="str">
        <f t="shared" si="27"/>
        <v/>
      </c>
      <c r="D625" s="10" t="str">
        <f>IF(Registro!$E625="","",IF(ISERROR(FIND("x",LOWER(Registro!$E625))),"-",IFERROR(SUMPRODUCT(--("0"&amp;LEFT(TRIM(MID(SUBSTITUTE(SUBSTITUTE(SUBSTITUTE(SUBSTITUTE(SUBSTITUTE(LOWER(Registro!$E625),"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",LEN(Registro!$E625))),({1,2,3,4,5,6,7,8,9,10,11,12,13,14,15,16,17,18,19,20,21,22,23,24,25,26,27,28,29,30}-1)*LEN(Registro!$E625)+1,LEN(Registro!$E625)))&amp;"x")-1))),"Revisar formato")))</f>
        <v/>
      </c>
      <c r="E625" s="11" t="str">
        <f>IF(Registro!$E625="","",IF(ISERROR(FIND("x",LOWER(Registro!$E625))),"-",IFERROR(SUMPRODUCT(--("0"&amp;LEFT(TRIM(MID(SUBSTITUTE(SUBSTITUTE(SUBSTITUTE(SUBSTITUTE(SUBSTITUTE(LOWER(Registro!$E625),"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",LEN(Registro!$E625))),({1,2,3,4,5,6,7,8,9,10,11,12,13,14,15,16,17,18,19,20,21,22,23,24,25,26,27,28,29,30}-1)*LEN(Registro!$E625)+1,LEN(Registro!$E625)))&amp;"x")-1)),--("0"&amp;MID(TRIM(MID(SUBSTITUTE(SUBSTITUTE(SUBSTITUTE(SUBSTITUTE(SUBSTITUTE(LOWER(Registro!$E625),"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",LEN(Registro!$E625))),({1,2,3,4,5,6,7,8,9,10,11,12,13,14,15,16,17,18,19,20,21,22,23,24,25,26,27,28,29,30}-1)*LEN(Registro!$E625)+1,LEN(Registro!$E625)))&amp;"x")+1,20))),"Revisar formato")))</f>
        <v/>
      </c>
      <c r="F625" s="11" t="str">
        <f>IF(Registro!$F625="","",N(Registro!$F625))</f>
        <v/>
      </c>
      <c r="G625" s="11" t="str">
        <f t="shared" si="28"/>
        <v/>
      </c>
      <c r="H625" s="10" t="str">
        <f>IF(Registro!$G625="","",IF(ISERROR(FIND("x",LOWER(Registro!$G625))),"-",IFERROR(SUMPRODUCT(--("0"&amp;LEFT(TRIM(MID(SUBSTITUTE(SUBSTITUTE(SUBSTITUTE(SUBSTITUTE(SUBSTITUTE(LOWER(Registro!$G625),"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",LEN(Registro!$G625))),({1,2,3,4,5,6,7,8,9,10,11,12,13,14,15,16,17,18,19,20,21,22,23,24,25,26,27,28,29,30}-1)*LEN(Registro!$G625)+1,LEN(Registro!$G625))),FIND("x",TRIM(MID(SUBSTITUTE(SUBSTITUTE(SUBSTITUTE(SUBSTITUTE(SUBSTITUTE(LOWER(Registro!$G625),"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",LEN(Registro!$G625))),({1,2,3,4,5,6,7,8,9,10,11,12,13,14,15,16,17,18,19,20,21,22,23,24,25,26,27,28,29,30}-1)*LEN(Registro!$G625)+1,LEN(Registro!$G625)))&amp;"x")-1))),"Revisar formato")))</f>
        <v/>
      </c>
      <c r="I625" s="11" t="str">
        <f>IF(Registro!$G625="","",IF(ISERROR(FIND("x",LOWER(Registro!$G625))),N(Registro!$H625),IFERROR(SUMPRODUCT(--("0"&amp;LEFT(TRIM(MID(SUBSTITUTE(SUBSTITUTE(SUBSTITUTE(SUBSTITUTE(SUBSTITUTE(LOWER(Registro!$G625),"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",LEN(Registro!$G625))),({1,2,3,4,5,6,7,8,9,10,11,12,13,14,15,16,17,18,19,20,21,22,23,24,25,26,27,28,29,30}-1)*LEN(Registro!$G625)+1,LEN(Registro!$G625))),FIND("x",TRIM(MID(SUBSTITUTE(SUBSTITUTE(SUBSTITUTE(SUBSTITUTE(SUBSTITUTE(LOWER(Registro!$G625),"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",LEN(Registro!$G625))),({1,2,3,4,5,6,7,8,9,10,11,12,13,14,15,16,17,18,19,20,21,22,23,24,25,26,27,28,29,30}-1)*LEN(Registro!$G625)+1,LEN(Registro!$G625)))&amp;"x")-1)),--("0"&amp;MID(TRIM(MID(SUBSTITUTE(SUBSTITUTE(SUBSTITUTE(SUBSTITUTE(SUBSTITUTE(LOWER(Registro!$G625),"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",LEN(Registro!$G625))),({1,2,3,4,5,6,7,8,9,10,11,12,13,14,15,16,17,18,19,20,21,22,23,24,25,26,27,28,29,30}-1)*LEN(Registro!$G625)+1,LEN(Registro!$G625))),FIND("x",TRIM(MID(SUBSTITUTE(SUBSTITUTE(SUBSTITUTE(SUBSTITUTE(SUBSTITUTE(LOWER(Registro!$G625),"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",LEN(Registro!$G625))),({1,2,3,4,5,6,7,8,9,10,11,12,13,14,15,16,17,18,19,20,21,22,23,24,25,26,27,28,29,30}-1)*LEN(Registro!$G625)+1,LEN(Registro!$G625)))&amp;"x")+1,20))),"Revisar formato")))</f>
        <v/>
      </c>
      <c r="J625" s="9" t="str">
        <f>IF(AND(Registro!$E625="",Registro!$G625=""),"",IF(NOT(AND(ISNUMBER(I625),ISNUMBER(Registro!$H625))),"",IF(I625&lt;Registro!$H625,"FALTA BOLETOS",IF(I625=Registro!$H625,"CONFORME","DIFERENCIA"))))</f>
        <v/>
      </c>
      <c r="K625" s="11" t="str">
        <f>IF(Registro!$I625="","",IFERROR(SUMPRODUCT(--("0"&amp;TRIM(RIGHT(SUBSTITUTE(TRIM(MID(SUBSTITUTE(SUBSTITUTE(Registro!$I625,";",CHAR(10)),CHAR(10),REPT(" ",LEN(Registro!$I625))),({1,2,3,4,5,6,7,8,9,10,11,12,13,14,15,16,17,18,19,20,21,22,23,24,25,26,27,28,29,30}-1)*LEN(Registro!$I625)+1,LEN(Registro!$I625)))," ",REPT(" ",50)),50)))),"Revisar formato"))</f>
        <v/>
      </c>
      <c r="L625" s="11" t="str">
        <f>IF(Registro!$J625="","",IFERROR(SUMPRODUCT(--("0"&amp;TRIM(RIGHT(SUBSTITUTE(TRIM(MID(SUBSTITUTE(SUBSTITUTE(Registro!$J625,";",CHAR(10)),CHAR(10),REPT(" ",LEN(Registro!$J625))),({1,2,3,4,5,6,7,8,9,10,11,12,13,14,15,16,17,18,19,20,21,22,23,24,25,26,27,28,29,30}-1)*LEN(Registro!$J625)+1,LEN(Registro!$J625)))," ",REPT(" ",50)),50)))),"Revisar formato"))</f>
        <v/>
      </c>
      <c r="M625" s="11" t="str">
        <f>IF(AND(Registro!$H625="",Registro!$I625=""),"",IF(AND(ISTEXT(K625),K625&lt;&gt;""),"Revisar formato",N(Registro!$H625)-N(K625)))</f>
        <v/>
      </c>
      <c r="N625" s="11" t="str">
        <f t="shared" si="29"/>
        <v/>
      </c>
      <c r="O625" s="15" t="str">
        <f>IF(AND(A625=Consulta!$B$3,C625=Consulta!$H$3),B625*10000+ROW(),"")</f>
        <v/>
      </c>
    </row>
    <row r="626" spans="1:15" x14ac:dyDescent="0.25">
      <c r="A626" s="9" t="str">
        <f>IF(Registro!$A626="","",Registro!$A626)</f>
        <v/>
      </c>
      <c r="B626" s="8" t="str">
        <f>IF(Registro!$B626="","",Registro!$B626)</f>
        <v/>
      </c>
      <c r="C626" s="14" t="str">
        <f t="shared" si="27"/>
        <v/>
      </c>
      <c r="D626" s="10" t="str">
        <f>IF(Registro!$E626="","",IF(ISERROR(FIND("x",LOWER(Registro!$E626))),"-",IFERROR(SUMPRODUCT(--("0"&amp;LEFT(TRIM(MID(SUBSTITUTE(SUBSTITUTE(SUBSTITUTE(SUBSTITUTE(SUBSTITUTE(LOWER(Registro!$E626),"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",LEN(Registro!$E626))),({1,2,3,4,5,6,7,8,9,10,11,12,13,14,15,16,17,18,19,20,21,22,23,24,25,26,27,28,29,30}-1)*LEN(Registro!$E626)+1,LEN(Registro!$E626)))&amp;"x")-1))),"Revisar formato")))</f>
        <v/>
      </c>
      <c r="E626" s="11" t="str">
        <f>IF(Registro!$E626="","",IF(ISERROR(FIND("x",LOWER(Registro!$E626))),"-",IFERROR(SUMPRODUCT(--("0"&amp;LEFT(TRIM(MID(SUBSTITUTE(SUBSTITUTE(SUBSTITUTE(SUBSTITUTE(SUBSTITUTE(LOWER(Registro!$E626),"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",LEN(Registro!$E626))),({1,2,3,4,5,6,7,8,9,10,11,12,13,14,15,16,17,18,19,20,21,22,23,24,25,26,27,28,29,30}-1)*LEN(Registro!$E626)+1,LEN(Registro!$E626)))&amp;"x")-1)),--("0"&amp;MID(TRIM(MID(SUBSTITUTE(SUBSTITUTE(SUBSTITUTE(SUBSTITUTE(SUBSTITUTE(LOWER(Registro!$E626),"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",LEN(Registro!$E626))),({1,2,3,4,5,6,7,8,9,10,11,12,13,14,15,16,17,18,19,20,21,22,23,24,25,26,27,28,29,30}-1)*LEN(Registro!$E626)+1,LEN(Registro!$E626)))&amp;"x")+1,20))),"Revisar formato")))</f>
        <v/>
      </c>
      <c r="F626" s="11" t="str">
        <f>IF(Registro!$F626="","",N(Registro!$F626))</f>
        <v/>
      </c>
      <c r="G626" s="11" t="str">
        <f t="shared" si="28"/>
        <v/>
      </c>
      <c r="H626" s="10" t="str">
        <f>IF(Registro!$G626="","",IF(ISERROR(FIND("x",LOWER(Registro!$G626))),"-",IFERROR(SUMPRODUCT(--("0"&amp;LEFT(TRIM(MID(SUBSTITUTE(SUBSTITUTE(SUBSTITUTE(SUBSTITUTE(SUBSTITUTE(LOWER(Registro!$G626),"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",LEN(Registro!$G626))),({1,2,3,4,5,6,7,8,9,10,11,12,13,14,15,16,17,18,19,20,21,22,23,24,25,26,27,28,29,30}-1)*LEN(Registro!$G626)+1,LEN(Registro!$G626))),FIND("x",TRIM(MID(SUBSTITUTE(SUBSTITUTE(SUBSTITUTE(SUBSTITUTE(SUBSTITUTE(LOWER(Registro!$G626),"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",LEN(Registro!$G626))),({1,2,3,4,5,6,7,8,9,10,11,12,13,14,15,16,17,18,19,20,21,22,23,24,25,26,27,28,29,30}-1)*LEN(Registro!$G626)+1,LEN(Registro!$G626)))&amp;"x")-1))),"Revisar formato")))</f>
        <v/>
      </c>
      <c r="I626" s="11" t="str">
        <f>IF(Registro!$G626="","",IF(ISERROR(FIND("x",LOWER(Registro!$G626))),N(Registro!$H626),IFERROR(SUMPRODUCT(--("0"&amp;LEFT(TRIM(MID(SUBSTITUTE(SUBSTITUTE(SUBSTITUTE(SUBSTITUTE(SUBSTITUTE(LOWER(Registro!$G626),"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",LEN(Registro!$G626))),({1,2,3,4,5,6,7,8,9,10,11,12,13,14,15,16,17,18,19,20,21,22,23,24,25,26,27,28,29,30}-1)*LEN(Registro!$G626)+1,LEN(Registro!$G626))),FIND("x",TRIM(MID(SUBSTITUTE(SUBSTITUTE(SUBSTITUTE(SUBSTITUTE(SUBSTITUTE(LOWER(Registro!$G626),"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",LEN(Registro!$G626))),({1,2,3,4,5,6,7,8,9,10,11,12,13,14,15,16,17,18,19,20,21,22,23,24,25,26,27,28,29,30}-1)*LEN(Registro!$G626)+1,LEN(Registro!$G626)))&amp;"x")-1)),--("0"&amp;MID(TRIM(MID(SUBSTITUTE(SUBSTITUTE(SUBSTITUTE(SUBSTITUTE(SUBSTITUTE(LOWER(Registro!$G626),"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",LEN(Registro!$G626))),({1,2,3,4,5,6,7,8,9,10,11,12,13,14,15,16,17,18,19,20,21,22,23,24,25,26,27,28,29,30}-1)*LEN(Registro!$G626)+1,LEN(Registro!$G626))),FIND("x",TRIM(MID(SUBSTITUTE(SUBSTITUTE(SUBSTITUTE(SUBSTITUTE(SUBSTITUTE(LOWER(Registro!$G626),"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",LEN(Registro!$G626))),({1,2,3,4,5,6,7,8,9,10,11,12,13,14,15,16,17,18,19,20,21,22,23,24,25,26,27,28,29,30}-1)*LEN(Registro!$G626)+1,LEN(Registro!$G626)))&amp;"x")+1,20))),"Revisar formato")))</f>
        <v/>
      </c>
      <c r="J626" s="9" t="str">
        <f>IF(AND(Registro!$E626="",Registro!$G626=""),"",IF(NOT(AND(ISNUMBER(I626),ISNUMBER(Registro!$H626))),"",IF(I626&lt;Registro!$H626,"FALTA BOLETOS",IF(I626=Registro!$H626,"CONFORME","DIFERENCIA"))))</f>
        <v/>
      </c>
      <c r="K626" s="11" t="str">
        <f>IF(Registro!$I626="","",IFERROR(SUMPRODUCT(--("0"&amp;TRIM(RIGHT(SUBSTITUTE(TRIM(MID(SUBSTITUTE(SUBSTITUTE(Registro!$I626,";",CHAR(10)),CHAR(10),REPT(" ",LEN(Registro!$I626))),({1,2,3,4,5,6,7,8,9,10,11,12,13,14,15,16,17,18,19,20,21,22,23,24,25,26,27,28,29,30}-1)*LEN(Registro!$I626)+1,LEN(Registro!$I626)))," ",REPT(" ",50)),50)))),"Revisar formato"))</f>
        <v/>
      </c>
      <c r="L626" s="11" t="str">
        <f>IF(Registro!$J626="","",IFERROR(SUMPRODUCT(--("0"&amp;TRIM(RIGHT(SUBSTITUTE(TRIM(MID(SUBSTITUTE(SUBSTITUTE(Registro!$J626,";",CHAR(10)),CHAR(10),REPT(" ",LEN(Registro!$J626))),({1,2,3,4,5,6,7,8,9,10,11,12,13,14,15,16,17,18,19,20,21,22,23,24,25,26,27,28,29,30}-1)*LEN(Registro!$J626)+1,LEN(Registro!$J626)))," ",REPT(" ",50)),50)))),"Revisar formato"))</f>
        <v/>
      </c>
      <c r="M626" s="11" t="str">
        <f>IF(AND(Registro!$H626="",Registro!$I626=""),"",IF(AND(ISTEXT(K626),K626&lt;&gt;""),"Revisar formato",N(Registro!$H626)-N(K626)))</f>
        <v/>
      </c>
      <c r="N626" s="11" t="str">
        <f t="shared" si="29"/>
        <v/>
      </c>
      <c r="O626" s="15" t="str">
        <f>IF(AND(A626=Consulta!$B$3,C626=Consulta!$H$3),B626*10000+ROW(),"")</f>
        <v/>
      </c>
    </row>
    <row r="627" spans="1:15" x14ac:dyDescent="0.25">
      <c r="A627" s="9" t="str">
        <f>IF(Registro!$A627="","",Registro!$A627)</f>
        <v/>
      </c>
      <c r="B627" s="8" t="str">
        <f>IF(Registro!$B627="","",Registro!$B627)</f>
        <v/>
      </c>
      <c r="C627" s="14" t="str">
        <f t="shared" si="27"/>
        <v/>
      </c>
      <c r="D627" s="10" t="str">
        <f>IF(Registro!$E627="","",IF(ISERROR(FIND("x",LOWER(Registro!$E627))),"-",IFERROR(SUMPRODUCT(--("0"&amp;LEFT(TRIM(MID(SUBSTITUTE(SUBSTITUTE(SUBSTITUTE(SUBSTITUTE(SUBSTITUTE(LOWER(Registro!$E627),"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",LEN(Registro!$E627))),({1,2,3,4,5,6,7,8,9,10,11,12,13,14,15,16,17,18,19,20,21,22,23,24,25,26,27,28,29,30}-1)*LEN(Registro!$E627)+1,LEN(Registro!$E627)))&amp;"x")-1))),"Revisar formato")))</f>
        <v/>
      </c>
      <c r="E627" s="11" t="str">
        <f>IF(Registro!$E627="","",IF(ISERROR(FIND("x",LOWER(Registro!$E627))),"-",IFERROR(SUMPRODUCT(--("0"&amp;LEFT(TRIM(MID(SUBSTITUTE(SUBSTITUTE(SUBSTITUTE(SUBSTITUTE(SUBSTITUTE(LOWER(Registro!$E627),"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",LEN(Registro!$E627))),({1,2,3,4,5,6,7,8,9,10,11,12,13,14,15,16,17,18,19,20,21,22,23,24,25,26,27,28,29,30}-1)*LEN(Registro!$E627)+1,LEN(Registro!$E627)))&amp;"x")-1)),--("0"&amp;MID(TRIM(MID(SUBSTITUTE(SUBSTITUTE(SUBSTITUTE(SUBSTITUTE(SUBSTITUTE(LOWER(Registro!$E627),"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",LEN(Registro!$E627))),({1,2,3,4,5,6,7,8,9,10,11,12,13,14,15,16,17,18,19,20,21,22,23,24,25,26,27,28,29,30}-1)*LEN(Registro!$E627)+1,LEN(Registro!$E627)))&amp;"x")+1,20))),"Revisar formato")))</f>
        <v/>
      </c>
      <c r="F627" s="11" t="str">
        <f>IF(Registro!$F627="","",N(Registro!$F627))</f>
        <v/>
      </c>
      <c r="G627" s="11" t="str">
        <f t="shared" si="28"/>
        <v/>
      </c>
      <c r="H627" s="10" t="str">
        <f>IF(Registro!$G627="","",IF(ISERROR(FIND("x",LOWER(Registro!$G627))),"-",IFERROR(SUMPRODUCT(--("0"&amp;LEFT(TRIM(MID(SUBSTITUTE(SUBSTITUTE(SUBSTITUTE(SUBSTITUTE(SUBSTITUTE(LOWER(Registro!$G627),"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",LEN(Registro!$G627))),({1,2,3,4,5,6,7,8,9,10,11,12,13,14,15,16,17,18,19,20,21,22,23,24,25,26,27,28,29,30}-1)*LEN(Registro!$G627)+1,LEN(Registro!$G627))),FIND("x",TRIM(MID(SUBSTITUTE(SUBSTITUTE(SUBSTITUTE(SUBSTITUTE(SUBSTITUTE(LOWER(Registro!$G627),"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",LEN(Registro!$G627))),({1,2,3,4,5,6,7,8,9,10,11,12,13,14,15,16,17,18,19,20,21,22,23,24,25,26,27,28,29,30}-1)*LEN(Registro!$G627)+1,LEN(Registro!$G627)))&amp;"x")-1))),"Revisar formato")))</f>
        <v/>
      </c>
      <c r="I627" s="11" t="str">
        <f>IF(Registro!$G627="","",IF(ISERROR(FIND("x",LOWER(Registro!$G627))),N(Registro!$H627),IFERROR(SUMPRODUCT(--("0"&amp;LEFT(TRIM(MID(SUBSTITUTE(SUBSTITUTE(SUBSTITUTE(SUBSTITUTE(SUBSTITUTE(LOWER(Registro!$G627),"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",LEN(Registro!$G627))),({1,2,3,4,5,6,7,8,9,10,11,12,13,14,15,16,17,18,19,20,21,22,23,24,25,26,27,28,29,30}-1)*LEN(Registro!$G627)+1,LEN(Registro!$G627))),FIND("x",TRIM(MID(SUBSTITUTE(SUBSTITUTE(SUBSTITUTE(SUBSTITUTE(SUBSTITUTE(LOWER(Registro!$G627),"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",LEN(Registro!$G627))),({1,2,3,4,5,6,7,8,9,10,11,12,13,14,15,16,17,18,19,20,21,22,23,24,25,26,27,28,29,30}-1)*LEN(Registro!$G627)+1,LEN(Registro!$G627)))&amp;"x")-1)),--("0"&amp;MID(TRIM(MID(SUBSTITUTE(SUBSTITUTE(SUBSTITUTE(SUBSTITUTE(SUBSTITUTE(LOWER(Registro!$G627),"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",LEN(Registro!$G627))),({1,2,3,4,5,6,7,8,9,10,11,12,13,14,15,16,17,18,19,20,21,22,23,24,25,26,27,28,29,30}-1)*LEN(Registro!$G627)+1,LEN(Registro!$G627))),FIND("x",TRIM(MID(SUBSTITUTE(SUBSTITUTE(SUBSTITUTE(SUBSTITUTE(SUBSTITUTE(LOWER(Registro!$G627),"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",LEN(Registro!$G627))),({1,2,3,4,5,6,7,8,9,10,11,12,13,14,15,16,17,18,19,20,21,22,23,24,25,26,27,28,29,30}-1)*LEN(Registro!$G627)+1,LEN(Registro!$G627)))&amp;"x")+1,20))),"Revisar formato")))</f>
        <v/>
      </c>
      <c r="J627" s="9" t="str">
        <f>IF(AND(Registro!$E627="",Registro!$G627=""),"",IF(NOT(AND(ISNUMBER(I627),ISNUMBER(Registro!$H627))),"",IF(I627&lt;Registro!$H627,"FALTA BOLETOS",IF(I627=Registro!$H627,"CONFORME","DIFERENCIA"))))</f>
        <v/>
      </c>
      <c r="K627" s="11" t="str">
        <f>IF(Registro!$I627="","",IFERROR(SUMPRODUCT(--("0"&amp;TRIM(RIGHT(SUBSTITUTE(TRIM(MID(SUBSTITUTE(SUBSTITUTE(Registro!$I627,";",CHAR(10)),CHAR(10),REPT(" ",LEN(Registro!$I627))),({1,2,3,4,5,6,7,8,9,10,11,12,13,14,15,16,17,18,19,20,21,22,23,24,25,26,27,28,29,30}-1)*LEN(Registro!$I627)+1,LEN(Registro!$I627)))," ",REPT(" ",50)),50)))),"Revisar formato"))</f>
        <v/>
      </c>
      <c r="L627" s="11" t="str">
        <f>IF(Registro!$J627="","",IFERROR(SUMPRODUCT(--("0"&amp;TRIM(RIGHT(SUBSTITUTE(TRIM(MID(SUBSTITUTE(SUBSTITUTE(Registro!$J627,";",CHAR(10)),CHAR(10),REPT(" ",LEN(Registro!$J627))),({1,2,3,4,5,6,7,8,9,10,11,12,13,14,15,16,17,18,19,20,21,22,23,24,25,26,27,28,29,30}-1)*LEN(Registro!$J627)+1,LEN(Registro!$J627)))," ",REPT(" ",50)),50)))),"Revisar formato"))</f>
        <v/>
      </c>
      <c r="M627" s="11" t="str">
        <f>IF(AND(Registro!$H627="",Registro!$I627=""),"",IF(AND(ISTEXT(K627),K627&lt;&gt;""),"Revisar formato",N(Registro!$H627)-N(K627)))</f>
        <v/>
      </c>
      <c r="N627" s="11" t="str">
        <f t="shared" si="29"/>
        <v/>
      </c>
      <c r="O627" s="15" t="str">
        <f>IF(AND(A627=Consulta!$B$3,C627=Consulta!$H$3),B627*10000+ROW(),"")</f>
        <v/>
      </c>
    </row>
    <row r="628" spans="1:15" x14ac:dyDescent="0.25">
      <c r="A628" s="9" t="str">
        <f>IF(Registro!$A628="","",Registro!$A628)</f>
        <v/>
      </c>
      <c r="B628" s="8" t="str">
        <f>IF(Registro!$B628="","",Registro!$B628)</f>
        <v/>
      </c>
      <c r="C628" s="14" t="str">
        <f t="shared" si="27"/>
        <v/>
      </c>
      <c r="D628" s="10" t="str">
        <f>IF(Registro!$E628="","",IF(ISERROR(FIND("x",LOWER(Registro!$E628))),"-",IFERROR(SUMPRODUCT(--("0"&amp;LEFT(TRIM(MID(SUBSTITUTE(SUBSTITUTE(SUBSTITUTE(SUBSTITUTE(SUBSTITUTE(LOWER(Registro!$E628),"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",LEN(Registro!$E628))),({1,2,3,4,5,6,7,8,9,10,11,12,13,14,15,16,17,18,19,20,21,22,23,24,25,26,27,28,29,30}-1)*LEN(Registro!$E628)+1,LEN(Registro!$E628)))&amp;"x")-1))),"Revisar formato")))</f>
        <v/>
      </c>
      <c r="E628" s="11" t="str">
        <f>IF(Registro!$E628="","",IF(ISERROR(FIND("x",LOWER(Registro!$E628))),"-",IFERROR(SUMPRODUCT(--("0"&amp;LEFT(TRIM(MID(SUBSTITUTE(SUBSTITUTE(SUBSTITUTE(SUBSTITUTE(SUBSTITUTE(LOWER(Registro!$E628),"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",LEN(Registro!$E628))),({1,2,3,4,5,6,7,8,9,10,11,12,13,14,15,16,17,18,19,20,21,22,23,24,25,26,27,28,29,30}-1)*LEN(Registro!$E628)+1,LEN(Registro!$E628)))&amp;"x")-1)),--("0"&amp;MID(TRIM(MID(SUBSTITUTE(SUBSTITUTE(SUBSTITUTE(SUBSTITUTE(SUBSTITUTE(LOWER(Registro!$E628),"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",LEN(Registro!$E628))),({1,2,3,4,5,6,7,8,9,10,11,12,13,14,15,16,17,18,19,20,21,22,23,24,25,26,27,28,29,30}-1)*LEN(Registro!$E628)+1,LEN(Registro!$E628)))&amp;"x")+1,20))),"Revisar formato")))</f>
        <v/>
      </c>
      <c r="F628" s="11" t="str">
        <f>IF(Registro!$F628="","",N(Registro!$F628))</f>
        <v/>
      </c>
      <c r="G628" s="11" t="str">
        <f t="shared" si="28"/>
        <v/>
      </c>
      <c r="H628" s="10" t="str">
        <f>IF(Registro!$G628="","",IF(ISERROR(FIND("x",LOWER(Registro!$G628))),"-",IFERROR(SUMPRODUCT(--("0"&amp;LEFT(TRIM(MID(SUBSTITUTE(SUBSTITUTE(SUBSTITUTE(SUBSTITUTE(SUBSTITUTE(LOWER(Registro!$G628),"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",LEN(Registro!$G628))),({1,2,3,4,5,6,7,8,9,10,11,12,13,14,15,16,17,18,19,20,21,22,23,24,25,26,27,28,29,30}-1)*LEN(Registro!$G628)+1,LEN(Registro!$G628))),FIND("x",TRIM(MID(SUBSTITUTE(SUBSTITUTE(SUBSTITUTE(SUBSTITUTE(SUBSTITUTE(LOWER(Registro!$G628),"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",LEN(Registro!$G628))),({1,2,3,4,5,6,7,8,9,10,11,12,13,14,15,16,17,18,19,20,21,22,23,24,25,26,27,28,29,30}-1)*LEN(Registro!$G628)+1,LEN(Registro!$G628)))&amp;"x")-1))),"Revisar formato")))</f>
        <v/>
      </c>
      <c r="I628" s="11" t="str">
        <f>IF(Registro!$G628="","",IF(ISERROR(FIND("x",LOWER(Registro!$G628))),N(Registro!$H628),IFERROR(SUMPRODUCT(--("0"&amp;LEFT(TRIM(MID(SUBSTITUTE(SUBSTITUTE(SUBSTITUTE(SUBSTITUTE(SUBSTITUTE(LOWER(Registro!$G628),"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",LEN(Registro!$G628))),({1,2,3,4,5,6,7,8,9,10,11,12,13,14,15,16,17,18,19,20,21,22,23,24,25,26,27,28,29,30}-1)*LEN(Registro!$G628)+1,LEN(Registro!$G628))),FIND("x",TRIM(MID(SUBSTITUTE(SUBSTITUTE(SUBSTITUTE(SUBSTITUTE(SUBSTITUTE(LOWER(Registro!$G628),"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",LEN(Registro!$G628))),({1,2,3,4,5,6,7,8,9,10,11,12,13,14,15,16,17,18,19,20,21,22,23,24,25,26,27,28,29,30}-1)*LEN(Registro!$G628)+1,LEN(Registro!$G628)))&amp;"x")-1)),--("0"&amp;MID(TRIM(MID(SUBSTITUTE(SUBSTITUTE(SUBSTITUTE(SUBSTITUTE(SUBSTITUTE(LOWER(Registro!$G628),"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",LEN(Registro!$G628))),({1,2,3,4,5,6,7,8,9,10,11,12,13,14,15,16,17,18,19,20,21,22,23,24,25,26,27,28,29,30}-1)*LEN(Registro!$G628)+1,LEN(Registro!$G628))),FIND("x",TRIM(MID(SUBSTITUTE(SUBSTITUTE(SUBSTITUTE(SUBSTITUTE(SUBSTITUTE(LOWER(Registro!$G628),"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",LEN(Registro!$G628))),({1,2,3,4,5,6,7,8,9,10,11,12,13,14,15,16,17,18,19,20,21,22,23,24,25,26,27,28,29,30}-1)*LEN(Registro!$G628)+1,LEN(Registro!$G628)))&amp;"x")+1,20))),"Revisar formato")))</f>
        <v/>
      </c>
      <c r="J628" s="9" t="str">
        <f>IF(AND(Registro!$E628="",Registro!$G628=""),"",IF(NOT(AND(ISNUMBER(I628),ISNUMBER(Registro!$H628))),"",IF(I628&lt;Registro!$H628,"FALTA BOLETOS",IF(I628=Registro!$H628,"CONFORME","DIFERENCIA"))))</f>
        <v/>
      </c>
      <c r="K628" s="11" t="str">
        <f>IF(Registro!$I628="","",IFERROR(SUMPRODUCT(--("0"&amp;TRIM(RIGHT(SUBSTITUTE(TRIM(MID(SUBSTITUTE(SUBSTITUTE(Registro!$I628,";",CHAR(10)),CHAR(10),REPT(" ",LEN(Registro!$I628))),({1,2,3,4,5,6,7,8,9,10,11,12,13,14,15,16,17,18,19,20,21,22,23,24,25,26,27,28,29,30}-1)*LEN(Registro!$I628)+1,LEN(Registro!$I628)))," ",REPT(" ",50)),50)))),"Revisar formato"))</f>
        <v/>
      </c>
      <c r="L628" s="11" t="str">
        <f>IF(Registro!$J628="","",IFERROR(SUMPRODUCT(--("0"&amp;TRIM(RIGHT(SUBSTITUTE(TRIM(MID(SUBSTITUTE(SUBSTITUTE(Registro!$J628,";",CHAR(10)),CHAR(10),REPT(" ",LEN(Registro!$J628))),({1,2,3,4,5,6,7,8,9,10,11,12,13,14,15,16,17,18,19,20,21,22,23,24,25,26,27,28,29,30}-1)*LEN(Registro!$J628)+1,LEN(Registro!$J628)))," ",REPT(" ",50)),50)))),"Revisar formato"))</f>
        <v/>
      </c>
      <c r="M628" s="11" t="str">
        <f>IF(AND(Registro!$H628="",Registro!$I628=""),"",IF(AND(ISTEXT(K628),K628&lt;&gt;""),"Revisar formato",N(Registro!$H628)-N(K628)))</f>
        <v/>
      </c>
      <c r="N628" s="11" t="str">
        <f t="shared" si="29"/>
        <v/>
      </c>
      <c r="O628" s="15" t="str">
        <f>IF(AND(A628=Consulta!$B$3,C628=Consulta!$H$3),B628*10000+ROW(),"")</f>
        <v/>
      </c>
    </row>
    <row r="629" spans="1:15" x14ac:dyDescent="0.25">
      <c r="A629" s="9" t="str">
        <f>IF(Registro!$A629="","",Registro!$A629)</f>
        <v/>
      </c>
      <c r="B629" s="8" t="str">
        <f>IF(Registro!$B629="","",Registro!$B629)</f>
        <v/>
      </c>
      <c r="C629" s="14" t="str">
        <f t="shared" si="27"/>
        <v/>
      </c>
      <c r="D629" s="10" t="str">
        <f>IF(Registro!$E629="","",IF(ISERROR(FIND("x",LOWER(Registro!$E629))),"-",IFERROR(SUMPRODUCT(--("0"&amp;LEFT(TRIM(MID(SUBSTITUTE(SUBSTITUTE(SUBSTITUTE(SUBSTITUTE(SUBSTITUTE(LOWER(Registro!$E629),"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",LEN(Registro!$E629))),({1,2,3,4,5,6,7,8,9,10,11,12,13,14,15,16,17,18,19,20,21,22,23,24,25,26,27,28,29,30}-1)*LEN(Registro!$E629)+1,LEN(Registro!$E629)))&amp;"x")-1))),"Revisar formato")))</f>
        <v/>
      </c>
      <c r="E629" s="11" t="str">
        <f>IF(Registro!$E629="","",IF(ISERROR(FIND("x",LOWER(Registro!$E629))),"-",IFERROR(SUMPRODUCT(--("0"&amp;LEFT(TRIM(MID(SUBSTITUTE(SUBSTITUTE(SUBSTITUTE(SUBSTITUTE(SUBSTITUTE(LOWER(Registro!$E629),"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",LEN(Registro!$E629))),({1,2,3,4,5,6,7,8,9,10,11,12,13,14,15,16,17,18,19,20,21,22,23,24,25,26,27,28,29,30}-1)*LEN(Registro!$E629)+1,LEN(Registro!$E629)))&amp;"x")-1)),--("0"&amp;MID(TRIM(MID(SUBSTITUTE(SUBSTITUTE(SUBSTITUTE(SUBSTITUTE(SUBSTITUTE(LOWER(Registro!$E629),"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",LEN(Registro!$E629))),({1,2,3,4,5,6,7,8,9,10,11,12,13,14,15,16,17,18,19,20,21,22,23,24,25,26,27,28,29,30}-1)*LEN(Registro!$E629)+1,LEN(Registro!$E629)))&amp;"x")+1,20))),"Revisar formato")))</f>
        <v/>
      </c>
      <c r="F629" s="11" t="str">
        <f>IF(Registro!$F629="","",N(Registro!$F629))</f>
        <v/>
      </c>
      <c r="G629" s="11" t="str">
        <f t="shared" si="28"/>
        <v/>
      </c>
      <c r="H629" s="10" t="str">
        <f>IF(Registro!$G629="","",IF(ISERROR(FIND("x",LOWER(Registro!$G629))),"-",IFERROR(SUMPRODUCT(--("0"&amp;LEFT(TRIM(MID(SUBSTITUTE(SUBSTITUTE(SUBSTITUTE(SUBSTITUTE(SUBSTITUTE(LOWER(Registro!$G629),"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",LEN(Registro!$G629))),({1,2,3,4,5,6,7,8,9,10,11,12,13,14,15,16,17,18,19,20,21,22,23,24,25,26,27,28,29,30}-1)*LEN(Registro!$G629)+1,LEN(Registro!$G629))),FIND("x",TRIM(MID(SUBSTITUTE(SUBSTITUTE(SUBSTITUTE(SUBSTITUTE(SUBSTITUTE(LOWER(Registro!$G629),"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",LEN(Registro!$G629))),({1,2,3,4,5,6,7,8,9,10,11,12,13,14,15,16,17,18,19,20,21,22,23,24,25,26,27,28,29,30}-1)*LEN(Registro!$G629)+1,LEN(Registro!$G629)))&amp;"x")-1))),"Revisar formato")))</f>
        <v/>
      </c>
      <c r="I629" s="11" t="str">
        <f>IF(Registro!$G629="","",IF(ISERROR(FIND("x",LOWER(Registro!$G629))),N(Registro!$H629),IFERROR(SUMPRODUCT(--("0"&amp;LEFT(TRIM(MID(SUBSTITUTE(SUBSTITUTE(SUBSTITUTE(SUBSTITUTE(SUBSTITUTE(LOWER(Registro!$G629),"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",LEN(Registro!$G629))),({1,2,3,4,5,6,7,8,9,10,11,12,13,14,15,16,17,18,19,20,21,22,23,24,25,26,27,28,29,30}-1)*LEN(Registro!$G629)+1,LEN(Registro!$G629))),FIND("x",TRIM(MID(SUBSTITUTE(SUBSTITUTE(SUBSTITUTE(SUBSTITUTE(SUBSTITUTE(LOWER(Registro!$G629),"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",LEN(Registro!$G629))),({1,2,3,4,5,6,7,8,9,10,11,12,13,14,15,16,17,18,19,20,21,22,23,24,25,26,27,28,29,30}-1)*LEN(Registro!$G629)+1,LEN(Registro!$G629)))&amp;"x")-1)),--("0"&amp;MID(TRIM(MID(SUBSTITUTE(SUBSTITUTE(SUBSTITUTE(SUBSTITUTE(SUBSTITUTE(LOWER(Registro!$G629),"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",LEN(Registro!$G629))),({1,2,3,4,5,6,7,8,9,10,11,12,13,14,15,16,17,18,19,20,21,22,23,24,25,26,27,28,29,30}-1)*LEN(Registro!$G629)+1,LEN(Registro!$G629))),FIND("x",TRIM(MID(SUBSTITUTE(SUBSTITUTE(SUBSTITUTE(SUBSTITUTE(SUBSTITUTE(LOWER(Registro!$G629),"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",LEN(Registro!$G629))),({1,2,3,4,5,6,7,8,9,10,11,12,13,14,15,16,17,18,19,20,21,22,23,24,25,26,27,28,29,30}-1)*LEN(Registro!$G629)+1,LEN(Registro!$G629)))&amp;"x")+1,20))),"Revisar formato")))</f>
        <v/>
      </c>
      <c r="J629" s="9" t="str">
        <f>IF(AND(Registro!$E629="",Registro!$G629=""),"",IF(NOT(AND(ISNUMBER(I629),ISNUMBER(Registro!$H629))),"",IF(I629&lt;Registro!$H629,"FALTA BOLETOS",IF(I629=Registro!$H629,"CONFORME","DIFERENCIA"))))</f>
        <v/>
      </c>
      <c r="K629" s="11" t="str">
        <f>IF(Registro!$I629="","",IFERROR(SUMPRODUCT(--("0"&amp;TRIM(RIGHT(SUBSTITUTE(TRIM(MID(SUBSTITUTE(SUBSTITUTE(Registro!$I629,";",CHAR(10)),CHAR(10),REPT(" ",LEN(Registro!$I629))),({1,2,3,4,5,6,7,8,9,10,11,12,13,14,15,16,17,18,19,20,21,22,23,24,25,26,27,28,29,30}-1)*LEN(Registro!$I629)+1,LEN(Registro!$I629)))," ",REPT(" ",50)),50)))),"Revisar formato"))</f>
        <v/>
      </c>
      <c r="L629" s="11" t="str">
        <f>IF(Registro!$J629="","",IFERROR(SUMPRODUCT(--("0"&amp;TRIM(RIGHT(SUBSTITUTE(TRIM(MID(SUBSTITUTE(SUBSTITUTE(Registro!$J629,";",CHAR(10)),CHAR(10),REPT(" ",LEN(Registro!$J629))),({1,2,3,4,5,6,7,8,9,10,11,12,13,14,15,16,17,18,19,20,21,22,23,24,25,26,27,28,29,30}-1)*LEN(Registro!$J629)+1,LEN(Registro!$J629)))," ",REPT(" ",50)),50)))),"Revisar formato"))</f>
        <v/>
      </c>
      <c r="M629" s="11" t="str">
        <f>IF(AND(Registro!$H629="",Registro!$I629=""),"",IF(AND(ISTEXT(K629),K629&lt;&gt;""),"Revisar formato",N(Registro!$H629)-N(K629)))</f>
        <v/>
      </c>
      <c r="N629" s="11" t="str">
        <f t="shared" si="29"/>
        <v/>
      </c>
      <c r="O629" s="15" t="str">
        <f>IF(AND(A629=Consulta!$B$3,C629=Consulta!$H$3),B629*10000+ROW(),"")</f>
        <v/>
      </c>
    </row>
    <row r="630" spans="1:15" x14ac:dyDescent="0.25">
      <c r="A630" s="9" t="str">
        <f>IF(Registro!$A630="","",Registro!$A630)</f>
        <v/>
      </c>
      <c r="B630" s="8" t="str">
        <f>IF(Registro!$B630="","",Registro!$B630)</f>
        <v/>
      </c>
      <c r="C630" s="14" t="str">
        <f t="shared" si="27"/>
        <v/>
      </c>
      <c r="D630" s="10" t="str">
        <f>IF(Registro!$E630="","",IF(ISERROR(FIND("x",LOWER(Registro!$E630))),"-",IFERROR(SUMPRODUCT(--("0"&amp;LEFT(TRIM(MID(SUBSTITUTE(SUBSTITUTE(SUBSTITUTE(SUBSTITUTE(SUBSTITUTE(LOWER(Registro!$E630),"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",LEN(Registro!$E630))),({1,2,3,4,5,6,7,8,9,10,11,12,13,14,15,16,17,18,19,20,21,22,23,24,25,26,27,28,29,30}-1)*LEN(Registro!$E630)+1,LEN(Registro!$E630)))&amp;"x")-1))),"Revisar formato")))</f>
        <v/>
      </c>
      <c r="E630" s="11" t="str">
        <f>IF(Registro!$E630="","",IF(ISERROR(FIND("x",LOWER(Registro!$E630))),"-",IFERROR(SUMPRODUCT(--("0"&amp;LEFT(TRIM(MID(SUBSTITUTE(SUBSTITUTE(SUBSTITUTE(SUBSTITUTE(SUBSTITUTE(LOWER(Registro!$E630),"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",LEN(Registro!$E630))),({1,2,3,4,5,6,7,8,9,10,11,12,13,14,15,16,17,18,19,20,21,22,23,24,25,26,27,28,29,30}-1)*LEN(Registro!$E630)+1,LEN(Registro!$E630)))&amp;"x")-1)),--("0"&amp;MID(TRIM(MID(SUBSTITUTE(SUBSTITUTE(SUBSTITUTE(SUBSTITUTE(SUBSTITUTE(LOWER(Registro!$E630),"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",LEN(Registro!$E630))),({1,2,3,4,5,6,7,8,9,10,11,12,13,14,15,16,17,18,19,20,21,22,23,24,25,26,27,28,29,30}-1)*LEN(Registro!$E630)+1,LEN(Registro!$E630)))&amp;"x")+1,20))),"Revisar formato")))</f>
        <v/>
      </c>
      <c r="F630" s="11" t="str">
        <f>IF(Registro!$F630="","",N(Registro!$F630))</f>
        <v/>
      </c>
      <c r="G630" s="11" t="str">
        <f t="shared" si="28"/>
        <v/>
      </c>
      <c r="H630" s="10" t="str">
        <f>IF(Registro!$G630="","",IF(ISERROR(FIND("x",LOWER(Registro!$G630))),"-",IFERROR(SUMPRODUCT(--("0"&amp;LEFT(TRIM(MID(SUBSTITUTE(SUBSTITUTE(SUBSTITUTE(SUBSTITUTE(SUBSTITUTE(LOWER(Registro!$G630),"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",LEN(Registro!$G630))),({1,2,3,4,5,6,7,8,9,10,11,12,13,14,15,16,17,18,19,20,21,22,23,24,25,26,27,28,29,30}-1)*LEN(Registro!$G630)+1,LEN(Registro!$G630))),FIND("x",TRIM(MID(SUBSTITUTE(SUBSTITUTE(SUBSTITUTE(SUBSTITUTE(SUBSTITUTE(LOWER(Registro!$G630),"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",LEN(Registro!$G630))),({1,2,3,4,5,6,7,8,9,10,11,12,13,14,15,16,17,18,19,20,21,22,23,24,25,26,27,28,29,30}-1)*LEN(Registro!$G630)+1,LEN(Registro!$G630)))&amp;"x")-1))),"Revisar formato")))</f>
        <v/>
      </c>
      <c r="I630" s="11" t="str">
        <f>IF(Registro!$G630="","",IF(ISERROR(FIND("x",LOWER(Registro!$G630))),N(Registro!$H630),IFERROR(SUMPRODUCT(--("0"&amp;LEFT(TRIM(MID(SUBSTITUTE(SUBSTITUTE(SUBSTITUTE(SUBSTITUTE(SUBSTITUTE(LOWER(Registro!$G630),"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",LEN(Registro!$G630))),({1,2,3,4,5,6,7,8,9,10,11,12,13,14,15,16,17,18,19,20,21,22,23,24,25,26,27,28,29,30}-1)*LEN(Registro!$G630)+1,LEN(Registro!$G630))),FIND("x",TRIM(MID(SUBSTITUTE(SUBSTITUTE(SUBSTITUTE(SUBSTITUTE(SUBSTITUTE(LOWER(Registro!$G630),"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",LEN(Registro!$G630))),({1,2,3,4,5,6,7,8,9,10,11,12,13,14,15,16,17,18,19,20,21,22,23,24,25,26,27,28,29,30}-1)*LEN(Registro!$G630)+1,LEN(Registro!$G630)))&amp;"x")-1)),--("0"&amp;MID(TRIM(MID(SUBSTITUTE(SUBSTITUTE(SUBSTITUTE(SUBSTITUTE(SUBSTITUTE(LOWER(Registro!$G630),"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",LEN(Registro!$G630))),({1,2,3,4,5,6,7,8,9,10,11,12,13,14,15,16,17,18,19,20,21,22,23,24,25,26,27,28,29,30}-1)*LEN(Registro!$G630)+1,LEN(Registro!$G630))),FIND("x",TRIM(MID(SUBSTITUTE(SUBSTITUTE(SUBSTITUTE(SUBSTITUTE(SUBSTITUTE(LOWER(Registro!$G630),"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",LEN(Registro!$G630))),({1,2,3,4,5,6,7,8,9,10,11,12,13,14,15,16,17,18,19,20,21,22,23,24,25,26,27,28,29,30}-1)*LEN(Registro!$G630)+1,LEN(Registro!$G630)))&amp;"x")+1,20))),"Revisar formato")))</f>
        <v/>
      </c>
      <c r="J630" s="9" t="str">
        <f>IF(AND(Registro!$E630="",Registro!$G630=""),"",IF(NOT(AND(ISNUMBER(I630),ISNUMBER(Registro!$H630))),"",IF(I630&lt;Registro!$H630,"FALTA BOLETOS",IF(I630=Registro!$H630,"CONFORME","DIFERENCIA"))))</f>
        <v/>
      </c>
      <c r="K630" s="11" t="str">
        <f>IF(Registro!$I630="","",IFERROR(SUMPRODUCT(--("0"&amp;TRIM(RIGHT(SUBSTITUTE(TRIM(MID(SUBSTITUTE(SUBSTITUTE(Registro!$I630,";",CHAR(10)),CHAR(10),REPT(" ",LEN(Registro!$I630))),({1,2,3,4,5,6,7,8,9,10,11,12,13,14,15,16,17,18,19,20,21,22,23,24,25,26,27,28,29,30}-1)*LEN(Registro!$I630)+1,LEN(Registro!$I630)))," ",REPT(" ",50)),50)))),"Revisar formato"))</f>
        <v/>
      </c>
      <c r="L630" s="11" t="str">
        <f>IF(Registro!$J630="","",IFERROR(SUMPRODUCT(--("0"&amp;TRIM(RIGHT(SUBSTITUTE(TRIM(MID(SUBSTITUTE(SUBSTITUTE(Registro!$J630,";",CHAR(10)),CHAR(10),REPT(" ",LEN(Registro!$J630))),({1,2,3,4,5,6,7,8,9,10,11,12,13,14,15,16,17,18,19,20,21,22,23,24,25,26,27,28,29,30}-1)*LEN(Registro!$J630)+1,LEN(Registro!$J630)))," ",REPT(" ",50)),50)))),"Revisar formato"))</f>
        <v/>
      </c>
      <c r="M630" s="11" t="str">
        <f>IF(AND(Registro!$H630="",Registro!$I630=""),"",IF(AND(ISTEXT(K630),K630&lt;&gt;""),"Revisar formato",N(Registro!$H630)-N(K630)))</f>
        <v/>
      </c>
      <c r="N630" s="11" t="str">
        <f t="shared" si="29"/>
        <v/>
      </c>
      <c r="O630" s="15" t="str">
        <f>IF(AND(A630=Consulta!$B$3,C630=Consulta!$H$3),B630*10000+ROW(),"")</f>
        <v/>
      </c>
    </row>
    <row r="631" spans="1:15" x14ac:dyDescent="0.25">
      <c r="A631" s="9" t="str">
        <f>IF(Registro!$A631="","",Registro!$A631)</f>
        <v/>
      </c>
      <c r="B631" s="8" t="str">
        <f>IF(Registro!$B631="","",Registro!$B631)</f>
        <v/>
      </c>
      <c r="C631" s="14" t="str">
        <f t="shared" si="27"/>
        <v/>
      </c>
      <c r="D631" s="10" t="str">
        <f>IF(Registro!$E631="","",IF(ISERROR(FIND("x",LOWER(Registro!$E631))),"-",IFERROR(SUMPRODUCT(--("0"&amp;LEFT(TRIM(MID(SUBSTITUTE(SUBSTITUTE(SUBSTITUTE(SUBSTITUTE(SUBSTITUTE(LOWER(Registro!$E631),"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",LEN(Registro!$E631))),({1,2,3,4,5,6,7,8,9,10,11,12,13,14,15,16,17,18,19,20,21,22,23,24,25,26,27,28,29,30}-1)*LEN(Registro!$E631)+1,LEN(Registro!$E631)))&amp;"x")-1))),"Revisar formato")))</f>
        <v/>
      </c>
      <c r="E631" s="11" t="str">
        <f>IF(Registro!$E631="","",IF(ISERROR(FIND("x",LOWER(Registro!$E631))),"-",IFERROR(SUMPRODUCT(--("0"&amp;LEFT(TRIM(MID(SUBSTITUTE(SUBSTITUTE(SUBSTITUTE(SUBSTITUTE(SUBSTITUTE(LOWER(Registro!$E631),"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",LEN(Registro!$E631))),({1,2,3,4,5,6,7,8,9,10,11,12,13,14,15,16,17,18,19,20,21,22,23,24,25,26,27,28,29,30}-1)*LEN(Registro!$E631)+1,LEN(Registro!$E631)))&amp;"x")-1)),--("0"&amp;MID(TRIM(MID(SUBSTITUTE(SUBSTITUTE(SUBSTITUTE(SUBSTITUTE(SUBSTITUTE(LOWER(Registro!$E631),"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",LEN(Registro!$E631))),({1,2,3,4,5,6,7,8,9,10,11,12,13,14,15,16,17,18,19,20,21,22,23,24,25,26,27,28,29,30}-1)*LEN(Registro!$E631)+1,LEN(Registro!$E631)))&amp;"x")+1,20))),"Revisar formato")))</f>
        <v/>
      </c>
      <c r="F631" s="11" t="str">
        <f>IF(Registro!$F631="","",N(Registro!$F631))</f>
        <v/>
      </c>
      <c r="G631" s="11" t="str">
        <f t="shared" si="28"/>
        <v/>
      </c>
      <c r="H631" s="10" t="str">
        <f>IF(Registro!$G631="","",IF(ISERROR(FIND("x",LOWER(Registro!$G631))),"-",IFERROR(SUMPRODUCT(--("0"&amp;LEFT(TRIM(MID(SUBSTITUTE(SUBSTITUTE(SUBSTITUTE(SUBSTITUTE(SUBSTITUTE(LOWER(Registro!$G631),"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",LEN(Registro!$G631))),({1,2,3,4,5,6,7,8,9,10,11,12,13,14,15,16,17,18,19,20,21,22,23,24,25,26,27,28,29,30}-1)*LEN(Registro!$G631)+1,LEN(Registro!$G631))),FIND("x",TRIM(MID(SUBSTITUTE(SUBSTITUTE(SUBSTITUTE(SUBSTITUTE(SUBSTITUTE(LOWER(Registro!$G631),"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",LEN(Registro!$G631))),({1,2,3,4,5,6,7,8,9,10,11,12,13,14,15,16,17,18,19,20,21,22,23,24,25,26,27,28,29,30}-1)*LEN(Registro!$G631)+1,LEN(Registro!$G631)))&amp;"x")-1))),"Revisar formato")))</f>
        <v/>
      </c>
      <c r="I631" s="11" t="str">
        <f>IF(Registro!$G631="","",IF(ISERROR(FIND("x",LOWER(Registro!$G631))),N(Registro!$H631),IFERROR(SUMPRODUCT(--("0"&amp;LEFT(TRIM(MID(SUBSTITUTE(SUBSTITUTE(SUBSTITUTE(SUBSTITUTE(SUBSTITUTE(LOWER(Registro!$G631),"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",LEN(Registro!$G631))),({1,2,3,4,5,6,7,8,9,10,11,12,13,14,15,16,17,18,19,20,21,22,23,24,25,26,27,28,29,30}-1)*LEN(Registro!$G631)+1,LEN(Registro!$G631))),FIND("x",TRIM(MID(SUBSTITUTE(SUBSTITUTE(SUBSTITUTE(SUBSTITUTE(SUBSTITUTE(LOWER(Registro!$G631),"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",LEN(Registro!$G631))),({1,2,3,4,5,6,7,8,9,10,11,12,13,14,15,16,17,18,19,20,21,22,23,24,25,26,27,28,29,30}-1)*LEN(Registro!$G631)+1,LEN(Registro!$G631)))&amp;"x")-1)),--("0"&amp;MID(TRIM(MID(SUBSTITUTE(SUBSTITUTE(SUBSTITUTE(SUBSTITUTE(SUBSTITUTE(LOWER(Registro!$G631),"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",LEN(Registro!$G631))),({1,2,3,4,5,6,7,8,9,10,11,12,13,14,15,16,17,18,19,20,21,22,23,24,25,26,27,28,29,30}-1)*LEN(Registro!$G631)+1,LEN(Registro!$G631))),FIND("x",TRIM(MID(SUBSTITUTE(SUBSTITUTE(SUBSTITUTE(SUBSTITUTE(SUBSTITUTE(LOWER(Registro!$G631),"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",LEN(Registro!$G631))),({1,2,3,4,5,6,7,8,9,10,11,12,13,14,15,16,17,18,19,20,21,22,23,24,25,26,27,28,29,30}-1)*LEN(Registro!$G631)+1,LEN(Registro!$G631)))&amp;"x")+1,20))),"Revisar formato")))</f>
        <v/>
      </c>
      <c r="J631" s="9" t="str">
        <f>IF(AND(Registro!$E631="",Registro!$G631=""),"",IF(NOT(AND(ISNUMBER(I631),ISNUMBER(Registro!$H631))),"",IF(I631&lt;Registro!$H631,"FALTA BOLETOS",IF(I631=Registro!$H631,"CONFORME","DIFERENCIA"))))</f>
        <v/>
      </c>
      <c r="K631" s="11" t="str">
        <f>IF(Registro!$I631="","",IFERROR(SUMPRODUCT(--("0"&amp;TRIM(RIGHT(SUBSTITUTE(TRIM(MID(SUBSTITUTE(SUBSTITUTE(Registro!$I631,";",CHAR(10)),CHAR(10),REPT(" ",LEN(Registro!$I631))),({1,2,3,4,5,6,7,8,9,10,11,12,13,14,15,16,17,18,19,20,21,22,23,24,25,26,27,28,29,30}-1)*LEN(Registro!$I631)+1,LEN(Registro!$I631)))," ",REPT(" ",50)),50)))),"Revisar formato"))</f>
        <v/>
      </c>
      <c r="L631" s="11" t="str">
        <f>IF(Registro!$J631="","",IFERROR(SUMPRODUCT(--("0"&amp;TRIM(RIGHT(SUBSTITUTE(TRIM(MID(SUBSTITUTE(SUBSTITUTE(Registro!$J631,";",CHAR(10)),CHAR(10),REPT(" ",LEN(Registro!$J631))),({1,2,3,4,5,6,7,8,9,10,11,12,13,14,15,16,17,18,19,20,21,22,23,24,25,26,27,28,29,30}-1)*LEN(Registro!$J631)+1,LEN(Registro!$J631)))," ",REPT(" ",50)),50)))),"Revisar formato"))</f>
        <v/>
      </c>
      <c r="M631" s="11" t="str">
        <f>IF(AND(Registro!$H631="",Registro!$I631=""),"",IF(AND(ISTEXT(K631),K631&lt;&gt;""),"Revisar formato",N(Registro!$H631)-N(K631)))</f>
        <v/>
      </c>
      <c r="N631" s="11" t="str">
        <f t="shared" si="29"/>
        <v/>
      </c>
      <c r="O631" s="15" t="str">
        <f>IF(AND(A631=Consulta!$B$3,C631=Consulta!$H$3),B631*10000+ROW(),"")</f>
        <v/>
      </c>
    </row>
    <row r="632" spans="1:15" x14ac:dyDescent="0.25">
      <c r="A632" s="9" t="str">
        <f>IF(Registro!$A632="","",Registro!$A632)</f>
        <v/>
      </c>
      <c r="B632" s="8" t="str">
        <f>IF(Registro!$B632="","",Registro!$B632)</f>
        <v/>
      </c>
      <c r="C632" s="14" t="str">
        <f t="shared" si="27"/>
        <v/>
      </c>
      <c r="D632" s="10" t="str">
        <f>IF(Registro!$E632="","",IF(ISERROR(FIND("x",LOWER(Registro!$E632))),"-",IFERROR(SUMPRODUCT(--("0"&amp;LEFT(TRIM(MID(SUBSTITUTE(SUBSTITUTE(SUBSTITUTE(SUBSTITUTE(SUBSTITUTE(LOWER(Registro!$E632),"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",LEN(Registro!$E632))),({1,2,3,4,5,6,7,8,9,10,11,12,13,14,15,16,17,18,19,20,21,22,23,24,25,26,27,28,29,30}-1)*LEN(Registro!$E632)+1,LEN(Registro!$E632)))&amp;"x")-1))),"Revisar formato")))</f>
        <v/>
      </c>
      <c r="E632" s="11" t="str">
        <f>IF(Registro!$E632="","",IF(ISERROR(FIND("x",LOWER(Registro!$E632))),"-",IFERROR(SUMPRODUCT(--("0"&amp;LEFT(TRIM(MID(SUBSTITUTE(SUBSTITUTE(SUBSTITUTE(SUBSTITUTE(SUBSTITUTE(LOWER(Registro!$E632),"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",LEN(Registro!$E632))),({1,2,3,4,5,6,7,8,9,10,11,12,13,14,15,16,17,18,19,20,21,22,23,24,25,26,27,28,29,30}-1)*LEN(Registro!$E632)+1,LEN(Registro!$E632)))&amp;"x")-1)),--("0"&amp;MID(TRIM(MID(SUBSTITUTE(SUBSTITUTE(SUBSTITUTE(SUBSTITUTE(SUBSTITUTE(LOWER(Registro!$E632),"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",LEN(Registro!$E632))),({1,2,3,4,5,6,7,8,9,10,11,12,13,14,15,16,17,18,19,20,21,22,23,24,25,26,27,28,29,30}-1)*LEN(Registro!$E632)+1,LEN(Registro!$E632)))&amp;"x")+1,20))),"Revisar formato")))</f>
        <v/>
      </c>
      <c r="F632" s="11" t="str">
        <f>IF(Registro!$F632="","",N(Registro!$F632))</f>
        <v/>
      </c>
      <c r="G632" s="11" t="str">
        <f t="shared" si="28"/>
        <v/>
      </c>
      <c r="H632" s="10" t="str">
        <f>IF(Registro!$G632="","",IF(ISERROR(FIND("x",LOWER(Registro!$G632))),"-",IFERROR(SUMPRODUCT(--("0"&amp;LEFT(TRIM(MID(SUBSTITUTE(SUBSTITUTE(SUBSTITUTE(SUBSTITUTE(SUBSTITUTE(LOWER(Registro!$G632),"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",LEN(Registro!$G632))),({1,2,3,4,5,6,7,8,9,10,11,12,13,14,15,16,17,18,19,20,21,22,23,24,25,26,27,28,29,30}-1)*LEN(Registro!$G632)+1,LEN(Registro!$G632))),FIND("x",TRIM(MID(SUBSTITUTE(SUBSTITUTE(SUBSTITUTE(SUBSTITUTE(SUBSTITUTE(LOWER(Registro!$G632),"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",LEN(Registro!$G632))),({1,2,3,4,5,6,7,8,9,10,11,12,13,14,15,16,17,18,19,20,21,22,23,24,25,26,27,28,29,30}-1)*LEN(Registro!$G632)+1,LEN(Registro!$G632)))&amp;"x")-1))),"Revisar formato")))</f>
        <v/>
      </c>
      <c r="I632" s="11" t="str">
        <f>IF(Registro!$G632="","",IF(ISERROR(FIND("x",LOWER(Registro!$G632))),N(Registro!$H632),IFERROR(SUMPRODUCT(--("0"&amp;LEFT(TRIM(MID(SUBSTITUTE(SUBSTITUTE(SUBSTITUTE(SUBSTITUTE(SUBSTITUTE(LOWER(Registro!$G632),"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",LEN(Registro!$G632))),({1,2,3,4,5,6,7,8,9,10,11,12,13,14,15,16,17,18,19,20,21,22,23,24,25,26,27,28,29,30}-1)*LEN(Registro!$G632)+1,LEN(Registro!$G632))),FIND("x",TRIM(MID(SUBSTITUTE(SUBSTITUTE(SUBSTITUTE(SUBSTITUTE(SUBSTITUTE(LOWER(Registro!$G632),"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",LEN(Registro!$G632))),({1,2,3,4,5,6,7,8,9,10,11,12,13,14,15,16,17,18,19,20,21,22,23,24,25,26,27,28,29,30}-1)*LEN(Registro!$G632)+1,LEN(Registro!$G632)))&amp;"x")-1)),--("0"&amp;MID(TRIM(MID(SUBSTITUTE(SUBSTITUTE(SUBSTITUTE(SUBSTITUTE(SUBSTITUTE(LOWER(Registro!$G632),"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",LEN(Registro!$G632))),({1,2,3,4,5,6,7,8,9,10,11,12,13,14,15,16,17,18,19,20,21,22,23,24,25,26,27,28,29,30}-1)*LEN(Registro!$G632)+1,LEN(Registro!$G632))),FIND("x",TRIM(MID(SUBSTITUTE(SUBSTITUTE(SUBSTITUTE(SUBSTITUTE(SUBSTITUTE(LOWER(Registro!$G632),"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",LEN(Registro!$G632))),({1,2,3,4,5,6,7,8,9,10,11,12,13,14,15,16,17,18,19,20,21,22,23,24,25,26,27,28,29,30}-1)*LEN(Registro!$G632)+1,LEN(Registro!$G632)))&amp;"x")+1,20))),"Revisar formato")))</f>
        <v/>
      </c>
      <c r="J632" s="9" t="str">
        <f>IF(AND(Registro!$E632="",Registro!$G632=""),"",IF(NOT(AND(ISNUMBER(I632),ISNUMBER(Registro!$H632))),"",IF(I632&lt;Registro!$H632,"FALTA BOLETOS",IF(I632=Registro!$H632,"CONFORME","DIFERENCIA"))))</f>
        <v/>
      </c>
      <c r="K632" s="11" t="str">
        <f>IF(Registro!$I632="","",IFERROR(SUMPRODUCT(--("0"&amp;TRIM(RIGHT(SUBSTITUTE(TRIM(MID(SUBSTITUTE(SUBSTITUTE(Registro!$I632,";",CHAR(10)),CHAR(10),REPT(" ",LEN(Registro!$I632))),({1,2,3,4,5,6,7,8,9,10,11,12,13,14,15,16,17,18,19,20,21,22,23,24,25,26,27,28,29,30}-1)*LEN(Registro!$I632)+1,LEN(Registro!$I632)))," ",REPT(" ",50)),50)))),"Revisar formato"))</f>
        <v/>
      </c>
      <c r="L632" s="11" t="str">
        <f>IF(Registro!$J632="","",IFERROR(SUMPRODUCT(--("0"&amp;TRIM(RIGHT(SUBSTITUTE(TRIM(MID(SUBSTITUTE(SUBSTITUTE(Registro!$J632,";",CHAR(10)),CHAR(10),REPT(" ",LEN(Registro!$J632))),({1,2,3,4,5,6,7,8,9,10,11,12,13,14,15,16,17,18,19,20,21,22,23,24,25,26,27,28,29,30}-1)*LEN(Registro!$J632)+1,LEN(Registro!$J632)))," ",REPT(" ",50)),50)))),"Revisar formato"))</f>
        <v/>
      </c>
      <c r="M632" s="11" t="str">
        <f>IF(AND(Registro!$H632="",Registro!$I632=""),"",IF(AND(ISTEXT(K632),K632&lt;&gt;""),"Revisar formato",N(Registro!$H632)-N(K632)))</f>
        <v/>
      </c>
      <c r="N632" s="11" t="str">
        <f t="shared" si="29"/>
        <v/>
      </c>
      <c r="O632" s="15" t="str">
        <f>IF(AND(A632=Consulta!$B$3,C632=Consulta!$H$3),B632*10000+ROW(),"")</f>
        <v/>
      </c>
    </row>
    <row r="633" spans="1:15" x14ac:dyDescent="0.25">
      <c r="A633" s="9" t="str">
        <f>IF(Registro!$A633="","",Registro!$A633)</f>
        <v/>
      </c>
      <c r="B633" s="8" t="str">
        <f>IF(Registro!$B633="","",Registro!$B633)</f>
        <v/>
      </c>
      <c r="C633" s="14" t="str">
        <f t="shared" si="27"/>
        <v/>
      </c>
      <c r="D633" s="10" t="str">
        <f>IF(Registro!$E633="","",IF(ISERROR(FIND("x",LOWER(Registro!$E633))),"-",IFERROR(SUMPRODUCT(--("0"&amp;LEFT(TRIM(MID(SUBSTITUTE(SUBSTITUTE(SUBSTITUTE(SUBSTITUTE(SUBSTITUTE(LOWER(Registro!$E633),"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",LEN(Registro!$E633))),({1,2,3,4,5,6,7,8,9,10,11,12,13,14,15,16,17,18,19,20,21,22,23,24,25,26,27,28,29,30}-1)*LEN(Registro!$E633)+1,LEN(Registro!$E633)))&amp;"x")-1))),"Revisar formato")))</f>
        <v/>
      </c>
      <c r="E633" s="11" t="str">
        <f>IF(Registro!$E633="","",IF(ISERROR(FIND("x",LOWER(Registro!$E633))),"-",IFERROR(SUMPRODUCT(--("0"&amp;LEFT(TRIM(MID(SUBSTITUTE(SUBSTITUTE(SUBSTITUTE(SUBSTITUTE(SUBSTITUTE(LOWER(Registro!$E633),"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",LEN(Registro!$E633))),({1,2,3,4,5,6,7,8,9,10,11,12,13,14,15,16,17,18,19,20,21,22,23,24,25,26,27,28,29,30}-1)*LEN(Registro!$E633)+1,LEN(Registro!$E633)))&amp;"x")-1)),--("0"&amp;MID(TRIM(MID(SUBSTITUTE(SUBSTITUTE(SUBSTITUTE(SUBSTITUTE(SUBSTITUTE(LOWER(Registro!$E633),"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",LEN(Registro!$E633))),({1,2,3,4,5,6,7,8,9,10,11,12,13,14,15,16,17,18,19,20,21,22,23,24,25,26,27,28,29,30}-1)*LEN(Registro!$E633)+1,LEN(Registro!$E633)))&amp;"x")+1,20))),"Revisar formato")))</f>
        <v/>
      </c>
      <c r="F633" s="11" t="str">
        <f>IF(Registro!$F633="","",N(Registro!$F633))</f>
        <v/>
      </c>
      <c r="G633" s="11" t="str">
        <f t="shared" si="28"/>
        <v/>
      </c>
      <c r="H633" s="10" t="str">
        <f>IF(Registro!$G633="","",IF(ISERROR(FIND("x",LOWER(Registro!$G633))),"-",IFERROR(SUMPRODUCT(--("0"&amp;LEFT(TRIM(MID(SUBSTITUTE(SUBSTITUTE(SUBSTITUTE(SUBSTITUTE(SUBSTITUTE(LOWER(Registro!$G633),"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",LEN(Registro!$G633))),({1,2,3,4,5,6,7,8,9,10,11,12,13,14,15,16,17,18,19,20,21,22,23,24,25,26,27,28,29,30}-1)*LEN(Registro!$G633)+1,LEN(Registro!$G633))),FIND("x",TRIM(MID(SUBSTITUTE(SUBSTITUTE(SUBSTITUTE(SUBSTITUTE(SUBSTITUTE(LOWER(Registro!$G633),"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",LEN(Registro!$G633))),({1,2,3,4,5,6,7,8,9,10,11,12,13,14,15,16,17,18,19,20,21,22,23,24,25,26,27,28,29,30}-1)*LEN(Registro!$G633)+1,LEN(Registro!$G633)))&amp;"x")-1))),"Revisar formato")))</f>
        <v/>
      </c>
      <c r="I633" s="11" t="str">
        <f>IF(Registro!$G633="","",IF(ISERROR(FIND("x",LOWER(Registro!$G633))),N(Registro!$H633),IFERROR(SUMPRODUCT(--("0"&amp;LEFT(TRIM(MID(SUBSTITUTE(SUBSTITUTE(SUBSTITUTE(SUBSTITUTE(SUBSTITUTE(LOWER(Registro!$G633),"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",LEN(Registro!$G633))),({1,2,3,4,5,6,7,8,9,10,11,12,13,14,15,16,17,18,19,20,21,22,23,24,25,26,27,28,29,30}-1)*LEN(Registro!$G633)+1,LEN(Registro!$G633))),FIND("x",TRIM(MID(SUBSTITUTE(SUBSTITUTE(SUBSTITUTE(SUBSTITUTE(SUBSTITUTE(LOWER(Registro!$G633),"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",LEN(Registro!$G633))),({1,2,3,4,5,6,7,8,9,10,11,12,13,14,15,16,17,18,19,20,21,22,23,24,25,26,27,28,29,30}-1)*LEN(Registro!$G633)+1,LEN(Registro!$G633)))&amp;"x")-1)),--("0"&amp;MID(TRIM(MID(SUBSTITUTE(SUBSTITUTE(SUBSTITUTE(SUBSTITUTE(SUBSTITUTE(LOWER(Registro!$G633),"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",LEN(Registro!$G633))),({1,2,3,4,5,6,7,8,9,10,11,12,13,14,15,16,17,18,19,20,21,22,23,24,25,26,27,28,29,30}-1)*LEN(Registro!$G633)+1,LEN(Registro!$G633))),FIND("x",TRIM(MID(SUBSTITUTE(SUBSTITUTE(SUBSTITUTE(SUBSTITUTE(SUBSTITUTE(LOWER(Registro!$G633),"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",LEN(Registro!$G633))),({1,2,3,4,5,6,7,8,9,10,11,12,13,14,15,16,17,18,19,20,21,22,23,24,25,26,27,28,29,30}-1)*LEN(Registro!$G633)+1,LEN(Registro!$G633)))&amp;"x")+1,20))),"Revisar formato")))</f>
        <v/>
      </c>
      <c r="J633" s="9" t="str">
        <f>IF(AND(Registro!$E633="",Registro!$G633=""),"",IF(NOT(AND(ISNUMBER(I633),ISNUMBER(Registro!$H633))),"",IF(I633&lt;Registro!$H633,"FALTA BOLETOS",IF(I633=Registro!$H633,"CONFORME","DIFERENCIA"))))</f>
        <v/>
      </c>
      <c r="K633" s="11" t="str">
        <f>IF(Registro!$I633="","",IFERROR(SUMPRODUCT(--("0"&amp;TRIM(RIGHT(SUBSTITUTE(TRIM(MID(SUBSTITUTE(SUBSTITUTE(Registro!$I633,";",CHAR(10)),CHAR(10),REPT(" ",LEN(Registro!$I633))),({1,2,3,4,5,6,7,8,9,10,11,12,13,14,15,16,17,18,19,20,21,22,23,24,25,26,27,28,29,30}-1)*LEN(Registro!$I633)+1,LEN(Registro!$I633)))," ",REPT(" ",50)),50)))),"Revisar formato"))</f>
        <v/>
      </c>
      <c r="L633" s="11" t="str">
        <f>IF(Registro!$J633="","",IFERROR(SUMPRODUCT(--("0"&amp;TRIM(RIGHT(SUBSTITUTE(TRIM(MID(SUBSTITUTE(SUBSTITUTE(Registro!$J633,";",CHAR(10)),CHAR(10),REPT(" ",LEN(Registro!$J633))),({1,2,3,4,5,6,7,8,9,10,11,12,13,14,15,16,17,18,19,20,21,22,23,24,25,26,27,28,29,30}-1)*LEN(Registro!$J633)+1,LEN(Registro!$J633)))," ",REPT(" ",50)),50)))),"Revisar formato"))</f>
        <v/>
      </c>
      <c r="M633" s="11" t="str">
        <f>IF(AND(Registro!$H633="",Registro!$I633=""),"",IF(AND(ISTEXT(K633),K633&lt;&gt;""),"Revisar formato",N(Registro!$H633)-N(K633)))</f>
        <v/>
      </c>
      <c r="N633" s="11" t="str">
        <f t="shared" si="29"/>
        <v/>
      </c>
      <c r="O633" s="15" t="str">
        <f>IF(AND(A633=Consulta!$B$3,C633=Consulta!$H$3),B633*10000+ROW(),"")</f>
        <v/>
      </c>
    </row>
    <row r="634" spans="1:15" x14ac:dyDescent="0.25">
      <c r="A634" s="9" t="str">
        <f>IF(Registro!$A634="","",Registro!$A634)</f>
        <v/>
      </c>
      <c r="B634" s="8" t="str">
        <f>IF(Registro!$B634="","",Registro!$B634)</f>
        <v/>
      </c>
      <c r="C634" s="14" t="str">
        <f t="shared" si="27"/>
        <v/>
      </c>
      <c r="D634" s="10" t="str">
        <f>IF(Registro!$E634="","",IF(ISERROR(FIND("x",LOWER(Registro!$E634))),"-",IFERROR(SUMPRODUCT(--("0"&amp;LEFT(TRIM(MID(SUBSTITUTE(SUBSTITUTE(SUBSTITUTE(SUBSTITUTE(SUBSTITUTE(LOWER(Registro!$E634),"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",LEN(Registro!$E634))),({1,2,3,4,5,6,7,8,9,10,11,12,13,14,15,16,17,18,19,20,21,22,23,24,25,26,27,28,29,30}-1)*LEN(Registro!$E634)+1,LEN(Registro!$E634)))&amp;"x")-1))),"Revisar formato")))</f>
        <v/>
      </c>
      <c r="E634" s="11" t="str">
        <f>IF(Registro!$E634="","",IF(ISERROR(FIND("x",LOWER(Registro!$E634))),"-",IFERROR(SUMPRODUCT(--("0"&amp;LEFT(TRIM(MID(SUBSTITUTE(SUBSTITUTE(SUBSTITUTE(SUBSTITUTE(SUBSTITUTE(LOWER(Registro!$E634),"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",LEN(Registro!$E634))),({1,2,3,4,5,6,7,8,9,10,11,12,13,14,15,16,17,18,19,20,21,22,23,24,25,26,27,28,29,30}-1)*LEN(Registro!$E634)+1,LEN(Registro!$E634)))&amp;"x")-1)),--("0"&amp;MID(TRIM(MID(SUBSTITUTE(SUBSTITUTE(SUBSTITUTE(SUBSTITUTE(SUBSTITUTE(LOWER(Registro!$E634),"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",LEN(Registro!$E634))),({1,2,3,4,5,6,7,8,9,10,11,12,13,14,15,16,17,18,19,20,21,22,23,24,25,26,27,28,29,30}-1)*LEN(Registro!$E634)+1,LEN(Registro!$E634)))&amp;"x")+1,20))),"Revisar formato")))</f>
        <v/>
      </c>
      <c r="F634" s="11" t="str">
        <f>IF(Registro!$F634="","",N(Registro!$F634))</f>
        <v/>
      </c>
      <c r="G634" s="11" t="str">
        <f t="shared" si="28"/>
        <v/>
      </c>
      <c r="H634" s="10" t="str">
        <f>IF(Registro!$G634="","",IF(ISERROR(FIND("x",LOWER(Registro!$G634))),"-",IFERROR(SUMPRODUCT(--("0"&amp;LEFT(TRIM(MID(SUBSTITUTE(SUBSTITUTE(SUBSTITUTE(SUBSTITUTE(SUBSTITUTE(LOWER(Registro!$G634),"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",LEN(Registro!$G634))),({1,2,3,4,5,6,7,8,9,10,11,12,13,14,15,16,17,18,19,20,21,22,23,24,25,26,27,28,29,30}-1)*LEN(Registro!$G634)+1,LEN(Registro!$G634))),FIND("x",TRIM(MID(SUBSTITUTE(SUBSTITUTE(SUBSTITUTE(SUBSTITUTE(SUBSTITUTE(LOWER(Registro!$G634),"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",LEN(Registro!$G634))),({1,2,3,4,5,6,7,8,9,10,11,12,13,14,15,16,17,18,19,20,21,22,23,24,25,26,27,28,29,30}-1)*LEN(Registro!$G634)+1,LEN(Registro!$G634)))&amp;"x")-1))),"Revisar formato")))</f>
        <v/>
      </c>
      <c r="I634" s="11" t="str">
        <f>IF(Registro!$G634="","",IF(ISERROR(FIND("x",LOWER(Registro!$G634))),N(Registro!$H634),IFERROR(SUMPRODUCT(--("0"&amp;LEFT(TRIM(MID(SUBSTITUTE(SUBSTITUTE(SUBSTITUTE(SUBSTITUTE(SUBSTITUTE(LOWER(Registro!$G634),"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",LEN(Registro!$G634))),({1,2,3,4,5,6,7,8,9,10,11,12,13,14,15,16,17,18,19,20,21,22,23,24,25,26,27,28,29,30}-1)*LEN(Registro!$G634)+1,LEN(Registro!$G634))),FIND("x",TRIM(MID(SUBSTITUTE(SUBSTITUTE(SUBSTITUTE(SUBSTITUTE(SUBSTITUTE(LOWER(Registro!$G634),"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",LEN(Registro!$G634))),({1,2,3,4,5,6,7,8,9,10,11,12,13,14,15,16,17,18,19,20,21,22,23,24,25,26,27,28,29,30}-1)*LEN(Registro!$G634)+1,LEN(Registro!$G634)))&amp;"x")-1)),--("0"&amp;MID(TRIM(MID(SUBSTITUTE(SUBSTITUTE(SUBSTITUTE(SUBSTITUTE(SUBSTITUTE(LOWER(Registro!$G634),"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",LEN(Registro!$G634))),({1,2,3,4,5,6,7,8,9,10,11,12,13,14,15,16,17,18,19,20,21,22,23,24,25,26,27,28,29,30}-1)*LEN(Registro!$G634)+1,LEN(Registro!$G634))),FIND("x",TRIM(MID(SUBSTITUTE(SUBSTITUTE(SUBSTITUTE(SUBSTITUTE(SUBSTITUTE(LOWER(Registro!$G634),"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",LEN(Registro!$G634))),({1,2,3,4,5,6,7,8,9,10,11,12,13,14,15,16,17,18,19,20,21,22,23,24,25,26,27,28,29,30}-1)*LEN(Registro!$G634)+1,LEN(Registro!$G634)))&amp;"x")+1,20))),"Revisar formato")))</f>
        <v/>
      </c>
      <c r="J634" s="9" t="str">
        <f>IF(AND(Registro!$E634="",Registro!$G634=""),"",IF(NOT(AND(ISNUMBER(I634),ISNUMBER(Registro!$H634))),"",IF(I634&lt;Registro!$H634,"FALTA BOLETOS",IF(I634=Registro!$H634,"CONFORME","DIFERENCIA"))))</f>
        <v/>
      </c>
      <c r="K634" s="11" t="str">
        <f>IF(Registro!$I634="","",IFERROR(SUMPRODUCT(--("0"&amp;TRIM(RIGHT(SUBSTITUTE(TRIM(MID(SUBSTITUTE(SUBSTITUTE(Registro!$I634,";",CHAR(10)),CHAR(10),REPT(" ",LEN(Registro!$I634))),({1,2,3,4,5,6,7,8,9,10,11,12,13,14,15,16,17,18,19,20,21,22,23,24,25,26,27,28,29,30}-1)*LEN(Registro!$I634)+1,LEN(Registro!$I634)))," ",REPT(" ",50)),50)))),"Revisar formato"))</f>
        <v/>
      </c>
      <c r="L634" s="11" t="str">
        <f>IF(Registro!$J634="","",IFERROR(SUMPRODUCT(--("0"&amp;TRIM(RIGHT(SUBSTITUTE(TRIM(MID(SUBSTITUTE(SUBSTITUTE(Registro!$J634,";",CHAR(10)),CHAR(10),REPT(" ",LEN(Registro!$J634))),({1,2,3,4,5,6,7,8,9,10,11,12,13,14,15,16,17,18,19,20,21,22,23,24,25,26,27,28,29,30}-1)*LEN(Registro!$J634)+1,LEN(Registro!$J634)))," ",REPT(" ",50)),50)))),"Revisar formato"))</f>
        <v/>
      </c>
      <c r="M634" s="11" t="str">
        <f>IF(AND(Registro!$H634="",Registro!$I634=""),"",IF(AND(ISTEXT(K634),K634&lt;&gt;""),"Revisar formato",N(Registro!$H634)-N(K634)))</f>
        <v/>
      </c>
      <c r="N634" s="11" t="str">
        <f t="shared" si="29"/>
        <v/>
      </c>
      <c r="O634" s="15" t="str">
        <f>IF(AND(A634=Consulta!$B$3,C634=Consulta!$H$3),B634*10000+ROW(),"")</f>
        <v/>
      </c>
    </row>
    <row r="635" spans="1:15" x14ac:dyDescent="0.25">
      <c r="A635" s="9" t="str">
        <f>IF(Registro!$A635="","",Registro!$A635)</f>
        <v/>
      </c>
      <c r="B635" s="8" t="str">
        <f>IF(Registro!$B635="","",Registro!$B635)</f>
        <v/>
      </c>
      <c r="C635" s="14" t="str">
        <f t="shared" si="27"/>
        <v/>
      </c>
      <c r="D635" s="10" t="str">
        <f>IF(Registro!$E635="","",IF(ISERROR(FIND("x",LOWER(Registro!$E635))),"-",IFERROR(SUMPRODUCT(--("0"&amp;LEFT(TRIM(MID(SUBSTITUTE(SUBSTITUTE(SUBSTITUTE(SUBSTITUTE(SUBSTITUTE(LOWER(Registro!$E635),"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",LEN(Registro!$E635))),({1,2,3,4,5,6,7,8,9,10,11,12,13,14,15,16,17,18,19,20,21,22,23,24,25,26,27,28,29,30}-1)*LEN(Registro!$E635)+1,LEN(Registro!$E635)))&amp;"x")-1))),"Revisar formato")))</f>
        <v/>
      </c>
      <c r="E635" s="11" t="str">
        <f>IF(Registro!$E635="","",IF(ISERROR(FIND("x",LOWER(Registro!$E635))),"-",IFERROR(SUMPRODUCT(--("0"&amp;LEFT(TRIM(MID(SUBSTITUTE(SUBSTITUTE(SUBSTITUTE(SUBSTITUTE(SUBSTITUTE(LOWER(Registro!$E635),"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",LEN(Registro!$E635))),({1,2,3,4,5,6,7,8,9,10,11,12,13,14,15,16,17,18,19,20,21,22,23,24,25,26,27,28,29,30}-1)*LEN(Registro!$E635)+1,LEN(Registro!$E635)))&amp;"x")-1)),--("0"&amp;MID(TRIM(MID(SUBSTITUTE(SUBSTITUTE(SUBSTITUTE(SUBSTITUTE(SUBSTITUTE(LOWER(Registro!$E635),"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",LEN(Registro!$E635))),({1,2,3,4,5,6,7,8,9,10,11,12,13,14,15,16,17,18,19,20,21,22,23,24,25,26,27,28,29,30}-1)*LEN(Registro!$E635)+1,LEN(Registro!$E635)))&amp;"x")+1,20))),"Revisar formato")))</f>
        <v/>
      </c>
      <c r="F635" s="11" t="str">
        <f>IF(Registro!$F635="","",N(Registro!$F635))</f>
        <v/>
      </c>
      <c r="G635" s="11" t="str">
        <f t="shared" si="28"/>
        <v/>
      </c>
      <c r="H635" s="10" t="str">
        <f>IF(Registro!$G635="","",IF(ISERROR(FIND("x",LOWER(Registro!$G635))),"-",IFERROR(SUMPRODUCT(--("0"&amp;LEFT(TRIM(MID(SUBSTITUTE(SUBSTITUTE(SUBSTITUTE(SUBSTITUTE(SUBSTITUTE(LOWER(Registro!$G635),"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",LEN(Registro!$G635))),({1,2,3,4,5,6,7,8,9,10,11,12,13,14,15,16,17,18,19,20,21,22,23,24,25,26,27,28,29,30}-1)*LEN(Registro!$G635)+1,LEN(Registro!$G635))),FIND("x",TRIM(MID(SUBSTITUTE(SUBSTITUTE(SUBSTITUTE(SUBSTITUTE(SUBSTITUTE(LOWER(Registro!$G635),"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",LEN(Registro!$G635))),({1,2,3,4,5,6,7,8,9,10,11,12,13,14,15,16,17,18,19,20,21,22,23,24,25,26,27,28,29,30}-1)*LEN(Registro!$G635)+1,LEN(Registro!$G635)))&amp;"x")-1))),"Revisar formato")))</f>
        <v/>
      </c>
      <c r="I635" s="11" t="str">
        <f>IF(Registro!$G635="","",IF(ISERROR(FIND("x",LOWER(Registro!$G635))),N(Registro!$H635),IFERROR(SUMPRODUCT(--("0"&amp;LEFT(TRIM(MID(SUBSTITUTE(SUBSTITUTE(SUBSTITUTE(SUBSTITUTE(SUBSTITUTE(LOWER(Registro!$G635),"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",LEN(Registro!$G635))),({1,2,3,4,5,6,7,8,9,10,11,12,13,14,15,16,17,18,19,20,21,22,23,24,25,26,27,28,29,30}-1)*LEN(Registro!$G635)+1,LEN(Registro!$G635))),FIND("x",TRIM(MID(SUBSTITUTE(SUBSTITUTE(SUBSTITUTE(SUBSTITUTE(SUBSTITUTE(LOWER(Registro!$G635),"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",LEN(Registro!$G635))),({1,2,3,4,5,6,7,8,9,10,11,12,13,14,15,16,17,18,19,20,21,22,23,24,25,26,27,28,29,30}-1)*LEN(Registro!$G635)+1,LEN(Registro!$G635)))&amp;"x")-1)),--("0"&amp;MID(TRIM(MID(SUBSTITUTE(SUBSTITUTE(SUBSTITUTE(SUBSTITUTE(SUBSTITUTE(LOWER(Registro!$G635),"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",LEN(Registro!$G635))),({1,2,3,4,5,6,7,8,9,10,11,12,13,14,15,16,17,18,19,20,21,22,23,24,25,26,27,28,29,30}-1)*LEN(Registro!$G635)+1,LEN(Registro!$G635))),FIND("x",TRIM(MID(SUBSTITUTE(SUBSTITUTE(SUBSTITUTE(SUBSTITUTE(SUBSTITUTE(LOWER(Registro!$G635),"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",LEN(Registro!$G635))),({1,2,3,4,5,6,7,8,9,10,11,12,13,14,15,16,17,18,19,20,21,22,23,24,25,26,27,28,29,30}-1)*LEN(Registro!$G635)+1,LEN(Registro!$G635)))&amp;"x")+1,20))),"Revisar formato")))</f>
        <v/>
      </c>
      <c r="J635" s="9" t="str">
        <f>IF(AND(Registro!$E635="",Registro!$G635=""),"",IF(NOT(AND(ISNUMBER(I635),ISNUMBER(Registro!$H635))),"",IF(I635&lt;Registro!$H635,"FALTA BOLETOS",IF(I635=Registro!$H635,"CONFORME","DIFERENCIA"))))</f>
        <v/>
      </c>
      <c r="K635" s="11" t="str">
        <f>IF(Registro!$I635="","",IFERROR(SUMPRODUCT(--("0"&amp;TRIM(RIGHT(SUBSTITUTE(TRIM(MID(SUBSTITUTE(SUBSTITUTE(Registro!$I635,";",CHAR(10)),CHAR(10),REPT(" ",LEN(Registro!$I635))),({1,2,3,4,5,6,7,8,9,10,11,12,13,14,15,16,17,18,19,20,21,22,23,24,25,26,27,28,29,30}-1)*LEN(Registro!$I635)+1,LEN(Registro!$I635)))," ",REPT(" ",50)),50)))),"Revisar formato"))</f>
        <v/>
      </c>
      <c r="L635" s="11" t="str">
        <f>IF(Registro!$J635="","",IFERROR(SUMPRODUCT(--("0"&amp;TRIM(RIGHT(SUBSTITUTE(TRIM(MID(SUBSTITUTE(SUBSTITUTE(Registro!$J635,";",CHAR(10)),CHAR(10),REPT(" ",LEN(Registro!$J635))),({1,2,3,4,5,6,7,8,9,10,11,12,13,14,15,16,17,18,19,20,21,22,23,24,25,26,27,28,29,30}-1)*LEN(Registro!$J635)+1,LEN(Registro!$J635)))," ",REPT(" ",50)),50)))),"Revisar formato"))</f>
        <v/>
      </c>
      <c r="M635" s="11" t="str">
        <f>IF(AND(Registro!$H635="",Registro!$I635=""),"",IF(AND(ISTEXT(K635),K635&lt;&gt;""),"Revisar formato",N(Registro!$H635)-N(K635)))</f>
        <v/>
      </c>
      <c r="N635" s="11" t="str">
        <f t="shared" si="29"/>
        <v/>
      </c>
      <c r="O635" s="15" t="str">
        <f>IF(AND(A635=Consulta!$B$3,C635=Consulta!$H$3),B635*10000+ROW(),"")</f>
        <v/>
      </c>
    </row>
    <row r="636" spans="1:15" x14ac:dyDescent="0.25">
      <c r="A636" s="9" t="str">
        <f>IF(Registro!$A636="","",Registro!$A636)</f>
        <v/>
      </c>
      <c r="B636" s="8" t="str">
        <f>IF(Registro!$B636="","",Registro!$B636)</f>
        <v/>
      </c>
      <c r="C636" s="14" t="str">
        <f t="shared" si="27"/>
        <v/>
      </c>
      <c r="D636" s="10" t="str">
        <f>IF(Registro!$E636="","",IF(ISERROR(FIND("x",LOWER(Registro!$E636))),"-",IFERROR(SUMPRODUCT(--("0"&amp;LEFT(TRIM(MID(SUBSTITUTE(SUBSTITUTE(SUBSTITUTE(SUBSTITUTE(SUBSTITUTE(LOWER(Registro!$E636),"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",LEN(Registro!$E636))),({1,2,3,4,5,6,7,8,9,10,11,12,13,14,15,16,17,18,19,20,21,22,23,24,25,26,27,28,29,30}-1)*LEN(Registro!$E636)+1,LEN(Registro!$E636)))&amp;"x")-1))),"Revisar formato")))</f>
        <v/>
      </c>
      <c r="E636" s="11" t="str">
        <f>IF(Registro!$E636="","",IF(ISERROR(FIND("x",LOWER(Registro!$E636))),"-",IFERROR(SUMPRODUCT(--("0"&amp;LEFT(TRIM(MID(SUBSTITUTE(SUBSTITUTE(SUBSTITUTE(SUBSTITUTE(SUBSTITUTE(LOWER(Registro!$E636),"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",LEN(Registro!$E636))),({1,2,3,4,5,6,7,8,9,10,11,12,13,14,15,16,17,18,19,20,21,22,23,24,25,26,27,28,29,30}-1)*LEN(Registro!$E636)+1,LEN(Registro!$E636)))&amp;"x")-1)),--("0"&amp;MID(TRIM(MID(SUBSTITUTE(SUBSTITUTE(SUBSTITUTE(SUBSTITUTE(SUBSTITUTE(LOWER(Registro!$E636),"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",LEN(Registro!$E636))),({1,2,3,4,5,6,7,8,9,10,11,12,13,14,15,16,17,18,19,20,21,22,23,24,25,26,27,28,29,30}-1)*LEN(Registro!$E636)+1,LEN(Registro!$E636)))&amp;"x")+1,20))),"Revisar formato")))</f>
        <v/>
      </c>
      <c r="F636" s="11" t="str">
        <f>IF(Registro!$F636="","",N(Registro!$F636))</f>
        <v/>
      </c>
      <c r="G636" s="11" t="str">
        <f t="shared" si="28"/>
        <v/>
      </c>
      <c r="H636" s="10" t="str">
        <f>IF(Registro!$G636="","",IF(ISERROR(FIND("x",LOWER(Registro!$G636))),"-",IFERROR(SUMPRODUCT(--("0"&amp;LEFT(TRIM(MID(SUBSTITUTE(SUBSTITUTE(SUBSTITUTE(SUBSTITUTE(SUBSTITUTE(LOWER(Registro!$G636),"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",LEN(Registro!$G636))),({1,2,3,4,5,6,7,8,9,10,11,12,13,14,15,16,17,18,19,20,21,22,23,24,25,26,27,28,29,30}-1)*LEN(Registro!$G636)+1,LEN(Registro!$G636))),FIND("x",TRIM(MID(SUBSTITUTE(SUBSTITUTE(SUBSTITUTE(SUBSTITUTE(SUBSTITUTE(LOWER(Registro!$G636),"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",LEN(Registro!$G636))),({1,2,3,4,5,6,7,8,9,10,11,12,13,14,15,16,17,18,19,20,21,22,23,24,25,26,27,28,29,30}-1)*LEN(Registro!$G636)+1,LEN(Registro!$G636)))&amp;"x")-1))),"Revisar formato")))</f>
        <v/>
      </c>
      <c r="I636" s="11" t="str">
        <f>IF(Registro!$G636="","",IF(ISERROR(FIND("x",LOWER(Registro!$G636))),N(Registro!$H636),IFERROR(SUMPRODUCT(--("0"&amp;LEFT(TRIM(MID(SUBSTITUTE(SUBSTITUTE(SUBSTITUTE(SUBSTITUTE(SUBSTITUTE(LOWER(Registro!$G636),"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",LEN(Registro!$G636))),({1,2,3,4,5,6,7,8,9,10,11,12,13,14,15,16,17,18,19,20,21,22,23,24,25,26,27,28,29,30}-1)*LEN(Registro!$G636)+1,LEN(Registro!$G636))),FIND("x",TRIM(MID(SUBSTITUTE(SUBSTITUTE(SUBSTITUTE(SUBSTITUTE(SUBSTITUTE(LOWER(Registro!$G636),"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",LEN(Registro!$G636))),({1,2,3,4,5,6,7,8,9,10,11,12,13,14,15,16,17,18,19,20,21,22,23,24,25,26,27,28,29,30}-1)*LEN(Registro!$G636)+1,LEN(Registro!$G636)))&amp;"x")-1)),--("0"&amp;MID(TRIM(MID(SUBSTITUTE(SUBSTITUTE(SUBSTITUTE(SUBSTITUTE(SUBSTITUTE(LOWER(Registro!$G636),"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",LEN(Registro!$G636))),({1,2,3,4,5,6,7,8,9,10,11,12,13,14,15,16,17,18,19,20,21,22,23,24,25,26,27,28,29,30}-1)*LEN(Registro!$G636)+1,LEN(Registro!$G636))),FIND("x",TRIM(MID(SUBSTITUTE(SUBSTITUTE(SUBSTITUTE(SUBSTITUTE(SUBSTITUTE(LOWER(Registro!$G636),"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",LEN(Registro!$G636))),({1,2,3,4,5,6,7,8,9,10,11,12,13,14,15,16,17,18,19,20,21,22,23,24,25,26,27,28,29,30}-1)*LEN(Registro!$G636)+1,LEN(Registro!$G636)))&amp;"x")+1,20))),"Revisar formato")))</f>
        <v/>
      </c>
      <c r="J636" s="9" t="str">
        <f>IF(AND(Registro!$E636="",Registro!$G636=""),"",IF(NOT(AND(ISNUMBER(I636),ISNUMBER(Registro!$H636))),"",IF(I636&lt;Registro!$H636,"FALTA BOLETOS",IF(I636=Registro!$H636,"CONFORME","DIFERENCIA"))))</f>
        <v/>
      </c>
      <c r="K636" s="11" t="str">
        <f>IF(Registro!$I636="","",IFERROR(SUMPRODUCT(--("0"&amp;TRIM(RIGHT(SUBSTITUTE(TRIM(MID(SUBSTITUTE(SUBSTITUTE(Registro!$I636,";",CHAR(10)),CHAR(10),REPT(" ",LEN(Registro!$I636))),({1,2,3,4,5,6,7,8,9,10,11,12,13,14,15,16,17,18,19,20,21,22,23,24,25,26,27,28,29,30}-1)*LEN(Registro!$I636)+1,LEN(Registro!$I636)))," ",REPT(" ",50)),50)))),"Revisar formato"))</f>
        <v/>
      </c>
      <c r="L636" s="11" t="str">
        <f>IF(Registro!$J636="","",IFERROR(SUMPRODUCT(--("0"&amp;TRIM(RIGHT(SUBSTITUTE(TRIM(MID(SUBSTITUTE(SUBSTITUTE(Registro!$J636,";",CHAR(10)),CHAR(10),REPT(" ",LEN(Registro!$J636))),({1,2,3,4,5,6,7,8,9,10,11,12,13,14,15,16,17,18,19,20,21,22,23,24,25,26,27,28,29,30}-1)*LEN(Registro!$J636)+1,LEN(Registro!$J636)))," ",REPT(" ",50)),50)))),"Revisar formato"))</f>
        <v/>
      </c>
      <c r="M636" s="11" t="str">
        <f>IF(AND(Registro!$H636="",Registro!$I636=""),"",IF(AND(ISTEXT(K636),K636&lt;&gt;""),"Revisar formato",N(Registro!$H636)-N(K636)))</f>
        <v/>
      </c>
      <c r="N636" s="11" t="str">
        <f t="shared" si="29"/>
        <v/>
      </c>
      <c r="O636" s="15" t="str">
        <f>IF(AND(A636=Consulta!$B$3,C636=Consulta!$H$3),B636*10000+ROW(),"")</f>
        <v/>
      </c>
    </row>
    <row r="637" spans="1:15" x14ac:dyDescent="0.25">
      <c r="A637" s="9" t="str">
        <f>IF(Registro!$A637="","",Registro!$A637)</f>
        <v/>
      </c>
      <c r="B637" s="8" t="str">
        <f>IF(Registro!$B637="","",Registro!$B637)</f>
        <v/>
      </c>
      <c r="C637" s="14" t="str">
        <f t="shared" si="27"/>
        <v/>
      </c>
      <c r="D637" s="10" t="str">
        <f>IF(Registro!$E637="","",IF(ISERROR(FIND("x",LOWER(Registro!$E637))),"-",IFERROR(SUMPRODUCT(--("0"&amp;LEFT(TRIM(MID(SUBSTITUTE(SUBSTITUTE(SUBSTITUTE(SUBSTITUTE(SUBSTITUTE(LOWER(Registro!$E637),"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",LEN(Registro!$E637))),({1,2,3,4,5,6,7,8,9,10,11,12,13,14,15,16,17,18,19,20,21,22,23,24,25,26,27,28,29,30}-1)*LEN(Registro!$E637)+1,LEN(Registro!$E637)))&amp;"x")-1))),"Revisar formato")))</f>
        <v/>
      </c>
      <c r="E637" s="11" t="str">
        <f>IF(Registro!$E637="","",IF(ISERROR(FIND("x",LOWER(Registro!$E637))),"-",IFERROR(SUMPRODUCT(--("0"&amp;LEFT(TRIM(MID(SUBSTITUTE(SUBSTITUTE(SUBSTITUTE(SUBSTITUTE(SUBSTITUTE(LOWER(Registro!$E637),"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",LEN(Registro!$E637))),({1,2,3,4,5,6,7,8,9,10,11,12,13,14,15,16,17,18,19,20,21,22,23,24,25,26,27,28,29,30}-1)*LEN(Registro!$E637)+1,LEN(Registro!$E637)))&amp;"x")-1)),--("0"&amp;MID(TRIM(MID(SUBSTITUTE(SUBSTITUTE(SUBSTITUTE(SUBSTITUTE(SUBSTITUTE(LOWER(Registro!$E637),"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",LEN(Registro!$E637))),({1,2,3,4,5,6,7,8,9,10,11,12,13,14,15,16,17,18,19,20,21,22,23,24,25,26,27,28,29,30}-1)*LEN(Registro!$E637)+1,LEN(Registro!$E637)))&amp;"x")+1,20))),"Revisar formato")))</f>
        <v/>
      </c>
      <c r="F637" s="11" t="str">
        <f>IF(Registro!$F637="","",N(Registro!$F637))</f>
        <v/>
      </c>
      <c r="G637" s="11" t="str">
        <f t="shared" si="28"/>
        <v/>
      </c>
      <c r="H637" s="10" t="str">
        <f>IF(Registro!$G637="","",IF(ISERROR(FIND("x",LOWER(Registro!$G637))),"-",IFERROR(SUMPRODUCT(--("0"&amp;LEFT(TRIM(MID(SUBSTITUTE(SUBSTITUTE(SUBSTITUTE(SUBSTITUTE(SUBSTITUTE(LOWER(Registro!$G637),"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",LEN(Registro!$G637))),({1,2,3,4,5,6,7,8,9,10,11,12,13,14,15,16,17,18,19,20,21,22,23,24,25,26,27,28,29,30}-1)*LEN(Registro!$G637)+1,LEN(Registro!$G637))),FIND("x",TRIM(MID(SUBSTITUTE(SUBSTITUTE(SUBSTITUTE(SUBSTITUTE(SUBSTITUTE(LOWER(Registro!$G637),"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",LEN(Registro!$G637))),({1,2,3,4,5,6,7,8,9,10,11,12,13,14,15,16,17,18,19,20,21,22,23,24,25,26,27,28,29,30}-1)*LEN(Registro!$G637)+1,LEN(Registro!$G637)))&amp;"x")-1))),"Revisar formato")))</f>
        <v/>
      </c>
      <c r="I637" s="11" t="str">
        <f>IF(Registro!$G637="","",IF(ISERROR(FIND("x",LOWER(Registro!$G637))),N(Registro!$H637),IFERROR(SUMPRODUCT(--("0"&amp;LEFT(TRIM(MID(SUBSTITUTE(SUBSTITUTE(SUBSTITUTE(SUBSTITUTE(SUBSTITUTE(LOWER(Registro!$G637),"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",LEN(Registro!$G637))),({1,2,3,4,5,6,7,8,9,10,11,12,13,14,15,16,17,18,19,20,21,22,23,24,25,26,27,28,29,30}-1)*LEN(Registro!$G637)+1,LEN(Registro!$G637))),FIND("x",TRIM(MID(SUBSTITUTE(SUBSTITUTE(SUBSTITUTE(SUBSTITUTE(SUBSTITUTE(LOWER(Registro!$G637),"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",LEN(Registro!$G637))),({1,2,3,4,5,6,7,8,9,10,11,12,13,14,15,16,17,18,19,20,21,22,23,24,25,26,27,28,29,30}-1)*LEN(Registro!$G637)+1,LEN(Registro!$G637)))&amp;"x")-1)),--("0"&amp;MID(TRIM(MID(SUBSTITUTE(SUBSTITUTE(SUBSTITUTE(SUBSTITUTE(SUBSTITUTE(LOWER(Registro!$G637),"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",LEN(Registro!$G637))),({1,2,3,4,5,6,7,8,9,10,11,12,13,14,15,16,17,18,19,20,21,22,23,24,25,26,27,28,29,30}-1)*LEN(Registro!$G637)+1,LEN(Registro!$G637))),FIND("x",TRIM(MID(SUBSTITUTE(SUBSTITUTE(SUBSTITUTE(SUBSTITUTE(SUBSTITUTE(LOWER(Registro!$G637),"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",LEN(Registro!$G637))),({1,2,3,4,5,6,7,8,9,10,11,12,13,14,15,16,17,18,19,20,21,22,23,24,25,26,27,28,29,30}-1)*LEN(Registro!$G637)+1,LEN(Registro!$G637)))&amp;"x")+1,20))),"Revisar formato")))</f>
        <v/>
      </c>
      <c r="J637" s="9" t="str">
        <f>IF(AND(Registro!$E637="",Registro!$G637=""),"",IF(NOT(AND(ISNUMBER(I637),ISNUMBER(Registro!$H637))),"",IF(I637&lt;Registro!$H637,"FALTA BOLETOS",IF(I637=Registro!$H637,"CONFORME","DIFERENCIA"))))</f>
        <v/>
      </c>
      <c r="K637" s="11" t="str">
        <f>IF(Registro!$I637="","",IFERROR(SUMPRODUCT(--("0"&amp;TRIM(RIGHT(SUBSTITUTE(TRIM(MID(SUBSTITUTE(SUBSTITUTE(Registro!$I637,";",CHAR(10)),CHAR(10),REPT(" ",LEN(Registro!$I637))),({1,2,3,4,5,6,7,8,9,10,11,12,13,14,15,16,17,18,19,20,21,22,23,24,25,26,27,28,29,30}-1)*LEN(Registro!$I637)+1,LEN(Registro!$I637)))," ",REPT(" ",50)),50)))),"Revisar formato"))</f>
        <v/>
      </c>
      <c r="L637" s="11" t="str">
        <f>IF(Registro!$J637="","",IFERROR(SUMPRODUCT(--("0"&amp;TRIM(RIGHT(SUBSTITUTE(TRIM(MID(SUBSTITUTE(SUBSTITUTE(Registro!$J637,";",CHAR(10)),CHAR(10),REPT(" ",LEN(Registro!$J637))),({1,2,3,4,5,6,7,8,9,10,11,12,13,14,15,16,17,18,19,20,21,22,23,24,25,26,27,28,29,30}-1)*LEN(Registro!$J637)+1,LEN(Registro!$J637)))," ",REPT(" ",50)),50)))),"Revisar formato"))</f>
        <v/>
      </c>
      <c r="M637" s="11" t="str">
        <f>IF(AND(Registro!$H637="",Registro!$I637=""),"",IF(AND(ISTEXT(K637),K637&lt;&gt;""),"Revisar formato",N(Registro!$H637)-N(K637)))</f>
        <v/>
      </c>
      <c r="N637" s="11" t="str">
        <f t="shared" si="29"/>
        <v/>
      </c>
      <c r="O637" s="15" t="str">
        <f>IF(AND(A637=Consulta!$B$3,C637=Consulta!$H$3),B637*10000+ROW(),"")</f>
        <v/>
      </c>
    </row>
    <row r="638" spans="1:15" x14ac:dyDescent="0.25">
      <c r="A638" s="9" t="str">
        <f>IF(Registro!$A638="","",Registro!$A638)</f>
        <v/>
      </c>
      <c r="B638" s="8" t="str">
        <f>IF(Registro!$B638="","",Registro!$B638)</f>
        <v/>
      </c>
      <c r="C638" s="14" t="str">
        <f t="shared" si="27"/>
        <v/>
      </c>
      <c r="D638" s="10" t="str">
        <f>IF(Registro!$E638="","",IF(ISERROR(FIND("x",LOWER(Registro!$E638))),"-",IFERROR(SUMPRODUCT(--("0"&amp;LEFT(TRIM(MID(SUBSTITUTE(SUBSTITUTE(SUBSTITUTE(SUBSTITUTE(SUBSTITUTE(LOWER(Registro!$E638),"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",LEN(Registro!$E638))),({1,2,3,4,5,6,7,8,9,10,11,12,13,14,15,16,17,18,19,20,21,22,23,24,25,26,27,28,29,30}-1)*LEN(Registro!$E638)+1,LEN(Registro!$E638)))&amp;"x")-1))),"Revisar formato")))</f>
        <v/>
      </c>
      <c r="E638" s="11" t="str">
        <f>IF(Registro!$E638="","",IF(ISERROR(FIND("x",LOWER(Registro!$E638))),"-",IFERROR(SUMPRODUCT(--("0"&amp;LEFT(TRIM(MID(SUBSTITUTE(SUBSTITUTE(SUBSTITUTE(SUBSTITUTE(SUBSTITUTE(LOWER(Registro!$E638),"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",LEN(Registro!$E638))),({1,2,3,4,5,6,7,8,9,10,11,12,13,14,15,16,17,18,19,20,21,22,23,24,25,26,27,28,29,30}-1)*LEN(Registro!$E638)+1,LEN(Registro!$E638)))&amp;"x")-1)),--("0"&amp;MID(TRIM(MID(SUBSTITUTE(SUBSTITUTE(SUBSTITUTE(SUBSTITUTE(SUBSTITUTE(LOWER(Registro!$E638),"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",LEN(Registro!$E638))),({1,2,3,4,5,6,7,8,9,10,11,12,13,14,15,16,17,18,19,20,21,22,23,24,25,26,27,28,29,30}-1)*LEN(Registro!$E638)+1,LEN(Registro!$E638)))&amp;"x")+1,20))),"Revisar formato")))</f>
        <v/>
      </c>
      <c r="F638" s="11" t="str">
        <f>IF(Registro!$F638="","",N(Registro!$F638))</f>
        <v/>
      </c>
      <c r="G638" s="11" t="str">
        <f t="shared" si="28"/>
        <v/>
      </c>
      <c r="H638" s="10" t="str">
        <f>IF(Registro!$G638="","",IF(ISERROR(FIND("x",LOWER(Registro!$G638))),"-",IFERROR(SUMPRODUCT(--("0"&amp;LEFT(TRIM(MID(SUBSTITUTE(SUBSTITUTE(SUBSTITUTE(SUBSTITUTE(SUBSTITUTE(LOWER(Registro!$G638),"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",LEN(Registro!$G638))),({1,2,3,4,5,6,7,8,9,10,11,12,13,14,15,16,17,18,19,20,21,22,23,24,25,26,27,28,29,30}-1)*LEN(Registro!$G638)+1,LEN(Registro!$G638))),FIND("x",TRIM(MID(SUBSTITUTE(SUBSTITUTE(SUBSTITUTE(SUBSTITUTE(SUBSTITUTE(LOWER(Registro!$G638),"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",LEN(Registro!$G638))),({1,2,3,4,5,6,7,8,9,10,11,12,13,14,15,16,17,18,19,20,21,22,23,24,25,26,27,28,29,30}-1)*LEN(Registro!$G638)+1,LEN(Registro!$G638)))&amp;"x")-1))),"Revisar formato")))</f>
        <v/>
      </c>
      <c r="I638" s="11" t="str">
        <f>IF(Registro!$G638="","",IF(ISERROR(FIND("x",LOWER(Registro!$G638))),N(Registro!$H638),IFERROR(SUMPRODUCT(--("0"&amp;LEFT(TRIM(MID(SUBSTITUTE(SUBSTITUTE(SUBSTITUTE(SUBSTITUTE(SUBSTITUTE(LOWER(Registro!$G638),"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",LEN(Registro!$G638))),({1,2,3,4,5,6,7,8,9,10,11,12,13,14,15,16,17,18,19,20,21,22,23,24,25,26,27,28,29,30}-1)*LEN(Registro!$G638)+1,LEN(Registro!$G638))),FIND("x",TRIM(MID(SUBSTITUTE(SUBSTITUTE(SUBSTITUTE(SUBSTITUTE(SUBSTITUTE(LOWER(Registro!$G638),"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",LEN(Registro!$G638))),({1,2,3,4,5,6,7,8,9,10,11,12,13,14,15,16,17,18,19,20,21,22,23,24,25,26,27,28,29,30}-1)*LEN(Registro!$G638)+1,LEN(Registro!$G638)))&amp;"x")-1)),--("0"&amp;MID(TRIM(MID(SUBSTITUTE(SUBSTITUTE(SUBSTITUTE(SUBSTITUTE(SUBSTITUTE(LOWER(Registro!$G638),"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",LEN(Registro!$G638))),({1,2,3,4,5,6,7,8,9,10,11,12,13,14,15,16,17,18,19,20,21,22,23,24,25,26,27,28,29,30}-1)*LEN(Registro!$G638)+1,LEN(Registro!$G638))),FIND("x",TRIM(MID(SUBSTITUTE(SUBSTITUTE(SUBSTITUTE(SUBSTITUTE(SUBSTITUTE(LOWER(Registro!$G638),"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",LEN(Registro!$G638))),({1,2,3,4,5,6,7,8,9,10,11,12,13,14,15,16,17,18,19,20,21,22,23,24,25,26,27,28,29,30}-1)*LEN(Registro!$G638)+1,LEN(Registro!$G638)))&amp;"x")+1,20))),"Revisar formato")))</f>
        <v/>
      </c>
      <c r="J638" s="9" t="str">
        <f>IF(AND(Registro!$E638="",Registro!$G638=""),"",IF(NOT(AND(ISNUMBER(I638),ISNUMBER(Registro!$H638))),"",IF(I638&lt;Registro!$H638,"FALTA BOLETOS",IF(I638=Registro!$H638,"CONFORME","DIFERENCIA"))))</f>
        <v/>
      </c>
      <c r="K638" s="11" t="str">
        <f>IF(Registro!$I638="","",IFERROR(SUMPRODUCT(--("0"&amp;TRIM(RIGHT(SUBSTITUTE(TRIM(MID(SUBSTITUTE(SUBSTITUTE(Registro!$I638,";",CHAR(10)),CHAR(10),REPT(" ",LEN(Registro!$I638))),({1,2,3,4,5,6,7,8,9,10,11,12,13,14,15,16,17,18,19,20,21,22,23,24,25,26,27,28,29,30}-1)*LEN(Registro!$I638)+1,LEN(Registro!$I638)))," ",REPT(" ",50)),50)))),"Revisar formato"))</f>
        <v/>
      </c>
      <c r="L638" s="11" t="str">
        <f>IF(Registro!$J638="","",IFERROR(SUMPRODUCT(--("0"&amp;TRIM(RIGHT(SUBSTITUTE(TRIM(MID(SUBSTITUTE(SUBSTITUTE(Registro!$J638,";",CHAR(10)),CHAR(10),REPT(" ",LEN(Registro!$J638))),({1,2,3,4,5,6,7,8,9,10,11,12,13,14,15,16,17,18,19,20,21,22,23,24,25,26,27,28,29,30}-1)*LEN(Registro!$J638)+1,LEN(Registro!$J638)))," ",REPT(" ",50)),50)))),"Revisar formato"))</f>
        <v/>
      </c>
      <c r="M638" s="11" t="str">
        <f>IF(AND(Registro!$H638="",Registro!$I638=""),"",IF(AND(ISTEXT(K638),K638&lt;&gt;""),"Revisar formato",N(Registro!$H638)-N(K638)))</f>
        <v/>
      </c>
      <c r="N638" s="11" t="str">
        <f t="shared" si="29"/>
        <v/>
      </c>
      <c r="O638" s="15" t="str">
        <f>IF(AND(A638=Consulta!$B$3,C638=Consulta!$H$3),B638*10000+ROW(),"")</f>
        <v/>
      </c>
    </row>
    <row r="639" spans="1:15" x14ac:dyDescent="0.25">
      <c r="A639" s="9" t="str">
        <f>IF(Registro!$A639="","",Registro!$A639)</f>
        <v/>
      </c>
      <c r="B639" s="8" t="str">
        <f>IF(Registro!$B639="","",Registro!$B639)</f>
        <v/>
      </c>
      <c r="C639" s="14" t="str">
        <f t="shared" si="27"/>
        <v/>
      </c>
      <c r="D639" s="10" t="str">
        <f>IF(Registro!$E639="","",IF(ISERROR(FIND("x",LOWER(Registro!$E639))),"-",IFERROR(SUMPRODUCT(--("0"&amp;LEFT(TRIM(MID(SUBSTITUTE(SUBSTITUTE(SUBSTITUTE(SUBSTITUTE(SUBSTITUTE(LOWER(Registro!$E639),"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",LEN(Registro!$E639))),({1,2,3,4,5,6,7,8,9,10,11,12,13,14,15,16,17,18,19,20,21,22,23,24,25,26,27,28,29,30}-1)*LEN(Registro!$E639)+1,LEN(Registro!$E639)))&amp;"x")-1))),"Revisar formato")))</f>
        <v/>
      </c>
      <c r="E639" s="11" t="str">
        <f>IF(Registro!$E639="","",IF(ISERROR(FIND("x",LOWER(Registro!$E639))),"-",IFERROR(SUMPRODUCT(--("0"&amp;LEFT(TRIM(MID(SUBSTITUTE(SUBSTITUTE(SUBSTITUTE(SUBSTITUTE(SUBSTITUTE(LOWER(Registro!$E639),"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",LEN(Registro!$E639))),({1,2,3,4,5,6,7,8,9,10,11,12,13,14,15,16,17,18,19,20,21,22,23,24,25,26,27,28,29,30}-1)*LEN(Registro!$E639)+1,LEN(Registro!$E639)))&amp;"x")-1)),--("0"&amp;MID(TRIM(MID(SUBSTITUTE(SUBSTITUTE(SUBSTITUTE(SUBSTITUTE(SUBSTITUTE(LOWER(Registro!$E639),"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",LEN(Registro!$E639))),({1,2,3,4,5,6,7,8,9,10,11,12,13,14,15,16,17,18,19,20,21,22,23,24,25,26,27,28,29,30}-1)*LEN(Registro!$E639)+1,LEN(Registro!$E639)))&amp;"x")+1,20))),"Revisar formato")))</f>
        <v/>
      </c>
      <c r="F639" s="11" t="str">
        <f>IF(Registro!$F639="","",N(Registro!$F639))</f>
        <v/>
      </c>
      <c r="G639" s="11" t="str">
        <f t="shared" si="28"/>
        <v/>
      </c>
      <c r="H639" s="10" t="str">
        <f>IF(Registro!$G639="","",IF(ISERROR(FIND("x",LOWER(Registro!$G639))),"-",IFERROR(SUMPRODUCT(--("0"&amp;LEFT(TRIM(MID(SUBSTITUTE(SUBSTITUTE(SUBSTITUTE(SUBSTITUTE(SUBSTITUTE(LOWER(Registro!$G639),"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",LEN(Registro!$G639))),({1,2,3,4,5,6,7,8,9,10,11,12,13,14,15,16,17,18,19,20,21,22,23,24,25,26,27,28,29,30}-1)*LEN(Registro!$G639)+1,LEN(Registro!$G639))),FIND("x",TRIM(MID(SUBSTITUTE(SUBSTITUTE(SUBSTITUTE(SUBSTITUTE(SUBSTITUTE(LOWER(Registro!$G639),"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",LEN(Registro!$G639))),({1,2,3,4,5,6,7,8,9,10,11,12,13,14,15,16,17,18,19,20,21,22,23,24,25,26,27,28,29,30}-1)*LEN(Registro!$G639)+1,LEN(Registro!$G639)))&amp;"x")-1))),"Revisar formato")))</f>
        <v/>
      </c>
      <c r="I639" s="11" t="str">
        <f>IF(Registro!$G639="","",IF(ISERROR(FIND("x",LOWER(Registro!$G639))),N(Registro!$H639),IFERROR(SUMPRODUCT(--("0"&amp;LEFT(TRIM(MID(SUBSTITUTE(SUBSTITUTE(SUBSTITUTE(SUBSTITUTE(SUBSTITUTE(LOWER(Registro!$G639),"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",LEN(Registro!$G639))),({1,2,3,4,5,6,7,8,9,10,11,12,13,14,15,16,17,18,19,20,21,22,23,24,25,26,27,28,29,30}-1)*LEN(Registro!$G639)+1,LEN(Registro!$G639))),FIND("x",TRIM(MID(SUBSTITUTE(SUBSTITUTE(SUBSTITUTE(SUBSTITUTE(SUBSTITUTE(LOWER(Registro!$G639),"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",LEN(Registro!$G639))),({1,2,3,4,5,6,7,8,9,10,11,12,13,14,15,16,17,18,19,20,21,22,23,24,25,26,27,28,29,30}-1)*LEN(Registro!$G639)+1,LEN(Registro!$G639)))&amp;"x")-1)),--("0"&amp;MID(TRIM(MID(SUBSTITUTE(SUBSTITUTE(SUBSTITUTE(SUBSTITUTE(SUBSTITUTE(LOWER(Registro!$G639),"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",LEN(Registro!$G639))),({1,2,3,4,5,6,7,8,9,10,11,12,13,14,15,16,17,18,19,20,21,22,23,24,25,26,27,28,29,30}-1)*LEN(Registro!$G639)+1,LEN(Registro!$G639))),FIND("x",TRIM(MID(SUBSTITUTE(SUBSTITUTE(SUBSTITUTE(SUBSTITUTE(SUBSTITUTE(LOWER(Registro!$G639),"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",LEN(Registro!$G639))),({1,2,3,4,5,6,7,8,9,10,11,12,13,14,15,16,17,18,19,20,21,22,23,24,25,26,27,28,29,30}-1)*LEN(Registro!$G639)+1,LEN(Registro!$G639)))&amp;"x")+1,20))),"Revisar formato")))</f>
        <v/>
      </c>
      <c r="J639" s="9" t="str">
        <f>IF(AND(Registro!$E639="",Registro!$G639=""),"",IF(NOT(AND(ISNUMBER(I639),ISNUMBER(Registro!$H639))),"",IF(I639&lt;Registro!$H639,"FALTA BOLETOS",IF(I639=Registro!$H639,"CONFORME","DIFERENCIA"))))</f>
        <v/>
      </c>
      <c r="K639" s="11" t="str">
        <f>IF(Registro!$I639="","",IFERROR(SUMPRODUCT(--("0"&amp;TRIM(RIGHT(SUBSTITUTE(TRIM(MID(SUBSTITUTE(SUBSTITUTE(Registro!$I639,";",CHAR(10)),CHAR(10),REPT(" ",LEN(Registro!$I639))),({1,2,3,4,5,6,7,8,9,10,11,12,13,14,15,16,17,18,19,20,21,22,23,24,25,26,27,28,29,30}-1)*LEN(Registro!$I639)+1,LEN(Registro!$I639)))," ",REPT(" ",50)),50)))),"Revisar formato"))</f>
        <v/>
      </c>
      <c r="L639" s="11" t="str">
        <f>IF(Registro!$J639="","",IFERROR(SUMPRODUCT(--("0"&amp;TRIM(RIGHT(SUBSTITUTE(TRIM(MID(SUBSTITUTE(SUBSTITUTE(Registro!$J639,";",CHAR(10)),CHAR(10),REPT(" ",LEN(Registro!$J639))),({1,2,3,4,5,6,7,8,9,10,11,12,13,14,15,16,17,18,19,20,21,22,23,24,25,26,27,28,29,30}-1)*LEN(Registro!$J639)+1,LEN(Registro!$J639)))," ",REPT(" ",50)),50)))),"Revisar formato"))</f>
        <v/>
      </c>
      <c r="M639" s="11" t="str">
        <f>IF(AND(Registro!$H639="",Registro!$I639=""),"",IF(AND(ISTEXT(K639),K639&lt;&gt;""),"Revisar formato",N(Registro!$H639)-N(K639)))</f>
        <v/>
      </c>
      <c r="N639" s="11" t="str">
        <f t="shared" si="29"/>
        <v/>
      </c>
      <c r="O639" s="15" t="str">
        <f>IF(AND(A639=Consulta!$B$3,C639=Consulta!$H$3),B639*10000+ROW(),"")</f>
        <v/>
      </c>
    </row>
    <row r="640" spans="1:15" x14ac:dyDescent="0.25">
      <c r="A640" s="9" t="str">
        <f>IF(Registro!$A640="","",Registro!$A640)</f>
        <v/>
      </c>
      <c r="B640" s="8" t="str">
        <f>IF(Registro!$B640="","",Registro!$B640)</f>
        <v/>
      </c>
      <c r="C640" s="14" t="str">
        <f t="shared" si="27"/>
        <v/>
      </c>
      <c r="D640" s="10" t="str">
        <f>IF(Registro!$E640="","",IF(ISERROR(FIND("x",LOWER(Registro!$E640))),"-",IFERROR(SUMPRODUCT(--("0"&amp;LEFT(TRIM(MID(SUBSTITUTE(SUBSTITUTE(SUBSTITUTE(SUBSTITUTE(SUBSTITUTE(LOWER(Registro!$E640),"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",LEN(Registro!$E640))),({1,2,3,4,5,6,7,8,9,10,11,12,13,14,15,16,17,18,19,20,21,22,23,24,25,26,27,28,29,30}-1)*LEN(Registro!$E640)+1,LEN(Registro!$E640)))&amp;"x")-1))),"Revisar formato")))</f>
        <v/>
      </c>
      <c r="E640" s="11" t="str">
        <f>IF(Registro!$E640="","",IF(ISERROR(FIND("x",LOWER(Registro!$E640))),"-",IFERROR(SUMPRODUCT(--("0"&amp;LEFT(TRIM(MID(SUBSTITUTE(SUBSTITUTE(SUBSTITUTE(SUBSTITUTE(SUBSTITUTE(LOWER(Registro!$E640),"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",LEN(Registro!$E640))),({1,2,3,4,5,6,7,8,9,10,11,12,13,14,15,16,17,18,19,20,21,22,23,24,25,26,27,28,29,30}-1)*LEN(Registro!$E640)+1,LEN(Registro!$E640)))&amp;"x")-1)),--("0"&amp;MID(TRIM(MID(SUBSTITUTE(SUBSTITUTE(SUBSTITUTE(SUBSTITUTE(SUBSTITUTE(LOWER(Registro!$E640),"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",LEN(Registro!$E640))),({1,2,3,4,5,6,7,8,9,10,11,12,13,14,15,16,17,18,19,20,21,22,23,24,25,26,27,28,29,30}-1)*LEN(Registro!$E640)+1,LEN(Registro!$E640)))&amp;"x")+1,20))),"Revisar formato")))</f>
        <v/>
      </c>
      <c r="F640" s="11" t="str">
        <f>IF(Registro!$F640="","",N(Registro!$F640))</f>
        <v/>
      </c>
      <c r="G640" s="11" t="str">
        <f t="shared" si="28"/>
        <v/>
      </c>
      <c r="H640" s="10" t="str">
        <f>IF(Registro!$G640="","",IF(ISERROR(FIND("x",LOWER(Registro!$G640))),"-",IFERROR(SUMPRODUCT(--("0"&amp;LEFT(TRIM(MID(SUBSTITUTE(SUBSTITUTE(SUBSTITUTE(SUBSTITUTE(SUBSTITUTE(LOWER(Registro!$G640),"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",LEN(Registro!$G640))),({1,2,3,4,5,6,7,8,9,10,11,12,13,14,15,16,17,18,19,20,21,22,23,24,25,26,27,28,29,30}-1)*LEN(Registro!$G640)+1,LEN(Registro!$G640))),FIND("x",TRIM(MID(SUBSTITUTE(SUBSTITUTE(SUBSTITUTE(SUBSTITUTE(SUBSTITUTE(LOWER(Registro!$G640),"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",LEN(Registro!$G640))),({1,2,3,4,5,6,7,8,9,10,11,12,13,14,15,16,17,18,19,20,21,22,23,24,25,26,27,28,29,30}-1)*LEN(Registro!$G640)+1,LEN(Registro!$G640)))&amp;"x")-1))),"Revisar formato")))</f>
        <v/>
      </c>
      <c r="I640" s="11" t="str">
        <f>IF(Registro!$G640="","",IF(ISERROR(FIND("x",LOWER(Registro!$G640))),N(Registro!$H640),IFERROR(SUMPRODUCT(--("0"&amp;LEFT(TRIM(MID(SUBSTITUTE(SUBSTITUTE(SUBSTITUTE(SUBSTITUTE(SUBSTITUTE(LOWER(Registro!$G640),"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",LEN(Registro!$G640))),({1,2,3,4,5,6,7,8,9,10,11,12,13,14,15,16,17,18,19,20,21,22,23,24,25,26,27,28,29,30}-1)*LEN(Registro!$G640)+1,LEN(Registro!$G640))),FIND("x",TRIM(MID(SUBSTITUTE(SUBSTITUTE(SUBSTITUTE(SUBSTITUTE(SUBSTITUTE(LOWER(Registro!$G640),"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",LEN(Registro!$G640))),({1,2,3,4,5,6,7,8,9,10,11,12,13,14,15,16,17,18,19,20,21,22,23,24,25,26,27,28,29,30}-1)*LEN(Registro!$G640)+1,LEN(Registro!$G640)))&amp;"x")-1)),--("0"&amp;MID(TRIM(MID(SUBSTITUTE(SUBSTITUTE(SUBSTITUTE(SUBSTITUTE(SUBSTITUTE(LOWER(Registro!$G640),"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",LEN(Registro!$G640))),({1,2,3,4,5,6,7,8,9,10,11,12,13,14,15,16,17,18,19,20,21,22,23,24,25,26,27,28,29,30}-1)*LEN(Registro!$G640)+1,LEN(Registro!$G640))),FIND("x",TRIM(MID(SUBSTITUTE(SUBSTITUTE(SUBSTITUTE(SUBSTITUTE(SUBSTITUTE(LOWER(Registro!$G640),"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",LEN(Registro!$G640))),({1,2,3,4,5,6,7,8,9,10,11,12,13,14,15,16,17,18,19,20,21,22,23,24,25,26,27,28,29,30}-1)*LEN(Registro!$G640)+1,LEN(Registro!$G640)))&amp;"x")+1,20))),"Revisar formato")))</f>
        <v/>
      </c>
      <c r="J640" s="9" t="str">
        <f>IF(AND(Registro!$E640="",Registro!$G640=""),"",IF(NOT(AND(ISNUMBER(I640),ISNUMBER(Registro!$H640))),"",IF(I640&lt;Registro!$H640,"FALTA BOLETOS",IF(I640=Registro!$H640,"CONFORME","DIFERENCIA"))))</f>
        <v/>
      </c>
      <c r="K640" s="11" t="str">
        <f>IF(Registro!$I640="","",IFERROR(SUMPRODUCT(--("0"&amp;TRIM(RIGHT(SUBSTITUTE(TRIM(MID(SUBSTITUTE(SUBSTITUTE(Registro!$I640,";",CHAR(10)),CHAR(10),REPT(" ",LEN(Registro!$I640))),({1,2,3,4,5,6,7,8,9,10,11,12,13,14,15,16,17,18,19,20,21,22,23,24,25,26,27,28,29,30}-1)*LEN(Registro!$I640)+1,LEN(Registro!$I640)))," ",REPT(" ",50)),50)))),"Revisar formato"))</f>
        <v/>
      </c>
      <c r="L640" s="11" t="str">
        <f>IF(Registro!$J640="","",IFERROR(SUMPRODUCT(--("0"&amp;TRIM(RIGHT(SUBSTITUTE(TRIM(MID(SUBSTITUTE(SUBSTITUTE(Registro!$J640,";",CHAR(10)),CHAR(10),REPT(" ",LEN(Registro!$J640))),({1,2,3,4,5,6,7,8,9,10,11,12,13,14,15,16,17,18,19,20,21,22,23,24,25,26,27,28,29,30}-1)*LEN(Registro!$J640)+1,LEN(Registro!$J640)))," ",REPT(" ",50)),50)))),"Revisar formato"))</f>
        <v/>
      </c>
      <c r="M640" s="11" t="str">
        <f>IF(AND(Registro!$H640="",Registro!$I640=""),"",IF(AND(ISTEXT(K640),K640&lt;&gt;""),"Revisar formato",N(Registro!$H640)-N(K640)))</f>
        <v/>
      </c>
      <c r="N640" s="11" t="str">
        <f t="shared" si="29"/>
        <v/>
      </c>
      <c r="O640" s="15" t="str">
        <f>IF(AND(A640=Consulta!$B$3,C640=Consulta!$H$3),B640*10000+ROW(),"")</f>
        <v/>
      </c>
    </row>
    <row r="641" spans="1:15" x14ac:dyDescent="0.25">
      <c r="A641" s="9" t="str">
        <f>IF(Registro!$A641="","",Registro!$A641)</f>
        <v/>
      </c>
      <c r="B641" s="8" t="str">
        <f>IF(Registro!$B641="","",Registro!$B641)</f>
        <v/>
      </c>
      <c r="C641" s="14" t="str">
        <f t="shared" si="27"/>
        <v/>
      </c>
      <c r="D641" s="10" t="str">
        <f>IF(Registro!$E641="","",IF(ISERROR(FIND("x",LOWER(Registro!$E641))),"-",IFERROR(SUMPRODUCT(--("0"&amp;LEFT(TRIM(MID(SUBSTITUTE(SUBSTITUTE(SUBSTITUTE(SUBSTITUTE(SUBSTITUTE(LOWER(Registro!$E641),"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",LEN(Registro!$E641))),({1,2,3,4,5,6,7,8,9,10,11,12,13,14,15,16,17,18,19,20,21,22,23,24,25,26,27,28,29,30}-1)*LEN(Registro!$E641)+1,LEN(Registro!$E641)))&amp;"x")-1))),"Revisar formato")))</f>
        <v/>
      </c>
      <c r="E641" s="11" t="str">
        <f>IF(Registro!$E641="","",IF(ISERROR(FIND("x",LOWER(Registro!$E641))),"-",IFERROR(SUMPRODUCT(--("0"&amp;LEFT(TRIM(MID(SUBSTITUTE(SUBSTITUTE(SUBSTITUTE(SUBSTITUTE(SUBSTITUTE(LOWER(Registro!$E641),"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",LEN(Registro!$E641))),({1,2,3,4,5,6,7,8,9,10,11,12,13,14,15,16,17,18,19,20,21,22,23,24,25,26,27,28,29,30}-1)*LEN(Registro!$E641)+1,LEN(Registro!$E641)))&amp;"x")-1)),--("0"&amp;MID(TRIM(MID(SUBSTITUTE(SUBSTITUTE(SUBSTITUTE(SUBSTITUTE(SUBSTITUTE(LOWER(Registro!$E641),"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",LEN(Registro!$E641))),({1,2,3,4,5,6,7,8,9,10,11,12,13,14,15,16,17,18,19,20,21,22,23,24,25,26,27,28,29,30}-1)*LEN(Registro!$E641)+1,LEN(Registro!$E641)))&amp;"x")+1,20))),"Revisar formato")))</f>
        <v/>
      </c>
      <c r="F641" s="11" t="str">
        <f>IF(Registro!$F641="","",N(Registro!$F641))</f>
        <v/>
      </c>
      <c r="G641" s="11" t="str">
        <f t="shared" si="28"/>
        <v/>
      </c>
      <c r="H641" s="10" t="str">
        <f>IF(Registro!$G641="","",IF(ISERROR(FIND("x",LOWER(Registro!$G641))),"-",IFERROR(SUMPRODUCT(--("0"&amp;LEFT(TRIM(MID(SUBSTITUTE(SUBSTITUTE(SUBSTITUTE(SUBSTITUTE(SUBSTITUTE(LOWER(Registro!$G641),"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",LEN(Registro!$G641))),({1,2,3,4,5,6,7,8,9,10,11,12,13,14,15,16,17,18,19,20,21,22,23,24,25,26,27,28,29,30}-1)*LEN(Registro!$G641)+1,LEN(Registro!$G641))),FIND("x",TRIM(MID(SUBSTITUTE(SUBSTITUTE(SUBSTITUTE(SUBSTITUTE(SUBSTITUTE(LOWER(Registro!$G641),"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",LEN(Registro!$G641))),({1,2,3,4,5,6,7,8,9,10,11,12,13,14,15,16,17,18,19,20,21,22,23,24,25,26,27,28,29,30}-1)*LEN(Registro!$G641)+1,LEN(Registro!$G641)))&amp;"x")-1))),"Revisar formato")))</f>
        <v/>
      </c>
      <c r="I641" s="11" t="str">
        <f>IF(Registro!$G641="","",IF(ISERROR(FIND("x",LOWER(Registro!$G641))),N(Registro!$H641),IFERROR(SUMPRODUCT(--("0"&amp;LEFT(TRIM(MID(SUBSTITUTE(SUBSTITUTE(SUBSTITUTE(SUBSTITUTE(SUBSTITUTE(LOWER(Registro!$G641),"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",LEN(Registro!$G641))),({1,2,3,4,5,6,7,8,9,10,11,12,13,14,15,16,17,18,19,20,21,22,23,24,25,26,27,28,29,30}-1)*LEN(Registro!$G641)+1,LEN(Registro!$G641))),FIND("x",TRIM(MID(SUBSTITUTE(SUBSTITUTE(SUBSTITUTE(SUBSTITUTE(SUBSTITUTE(LOWER(Registro!$G641),"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",LEN(Registro!$G641))),({1,2,3,4,5,6,7,8,9,10,11,12,13,14,15,16,17,18,19,20,21,22,23,24,25,26,27,28,29,30}-1)*LEN(Registro!$G641)+1,LEN(Registro!$G641)))&amp;"x")-1)),--("0"&amp;MID(TRIM(MID(SUBSTITUTE(SUBSTITUTE(SUBSTITUTE(SUBSTITUTE(SUBSTITUTE(LOWER(Registro!$G641),"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",LEN(Registro!$G641))),({1,2,3,4,5,6,7,8,9,10,11,12,13,14,15,16,17,18,19,20,21,22,23,24,25,26,27,28,29,30}-1)*LEN(Registro!$G641)+1,LEN(Registro!$G641))),FIND("x",TRIM(MID(SUBSTITUTE(SUBSTITUTE(SUBSTITUTE(SUBSTITUTE(SUBSTITUTE(LOWER(Registro!$G641),"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",LEN(Registro!$G641))),({1,2,3,4,5,6,7,8,9,10,11,12,13,14,15,16,17,18,19,20,21,22,23,24,25,26,27,28,29,30}-1)*LEN(Registro!$G641)+1,LEN(Registro!$G641)))&amp;"x")+1,20))),"Revisar formato")))</f>
        <v/>
      </c>
      <c r="J641" s="9" t="str">
        <f>IF(AND(Registro!$E641="",Registro!$G641=""),"",IF(NOT(AND(ISNUMBER(I641),ISNUMBER(Registro!$H641))),"",IF(I641&lt;Registro!$H641,"FALTA BOLETOS",IF(I641=Registro!$H641,"CONFORME","DIFERENCIA"))))</f>
        <v/>
      </c>
      <c r="K641" s="11" t="str">
        <f>IF(Registro!$I641="","",IFERROR(SUMPRODUCT(--("0"&amp;TRIM(RIGHT(SUBSTITUTE(TRIM(MID(SUBSTITUTE(SUBSTITUTE(Registro!$I641,";",CHAR(10)),CHAR(10),REPT(" ",LEN(Registro!$I641))),({1,2,3,4,5,6,7,8,9,10,11,12,13,14,15,16,17,18,19,20,21,22,23,24,25,26,27,28,29,30}-1)*LEN(Registro!$I641)+1,LEN(Registro!$I641)))," ",REPT(" ",50)),50)))),"Revisar formato"))</f>
        <v/>
      </c>
      <c r="L641" s="11" t="str">
        <f>IF(Registro!$J641="","",IFERROR(SUMPRODUCT(--("0"&amp;TRIM(RIGHT(SUBSTITUTE(TRIM(MID(SUBSTITUTE(SUBSTITUTE(Registro!$J641,";",CHAR(10)),CHAR(10),REPT(" ",LEN(Registro!$J641))),({1,2,3,4,5,6,7,8,9,10,11,12,13,14,15,16,17,18,19,20,21,22,23,24,25,26,27,28,29,30}-1)*LEN(Registro!$J641)+1,LEN(Registro!$J641)))," ",REPT(" ",50)),50)))),"Revisar formato"))</f>
        <v/>
      </c>
      <c r="M641" s="11" t="str">
        <f>IF(AND(Registro!$H641="",Registro!$I641=""),"",IF(AND(ISTEXT(K641),K641&lt;&gt;""),"Revisar formato",N(Registro!$H641)-N(K641)))</f>
        <v/>
      </c>
      <c r="N641" s="11" t="str">
        <f t="shared" si="29"/>
        <v/>
      </c>
      <c r="O641" s="15" t="str">
        <f>IF(AND(A641=Consulta!$B$3,C641=Consulta!$H$3),B641*10000+ROW(),"")</f>
        <v/>
      </c>
    </row>
    <row r="642" spans="1:15" x14ac:dyDescent="0.25">
      <c r="A642" s="9" t="str">
        <f>IF(Registro!$A642="","",Registro!$A642)</f>
        <v/>
      </c>
      <c r="B642" s="8" t="str">
        <f>IF(Registro!$B642="","",Registro!$B642)</f>
        <v/>
      </c>
      <c r="C642" s="14" t="str">
        <f t="shared" ref="C642:C705" si="30">IF(ISNUMBER(B642),YEAR(B642)*100+MONTH(B642),"")</f>
        <v/>
      </c>
      <c r="D642" s="10" t="str">
        <f>IF(Registro!$E642="","",IF(ISERROR(FIND("x",LOWER(Registro!$E642))),"-",IFERROR(SUMPRODUCT(--("0"&amp;LEFT(TRIM(MID(SUBSTITUTE(SUBSTITUTE(SUBSTITUTE(SUBSTITUTE(SUBSTITUTE(LOWER(Registro!$E642),"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",LEN(Registro!$E642))),({1,2,3,4,5,6,7,8,9,10,11,12,13,14,15,16,17,18,19,20,21,22,23,24,25,26,27,28,29,30}-1)*LEN(Registro!$E642)+1,LEN(Registro!$E642)))&amp;"x")-1))),"Revisar formato")))</f>
        <v/>
      </c>
      <c r="E642" s="11" t="str">
        <f>IF(Registro!$E642="","",IF(ISERROR(FIND("x",LOWER(Registro!$E642))),"-",IFERROR(SUMPRODUCT(--("0"&amp;LEFT(TRIM(MID(SUBSTITUTE(SUBSTITUTE(SUBSTITUTE(SUBSTITUTE(SUBSTITUTE(LOWER(Registro!$E642),"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",LEN(Registro!$E642))),({1,2,3,4,5,6,7,8,9,10,11,12,13,14,15,16,17,18,19,20,21,22,23,24,25,26,27,28,29,30}-1)*LEN(Registro!$E642)+1,LEN(Registro!$E642)))&amp;"x")-1)),--("0"&amp;MID(TRIM(MID(SUBSTITUTE(SUBSTITUTE(SUBSTITUTE(SUBSTITUTE(SUBSTITUTE(LOWER(Registro!$E642),"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",LEN(Registro!$E642))),({1,2,3,4,5,6,7,8,9,10,11,12,13,14,15,16,17,18,19,20,21,22,23,24,25,26,27,28,29,30}-1)*LEN(Registro!$E642)+1,LEN(Registro!$E642)))&amp;"x")+1,20))),"Revisar formato")))</f>
        <v/>
      </c>
      <c r="F642" s="11" t="str">
        <f>IF(Registro!$F642="","",N(Registro!$F642))</f>
        <v/>
      </c>
      <c r="G642" s="11" t="str">
        <f t="shared" ref="G642:G705" si="31">IF(AND(E642="",F642=""),"",IF(OR(E642="",ISNUMBER(E642)),N(E642)-N(F642),E642))</f>
        <v/>
      </c>
      <c r="H642" s="10" t="str">
        <f>IF(Registro!$G642="","",IF(ISERROR(FIND("x",LOWER(Registro!$G642))),"-",IFERROR(SUMPRODUCT(--("0"&amp;LEFT(TRIM(MID(SUBSTITUTE(SUBSTITUTE(SUBSTITUTE(SUBSTITUTE(SUBSTITUTE(LOWER(Registro!$G642),"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",LEN(Registro!$G642))),({1,2,3,4,5,6,7,8,9,10,11,12,13,14,15,16,17,18,19,20,21,22,23,24,25,26,27,28,29,30}-1)*LEN(Registro!$G642)+1,LEN(Registro!$G642))),FIND("x",TRIM(MID(SUBSTITUTE(SUBSTITUTE(SUBSTITUTE(SUBSTITUTE(SUBSTITUTE(LOWER(Registro!$G642),"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",LEN(Registro!$G642))),({1,2,3,4,5,6,7,8,9,10,11,12,13,14,15,16,17,18,19,20,21,22,23,24,25,26,27,28,29,30}-1)*LEN(Registro!$G642)+1,LEN(Registro!$G642)))&amp;"x")-1))),"Revisar formato")))</f>
        <v/>
      </c>
      <c r="I642" s="11" t="str">
        <f>IF(Registro!$G642="","",IF(ISERROR(FIND("x",LOWER(Registro!$G642))),N(Registro!$H642),IFERROR(SUMPRODUCT(--("0"&amp;LEFT(TRIM(MID(SUBSTITUTE(SUBSTITUTE(SUBSTITUTE(SUBSTITUTE(SUBSTITUTE(LOWER(Registro!$G642),"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",LEN(Registro!$G642))),({1,2,3,4,5,6,7,8,9,10,11,12,13,14,15,16,17,18,19,20,21,22,23,24,25,26,27,28,29,30}-1)*LEN(Registro!$G642)+1,LEN(Registro!$G642))),FIND("x",TRIM(MID(SUBSTITUTE(SUBSTITUTE(SUBSTITUTE(SUBSTITUTE(SUBSTITUTE(LOWER(Registro!$G642),"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",LEN(Registro!$G642))),({1,2,3,4,5,6,7,8,9,10,11,12,13,14,15,16,17,18,19,20,21,22,23,24,25,26,27,28,29,30}-1)*LEN(Registro!$G642)+1,LEN(Registro!$G642)))&amp;"x")-1)),--("0"&amp;MID(TRIM(MID(SUBSTITUTE(SUBSTITUTE(SUBSTITUTE(SUBSTITUTE(SUBSTITUTE(LOWER(Registro!$G642),"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",LEN(Registro!$G642))),({1,2,3,4,5,6,7,8,9,10,11,12,13,14,15,16,17,18,19,20,21,22,23,24,25,26,27,28,29,30}-1)*LEN(Registro!$G642)+1,LEN(Registro!$G642))),FIND("x",TRIM(MID(SUBSTITUTE(SUBSTITUTE(SUBSTITUTE(SUBSTITUTE(SUBSTITUTE(LOWER(Registro!$G642),"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",LEN(Registro!$G642))),({1,2,3,4,5,6,7,8,9,10,11,12,13,14,15,16,17,18,19,20,21,22,23,24,25,26,27,28,29,30}-1)*LEN(Registro!$G642)+1,LEN(Registro!$G642)))&amp;"x")+1,20))),"Revisar formato")))</f>
        <v/>
      </c>
      <c r="J642" s="9" t="str">
        <f>IF(AND(Registro!$E642="",Registro!$G642=""),"",IF(NOT(AND(ISNUMBER(I642),ISNUMBER(Registro!$H642))),"",IF(I642&lt;Registro!$H642,"FALTA BOLETOS",IF(I642=Registro!$H642,"CONFORME","DIFERENCIA"))))</f>
        <v/>
      </c>
      <c r="K642" s="11" t="str">
        <f>IF(Registro!$I642="","",IFERROR(SUMPRODUCT(--("0"&amp;TRIM(RIGHT(SUBSTITUTE(TRIM(MID(SUBSTITUTE(SUBSTITUTE(Registro!$I642,";",CHAR(10)),CHAR(10),REPT(" ",LEN(Registro!$I642))),({1,2,3,4,5,6,7,8,9,10,11,12,13,14,15,16,17,18,19,20,21,22,23,24,25,26,27,28,29,30}-1)*LEN(Registro!$I642)+1,LEN(Registro!$I642)))," ",REPT(" ",50)),50)))),"Revisar formato"))</f>
        <v/>
      </c>
      <c r="L642" s="11" t="str">
        <f>IF(Registro!$J642="","",IFERROR(SUMPRODUCT(--("0"&amp;TRIM(RIGHT(SUBSTITUTE(TRIM(MID(SUBSTITUTE(SUBSTITUTE(Registro!$J642,";",CHAR(10)),CHAR(10),REPT(" ",LEN(Registro!$J642))),({1,2,3,4,5,6,7,8,9,10,11,12,13,14,15,16,17,18,19,20,21,22,23,24,25,26,27,28,29,30}-1)*LEN(Registro!$J642)+1,LEN(Registro!$J642)))," ",REPT(" ",50)),50)))),"Revisar formato"))</f>
        <v/>
      </c>
      <c r="M642" s="11" t="str">
        <f>IF(AND(Registro!$H642="",Registro!$I642=""),"",IF(AND(ISTEXT(K642),K642&lt;&gt;""),"Revisar formato",N(Registro!$H642)-N(K642)))</f>
        <v/>
      </c>
      <c r="N642" s="11" t="str">
        <f t="shared" ref="N642:N705" si="32">IF(M642="","",IF(OR(M642="Revisar formato",AND(ISTEXT(L642),L642&lt;&gt;"")),"Revisar formato",M642-N(L642)))</f>
        <v/>
      </c>
      <c r="O642" s="15" t="str">
        <f>IF(AND(A642=Consulta!$B$3,C642=Consulta!$H$3),B642*10000+ROW(),"")</f>
        <v/>
      </c>
    </row>
    <row r="643" spans="1:15" x14ac:dyDescent="0.25">
      <c r="A643" s="9" t="str">
        <f>IF(Registro!$A643="","",Registro!$A643)</f>
        <v/>
      </c>
      <c r="B643" s="8" t="str">
        <f>IF(Registro!$B643="","",Registro!$B643)</f>
        <v/>
      </c>
      <c r="C643" s="14" t="str">
        <f t="shared" si="30"/>
        <v/>
      </c>
      <c r="D643" s="10" t="str">
        <f>IF(Registro!$E643="","",IF(ISERROR(FIND("x",LOWER(Registro!$E643))),"-",IFERROR(SUMPRODUCT(--("0"&amp;LEFT(TRIM(MID(SUBSTITUTE(SUBSTITUTE(SUBSTITUTE(SUBSTITUTE(SUBSTITUTE(LOWER(Registro!$E643),"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",LEN(Registro!$E643))),({1,2,3,4,5,6,7,8,9,10,11,12,13,14,15,16,17,18,19,20,21,22,23,24,25,26,27,28,29,30}-1)*LEN(Registro!$E643)+1,LEN(Registro!$E643)))&amp;"x")-1))),"Revisar formato")))</f>
        <v/>
      </c>
      <c r="E643" s="11" t="str">
        <f>IF(Registro!$E643="","",IF(ISERROR(FIND("x",LOWER(Registro!$E643))),"-",IFERROR(SUMPRODUCT(--("0"&amp;LEFT(TRIM(MID(SUBSTITUTE(SUBSTITUTE(SUBSTITUTE(SUBSTITUTE(SUBSTITUTE(LOWER(Registro!$E643),"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",LEN(Registro!$E643))),({1,2,3,4,5,6,7,8,9,10,11,12,13,14,15,16,17,18,19,20,21,22,23,24,25,26,27,28,29,30}-1)*LEN(Registro!$E643)+1,LEN(Registro!$E643)))&amp;"x")-1)),--("0"&amp;MID(TRIM(MID(SUBSTITUTE(SUBSTITUTE(SUBSTITUTE(SUBSTITUTE(SUBSTITUTE(LOWER(Registro!$E643),"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",LEN(Registro!$E643))),({1,2,3,4,5,6,7,8,9,10,11,12,13,14,15,16,17,18,19,20,21,22,23,24,25,26,27,28,29,30}-1)*LEN(Registro!$E643)+1,LEN(Registro!$E643)))&amp;"x")+1,20))),"Revisar formato")))</f>
        <v/>
      </c>
      <c r="F643" s="11" t="str">
        <f>IF(Registro!$F643="","",N(Registro!$F643))</f>
        <v/>
      </c>
      <c r="G643" s="11" t="str">
        <f t="shared" si="31"/>
        <v/>
      </c>
      <c r="H643" s="10" t="str">
        <f>IF(Registro!$G643="","",IF(ISERROR(FIND("x",LOWER(Registro!$G643))),"-",IFERROR(SUMPRODUCT(--("0"&amp;LEFT(TRIM(MID(SUBSTITUTE(SUBSTITUTE(SUBSTITUTE(SUBSTITUTE(SUBSTITUTE(LOWER(Registro!$G643),"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",LEN(Registro!$G643))),({1,2,3,4,5,6,7,8,9,10,11,12,13,14,15,16,17,18,19,20,21,22,23,24,25,26,27,28,29,30}-1)*LEN(Registro!$G643)+1,LEN(Registro!$G643))),FIND("x",TRIM(MID(SUBSTITUTE(SUBSTITUTE(SUBSTITUTE(SUBSTITUTE(SUBSTITUTE(LOWER(Registro!$G643),"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",LEN(Registro!$G643))),({1,2,3,4,5,6,7,8,9,10,11,12,13,14,15,16,17,18,19,20,21,22,23,24,25,26,27,28,29,30}-1)*LEN(Registro!$G643)+1,LEN(Registro!$G643)))&amp;"x")-1))),"Revisar formato")))</f>
        <v/>
      </c>
      <c r="I643" s="11" t="str">
        <f>IF(Registro!$G643="","",IF(ISERROR(FIND("x",LOWER(Registro!$G643))),N(Registro!$H643),IFERROR(SUMPRODUCT(--("0"&amp;LEFT(TRIM(MID(SUBSTITUTE(SUBSTITUTE(SUBSTITUTE(SUBSTITUTE(SUBSTITUTE(LOWER(Registro!$G643),"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",LEN(Registro!$G643))),({1,2,3,4,5,6,7,8,9,10,11,12,13,14,15,16,17,18,19,20,21,22,23,24,25,26,27,28,29,30}-1)*LEN(Registro!$G643)+1,LEN(Registro!$G643))),FIND("x",TRIM(MID(SUBSTITUTE(SUBSTITUTE(SUBSTITUTE(SUBSTITUTE(SUBSTITUTE(LOWER(Registro!$G643),"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",LEN(Registro!$G643))),({1,2,3,4,5,6,7,8,9,10,11,12,13,14,15,16,17,18,19,20,21,22,23,24,25,26,27,28,29,30}-1)*LEN(Registro!$G643)+1,LEN(Registro!$G643)))&amp;"x")-1)),--("0"&amp;MID(TRIM(MID(SUBSTITUTE(SUBSTITUTE(SUBSTITUTE(SUBSTITUTE(SUBSTITUTE(LOWER(Registro!$G643),"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",LEN(Registro!$G643))),({1,2,3,4,5,6,7,8,9,10,11,12,13,14,15,16,17,18,19,20,21,22,23,24,25,26,27,28,29,30}-1)*LEN(Registro!$G643)+1,LEN(Registro!$G643))),FIND("x",TRIM(MID(SUBSTITUTE(SUBSTITUTE(SUBSTITUTE(SUBSTITUTE(SUBSTITUTE(LOWER(Registro!$G643),"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",LEN(Registro!$G643))),({1,2,3,4,5,6,7,8,9,10,11,12,13,14,15,16,17,18,19,20,21,22,23,24,25,26,27,28,29,30}-1)*LEN(Registro!$G643)+1,LEN(Registro!$G643)))&amp;"x")+1,20))),"Revisar formato")))</f>
        <v/>
      </c>
      <c r="J643" s="9" t="str">
        <f>IF(AND(Registro!$E643="",Registro!$G643=""),"",IF(NOT(AND(ISNUMBER(I643),ISNUMBER(Registro!$H643))),"",IF(I643&lt;Registro!$H643,"FALTA BOLETOS",IF(I643=Registro!$H643,"CONFORME","DIFERENCIA"))))</f>
        <v/>
      </c>
      <c r="K643" s="11" t="str">
        <f>IF(Registro!$I643="","",IFERROR(SUMPRODUCT(--("0"&amp;TRIM(RIGHT(SUBSTITUTE(TRIM(MID(SUBSTITUTE(SUBSTITUTE(Registro!$I643,";",CHAR(10)),CHAR(10),REPT(" ",LEN(Registro!$I643))),({1,2,3,4,5,6,7,8,9,10,11,12,13,14,15,16,17,18,19,20,21,22,23,24,25,26,27,28,29,30}-1)*LEN(Registro!$I643)+1,LEN(Registro!$I643)))," ",REPT(" ",50)),50)))),"Revisar formato"))</f>
        <v/>
      </c>
      <c r="L643" s="11" t="str">
        <f>IF(Registro!$J643="","",IFERROR(SUMPRODUCT(--("0"&amp;TRIM(RIGHT(SUBSTITUTE(TRIM(MID(SUBSTITUTE(SUBSTITUTE(Registro!$J643,";",CHAR(10)),CHAR(10),REPT(" ",LEN(Registro!$J643))),({1,2,3,4,5,6,7,8,9,10,11,12,13,14,15,16,17,18,19,20,21,22,23,24,25,26,27,28,29,30}-1)*LEN(Registro!$J643)+1,LEN(Registro!$J643)))," ",REPT(" ",50)),50)))),"Revisar formato"))</f>
        <v/>
      </c>
      <c r="M643" s="11" t="str">
        <f>IF(AND(Registro!$H643="",Registro!$I643=""),"",IF(AND(ISTEXT(K643),K643&lt;&gt;""),"Revisar formato",N(Registro!$H643)-N(K643)))</f>
        <v/>
      </c>
      <c r="N643" s="11" t="str">
        <f t="shared" si="32"/>
        <v/>
      </c>
      <c r="O643" s="15" t="str">
        <f>IF(AND(A643=Consulta!$B$3,C643=Consulta!$H$3),B643*10000+ROW(),"")</f>
        <v/>
      </c>
    </row>
    <row r="644" spans="1:15" x14ac:dyDescent="0.25">
      <c r="A644" s="9" t="str">
        <f>IF(Registro!$A644="","",Registro!$A644)</f>
        <v/>
      </c>
      <c r="B644" s="8" t="str">
        <f>IF(Registro!$B644="","",Registro!$B644)</f>
        <v/>
      </c>
      <c r="C644" s="14" t="str">
        <f t="shared" si="30"/>
        <v/>
      </c>
      <c r="D644" s="10" t="str">
        <f>IF(Registro!$E644="","",IF(ISERROR(FIND("x",LOWER(Registro!$E644))),"-",IFERROR(SUMPRODUCT(--("0"&amp;LEFT(TRIM(MID(SUBSTITUTE(SUBSTITUTE(SUBSTITUTE(SUBSTITUTE(SUBSTITUTE(LOWER(Registro!$E644),"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",LEN(Registro!$E644))),({1,2,3,4,5,6,7,8,9,10,11,12,13,14,15,16,17,18,19,20,21,22,23,24,25,26,27,28,29,30}-1)*LEN(Registro!$E644)+1,LEN(Registro!$E644)))&amp;"x")-1))),"Revisar formato")))</f>
        <v/>
      </c>
      <c r="E644" s="11" t="str">
        <f>IF(Registro!$E644="","",IF(ISERROR(FIND("x",LOWER(Registro!$E644))),"-",IFERROR(SUMPRODUCT(--("0"&amp;LEFT(TRIM(MID(SUBSTITUTE(SUBSTITUTE(SUBSTITUTE(SUBSTITUTE(SUBSTITUTE(LOWER(Registro!$E644),"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",LEN(Registro!$E644))),({1,2,3,4,5,6,7,8,9,10,11,12,13,14,15,16,17,18,19,20,21,22,23,24,25,26,27,28,29,30}-1)*LEN(Registro!$E644)+1,LEN(Registro!$E644)))&amp;"x")-1)),--("0"&amp;MID(TRIM(MID(SUBSTITUTE(SUBSTITUTE(SUBSTITUTE(SUBSTITUTE(SUBSTITUTE(LOWER(Registro!$E644),"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",LEN(Registro!$E644))),({1,2,3,4,5,6,7,8,9,10,11,12,13,14,15,16,17,18,19,20,21,22,23,24,25,26,27,28,29,30}-1)*LEN(Registro!$E644)+1,LEN(Registro!$E644)))&amp;"x")+1,20))),"Revisar formato")))</f>
        <v/>
      </c>
      <c r="F644" s="11" t="str">
        <f>IF(Registro!$F644="","",N(Registro!$F644))</f>
        <v/>
      </c>
      <c r="G644" s="11" t="str">
        <f t="shared" si="31"/>
        <v/>
      </c>
      <c r="H644" s="10" t="str">
        <f>IF(Registro!$G644="","",IF(ISERROR(FIND("x",LOWER(Registro!$G644))),"-",IFERROR(SUMPRODUCT(--("0"&amp;LEFT(TRIM(MID(SUBSTITUTE(SUBSTITUTE(SUBSTITUTE(SUBSTITUTE(SUBSTITUTE(LOWER(Registro!$G644),"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",LEN(Registro!$G644))),({1,2,3,4,5,6,7,8,9,10,11,12,13,14,15,16,17,18,19,20,21,22,23,24,25,26,27,28,29,30}-1)*LEN(Registro!$G644)+1,LEN(Registro!$G644))),FIND("x",TRIM(MID(SUBSTITUTE(SUBSTITUTE(SUBSTITUTE(SUBSTITUTE(SUBSTITUTE(LOWER(Registro!$G644),"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",LEN(Registro!$G644))),({1,2,3,4,5,6,7,8,9,10,11,12,13,14,15,16,17,18,19,20,21,22,23,24,25,26,27,28,29,30}-1)*LEN(Registro!$G644)+1,LEN(Registro!$G644)))&amp;"x")-1))),"Revisar formato")))</f>
        <v/>
      </c>
      <c r="I644" s="11" t="str">
        <f>IF(Registro!$G644="","",IF(ISERROR(FIND("x",LOWER(Registro!$G644))),N(Registro!$H644),IFERROR(SUMPRODUCT(--("0"&amp;LEFT(TRIM(MID(SUBSTITUTE(SUBSTITUTE(SUBSTITUTE(SUBSTITUTE(SUBSTITUTE(LOWER(Registro!$G644),"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",LEN(Registro!$G644))),({1,2,3,4,5,6,7,8,9,10,11,12,13,14,15,16,17,18,19,20,21,22,23,24,25,26,27,28,29,30}-1)*LEN(Registro!$G644)+1,LEN(Registro!$G644))),FIND("x",TRIM(MID(SUBSTITUTE(SUBSTITUTE(SUBSTITUTE(SUBSTITUTE(SUBSTITUTE(LOWER(Registro!$G644),"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",LEN(Registro!$G644))),({1,2,3,4,5,6,7,8,9,10,11,12,13,14,15,16,17,18,19,20,21,22,23,24,25,26,27,28,29,30}-1)*LEN(Registro!$G644)+1,LEN(Registro!$G644)))&amp;"x")-1)),--("0"&amp;MID(TRIM(MID(SUBSTITUTE(SUBSTITUTE(SUBSTITUTE(SUBSTITUTE(SUBSTITUTE(LOWER(Registro!$G644),"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",LEN(Registro!$G644))),({1,2,3,4,5,6,7,8,9,10,11,12,13,14,15,16,17,18,19,20,21,22,23,24,25,26,27,28,29,30}-1)*LEN(Registro!$G644)+1,LEN(Registro!$G644))),FIND("x",TRIM(MID(SUBSTITUTE(SUBSTITUTE(SUBSTITUTE(SUBSTITUTE(SUBSTITUTE(LOWER(Registro!$G644),"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",LEN(Registro!$G644))),({1,2,3,4,5,6,7,8,9,10,11,12,13,14,15,16,17,18,19,20,21,22,23,24,25,26,27,28,29,30}-1)*LEN(Registro!$G644)+1,LEN(Registro!$G644)))&amp;"x")+1,20))),"Revisar formato")))</f>
        <v/>
      </c>
      <c r="J644" s="9" t="str">
        <f>IF(AND(Registro!$E644="",Registro!$G644=""),"",IF(NOT(AND(ISNUMBER(I644),ISNUMBER(Registro!$H644))),"",IF(I644&lt;Registro!$H644,"FALTA BOLETOS",IF(I644=Registro!$H644,"CONFORME","DIFERENCIA"))))</f>
        <v/>
      </c>
      <c r="K644" s="11" t="str">
        <f>IF(Registro!$I644="","",IFERROR(SUMPRODUCT(--("0"&amp;TRIM(RIGHT(SUBSTITUTE(TRIM(MID(SUBSTITUTE(SUBSTITUTE(Registro!$I644,";",CHAR(10)),CHAR(10),REPT(" ",LEN(Registro!$I644))),({1,2,3,4,5,6,7,8,9,10,11,12,13,14,15,16,17,18,19,20,21,22,23,24,25,26,27,28,29,30}-1)*LEN(Registro!$I644)+1,LEN(Registro!$I644)))," ",REPT(" ",50)),50)))),"Revisar formato"))</f>
        <v/>
      </c>
      <c r="L644" s="11" t="str">
        <f>IF(Registro!$J644="","",IFERROR(SUMPRODUCT(--("0"&amp;TRIM(RIGHT(SUBSTITUTE(TRIM(MID(SUBSTITUTE(SUBSTITUTE(Registro!$J644,";",CHAR(10)),CHAR(10),REPT(" ",LEN(Registro!$J644))),({1,2,3,4,5,6,7,8,9,10,11,12,13,14,15,16,17,18,19,20,21,22,23,24,25,26,27,28,29,30}-1)*LEN(Registro!$J644)+1,LEN(Registro!$J644)))," ",REPT(" ",50)),50)))),"Revisar formato"))</f>
        <v/>
      </c>
      <c r="M644" s="11" t="str">
        <f>IF(AND(Registro!$H644="",Registro!$I644=""),"",IF(AND(ISTEXT(K644),K644&lt;&gt;""),"Revisar formato",N(Registro!$H644)-N(K644)))</f>
        <v/>
      </c>
      <c r="N644" s="11" t="str">
        <f t="shared" si="32"/>
        <v/>
      </c>
      <c r="O644" s="15" t="str">
        <f>IF(AND(A644=Consulta!$B$3,C644=Consulta!$H$3),B644*10000+ROW(),"")</f>
        <v/>
      </c>
    </row>
    <row r="645" spans="1:15" x14ac:dyDescent="0.25">
      <c r="A645" s="9" t="str">
        <f>IF(Registro!$A645="","",Registro!$A645)</f>
        <v/>
      </c>
      <c r="B645" s="8" t="str">
        <f>IF(Registro!$B645="","",Registro!$B645)</f>
        <v/>
      </c>
      <c r="C645" s="14" t="str">
        <f t="shared" si="30"/>
        <v/>
      </c>
      <c r="D645" s="10" t="str">
        <f>IF(Registro!$E645="","",IF(ISERROR(FIND("x",LOWER(Registro!$E645))),"-",IFERROR(SUMPRODUCT(--("0"&amp;LEFT(TRIM(MID(SUBSTITUTE(SUBSTITUTE(SUBSTITUTE(SUBSTITUTE(SUBSTITUTE(LOWER(Registro!$E645),"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",LEN(Registro!$E645))),({1,2,3,4,5,6,7,8,9,10,11,12,13,14,15,16,17,18,19,20,21,22,23,24,25,26,27,28,29,30}-1)*LEN(Registro!$E645)+1,LEN(Registro!$E645)))&amp;"x")-1))),"Revisar formato")))</f>
        <v/>
      </c>
      <c r="E645" s="11" t="str">
        <f>IF(Registro!$E645="","",IF(ISERROR(FIND("x",LOWER(Registro!$E645))),"-",IFERROR(SUMPRODUCT(--("0"&amp;LEFT(TRIM(MID(SUBSTITUTE(SUBSTITUTE(SUBSTITUTE(SUBSTITUTE(SUBSTITUTE(LOWER(Registro!$E645),"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",LEN(Registro!$E645))),({1,2,3,4,5,6,7,8,9,10,11,12,13,14,15,16,17,18,19,20,21,22,23,24,25,26,27,28,29,30}-1)*LEN(Registro!$E645)+1,LEN(Registro!$E645)))&amp;"x")-1)),--("0"&amp;MID(TRIM(MID(SUBSTITUTE(SUBSTITUTE(SUBSTITUTE(SUBSTITUTE(SUBSTITUTE(LOWER(Registro!$E645),"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",LEN(Registro!$E645))),({1,2,3,4,5,6,7,8,9,10,11,12,13,14,15,16,17,18,19,20,21,22,23,24,25,26,27,28,29,30}-1)*LEN(Registro!$E645)+1,LEN(Registro!$E645)))&amp;"x")+1,20))),"Revisar formato")))</f>
        <v/>
      </c>
      <c r="F645" s="11" t="str">
        <f>IF(Registro!$F645="","",N(Registro!$F645))</f>
        <v/>
      </c>
      <c r="G645" s="11" t="str">
        <f t="shared" si="31"/>
        <v/>
      </c>
      <c r="H645" s="10" t="str">
        <f>IF(Registro!$G645="","",IF(ISERROR(FIND("x",LOWER(Registro!$G645))),"-",IFERROR(SUMPRODUCT(--("0"&amp;LEFT(TRIM(MID(SUBSTITUTE(SUBSTITUTE(SUBSTITUTE(SUBSTITUTE(SUBSTITUTE(LOWER(Registro!$G645),"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",LEN(Registro!$G645))),({1,2,3,4,5,6,7,8,9,10,11,12,13,14,15,16,17,18,19,20,21,22,23,24,25,26,27,28,29,30}-1)*LEN(Registro!$G645)+1,LEN(Registro!$G645))),FIND("x",TRIM(MID(SUBSTITUTE(SUBSTITUTE(SUBSTITUTE(SUBSTITUTE(SUBSTITUTE(LOWER(Registro!$G645),"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",LEN(Registro!$G645))),({1,2,3,4,5,6,7,8,9,10,11,12,13,14,15,16,17,18,19,20,21,22,23,24,25,26,27,28,29,30}-1)*LEN(Registro!$G645)+1,LEN(Registro!$G645)))&amp;"x")-1))),"Revisar formato")))</f>
        <v/>
      </c>
      <c r="I645" s="11" t="str">
        <f>IF(Registro!$G645="","",IF(ISERROR(FIND("x",LOWER(Registro!$G645))),N(Registro!$H645),IFERROR(SUMPRODUCT(--("0"&amp;LEFT(TRIM(MID(SUBSTITUTE(SUBSTITUTE(SUBSTITUTE(SUBSTITUTE(SUBSTITUTE(LOWER(Registro!$G645),"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",LEN(Registro!$G645))),({1,2,3,4,5,6,7,8,9,10,11,12,13,14,15,16,17,18,19,20,21,22,23,24,25,26,27,28,29,30}-1)*LEN(Registro!$G645)+1,LEN(Registro!$G645))),FIND("x",TRIM(MID(SUBSTITUTE(SUBSTITUTE(SUBSTITUTE(SUBSTITUTE(SUBSTITUTE(LOWER(Registro!$G645),"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",LEN(Registro!$G645))),({1,2,3,4,5,6,7,8,9,10,11,12,13,14,15,16,17,18,19,20,21,22,23,24,25,26,27,28,29,30}-1)*LEN(Registro!$G645)+1,LEN(Registro!$G645)))&amp;"x")-1)),--("0"&amp;MID(TRIM(MID(SUBSTITUTE(SUBSTITUTE(SUBSTITUTE(SUBSTITUTE(SUBSTITUTE(LOWER(Registro!$G645),"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",LEN(Registro!$G645))),({1,2,3,4,5,6,7,8,9,10,11,12,13,14,15,16,17,18,19,20,21,22,23,24,25,26,27,28,29,30}-1)*LEN(Registro!$G645)+1,LEN(Registro!$G645))),FIND("x",TRIM(MID(SUBSTITUTE(SUBSTITUTE(SUBSTITUTE(SUBSTITUTE(SUBSTITUTE(LOWER(Registro!$G645),"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",LEN(Registro!$G645))),({1,2,3,4,5,6,7,8,9,10,11,12,13,14,15,16,17,18,19,20,21,22,23,24,25,26,27,28,29,30}-1)*LEN(Registro!$G645)+1,LEN(Registro!$G645)))&amp;"x")+1,20))),"Revisar formato")))</f>
        <v/>
      </c>
      <c r="J645" s="9" t="str">
        <f>IF(AND(Registro!$E645="",Registro!$G645=""),"",IF(NOT(AND(ISNUMBER(I645),ISNUMBER(Registro!$H645))),"",IF(I645&lt;Registro!$H645,"FALTA BOLETOS",IF(I645=Registro!$H645,"CONFORME","DIFERENCIA"))))</f>
        <v/>
      </c>
      <c r="K645" s="11" t="str">
        <f>IF(Registro!$I645="","",IFERROR(SUMPRODUCT(--("0"&amp;TRIM(RIGHT(SUBSTITUTE(TRIM(MID(SUBSTITUTE(SUBSTITUTE(Registro!$I645,";",CHAR(10)),CHAR(10),REPT(" ",LEN(Registro!$I645))),({1,2,3,4,5,6,7,8,9,10,11,12,13,14,15,16,17,18,19,20,21,22,23,24,25,26,27,28,29,30}-1)*LEN(Registro!$I645)+1,LEN(Registro!$I645)))," ",REPT(" ",50)),50)))),"Revisar formato"))</f>
        <v/>
      </c>
      <c r="L645" s="11" t="str">
        <f>IF(Registro!$J645="","",IFERROR(SUMPRODUCT(--("0"&amp;TRIM(RIGHT(SUBSTITUTE(TRIM(MID(SUBSTITUTE(SUBSTITUTE(Registro!$J645,";",CHAR(10)),CHAR(10),REPT(" ",LEN(Registro!$J645))),({1,2,3,4,5,6,7,8,9,10,11,12,13,14,15,16,17,18,19,20,21,22,23,24,25,26,27,28,29,30}-1)*LEN(Registro!$J645)+1,LEN(Registro!$J645)))," ",REPT(" ",50)),50)))),"Revisar formato"))</f>
        <v/>
      </c>
      <c r="M645" s="11" t="str">
        <f>IF(AND(Registro!$H645="",Registro!$I645=""),"",IF(AND(ISTEXT(K645),K645&lt;&gt;""),"Revisar formato",N(Registro!$H645)-N(K645)))</f>
        <v/>
      </c>
      <c r="N645" s="11" t="str">
        <f t="shared" si="32"/>
        <v/>
      </c>
      <c r="O645" s="15" t="str">
        <f>IF(AND(A645=Consulta!$B$3,C645=Consulta!$H$3),B645*10000+ROW(),"")</f>
        <v/>
      </c>
    </row>
    <row r="646" spans="1:15" x14ac:dyDescent="0.25">
      <c r="A646" s="9" t="str">
        <f>IF(Registro!$A646="","",Registro!$A646)</f>
        <v/>
      </c>
      <c r="B646" s="8" t="str">
        <f>IF(Registro!$B646="","",Registro!$B646)</f>
        <v/>
      </c>
      <c r="C646" s="14" t="str">
        <f t="shared" si="30"/>
        <v/>
      </c>
      <c r="D646" s="10" t="str">
        <f>IF(Registro!$E646="","",IF(ISERROR(FIND("x",LOWER(Registro!$E646))),"-",IFERROR(SUMPRODUCT(--("0"&amp;LEFT(TRIM(MID(SUBSTITUTE(SUBSTITUTE(SUBSTITUTE(SUBSTITUTE(SUBSTITUTE(LOWER(Registro!$E646),"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",LEN(Registro!$E646))),({1,2,3,4,5,6,7,8,9,10,11,12,13,14,15,16,17,18,19,20,21,22,23,24,25,26,27,28,29,30}-1)*LEN(Registro!$E646)+1,LEN(Registro!$E646)))&amp;"x")-1))),"Revisar formato")))</f>
        <v/>
      </c>
      <c r="E646" s="11" t="str">
        <f>IF(Registro!$E646="","",IF(ISERROR(FIND("x",LOWER(Registro!$E646))),"-",IFERROR(SUMPRODUCT(--("0"&amp;LEFT(TRIM(MID(SUBSTITUTE(SUBSTITUTE(SUBSTITUTE(SUBSTITUTE(SUBSTITUTE(LOWER(Registro!$E646),"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",LEN(Registro!$E646))),({1,2,3,4,5,6,7,8,9,10,11,12,13,14,15,16,17,18,19,20,21,22,23,24,25,26,27,28,29,30}-1)*LEN(Registro!$E646)+1,LEN(Registro!$E646)))&amp;"x")-1)),--("0"&amp;MID(TRIM(MID(SUBSTITUTE(SUBSTITUTE(SUBSTITUTE(SUBSTITUTE(SUBSTITUTE(LOWER(Registro!$E646),"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",LEN(Registro!$E646))),({1,2,3,4,5,6,7,8,9,10,11,12,13,14,15,16,17,18,19,20,21,22,23,24,25,26,27,28,29,30}-1)*LEN(Registro!$E646)+1,LEN(Registro!$E646)))&amp;"x")+1,20))),"Revisar formato")))</f>
        <v/>
      </c>
      <c r="F646" s="11" t="str">
        <f>IF(Registro!$F646="","",N(Registro!$F646))</f>
        <v/>
      </c>
      <c r="G646" s="11" t="str">
        <f t="shared" si="31"/>
        <v/>
      </c>
      <c r="H646" s="10" t="str">
        <f>IF(Registro!$G646="","",IF(ISERROR(FIND("x",LOWER(Registro!$G646))),"-",IFERROR(SUMPRODUCT(--("0"&amp;LEFT(TRIM(MID(SUBSTITUTE(SUBSTITUTE(SUBSTITUTE(SUBSTITUTE(SUBSTITUTE(LOWER(Registro!$G646),"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",LEN(Registro!$G646))),({1,2,3,4,5,6,7,8,9,10,11,12,13,14,15,16,17,18,19,20,21,22,23,24,25,26,27,28,29,30}-1)*LEN(Registro!$G646)+1,LEN(Registro!$G646))),FIND("x",TRIM(MID(SUBSTITUTE(SUBSTITUTE(SUBSTITUTE(SUBSTITUTE(SUBSTITUTE(LOWER(Registro!$G646),"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",LEN(Registro!$G646))),({1,2,3,4,5,6,7,8,9,10,11,12,13,14,15,16,17,18,19,20,21,22,23,24,25,26,27,28,29,30}-1)*LEN(Registro!$G646)+1,LEN(Registro!$G646)))&amp;"x")-1))),"Revisar formato")))</f>
        <v/>
      </c>
      <c r="I646" s="11" t="str">
        <f>IF(Registro!$G646="","",IF(ISERROR(FIND("x",LOWER(Registro!$G646))),N(Registro!$H646),IFERROR(SUMPRODUCT(--("0"&amp;LEFT(TRIM(MID(SUBSTITUTE(SUBSTITUTE(SUBSTITUTE(SUBSTITUTE(SUBSTITUTE(LOWER(Registro!$G646),"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",LEN(Registro!$G646))),({1,2,3,4,5,6,7,8,9,10,11,12,13,14,15,16,17,18,19,20,21,22,23,24,25,26,27,28,29,30}-1)*LEN(Registro!$G646)+1,LEN(Registro!$G646))),FIND("x",TRIM(MID(SUBSTITUTE(SUBSTITUTE(SUBSTITUTE(SUBSTITUTE(SUBSTITUTE(LOWER(Registro!$G646),"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",LEN(Registro!$G646))),({1,2,3,4,5,6,7,8,9,10,11,12,13,14,15,16,17,18,19,20,21,22,23,24,25,26,27,28,29,30}-1)*LEN(Registro!$G646)+1,LEN(Registro!$G646)))&amp;"x")-1)),--("0"&amp;MID(TRIM(MID(SUBSTITUTE(SUBSTITUTE(SUBSTITUTE(SUBSTITUTE(SUBSTITUTE(LOWER(Registro!$G646),"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",LEN(Registro!$G646))),({1,2,3,4,5,6,7,8,9,10,11,12,13,14,15,16,17,18,19,20,21,22,23,24,25,26,27,28,29,30}-1)*LEN(Registro!$G646)+1,LEN(Registro!$G646))),FIND("x",TRIM(MID(SUBSTITUTE(SUBSTITUTE(SUBSTITUTE(SUBSTITUTE(SUBSTITUTE(LOWER(Registro!$G646),"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",LEN(Registro!$G646))),({1,2,3,4,5,6,7,8,9,10,11,12,13,14,15,16,17,18,19,20,21,22,23,24,25,26,27,28,29,30}-1)*LEN(Registro!$G646)+1,LEN(Registro!$G646)))&amp;"x")+1,20))),"Revisar formato")))</f>
        <v/>
      </c>
      <c r="J646" s="9" t="str">
        <f>IF(AND(Registro!$E646="",Registro!$G646=""),"",IF(NOT(AND(ISNUMBER(I646),ISNUMBER(Registro!$H646))),"",IF(I646&lt;Registro!$H646,"FALTA BOLETOS",IF(I646=Registro!$H646,"CONFORME","DIFERENCIA"))))</f>
        <v/>
      </c>
      <c r="K646" s="11" t="str">
        <f>IF(Registro!$I646="","",IFERROR(SUMPRODUCT(--("0"&amp;TRIM(RIGHT(SUBSTITUTE(TRIM(MID(SUBSTITUTE(SUBSTITUTE(Registro!$I646,";",CHAR(10)),CHAR(10),REPT(" ",LEN(Registro!$I646))),({1,2,3,4,5,6,7,8,9,10,11,12,13,14,15,16,17,18,19,20,21,22,23,24,25,26,27,28,29,30}-1)*LEN(Registro!$I646)+1,LEN(Registro!$I646)))," ",REPT(" ",50)),50)))),"Revisar formato"))</f>
        <v/>
      </c>
      <c r="L646" s="11" t="str">
        <f>IF(Registro!$J646="","",IFERROR(SUMPRODUCT(--("0"&amp;TRIM(RIGHT(SUBSTITUTE(TRIM(MID(SUBSTITUTE(SUBSTITUTE(Registro!$J646,";",CHAR(10)),CHAR(10),REPT(" ",LEN(Registro!$J646))),({1,2,3,4,5,6,7,8,9,10,11,12,13,14,15,16,17,18,19,20,21,22,23,24,25,26,27,28,29,30}-1)*LEN(Registro!$J646)+1,LEN(Registro!$J646)))," ",REPT(" ",50)),50)))),"Revisar formato"))</f>
        <v/>
      </c>
      <c r="M646" s="11" t="str">
        <f>IF(AND(Registro!$H646="",Registro!$I646=""),"",IF(AND(ISTEXT(K646),K646&lt;&gt;""),"Revisar formato",N(Registro!$H646)-N(K646)))</f>
        <v/>
      </c>
      <c r="N646" s="11" t="str">
        <f t="shared" si="32"/>
        <v/>
      </c>
      <c r="O646" s="15" t="str">
        <f>IF(AND(A646=Consulta!$B$3,C646=Consulta!$H$3),B646*10000+ROW(),"")</f>
        <v/>
      </c>
    </row>
    <row r="647" spans="1:15" x14ac:dyDescent="0.25">
      <c r="A647" s="9" t="str">
        <f>IF(Registro!$A647="","",Registro!$A647)</f>
        <v/>
      </c>
      <c r="B647" s="8" t="str">
        <f>IF(Registro!$B647="","",Registro!$B647)</f>
        <v/>
      </c>
      <c r="C647" s="14" t="str">
        <f t="shared" si="30"/>
        <v/>
      </c>
      <c r="D647" s="10" t="str">
        <f>IF(Registro!$E647="","",IF(ISERROR(FIND("x",LOWER(Registro!$E647))),"-",IFERROR(SUMPRODUCT(--("0"&amp;LEFT(TRIM(MID(SUBSTITUTE(SUBSTITUTE(SUBSTITUTE(SUBSTITUTE(SUBSTITUTE(LOWER(Registro!$E647),"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",LEN(Registro!$E647))),({1,2,3,4,5,6,7,8,9,10,11,12,13,14,15,16,17,18,19,20,21,22,23,24,25,26,27,28,29,30}-1)*LEN(Registro!$E647)+1,LEN(Registro!$E647)))&amp;"x")-1))),"Revisar formato")))</f>
        <v/>
      </c>
      <c r="E647" s="11" t="str">
        <f>IF(Registro!$E647="","",IF(ISERROR(FIND("x",LOWER(Registro!$E647))),"-",IFERROR(SUMPRODUCT(--("0"&amp;LEFT(TRIM(MID(SUBSTITUTE(SUBSTITUTE(SUBSTITUTE(SUBSTITUTE(SUBSTITUTE(LOWER(Registro!$E647),"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",LEN(Registro!$E647))),({1,2,3,4,5,6,7,8,9,10,11,12,13,14,15,16,17,18,19,20,21,22,23,24,25,26,27,28,29,30}-1)*LEN(Registro!$E647)+1,LEN(Registro!$E647)))&amp;"x")-1)),--("0"&amp;MID(TRIM(MID(SUBSTITUTE(SUBSTITUTE(SUBSTITUTE(SUBSTITUTE(SUBSTITUTE(LOWER(Registro!$E647),"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",LEN(Registro!$E647))),({1,2,3,4,5,6,7,8,9,10,11,12,13,14,15,16,17,18,19,20,21,22,23,24,25,26,27,28,29,30}-1)*LEN(Registro!$E647)+1,LEN(Registro!$E647)))&amp;"x")+1,20))),"Revisar formato")))</f>
        <v/>
      </c>
      <c r="F647" s="11" t="str">
        <f>IF(Registro!$F647="","",N(Registro!$F647))</f>
        <v/>
      </c>
      <c r="G647" s="11" t="str">
        <f t="shared" si="31"/>
        <v/>
      </c>
      <c r="H647" s="10" t="str">
        <f>IF(Registro!$G647="","",IF(ISERROR(FIND("x",LOWER(Registro!$G647))),"-",IFERROR(SUMPRODUCT(--("0"&amp;LEFT(TRIM(MID(SUBSTITUTE(SUBSTITUTE(SUBSTITUTE(SUBSTITUTE(SUBSTITUTE(LOWER(Registro!$G647),"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",LEN(Registro!$G647))),({1,2,3,4,5,6,7,8,9,10,11,12,13,14,15,16,17,18,19,20,21,22,23,24,25,26,27,28,29,30}-1)*LEN(Registro!$G647)+1,LEN(Registro!$G647))),FIND("x",TRIM(MID(SUBSTITUTE(SUBSTITUTE(SUBSTITUTE(SUBSTITUTE(SUBSTITUTE(LOWER(Registro!$G647),"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",LEN(Registro!$G647))),({1,2,3,4,5,6,7,8,9,10,11,12,13,14,15,16,17,18,19,20,21,22,23,24,25,26,27,28,29,30}-1)*LEN(Registro!$G647)+1,LEN(Registro!$G647)))&amp;"x")-1))),"Revisar formato")))</f>
        <v/>
      </c>
      <c r="I647" s="11" t="str">
        <f>IF(Registro!$G647="","",IF(ISERROR(FIND("x",LOWER(Registro!$G647))),N(Registro!$H647),IFERROR(SUMPRODUCT(--("0"&amp;LEFT(TRIM(MID(SUBSTITUTE(SUBSTITUTE(SUBSTITUTE(SUBSTITUTE(SUBSTITUTE(LOWER(Registro!$G647),"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",LEN(Registro!$G647))),({1,2,3,4,5,6,7,8,9,10,11,12,13,14,15,16,17,18,19,20,21,22,23,24,25,26,27,28,29,30}-1)*LEN(Registro!$G647)+1,LEN(Registro!$G647))),FIND("x",TRIM(MID(SUBSTITUTE(SUBSTITUTE(SUBSTITUTE(SUBSTITUTE(SUBSTITUTE(LOWER(Registro!$G647),"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",LEN(Registro!$G647))),({1,2,3,4,5,6,7,8,9,10,11,12,13,14,15,16,17,18,19,20,21,22,23,24,25,26,27,28,29,30}-1)*LEN(Registro!$G647)+1,LEN(Registro!$G647)))&amp;"x")-1)),--("0"&amp;MID(TRIM(MID(SUBSTITUTE(SUBSTITUTE(SUBSTITUTE(SUBSTITUTE(SUBSTITUTE(LOWER(Registro!$G647),"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",LEN(Registro!$G647))),({1,2,3,4,5,6,7,8,9,10,11,12,13,14,15,16,17,18,19,20,21,22,23,24,25,26,27,28,29,30}-1)*LEN(Registro!$G647)+1,LEN(Registro!$G647))),FIND("x",TRIM(MID(SUBSTITUTE(SUBSTITUTE(SUBSTITUTE(SUBSTITUTE(SUBSTITUTE(LOWER(Registro!$G647),"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",LEN(Registro!$G647))),({1,2,3,4,5,6,7,8,9,10,11,12,13,14,15,16,17,18,19,20,21,22,23,24,25,26,27,28,29,30}-1)*LEN(Registro!$G647)+1,LEN(Registro!$G647)))&amp;"x")+1,20))),"Revisar formato")))</f>
        <v/>
      </c>
      <c r="J647" s="9" t="str">
        <f>IF(AND(Registro!$E647="",Registro!$G647=""),"",IF(NOT(AND(ISNUMBER(I647),ISNUMBER(Registro!$H647))),"",IF(I647&lt;Registro!$H647,"FALTA BOLETOS",IF(I647=Registro!$H647,"CONFORME","DIFERENCIA"))))</f>
        <v/>
      </c>
      <c r="K647" s="11" t="str">
        <f>IF(Registro!$I647="","",IFERROR(SUMPRODUCT(--("0"&amp;TRIM(RIGHT(SUBSTITUTE(TRIM(MID(SUBSTITUTE(SUBSTITUTE(Registro!$I647,";",CHAR(10)),CHAR(10),REPT(" ",LEN(Registro!$I647))),({1,2,3,4,5,6,7,8,9,10,11,12,13,14,15,16,17,18,19,20,21,22,23,24,25,26,27,28,29,30}-1)*LEN(Registro!$I647)+1,LEN(Registro!$I647)))," ",REPT(" ",50)),50)))),"Revisar formato"))</f>
        <v/>
      </c>
      <c r="L647" s="11" t="str">
        <f>IF(Registro!$J647="","",IFERROR(SUMPRODUCT(--("0"&amp;TRIM(RIGHT(SUBSTITUTE(TRIM(MID(SUBSTITUTE(SUBSTITUTE(Registro!$J647,";",CHAR(10)),CHAR(10),REPT(" ",LEN(Registro!$J647))),({1,2,3,4,5,6,7,8,9,10,11,12,13,14,15,16,17,18,19,20,21,22,23,24,25,26,27,28,29,30}-1)*LEN(Registro!$J647)+1,LEN(Registro!$J647)))," ",REPT(" ",50)),50)))),"Revisar formato"))</f>
        <v/>
      </c>
      <c r="M647" s="11" t="str">
        <f>IF(AND(Registro!$H647="",Registro!$I647=""),"",IF(AND(ISTEXT(K647),K647&lt;&gt;""),"Revisar formato",N(Registro!$H647)-N(K647)))</f>
        <v/>
      </c>
      <c r="N647" s="11" t="str">
        <f t="shared" si="32"/>
        <v/>
      </c>
      <c r="O647" s="15" t="str">
        <f>IF(AND(A647=Consulta!$B$3,C647=Consulta!$H$3),B647*10000+ROW(),"")</f>
        <v/>
      </c>
    </row>
    <row r="648" spans="1:15" x14ac:dyDescent="0.25">
      <c r="A648" s="9" t="str">
        <f>IF(Registro!$A648="","",Registro!$A648)</f>
        <v/>
      </c>
      <c r="B648" s="8" t="str">
        <f>IF(Registro!$B648="","",Registro!$B648)</f>
        <v/>
      </c>
      <c r="C648" s="14" t="str">
        <f t="shared" si="30"/>
        <v/>
      </c>
      <c r="D648" s="10" t="str">
        <f>IF(Registro!$E648="","",IF(ISERROR(FIND("x",LOWER(Registro!$E648))),"-",IFERROR(SUMPRODUCT(--("0"&amp;LEFT(TRIM(MID(SUBSTITUTE(SUBSTITUTE(SUBSTITUTE(SUBSTITUTE(SUBSTITUTE(LOWER(Registro!$E648),"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",LEN(Registro!$E648))),({1,2,3,4,5,6,7,8,9,10,11,12,13,14,15,16,17,18,19,20,21,22,23,24,25,26,27,28,29,30}-1)*LEN(Registro!$E648)+1,LEN(Registro!$E648)))&amp;"x")-1))),"Revisar formato")))</f>
        <v/>
      </c>
      <c r="E648" s="11" t="str">
        <f>IF(Registro!$E648="","",IF(ISERROR(FIND("x",LOWER(Registro!$E648))),"-",IFERROR(SUMPRODUCT(--("0"&amp;LEFT(TRIM(MID(SUBSTITUTE(SUBSTITUTE(SUBSTITUTE(SUBSTITUTE(SUBSTITUTE(LOWER(Registro!$E648),"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",LEN(Registro!$E648))),({1,2,3,4,5,6,7,8,9,10,11,12,13,14,15,16,17,18,19,20,21,22,23,24,25,26,27,28,29,30}-1)*LEN(Registro!$E648)+1,LEN(Registro!$E648)))&amp;"x")-1)),--("0"&amp;MID(TRIM(MID(SUBSTITUTE(SUBSTITUTE(SUBSTITUTE(SUBSTITUTE(SUBSTITUTE(LOWER(Registro!$E648),"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",LEN(Registro!$E648))),({1,2,3,4,5,6,7,8,9,10,11,12,13,14,15,16,17,18,19,20,21,22,23,24,25,26,27,28,29,30}-1)*LEN(Registro!$E648)+1,LEN(Registro!$E648)))&amp;"x")+1,20))),"Revisar formato")))</f>
        <v/>
      </c>
      <c r="F648" s="11" t="str">
        <f>IF(Registro!$F648="","",N(Registro!$F648))</f>
        <v/>
      </c>
      <c r="G648" s="11" t="str">
        <f t="shared" si="31"/>
        <v/>
      </c>
      <c r="H648" s="10" t="str">
        <f>IF(Registro!$G648="","",IF(ISERROR(FIND("x",LOWER(Registro!$G648))),"-",IFERROR(SUMPRODUCT(--("0"&amp;LEFT(TRIM(MID(SUBSTITUTE(SUBSTITUTE(SUBSTITUTE(SUBSTITUTE(SUBSTITUTE(LOWER(Registro!$G648),"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",LEN(Registro!$G648))),({1,2,3,4,5,6,7,8,9,10,11,12,13,14,15,16,17,18,19,20,21,22,23,24,25,26,27,28,29,30}-1)*LEN(Registro!$G648)+1,LEN(Registro!$G648))),FIND("x",TRIM(MID(SUBSTITUTE(SUBSTITUTE(SUBSTITUTE(SUBSTITUTE(SUBSTITUTE(LOWER(Registro!$G648),"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",LEN(Registro!$G648))),({1,2,3,4,5,6,7,8,9,10,11,12,13,14,15,16,17,18,19,20,21,22,23,24,25,26,27,28,29,30}-1)*LEN(Registro!$G648)+1,LEN(Registro!$G648)))&amp;"x")-1))),"Revisar formato")))</f>
        <v/>
      </c>
      <c r="I648" s="11" t="str">
        <f>IF(Registro!$G648="","",IF(ISERROR(FIND("x",LOWER(Registro!$G648))),N(Registro!$H648),IFERROR(SUMPRODUCT(--("0"&amp;LEFT(TRIM(MID(SUBSTITUTE(SUBSTITUTE(SUBSTITUTE(SUBSTITUTE(SUBSTITUTE(LOWER(Registro!$G648),"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",LEN(Registro!$G648))),({1,2,3,4,5,6,7,8,9,10,11,12,13,14,15,16,17,18,19,20,21,22,23,24,25,26,27,28,29,30}-1)*LEN(Registro!$G648)+1,LEN(Registro!$G648))),FIND("x",TRIM(MID(SUBSTITUTE(SUBSTITUTE(SUBSTITUTE(SUBSTITUTE(SUBSTITUTE(LOWER(Registro!$G648),"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",LEN(Registro!$G648))),({1,2,3,4,5,6,7,8,9,10,11,12,13,14,15,16,17,18,19,20,21,22,23,24,25,26,27,28,29,30}-1)*LEN(Registro!$G648)+1,LEN(Registro!$G648)))&amp;"x")-1)),--("0"&amp;MID(TRIM(MID(SUBSTITUTE(SUBSTITUTE(SUBSTITUTE(SUBSTITUTE(SUBSTITUTE(LOWER(Registro!$G648),"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",LEN(Registro!$G648))),({1,2,3,4,5,6,7,8,9,10,11,12,13,14,15,16,17,18,19,20,21,22,23,24,25,26,27,28,29,30}-1)*LEN(Registro!$G648)+1,LEN(Registro!$G648))),FIND("x",TRIM(MID(SUBSTITUTE(SUBSTITUTE(SUBSTITUTE(SUBSTITUTE(SUBSTITUTE(LOWER(Registro!$G648),"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",LEN(Registro!$G648))),({1,2,3,4,5,6,7,8,9,10,11,12,13,14,15,16,17,18,19,20,21,22,23,24,25,26,27,28,29,30}-1)*LEN(Registro!$G648)+1,LEN(Registro!$G648)))&amp;"x")+1,20))),"Revisar formato")))</f>
        <v/>
      </c>
      <c r="J648" s="9" t="str">
        <f>IF(AND(Registro!$E648="",Registro!$G648=""),"",IF(NOT(AND(ISNUMBER(I648),ISNUMBER(Registro!$H648))),"",IF(I648&lt;Registro!$H648,"FALTA BOLETOS",IF(I648=Registro!$H648,"CONFORME","DIFERENCIA"))))</f>
        <v/>
      </c>
      <c r="K648" s="11" t="str">
        <f>IF(Registro!$I648="","",IFERROR(SUMPRODUCT(--("0"&amp;TRIM(RIGHT(SUBSTITUTE(TRIM(MID(SUBSTITUTE(SUBSTITUTE(Registro!$I648,";",CHAR(10)),CHAR(10),REPT(" ",LEN(Registro!$I648))),({1,2,3,4,5,6,7,8,9,10,11,12,13,14,15,16,17,18,19,20,21,22,23,24,25,26,27,28,29,30}-1)*LEN(Registro!$I648)+1,LEN(Registro!$I648)))," ",REPT(" ",50)),50)))),"Revisar formato"))</f>
        <v/>
      </c>
      <c r="L648" s="11" t="str">
        <f>IF(Registro!$J648="","",IFERROR(SUMPRODUCT(--("0"&amp;TRIM(RIGHT(SUBSTITUTE(TRIM(MID(SUBSTITUTE(SUBSTITUTE(Registro!$J648,";",CHAR(10)),CHAR(10),REPT(" ",LEN(Registro!$J648))),({1,2,3,4,5,6,7,8,9,10,11,12,13,14,15,16,17,18,19,20,21,22,23,24,25,26,27,28,29,30}-1)*LEN(Registro!$J648)+1,LEN(Registro!$J648)))," ",REPT(" ",50)),50)))),"Revisar formato"))</f>
        <v/>
      </c>
      <c r="M648" s="11" t="str">
        <f>IF(AND(Registro!$H648="",Registro!$I648=""),"",IF(AND(ISTEXT(K648),K648&lt;&gt;""),"Revisar formato",N(Registro!$H648)-N(K648)))</f>
        <v/>
      </c>
      <c r="N648" s="11" t="str">
        <f t="shared" si="32"/>
        <v/>
      </c>
      <c r="O648" s="15" t="str">
        <f>IF(AND(A648=Consulta!$B$3,C648=Consulta!$H$3),B648*10000+ROW(),"")</f>
        <v/>
      </c>
    </row>
    <row r="649" spans="1:15" x14ac:dyDescent="0.25">
      <c r="A649" s="9" t="str">
        <f>IF(Registro!$A649="","",Registro!$A649)</f>
        <v/>
      </c>
      <c r="B649" s="8" t="str">
        <f>IF(Registro!$B649="","",Registro!$B649)</f>
        <v/>
      </c>
      <c r="C649" s="14" t="str">
        <f t="shared" si="30"/>
        <v/>
      </c>
      <c r="D649" s="10" t="str">
        <f>IF(Registro!$E649="","",IF(ISERROR(FIND("x",LOWER(Registro!$E649))),"-",IFERROR(SUMPRODUCT(--("0"&amp;LEFT(TRIM(MID(SUBSTITUTE(SUBSTITUTE(SUBSTITUTE(SUBSTITUTE(SUBSTITUTE(LOWER(Registro!$E649),"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",LEN(Registro!$E649))),({1,2,3,4,5,6,7,8,9,10,11,12,13,14,15,16,17,18,19,20,21,22,23,24,25,26,27,28,29,30}-1)*LEN(Registro!$E649)+1,LEN(Registro!$E649)))&amp;"x")-1))),"Revisar formato")))</f>
        <v/>
      </c>
      <c r="E649" s="11" t="str">
        <f>IF(Registro!$E649="","",IF(ISERROR(FIND("x",LOWER(Registro!$E649))),"-",IFERROR(SUMPRODUCT(--("0"&amp;LEFT(TRIM(MID(SUBSTITUTE(SUBSTITUTE(SUBSTITUTE(SUBSTITUTE(SUBSTITUTE(LOWER(Registro!$E649),"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",LEN(Registro!$E649))),({1,2,3,4,5,6,7,8,9,10,11,12,13,14,15,16,17,18,19,20,21,22,23,24,25,26,27,28,29,30}-1)*LEN(Registro!$E649)+1,LEN(Registro!$E649)))&amp;"x")-1)),--("0"&amp;MID(TRIM(MID(SUBSTITUTE(SUBSTITUTE(SUBSTITUTE(SUBSTITUTE(SUBSTITUTE(LOWER(Registro!$E649),"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",LEN(Registro!$E649))),({1,2,3,4,5,6,7,8,9,10,11,12,13,14,15,16,17,18,19,20,21,22,23,24,25,26,27,28,29,30}-1)*LEN(Registro!$E649)+1,LEN(Registro!$E649)))&amp;"x")+1,20))),"Revisar formato")))</f>
        <v/>
      </c>
      <c r="F649" s="11" t="str">
        <f>IF(Registro!$F649="","",N(Registro!$F649))</f>
        <v/>
      </c>
      <c r="G649" s="11" t="str">
        <f t="shared" si="31"/>
        <v/>
      </c>
      <c r="H649" s="10" t="str">
        <f>IF(Registro!$G649="","",IF(ISERROR(FIND("x",LOWER(Registro!$G649))),"-",IFERROR(SUMPRODUCT(--("0"&amp;LEFT(TRIM(MID(SUBSTITUTE(SUBSTITUTE(SUBSTITUTE(SUBSTITUTE(SUBSTITUTE(LOWER(Registro!$G649),"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",LEN(Registro!$G649))),({1,2,3,4,5,6,7,8,9,10,11,12,13,14,15,16,17,18,19,20,21,22,23,24,25,26,27,28,29,30}-1)*LEN(Registro!$G649)+1,LEN(Registro!$G649))),FIND("x",TRIM(MID(SUBSTITUTE(SUBSTITUTE(SUBSTITUTE(SUBSTITUTE(SUBSTITUTE(LOWER(Registro!$G649),"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",LEN(Registro!$G649))),({1,2,3,4,5,6,7,8,9,10,11,12,13,14,15,16,17,18,19,20,21,22,23,24,25,26,27,28,29,30}-1)*LEN(Registro!$G649)+1,LEN(Registro!$G649)))&amp;"x")-1))),"Revisar formato")))</f>
        <v/>
      </c>
      <c r="I649" s="11" t="str">
        <f>IF(Registro!$G649="","",IF(ISERROR(FIND("x",LOWER(Registro!$G649))),N(Registro!$H649),IFERROR(SUMPRODUCT(--("0"&amp;LEFT(TRIM(MID(SUBSTITUTE(SUBSTITUTE(SUBSTITUTE(SUBSTITUTE(SUBSTITUTE(LOWER(Registro!$G649),"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",LEN(Registro!$G649))),({1,2,3,4,5,6,7,8,9,10,11,12,13,14,15,16,17,18,19,20,21,22,23,24,25,26,27,28,29,30}-1)*LEN(Registro!$G649)+1,LEN(Registro!$G649))),FIND("x",TRIM(MID(SUBSTITUTE(SUBSTITUTE(SUBSTITUTE(SUBSTITUTE(SUBSTITUTE(LOWER(Registro!$G649),"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",LEN(Registro!$G649))),({1,2,3,4,5,6,7,8,9,10,11,12,13,14,15,16,17,18,19,20,21,22,23,24,25,26,27,28,29,30}-1)*LEN(Registro!$G649)+1,LEN(Registro!$G649)))&amp;"x")-1)),--("0"&amp;MID(TRIM(MID(SUBSTITUTE(SUBSTITUTE(SUBSTITUTE(SUBSTITUTE(SUBSTITUTE(LOWER(Registro!$G649),"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",LEN(Registro!$G649))),({1,2,3,4,5,6,7,8,9,10,11,12,13,14,15,16,17,18,19,20,21,22,23,24,25,26,27,28,29,30}-1)*LEN(Registro!$G649)+1,LEN(Registro!$G649))),FIND("x",TRIM(MID(SUBSTITUTE(SUBSTITUTE(SUBSTITUTE(SUBSTITUTE(SUBSTITUTE(LOWER(Registro!$G649),"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",LEN(Registro!$G649))),({1,2,3,4,5,6,7,8,9,10,11,12,13,14,15,16,17,18,19,20,21,22,23,24,25,26,27,28,29,30}-1)*LEN(Registro!$G649)+1,LEN(Registro!$G649)))&amp;"x")+1,20))),"Revisar formato")))</f>
        <v/>
      </c>
      <c r="J649" s="9" t="str">
        <f>IF(AND(Registro!$E649="",Registro!$G649=""),"",IF(NOT(AND(ISNUMBER(I649),ISNUMBER(Registro!$H649))),"",IF(I649&lt;Registro!$H649,"FALTA BOLETOS",IF(I649=Registro!$H649,"CONFORME","DIFERENCIA"))))</f>
        <v/>
      </c>
      <c r="K649" s="11" t="str">
        <f>IF(Registro!$I649="","",IFERROR(SUMPRODUCT(--("0"&amp;TRIM(RIGHT(SUBSTITUTE(TRIM(MID(SUBSTITUTE(SUBSTITUTE(Registro!$I649,";",CHAR(10)),CHAR(10),REPT(" ",LEN(Registro!$I649))),({1,2,3,4,5,6,7,8,9,10,11,12,13,14,15,16,17,18,19,20,21,22,23,24,25,26,27,28,29,30}-1)*LEN(Registro!$I649)+1,LEN(Registro!$I649)))," ",REPT(" ",50)),50)))),"Revisar formato"))</f>
        <v/>
      </c>
      <c r="L649" s="11" t="str">
        <f>IF(Registro!$J649="","",IFERROR(SUMPRODUCT(--("0"&amp;TRIM(RIGHT(SUBSTITUTE(TRIM(MID(SUBSTITUTE(SUBSTITUTE(Registro!$J649,";",CHAR(10)),CHAR(10),REPT(" ",LEN(Registro!$J649))),({1,2,3,4,5,6,7,8,9,10,11,12,13,14,15,16,17,18,19,20,21,22,23,24,25,26,27,28,29,30}-1)*LEN(Registro!$J649)+1,LEN(Registro!$J649)))," ",REPT(" ",50)),50)))),"Revisar formato"))</f>
        <v/>
      </c>
      <c r="M649" s="11" t="str">
        <f>IF(AND(Registro!$H649="",Registro!$I649=""),"",IF(AND(ISTEXT(K649),K649&lt;&gt;""),"Revisar formato",N(Registro!$H649)-N(K649)))</f>
        <v/>
      </c>
      <c r="N649" s="11" t="str">
        <f t="shared" si="32"/>
        <v/>
      </c>
      <c r="O649" s="15" t="str">
        <f>IF(AND(A649=Consulta!$B$3,C649=Consulta!$H$3),B649*10000+ROW(),"")</f>
        <v/>
      </c>
    </row>
    <row r="650" spans="1:15" x14ac:dyDescent="0.25">
      <c r="A650" s="9" t="str">
        <f>IF(Registro!$A650="","",Registro!$A650)</f>
        <v/>
      </c>
      <c r="B650" s="8" t="str">
        <f>IF(Registro!$B650="","",Registro!$B650)</f>
        <v/>
      </c>
      <c r="C650" s="14" t="str">
        <f t="shared" si="30"/>
        <v/>
      </c>
      <c r="D650" s="10" t="str">
        <f>IF(Registro!$E650="","",IF(ISERROR(FIND("x",LOWER(Registro!$E650))),"-",IFERROR(SUMPRODUCT(--("0"&amp;LEFT(TRIM(MID(SUBSTITUTE(SUBSTITUTE(SUBSTITUTE(SUBSTITUTE(SUBSTITUTE(LOWER(Registro!$E650),"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",LEN(Registro!$E650))),({1,2,3,4,5,6,7,8,9,10,11,12,13,14,15,16,17,18,19,20,21,22,23,24,25,26,27,28,29,30}-1)*LEN(Registro!$E650)+1,LEN(Registro!$E650)))&amp;"x")-1))),"Revisar formato")))</f>
        <v/>
      </c>
      <c r="E650" s="11" t="str">
        <f>IF(Registro!$E650="","",IF(ISERROR(FIND("x",LOWER(Registro!$E650))),"-",IFERROR(SUMPRODUCT(--("0"&amp;LEFT(TRIM(MID(SUBSTITUTE(SUBSTITUTE(SUBSTITUTE(SUBSTITUTE(SUBSTITUTE(LOWER(Registro!$E650),"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",LEN(Registro!$E650))),({1,2,3,4,5,6,7,8,9,10,11,12,13,14,15,16,17,18,19,20,21,22,23,24,25,26,27,28,29,30}-1)*LEN(Registro!$E650)+1,LEN(Registro!$E650)))&amp;"x")-1)),--("0"&amp;MID(TRIM(MID(SUBSTITUTE(SUBSTITUTE(SUBSTITUTE(SUBSTITUTE(SUBSTITUTE(LOWER(Registro!$E650),"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",LEN(Registro!$E650))),({1,2,3,4,5,6,7,8,9,10,11,12,13,14,15,16,17,18,19,20,21,22,23,24,25,26,27,28,29,30}-1)*LEN(Registro!$E650)+1,LEN(Registro!$E650)))&amp;"x")+1,20))),"Revisar formato")))</f>
        <v/>
      </c>
      <c r="F650" s="11" t="str">
        <f>IF(Registro!$F650="","",N(Registro!$F650))</f>
        <v/>
      </c>
      <c r="G650" s="11" t="str">
        <f t="shared" si="31"/>
        <v/>
      </c>
      <c r="H650" s="10" t="str">
        <f>IF(Registro!$G650="","",IF(ISERROR(FIND("x",LOWER(Registro!$G650))),"-",IFERROR(SUMPRODUCT(--("0"&amp;LEFT(TRIM(MID(SUBSTITUTE(SUBSTITUTE(SUBSTITUTE(SUBSTITUTE(SUBSTITUTE(LOWER(Registro!$G650),"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",LEN(Registro!$G650))),({1,2,3,4,5,6,7,8,9,10,11,12,13,14,15,16,17,18,19,20,21,22,23,24,25,26,27,28,29,30}-1)*LEN(Registro!$G650)+1,LEN(Registro!$G650))),FIND("x",TRIM(MID(SUBSTITUTE(SUBSTITUTE(SUBSTITUTE(SUBSTITUTE(SUBSTITUTE(LOWER(Registro!$G650),"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",LEN(Registro!$G650))),({1,2,3,4,5,6,7,8,9,10,11,12,13,14,15,16,17,18,19,20,21,22,23,24,25,26,27,28,29,30}-1)*LEN(Registro!$G650)+1,LEN(Registro!$G650)))&amp;"x")-1))),"Revisar formato")))</f>
        <v/>
      </c>
      <c r="I650" s="11" t="str">
        <f>IF(Registro!$G650="","",IF(ISERROR(FIND("x",LOWER(Registro!$G650))),N(Registro!$H650),IFERROR(SUMPRODUCT(--("0"&amp;LEFT(TRIM(MID(SUBSTITUTE(SUBSTITUTE(SUBSTITUTE(SUBSTITUTE(SUBSTITUTE(LOWER(Registro!$G650),"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",LEN(Registro!$G650))),({1,2,3,4,5,6,7,8,9,10,11,12,13,14,15,16,17,18,19,20,21,22,23,24,25,26,27,28,29,30}-1)*LEN(Registro!$G650)+1,LEN(Registro!$G650))),FIND("x",TRIM(MID(SUBSTITUTE(SUBSTITUTE(SUBSTITUTE(SUBSTITUTE(SUBSTITUTE(LOWER(Registro!$G650),"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",LEN(Registro!$G650))),({1,2,3,4,5,6,7,8,9,10,11,12,13,14,15,16,17,18,19,20,21,22,23,24,25,26,27,28,29,30}-1)*LEN(Registro!$G650)+1,LEN(Registro!$G650)))&amp;"x")-1)),--("0"&amp;MID(TRIM(MID(SUBSTITUTE(SUBSTITUTE(SUBSTITUTE(SUBSTITUTE(SUBSTITUTE(LOWER(Registro!$G650),"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",LEN(Registro!$G650))),({1,2,3,4,5,6,7,8,9,10,11,12,13,14,15,16,17,18,19,20,21,22,23,24,25,26,27,28,29,30}-1)*LEN(Registro!$G650)+1,LEN(Registro!$G650))),FIND("x",TRIM(MID(SUBSTITUTE(SUBSTITUTE(SUBSTITUTE(SUBSTITUTE(SUBSTITUTE(LOWER(Registro!$G650),"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",LEN(Registro!$G650))),({1,2,3,4,5,6,7,8,9,10,11,12,13,14,15,16,17,18,19,20,21,22,23,24,25,26,27,28,29,30}-1)*LEN(Registro!$G650)+1,LEN(Registro!$G650)))&amp;"x")+1,20))),"Revisar formato")))</f>
        <v/>
      </c>
      <c r="J650" s="9" t="str">
        <f>IF(AND(Registro!$E650="",Registro!$G650=""),"",IF(NOT(AND(ISNUMBER(I650),ISNUMBER(Registro!$H650))),"",IF(I650&lt;Registro!$H650,"FALTA BOLETOS",IF(I650=Registro!$H650,"CONFORME","DIFERENCIA"))))</f>
        <v/>
      </c>
      <c r="K650" s="11" t="str">
        <f>IF(Registro!$I650="","",IFERROR(SUMPRODUCT(--("0"&amp;TRIM(RIGHT(SUBSTITUTE(TRIM(MID(SUBSTITUTE(SUBSTITUTE(Registro!$I650,";",CHAR(10)),CHAR(10),REPT(" ",LEN(Registro!$I650))),({1,2,3,4,5,6,7,8,9,10,11,12,13,14,15,16,17,18,19,20,21,22,23,24,25,26,27,28,29,30}-1)*LEN(Registro!$I650)+1,LEN(Registro!$I650)))," ",REPT(" ",50)),50)))),"Revisar formato"))</f>
        <v/>
      </c>
      <c r="L650" s="11" t="str">
        <f>IF(Registro!$J650="","",IFERROR(SUMPRODUCT(--("0"&amp;TRIM(RIGHT(SUBSTITUTE(TRIM(MID(SUBSTITUTE(SUBSTITUTE(Registro!$J650,";",CHAR(10)),CHAR(10),REPT(" ",LEN(Registro!$J650))),({1,2,3,4,5,6,7,8,9,10,11,12,13,14,15,16,17,18,19,20,21,22,23,24,25,26,27,28,29,30}-1)*LEN(Registro!$J650)+1,LEN(Registro!$J650)))," ",REPT(" ",50)),50)))),"Revisar formato"))</f>
        <v/>
      </c>
      <c r="M650" s="11" t="str">
        <f>IF(AND(Registro!$H650="",Registro!$I650=""),"",IF(AND(ISTEXT(K650),K650&lt;&gt;""),"Revisar formato",N(Registro!$H650)-N(K650)))</f>
        <v/>
      </c>
      <c r="N650" s="11" t="str">
        <f t="shared" si="32"/>
        <v/>
      </c>
      <c r="O650" s="15" t="str">
        <f>IF(AND(A650=Consulta!$B$3,C650=Consulta!$H$3),B650*10000+ROW(),"")</f>
        <v/>
      </c>
    </row>
    <row r="651" spans="1:15" x14ac:dyDescent="0.25">
      <c r="A651" s="9" t="str">
        <f>IF(Registro!$A651="","",Registro!$A651)</f>
        <v/>
      </c>
      <c r="B651" s="8" t="str">
        <f>IF(Registro!$B651="","",Registro!$B651)</f>
        <v/>
      </c>
      <c r="C651" s="14" t="str">
        <f t="shared" si="30"/>
        <v/>
      </c>
      <c r="D651" s="10" t="str">
        <f>IF(Registro!$E651="","",IF(ISERROR(FIND("x",LOWER(Registro!$E651))),"-",IFERROR(SUMPRODUCT(--("0"&amp;LEFT(TRIM(MID(SUBSTITUTE(SUBSTITUTE(SUBSTITUTE(SUBSTITUTE(SUBSTITUTE(LOWER(Registro!$E651),"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",LEN(Registro!$E651))),({1,2,3,4,5,6,7,8,9,10,11,12,13,14,15,16,17,18,19,20,21,22,23,24,25,26,27,28,29,30}-1)*LEN(Registro!$E651)+1,LEN(Registro!$E651)))&amp;"x")-1))),"Revisar formato")))</f>
        <v/>
      </c>
      <c r="E651" s="11" t="str">
        <f>IF(Registro!$E651="","",IF(ISERROR(FIND("x",LOWER(Registro!$E651))),"-",IFERROR(SUMPRODUCT(--("0"&amp;LEFT(TRIM(MID(SUBSTITUTE(SUBSTITUTE(SUBSTITUTE(SUBSTITUTE(SUBSTITUTE(LOWER(Registro!$E651),"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",LEN(Registro!$E651))),({1,2,3,4,5,6,7,8,9,10,11,12,13,14,15,16,17,18,19,20,21,22,23,24,25,26,27,28,29,30}-1)*LEN(Registro!$E651)+1,LEN(Registro!$E651)))&amp;"x")-1)),--("0"&amp;MID(TRIM(MID(SUBSTITUTE(SUBSTITUTE(SUBSTITUTE(SUBSTITUTE(SUBSTITUTE(LOWER(Registro!$E651),"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",LEN(Registro!$E651))),({1,2,3,4,5,6,7,8,9,10,11,12,13,14,15,16,17,18,19,20,21,22,23,24,25,26,27,28,29,30}-1)*LEN(Registro!$E651)+1,LEN(Registro!$E651)))&amp;"x")+1,20))),"Revisar formato")))</f>
        <v/>
      </c>
      <c r="F651" s="11" t="str">
        <f>IF(Registro!$F651="","",N(Registro!$F651))</f>
        <v/>
      </c>
      <c r="G651" s="11" t="str">
        <f t="shared" si="31"/>
        <v/>
      </c>
      <c r="H651" s="10" t="str">
        <f>IF(Registro!$G651="","",IF(ISERROR(FIND("x",LOWER(Registro!$G651))),"-",IFERROR(SUMPRODUCT(--("0"&amp;LEFT(TRIM(MID(SUBSTITUTE(SUBSTITUTE(SUBSTITUTE(SUBSTITUTE(SUBSTITUTE(LOWER(Registro!$G651),"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",LEN(Registro!$G651))),({1,2,3,4,5,6,7,8,9,10,11,12,13,14,15,16,17,18,19,20,21,22,23,24,25,26,27,28,29,30}-1)*LEN(Registro!$G651)+1,LEN(Registro!$G651))),FIND("x",TRIM(MID(SUBSTITUTE(SUBSTITUTE(SUBSTITUTE(SUBSTITUTE(SUBSTITUTE(LOWER(Registro!$G651),"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",LEN(Registro!$G651))),({1,2,3,4,5,6,7,8,9,10,11,12,13,14,15,16,17,18,19,20,21,22,23,24,25,26,27,28,29,30}-1)*LEN(Registro!$G651)+1,LEN(Registro!$G651)))&amp;"x")-1))),"Revisar formato")))</f>
        <v/>
      </c>
      <c r="I651" s="11" t="str">
        <f>IF(Registro!$G651="","",IF(ISERROR(FIND("x",LOWER(Registro!$G651))),N(Registro!$H651),IFERROR(SUMPRODUCT(--("0"&amp;LEFT(TRIM(MID(SUBSTITUTE(SUBSTITUTE(SUBSTITUTE(SUBSTITUTE(SUBSTITUTE(LOWER(Registro!$G651),"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",LEN(Registro!$G651))),({1,2,3,4,5,6,7,8,9,10,11,12,13,14,15,16,17,18,19,20,21,22,23,24,25,26,27,28,29,30}-1)*LEN(Registro!$G651)+1,LEN(Registro!$G651))),FIND("x",TRIM(MID(SUBSTITUTE(SUBSTITUTE(SUBSTITUTE(SUBSTITUTE(SUBSTITUTE(LOWER(Registro!$G651),"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",LEN(Registro!$G651))),({1,2,3,4,5,6,7,8,9,10,11,12,13,14,15,16,17,18,19,20,21,22,23,24,25,26,27,28,29,30}-1)*LEN(Registro!$G651)+1,LEN(Registro!$G651)))&amp;"x")-1)),--("0"&amp;MID(TRIM(MID(SUBSTITUTE(SUBSTITUTE(SUBSTITUTE(SUBSTITUTE(SUBSTITUTE(LOWER(Registro!$G651),"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",LEN(Registro!$G651))),({1,2,3,4,5,6,7,8,9,10,11,12,13,14,15,16,17,18,19,20,21,22,23,24,25,26,27,28,29,30}-1)*LEN(Registro!$G651)+1,LEN(Registro!$G651))),FIND("x",TRIM(MID(SUBSTITUTE(SUBSTITUTE(SUBSTITUTE(SUBSTITUTE(SUBSTITUTE(LOWER(Registro!$G651),"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",LEN(Registro!$G651))),({1,2,3,4,5,6,7,8,9,10,11,12,13,14,15,16,17,18,19,20,21,22,23,24,25,26,27,28,29,30}-1)*LEN(Registro!$G651)+1,LEN(Registro!$G651)))&amp;"x")+1,20))),"Revisar formato")))</f>
        <v/>
      </c>
      <c r="J651" s="9" t="str">
        <f>IF(AND(Registro!$E651="",Registro!$G651=""),"",IF(NOT(AND(ISNUMBER(I651),ISNUMBER(Registro!$H651))),"",IF(I651&lt;Registro!$H651,"FALTA BOLETOS",IF(I651=Registro!$H651,"CONFORME","DIFERENCIA"))))</f>
        <v/>
      </c>
      <c r="K651" s="11" t="str">
        <f>IF(Registro!$I651="","",IFERROR(SUMPRODUCT(--("0"&amp;TRIM(RIGHT(SUBSTITUTE(TRIM(MID(SUBSTITUTE(SUBSTITUTE(Registro!$I651,";",CHAR(10)),CHAR(10),REPT(" ",LEN(Registro!$I651))),({1,2,3,4,5,6,7,8,9,10,11,12,13,14,15,16,17,18,19,20,21,22,23,24,25,26,27,28,29,30}-1)*LEN(Registro!$I651)+1,LEN(Registro!$I651)))," ",REPT(" ",50)),50)))),"Revisar formato"))</f>
        <v/>
      </c>
      <c r="L651" s="11" t="str">
        <f>IF(Registro!$J651="","",IFERROR(SUMPRODUCT(--("0"&amp;TRIM(RIGHT(SUBSTITUTE(TRIM(MID(SUBSTITUTE(SUBSTITUTE(Registro!$J651,";",CHAR(10)),CHAR(10),REPT(" ",LEN(Registro!$J651))),({1,2,3,4,5,6,7,8,9,10,11,12,13,14,15,16,17,18,19,20,21,22,23,24,25,26,27,28,29,30}-1)*LEN(Registro!$J651)+1,LEN(Registro!$J651)))," ",REPT(" ",50)),50)))),"Revisar formato"))</f>
        <v/>
      </c>
      <c r="M651" s="11" t="str">
        <f>IF(AND(Registro!$H651="",Registro!$I651=""),"",IF(AND(ISTEXT(K651),K651&lt;&gt;""),"Revisar formato",N(Registro!$H651)-N(K651)))</f>
        <v/>
      </c>
      <c r="N651" s="11" t="str">
        <f t="shared" si="32"/>
        <v/>
      </c>
      <c r="O651" s="15" t="str">
        <f>IF(AND(A651=Consulta!$B$3,C651=Consulta!$H$3),B651*10000+ROW(),"")</f>
        <v/>
      </c>
    </row>
    <row r="652" spans="1:15" x14ac:dyDescent="0.25">
      <c r="A652" s="9" t="str">
        <f>IF(Registro!$A652="","",Registro!$A652)</f>
        <v/>
      </c>
      <c r="B652" s="8" t="str">
        <f>IF(Registro!$B652="","",Registro!$B652)</f>
        <v/>
      </c>
      <c r="C652" s="14" t="str">
        <f t="shared" si="30"/>
        <v/>
      </c>
      <c r="D652" s="10" t="str">
        <f>IF(Registro!$E652="","",IF(ISERROR(FIND("x",LOWER(Registro!$E652))),"-",IFERROR(SUMPRODUCT(--("0"&amp;LEFT(TRIM(MID(SUBSTITUTE(SUBSTITUTE(SUBSTITUTE(SUBSTITUTE(SUBSTITUTE(LOWER(Registro!$E652),"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",LEN(Registro!$E652))),({1,2,3,4,5,6,7,8,9,10,11,12,13,14,15,16,17,18,19,20,21,22,23,24,25,26,27,28,29,30}-1)*LEN(Registro!$E652)+1,LEN(Registro!$E652)))&amp;"x")-1))),"Revisar formato")))</f>
        <v/>
      </c>
      <c r="E652" s="11" t="str">
        <f>IF(Registro!$E652="","",IF(ISERROR(FIND("x",LOWER(Registro!$E652))),"-",IFERROR(SUMPRODUCT(--("0"&amp;LEFT(TRIM(MID(SUBSTITUTE(SUBSTITUTE(SUBSTITUTE(SUBSTITUTE(SUBSTITUTE(LOWER(Registro!$E652),"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",LEN(Registro!$E652))),({1,2,3,4,5,6,7,8,9,10,11,12,13,14,15,16,17,18,19,20,21,22,23,24,25,26,27,28,29,30}-1)*LEN(Registro!$E652)+1,LEN(Registro!$E652)))&amp;"x")-1)),--("0"&amp;MID(TRIM(MID(SUBSTITUTE(SUBSTITUTE(SUBSTITUTE(SUBSTITUTE(SUBSTITUTE(LOWER(Registro!$E652),"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",LEN(Registro!$E652))),({1,2,3,4,5,6,7,8,9,10,11,12,13,14,15,16,17,18,19,20,21,22,23,24,25,26,27,28,29,30}-1)*LEN(Registro!$E652)+1,LEN(Registro!$E652)))&amp;"x")+1,20))),"Revisar formato")))</f>
        <v/>
      </c>
      <c r="F652" s="11" t="str">
        <f>IF(Registro!$F652="","",N(Registro!$F652))</f>
        <v/>
      </c>
      <c r="G652" s="11" t="str">
        <f t="shared" si="31"/>
        <v/>
      </c>
      <c r="H652" s="10" t="str">
        <f>IF(Registro!$G652="","",IF(ISERROR(FIND("x",LOWER(Registro!$G652))),"-",IFERROR(SUMPRODUCT(--("0"&amp;LEFT(TRIM(MID(SUBSTITUTE(SUBSTITUTE(SUBSTITUTE(SUBSTITUTE(SUBSTITUTE(LOWER(Registro!$G652),"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",LEN(Registro!$G652))),({1,2,3,4,5,6,7,8,9,10,11,12,13,14,15,16,17,18,19,20,21,22,23,24,25,26,27,28,29,30}-1)*LEN(Registro!$G652)+1,LEN(Registro!$G652))),FIND("x",TRIM(MID(SUBSTITUTE(SUBSTITUTE(SUBSTITUTE(SUBSTITUTE(SUBSTITUTE(LOWER(Registro!$G652),"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",LEN(Registro!$G652))),({1,2,3,4,5,6,7,8,9,10,11,12,13,14,15,16,17,18,19,20,21,22,23,24,25,26,27,28,29,30}-1)*LEN(Registro!$G652)+1,LEN(Registro!$G652)))&amp;"x")-1))),"Revisar formato")))</f>
        <v/>
      </c>
      <c r="I652" s="11" t="str">
        <f>IF(Registro!$G652="","",IF(ISERROR(FIND("x",LOWER(Registro!$G652))),N(Registro!$H652),IFERROR(SUMPRODUCT(--("0"&amp;LEFT(TRIM(MID(SUBSTITUTE(SUBSTITUTE(SUBSTITUTE(SUBSTITUTE(SUBSTITUTE(LOWER(Registro!$G652),"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",LEN(Registro!$G652))),({1,2,3,4,5,6,7,8,9,10,11,12,13,14,15,16,17,18,19,20,21,22,23,24,25,26,27,28,29,30}-1)*LEN(Registro!$G652)+1,LEN(Registro!$G652))),FIND("x",TRIM(MID(SUBSTITUTE(SUBSTITUTE(SUBSTITUTE(SUBSTITUTE(SUBSTITUTE(LOWER(Registro!$G652),"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",LEN(Registro!$G652))),({1,2,3,4,5,6,7,8,9,10,11,12,13,14,15,16,17,18,19,20,21,22,23,24,25,26,27,28,29,30}-1)*LEN(Registro!$G652)+1,LEN(Registro!$G652)))&amp;"x")-1)),--("0"&amp;MID(TRIM(MID(SUBSTITUTE(SUBSTITUTE(SUBSTITUTE(SUBSTITUTE(SUBSTITUTE(LOWER(Registro!$G652),"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",LEN(Registro!$G652))),({1,2,3,4,5,6,7,8,9,10,11,12,13,14,15,16,17,18,19,20,21,22,23,24,25,26,27,28,29,30}-1)*LEN(Registro!$G652)+1,LEN(Registro!$G652))),FIND("x",TRIM(MID(SUBSTITUTE(SUBSTITUTE(SUBSTITUTE(SUBSTITUTE(SUBSTITUTE(LOWER(Registro!$G652),"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",LEN(Registro!$G652))),({1,2,3,4,5,6,7,8,9,10,11,12,13,14,15,16,17,18,19,20,21,22,23,24,25,26,27,28,29,30}-1)*LEN(Registro!$G652)+1,LEN(Registro!$G652)))&amp;"x")+1,20))),"Revisar formato")))</f>
        <v/>
      </c>
      <c r="J652" s="9" t="str">
        <f>IF(AND(Registro!$E652="",Registro!$G652=""),"",IF(NOT(AND(ISNUMBER(I652),ISNUMBER(Registro!$H652))),"",IF(I652&lt;Registro!$H652,"FALTA BOLETOS",IF(I652=Registro!$H652,"CONFORME","DIFERENCIA"))))</f>
        <v/>
      </c>
      <c r="K652" s="11" t="str">
        <f>IF(Registro!$I652="","",IFERROR(SUMPRODUCT(--("0"&amp;TRIM(RIGHT(SUBSTITUTE(TRIM(MID(SUBSTITUTE(SUBSTITUTE(Registro!$I652,";",CHAR(10)),CHAR(10),REPT(" ",LEN(Registro!$I652))),({1,2,3,4,5,6,7,8,9,10,11,12,13,14,15,16,17,18,19,20,21,22,23,24,25,26,27,28,29,30}-1)*LEN(Registro!$I652)+1,LEN(Registro!$I652)))," ",REPT(" ",50)),50)))),"Revisar formato"))</f>
        <v/>
      </c>
      <c r="L652" s="11" t="str">
        <f>IF(Registro!$J652="","",IFERROR(SUMPRODUCT(--("0"&amp;TRIM(RIGHT(SUBSTITUTE(TRIM(MID(SUBSTITUTE(SUBSTITUTE(Registro!$J652,";",CHAR(10)),CHAR(10),REPT(" ",LEN(Registro!$J652))),({1,2,3,4,5,6,7,8,9,10,11,12,13,14,15,16,17,18,19,20,21,22,23,24,25,26,27,28,29,30}-1)*LEN(Registro!$J652)+1,LEN(Registro!$J652)))," ",REPT(" ",50)),50)))),"Revisar formato"))</f>
        <v/>
      </c>
      <c r="M652" s="11" t="str">
        <f>IF(AND(Registro!$H652="",Registro!$I652=""),"",IF(AND(ISTEXT(K652),K652&lt;&gt;""),"Revisar formato",N(Registro!$H652)-N(K652)))</f>
        <v/>
      </c>
      <c r="N652" s="11" t="str">
        <f t="shared" si="32"/>
        <v/>
      </c>
      <c r="O652" s="15" t="str">
        <f>IF(AND(A652=Consulta!$B$3,C652=Consulta!$H$3),B652*10000+ROW(),"")</f>
        <v/>
      </c>
    </row>
    <row r="653" spans="1:15" x14ac:dyDescent="0.25">
      <c r="A653" s="9" t="str">
        <f>IF(Registro!$A653="","",Registro!$A653)</f>
        <v/>
      </c>
      <c r="B653" s="8" t="str">
        <f>IF(Registro!$B653="","",Registro!$B653)</f>
        <v/>
      </c>
      <c r="C653" s="14" t="str">
        <f t="shared" si="30"/>
        <v/>
      </c>
      <c r="D653" s="10" t="str">
        <f>IF(Registro!$E653="","",IF(ISERROR(FIND("x",LOWER(Registro!$E653))),"-",IFERROR(SUMPRODUCT(--("0"&amp;LEFT(TRIM(MID(SUBSTITUTE(SUBSTITUTE(SUBSTITUTE(SUBSTITUTE(SUBSTITUTE(LOWER(Registro!$E653),"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",LEN(Registro!$E653))),({1,2,3,4,5,6,7,8,9,10,11,12,13,14,15,16,17,18,19,20,21,22,23,24,25,26,27,28,29,30}-1)*LEN(Registro!$E653)+1,LEN(Registro!$E653)))&amp;"x")-1))),"Revisar formato")))</f>
        <v/>
      </c>
      <c r="E653" s="11" t="str">
        <f>IF(Registro!$E653="","",IF(ISERROR(FIND("x",LOWER(Registro!$E653))),"-",IFERROR(SUMPRODUCT(--("0"&amp;LEFT(TRIM(MID(SUBSTITUTE(SUBSTITUTE(SUBSTITUTE(SUBSTITUTE(SUBSTITUTE(LOWER(Registro!$E653),"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",LEN(Registro!$E653))),({1,2,3,4,5,6,7,8,9,10,11,12,13,14,15,16,17,18,19,20,21,22,23,24,25,26,27,28,29,30}-1)*LEN(Registro!$E653)+1,LEN(Registro!$E653)))&amp;"x")-1)),--("0"&amp;MID(TRIM(MID(SUBSTITUTE(SUBSTITUTE(SUBSTITUTE(SUBSTITUTE(SUBSTITUTE(LOWER(Registro!$E653),"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",LEN(Registro!$E653))),({1,2,3,4,5,6,7,8,9,10,11,12,13,14,15,16,17,18,19,20,21,22,23,24,25,26,27,28,29,30}-1)*LEN(Registro!$E653)+1,LEN(Registro!$E653)))&amp;"x")+1,20))),"Revisar formato")))</f>
        <v/>
      </c>
      <c r="F653" s="11" t="str">
        <f>IF(Registro!$F653="","",N(Registro!$F653))</f>
        <v/>
      </c>
      <c r="G653" s="11" t="str">
        <f t="shared" si="31"/>
        <v/>
      </c>
      <c r="H653" s="10" t="str">
        <f>IF(Registro!$G653="","",IF(ISERROR(FIND("x",LOWER(Registro!$G653))),"-",IFERROR(SUMPRODUCT(--("0"&amp;LEFT(TRIM(MID(SUBSTITUTE(SUBSTITUTE(SUBSTITUTE(SUBSTITUTE(SUBSTITUTE(LOWER(Registro!$G653),"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",LEN(Registro!$G653))),({1,2,3,4,5,6,7,8,9,10,11,12,13,14,15,16,17,18,19,20,21,22,23,24,25,26,27,28,29,30}-1)*LEN(Registro!$G653)+1,LEN(Registro!$G653))),FIND("x",TRIM(MID(SUBSTITUTE(SUBSTITUTE(SUBSTITUTE(SUBSTITUTE(SUBSTITUTE(LOWER(Registro!$G653),"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",LEN(Registro!$G653))),({1,2,3,4,5,6,7,8,9,10,11,12,13,14,15,16,17,18,19,20,21,22,23,24,25,26,27,28,29,30}-1)*LEN(Registro!$G653)+1,LEN(Registro!$G653)))&amp;"x")-1))),"Revisar formato")))</f>
        <v/>
      </c>
      <c r="I653" s="11" t="str">
        <f>IF(Registro!$G653="","",IF(ISERROR(FIND("x",LOWER(Registro!$G653))),N(Registro!$H653),IFERROR(SUMPRODUCT(--("0"&amp;LEFT(TRIM(MID(SUBSTITUTE(SUBSTITUTE(SUBSTITUTE(SUBSTITUTE(SUBSTITUTE(LOWER(Registro!$G653),"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",LEN(Registro!$G653))),({1,2,3,4,5,6,7,8,9,10,11,12,13,14,15,16,17,18,19,20,21,22,23,24,25,26,27,28,29,30}-1)*LEN(Registro!$G653)+1,LEN(Registro!$G653))),FIND("x",TRIM(MID(SUBSTITUTE(SUBSTITUTE(SUBSTITUTE(SUBSTITUTE(SUBSTITUTE(LOWER(Registro!$G653),"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",LEN(Registro!$G653))),({1,2,3,4,5,6,7,8,9,10,11,12,13,14,15,16,17,18,19,20,21,22,23,24,25,26,27,28,29,30}-1)*LEN(Registro!$G653)+1,LEN(Registro!$G653)))&amp;"x")-1)),--("0"&amp;MID(TRIM(MID(SUBSTITUTE(SUBSTITUTE(SUBSTITUTE(SUBSTITUTE(SUBSTITUTE(LOWER(Registro!$G653),"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",LEN(Registro!$G653))),({1,2,3,4,5,6,7,8,9,10,11,12,13,14,15,16,17,18,19,20,21,22,23,24,25,26,27,28,29,30}-1)*LEN(Registro!$G653)+1,LEN(Registro!$G653))),FIND("x",TRIM(MID(SUBSTITUTE(SUBSTITUTE(SUBSTITUTE(SUBSTITUTE(SUBSTITUTE(LOWER(Registro!$G653),"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",LEN(Registro!$G653))),({1,2,3,4,5,6,7,8,9,10,11,12,13,14,15,16,17,18,19,20,21,22,23,24,25,26,27,28,29,30}-1)*LEN(Registro!$G653)+1,LEN(Registro!$G653)))&amp;"x")+1,20))),"Revisar formato")))</f>
        <v/>
      </c>
      <c r="J653" s="9" t="str">
        <f>IF(AND(Registro!$E653="",Registro!$G653=""),"",IF(NOT(AND(ISNUMBER(I653),ISNUMBER(Registro!$H653))),"",IF(I653&lt;Registro!$H653,"FALTA BOLETOS",IF(I653=Registro!$H653,"CONFORME","DIFERENCIA"))))</f>
        <v/>
      </c>
      <c r="K653" s="11" t="str">
        <f>IF(Registro!$I653="","",IFERROR(SUMPRODUCT(--("0"&amp;TRIM(RIGHT(SUBSTITUTE(TRIM(MID(SUBSTITUTE(SUBSTITUTE(Registro!$I653,";",CHAR(10)),CHAR(10),REPT(" ",LEN(Registro!$I653))),({1,2,3,4,5,6,7,8,9,10,11,12,13,14,15,16,17,18,19,20,21,22,23,24,25,26,27,28,29,30}-1)*LEN(Registro!$I653)+1,LEN(Registro!$I653)))," ",REPT(" ",50)),50)))),"Revisar formato"))</f>
        <v/>
      </c>
      <c r="L653" s="11" t="str">
        <f>IF(Registro!$J653="","",IFERROR(SUMPRODUCT(--("0"&amp;TRIM(RIGHT(SUBSTITUTE(TRIM(MID(SUBSTITUTE(SUBSTITUTE(Registro!$J653,";",CHAR(10)),CHAR(10),REPT(" ",LEN(Registro!$J653))),({1,2,3,4,5,6,7,8,9,10,11,12,13,14,15,16,17,18,19,20,21,22,23,24,25,26,27,28,29,30}-1)*LEN(Registro!$J653)+1,LEN(Registro!$J653)))," ",REPT(" ",50)),50)))),"Revisar formato"))</f>
        <v/>
      </c>
      <c r="M653" s="11" t="str">
        <f>IF(AND(Registro!$H653="",Registro!$I653=""),"",IF(AND(ISTEXT(K653),K653&lt;&gt;""),"Revisar formato",N(Registro!$H653)-N(K653)))</f>
        <v/>
      </c>
      <c r="N653" s="11" t="str">
        <f t="shared" si="32"/>
        <v/>
      </c>
      <c r="O653" s="15" t="str">
        <f>IF(AND(A653=Consulta!$B$3,C653=Consulta!$H$3),B653*10000+ROW(),"")</f>
        <v/>
      </c>
    </row>
    <row r="654" spans="1:15" x14ac:dyDescent="0.25">
      <c r="A654" s="9" t="str">
        <f>IF(Registro!$A654="","",Registro!$A654)</f>
        <v/>
      </c>
      <c r="B654" s="8" t="str">
        <f>IF(Registro!$B654="","",Registro!$B654)</f>
        <v/>
      </c>
      <c r="C654" s="14" t="str">
        <f t="shared" si="30"/>
        <v/>
      </c>
      <c r="D654" s="10" t="str">
        <f>IF(Registro!$E654="","",IF(ISERROR(FIND("x",LOWER(Registro!$E654))),"-",IFERROR(SUMPRODUCT(--("0"&amp;LEFT(TRIM(MID(SUBSTITUTE(SUBSTITUTE(SUBSTITUTE(SUBSTITUTE(SUBSTITUTE(LOWER(Registro!$E654),"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",LEN(Registro!$E654))),({1,2,3,4,5,6,7,8,9,10,11,12,13,14,15,16,17,18,19,20,21,22,23,24,25,26,27,28,29,30}-1)*LEN(Registro!$E654)+1,LEN(Registro!$E654)))&amp;"x")-1))),"Revisar formato")))</f>
        <v/>
      </c>
      <c r="E654" s="11" t="str">
        <f>IF(Registro!$E654="","",IF(ISERROR(FIND("x",LOWER(Registro!$E654))),"-",IFERROR(SUMPRODUCT(--("0"&amp;LEFT(TRIM(MID(SUBSTITUTE(SUBSTITUTE(SUBSTITUTE(SUBSTITUTE(SUBSTITUTE(LOWER(Registro!$E654),"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",LEN(Registro!$E654))),({1,2,3,4,5,6,7,8,9,10,11,12,13,14,15,16,17,18,19,20,21,22,23,24,25,26,27,28,29,30}-1)*LEN(Registro!$E654)+1,LEN(Registro!$E654)))&amp;"x")-1)),--("0"&amp;MID(TRIM(MID(SUBSTITUTE(SUBSTITUTE(SUBSTITUTE(SUBSTITUTE(SUBSTITUTE(LOWER(Registro!$E654),"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",LEN(Registro!$E654))),({1,2,3,4,5,6,7,8,9,10,11,12,13,14,15,16,17,18,19,20,21,22,23,24,25,26,27,28,29,30}-1)*LEN(Registro!$E654)+1,LEN(Registro!$E654)))&amp;"x")+1,20))),"Revisar formato")))</f>
        <v/>
      </c>
      <c r="F654" s="11" t="str">
        <f>IF(Registro!$F654="","",N(Registro!$F654))</f>
        <v/>
      </c>
      <c r="G654" s="11" t="str">
        <f t="shared" si="31"/>
        <v/>
      </c>
      <c r="H654" s="10" t="str">
        <f>IF(Registro!$G654="","",IF(ISERROR(FIND("x",LOWER(Registro!$G654))),"-",IFERROR(SUMPRODUCT(--("0"&amp;LEFT(TRIM(MID(SUBSTITUTE(SUBSTITUTE(SUBSTITUTE(SUBSTITUTE(SUBSTITUTE(LOWER(Registro!$G654),"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",LEN(Registro!$G654))),({1,2,3,4,5,6,7,8,9,10,11,12,13,14,15,16,17,18,19,20,21,22,23,24,25,26,27,28,29,30}-1)*LEN(Registro!$G654)+1,LEN(Registro!$G654))),FIND("x",TRIM(MID(SUBSTITUTE(SUBSTITUTE(SUBSTITUTE(SUBSTITUTE(SUBSTITUTE(LOWER(Registro!$G654),"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",LEN(Registro!$G654))),({1,2,3,4,5,6,7,8,9,10,11,12,13,14,15,16,17,18,19,20,21,22,23,24,25,26,27,28,29,30}-1)*LEN(Registro!$G654)+1,LEN(Registro!$G654)))&amp;"x")-1))),"Revisar formato")))</f>
        <v/>
      </c>
      <c r="I654" s="11" t="str">
        <f>IF(Registro!$G654="","",IF(ISERROR(FIND("x",LOWER(Registro!$G654))),N(Registro!$H654),IFERROR(SUMPRODUCT(--("0"&amp;LEFT(TRIM(MID(SUBSTITUTE(SUBSTITUTE(SUBSTITUTE(SUBSTITUTE(SUBSTITUTE(LOWER(Registro!$G654),"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",LEN(Registro!$G654))),({1,2,3,4,5,6,7,8,9,10,11,12,13,14,15,16,17,18,19,20,21,22,23,24,25,26,27,28,29,30}-1)*LEN(Registro!$G654)+1,LEN(Registro!$G654))),FIND("x",TRIM(MID(SUBSTITUTE(SUBSTITUTE(SUBSTITUTE(SUBSTITUTE(SUBSTITUTE(LOWER(Registro!$G654),"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",LEN(Registro!$G654))),({1,2,3,4,5,6,7,8,9,10,11,12,13,14,15,16,17,18,19,20,21,22,23,24,25,26,27,28,29,30}-1)*LEN(Registro!$G654)+1,LEN(Registro!$G654)))&amp;"x")-1)),--("0"&amp;MID(TRIM(MID(SUBSTITUTE(SUBSTITUTE(SUBSTITUTE(SUBSTITUTE(SUBSTITUTE(LOWER(Registro!$G654),"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",LEN(Registro!$G654))),({1,2,3,4,5,6,7,8,9,10,11,12,13,14,15,16,17,18,19,20,21,22,23,24,25,26,27,28,29,30}-1)*LEN(Registro!$G654)+1,LEN(Registro!$G654))),FIND("x",TRIM(MID(SUBSTITUTE(SUBSTITUTE(SUBSTITUTE(SUBSTITUTE(SUBSTITUTE(LOWER(Registro!$G654),"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",LEN(Registro!$G654))),({1,2,3,4,5,6,7,8,9,10,11,12,13,14,15,16,17,18,19,20,21,22,23,24,25,26,27,28,29,30}-1)*LEN(Registro!$G654)+1,LEN(Registro!$G654)))&amp;"x")+1,20))),"Revisar formato")))</f>
        <v/>
      </c>
      <c r="J654" s="9" t="str">
        <f>IF(AND(Registro!$E654="",Registro!$G654=""),"",IF(NOT(AND(ISNUMBER(I654),ISNUMBER(Registro!$H654))),"",IF(I654&lt;Registro!$H654,"FALTA BOLETOS",IF(I654=Registro!$H654,"CONFORME","DIFERENCIA"))))</f>
        <v/>
      </c>
      <c r="K654" s="11" t="str">
        <f>IF(Registro!$I654="","",IFERROR(SUMPRODUCT(--("0"&amp;TRIM(RIGHT(SUBSTITUTE(TRIM(MID(SUBSTITUTE(SUBSTITUTE(Registro!$I654,";",CHAR(10)),CHAR(10),REPT(" ",LEN(Registro!$I654))),({1,2,3,4,5,6,7,8,9,10,11,12,13,14,15,16,17,18,19,20,21,22,23,24,25,26,27,28,29,30}-1)*LEN(Registro!$I654)+1,LEN(Registro!$I654)))," ",REPT(" ",50)),50)))),"Revisar formato"))</f>
        <v/>
      </c>
      <c r="L654" s="11" t="str">
        <f>IF(Registro!$J654="","",IFERROR(SUMPRODUCT(--("0"&amp;TRIM(RIGHT(SUBSTITUTE(TRIM(MID(SUBSTITUTE(SUBSTITUTE(Registro!$J654,";",CHAR(10)),CHAR(10),REPT(" ",LEN(Registro!$J654))),({1,2,3,4,5,6,7,8,9,10,11,12,13,14,15,16,17,18,19,20,21,22,23,24,25,26,27,28,29,30}-1)*LEN(Registro!$J654)+1,LEN(Registro!$J654)))," ",REPT(" ",50)),50)))),"Revisar formato"))</f>
        <v/>
      </c>
      <c r="M654" s="11" t="str">
        <f>IF(AND(Registro!$H654="",Registro!$I654=""),"",IF(AND(ISTEXT(K654),K654&lt;&gt;""),"Revisar formato",N(Registro!$H654)-N(K654)))</f>
        <v/>
      </c>
      <c r="N654" s="11" t="str">
        <f t="shared" si="32"/>
        <v/>
      </c>
      <c r="O654" s="15" t="str">
        <f>IF(AND(A654=Consulta!$B$3,C654=Consulta!$H$3),B654*10000+ROW(),"")</f>
        <v/>
      </c>
    </row>
    <row r="655" spans="1:15" x14ac:dyDescent="0.25">
      <c r="A655" s="9" t="str">
        <f>IF(Registro!$A655="","",Registro!$A655)</f>
        <v/>
      </c>
      <c r="B655" s="8" t="str">
        <f>IF(Registro!$B655="","",Registro!$B655)</f>
        <v/>
      </c>
      <c r="C655" s="14" t="str">
        <f t="shared" si="30"/>
        <v/>
      </c>
      <c r="D655" s="10" t="str">
        <f>IF(Registro!$E655="","",IF(ISERROR(FIND("x",LOWER(Registro!$E655))),"-",IFERROR(SUMPRODUCT(--("0"&amp;LEFT(TRIM(MID(SUBSTITUTE(SUBSTITUTE(SUBSTITUTE(SUBSTITUTE(SUBSTITUTE(LOWER(Registro!$E655),"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",LEN(Registro!$E655))),({1,2,3,4,5,6,7,8,9,10,11,12,13,14,15,16,17,18,19,20,21,22,23,24,25,26,27,28,29,30}-1)*LEN(Registro!$E655)+1,LEN(Registro!$E655)))&amp;"x")-1))),"Revisar formato")))</f>
        <v/>
      </c>
      <c r="E655" s="11" t="str">
        <f>IF(Registro!$E655="","",IF(ISERROR(FIND("x",LOWER(Registro!$E655))),"-",IFERROR(SUMPRODUCT(--("0"&amp;LEFT(TRIM(MID(SUBSTITUTE(SUBSTITUTE(SUBSTITUTE(SUBSTITUTE(SUBSTITUTE(LOWER(Registro!$E655),"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",LEN(Registro!$E655))),({1,2,3,4,5,6,7,8,9,10,11,12,13,14,15,16,17,18,19,20,21,22,23,24,25,26,27,28,29,30}-1)*LEN(Registro!$E655)+1,LEN(Registro!$E655)))&amp;"x")-1)),--("0"&amp;MID(TRIM(MID(SUBSTITUTE(SUBSTITUTE(SUBSTITUTE(SUBSTITUTE(SUBSTITUTE(LOWER(Registro!$E655),"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",LEN(Registro!$E655))),({1,2,3,4,5,6,7,8,9,10,11,12,13,14,15,16,17,18,19,20,21,22,23,24,25,26,27,28,29,30}-1)*LEN(Registro!$E655)+1,LEN(Registro!$E655)))&amp;"x")+1,20))),"Revisar formato")))</f>
        <v/>
      </c>
      <c r="F655" s="11" t="str">
        <f>IF(Registro!$F655="","",N(Registro!$F655))</f>
        <v/>
      </c>
      <c r="G655" s="11" t="str">
        <f t="shared" si="31"/>
        <v/>
      </c>
      <c r="H655" s="10" t="str">
        <f>IF(Registro!$G655="","",IF(ISERROR(FIND("x",LOWER(Registro!$G655))),"-",IFERROR(SUMPRODUCT(--("0"&amp;LEFT(TRIM(MID(SUBSTITUTE(SUBSTITUTE(SUBSTITUTE(SUBSTITUTE(SUBSTITUTE(LOWER(Registro!$G655),"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",LEN(Registro!$G655))),({1,2,3,4,5,6,7,8,9,10,11,12,13,14,15,16,17,18,19,20,21,22,23,24,25,26,27,28,29,30}-1)*LEN(Registro!$G655)+1,LEN(Registro!$G655))),FIND("x",TRIM(MID(SUBSTITUTE(SUBSTITUTE(SUBSTITUTE(SUBSTITUTE(SUBSTITUTE(LOWER(Registro!$G655),"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",LEN(Registro!$G655))),({1,2,3,4,5,6,7,8,9,10,11,12,13,14,15,16,17,18,19,20,21,22,23,24,25,26,27,28,29,30}-1)*LEN(Registro!$G655)+1,LEN(Registro!$G655)))&amp;"x")-1))),"Revisar formato")))</f>
        <v/>
      </c>
      <c r="I655" s="11" t="str">
        <f>IF(Registro!$G655="","",IF(ISERROR(FIND("x",LOWER(Registro!$G655))),N(Registro!$H655),IFERROR(SUMPRODUCT(--("0"&amp;LEFT(TRIM(MID(SUBSTITUTE(SUBSTITUTE(SUBSTITUTE(SUBSTITUTE(SUBSTITUTE(LOWER(Registro!$G655),"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",LEN(Registro!$G655))),({1,2,3,4,5,6,7,8,9,10,11,12,13,14,15,16,17,18,19,20,21,22,23,24,25,26,27,28,29,30}-1)*LEN(Registro!$G655)+1,LEN(Registro!$G655))),FIND("x",TRIM(MID(SUBSTITUTE(SUBSTITUTE(SUBSTITUTE(SUBSTITUTE(SUBSTITUTE(LOWER(Registro!$G655),"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",LEN(Registro!$G655))),({1,2,3,4,5,6,7,8,9,10,11,12,13,14,15,16,17,18,19,20,21,22,23,24,25,26,27,28,29,30}-1)*LEN(Registro!$G655)+1,LEN(Registro!$G655)))&amp;"x")-1)),--("0"&amp;MID(TRIM(MID(SUBSTITUTE(SUBSTITUTE(SUBSTITUTE(SUBSTITUTE(SUBSTITUTE(LOWER(Registro!$G655),"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",LEN(Registro!$G655))),({1,2,3,4,5,6,7,8,9,10,11,12,13,14,15,16,17,18,19,20,21,22,23,24,25,26,27,28,29,30}-1)*LEN(Registro!$G655)+1,LEN(Registro!$G655))),FIND("x",TRIM(MID(SUBSTITUTE(SUBSTITUTE(SUBSTITUTE(SUBSTITUTE(SUBSTITUTE(LOWER(Registro!$G655),"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",LEN(Registro!$G655))),({1,2,3,4,5,6,7,8,9,10,11,12,13,14,15,16,17,18,19,20,21,22,23,24,25,26,27,28,29,30}-1)*LEN(Registro!$G655)+1,LEN(Registro!$G655)))&amp;"x")+1,20))),"Revisar formato")))</f>
        <v/>
      </c>
      <c r="J655" s="9" t="str">
        <f>IF(AND(Registro!$E655="",Registro!$G655=""),"",IF(NOT(AND(ISNUMBER(I655),ISNUMBER(Registro!$H655))),"",IF(I655&lt;Registro!$H655,"FALTA BOLETOS",IF(I655=Registro!$H655,"CONFORME","DIFERENCIA"))))</f>
        <v/>
      </c>
      <c r="K655" s="11" t="str">
        <f>IF(Registro!$I655="","",IFERROR(SUMPRODUCT(--("0"&amp;TRIM(RIGHT(SUBSTITUTE(TRIM(MID(SUBSTITUTE(SUBSTITUTE(Registro!$I655,";",CHAR(10)),CHAR(10),REPT(" ",LEN(Registro!$I655))),({1,2,3,4,5,6,7,8,9,10,11,12,13,14,15,16,17,18,19,20,21,22,23,24,25,26,27,28,29,30}-1)*LEN(Registro!$I655)+1,LEN(Registro!$I655)))," ",REPT(" ",50)),50)))),"Revisar formato"))</f>
        <v/>
      </c>
      <c r="L655" s="11" t="str">
        <f>IF(Registro!$J655="","",IFERROR(SUMPRODUCT(--("0"&amp;TRIM(RIGHT(SUBSTITUTE(TRIM(MID(SUBSTITUTE(SUBSTITUTE(Registro!$J655,";",CHAR(10)),CHAR(10),REPT(" ",LEN(Registro!$J655))),({1,2,3,4,5,6,7,8,9,10,11,12,13,14,15,16,17,18,19,20,21,22,23,24,25,26,27,28,29,30}-1)*LEN(Registro!$J655)+1,LEN(Registro!$J655)))," ",REPT(" ",50)),50)))),"Revisar formato"))</f>
        <v/>
      </c>
      <c r="M655" s="11" t="str">
        <f>IF(AND(Registro!$H655="",Registro!$I655=""),"",IF(AND(ISTEXT(K655),K655&lt;&gt;""),"Revisar formato",N(Registro!$H655)-N(K655)))</f>
        <v/>
      </c>
      <c r="N655" s="11" t="str">
        <f t="shared" si="32"/>
        <v/>
      </c>
      <c r="O655" s="15" t="str">
        <f>IF(AND(A655=Consulta!$B$3,C655=Consulta!$H$3),B655*10000+ROW(),"")</f>
        <v/>
      </c>
    </row>
    <row r="656" spans="1:15" x14ac:dyDescent="0.25">
      <c r="A656" s="9" t="str">
        <f>IF(Registro!$A656="","",Registro!$A656)</f>
        <v/>
      </c>
      <c r="B656" s="8" t="str">
        <f>IF(Registro!$B656="","",Registro!$B656)</f>
        <v/>
      </c>
      <c r="C656" s="14" t="str">
        <f t="shared" si="30"/>
        <v/>
      </c>
      <c r="D656" s="10" t="str">
        <f>IF(Registro!$E656="","",IF(ISERROR(FIND("x",LOWER(Registro!$E656))),"-",IFERROR(SUMPRODUCT(--("0"&amp;LEFT(TRIM(MID(SUBSTITUTE(SUBSTITUTE(SUBSTITUTE(SUBSTITUTE(SUBSTITUTE(LOWER(Registro!$E656),"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",LEN(Registro!$E656))),({1,2,3,4,5,6,7,8,9,10,11,12,13,14,15,16,17,18,19,20,21,22,23,24,25,26,27,28,29,30}-1)*LEN(Registro!$E656)+1,LEN(Registro!$E656)))&amp;"x")-1))),"Revisar formato")))</f>
        <v/>
      </c>
      <c r="E656" s="11" t="str">
        <f>IF(Registro!$E656="","",IF(ISERROR(FIND("x",LOWER(Registro!$E656))),"-",IFERROR(SUMPRODUCT(--("0"&amp;LEFT(TRIM(MID(SUBSTITUTE(SUBSTITUTE(SUBSTITUTE(SUBSTITUTE(SUBSTITUTE(LOWER(Registro!$E656),"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",LEN(Registro!$E656))),({1,2,3,4,5,6,7,8,9,10,11,12,13,14,15,16,17,18,19,20,21,22,23,24,25,26,27,28,29,30}-1)*LEN(Registro!$E656)+1,LEN(Registro!$E656)))&amp;"x")-1)),--("0"&amp;MID(TRIM(MID(SUBSTITUTE(SUBSTITUTE(SUBSTITUTE(SUBSTITUTE(SUBSTITUTE(LOWER(Registro!$E656),"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",LEN(Registro!$E656))),({1,2,3,4,5,6,7,8,9,10,11,12,13,14,15,16,17,18,19,20,21,22,23,24,25,26,27,28,29,30}-1)*LEN(Registro!$E656)+1,LEN(Registro!$E656)))&amp;"x")+1,20))),"Revisar formato")))</f>
        <v/>
      </c>
      <c r="F656" s="11" t="str">
        <f>IF(Registro!$F656="","",N(Registro!$F656))</f>
        <v/>
      </c>
      <c r="G656" s="11" t="str">
        <f t="shared" si="31"/>
        <v/>
      </c>
      <c r="H656" s="10" t="str">
        <f>IF(Registro!$G656="","",IF(ISERROR(FIND("x",LOWER(Registro!$G656))),"-",IFERROR(SUMPRODUCT(--("0"&amp;LEFT(TRIM(MID(SUBSTITUTE(SUBSTITUTE(SUBSTITUTE(SUBSTITUTE(SUBSTITUTE(LOWER(Registro!$G656),"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",LEN(Registro!$G656))),({1,2,3,4,5,6,7,8,9,10,11,12,13,14,15,16,17,18,19,20,21,22,23,24,25,26,27,28,29,30}-1)*LEN(Registro!$G656)+1,LEN(Registro!$G656))),FIND("x",TRIM(MID(SUBSTITUTE(SUBSTITUTE(SUBSTITUTE(SUBSTITUTE(SUBSTITUTE(LOWER(Registro!$G656),"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",LEN(Registro!$G656))),({1,2,3,4,5,6,7,8,9,10,11,12,13,14,15,16,17,18,19,20,21,22,23,24,25,26,27,28,29,30}-1)*LEN(Registro!$G656)+1,LEN(Registro!$G656)))&amp;"x")-1))),"Revisar formato")))</f>
        <v/>
      </c>
      <c r="I656" s="11" t="str">
        <f>IF(Registro!$G656="","",IF(ISERROR(FIND("x",LOWER(Registro!$G656))),N(Registro!$H656),IFERROR(SUMPRODUCT(--("0"&amp;LEFT(TRIM(MID(SUBSTITUTE(SUBSTITUTE(SUBSTITUTE(SUBSTITUTE(SUBSTITUTE(LOWER(Registro!$G656),"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",LEN(Registro!$G656))),({1,2,3,4,5,6,7,8,9,10,11,12,13,14,15,16,17,18,19,20,21,22,23,24,25,26,27,28,29,30}-1)*LEN(Registro!$G656)+1,LEN(Registro!$G656))),FIND("x",TRIM(MID(SUBSTITUTE(SUBSTITUTE(SUBSTITUTE(SUBSTITUTE(SUBSTITUTE(LOWER(Registro!$G656),"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",LEN(Registro!$G656))),({1,2,3,4,5,6,7,8,9,10,11,12,13,14,15,16,17,18,19,20,21,22,23,24,25,26,27,28,29,30}-1)*LEN(Registro!$G656)+1,LEN(Registro!$G656)))&amp;"x")-1)),--("0"&amp;MID(TRIM(MID(SUBSTITUTE(SUBSTITUTE(SUBSTITUTE(SUBSTITUTE(SUBSTITUTE(LOWER(Registro!$G656),"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",LEN(Registro!$G656))),({1,2,3,4,5,6,7,8,9,10,11,12,13,14,15,16,17,18,19,20,21,22,23,24,25,26,27,28,29,30}-1)*LEN(Registro!$G656)+1,LEN(Registro!$G656))),FIND("x",TRIM(MID(SUBSTITUTE(SUBSTITUTE(SUBSTITUTE(SUBSTITUTE(SUBSTITUTE(LOWER(Registro!$G656),"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",LEN(Registro!$G656))),({1,2,3,4,5,6,7,8,9,10,11,12,13,14,15,16,17,18,19,20,21,22,23,24,25,26,27,28,29,30}-1)*LEN(Registro!$G656)+1,LEN(Registro!$G656)))&amp;"x")+1,20))),"Revisar formato")))</f>
        <v/>
      </c>
      <c r="J656" s="9" t="str">
        <f>IF(AND(Registro!$E656="",Registro!$G656=""),"",IF(NOT(AND(ISNUMBER(I656),ISNUMBER(Registro!$H656))),"",IF(I656&lt;Registro!$H656,"FALTA BOLETOS",IF(I656=Registro!$H656,"CONFORME","DIFERENCIA"))))</f>
        <v/>
      </c>
      <c r="K656" s="11" t="str">
        <f>IF(Registro!$I656="","",IFERROR(SUMPRODUCT(--("0"&amp;TRIM(RIGHT(SUBSTITUTE(TRIM(MID(SUBSTITUTE(SUBSTITUTE(Registro!$I656,";",CHAR(10)),CHAR(10),REPT(" ",LEN(Registro!$I656))),({1,2,3,4,5,6,7,8,9,10,11,12,13,14,15,16,17,18,19,20,21,22,23,24,25,26,27,28,29,30}-1)*LEN(Registro!$I656)+1,LEN(Registro!$I656)))," ",REPT(" ",50)),50)))),"Revisar formato"))</f>
        <v/>
      </c>
      <c r="L656" s="11" t="str">
        <f>IF(Registro!$J656="","",IFERROR(SUMPRODUCT(--("0"&amp;TRIM(RIGHT(SUBSTITUTE(TRIM(MID(SUBSTITUTE(SUBSTITUTE(Registro!$J656,";",CHAR(10)),CHAR(10),REPT(" ",LEN(Registro!$J656))),({1,2,3,4,5,6,7,8,9,10,11,12,13,14,15,16,17,18,19,20,21,22,23,24,25,26,27,28,29,30}-1)*LEN(Registro!$J656)+1,LEN(Registro!$J656)))," ",REPT(" ",50)),50)))),"Revisar formato"))</f>
        <v/>
      </c>
      <c r="M656" s="11" t="str">
        <f>IF(AND(Registro!$H656="",Registro!$I656=""),"",IF(AND(ISTEXT(K656),K656&lt;&gt;""),"Revisar formato",N(Registro!$H656)-N(K656)))</f>
        <v/>
      </c>
      <c r="N656" s="11" t="str">
        <f t="shared" si="32"/>
        <v/>
      </c>
      <c r="O656" s="15" t="str">
        <f>IF(AND(A656=Consulta!$B$3,C656=Consulta!$H$3),B656*10000+ROW(),"")</f>
        <v/>
      </c>
    </row>
    <row r="657" spans="1:15" x14ac:dyDescent="0.25">
      <c r="A657" s="9" t="str">
        <f>IF(Registro!$A657="","",Registro!$A657)</f>
        <v/>
      </c>
      <c r="B657" s="8" t="str">
        <f>IF(Registro!$B657="","",Registro!$B657)</f>
        <v/>
      </c>
      <c r="C657" s="14" t="str">
        <f t="shared" si="30"/>
        <v/>
      </c>
      <c r="D657" s="10" t="str">
        <f>IF(Registro!$E657="","",IF(ISERROR(FIND("x",LOWER(Registro!$E657))),"-",IFERROR(SUMPRODUCT(--("0"&amp;LEFT(TRIM(MID(SUBSTITUTE(SUBSTITUTE(SUBSTITUTE(SUBSTITUTE(SUBSTITUTE(LOWER(Registro!$E657),"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",LEN(Registro!$E657))),({1,2,3,4,5,6,7,8,9,10,11,12,13,14,15,16,17,18,19,20,21,22,23,24,25,26,27,28,29,30}-1)*LEN(Registro!$E657)+1,LEN(Registro!$E657)))&amp;"x")-1))),"Revisar formato")))</f>
        <v/>
      </c>
      <c r="E657" s="11" t="str">
        <f>IF(Registro!$E657="","",IF(ISERROR(FIND("x",LOWER(Registro!$E657))),"-",IFERROR(SUMPRODUCT(--("0"&amp;LEFT(TRIM(MID(SUBSTITUTE(SUBSTITUTE(SUBSTITUTE(SUBSTITUTE(SUBSTITUTE(LOWER(Registro!$E657),"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",LEN(Registro!$E657))),({1,2,3,4,5,6,7,8,9,10,11,12,13,14,15,16,17,18,19,20,21,22,23,24,25,26,27,28,29,30}-1)*LEN(Registro!$E657)+1,LEN(Registro!$E657)))&amp;"x")-1)),--("0"&amp;MID(TRIM(MID(SUBSTITUTE(SUBSTITUTE(SUBSTITUTE(SUBSTITUTE(SUBSTITUTE(LOWER(Registro!$E657),"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",LEN(Registro!$E657))),({1,2,3,4,5,6,7,8,9,10,11,12,13,14,15,16,17,18,19,20,21,22,23,24,25,26,27,28,29,30}-1)*LEN(Registro!$E657)+1,LEN(Registro!$E657)))&amp;"x")+1,20))),"Revisar formato")))</f>
        <v/>
      </c>
      <c r="F657" s="11" t="str">
        <f>IF(Registro!$F657="","",N(Registro!$F657))</f>
        <v/>
      </c>
      <c r="G657" s="11" t="str">
        <f t="shared" si="31"/>
        <v/>
      </c>
      <c r="H657" s="10" t="str">
        <f>IF(Registro!$G657="","",IF(ISERROR(FIND("x",LOWER(Registro!$G657))),"-",IFERROR(SUMPRODUCT(--("0"&amp;LEFT(TRIM(MID(SUBSTITUTE(SUBSTITUTE(SUBSTITUTE(SUBSTITUTE(SUBSTITUTE(LOWER(Registro!$G657),"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",LEN(Registro!$G657))),({1,2,3,4,5,6,7,8,9,10,11,12,13,14,15,16,17,18,19,20,21,22,23,24,25,26,27,28,29,30}-1)*LEN(Registro!$G657)+1,LEN(Registro!$G657))),FIND("x",TRIM(MID(SUBSTITUTE(SUBSTITUTE(SUBSTITUTE(SUBSTITUTE(SUBSTITUTE(LOWER(Registro!$G657),"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",LEN(Registro!$G657))),({1,2,3,4,5,6,7,8,9,10,11,12,13,14,15,16,17,18,19,20,21,22,23,24,25,26,27,28,29,30}-1)*LEN(Registro!$G657)+1,LEN(Registro!$G657)))&amp;"x")-1))),"Revisar formato")))</f>
        <v/>
      </c>
      <c r="I657" s="11" t="str">
        <f>IF(Registro!$G657="","",IF(ISERROR(FIND("x",LOWER(Registro!$G657))),N(Registro!$H657),IFERROR(SUMPRODUCT(--("0"&amp;LEFT(TRIM(MID(SUBSTITUTE(SUBSTITUTE(SUBSTITUTE(SUBSTITUTE(SUBSTITUTE(LOWER(Registro!$G657),"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",LEN(Registro!$G657))),({1,2,3,4,5,6,7,8,9,10,11,12,13,14,15,16,17,18,19,20,21,22,23,24,25,26,27,28,29,30}-1)*LEN(Registro!$G657)+1,LEN(Registro!$G657))),FIND("x",TRIM(MID(SUBSTITUTE(SUBSTITUTE(SUBSTITUTE(SUBSTITUTE(SUBSTITUTE(LOWER(Registro!$G657),"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",LEN(Registro!$G657))),({1,2,3,4,5,6,7,8,9,10,11,12,13,14,15,16,17,18,19,20,21,22,23,24,25,26,27,28,29,30}-1)*LEN(Registro!$G657)+1,LEN(Registro!$G657)))&amp;"x")-1)),--("0"&amp;MID(TRIM(MID(SUBSTITUTE(SUBSTITUTE(SUBSTITUTE(SUBSTITUTE(SUBSTITUTE(LOWER(Registro!$G657),"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",LEN(Registro!$G657))),({1,2,3,4,5,6,7,8,9,10,11,12,13,14,15,16,17,18,19,20,21,22,23,24,25,26,27,28,29,30}-1)*LEN(Registro!$G657)+1,LEN(Registro!$G657))),FIND("x",TRIM(MID(SUBSTITUTE(SUBSTITUTE(SUBSTITUTE(SUBSTITUTE(SUBSTITUTE(LOWER(Registro!$G657),"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",LEN(Registro!$G657))),({1,2,3,4,5,6,7,8,9,10,11,12,13,14,15,16,17,18,19,20,21,22,23,24,25,26,27,28,29,30}-1)*LEN(Registro!$G657)+1,LEN(Registro!$G657)))&amp;"x")+1,20))),"Revisar formato")))</f>
        <v/>
      </c>
      <c r="J657" s="9" t="str">
        <f>IF(AND(Registro!$E657="",Registro!$G657=""),"",IF(NOT(AND(ISNUMBER(I657),ISNUMBER(Registro!$H657))),"",IF(I657&lt;Registro!$H657,"FALTA BOLETOS",IF(I657=Registro!$H657,"CONFORME","DIFERENCIA"))))</f>
        <v/>
      </c>
      <c r="K657" s="11" t="str">
        <f>IF(Registro!$I657="","",IFERROR(SUMPRODUCT(--("0"&amp;TRIM(RIGHT(SUBSTITUTE(TRIM(MID(SUBSTITUTE(SUBSTITUTE(Registro!$I657,";",CHAR(10)),CHAR(10),REPT(" ",LEN(Registro!$I657))),({1,2,3,4,5,6,7,8,9,10,11,12,13,14,15,16,17,18,19,20,21,22,23,24,25,26,27,28,29,30}-1)*LEN(Registro!$I657)+1,LEN(Registro!$I657)))," ",REPT(" ",50)),50)))),"Revisar formato"))</f>
        <v/>
      </c>
      <c r="L657" s="11" t="str">
        <f>IF(Registro!$J657="","",IFERROR(SUMPRODUCT(--("0"&amp;TRIM(RIGHT(SUBSTITUTE(TRIM(MID(SUBSTITUTE(SUBSTITUTE(Registro!$J657,";",CHAR(10)),CHAR(10),REPT(" ",LEN(Registro!$J657))),({1,2,3,4,5,6,7,8,9,10,11,12,13,14,15,16,17,18,19,20,21,22,23,24,25,26,27,28,29,30}-1)*LEN(Registro!$J657)+1,LEN(Registro!$J657)))," ",REPT(" ",50)),50)))),"Revisar formato"))</f>
        <v/>
      </c>
      <c r="M657" s="11" t="str">
        <f>IF(AND(Registro!$H657="",Registro!$I657=""),"",IF(AND(ISTEXT(K657),K657&lt;&gt;""),"Revisar formato",N(Registro!$H657)-N(K657)))</f>
        <v/>
      </c>
      <c r="N657" s="11" t="str">
        <f t="shared" si="32"/>
        <v/>
      </c>
      <c r="O657" s="15" t="str">
        <f>IF(AND(A657=Consulta!$B$3,C657=Consulta!$H$3),B657*10000+ROW(),"")</f>
        <v/>
      </c>
    </row>
    <row r="658" spans="1:15" x14ac:dyDescent="0.25">
      <c r="A658" s="9" t="str">
        <f>IF(Registro!$A658="","",Registro!$A658)</f>
        <v/>
      </c>
      <c r="B658" s="8" t="str">
        <f>IF(Registro!$B658="","",Registro!$B658)</f>
        <v/>
      </c>
      <c r="C658" s="14" t="str">
        <f t="shared" si="30"/>
        <v/>
      </c>
      <c r="D658" s="10" t="str">
        <f>IF(Registro!$E658="","",IF(ISERROR(FIND("x",LOWER(Registro!$E658))),"-",IFERROR(SUMPRODUCT(--("0"&amp;LEFT(TRIM(MID(SUBSTITUTE(SUBSTITUTE(SUBSTITUTE(SUBSTITUTE(SUBSTITUTE(LOWER(Registro!$E658),"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",LEN(Registro!$E658))),({1,2,3,4,5,6,7,8,9,10,11,12,13,14,15,16,17,18,19,20,21,22,23,24,25,26,27,28,29,30}-1)*LEN(Registro!$E658)+1,LEN(Registro!$E658)))&amp;"x")-1))),"Revisar formato")))</f>
        <v/>
      </c>
      <c r="E658" s="11" t="str">
        <f>IF(Registro!$E658="","",IF(ISERROR(FIND("x",LOWER(Registro!$E658))),"-",IFERROR(SUMPRODUCT(--("0"&amp;LEFT(TRIM(MID(SUBSTITUTE(SUBSTITUTE(SUBSTITUTE(SUBSTITUTE(SUBSTITUTE(LOWER(Registro!$E658),"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",LEN(Registro!$E658))),({1,2,3,4,5,6,7,8,9,10,11,12,13,14,15,16,17,18,19,20,21,22,23,24,25,26,27,28,29,30}-1)*LEN(Registro!$E658)+1,LEN(Registro!$E658)))&amp;"x")-1)),--("0"&amp;MID(TRIM(MID(SUBSTITUTE(SUBSTITUTE(SUBSTITUTE(SUBSTITUTE(SUBSTITUTE(LOWER(Registro!$E658),"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",LEN(Registro!$E658))),({1,2,3,4,5,6,7,8,9,10,11,12,13,14,15,16,17,18,19,20,21,22,23,24,25,26,27,28,29,30}-1)*LEN(Registro!$E658)+1,LEN(Registro!$E658)))&amp;"x")+1,20))),"Revisar formato")))</f>
        <v/>
      </c>
      <c r="F658" s="11" t="str">
        <f>IF(Registro!$F658="","",N(Registro!$F658))</f>
        <v/>
      </c>
      <c r="G658" s="11" t="str">
        <f t="shared" si="31"/>
        <v/>
      </c>
      <c r="H658" s="10" t="str">
        <f>IF(Registro!$G658="","",IF(ISERROR(FIND("x",LOWER(Registro!$G658))),"-",IFERROR(SUMPRODUCT(--("0"&amp;LEFT(TRIM(MID(SUBSTITUTE(SUBSTITUTE(SUBSTITUTE(SUBSTITUTE(SUBSTITUTE(LOWER(Registro!$G658),"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",LEN(Registro!$G658))),({1,2,3,4,5,6,7,8,9,10,11,12,13,14,15,16,17,18,19,20,21,22,23,24,25,26,27,28,29,30}-1)*LEN(Registro!$G658)+1,LEN(Registro!$G658))),FIND("x",TRIM(MID(SUBSTITUTE(SUBSTITUTE(SUBSTITUTE(SUBSTITUTE(SUBSTITUTE(LOWER(Registro!$G658),"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",LEN(Registro!$G658))),({1,2,3,4,5,6,7,8,9,10,11,12,13,14,15,16,17,18,19,20,21,22,23,24,25,26,27,28,29,30}-1)*LEN(Registro!$G658)+1,LEN(Registro!$G658)))&amp;"x")-1))),"Revisar formato")))</f>
        <v/>
      </c>
      <c r="I658" s="11" t="str">
        <f>IF(Registro!$G658="","",IF(ISERROR(FIND("x",LOWER(Registro!$G658))),N(Registro!$H658),IFERROR(SUMPRODUCT(--("0"&amp;LEFT(TRIM(MID(SUBSTITUTE(SUBSTITUTE(SUBSTITUTE(SUBSTITUTE(SUBSTITUTE(LOWER(Registro!$G658),"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",LEN(Registro!$G658))),({1,2,3,4,5,6,7,8,9,10,11,12,13,14,15,16,17,18,19,20,21,22,23,24,25,26,27,28,29,30}-1)*LEN(Registro!$G658)+1,LEN(Registro!$G658))),FIND("x",TRIM(MID(SUBSTITUTE(SUBSTITUTE(SUBSTITUTE(SUBSTITUTE(SUBSTITUTE(LOWER(Registro!$G658),"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",LEN(Registro!$G658))),({1,2,3,4,5,6,7,8,9,10,11,12,13,14,15,16,17,18,19,20,21,22,23,24,25,26,27,28,29,30}-1)*LEN(Registro!$G658)+1,LEN(Registro!$G658)))&amp;"x")-1)),--("0"&amp;MID(TRIM(MID(SUBSTITUTE(SUBSTITUTE(SUBSTITUTE(SUBSTITUTE(SUBSTITUTE(LOWER(Registro!$G658),"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",LEN(Registro!$G658))),({1,2,3,4,5,6,7,8,9,10,11,12,13,14,15,16,17,18,19,20,21,22,23,24,25,26,27,28,29,30}-1)*LEN(Registro!$G658)+1,LEN(Registro!$G658))),FIND("x",TRIM(MID(SUBSTITUTE(SUBSTITUTE(SUBSTITUTE(SUBSTITUTE(SUBSTITUTE(LOWER(Registro!$G658),"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",LEN(Registro!$G658))),({1,2,3,4,5,6,7,8,9,10,11,12,13,14,15,16,17,18,19,20,21,22,23,24,25,26,27,28,29,30}-1)*LEN(Registro!$G658)+1,LEN(Registro!$G658)))&amp;"x")+1,20))),"Revisar formato")))</f>
        <v/>
      </c>
      <c r="J658" s="9" t="str">
        <f>IF(AND(Registro!$E658="",Registro!$G658=""),"",IF(NOT(AND(ISNUMBER(I658),ISNUMBER(Registro!$H658))),"",IF(I658&lt;Registro!$H658,"FALTA BOLETOS",IF(I658=Registro!$H658,"CONFORME","DIFERENCIA"))))</f>
        <v/>
      </c>
      <c r="K658" s="11" t="str">
        <f>IF(Registro!$I658="","",IFERROR(SUMPRODUCT(--("0"&amp;TRIM(RIGHT(SUBSTITUTE(TRIM(MID(SUBSTITUTE(SUBSTITUTE(Registro!$I658,";",CHAR(10)),CHAR(10),REPT(" ",LEN(Registro!$I658))),({1,2,3,4,5,6,7,8,9,10,11,12,13,14,15,16,17,18,19,20,21,22,23,24,25,26,27,28,29,30}-1)*LEN(Registro!$I658)+1,LEN(Registro!$I658)))," ",REPT(" ",50)),50)))),"Revisar formato"))</f>
        <v/>
      </c>
      <c r="L658" s="11" t="str">
        <f>IF(Registro!$J658="","",IFERROR(SUMPRODUCT(--("0"&amp;TRIM(RIGHT(SUBSTITUTE(TRIM(MID(SUBSTITUTE(SUBSTITUTE(Registro!$J658,";",CHAR(10)),CHAR(10),REPT(" ",LEN(Registro!$J658))),({1,2,3,4,5,6,7,8,9,10,11,12,13,14,15,16,17,18,19,20,21,22,23,24,25,26,27,28,29,30}-1)*LEN(Registro!$J658)+1,LEN(Registro!$J658)))," ",REPT(" ",50)),50)))),"Revisar formato"))</f>
        <v/>
      </c>
      <c r="M658" s="11" t="str">
        <f>IF(AND(Registro!$H658="",Registro!$I658=""),"",IF(AND(ISTEXT(K658),K658&lt;&gt;""),"Revisar formato",N(Registro!$H658)-N(K658)))</f>
        <v/>
      </c>
      <c r="N658" s="11" t="str">
        <f t="shared" si="32"/>
        <v/>
      </c>
      <c r="O658" s="15" t="str">
        <f>IF(AND(A658=Consulta!$B$3,C658=Consulta!$H$3),B658*10000+ROW(),"")</f>
        <v/>
      </c>
    </row>
    <row r="659" spans="1:15" x14ac:dyDescent="0.25">
      <c r="A659" s="9" t="str">
        <f>IF(Registro!$A659="","",Registro!$A659)</f>
        <v/>
      </c>
      <c r="B659" s="8" t="str">
        <f>IF(Registro!$B659="","",Registro!$B659)</f>
        <v/>
      </c>
      <c r="C659" s="14" t="str">
        <f t="shared" si="30"/>
        <v/>
      </c>
      <c r="D659" s="10" t="str">
        <f>IF(Registro!$E659="","",IF(ISERROR(FIND("x",LOWER(Registro!$E659))),"-",IFERROR(SUMPRODUCT(--("0"&amp;LEFT(TRIM(MID(SUBSTITUTE(SUBSTITUTE(SUBSTITUTE(SUBSTITUTE(SUBSTITUTE(LOWER(Registro!$E659),"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",LEN(Registro!$E659))),({1,2,3,4,5,6,7,8,9,10,11,12,13,14,15,16,17,18,19,20,21,22,23,24,25,26,27,28,29,30}-1)*LEN(Registro!$E659)+1,LEN(Registro!$E659)))&amp;"x")-1))),"Revisar formato")))</f>
        <v/>
      </c>
      <c r="E659" s="11" t="str">
        <f>IF(Registro!$E659="","",IF(ISERROR(FIND("x",LOWER(Registro!$E659))),"-",IFERROR(SUMPRODUCT(--("0"&amp;LEFT(TRIM(MID(SUBSTITUTE(SUBSTITUTE(SUBSTITUTE(SUBSTITUTE(SUBSTITUTE(LOWER(Registro!$E659),"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",LEN(Registro!$E659))),({1,2,3,4,5,6,7,8,9,10,11,12,13,14,15,16,17,18,19,20,21,22,23,24,25,26,27,28,29,30}-1)*LEN(Registro!$E659)+1,LEN(Registro!$E659)))&amp;"x")-1)),--("0"&amp;MID(TRIM(MID(SUBSTITUTE(SUBSTITUTE(SUBSTITUTE(SUBSTITUTE(SUBSTITUTE(LOWER(Registro!$E659),"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",LEN(Registro!$E659))),({1,2,3,4,5,6,7,8,9,10,11,12,13,14,15,16,17,18,19,20,21,22,23,24,25,26,27,28,29,30}-1)*LEN(Registro!$E659)+1,LEN(Registro!$E659)))&amp;"x")+1,20))),"Revisar formato")))</f>
        <v/>
      </c>
      <c r="F659" s="11" t="str">
        <f>IF(Registro!$F659="","",N(Registro!$F659))</f>
        <v/>
      </c>
      <c r="G659" s="11" t="str">
        <f t="shared" si="31"/>
        <v/>
      </c>
      <c r="H659" s="10" t="str">
        <f>IF(Registro!$G659="","",IF(ISERROR(FIND("x",LOWER(Registro!$G659))),"-",IFERROR(SUMPRODUCT(--("0"&amp;LEFT(TRIM(MID(SUBSTITUTE(SUBSTITUTE(SUBSTITUTE(SUBSTITUTE(SUBSTITUTE(LOWER(Registro!$G659),"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",LEN(Registro!$G659))),({1,2,3,4,5,6,7,8,9,10,11,12,13,14,15,16,17,18,19,20,21,22,23,24,25,26,27,28,29,30}-1)*LEN(Registro!$G659)+1,LEN(Registro!$G659))),FIND("x",TRIM(MID(SUBSTITUTE(SUBSTITUTE(SUBSTITUTE(SUBSTITUTE(SUBSTITUTE(LOWER(Registro!$G659),"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",LEN(Registro!$G659))),({1,2,3,4,5,6,7,8,9,10,11,12,13,14,15,16,17,18,19,20,21,22,23,24,25,26,27,28,29,30}-1)*LEN(Registro!$G659)+1,LEN(Registro!$G659)))&amp;"x")-1))),"Revisar formato")))</f>
        <v/>
      </c>
      <c r="I659" s="11" t="str">
        <f>IF(Registro!$G659="","",IF(ISERROR(FIND("x",LOWER(Registro!$G659))),N(Registro!$H659),IFERROR(SUMPRODUCT(--("0"&amp;LEFT(TRIM(MID(SUBSTITUTE(SUBSTITUTE(SUBSTITUTE(SUBSTITUTE(SUBSTITUTE(LOWER(Registro!$G659),"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",LEN(Registro!$G659))),({1,2,3,4,5,6,7,8,9,10,11,12,13,14,15,16,17,18,19,20,21,22,23,24,25,26,27,28,29,30}-1)*LEN(Registro!$G659)+1,LEN(Registro!$G659))),FIND("x",TRIM(MID(SUBSTITUTE(SUBSTITUTE(SUBSTITUTE(SUBSTITUTE(SUBSTITUTE(LOWER(Registro!$G659),"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",LEN(Registro!$G659))),({1,2,3,4,5,6,7,8,9,10,11,12,13,14,15,16,17,18,19,20,21,22,23,24,25,26,27,28,29,30}-1)*LEN(Registro!$G659)+1,LEN(Registro!$G659)))&amp;"x")-1)),--("0"&amp;MID(TRIM(MID(SUBSTITUTE(SUBSTITUTE(SUBSTITUTE(SUBSTITUTE(SUBSTITUTE(LOWER(Registro!$G659),"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",LEN(Registro!$G659))),({1,2,3,4,5,6,7,8,9,10,11,12,13,14,15,16,17,18,19,20,21,22,23,24,25,26,27,28,29,30}-1)*LEN(Registro!$G659)+1,LEN(Registro!$G659))),FIND("x",TRIM(MID(SUBSTITUTE(SUBSTITUTE(SUBSTITUTE(SUBSTITUTE(SUBSTITUTE(LOWER(Registro!$G659),"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",LEN(Registro!$G659))),({1,2,3,4,5,6,7,8,9,10,11,12,13,14,15,16,17,18,19,20,21,22,23,24,25,26,27,28,29,30}-1)*LEN(Registro!$G659)+1,LEN(Registro!$G659)))&amp;"x")+1,20))),"Revisar formato")))</f>
        <v/>
      </c>
      <c r="J659" s="9" t="str">
        <f>IF(AND(Registro!$E659="",Registro!$G659=""),"",IF(NOT(AND(ISNUMBER(I659),ISNUMBER(Registro!$H659))),"",IF(I659&lt;Registro!$H659,"FALTA BOLETOS",IF(I659=Registro!$H659,"CONFORME","DIFERENCIA"))))</f>
        <v/>
      </c>
      <c r="K659" s="11" t="str">
        <f>IF(Registro!$I659="","",IFERROR(SUMPRODUCT(--("0"&amp;TRIM(RIGHT(SUBSTITUTE(TRIM(MID(SUBSTITUTE(SUBSTITUTE(Registro!$I659,";",CHAR(10)),CHAR(10),REPT(" ",LEN(Registro!$I659))),({1,2,3,4,5,6,7,8,9,10,11,12,13,14,15,16,17,18,19,20,21,22,23,24,25,26,27,28,29,30}-1)*LEN(Registro!$I659)+1,LEN(Registro!$I659)))," ",REPT(" ",50)),50)))),"Revisar formato"))</f>
        <v/>
      </c>
      <c r="L659" s="11" t="str">
        <f>IF(Registro!$J659="","",IFERROR(SUMPRODUCT(--("0"&amp;TRIM(RIGHT(SUBSTITUTE(TRIM(MID(SUBSTITUTE(SUBSTITUTE(Registro!$J659,";",CHAR(10)),CHAR(10),REPT(" ",LEN(Registro!$J659))),({1,2,3,4,5,6,7,8,9,10,11,12,13,14,15,16,17,18,19,20,21,22,23,24,25,26,27,28,29,30}-1)*LEN(Registro!$J659)+1,LEN(Registro!$J659)))," ",REPT(" ",50)),50)))),"Revisar formato"))</f>
        <v/>
      </c>
      <c r="M659" s="11" t="str">
        <f>IF(AND(Registro!$H659="",Registro!$I659=""),"",IF(AND(ISTEXT(K659),K659&lt;&gt;""),"Revisar formato",N(Registro!$H659)-N(K659)))</f>
        <v/>
      </c>
      <c r="N659" s="11" t="str">
        <f t="shared" si="32"/>
        <v/>
      </c>
      <c r="O659" s="15" t="str">
        <f>IF(AND(A659=Consulta!$B$3,C659=Consulta!$H$3),B659*10000+ROW(),"")</f>
        <v/>
      </c>
    </row>
    <row r="660" spans="1:15" x14ac:dyDescent="0.25">
      <c r="A660" s="9" t="str">
        <f>IF(Registro!$A660="","",Registro!$A660)</f>
        <v/>
      </c>
      <c r="B660" s="8" t="str">
        <f>IF(Registro!$B660="","",Registro!$B660)</f>
        <v/>
      </c>
      <c r="C660" s="14" t="str">
        <f t="shared" si="30"/>
        <v/>
      </c>
      <c r="D660" s="10" t="str">
        <f>IF(Registro!$E660="","",IF(ISERROR(FIND("x",LOWER(Registro!$E660))),"-",IFERROR(SUMPRODUCT(--("0"&amp;LEFT(TRIM(MID(SUBSTITUTE(SUBSTITUTE(SUBSTITUTE(SUBSTITUTE(SUBSTITUTE(LOWER(Registro!$E660),"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",LEN(Registro!$E660))),({1,2,3,4,5,6,7,8,9,10,11,12,13,14,15,16,17,18,19,20,21,22,23,24,25,26,27,28,29,30}-1)*LEN(Registro!$E660)+1,LEN(Registro!$E660)))&amp;"x")-1))),"Revisar formato")))</f>
        <v/>
      </c>
      <c r="E660" s="11" t="str">
        <f>IF(Registro!$E660="","",IF(ISERROR(FIND("x",LOWER(Registro!$E660))),"-",IFERROR(SUMPRODUCT(--("0"&amp;LEFT(TRIM(MID(SUBSTITUTE(SUBSTITUTE(SUBSTITUTE(SUBSTITUTE(SUBSTITUTE(LOWER(Registro!$E660),"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",LEN(Registro!$E660))),({1,2,3,4,5,6,7,8,9,10,11,12,13,14,15,16,17,18,19,20,21,22,23,24,25,26,27,28,29,30}-1)*LEN(Registro!$E660)+1,LEN(Registro!$E660)))&amp;"x")-1)),--("0"&amp;MID(TRIM(MID(SUBSTITUTE(SUBSTITUTE(SUBSTITUTE(SUBSTITUTE(SUBSTITUTE(LOWER(Registro!$E660),"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",LEN(Registro!$E660))),({1,2,3,4,5,6,7,8,9,10,11,12,13,14,15,16,17,18,19,20,21,22,23,24,25,26,27,28,29,30}-1)*LEN(Registro!$E660)+1,LEN(Registro!$E660)))&amp;"x")+1,20))),"Revisar formato")))</f>
        <v/>
      </c>
      <c r="F660" s="11" t="str">
        <f>IF(Registro!$F660="","",N(Registro!$F660))</f>
        <v/>
      </c>
      <c r="G660" s="11" t="str">
        <f t="shared" si="31"/>
        <v/>
      </c>
      <c r="H660" s="10" t="str">
        <f>IF(Registro!$G660="","",IF(ISERROR(FIND("x",LOWER(Registro!$G660))),"-",IFERROR(SUMPRODUCT(--("0"&amp;LEFT(TRIM(MID(SUBSTITUTE(SUBSTITUTE(SUBSTITUTE(SUBSTITUTE(SUBSTITUTE(LOWER(Registro!$G660),"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",LEN(Registro!$G660))),({1,2,3,4,5,6,7,8,9,10,11,12,13,14,15,16,17,18,19,20,21,22,23,24,25,26,27,28,29,30}-1)*LEN(Registro!$G660)+1,LEN(Registro!$G660))),FIND("x",TRIM(MID(SUBSTITUTE(SUBSTITUTE(SUBSTITUTE(SUBSTITUTE(SUBSTITUTE(LOWER(Registro!$G660),"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",LEN(Registro!$G660))),({1,2,3,4,5,6,7,8,9,10,11,12,13,14,15,16,17,18,19,20,21,22,23,24,25,26,27,28,29,30}-1)*LEN(Registro!$G660)+1,LEN(Registro!$G660)))&amp;"x")-1))),"Revisar formato")))</f>
        <v/>
      </c>
      <c r="I660" s="11" t="str">
        <f>IF(Registro!$G660="","",IF(ISERROR(FIND("x",LOWER(Registro!$G660))),N(Registro!$H660),IFERROR(SUMPRODUCT(--("0"&amp;LEFT(TRIM(MID(SUBSTITUTE(SUBSTITUTE(SUBSTITUTE(SUBSTITUTE(SUBSTITUTE(LOWER(Registro!$G660),"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",LEN(Registro!$G660))),({1,2,3,4,5,6,7,8,9,10,11,12,13,14,15,16,17,18,19,20,21,22,23,24,25,26,27,28,29,30}-1)*LEN(Registro!$G660)+1,LEN(Registro!$G660))),FIND("x",TRIM(MID(SUBSTITUTE(SUBSTITUTE(SUBSTITUTE(SUBSTITUTE(SUBSTITUTE(LOWER(Registro!$G660),"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",LEN(Registro!$G660))),({1,2,3,4,5,6,7,8,9,10,11,12,13,14,15,16,17,18,19,20,21,22,23,24,25,26,27,28,29,30}-1)*LEN(Registro!$G660)+1,LEN(Registro!$G660)))&amp;"x")-1)),--("0"&amp;MID(TRIM(MID(SUBSTITUTE(SUBSTITUTE(SUBSTITUTE(SUBSTITUTE(SUBSTITUTE(LOWER(Registro!$G660),"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",LEN(Registro!$G660))),({1,2,3,4,5,6,7,8,9,10,11,12,13,14,15,16,17,18,19,20,21,22,23,24,25,26,27,28,29,30}-1)*LEN(Registro!$G660)+1,LEN(Registro!$G660))),FIND("x",TRIM(MID(SUBSTITUTE(SUBSTITUTE(SUBSTITUTE(SUBSTITUTE(SUBSTITUTE(LOWER(Registro!$G660),"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",LEN(Registro!$G660))),({1,2,3,4,5,6,7,8,9,10,11,12,13,14,15,16,17,18,19,20,21,22,23,24,25,26,27,28,29,30}-1)*LEN(Registro!$G660)+1,LEN(Registro!$G660)))&amp;"x")+1,20))),"Revisar formato")))</f>
        <v/>
      </c>
      <c r="J660" s="9" t="str">
        <f>IF(AND(Registro!$E660="",Registro!$G660=""),"",IF(NOT(AND(ISNUMBER(I660),ISNUMBER(Registro!$H660))),"",IF(I660&lt;Registro!$H660,"FALTA BOLETOS",IF(I660=Registro!$H660,"CONFORME","DIFERENCIA"))))</f>
        <v/>
      </c>
      <c r="K660" s="11" t="str">
        <f>IF(Registro!$I660="","",IFERROR(SUMPRODUCT(--("0"&amp;TRIM(RIGHT(SUBSTITUTE(TRIM(MID(SUBSTITUTE(SUBSTITUTE(Registro!$I660,";",CHAR(10)),CHAR(10),REPT(" ",LEN(Registro!$I660))),({1,2,3,4,5,6,7,8,9,10,11,12,13,14,15,16,17,18,19,20,21,22,23,24,25,26,27,28,29,30}-1)*LEN(Registro!$I660)+1,LEN(Registro!$I660)))," ",REPT(" ",50)),50)))),"Revisar formato"))</f>
        <v/>
      </c>
      <c r="L660" s="11" t="str">
        <f>IF(Registro!$J660="","",IFERROR(SUMPRODUCT(--("0"&amp;TRIM(RIGHT(SUBSTITUTE(TRIM(MID(SUBSTITUTE(SUBSTITUTE(Registro!$J660,";",CHAR(10)),CHAR(10),REPT(" ",LEN(Registro!$J660))),({1,2,3,4,5,6,7,8,9,10,11,12,13,14,15,16,17,18,19,20,21,22,23,24,25,26,27,28,29,30}-1)*LEN(Registro!$J660)+1,LEN(Registro!$J660)))," ",REPT(" ",50)),50)))),"Revisar formato"))</f>
        <v/>
      </c>
      <c r="M660" s="11" t="str">
        <f>IF(AND(Registro!$H660="",Registro!$I660=""),"",IF(AND(ISTEXT(K660),K660&lt;&gt;""),"Revisar formato",N(Registro!$H660)-N(K660)))</f>
        <v/>
      </c>
      <c r="N660" s="11" t="str">
        <f t="shared" si="32"/>
        <v/>
      </c>
      <c r="O660" s="15" t="str">
        <f>IF(AND(A660=Consulta!$B$3,C660=Consulta!$H$3),B660*10000+ROW(),"")</f>
        <v/>
      </c>
    </row>
    <row r="661" spans="1:15" x14ac:dyDescent="0.25">
      <c r="A661" s="9" t="str">
        <f>IF(Registro!$A661="","",Registro!$A661)</f>
        <v/>
      </c>
      <c r="B661" s="8" t="str">
        <f>IF(Registro!$B661="","",Registro!$B661)</f>
        <v/>
      </c>
      <c r="C661" s="14" t="str">
        <f t="shared" si="30"/>
        <v/>
      </c>
      <c r="D661" s="10" t="str">
        <f>IF(Registro!$E661="","",IF(ISERROR(FIND("x",LOWER(Registro!$E661))),"-",IFERROR(SUMPRODUCT(--("0"&amp;LEFT(TRIM(MID(SUBSTITUTE(SUBSTITUTE(SUBSTITUTE(SUBSTITUTE(SUBSTITUTE(LOWER(Registro!$E661),"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",LEN(Registro!$E661))),({1,2,3,4,5,6,7,8,9,10,11,12,13,14,15,16,17,18,19,20,21,22,23,24,25,26,27,28,29,30}-1)*LEN(Registro!$E661)+1,LEN(Registro!$E661)))&amp;"x")-1))),"Revisar formato")))</f>
        <v/>
      </c>
      <c r="E661" s="11" t="str">
        <f>IF(Registro!$E661="","",IF(ISERROR(FIND("x",LOWER(Registro!$E661))),"-",IFERROR(SUMPRODUCT(--("0"&amp;LEFT(TRIM(MID(SUBSTITUTE(SUBSTITUTE(SUBSTITUTE(SUBSTITUTE(SUBSTITUTE(LOWER(Registro!$E661),"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",LEN(Registro!$E661))),({1,2,3,4,5,6,7,8,9,10,11,12,13,14,15,16,17,18,19,20,21,22,23,24,25,26,27,28,29,30}-1)*LEN(Registro!$E661)+1,LEN(Registro!$E661)))&amp;"x")-1)),--("0"&amp;MID(TRIM(MID(SUBSTITUTE(SUBSTITUTE(SUBSTITUTE(SUBSTITUTE(SUBSTITUTE(LOWER(Registro!$E661),"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",LEN(Registro!$E661))),({1,2,3,4,5,6,7,8,9,10,11,12,13,14,15,16,17,18,19,20,21,22,23,24,25,26,27,28,29,30}-1)*LEN(Registro!$E661)+1,LEN(Registro!$E661)))&amp;"x")+1,20))),"Revisar formato")))</f>
        <v/>
      </c>
      <c r="F661" s="11" t="str">
        <f>IF(Registro!$F661="","",N(Registro!$F661))</f>
        <v/>
      </c>
      <c r="G661" s="11" t="str">
        <f t="shared" si="31"/>
        <v/>
      </c>
      <c r="H661" s="10" t="str">
        <f>IF(Registro!$G661="","",IF(ISERROR(FIND("x",LOWER(Registro!$G661))),"-",IFERROR(SUMPRODUCT(--("0"&amp;LEFT(TRIM(MID(SUBSTITUTE(SUBSTITUTE(SUBSTITUTE(SUBSTITUTE(SUBSTITUTE(LOWER(Registro!$G661),"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",LEN(Registro!$G661))),({1,2,3,4,5,6,7,8,9,10,11,12,13,14,15,16,17,18,19,20,21,22,23,24,25,26,27,28,29,30}-1)*LEN(Registro!$G661)+1,LEN(Registro!$G661))),FIND("x",TRIM(MID(SUBSTITUTE(SUBSTITUTE(SUBSTITUTE(SUBSTITUTE(SUBSTITUTE(LOWER(Registro!$G661),"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",LEN(Registro!$G661))),({1,2,3,4,5,6,7,8,9,10,11,12,13,14,15,16,17,18,19,20,21,22,23,24,25,26,27,28,29,30}-1)*LEN(Registro!$G661)+1,LEN(Registro!$G661)))&amp;"x")-1))),"Revisar formato")))</f>
        <v/>
      </c>
      <c r="I661" s="11" t="str">
        <f>IF(Registro!$G661="","",IF(ISERROR(FIND("x",LOWER(Registro!$G661))),N(Registro!$H661),IFERROR(SUMPRODUCT(--("0"&amp;LEFT(TRIM(MID(SUBSTITUTE(SUBSTITUTE(SUBSTITUTE(SUBSTITUTE(SUBSTITUTE(LOWER(Registro!$G661),"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",LEN(Registro!$G661))),({1,2,3,4,5,6,7,8,9,10,11,12,13,14,15,16,17,18,19,20,21,22,23,24,25,26,27,28,29,30}-1)*LEN(Registro!$G661)+1,LEN(Registro!$G661))),FIND("x",TRIM(MID(SUBSTITUTE(SUBSTITUTE(SUBSTITUTE(SUBSTITUTE(SUBSTITUTE(LOWER(Registro!$G661),"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",LEN(Registro!$G661))),({1,2,3,4,5,6,7,8,9,10,11,12,13,14,15,16,17,18,19,20,21,22,23,24,25,26,27,28,29,30}-1)*LEN(Registro!$G661)+1,LEN(Registro!$G661)))&amp;"x")-1)),--("0"&amp;MID(TRIM(MID(SUBSTITUTE(SUBSTITUTE(SUBSTITUTE(SUBSTITUTE(SUBSTITUTE(LOWER(Registro!$G661),"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",LEN(Registro!$G661))),({1,2,3,4,5,6,7,8,9,10,11,12,13,14,15,16,17,18,19,20,21,22,23,24,25,26,27,28,29,30}-1)*LEN(Registro!$G661)+1,LEN(Registro!$G661))),FIND("x",TRIM(MID(SUBSTITUTE(SUBSTITUTE(SUBSTITUTE(SUBSTITUTE(SUBSTITUTE(LOWER(Registro!$G661),"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",LEN(Registro!$G661))),({1,2,3,4,5,6,7,8,9,10,11,12,13,14,15,16,17,18,19,20,21,22,23,24,25,26,27,28,29,30}-1)*LEN(Registro!$G661)+1,LEN(Registro!$G661)))&amp;"x")+1,20))),"Revisar formato")))</f>
        <v/>
      </c>
      <c r="J661" s="9" t="str">
        <f>IF(AND(Registro!$E661="",Registro!$G661=""),"",IF(NOT(AND(ISNUMBER(I661),ISNUMBER(Registro!$H661))),"",IF(I661&lt;Registro!$H661,"FALTA BOLETOS",IF(I661=Registro!$H661,"CONFORME","DIFERENCIA"))))</f>
        <v/>
      </c>
      <c r="K661" s="11" t="str">
        <f>IF(Registro!$I661="","",IFERROR(SUMPRODUCT(--("0"&amp;TRIM(RIGHT(SUBSTITUTE(TRIM(MID(SUBSTITUTE(SUBSTITUTE(Registro!$I661,";",CHAR(10)),CHAR(10),REPT(" ",LEN(Registro!$I661))),({1,2,3,4,5,6,7,8,9,10,11,12,13,14,15,16,17,18,19,20,21,22,23,24,25,26,27,28,29,30}-1)*LEN(Registro!$I661)+1,LEN(Registro!$I661)))," ",REPT(" ",50)),50)))),"Revisar formato"))</f>
        <v/>
      </c>
      <c r="L661" s="11" t="str">
        <f>IF(Registro!$J661="","",IFERROR(SUMPRODUCT(--("0"&amp;TRIM(RIGHT(SUBSTITUTE(TRIM(MID(SUBSTITUTE(SUBSTITUTE(Registro!$J661,";",CHAR(10)),CHAR(10),REPT(" ",LEN(Registro!$J661))),({1,2,3,4,5,6,7,8,9,10,11,12,13,14,15,16,17,18,19,20,21,22,23,24,25,26,27,28,29,30}-1)*LEN(Registro!$J661)+1,LEN(Registro!$J661)))," ",REPT(" ",50)),50)))),"Revisar formato"))</f>
        <v/>
      </c>
      <c r="M661" s="11" t="str">
        <f>IF(AND(Registro!$H661="",Registro!$I661=""),"",IF(AND(ISTEXT(K661),K661&lt;&gt;""),"Revisar formato",N(Registro!$H661)-N(K661)))</f>
        <v/>
      </c>
      <c r="N661" s="11" t="str">
        <f t="shared" si="32"/>
        <v/>
      </c>
      <c r="O661" s="15" t="str">
        <f>IF(AND(A661=Consulta!$B$3,C661=Consulta!$H$3),B661*10000+ROW(),"")</f>
        <v/>
      </c>
    </row>
    <row r="662" spans="1:15" x14ac:dyDescent="0.25">
      <c r="A662" s="9" t="str">
        <f>IF(Registro!$A662="","",Registro!$A662)</f>
        <v/>
      </c>
      <c r="B662" s="8" t="str">
        <f>IF(Registro!$B662="","",Registro!$B662)</f>
        <v/>
      </c>
      <c r="C662" s="14" t="str">
        <f t="shared" si="30"/>
        <v/>
      </c>
      <c r="D662" s="10" t="str">
        <f>IF(Registro!$E662="","",IF(ISERROR(FIND("x",LOWER(Registro!$E662))),"-",IFERROR(SUMPRODUCT(--("0"&amp;LEFT(TRIM(MID(SUBSTITUTE(SUBSTITUTE(SUBSTITUTE(SUBSTITUTE(SUBSTITUTE(LOWER(Registro!$E662),"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",LEN(Registro!$E662))),({1,2,3,4,5,6,7,8,9,10,11,12,13,14,15,16,17,18,19,20,21,22,23,24,25,26,27,28,29,30}-1)*LEN(Registro!$E662)+1,LEN(Registro!$E662)))&amp;"x")-1))),"Revisar formato")))</f>
        <v/>
      </c>
      <c r="E662" s="11" t="str">
        <f>IF(Registro!$E662="","",IF(ISERROR(FIND("x",LOWER(Registro!$E662))),"-",IFERROR(SUMPRODUCT(--("0"&amp;LEFT(TRIM(MID(SUBSTITUTE(SUBSTITUTE(SUBSTITUTE(SUBSTITUTE(SUBSTITUTE(LOWER(Registro!$E662),"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",LEN(Registro!$E662))),({1,2,3,4,5,6,7,8,9,10,11,12,13,14,15,16,17,18,19,20,21,22,23,24,25,26,27,28,29,30}-1)*LEN(Registro!$E662)+1,LEN(Registro!$E662)))&amp;"x")-1)),--("0"&amp;MID(TRIM(MID(SUBSTITUTE(SUBSTITUTE(SUBSTITUTE(SUBSTITUTE(SUBSTITUTE(LOWER(Registro!$E662),"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",LEN(Registro!$E662))),({1,2,3,4,5,6,7,8,9,10,11,12,13,14,15,16,17,18,19,20,21,22,23,24,25,26,27,28,29,30}-1)*LEN(Registro!$E662)+1,LEN(Registro!$E662)))&amp;"x")+1,20))),"Revisar formato")))</f>
        <v/>
      </c>
      <c r="F662" s="11" t="str">
        <f>IF(Registro!$F662="","",N(Registro!$F662))</f>
        <v/>
      </c>
      <c r="G662" s="11" t="str">
        <f t="shared" si="31"/>
        <v/>
      </c>
      <c r="H662" s="10" t="str">
        <f>IF(Registro!$G662="","",IF(ISERROR(FIND("x",LOWER(Registro!$G662))),"-",IFERROR(SUMPRODUCT(--("0"&amp;LEFT(TRIM(MID(SUBSTITUTE(SUBSTITUTE(SUBSTITUTE(SUBSTITUTE(SUBSTITUTE(LOWER(Registro!$G662),"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",LEN(Registro!$G662))),({1,2,3,4,5,6,7,8,9,10,11,12,13,14,15,16,17,18,19,20,21,22,23,24,25,26,27,28,29,30}-1)*LEN(Registro!$G662)+1,LEN(Registro!$G662))),FIND("x",TRIM(MID(SUBSTITUTE(SUBSTITUTE(SUBSTITUTE(SUBSTITUTE(SUBSTITUTE(LOWER(Registro!$G662),"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",LEN(Registro!$G662))),({1,2,3,4,5,6,7,8,9,10,11,12,13,14,15,16,17,18,19,20,21,22,23,24,25,26,27,28,29,30}-1)*LEN(Registro!$G662)+1,LEN(Registro!$G662)))&amp;"x")-1))),"Revisar formato")))</f>
        <v/>
      </c>
      <c r="I662" s="11" t="str">
        <f>IF(Registro!$G662="","",IF(ISERROR(FIND("x",LOWER(Registro!$G662))),N(Registro!$H662),IFERROR(SUMPRODUCT(--("0"&amp;LEFT(TRIM(MID(SUBSTITUTE(SUBSTITUTE(SUBSTITUTE(SUBSTITUTE(SUBSTITUTE(LOWER(Registro!$G662),"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",LEN(Registro!$G662))),({1,2,3,4,5,6,7,8,9,10,11,12,13,14,15,16,17,18,19,20,21,22,23,24,25,26,27,28,29,30}-1)*LEN(Registro!$G662)+1,LEN(Registro!$G662))),FIND("x",TRIM(MID(SUBSTITUTE(SUBSTITUTE(SUBSTITUTE(SUBSTITUTE(SUBSTITUTE(LOWER(Registro!$G662),"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",LEN(Registro!$G662))),({1,2,3,4,5,6,7,8,9,10,11,12,13,14,15,16,17,18,19,20,21,22,23,24,25,26,27,28,29,30}-1)*LEN(Registro!$G662)+1,LEN(Registro!$G662)))&amp;"x")-1)),--("0"&amp;MID(TRIM(MID(SUBSTITUTE(SUBSTITUTE(SUBSTITUTE(SUBSTITUTE(SUBSTITUTE(LOWER(Registro!$G662),"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",LEN(Registro!$G662))),({1,2,3,4,5,6,7,8,9,10,11,12,13,14,15,16,17,18,19,20,21,22,23,24,25,26,27,28,29,30}-1)*LEN(Registro!$G662)+1,LEN(Registro!$G662))),FIND("x",TRIM(MID(SUBSTITUTE(SUBSTITUTE(SUBSTITUTE(SUBSTITUTE(SUBSTITUTE(LOWER(Registro!$G662),"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",LEN(Registro!$G662))),({1,2,3,4,5,6,7,8,9,10,11,12,13,14,15,16,17,18,19,20,21,22,23,24,25,26,27,28,29,30}-1)*LEN(Registro!$G662)+1,LEN(Registro!$G662)))&amp;"x")+1,20))),"Revisar formato")))</f>
        <v/>
      </c>
      <c r="J662" s="9" t="str">
        <f>IF(AND(Registro!$E662="",Registro!$G662=""),"",IF(NOT(AND(ISNUMBER(I662),ISNUMBER(Registro!$H662))),"",IF(I662&lt;Registro!$H662,"FALTA BOLETOS",IF(I662=Registro!$H662,"CONFORME","DIFERENCIA"))))</f>
        <v/>
      </c>
      <c r="K662" s="11" t="str">
        <f>IF(Registro!$I662="","",IFERROR(SUMPRODUCT(--("0"&amp;TRIM(RIGHT(SUBSTITUTE(TRIM(MID(SUBSTITUTE(SUBSTITUTE(Registro!$I662,";",CHAR(10)),CHAR(10),REPT(" ",LEN(Registro!$I662))),({1,2,3,4,5,6,7,8,9,10,11,12,13,14,15,16,17,18,19,20,21,22,23,24,25,26,27,28,29,30}-1)*LEN(Registro!$I662)+1,LEN(Registro!$I662)))," ",REPT(" ",50)),50)))),"Revisar formato"))</f>
        <v/>
      </c>
      <c r="L662" s="11" t="str">
        <f>IF(Registro!$J662="","",IFERROR(SUMPRODUCT(--("0"&amp;TRIM(RIGHT(SUBSTITUTE(TRIM(MID(SUBSTITUTE(SUBSTITUTE(Registro!$J662,";",CHAR(10)),CHAR(10),REPT(" ",LEN(Registro!$J662))),({1,2,3,4,5,6,7,8,9,10,11,12,13,14,15,16,17,18,19,20,21,22,23,24,25,26,27,28,29,30}-1)*LEN(Registro!$J662)+1,LEN(Registro!$J662)))," ",REPT(" ",50)),50)))),"Revisar formato"))</f>
        <v/>
      </c>
      <c r="M662" s="11" t="str">
        <f>IF(AND(Registro!$H662="",Registro!$I662=""),"",IF(AND(ISTEXT(K662),K662&lt;&gt;""),"Revisar formato",N(Registro!$H662)-N(K662)))</f>
        <v/>
      </c>
      <c r="N662" s="11" t="str">
        <f t="shared" si="32"/>
        <v/>
      </c>
      <c r="O662" s="15" t="str">
        <f>IF(AND(A662=Consulta!$B$3,C662=Consulta!$H$3),B662*10000+ROW(),"")</f>
        <v/>
      </c>
    </row>
    <row r="663" spans="1:15" x14ac:dyDescent="0.25">
      <c r="A663" s="9" t="str">
        <f>IF(Registro!$A663="","",Registro!$A663)</f>
        <v/>
      </c>
      <c r="B663" s="8" t="str">
        <f>IF(Registro!$B663="","",Registro!$B663)</f>
        <v/>
      </c>
      <c r="C663" s="14" t="str">
        <f t="shared" si="30"/>
        <v/>
      </c>
      <c r="D663" s="10" t="str">
        <f>IF(Registro!$E663="","",IF(ISERROR(FIND("x",LOWER(Registro!$E663))),"-",IFERROR(SUMPRODUCT(--("0"&amp;LEFT(TRIM(MID(SUBSTITUTE(SUBSTITUTE(SUBSTITUTE(SUBSTITUTE(SUBSTITUTE(LOWER(Registro!$E663),"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",LEN(Registro!$E663))),({1,2,3,4,5,6,7,8,9,10,11,12,13,14,15,16,17,18,19,20,21,22,23,24,25,26,27,28,29,30}-1)*LEN(Registro!$E663)+1,LEN(Registro!$E663)))&amp;"x")-1))),"Revisar formato")))</f>
        <v/>
      </c>
      <c r="E663" s="11" t="str">
        <f>IF(Registro!$E663="","",IF(ISERROR(FIND("x",LOWER(Registro!$E663))),"-",IFERROR(SUMPRODUCT(--("0"&amp;LEFT(TRIM(MID(SUBSTITUTE(SUBSTITUTE(SUBSTITUTE(SUBSTITUTE(SUBSTITUTE(LOWER(Registro!$E663),"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",LEN(Registro!$E663))),({1,2,3,4,5,6,7,8,9,10,11,12,13,14,15,16,17,18,19,20,21,22,23,24,25,26,27,28,29,30}-1)*LEN(Registro!$E663)+1,LEN(Registro!$E663)))&amp;"x")-1)),--("0"&amp;MID(TRIM(MID(SUBSTITUTE(SUBSTITUTE(SUBSTITUTE(SUBSTITUTE(SUBSTITUTE(LOWER(Registro!$E663),"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",LEN(Registro!$E663))),({1,2,3,4,5,6,7,8,9,10,11,12,13,14,15,16,17,18,19,20,21,22,23,24,25,26,27,28,29,30}-1)*LEN(Registro!$E663)+1,LEN(Registro!$E663)))&amp;"x")+1,20))),"Revisar formato")))</f>
        <v/>
      </c>
      <c r="F663" s="11" t="str">
        <f>IF(Registro!$F663="","",N(Registro!$F663))</f>
        <v/>
      </c>
      <c r="G663" s="11" t="str">
        <f t="shared" si="31"/>
        <v/>
      </c>
      <c r="H663" s="10" t="str">
        <f>IF(Registro!$G663="","",IF(ISERROR(FIND("x",LOWER(Registro!$G663))),"-",IFERROR(SUMPRODUCT(--("0"&amp;LEFT(TRIM(MID(SUBSTITUTE(SUBSTITUTE(SUBSTITUTE(SUBSTITUTE(SUBSTITUTE(LOWER(Registro!$G663),"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",LEN(Registro!$G663))),({1,2,3,4,5,6,7,8,9,10,11,12,13,14,15,16,17,18,19,20,21,22,23,24,25,26,27,28,29,30}-1)*LEN(Registro!$G663)+1,LEN(Registro!$G663))),FIND("x",TRIM(MID(SUBSTITUTE(SUBSTITUTE(SUBSTITUTE(SUBSTITUTE(SUBSTITUTE(LOWER(Registro!$G663),"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",LEN(Registro!$G663))),({1,2,3,4,5,6,7,8,9,10,11,12,13,14,15,16,17,18,19,20,21,22,23,24,25,26,27,28,29,30}-1)*LEN(Registro!$G663)+1,LEN(Registro!$G663)))&amp;"x")-1))),"Revisar formato")))</f>
        <v/>
      </c>
      <c r="I663" s="11" t="str">
        <f>IF(Registro!$G663="","",IF(ISERROR(FIND("x",LOWER(Registro!$G663))),N(Registro!$H663),IFERROR(SUMPRODUCT(--("0"&amp;LEFT(TRIM(MID(SUBSTITUTE(SUBSTITUTE(SUBSTITUTE(SUBSTITUTE(SUBSTITUTE(LOWER(Registro!$G663),"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",LEN(Registro!$G663))),({1,2,3,4,5,6,7,8,9,10,11,12,13,14,15,16,17,18,19,20,21,22,23,24,25,26,27,28,29,30}-1)*LEN(Registro!$G663)+1,LEN(Registro!$G663))),FIND("x",TRIM(MID(SUBSTITUTE(SUBSTITUTE(SUBSTITUTE(SUBSTITUTE(SUBSTITUTE(LOWER(Registro!$G663),"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",LEN(Registro!$G663))),({1,2,3,4,5,6,7,8,9,10,11,12,13,14,15,16,17,18,19,20,21,22,23,24,25,26,27,28,29,30}-1)*LEN(Registro!$G663)+1,LEN(Registro!$G663)))&amp;"x")-1)),--("0"&amp;MID(TRIM(MID(SUBSTITUTE(SUBSTITUTE(SUBSTITUTE(SUBSTITUTE(SUBSTITUTE(LOWER(Registro!$G663),"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",LEN(Registro!$G663))),({1,2,3,4,5,6,7,8,9,10,11,12,13,14,15,16,17,18,19,20,21,22,23,24,25,26,27,28,29,30}-1)*LEN(Registro!$G663)+1,LEN(Registro!$G663))),FIND("x",TRIM(MID(SUBSTITUTE(SUBSTITUTE(SUBSTITUTE(SUBSTITUTE(SUBSTITUTE(LOWER(Registro!$G663),"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",LEN(Registro!$G663))),({1,2,3,4,5,6,7,8,9,10,11,12,13,14,15,16,17,18,19,20,21,22,23,24,25,26,27,28,29,30}-1)*LEN(Registro!$G663)+1,LEN(Registro!$G663)))&amp;"x")+1,20))),"Revisar formato")))</f>
        <v/>
      </c>
      <c r="J663" s="9" t="str">
        <f>IF(AND(Registro!$E663="",Registro!$G663=""),"",IF(NOT(AND(ISNUMBER(I663),ISNUMBER(Registro!$H663))),"",IF(I663&lt;Registro!$H663,"FALTA BOLETOS",IF(I663=Registro!$H663,"CONFORME","DIFERENCIA"))))</f>
        <v/>
      </c>
      <c r="K663" s="11" t="str">
        <f>IF(Registro!$I663="","",IFERROR(SUMPRODUCT(--("0"&amp;TRIM(RIGHT(SUBSTITUTE(TRIM(MID(SUBSTITUTE(SUBSTITUTE(Registro!$I663,";",CHAR(10)),CHAR(10),REPT(" ",LEN(Registro!$I663))),({1,2,3,4,5,6,7,8,9,10,11,12,13,14,15,16,17,18,19,20,21,22,23,24,25,26,27,28,29,30}-1)*LEN(Registro!$I663)+1,LEN(Registro!$I663)))," ",REPT(" ",50)),50)))),"Revisar formato"))</f>
        <v/>
      </c>
      <c r="L663" s="11" t="str">
        <f>IF(Registro!$J663="","",IFERROR(SUMPRODUCT(--("0"&amp;TRIM(RIGHT(SUBSTITUTE(TRIM(MID(SUBSTITUTE(SUBSTITUTE(Registro!$J663,";",CHAR(10)),CHAR(10),REPT(" ",LEN(Registro!$J663))),({1,2,3,4,5,6,7,8,9,10,11,12,13,14,15,16,17,18,19,20,21,22,23,24,25,26,27,28,29,30}-1)*LEN(Registro!$J663)+1,LEN(Registro!$J663)))," ",REPT(" ",50)),50)))),"Revisar formato"))</f>
        <v/>
      </c>
      <c r="M663" s="11" t="str">
        <f>IF(AND(Registro!$H663="",Registro!$I663=""),"",IF(AND(ISTEXT(K663),K663&lt;&gt;""),"Revisar formato",N(Registro!$H663)-N(K663)))</f>
        <v/>
      </c>
      <c r="N663" s="11" t="str">
        <f t="shared" si="32"/>
        <v/>
      </c>
      <c r="O663" s="15" t="str">
        <f>IF(AND(A663=Consulta!$B$3,C663=Consulta!$H$3),B663*10000+ROW(),"")</f>
        <v/>
      </c>
    </row>
    <row r="664" spans="1:15" x14ac:dyDescent="0.25">
      <c r="A664" s="9" t="str">
        <f>IF(Registro!$A664="","",Registro!$A664)</f>
        <v/>
      </c>
      <c r="B664" s="8" t="str">
        <f>IF(Registro!$B664="","",Registro!$B664)</f>
        <v/>
      </c>
      <c r="C664" s="14" t="str">
        <f t="shared" si="30"/>
        <v/>
      </c>
      <c r="D664" s="10" t="str">
        <f>IF(Registro!$E664="","",IF(ISERROR(FIND("x",LOWER(Registro!$E664))),"-",IFERROR(SUMPRODUCT(--("0"&amp;LEFT(TRIM(MID(SUBSTITUTE(SUBSTITUTE(SUBSTITUTE(SUBSTITUTE(SUBSTITUTE(LOWER(Registro!$E664),"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",LEN(Registro!$E664))),({1,2,3,4,5,6,7,8,9,10,11,12,13,14,15,16,17,18,19,20,21,22,23,24,25,26,27,28,29,30}-1)*LEN(Registro!$E664)+1,LEN(Registro!$E664)))&amp;"x")-1))),"Revisar formato")))</f>
        <v/>
      </c>
      <c r="E664" s="11" t="str">
        <f>IF(Registro!$E664="","",IF(ISERROR(FIND("x",LOWER(Registro!$E664))),"-",IFERROR(SUMPRODUCT(--("0"&amp;LEFT(TRIM(MID(SUBSTITUTE(SUBSTITUTE(SUBSTITUTE(SUBSTITUTE(SUBSTITUTE(LOWER(Registro!$E664),"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",LEN(Registro!$E664))),({1,2,3,4,5,6,7,8,9,10,11,12,13,14,15,16,17,18,19,20,21,22,23,24,25,26,27,28,29,30}-1)*LEN(Registro!$E664)+1,LEN(Registro!$E664)))&amp;"x")-1)),--("0"&amp;MID(TRIM(MID(SUBSTITUTE(SUBSTITUTE(SUBSTITUTE(SUBSTITUTE(SUBSTITUTE(LOWER(Registro!$E664),"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",LEN(Registro!$E664))),({1,2,3,4,5,6,7,8,9,10,11,12,13,14,15,16,17,18,19,20,21,22,23,24,25,26,27,28,29,30}-1)*LEN(Registro!$E664)+1,LEN(Registro!$E664)))&amp;"x")+1,20))),"Revisar formato")))</f>
        <v/>
      </c>
      <c r="F664" s="11" t="str">
        <f>IF(Registro!$F664="","",N(Registro!$F664))</f>
        <v/>
      </c>
      <c r="G664" s="11" t="str">
        <f t="shared" si="31"/>
        <v/>
      </c>
      <c r="H664" s="10" t="str">
        <f>IF(Registro!$G664="","",IF(ISERROR(FIND("x",LOWER(Registro!$G664))),"-",IFERROR(SUMPRODUCT(--("0"&amp;LEFT(TRIM(MID(SUBSTITUTE(SUBSTITUTE(SUBSTITUTE(SUBSTITUTE(SUBSTITUTE(LOWER(Registro!$G664),"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",LEN(Registro!$G664))),({1,2,3,4,5,6,7,8,9,10,11,12,13,14,15,16,17,18,19,20,21,22,23,24,25,26,27,28,29,30}-1)*LEN(Registro!$G664)+1,LEN(Registro!$G664))),FIND("x",TRIM(MID(SUBSTITUTE(SUBSTITUTE(SUBSTITUTE(SUBSTITUTE(SUBSTITUTE(LOWER(Registro!$G664),"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",LEN(Registro!$G664))),({1,2,3,4,5,6,7,8,9,10,11,12,13,14,15,16,17,18,19,20,21,22,23,24,25,26,27,28,29,30}-1)*LEN(Registro!$G664)+1,LEN(Registro!$G664)))&amp;"x")-1))),"Revisar formato")))</f>
        <v/>
      </c>
      <c r="I664" s="11" t="str">
        <f>IF(Registro!$G664="","",IF(ISERROR(FIND("x",LOWER(Registro!$G664))),N(Registro!$H664),IFERROR(SUMPRODUCT(--("0"&amp;LEFT(TRIM(MID(SUBSTITUTE(SUBSTITUTE(SUBSTITUTE(SUBSTITUTE(SUBSTITUTE(LOWER(Registro!$G664),"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",LEN(Registro!$G664))),({1,2,3,4,5,6,7,8,9,10,11,12,13,14,15,16,17,18,19,20,21,22,23,24,25,26,27,28,29,30}-1)*LEN(Registro!$G664)+1,LEN(Registro!$G664))),FIND("x",TRIM(MID(SUBSTITUTE(SUBSTITUTE(SUBSTITUTE(SUBSTITUTE(SUBSTITUTE(LOWER(Registro!$G664),"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",LEN(Registro!$G664))),({1,2,3,4,5,6,7,8,9,10,11,12,13,14,15,16,17,18,19,20,21,22,23,24,25,26,27,28,29,30}-1)*LEN(Registro!$G664)+1,LEN(Registro!$G664)))&amp;"x")-1)),--("0"&amp;MID(TRIM(MID(SUBSTITUTE(SUBSTITUTE(SUBSTITUTE(SUBSTITUTE(SUBSTITUTE(LOWER(Registro!$G664),"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",LEN(Registro!$G664))),({1,2,3,4,5,6,7,8,9,10,11,12,13,14,15,16,17,18,19,20,21,22,23,24,25,26,27,28,29,30}-1)*LEN(Registro!$G664)+1,LEN(Registro!$G664))),FIND("x",TRIM(MID(SUBSTITUTE(SUBSTITUTE(SUBSTITUTE(SUBSTITUTE(SUBSTITUTE(LOWER(Registro!$G664),"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",LEN(Registro!$G664))),({1,2,3,4,5,6,7,8,9,10,11,12,13,14,15,16,17,18,19,20,21,22,23,24,25,26,27,28,29,30}-1)*LEN(Registro!$G664)+1,LEN(Registro!$G664)))&amp;"x")+1,20))),"Revisar formato")))</f>
        <v/>
      </c>
      <c r="J664" s="9" t="str">
        <f>IF(AND(Registro!$E664="",Registro!$G664=""),"",IF(NOT(AND(ISNUMBER(I664),ISNUMBER(Registro!$H664))),"",IF(I664&lt;Registro!$H664,"FALTA BOLETOS",IF(I664=Registro!$H664,"CONFORME","DIFERENCIA"))))</f>
        <v/>
      </c>
      <c r="K664" s="11" t="str">
        <f>IF(Registro!$I664="","",IFERROR(SUMPRODUCT(--("0"&amp;TRIM(RIGHT(SUBSTITUTE(TRIM(MID(SUBSTITUTE(SUBSTITUTE(Registro!$I664,";",CHAR(10)),CHAR(10),REPT(" ",LEN(Registro!$I664))),({1,2,3,4,5,6,7,8,9,10,11,12,13,14,15,16,17,18,19,20,21,22,23,24,25,26,27,28,29,30}-1)*LEN(Registro!$I664)+1,LEN(Registro!$I664)))," ",REPT(" ",50)),50)))),"Revisar formato"))</f>
        <v/>
      </c>
      <c r="L664" s="11" t="str">
        <f>IF(Registro!$J664="","",IFERROR(SUMPRODUCT(--("0"&amp;TRIM(RIGHT(SUBSTITUTE(TRIM(MID(SUBSTITUTE(SUBSTITUTE(Registro!$J664,";",CHAR(10)),CHAR(10),REPT(" ",LEN(Registro!$J664))),({1,2,3,4,5,6,7,8,9,10,11,12,13,14,15,16,17,18,19,20,21,22,23,24,25,26,27,28,29,30}-1)*LEN(Registro!$J664)+1,LEN(Registro!$J664)))," ",REPT(" ",50)),50)))),"Revisar formato"))</f>
        <v/>
      </c>
      <c r="M664" s="11" t="str">
        <f>IF(AND(Registro!$H664="",Registro!$I664=""),"",IF(AND(ISTEXT(K664),K664&lt;&gt;""),"Revisar formato",N(Registro!$H664)-N(K664)))</f>
        <v/>
      </c>
      <c r="N664" s="11" t="str">
        <f t="shared" si="32"/>
        <v/>
      </c>
      <c r="O664" s="15" t="str">
        <f>IF(AND(A664=Consulta!$B$3,C664=Consulta!$H$3),B664*10000+ROW(),"")</f>
        <v/>
      </c>
    </row>
    <row r="665" spans="1:15" x14ac:dyDescent="0.25">
      <c r="A665" s="9" t="str">
        <f>IF(Registro!$A665="","",Registro!$A665)</f>
        <v/>
      </c>
      <c r="B665" s="8" t="str">
        <f>IF(Registro!$B665="","",Registro!$B665)</f>
        <v/>
      </c>
      <c r="C665" s="14" t="str">
        <f t="shared" si="30"/>
        <v/>
      </c>
      <c r="D665" s="10" t="str">
        <f>IF(Registro!$E665="","",IF(ISERROR(FIND("x",LOWER(Registro!$E665))),"-",IFERROR(SUMPRODUCT(--("0"&amp;LEFT(TRIM(MID(SUBSTITUTE(SUBSTITUTE(SUBSTITUTE(SUBSTITUTE(SUBSTITUTE(LOWER(Registro!$E665),"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",LEN(Registro!$E665))),({1,2,3,4,5,6,7,8,9,10,11,12,13,14,15,16,17,18,19,20,21,22,23,24,25,26,27,28,29,30}-1)*LEN(Registro!$E665)+1,LEN(Registro!$E665)))&amp;"x")-1))),"Revisar formato")))</f>
        <v/>
      </c>
      <c r="E665" s="11" t="str">
        <f>IF(Registro!$E665="","",IF(ISERROR(FIND("x",LOWER(Registro!$E665))),"-",IFERROR(SUMPRODUCT(--("0"&amp;LEFT(TRIM(MID(SUBSTITUTE(SUBSTITUTE(SUBSTITUTE(SUBSTITUTE(SUBSTITUTE(LOWER(Registro!$E665),"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",LEN(Registro!$E665))),({1,2,3,4,5,6,7,8,9,10,11,12,13,14,15,16,17,18,19,20,21,22,23,24,25,26,27,28,29,30}-1)*LEN(Registro!$E665)+1,LEN(Registro!$E665)))&amp;"x")-1)),--("0"&amp;MID(TRIM(MID(SUBSTITUTE(SUBSTITUTE(SUBSTITUTE(SUBSTITUTE(SUBSTITUTE(LOWER(Registro!$E665),"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",LEN(Registro!$E665))),({1,2,3,4,5,6,7,8,9,10,11,12,13,14,15,16,17,18,19,20,21,22,23,24,25,26,27,28,29,30}-1)*LEN(Registro!$E665)+1,LEN(Registro!$E665)))&amp;"x")+1,20))),"Revisar formato")))</f>
        <v/>
      </c>
      <c r="F665" s="11" t="str">
        <f>IF(Registro!$F665="","",N(Registro!$F665))</f>
        <v/>
      </c>
      <c r="G665" s="11" t="str">
        <f t="shared" si="31"/>
        <v/>
      </c>
      <c r="H665" s="10" t="str">
        <f>IF(Registro!$G665="","",IF(ISERROR(FIND("x",LOWER(Registro!$G665))),"-",IFERROR(SUMPRODUCT(--("0"&amp;LEFT(TRIM(MID(SUBSTITUTE(SUBSTITUTE(SUBSTITUTE(SUBSTITUTE(SUBSTITUTE(LOWER(Registro!$G665),"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",LEN(Registro!$G665))),({1,2,3,4,5,6,7,8,9,10,11,12,13,14,15,16,17,18,19,20,21,22,23,24,25,26,27,28,29,30}-1)*LEN(Registro!$G665)+1,LEN(Registro!$G665))),FIND("x",TRIM(MID(SUBSTITUTE(SUBSTITUTE(SUBSTITUTE(SUBSTITUTE(SUBSTITUTE(LOWER(Registro!$G665),"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",LEN(Registro!$G665))),({1,2,3,4,5,6,7,8,9,10,11,12,13,14,15,16,17,18,19,20,21,22,23,24,25,26,27,28,29,30}-1)*LEN(Registro!$G665)+1,LEN(Registro!$G665)))&amp;"x")-1))),"Revisar formato")))</f>
        <v/>
      </c>
      <c r="I665" s="11" t="str">
        <f>IF(Registro!$G665="","",IF(ISERROR(FIND("x",LOWER(Registro!$G665))),N(Registro!$H665),IFERROR(SUMPRODUCT(--("0"&amp;LEFT(TRIM(MID(SUBSTITUTE(SUBSTITUTE(SUBSTITUTE(SUBSTITUTE(SUBSTITUTE(LOWER(Registro!$G665),"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",LEN(Registro!$G665))),({1,2,3,4,5,6,7,8,9,10,11,12,13,14,15,16,17,18,19,20,21,22,23,24,25,26,27,28,29,30}-1)*LEN(Registro!$G665)+1,LEN(Registro!$G665))),FIND("x",TRIM(MID(SUBSTITUTE(SUBSTITUTE(SUBSTITUTE(SUBSTITUTE(SUBSTITUTE(LOWER(Registro!$G665),"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",LEN(Registro!$G665))),({1,2,3,4,5,6,7,8,9,10,11,12,13,14,15,16,17,18,19,20,21,22,23,24,25,26,27,28,29,30}-1)*LEN(Registro!$G665)+1,LEN(Registro!$G665)))&amp;"x")-1)),--("0"&amp;MID(TRIM(MID(SUBSTITUTE(SUBSTITUTE(SUBSTITUTE(SUBSTITUTE(SUBSTITUTE(LOWER(Registro!$G665),"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",LEN(Registro!$G665))),({1,2,3,4,5,6,7,8,9,10,11,12,13,14,15,16,17,18,19,20,21,22,23,24,25,26,27,28,29,30}-1)*LEN(Registro!$G665)+1,LEN(Registro!$G665))),FIND("x",TRIM(MID(SUBSTITUTE(SUBSTITUTE(SUBSTITUTE(SUBSTITUTE(SUBSTITUTE(LOWER(Registro!$G665),"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",LEN(Registro!$G665))),({1,2,3,4,5,6,7,8,9,10,11,12,13,14,15,16,17,18,19,20,21,22,23,24,25,26,27,28,29,30}-1)*LEN(Registro!$G665)+1,LEN(Registro!$G665)))&amp;"x")+1,20))),"Revisar formato")))</f>
        <v/>
      </c>
      <c r="J665" s="9" t="str">
        <f>IF(AND(Registro!$E665="",Registro!$G665=""),"",IF(NOT(AND(ISNUMBER(I665),ISNUMBER(Registro!$H665))),"",IF(I665&lt;Registro!$H665,"FALTA BOLETOS",IF(I665=Registro!$H665,"CONFORME","DIFERENCIA"))))</f>
        <v/>
      </c>
      <c r="K665" s="11" t="str">
        <f>IF(Registro!$I665="","",IFERROR(SUMPRODUCT(--("0"&amp;TRIM(RIGHT(SUBSTITUTE(TRIM(MID(SUBSTITUTE(SUBSTITUTE(Registro!$I665,";",CHAR(10)),CHAR(10),REPT(" ",LEN(Registro!$I665))),({1,2,3,4,5,6,7,8,9,10,11,12,13,14,15,16,17,18,19,20,21,22,23,24,25,26,27,28,29,30}-1)*LEN(Registro!$I665)+1,LEN(Registro!$I665)))," ",REPT(" ",50)),50)))),"Revisar formato"))</f>
        <v/>
      </c>
      <c r="L665" s="11" t="str">
        <f>IF(Registro!$J665="","",IFERROR(SUMPRODUCT(--("0"&amp;TRIM(RIGHT(SUBSTITUTE(TRIM(MID(SUBSTITUTE(SUBSTITUTE(Registro!$J665,";",CHAR(10)),CHAR(10),REPT(" ",LEN(Registro!$J665))),({1,2,3,4,5,6,7,8,9,10,11,12,13,14,15,16,17,18,19,20,21,22,23,24,25,26,27,28,29,30}-1)*LEN(Registro!$J665)+1,LEN(Registro!$J665)))," ",REPT(" ",50)),50)))),"Revisar formato"))</f>
        <v/>
      </c>
      <c r="M665" s="11" t="str">
        <f>IF(AND(Registro!$H665="",Registro!$I665=""),"",IF(AND(ISTEXT(K665),K665&lt;&gt;""),"Revisar formato",N(Registro!$H665)-N(K665)))</f>
        <v/>
      </c>
      <c r="N665" s="11" t="str">
        <f t="shared" si="32"/>
        <v/>
      </c>
      <c r="O665" s="15" t="str">
        <f>IF(AND(A665=Consulta!$B$3,C665=Consulta!$H$3),B665*10000+ROW(),"")</f>
        <v/>
      </c>
    </row>
    <row r="666" spans="1:15" x14ac:dyDescent="0.25">
      <c r="A666" s="9" t="str">
        <f>IF(Registro!$A666="","",Registro!$A666)</f>
        <v/>
      </c>
      <c r="B666" s="8" t="str">
        <f>IF(Registro!$B666="","",Registro!$B666)</f>
        <v/>
      </c>
      <c r="C666" s="14" t="str">
        <f t="shared" si="30"/>
        <v/>
      </c>
      <c r="D666" s="10" t="str">
        <f>IF(Registro!$E666="","",IF(ISERROR(FIND("x",LOWER(Registro!$E666))),"-",IFERROR(SUMPRODUCT(--("0"&amp;LEFT(TRIM(MID(SUBSTITUTE(SUBSTITUTE(SUBSTITUTE(SUBSTITUTE(SUBSTITUTE(LOWER(Registro!$E666),"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",LEN(Registro!$E666))),({1,2,3,4,5,6,7,8,9,10,11,12,13,14,15,16,17,18,19,20,21,22,23,24,25,26,27,28,29,30}-1)*LEN(Registro!$E666)+1,LEN(Registro!$E666)))&amp;"x")-1))),"Revisar formato")))</f>
        <v/>
      </c>
      <c r="E666" s="11" t="str">
        <f>IF(Registro!$E666="","",IF(ISERROR(FIND("x",LOWER(Registro!$E666))),"-",IFERROR(SUMPRODUCT(--("0"&amp;LEFT(TRIM(MID(SUBSTITUTE(SUBSTITUTE(SUBSTITUTE(SUBSTITUTE(SUBSTITUTE(LOWER(Registro!$E666),"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",LEN(Registro!$E666))),({1,2,3,4,5,6,7,8,9,10,11,12,13,14,15,16,17,18,19,20,21,22,23,24,25,26,27,28,29,30}-1)*LEN(Registro!$E666)+1,LEN(Registro!$E666)))&amp;"x")-1)),--("0"&amp;MID(TRIM(MID(SUBSTITUTE(SUBSTITUTE(SUBSTITUTE(SUBSTITUTE(SUBSTITUTE(LOWER(Registro!$E666),"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",LEN(Registro!$E666))),({1,2,3,4,5,6,7,8,9,10,11,12,13,14,15,16,17,18,19,20,21,22,23,24,25,26,27,28,29,30}-1)*LEN(Registro!$E666)+1,LEN(Registro!$E666)))&amp;"x")+1,20))),"Revisar formato")))</f>
        <v/>
      </c>
      <c r="F666" s="11" t="str">
        <f>IF(Registro!$F666="","",N(Registro!$F666))</f>
        <v/>
      </c>
      <c r="G666" s="11" t="str">
        <f t="shared" si="31"/>
        <v/>
      </c>
      <c r="H666" s="10" t="str">
        <f>IF(Registro!$G666="","",IF(ISERROR(FIND("x",LOWER(Registro!$G666))),"-",IFERROR(SUMPRODUCT(--("0"&amp;LEFT(TRIM(MID(SUBSTITUTE(SUBSTITUTE(SUBSTITUTE(SUBSTITUTE(SUBSTITUTE(LOWER(Registro!$G666),"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",LEN(Registro!$G666))),({1,2,3,4,5,6,7,8,9,10,11,12,13,14,15,16,17,18,19,20,21,22,23,24,25,26,27,28,29,30}-1)*LEN(Registro!$G666)+1,LEN(Registro!$G666))),FIND("x",TRIM(MID(SUBSTITUTE(SUBSTITUTE(SUBSTITUTE(SUBSTITUTE(SUBSTITUTE(LOWER(Registro!$G666),"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",LEN(Registro!$G666))),({1,2,3,4,5,6,7,8,9,10,11,12,13,14,15,16,17,18,19,20,21,22,23,24,25,26,27,28,29,30}-1)*LEN(Registro!$G666)+1,LEN(Registro!$G666)))&amp;"x")-1))),"Revisar formato")))</f>
        <v/>
      </c>
      <c r="I666" s="11" t="str">
        <f>IF(Registro!$G666="","",IF(ISERROR(FIND("x",LOWER(Registro!$G666))),N(Registro!$H666),IFERROR(SUMPRODUCT(--("0"&amp;LEFT(TRIM(MID(SUBSTITUTE(SUBSTITUTE(SUBSTITUTE(SUBSTITUTE(SUBSTITUTE(LOWER(Registro!$G666),"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",LEN(Registro!$G666))),({1,2,3,4,5,6,7,8,9,10,11,12,13,14,15,16,17,18,19,20,21,22,23,24,25,26,27,28,29,30}-1)*LEN(Registro!$G666)+1,LEN(Registro!$G666))),FIND("x",TRIM(MID(SUBSTITUTE(SUBSTITUTE(SUBSTITUTE(SUBSTITUTE(SUBSTITUTE(LOWER(Registro!$G666),"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",LEN(Registro!$G666))),({1,2,3,4,5,6,7,8,9,10,11,12,13,14,15,16,17,18,19,20,21,22,23,24,25,26,27,28,29,30}-1)*LEN(Registro!$G666)+1,LEN(Registro!$G666)))&amp;"x")-1)),--("0"&amp;MID(TRIM(MID(SUBSTITUTE(SUBSTITUTE(SUBSTITUTE(SUBSTITUTE(SUBSTITUTE(LOWER(Registro!$G666),"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",LEN(Registro!$G666))),({1,2,3,4,5,6,7,8,9,10,11,12,13,14,15,16,17,18,19,20,21,22,23,24,25,26,27,28,29,30}-1)*LEN(Registro!$G666)+1,LEN(Registro!$G666))),FIND("x",TRIM(MID(SUBSTITUTE(SUBSTITUTE(SUBSTITUTE(SUBSTITUTE(SUBSTITUTE(LOWER(Registro!$G666),"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",LEN(Registro!$G666))),({1,2,3,4,5,6,7,8,9,10,11,12,13,14,15,16,17,18,19,20,21,22,23,24,25,26,27,28,29,30}-1)*LEN(Registro!$G666)+1,LEN(Registro!$G666)))&amp;"x")+1,20))),"Revisar formato")))</f>
        <v/>
      </c>
      <c r="J666" s="9" t="str">
        <f>IF(AND(Registro!$E666="",Registro!$G666=""),"",IF(NOT(AND(ISNUMBER(I666),ISNUMBER(Registro!$H666))),"",IF(I666&lt;Registro!$H666,"FALTA BOLETOS",IF(I666=Registro!$H666,"CONFORME","DIFERENCIA"))))</f>
        <v/>
      </c>
      <c r="K666" s="11" t="str">
        <f>IF(Registro!$I666="","",IFERROR(SUMPRODUCT(--("0"&amp;TRIM(RIGHT(SUBSTITUTE(TRIM(MID(SUBSTITUTE(SUBSTITUTE(Registro!$I666,";",CHAR(10)),CHAR(10),REPT(" ",LEN(Registro!$I666))),({1,2,3,4,5,6,7,8,9,10,11,12,13,14,15,16,17,18,19,20,21,22,23,24,25,26,27,28,29,30}-1)*LEN(Registro!$I666)+1,LEN(Registro!$I666)))," ",REPT(" ",50)),50)))),"Revisar formato"))</f>
        <v/>
      </c>
      <c r="L666" s="11" t="str">
        <f>IF(Registro!$J666="","",IFERROR(SUMPRODUCT(--("0"&amp;TRIM(RIGHT(SUBSTITUTE(TRIM(MID(SUBSTITUTE(SUBSTITUTE(Registro!$J666,";",CHAR(10)),CHAR(10),REPT(" ",LEN(Registro!$J666))),({1,2,3,4,5,6,7,8,9,10,11,12,13,14,15,16,17,18,19,20,21,22,23,24,25,26,27,28,29,30}-1)*LEN(Registro!$J666)+1,LEN(Registro!$J666)))," ",REPT(" ",50)),50)))),"Revisar formato"))</f>
        <v/>
      </c>
      <c r="M666" s="11" t="str">
        <f>IF(AND(Registro!$H666="",Registro!$I666=""),"",IF(AND(ISTEXT(K666),K666&lt;&gt;""),"Revisar formato",N(Registro!$H666)-N(K666)))</f>
        <v/>
      </c>
      <c r="N666" s="11" t="str">
        <f t="shared" si="32"/>
        <v/>
      </c>
      <c r="O666" s="15" t="str">
        <f>IF(AND(A666=Consulta!$B$3,C666=Consulta!$H$3),B666*10000+ROW(),"")</f>
        <v/>
      </c>
    </row>
    <row r="667" spans="1:15" x14ac:dyDescent="0.25">
      <c r="A667" s="9" t="str">
        <f>IF(Registro!$A667="","",Registro!$A667)</f>
        <v/>
      </c>
      <c r="B667" s="8" t="str">
        <f>IF(Registro!$B667="","",Registro!$B667)</f>
        <v/>
      </c>
      <c r="C667" s="14" t="str">
        <f t="shared" si="30"/>
        <v/>
      </c>
      <c r="D667" s="10" t="str">
        <f>IF(Registro!$E667="","",IF(ISERROR(FIND("x",LOWER(Registro!$E667))),"-",IFERROR(SUMPRODUCT(--("0"&amp;LEFT(TRIM(MID(SUBSTITUTE(SUBSTITUTE(SUBSTITUTE(SUBSTITUTE(SUBSTITUTE(LOWER(Registro!$E667),"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",LEN(Registro!$E667))),({1,2,3,4,5,6,7,8,9,10,11,12,13,14,15,16,17,18,19,20,21,22,23,24,25,26,27,28,29,30}-1)*LEN(Registro!$E667)+1,LEN(Registro!$E667)))&amp;"x")-1))),"Revisar formato")))</f>
        <v/>
      </c>
      <c r="E667" s="11" t="str">
        <f>IF(Registro!$E667="","",IF(ISERROR(FIND("x",LOWER(Registro!$E667))),"-",IFERROR(SUMPRODUCT(--("0"&amp;LEFT(TRIM(MID(SUBSTITUTE(SUBSTITUTE(SUBSTITUTE(SUBSTITUTE(SUBSTITUTE(LOWER(Registro!$E667),"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",LEN(Registro!$E667))),({1,2,3,4,5,6,7,8,9,10,11,12,13,14,15,16,17,18,19,20,21,22,23,24,25,26,27,28,29,30}-1)*LEN(Registro!$E667)+1,LEN(Registro!$E667)))&amp;"x")-1)),--("0"&amp;MID(TRIM(MID(SUBSTITUTE(SUBSTITUTE(SUBSTITUTE(SUBSTITUTE(SUBSTITUTE(LOWER(Registro!$E667),"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",LEN(Registro!$E667))),({1,2,3,4,5,6,7,8,9,10,11,12,13,14,15,16,17,18,19,20,21,22,23,24,25,26,27,28,29,30}-1)*LEN(Registro!$E667)+1,LEN(Registro!$E667)))&amp;"x")+1,20))),"Revisar formato")))</f>
        <v/>
      </c>
      <c r="F667" s="11" t="str">
        <f>IF(Registro!$F667="","",N(Registro!$F667))</f>
        <v/>
      </c>
      <c r="G667" s="11" t="str">
        <f t="shared" si="31"/>
        <v/>
      </c>
      <c r="H667" s="10" t="str">
        <f>IF(Registro!$G667="","",IF(ISERROR(FIND("x",LOWER(Registro!$G667))),"-",IFERROR(SUMPRODUCT(--("0"&amp;LEFT(TRIM(MID(SUBSTITUTE(SUBSTITUTE(SUBSTITUTE(SUBSTITUTE(SUBSTITUTE(LOWER(Registro!$G667),"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",LEN(Registro!$G667))),({1,2,3,4,5,6,7,8,9,10,11,12,13,14,15,16,17,18,19,20,21,22,23,24,25,26,27,28,29,30}-1)*LEN(Registro!$G667)+1,LEN(Registro!$G667))),FIND("x",TRIM(MID(SUBSTITUTE(SUBSTITUTE(SUBSTITUTE(SUBSTITUTE(SUBSTITUTE(LOWER(Registro!$G667),"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",LEN(Registro!$G667))),({1,2,3,4,5,6,7,8,9,10,11,12,13,14,15,16,17,18,19,20,21,22,23,24,25,26,27,28,29,30}-1)*LEN(Registro!$G667)+1,LEN(Registro!$G667)))&amp;"x")-1))),"Revisar formato")))</f>
        <v/>
      </c>
      <c r="I667" s="11" t="str">
        <f>IF(Registro!$G667="","",IF(ISERROR(FIND("x",LOWER(Registro!$G667))),N(Registro!$H667),IFERROR(SUMPRODUCT(--("0"&amp;LEFT(TRIM(MID(SUBSTITUTE(SUBSTITUTE(SUBSTITUTE(SUBSTITUTE(SUBSTITUTE(LOWER(Registro!$G667),"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",LEN(Registro!$G667))),({1,2,3,4,5,6,7,8,9,10,11,12,13,14,15,16,17,18,19,20,21,22,23,24,25,26,27,28,29,30}-1)*LEN(Registro!$G667)+1,LEN(Registro!$G667))),FIND("x",TRIM(MID(SUBSTITUTE(SUBSTITUTE(SUBSTITUTE(SUBSTITUTE(SUBSTITUTE(LOWER(Registro!$G667),"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",LEN(Registro!$G667))),({1,2,3,4,5,6,7,8,9,10,11,12,13,14,15,16,17,18,19,20,21,22,23,24,25,26,27,28,29,30}-1)*LEN(Registro!$G667)+1,LEN(Registro!$G667)))&amp;"x")-1)),--("0"&amp;MID(TRIM(MID(SUBSTITUTE(SUBSTITUTE(SUBSTITUTE(SUBSTITUTE(SUBSTITUTE(LOWER(Registro!$G667),"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",LEN(Registro!$G667))),({1,2,3,4,5,6,7,8,9,10,11,12,13,14,15,16,17,18,19,20,21,22,23,24,25,26,27,28,29,30}-1)*LEN(Registro!$G667)+1,LEN(Registro!$G667))),FIND("x",TRIM(MID(SUBSTITUTE(SUBSTITUTE(SUBSTITUTE(SUBSTITUTE(SUBSTITUTE(LOWER(Registro!$G667),"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",LEN(Registro!$G667))),({1,2,3,4,5,6,7,8,9,10,11,12,13,14,15,16,17,18,19,20,21,22,23,24,25,26,27,28,29,30}-1)*LEN(Registro!$G667)+1,LEN(Registro!$G667)))&amp;"x")+1,20))),"Revisar formato")))</f>
        <v/>
      </c>
      <c r="J667" s="9" t="str">
        <f>IF(AND(Registro!$E667="",Registro!$G667=""),"",IF(NOT(AND(ISNUMBER(I667),ISNUMBER(Registro!$H667))),"",IF(I667&lt;Registro!$H667,"FALTA BOLETOS",IF(I667=Registro!$H667,"CONFORME","DIFERENCIA"))))</f>
        <v/>
      </c>
      <c r="K667" s="11" t="str">
        <f>IF(Registro!$I667="","",IFERROR(SUMPRODUCT(--("0"&amp;TRIM(RIGHT(SUBSTITUTE(TRIM(MID(SUBSTITUTE(SUBSTITUTE(Registro!$I667,";",CHAR(10)),CHAR(10),REPT(" ",LEN(Registro!$I667))),({1,2,3,4,5,6,7,8,9,10,11,12,13,14,15,16,17,18,19,20,21,22,23,24,25,26,27,28,29,30}-1)*LEN(Registro!$I667)+1,LEN(Registro!$I667)))," ",REPT(" ",50)),50)))),"Revisar formato"))</f>
        <v/>
      </c>
      <c r="L667" s="11" t="str">
        <f>IF(Registro!$J667="","",IFERROR(SUMPRODUCT(--("0"&amp;TRIM(RIGHT(SUBSTITUTE(TRIM(MID(SUBSTITUTE(SUBSTITUTE(Registro!$J667,";",CHAR(10)),CHAR(10),REPT(" ",LEN(Registro!$J667))),({1,2,3,4,5,6,7,8,9,10,11,12,13,14,15,16,17,18,19,20,21,22,23,24,25,26,27,28,29,30}-1)*LEN(Registro!$J667)+1,LEN(Registro!$J667)))," ",REPT(" ",50)),50)))),"Revisar formato"))</f>
        <v/>
      </c>
      <c r="M667" s="11" t="str">
        <f>IF(AND(Registro!$H667="",Registro!$I667=""),"",IF(AND(ISTEXT(K667),K667&lt;&gt;""),"Revisar formato",N(Registro!$H667)-N(K667)))</f>
        <v/>
      </c>
      <c r="N667" s="11" t="str">
        <f t="shared" si="32"/>
        <v/>
      </c>
      <c r="O667" s="15" t="str">
        <f>IF(AND(A667=Consulta!$B$3,C667=Consulta!$H$3),B667*10000+ROW(),"")</f>
        <v/>
      </c>
    </row>
    <row r="668" spans="1:15" x14ac:dyDescent="0.25">
      <c r="A668" s="9" t="str">
        <f>IF(Registro!$A668="","",Registro!$A668)</f>
        <v/>
      </c>
      <c r="B668" s="8" t="str">
        <f>IF(Registro!$B668="","",Registro!$B668)</f>
        <v/>
      </c>
      <c r="C668" s="14" t="str">
        <f t="shared" si="30"/>
        <v/>
      </c>
      <c r="D668" s="10" t="str">
        <f>IF(Registro!$E668="","",IF(ISERROR(FIND("x",LOWER(Registro!$E668))),"-",IFERROR(SUMPRODUCT(--("0"&amp;LEFT(TRIM(MID(SUBSTITUTE(SUBSTITUTE(SUBSTITUTE(SUBSTITUTE(SUBSTITUTE(LOWER(Registro!$E668),"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",LEN(Registro!$E668))),({1,2,3,4,5,6,7,8,9,10,11,12,13,14,15,16,17,18,19,20,21,22,23,24,25,26,27,28,29,30}-1)*LEN(Registro!$E668)+1,LEN(Registro!$E668)))&amp;"x")-1))),"Revisar formato")))</f>
        <v/>
      </c>
      <c r="E668" s="11" t="str">
        <f>IF(Registro!$E668="","",IF(ISERROR(FIND("x",LOWER(Registro!$E668))),"-",IFERROR(SUMPRODUCT(--("0"&amp;LEFT(TRIM(MID(SUBSTITUTE(SUBSTITUTE(SUBSTITUTE(SUBSTITUTE(SUBSTITUTE(LOWER(Registro!$E668),"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",LEN(Registro!$E668))),({1,2,3,4,5,6,7,8,9,10,11,12,13,14,15,16,17,18,19,20,21,22,23,24,25,26,27,28,29,30}-1)*LEN(Registro!$E668)+1,LEN(Registro!$E668)))&amp;"x")-1)),--("0"&amp;MID(TRIM(MID(SUBSTITUTE(SUBSTITUTE(SUBSTITUTE(SUBSTITUTE(SUBSTITUTE(LOWER(Registro!$E668),"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",LEN(Registro!$E668))),({1,2,3,4,5,6,7,8,9,10,11,12,13,14,15,16,17,18,19,20,21,22,23,24,25,26,27,28,29,30}-1)*LEN(Registro!$E668)+1,LEN(Registro!$E668)))&amp;"x")+1,20))),"Revisar formato")))</f>
        <v/>
      </c>
      <c r="F668" s="11" t="str">
        <f>IF(Registro!$F668="","",N(Registro!$F668))</f>
        <v/>
      </c>
      <c r="G668" s="11" t="str">
        <f t="shared" si="31"/>
        <v/>
      </c>
      <c r="H668" s="10" t="str">
        <f>IF(Registro!$G668="","",IF(ISERROR(FIND("x",LOWER(Registro!$G668))),"-",IFERROR(SUMPRODUCT(--("0"&amp;LEFT(TRIM(MID(SUBSTITUTE(SUBSTITUTE(SUBSTITUTE(SUBSTITUTE(SUBSTITUTE(LOWER(Registro!$G668),"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",LEN(Registro!$G668))),({1,2,3,4,5,6,7,8,9,10,11,12,13,14,15,16,17,18,19,20,21,22,23,24,25,26,27,28,29,30}-1)*LEN(Registro!$G668)+1,LEN(Registro!$G668))),FIND("x",TRIM(MID(SUBSTITUTE(SUBSTITUTE(SUBSTITUTE(SUBSTITUTE(SUBSTITUTE(LOWER(Registro!$G668),"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",LEN(Registro!$G668))),({1,2,3,4,5,6,7,8,9,10,11,12,13,14,15,16,17,18,19,20,21,22,23,24,25,26,27,28,29,30}-1)*LEN(Registro!$G668)+1,LEN(Registro!$G668)))&amp;"x")-1))),"Revisar formato")))</f>
        <v/>
      </c>
      <c r="I668" s="11" t="str">
        <f>IF(Registro!$G668="","",IF(ISERROR(FIND("x",LOWER(Registro!$G668))),N(Registro!$H668),IFERROR(SUMPRODUCT(--("0"&amp;LEFT(TRIM(MID(SUBSTITUTE(SUBSTITUTE(SUBSTITUTE(SUBSTITUTE(SUBSTITUTE(LOWER(Registro!$G668),"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",LEN(Registro!$G668))),({1,2,3,4,5,6,7,8,9,10,11,12,13,14,15,16,17,18,19,20,21,22,23,24,25,26,27,28,29,30}-1)*LEN(Registro!$G668)+1,LEN(Registro!$G668))),FIND("x",TRIM(MID(SUBSTITUTE(SUBSTITUTE(SUBSTITUTE(SUBSTITUTE(SUBSTITUTE(LOWER(Registro!$G668),"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",LEN(Registro!$G668))),({1,2,3,4,5,6,7,8,9,10,11,12,13,14,15,16,17,18,19,20,21,22,23,24,25,26,27,28,29,30}-1)*LEN(Registro!$G668)+1,LEN(Registro!$G668)))&amp;"x")-1)),--("0"&amp;MID(TRIM(MID(SUBSTITUTE(SUBSTITUTE(SUBSTITUTE(SUBSTITUTE(SUBSTITUTE(LOWER(Registro!$G668),"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",LEN(Registro!$G668))),({1,2,3,4,5,6,7,8,9,10,11,12,13,14,15,16,17,18,19,20,21,22,23,24,25,26,27,28,29,30}-1)*LEN(Registro!$G668)+1,LEN(Registro!$G668))),FIND("x",TRIM(MID(SUBSTITUTE(SUBSTITUTE(SUBSTITUTE(SUBSTITUTE(SUBSTITUTE(LOWER(Registro!$G668),"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",LEN(Registro!$G668))),({1,2,3,4,5,6,7,8,9,10,11,12,13,14,15,16,17,18,19,20,21,22,23,24,25,26,27,28,29,30}-1)*LEN(Registro!$G668)+1,LEN(Registro!$G668)))&amp;"x")+1,20))),"Revisar formato")))</f>
        <v/>
      </c>
      <c r="J668" s="9" t="str">
        <f>IF(AND(Registro!$E668="",Registro!$G668=""),"",IF(NOT(AND(ISNUMBER(I668),ISNUMBER(Registro!$H668))),"",IF(I668&lt;Registro!$H668,"FALTA BOLETOS",IF(I668=Registro!$H668,"CONFORME","DIFERENCIA"))))</f>
        <v/>
      </c>
      <c r="K668" s="11" t="str">
        <f>IF(Registro!$I668="","",IFERROR(SUMPRODUCT(--("0"&amp;TRIM(RIGHT(SUBSTITUTE(TRIM(MID(SUBSTITUTE(SUBSTITUTE(Registro!$I668,";",CHAR(10)),CHAR(10),REPT(" ",LEN(Registro!$I668))),({1,2,3,4,5,6,7,8,9,10,11,12,13,14,15,16,17,18,19,20,21,22,23,24,25,26,27,28,29,30}-1)*LEN(Registro!$I668)+1,LEN(Registro!$I668)))," ",REPT(" ",50)),50)))),"Revisar formato"))</f>
        <v/>
      </c>
      <c r="L668" s="11" t="str">
        <f>IF(Registro!$J668="","",IFERROR(SUMPRODUCT(--("0"&amp;TRIM(RIGHT(SUBSTITUTE(TRIM(MID(SUBSTITUTE(SUBSTITUTE(Registro!$J668,";",CHAR(10)),CHAR(10),REPT(" ",LEN(Registro!$J668))),({1,2,3,4,5,6,7,8,9,10,11,12,13,14,15,16,17,18,19,20,21,22,23,24,25,26,27,28,29,30}-1)*LEN(Registro!$J668)+1,LEN(Registro!$J668)))," ",REPT(" ",50)),50)))),"Revisar formato"))</f>
        <v/>
      </c>
      <c r="M668" s="11" t="str">
        <f>IF(AND(Registro!$H668="",Registro!$I668=""),"",IF(AND(ISTEXT(K668),K668&lt;&gt;""),"Revisar formato",N(Registro!$H668)-N(K668)))</f>
        <v/>
      </c>
      <c r="N668" s="11" t="str">
        <f t="shared" si="32"/>
        <v/>
      </c>
      <c r="O668" s="15" t="str">
        <f>IF(AND(A668=Consulta!$B$3,C668=Consulta!$H$3),B668*10000+ROW(),"")</f>
        <v/>
      </c>
    </row>
    <row r="669" spans="1:15" x14ac:dyDescent="0.25">
      <c r="A669" s="9" t="str">
        <f>IF(Registro!$A669="","",Registro!$A669)</f>
        <v/>
      </c>
      <c r="B669" s="8" t="str">
        <f>IF(Registro!$B669="","",Registro!$B669)</f>
        <v/>
      </c>
      <c r="C669" s="14" t="str">
        <f t="shared" si="30"/>
        <v/>
      </c>
      <c r="D669" s="10" t="str">
        <f>IF(Registro!$E669="","",IF(ISERROR(FIND("x",LOWER(Registro!$E669))),"-",IFERROR(SUMPRODUCT(--("0"&amp;LEFT(TRIM(MID(SUBSTITUTE(SUBSTITUTE(SUBSTITUTE(SUBSTITUTE(SUBSTITUTE(LOWER(Registro!$E669),"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",LEN(Registro!$E669))),({1,2,3,4,5,6,7,8,9,10,11,12,13,14,15,16,17,18,19,20,21,22,23,24,25,26,27,28,29,30}-1)*LEN(Registro!$E669)+1,LEN(Registro!$E669)))&amp;"x")-1))),"Revisar formato")))</f>
        <v/>
      </c>
      <c r="E669" s="11" t="str">
        <f>IF(Registro!$E669="","",IF(ISERROR(FIND("x",LOWER(Registro!$E669))),"-",IFERROR(SUMPRODUCT(--("0"&amp;LEFT(TRIM(MID(SUBSTITUTE(SUBSTITUTE(SUBSTITUTE(SUBSTITUTE(SUBSTITUTE(LOWER(Registro!$E669),"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",LEN(Registro!$E669))),({1,2,3,4,5,6,7,8,9,10,11,12,13,14,15,16,17,18,19,20,21,22,23,24,25,26,27,28,29,30}-1)*LEN(Registro!$E669)+1,LEN(Registro!$E669)))&amp;"x")-1)),--("0"&amp;MID(TRIM(MID(SUBSTITUTE(SUBSTITUTE(SUBSTITUTE(SUBSTITUTE(SUBSTITUTE(LOWER(Registro!$E669),"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",LEN(Registro!$E669))),({1,2,3,4,5,6,7,8,9,10,11,12,13,14,15,16,17,18,19,20,21,22,23,24,25,26,27,28,29,30}-1)*LEN(Registro!$E669)+1,LEN(Registro!$E669)))&amp;"x")+1,20))),"Revisar formato")))</f>
        <v/>
      </c>
      <c r="F669" s="11" t="str">
        <f>IF(Registro!$F669="","",N(Registro!$F669))</f>
        <v/>
      </c>
      <c r="G669" s="11" t="str">
        <f t="shared" si="31"/>
        <v/>
      </c>
      <c r="H669" s="10" t="str">
        <f>IF(Registro!$G669="","",IF(ISERROR(FIND("x",LOWER(Registro!$G669))),"-",IFERROR(SUMPRODUCT(--("0"&amp;LEFT(TRIM(MID(SUBSTITUTE(SUBSTITUTE(SUBSTITUTE(SUBSTITUTE(SUBSTITUTE(LOWER(Registro!$G669),"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",LEN(Registro!$G669))),({1,2,3,4,5,6,7,8,9,10,11,12,13,14,15,16,17,18,19,20,21,22,23,24,25,26,27,28,29,30}-1)*LEN(Registro!$G669)+1,LEN(Registro!$G669))),FIND("x",TRIM(MID(SUBSTITUTE(SUBSTITUTE(SUBSTITUTE(SUBSTITUTE(SUBSTITUTE(LOWER(Registro!$G669),"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",LEN(Registro!$G669))),({1,2,3,4,5,6,7,8,9,10,11,12,13,14,15,16,17,18,19,20,21,22,23,24,25,26,27,28,29,30}-1)*LEN(Registro!$G669)+1,LEN(Registro!$G669)))&amp;"x")-1))),"Revisar formato")))</f>
        <v/>
      </c>
      <c r="I669" s="11" t="str">
        <f>IF(Registro!$G669="","",IF(ISERROR(FIND("x",LOWER(Registro!$G669))),N(Registro!$H669),IFERROR(SUMPRODUCT(--("0"&amp;LEFT(TRIM(MID(SUBSTITUTE(SUBSTITUTE(SUBSTITUTE(SUBSTITUTE(SUBSTITUTE(LOWER(Registro!$G669),"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",LEN(Registro!$G669))),({1,2,3,4,5,6,7,8,9,10,11,12,13,14,15,16,17,18,19,20,21,22,23,24,25,26,27,28,29,30}-1)*LEN(Registro!$G669)+1,LEN(Registro!$G669))),FIND("x",TRIM(MID(SUBSTITUTE(SUBSTITUTE(SUBSTITUTE(SUBSTITUTE(SUBSTITUTE(LOWER(Registro!$G669),"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",LEN(Registro!$G669))),({1,2,3,4,5,6,7,8,9,10,11,12,13,14,15,16,17,18,19,20,21,22,23,24,25,26,27,28,29,30}-1)*LEN(Registro!$G669)+1,LEN(Registro!$G669)))&amp;"x")-1)),--("0"&amp;MID(TRIM(MID(SUBSTITUTE(SUBSTITUTE(SUBSTITUTE(SUBSTITUTE(SUBSTITUTE(LOWER(Registro!$G669),"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",LEN(Registro!$G669))),({1,2,3,4,5,6,7,8,9,10,11,12,13,14,15,16,17,18,19,20,21,22,23,24,25,26,27,28,29,30}-1)*LEN(Registro!$G669)+1,LEN(Registro!$G669))),FIND("x",TRIM(MID(SUBSTITUTE(SUBSTITUTE(SUBSTITUTE(SUBSTITUTE(SUBSTITUTE(LOWER(Registro!$G669),"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",LEN(Registro!$G669))),({1,2,3,4,5,6,7,8,9,10,11,12,13,14,15,16,17,18,19,20,21,22,23,24,25,26,27,28,29,30}-1)*LEN(Registro!$G669)+1,LEN(Registro!$G669)))&amp;"x")+1,20))),"Revisar formato")))</f>
        <v/>
      </c>
      <c r="J669" s="9" t="str">
        <f>IF(AND(Registro!$E669="",Registro!$G669=""),"",IF(NOT(AND(ISNUMBER(I669),ISNUMBER(Registro!$H669))),"",IF(I669&lt;Registro!$H669,"FALTA BOLETOS",IF(I669=Registro!$H669,"CONFORME","DIFERENCIA"))))</f>
        <v/>
      </c>
      <c r="K669" s="11" t="str">
        <f>IF(Registro!$I669="","",IFERROR(SUMPRODUCT(--("0"&amp;TRIM(RIGHT(SUBSTITUTE(TRIM(MID(SUBSTITUTE(SUBSTITUTE(Registro!$I669,";",CHAR(10)),CHAR(10),REPT(" ",LEN(Registro!$I669))),({1,2,3,4,5,6,7,8,9,10,11,12,13,14,15,16,17,18,19,20,21,22,23,24,25,26,27,28,29,30}-1)*LEN(Registro!$I669)+1,LEN(Registro!$I669)))," ",REPT(" ",50)),50)))),"Revisar formato"))</f>
        <v/>
      </c>
      <c r="L669" s="11" t="str">
        <f>IF(Registro!$J669="","",IFERROR(SUMPRODUCT(--("0"&amp;TRIM(RIGHT(SUBSTITUTE(TRIM(MID(SUBSTITUTE(SUBSTITUTE(Registro!$J669,";",CHAR(10)),CHAR(10),REPT(" ",LEN(Registro!$J669))),({1,2,3,4,5,6,7,8,9,10,11,12,13,14,15,16,17,18,19,20,21,22,23,24,25,26,27,28,29,30}-1)*LEN(Registro!$J669)+1,LEN(Registro!$J669)))," ",REPT(" ",50)),50)))),"Revisar formato"))</f>
        <v/>
      </c>
      <c r="M669" s="11" t="str">
        <f>IF(AND(Registro!$H669="",Registro!$I669=""),"",IF(AND(ISTEXT(K669),K669&lt;&gt;""),"Revisar formato",N(Registro!$H669)-N(K669)))</f>
        <v/>
      </c>
      <c r="N669" s="11" t="str">
        <f t="shared" si="32"/>
        <v/>
      </c>
      <c r="O669" s="15" t="str">
        <f>IF(AND(A669=Consulta!$B$3,C669=Consulta!$H$3),B669*10000+ROW(),"")</f>
        <v/>
      </c>
    </row>
    <row r="670" spans="1:15" x14ac:dyDescent="0.25">
      <c r="A670" s="9" t="str">
        <f>IF(Registro!$A670="","",Registro!$A670)</f>
        <v/>
      </c>
      <c r="B670" s="8" t="str">
        <f>IF(Registro!$B670="","",Registro!$B670)</f>
        <v/>
      </c>
      <c r="C670" s="14" t="str">
        <f t="shared" si="30"/>
        <v/>
      </c>
      <c r="D670" s="10" t="str">
        <f>IF(Registro!$E670="","",IF(ISERROR(FIND("x",LOWER(Registro!$E670))),"-",IFERROR(SUMPRODUCT(--("0"&amp;LEFT(TRIM(MID(SUBSTITUTE(SUBSTITUTE(SUBSTITUTE(SUBSTITUTE(SUBSTITUTE(LOWER(Registro!$E670),"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",LEN(Registro!$E670))),({1,2,3,4,5,6,7,8,9,10,11,12,13,14,15,16,17,18,19,20,21,22,23,24,25,26,27,28,29,30}-1)*LEN(Registro!$E670)+1,LEN(Registro!$E670)))&amp;"x")-1))),"Revisar formato")))</f>
        <v/>
      </c>
      <c r="E670" s="11" t="str">
        <f>IF(Registro!$E670="","",IF(ISERROR(FIND("x",LOWER(Registro!$E670))),"-",IFERROR(SUMPRODUCT(--("0"&amp;LEFT(TRIM(MID(SUBSTITUTE(SUBSTITUTE(SUBSTITUTE(SUBSTITUTE(SUBSTITUTE(LOWER(Registro!$E670),"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",LEN(Registro!$E670))),({1,2,3,4,5,6,7,8,9,10,11,12,13,14,15,16,17,18,19,20,21,22,23,24,25,26,27,28,29,30}-1)*LEN(Registro!$E670)+1,LEN(Registro!$E670)))&amp;"x")-1)),--("0"&amp;MID(TRIM(MID(SUBSTITUTE(SUBSTITUTE(SUBSTITUTE(SUBSTITUTE(SUBSTITUTE(LOWER(Registro!$E670),"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",LEN(Registro!$E670))),({1,2,3,4,5,6,7,8,9,10,11,12,13,14,15,16,17,18,19,20,21,22,23,24,25,26,27,28,29,30}-1)*LEN(Registro!$E670)+1,LEN(Registro!$E670)))&amp;"x")+1,20))),"Revisar formato")))</f>
        <v/>
      </c>
      <c r="F670" s="11" t="str">
        <f>IF(Registro!$F670="","",N(Registro!$F670))</f>
        <v/>
      </c>
      <c r="G670" s="11" t="str">
        <f t="shared" si="31"/>
        <v/>
      </c>
      <c r="H670" s="10" t="str">
        <f>IF(Registro!$G670="","",IF(ISERROR(FIND("x",LOWER(Registro!$G670))),"-",IFERROR(SUMPRODUCT(--("0"&amp;LEFT(TRIM(MID(SUBSTITUTE(SUBSTITUTE(SUBSTITUTE(SUBSTITUTE(SUBSTITUTE(LOWER(Registro!$G670),"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",LEN(Registro!$G670))),({1,2,3,4,5,6,7,8,9,10,11,12,13,14,15,16,17,18,19,20,21,22,23,24,25,26,27,28,29,30}-1)*LEN(Registro!$G670)+1,LEN(Registro!$G670))),FIND("x",TRIM(MID(SUBSTITUTE(SUBSTITUTE(SUBSTITUTE(SUBSTITUTE(SUBSTITUTE(LOWER(Registro!$G670),"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",LEN(Registro!$G670))),({1,2,3,4,5,6,7,8,9,10,11,12,13,14,15,16,17,18,19,20,21,22,23,24,25,26,27,28,29,30}-1)*LEN(Registro!$G670)+1,LEN(Registro!$G670)))&amp;"x")-1))),"Revisar formato")))</f>
        <v/>
      </c>
      <c r="I670" s="11" t="str">
        <f>IF(Registro!$G670="","",IF(ISERROR(FIND("x",LOWER(Registro!$G670))),N(Registro!$H670),IFERROR(SUMPRODUCT(--("0"&amp;LEFT(TRIM(MID(SUBSTITUTE(SUBSTITUTE(SUBSTITUTE(SUBSTITUTE(SUBSTITUTE(LOWER(Registro!$G670),"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",LEN(Registro!$G670))),({1,2,3,4,5,6,7,8,9,10,11,12,13,14,15,16,17,18,19,20,21,22,23,24,25,26,27,28,29,30}-1)*LEN(Registro!$G670)+1,LEN(Registro!$G670))),FIND("x",TRIM(MID(SUBSTITUTE(SUBSTITUTE(SUBSTITUTE(SUBSTITUTE(SUBSTITUTE(LOWER(Registro!$G670),"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",LEN(Registro!$G670))),({1,2,3,4,5,6,7,8,9,10,11,12,13,14,15,16,17,18,19,20,21,22,23,24,25,26,27,28,29,30}-1)*LEN(Registro!$G670)+1,LEN(Registro!$G670)))&amp;"x")-1)),--("0"&amp;MID(TRIM(MID(SUBSTITUTE(SUBSTITUTE(SUBSTITUTE(SUBSTITUTE(SUBSTITUTE(LOWER(Registro!$G670),"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",LEN(Registro!$G670))),({1,2,3,4,5,6,7,8,9,10,11,12,13,14,15,16,17,18,19,20,21,22,23,24,25,26,27,28,29,30}-1)*LEN(Registro!$G670)+1,LEN(Registro!$G670))),FIND("x",TRIM(MID(SUBSTITUTE(SUBSTITUTE(SUBSTITUTE(SUBSTITUTE(SUBSTITUTE(LOWER(Registro!$G670),"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",LEN(Registro!$G670))),({1,2,3,4,5,6,7,8,9,10,11,12,13,14,15,16,17,18,19,20,21,22,23,24,25,26,27,28,29,30}-1)*LEN(Registro!$G670)+1,LEN(Registro!$G670)))&amp;"x")+1,20))),"Revisar formato")))</f>
        <v/>
      </c>
      <c r="J670" s="9" t="str">
        <f>IF(AND(Registro!$E670="",Registro!$G670=""),"",IF(NOT(AND(ISNUMBER(I670),ISNUMBER(Registro!$H670))),"",IF(I670&lt;Registro!$H670,"FALTA BOLETOS",IF(I670=Registro!$H670,"CONFORME","DIFERENCIA"))))</f>
        <v/>
      </c>
      <c r="K670" s="11" t="str">
        <f>IF(Registro!$I670="","",IFERROR(SUMPRODUCT(--("0"&amp;TRIM(RIGHT(SUBSTITUTE(TRIM(MID(SUBSTITUTE(SUBSTITUTE(Registro!$I670,";",CHAR(10)),CHAR(10),REPT(" ",LEN(Registro!$I670))),({1,2,3,4,5,6,7,8,9,10,11,12,13,14,15,16,17,18,19,20,21,22,23,24,25,26,27,28,29,30}-1)*LEN(Registro!$I670)+1,LEN(Registro!$I670)))," ",REPT(" ",50)),50)))),"Revisar formato"))</f>
        <v/>
      </c>
      <c r="L670" s="11" t="str">
        <f>IF(Registro!$J670="","",IFERROR(SUMPRODUCT(--("0"&amp;TRIM(RIGHT(SUBSTITUTE(TRIM(MID(SUBSTITUTE(SUBSTITUTE(Registro!$J670,";",CHAR(10)),CHAR(10),REPT(" ",LEN(Registro!$J670))),({1,2,3,4,5,6,7,8,9,10,11,12,13,14,15,16,17,18,19,20,21,22,23,24,25,26,27,28,29,30}-1)*LEN(Registro!$J670)+1,LEN(Registro!$J670)))," ",REPT(" ",50)),50)))),"Revisar formato"))</f>
        <v/>
      </c>
      <c r="M670" s="11" t="str">
        <f>IF(AND(Registro!$H670="",Registro!$I670=""),"",IF(AND(ISTEXT(K670),K670&lt;&gt;""),"Revisar formato",N(Registro!$H670)-N(K670)))</f>
        <v/>
      </c>
      <c r="N670" s="11" t="str">
        <f t="shared" si="32"/>
        <v/>
      </c>
      <c r="O670" s="15" t="str">
        <f>IF(AND(A670=Consulta!$B$3,C670=Consulta!$H$3),B670*10000+ROW(),"")</f>
        <v/>
      </c>
    </row>
    <row r="671" spans="1:15" x14ac:dyDescent="0.25">
      <c r="A671" s="9" t="str">
        <f>IF(Registro!$A671="","",Registro!$A671)</f>
        <v/>
      </c>
      <c r="B671" s="8" t="str">
        <f>IF(Registro!$B671="","",Registro!$B671)</f>
        <v/>
      </c>
      <c r="C671" s="14" t="str">
        <f t="shared" si="30"/>
        <v/>
      </c>
      <c r="D671" s="10" t="str">
        <f>IF(Registro!$E671="","",IF(ISERROR(FIND("x",LOWER(Registro!$E671))),"-",IFERROR(SUMPRODUCT(--("0"&amp;LEFT(TRIM(MID(SUBSTITUTE(SUBSTITUTE(SUBSTITUTE(SUBSTITUTE(SUBSTITUTE(LOWER(Registro!$E671),"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",LEN(Registro!$E671))),({1,2,3,4,5,6,7,8,9,10,11,12,13,14,15,16,17,18,19,20,21,22,23,24,25,26,27,28,29,30}-1)*LEN(Registro!$E671)+1,LEN(Registro!$E671)))&amp;"x")-1))),"Revisar formato")))</f>
        <v/>
      </c>
      <c r="E671" s="11" t="str">
        <f>IF(Registro!$E671="","",IF(ISERROR(FIND("x",LOWER(Registro!$E671))),"-",IFERROR(SUMPRODUCT(--("0"&amp;LEFT(TRIM(MID(SUBSTITUTE(SUBSTITUTE(SUBSTITUTE(SUBSTITUTE(SUBSTITUTE(LOWER(Registro!$E671),"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",LEN(Registro!$E671))),({1,2,3,4,5,6,7,8,9,10,11,12,13,14,15,16,17,18,19,20,21,22,23,24,25,26,27,28,29,30}-1)*LEN(Registro!$E671)+1,LEN(Registro!$E671)))&amp;"x")-1)),--("0"&amp;MID(TRIM(MID(SUBSTITUTE(SUBSTITUTE(SUBSTITUTE(SUBSTITUTE(SUBSTITUTE(LOWER(Registro!$E671),"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",LEN(Registro!$E671))),({1,2,3,4,5,6,7,8,9,10,11,12,13,14,15,16,17,18,19,20,21,22,23,24,25,26,27,28,29,30}-1)*LEN(Registro!$E671)+1,LEN(Registro!$E671)))&amp;"x")+1,20))),"Revisar formato")))</f>
        <v/>
      </c>
      <c r="F671" s="11" t="str">
        <f>IF(Registro!$F671="","",N(Registro!$F671))</f>
        <v/>
      </c>
      <c r="G671" s="11" t="str">
        <f t="shared" si="31"/>
        <v/>
      </c>
      <c r="H671" s="10" t="str">
        <f>IF(Registro!$G671="","",IF(ISERROR(FIND("x",LOWER(Registro!$G671))),"-",IFERROR(SUMPRODUCT(--("0"&amp;LEFT(TRIM(MID(SUBSTITUTE(SUBSTITUTE(SUBSTITUTE(SUBSTITUTE(SUBSTITUTE(LOWER(Registro!$G671),"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",LEN(Registro!$G671))),({1,2,3,4,5,6,7,8,9,10,11,12,13,14,15,16,17,18,19,20,21,22,23,24,25,26,27,28,29,30}-1)*LEN(Registro!$G671)+1,LEN(Registro!$G671))),FIND("x",TRIM(MID(SUBSTITUTE(SUBSTITUTE(SUBSTITUTE(SUBSTITUTE(SUBSTITUTE(LOWER(Registro!$G671),"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",LEN(Registro!$G671))),({1,2,3,4,5,6,7,8,9,10,11,12,13,14,15,16,17,18,19,20,21,22,23,24,25,26,27,28,29,30}-1)*LEN(Registro!$G671)+1,LEN(Registro!$G671)))&amp;"x")-1))),"Revisar formato")))</f>
        <v/>
      </c>
      <c r="I671" s="11" t="str">
        <f>IF(Registro!$G671="","",IF(ISERROR(FIND("x",LOWER(Registro!$G671))),N(Registro!$H671),IFERROR(SUMPRODUCT(--("0"&amp;LEFT(TRIM(MID(SUBSTITUTE(SUBSTITUTE(SUBSTITUTE(SUBSTITUTE(SUBSTITUTE(LOWER(Registro!$G671),"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",LEN(Registro!$G671))),({1,2,3,4,5,6,7,8,9,10,11,12,13,14,15,16,17,18,19,20,21,22,23,24,25,26,27,28,29,30}-1)*LEN(Registro!$G671)+1,LEN(Registro!$G671))),FIND("x",TRIM(MID(SUBSTITUTE(SUBSTITUTE(SUBSTITUTE(SUBSTITUTE(SUBSTITUTE(LOWER(Registro!$G671),"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",LEN(Registro!$G671))),({1,2,3,4,5,6,7,8,9,10,11,12,13,14,15,16,17,18,19,20,21,22,23,24,25,26,27,28,29,30}-1)*LEN(Registro!$G671)+1,LEN(Registro!$G671)))&amp;"x")-1)),--("0"&amp;MID(TRIM(MID(SUBSTITUTE(SUBSTITUTE(SUBSTITUTE(SUBSTITUTE(SUBSTITUTE(LOWER(Registro!$G671),"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",LEN(Registro!$G671))),({1,2,3,4,5,6,7,8,9,10,11,12,13,14,15,16,17,18,19,20,21,22,23,24,25,26,27,28,29,30}-1)*LEN(Registro!$G671)+1,LEN(Registro!$G671))),FIND("x",TRIM(MID(SUBSTITUTE(SUBSTITUTE(SUBSTITUTE(SUBSTITUTE(SUBSTITUTE(LOWER(Registro!$G671),"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",LEN(Registro!$G671))),({1,2,3,4,5,6,7,8,9,10,11,12,13,14,15,16,17,18,19,20,21,22,23,24,25,26,27,28,29,30}-1)*LEN(Registro!$G671)+1,LEN(Registro!$G671)))&amp;"x")+1,20))),"Revisar formato")))</f>
        <v/>
      </c>
      <c r="J671" s="9" t="str">
        <f>IF(AND(Registro!$E671="",Registro!$G671=""),"",IF(NOT(AND(ISNUMBER(I671),ISNUMBER(Registro!$H671))),"",IF(I671&lt;Registro!$H671,"FALTA BOLETOS",IF(I671=Registro!$H671,"CONFORME","DIFERENCIA"))))</f>
        <v/>
      </c>
      <c r="K671" s="11" t="str">
        <f>IF(Registro!$I671="","",IFERROR(SUMPRODUCT(--("0"&amp;TRIM(RIGHT(SUBSTITUTE(TRIM(MID(SUBSTITUTE(SUBSTITUTE(Registro!$I671,";",CHAR(10)),CHAR(10),REPT(" ",LEN(Registro!$I671))),({1,2,3,4,5,6,7,8,9,10,11,12,13,14,15,16,17,18,19,20,21,22,23,24,25,26,27,28,29,30}-1)*LEN(Registro!$I671)+1,LEN(Registro!$I671)))," ",REPT(" ",50)),50)))),"Revisar formato"))</f>
        <v/>
      </c>
      <c r="L671" s="11" t="str">
        <f>IF(Registro!$J671="","",IFERROR(SUMPRODUCT(--("0"&amp;TRIM(RIGHT(SUBSTITUTE(TRIM(MID(SUBSTITUTE(SUBSTITUTE(Registro!$J671,";",CHAR(10)),CHAR(10),REPT(" ",LEN(Registro!$J671))),({1,2,3,4,5,6,7,8,9,10,11,12,13,14,15,16,17,18,19,20,21,22,23,24,25,26,27,28,29,30}-1)*LEN(Registro!$J671)+1,LEN(Registro!$J671)))," ",REPT(" ",50)),50)))),"Revisar formato"))</f>
        <v/>
      </c>
      <c r="M671" s="11" t="str">
        <f>IF(AND(Registro!$H671="",Registro!$I671=""),"",IF(AND(ISTEXT(K671),K671&lt;&gt;""),"Revisar formato",N(Registro!$H671)-N(K671)))</f>
        <v/>
      </c>
      <c r="N671" s="11" t="str">
        <f t="shared" si="32"/>
        <v/>
      </c>
      <c r="O671" s="15" t="str">
        <f>IF(AND(A671=Consulta!$B$3,C671=Consulta!$H$3),B671*10000+ROW(),"")</f>
        <v/>
      </c>
    </row>
    <row r="672" spans="1:15" x14ac:dyDescent="0.25">
      <c r="A672" s="9" t="str">
        <f>IF(Registro!$A672="","",Registro!$A672)</f>
        <v/>
      </c>
      <c r="B672" s="8" t="str">
        <f>IF(Registro!$B672="","",Registro!$B672)</f>
        <v/>
      </c>
      <c r="C672" s="14" t="str">
        <f t="shared" si="30"/>
        <v/>
      </c>
      <c r="D672" s="10" t="str">
        <f>IF(Registro!$E672="","",IF(ISERROR(FIND("x",LOWER(Registro!$E672))),"-",IFERROR(SUMPRODUCT(--("0"&amp;LEFT(TRIM(MID(SUBSTITUTE(SUBSTITUTE(SUBSTITUTE(SUBSTITUTE(SUBSTITUTE(LOWER(Registro!$E672),"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",LEN(Registro!$E672))),({1,2,3,4,5,6,7,8,9,10,11,12,13,14,15,16,17,18,19,20,21,22,23,24,25,26,27,28,29,30}-1)*LEN(Registro!$E672)+1,LEN(Registro!$E672)))&amp;"x")-1))),"Revisar formato")))</f>
        <v/>
      </c>
      <c r="E672" s="11" t="str">
        <f>IF(Registro!$E672="","",IF(ISERROR(FIND("x",LOWER(Registro!$E672))),"-",IFERROR(SUMPRODUCT(--("0"&amp;LEFT(TRIM(MID(SUBSTITUTE(SUBSTITUTE(SUBSTITUTE(SUBSTITUTE(SUBSTITUTE(LOWER(Registro!$E672),"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",LEN(Registro!$E672))),({1,2,3,4,5,6,7,8,9,10,11,12,13,14,15,16,17,18,19,20,21,22,23,24,25,26,27,28,29,30}-1)*LEN(Registro!$E672)+1,LEN(Registro!$E672)))&amp;"x")-1)),--("0"&amp;MID(TRIM(MID(SUBSTITUTE(SUBSTITUTE(SUBSTITUTE(SUBSTITUTE(SUBSTITUTE(LOWER(Registro!$E672),"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",LEN(Registro!$E672))),({1,2,3,4,5,6,7,8,9,10,11,12,13,14,15,16,17,18,19,20,21,22,23,24,25,26,27,28,29,30}-1)*LEN(Registro!$E672)+1,LEN(Registro!$E672)))&amp;"x")+1,20))),"Revisar formato")))</f>
        <v/>
      </c>
      <c r="F672" s="11" t="str">
        <f>IF(Registro!$F672="","",N(Registro!$F672))</f>
        <v/>
      </c>
      <c r="G672" s="11" t="str">
        <f t="shared" si="31"/>
        <v/>
      </c>
      <c r="H672" s="10" t="str">
        <f>IF(Registro!$G672="","",IF(ISERROR(FIND("x",LOWER(Registro!$G672))),"-",IFERROR(SUMPRODUCT(--("0"&amp;LEFT(TRIM(MID(SUBSTITUTE(SUBSTITUTE(SUBSTITUTE(SUBSTITUTE(SUBSTITUTE(LOWER(Registro!$G672),"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",LEN(Registro!$G672))),({1,2,3,4,5,6,7,8,9,10,11,12,13,14,15,16,17,18,19,20,21,22,23,24,25,26,27,28,29,30}-1)*LEN(Registro!$G672)+1,LEN(Registro!$G672))),FIND("x",TRIM(MID(SUBSTITUTE(SUBSTITUTE(SUBSTITUTE(SUBSTITUTE(SUBSTITUTE(LOWER(Registro!$G672),"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",LEN(Registro!$G672))),({1,2,3,4,5,6,7,8,9,10,11,12,13,14,15,16,17,18,19,20,21,22,23,24,25,26,27,28,29,30}-1)*LEN(Registro!$G672)+1,LEN(Registro!$G672)))&amp;"x")-1))),"Revisar formato")))</f>
        <v/>
      </c>
      <c r="I672" s="11" t="str">
        <f>IF(Registro!$G672="","",IF(ISERROR(FIND("x",LOWER(Registro!$G672))),N(Registro!$H672),IFERROR(SUMPRODUCT(--("0"&amp;LEFT(TRIM(MID(SUBSTITUTE(SUBSTITUTE(SUBSTITUTE(SUBSTITUTE(SUBSTITUTE(LOWER(Registro!$G672),"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",LEN(Registro!$G672))),({1,2,3,4,5,6,7,8,9,10,11,12,13,14,15,16,17,18,19,20,21,22,23,24,25,26,27,28,29,30}-1)*LEN(Registro!$G672)+1,LEN(Registro!$G672))),FIND("x",TRIM(MID(SUBSTITUTE(SUBSTITUTE(SUBSTITUTE(SUBSTITUTE(SUBSTITUTE(LOWER(Registro!$G672),"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",LEN(Registro!$G672))),({1,2,3,4,5,6,7,8,9,10,11,12,13,14,15,16,17,18,19,20,21,22,23,24,25,26,27,28,29,30}-1)*LEN(Registro!$G672)+1,LEN(Registro!$G672)))&amp;"x")-1)),--("0"&amp;MID(TRIM(MID(SUBSTITUTE(SUBSTITUTE(SUBSTITUTE(SUBSTITUTE(SUBSTITUTE(LOWER(Registro!$G672),"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",LEN(Registro!$G672))),({1,2,3,4,5,6,7,8,9,10,11,12,13,14,15,16,17,18,19,20,21,22,23,24,25,26,27,28,29,30}-1)*LEN(Registro!$G672)+1,LEN(Registro!$G672))),FIND("x",TRIM(MID(SUBSTITUTE(SUBSTITUTE(SUBSTITUTE(SUBSTITUTE(SUBSTITUTE(LOWER(Registro!$G672),"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",LEN(Registro!$G672))),({1,2,3,4,5,6,7,8,9,10,11,12,13,14,15,16,17,18,19,20,21,22,23,24,25,26,27,28,29,30}-1)*LEN(Registro!$G672)+1,LEN(Registro!$G672)))&amp;"x")+1,20))),"Revisar formato")))</f>
        <v/>
      </c>
      <c r="J672" s="9" t="str">
        <f>IF(AND(Registro!$E672="",Registro!$G672=""),"",IF(NOT(AND(ISNUMBER(I672),ISNUMBER(Registro!$H672))),"",IF(I672&lt;Registro!$H672,"FALTA BOLETOS",IF(I672=Registro!$H672,"CONFORME","DIFERENCIA"))))</f>
        <v/>
      </c>
      <c r="K672" s="11" t="str">
        <f>IF(Registro!$I672="","",IFERROR(SUMPRODUCT(--("0"&amp;TRIM(RIGHT(SUBSTITUTE(TRIM(MID(SUBSTITUTE(SUBSTITUTE(Registro!$I672,";",CHAR(10)),CHAR(10),REPT(" ",LEN(Registro!$I672))),({1,2,3,4,5,6,7,8,9,10,11,12,13,14,15,16,17,18,19,20,21,22,23,24,25,26,27,28,29,30}-1)*LEN(Registro!$I672)+1,LEN(Registro!$I672)))," ",REPT(" ",50)),50)))),"Revisar formato"))</f>
        <v/>
      </c>
      <c r="L672" s="11" t="str">
        <f>IF(Registro!$J672="","",IFERROR(SUMPRODUCT(--("0"&amp;TRIM(RIGHT(SUBSTITUTE(TRIM(MID(SUBSTITUTE(SUBSTITUTE(Registro!$J672,";",CHAR(10)),CHAR(10),REPT(" ",LEN(Registro!$J672))),({1,2,3,4,5,6,7,8,9,10,11,12,13,14,15,16,17,18,19,20,21,22,23,24,25,26,27,28,29,30}-1)*LEN(Registro!$J672)+1,LEN(Registro!$J672)))," ",REPT(" ",50)),50)))),"Revisar formato"))</f>
        <v/>
      </c>
      <c r="M672" s="11" t="str">
        <f>IF(AND(Registro!$H672="",Registro!$I672=""),"",IF(AND(ISTEXT(K672),K672&lt;&gt;""),"Revisar formato",N(Registro!$H672)-N(K672)))</f>
        <v/>
      </c>
      <c r="N672" s="11" t="str">
        <f t="shared" si="32"/>
        <v/>
      </c>
      <c r="O672" s="15" t="str">
        <f>IF(AND(A672=Consulta!$B$3,C672=Consulta!$H$3),B672*10000+ROW(),"")</f>
        <v/>
      </c>
    </row>
    <row r="673" spans="1:15" x14ac:dyDescent="0.25">
      <c r="A673" s="9" t="str">
        <f>IF(Registro!$A673="","",Registro!$A673)</f>
        <v/>
      </c>
      <c r="B673" s="8" t="str">
        <f>IF(Registro!$B673="","",Registro!$B673)</f>
        <v/>
      </c>
      <c r="C673" s="14" t="str">
        <f t="shared" si="30"/>
        <v/>
      </c>
      <c r="D673" s="10" t="str">
        <f>IF(Registro!$E673="","",IF(ISERROR(FIND("x",LOWER(Registro!$E673))),"-",IFERROR(SUMPRODUCT(--("0"&amp;LEFT(TRIM(MID(SUBSTITUTE(SUBSTITUTE(SUBSTITUTE(SUBSTITUTE(SUBSTITUTE(LOWER(Registro!$E673),"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",LEN(Registro!$E673))),({1,2,3,4,5,6,7,8,9,10,11,12,13,14,15,16,17,18,19,20,21,22,23,24,25,26,27,28,29,30}-1)*LEN(Registro!$E673)+1,LEN(Registro!$E673)))&amp;"x")-1))),"Revisar formato")))</f>
        <v/>
      </c>
      <c r="E673" s="11" t="str">
        <f>IF(Registro!$E673="","",IF(ISERROR(FIND("x",LOWER(Registro!$E673))),"-",IFERROR(SUMPRODUCT(--("0"&amp;LEFT(TRIM(MID(SUBSTITUTE(SUBSTITUTE(SUBSTITUTE(SUBSTITUTE(SUBSTITUTE(LOWER(Registro!$E673),"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",LEN(Registro!$E673))),({1,2,3,4,5,6,7,8,9,10,11,12,13,14,15,16,17,18,19,20,21,22,23,24,25,26,27,28,29,30}-1)*LEN(Registro!$E673)+1,LEN(Registro!$E673)))&amp;"x")-1)),--("0"&amp;MID(TRIM(MID(SUBSTITUTE(SUBSTITUTE(SUBSTITUTE(SUBSTITUTE(SUBSTITUTE(LOWER(Registro!$E673),"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",LEN(Registro!$E673))),({1,2,3,4,5,6,7,8,9,10,11,12,13,14,15,16,17,18,19,20,21,22,23,24,25,26,27,28,29,30}-1)*LEN(Registro!$E673)+1,LEN(Registro!$E673)))&amp;"x")+1,20))),"Revisar formato")))</f>
        <v/>
      </c>
      <c r="F673" s="11" t="str">
        <f>IF(Registro!$F673="","",N(Registro!$F673))</f>
        <v/>
      </c>
      <c r="G673" s="11" t="str">
        <f t="shared" si="31"/>
        <v/>
      </c>
      <c r="H673" s="10" t="str">
        <f>IF(Registro!$G673="","",IF(ISERROR(FIND("x",LOWER(Registro!$G673))),"-",IFERROR(SUMPRODUCT(--("0"&amp;LEFT(TRIM(MID(SUBSTITUTE(SUBSTITUTE(SUBSTITUTE(SUBSTITUTE(SUBSTITUTE(LOWER(Registro!$G673),"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",LEN(Registro!$G673))),({1,2,3,4,5,6,7,8,9,10,11,12,13,14,15,16,17,18,19,20,21,22,23,24,25,26,27,28,29,30}-1)*LEN(Registro!$G673)+1,LEN(Registro!$G673))),FIND("x",TRIM(MID(SUBSTITUTE(SUBSTITUTE(SUBSTITUTE(SUBSTITUTE(SUBSTITUTE(LOWER(Registro!$G673),"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",LEN(Registro!$G673))),({1,2,3,4,5,6,7,8,9,10,11,12,13,14,15,16,17,18,19,20,21,22,23,24,25,26,27,28,29,30}-1)*LEN(Registro!$G673)+1,LEN(Registro!$G673)))&amp;"x")-1))),"Revisar formato")))</f>
        <v/>
      </c>
      <c r="I673" s="11" t="str">
        <f>IF(Registro!$G673="","",IF(ISERROR(FIND("x",LOWER(Registro!$G673))),N(Registro!$H673),IFERROR(SUMPRODUCT(--("0"&amp;LEFT(TRIM(MID(SUBSTITUTE(SUBSTITUTE(SUBSTITUTE(SUBSTITUTE(SUBSTITUTE(LOWER(Registro!$G673),"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",LEN(Registro!$G673))),({1,2,3,4,5,6,7,8,9,10,11,12,13,14,15,16,17,18,19,20,21,22,23,24,25,26,27,28,29,30}-1)*LEN(Registro!$G673)+1,LEN(Registro!$G673))),FIND("x",TRIM(MID(SUBSTITUTE(SUBSTITUTE(SUBSTITUTE(SUBSTITUTE(SUBSTITUTE(LOWER(Registro!$G673),"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",LEN(Registro!$G673))),({1,2,3,4,5,6,7,8,9,10,11,12,13,14,15,16,17,18,19,20,21,22,23,24,25,26,27,28,29,30}-1)*LEN(Registro!$G673)+1,LEN(Registro!$G673)))&amp;"x")-1)),--("0"&amp;MID(TRIM(MID(SUBSTITUTE(SUBSTITUTE(SUBSTITUTE(SUBSTITUTE(SUBSTITUTE(LOWER(Registro!$G673),"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",LEN(Registro!$G673))),({1,2,3,4,5,6,7,8,9,10,11,12,13,14,15,16,17,18,19,20,21,22,23,24,25,26,27,28,29,30}-1)*LEN(Registro!$G673)+1,LEN(Registro!$G673))),FIND("x",TRIM(MID(SUBSTITUTE(SUBSTITUTE(SUBSTITUTE(SUBSTITUTE(SUBSTITUTE(LOWER(Registro!$G673),"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",LEN(Registro!$G673))),({1,2,3,4,5,6,7,8,9,10,11,12,13,14,15,16,17,18,19,20,21,22,23,24,25,26,27,28,29,30}-1)*LEN(Registro!$G673)+1,LEN(Registro!$G673)))&amp;"x")+1,20))),"Revisar formato")))</f>
        <v/>
      </c>
      <c r="J673" s="9" t="str">
        <f>IF(AND(Registro!$E673="",Registro!$G673=""),"",IF(NOT(AND(ISNUMBER(I673),ISNUMBER(Registro!$H673))),"",IF(I673&lt;Registro!$H673,"FALTA BOLETOS",IF(I673=Registro!$H673,"CONFORME","DIFERENCIA"))))</f>
        <v/>
      </c>
      <c r="K673" s="11" t="str">
        <f>IF(Registro!$I673="","",IFERROR(SUMPRODUCT(--("0"&amp;TRIM(RIGHT(SUBSTITUTE(TRIM(MID(SUBSTITUTE(SUBSTITUTE(Registro!$I673,";",CHAR(10)),CHAR(10),REPT(" ",LEN(Registro!$I673))),({1,2,3,4,5,6,7,8,9,10,11,12,13,14,15,16,17,18,19,20,21,22,23,24,25,26,27,28,29,30}-1)*LEN(Registro!$I673)+1,LEN(Registro!$I673)))," ",REPT(" ",50)),50)))),"Revisar formato"))</f>
        <v/>
      </c>
      <c r="L673" s="11" t="str">
        <f>IF(Registro!$J673="","",IFERROR(SUMPRODUCT(--("0"&amp;TRIM(RIGHT(SUBSTITUTE(TRIM(MID(SUBSTITUTE(SUBSTITUTE(Registro!$J673,";",CHAR(10)),CHAR(10),REPT(" ",LEN(Registro!$J673))),({1,2,3,4,5,6,7,8,9,10,11,12,13,14,15,16,17,18,19,20,21,22,23,24,25,26,27,28,29,30}-1)*LEN(Registro!$J673)+1,LEN(Registro!$J673)))," ",REPT(" ",50)),50)))),"Revisar formato"))</f>
        <v/>
      </c>
      <c r="M673" s="11" t="str">
        <f>IF(AND(Registro!$H673="",Registro!$I673=""),"",IF(AND(ISTEXT(K673),K673&lt;&gt;""),"Revisar formato",N(Registro!$H673)-N(K673)))</f>
        <v/>
      </c>
      <c r="N673" s="11" t="str">
        <f t="shared" si="32"/>
        <v/>
      </c>
      <c r="O673" s="15" t="str">
        <f>IF(AND(A673=Consulta!$B$3,C673=Consulta!$H$3),B673*10000+ROW(),"")</f>
        <v/>
      </c>
    </row>
    <row r="674" spans="1:15" x14ac:dyDescent="0.25">
      <c r="A674" s="9" t="str">
        <f>IF(Registro!$A674="","",Registro!$A674)</f>
        <v/>
      </c>
      <c r="B674" s="8" t="str">
        <f>IF(Registro!$B674="","",Registro!$B674)</f>
        <v/>
      </c>
      <c r="C674" s="14" t="str">
        <f t="shared" si="30"/>
        <v/>
      </c>
      <c r="D674" s="10" t="str">
        <f>IF(Registro!$E674="","",IF(ISERROR(FIND("x",LOWER(Registro!$E674))),"-",IFERROR(SUMPRODUCT(--("0"&amp;LEFT(TRIM(MID(SUBSTITUTE(SUBSTITUTE(SUBSTITUTE(SUBSTITUTE(SUBSTITUTE(LOWER(Registro!$E674),"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",LEN(Registro!$E674))),({1,2,3,4,5,6,7,8,9,10,11,12,13,14,15,16,17,18,19,20,21,22,23,24,25,26,27,28,29,30}-1)*LEN(Registro!$E674)+1,LEN(Registro!$E674)))&amp;"x")-1))),"Revisar formato")))</f>
        <v/>
      </c>
      <c r="E674" s="11" t="str">
        <f>IF(Registro!$E674="","",IF(ISERROR(FIND("x",LOWER(Registro!$E674))),"-",IFERROR(SUMPRODUCT(--("0"&amp;LEFT(TRIM(MID(SUBSTITUTE(SUBSTITUTE(SUBSTITUTE(SUBSTITUTE(SUBSTITUTE(LOWER(Registro!$E674),"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",LEN(Registro!$E674))),({1,2,3,4,5,6,7,8,9,10,11,12,13,14,15,16,17,18,19,20,21,22,23,24,25,26,27,28,29,30}-1)*LEN(Registro!$E674)+1,LEN(Registro!$E674)))&amp;"x")-1)),--("0"&amp;MID(TRIM(MID(SUBSTITUTE(SUBSTITUTE(SUBSTITUTE(SUBSTITUTE(SUBSTITUTE(LOWER(Registro!$E674),"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",LEN(Registro!$E674))),({1,2,3,4,5,6,7,8,9,10,11,12,13,14,15,16,17,18,19,20,21,22,23,24,25,26,27,28,29,30}-1)*LEN(Registro!$E674)+1,LEN(Registro!$E674)))&amp;"x")+1,20))),"Revisar formato")))</f>
        <v/>
      </c>
      <c r="F674" s="11" t="str">
        <f>IF(Registro!$F674="","",N(Registro!$F674))</f>
        <v/>
      </c>
      <c r="G674" s="11" t="str">
        <f t="shared" si="31"/>
        <v/>
      </c>
      <c r="H674" s="10" t="str">
        <f>IF(Registro!$G674="","",IF(ISERROR(FIND("x",LOWER(Registro!$G674))),"-",IFERROR(SUMPRODUCT(--("0"&amp;LEFT(TRIM(MID(SUBSTITUTE(SUBSTITUTE(SUBSTITUTE(SUBSTITUTE(SUBSTITUTE(LOWER(Registro!$G674),"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",LEN(Registro!$G674))),({1,2,3,4,5,6,7,8,9,10,11,12,13,14,15,16,17,18,19,20,21,22,23,24,25,26,27,28,29,30}-1)*LEN(Registro!$G674)+1,LEN(Registro!$G674))),FIND("x",TRIM(MID(SUBSTITUTE(SUBSTITUTE(SUBSTITUTE(SUBSTITUTE(SUBSTITUTE(LOWER(Registro!$G674),"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",LEN(Registro!$G674))),({1,2,3,4,5,6,7,8,9,10,11,12,13,14,15,16,17,18,19,20,21,22,23,24,25,26,27,28,29,30}-1)*LEN(Registro!$G674)+1,LEN(Registro!$G674)))&amp;"x")-1))),"Revisar formato")))</f>
        <v/>
      </c>
      <c r="I674" s="11" t="str">
        <f>IF(Registro!$G674="","",IF(ISERROR(FIND("x",LOWER(Registro!$G674))),N(Registro!$H674),IFERROR(SUMPRODUCT(--("0"&amp;LEFT(TRIM(MID(SUBSTITUTE(SUBSTITUTE(SUBSTITUTE(SUBSTITUTE(SUBSTITUTE(LOWER(Registro!$G674),"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",LEN(Registro!$G674))),({1,2,3,4,5,6,7,8,9,10,11,12,13,14,15,16,17,18,19,20,21,22,23,24,25,26,27,28,29,30}-1)*LEN(Registro!$G674)+1,LEN(Registro!$G674))),FIND("x",TRIM(MID(SUBSTITUTE(SUBSTITUTE(SUBSTITUTE(SUBSTITUTE(SUBSTITUTE(LOWER(Registro!$G674),"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",LEN(Registro!$G674))),({1,2,3,4,5,6,7,8,9,10,11,12,13,14,15,16,17,18,19,20,21,22,23,24,25,26,27,28,29,30}-1)*LEN(Registro!$G674)+1,LEN(Registro!$G674)))&amp;"x")-1)),--("0"&amp;MID(TRIM(MID(SUBSTITUTE(SUBSTITUTE(SUBSTITUTE(SUBSTITUTE(SUBSTITUTE(LOWER(Registro!$G674),"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",LEN(Registro!$G674))),({1,2,3,4,5,6,7,8,9,10,11,12,13,14,15,16,17,18,19,20,21,22,23,24,25,26,27,28,29,30}-1)*LEN(Registro!$G674)+1,LEN(Registro!$G674))),FIND("x",TRIM(MID(SUBSTITUTE(SUBSTITUTE(SUBSTITUTE(SUBSTITUTE(SUBSTITUTE(LOWER(Registro!$G674),"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",LEN(Registro!$G674))),({1,2,3,4,5,6,7,8,9,10,11,12,13,14,15,16,17,18,19,20,21,22,23,24,25,26,27,28,29,30}-1)*LEN(Registro!$G674)+1,LEN(Registro!$G674)))&amp;"x")+1,20))),"Revisar formato")))</f>
        <v/>
      </c>
      <c r="J674" s="9" t="str">
        <f>IF(AND(Registro!$E674="",Registro!$G674=""),"",IF(NOT(AND(ISNUMBER(I674),ISNUMBER(Registro!$H674))),"",IF(I674&lt;Registro!$H674,"FALTA BOLETOS",IF(I674=Registro!$H674,"CONFORME","DIFERENCIA"))))</f>
        <v/>
      </c>
      <c r="K674" s="11" t="str">
        <f>IF(Registro!$I674="","",IFERROR(SUMPRODUCT(--("0"&amp;TRIM(RIGHT(SUBSTITUTE(TRIM(MID(SUBSTITUTE(SUBSTITUTE(Registro!$I674,";",CHAR(10)),CHAR(10),REPT(" ",LEN(Registro!$I674))),({1,2,3,4,5,6,7,8,9,10,11,12,13,14,15,16,17,18,19,20,21,22,23,24,25,26,27,28,29,30}-1)*LEN(Registro!$I674)+1,LEN(Registro!$I674)))," ",REPT(" ",50)),50)))),"Revisar formato"))</f>
        <v/>
      </c>
      <c r="L674" s="11" t="str">
        <f>IF(Registro!$J674="","",IFERROR(SUMPRODUCT(--("0"&amp;TRIM(RIGHT(SUBSTITUTE(TRIM(MID(SUBSTITUTE(SUBSTITUTE(Registro!$J674,";",CHAR(10)),CHAR(10),REPT(" ",LEN(Registro!$J674))),({1,2,3,4,5,6,7,8,9,10,11,12,13,14,15,16,17,18,19,20,21,22,23,24,25,26,27,28,29,30}-1)*LEN(Registro!$J674)+1,LEN(Registro!$J674)))," ",REPT(" ",50)),50)))),"Revisar formato"))</f>
        <v/>
      </c>
      <c r="M674" s="11" t="str">
        <f>IF(AND(Registro!$H674="",Registro!$I674=""),"",IF(AND(ISTEXT(K674),K674&lt;&gt;""),"Revisar formato",N(Registro!$H674)-N(K674)))</f>
        <v/>
      </c>
      <c r="N674" s="11" t="str">
        <f t="shared" si="32"/>
        <v/>
      </c>
      <c r="O674" s="15" t="str">
        <f>IF(AND(A674=Consulta!$B$3,C674=Consulta!$H$3),B674*10000+ROW(),"")</f>
        <v/>
      </c>
    </row>
    <row r="675" spans="1:15" x14ac:dyDescent="0.25">
      <c r="A675" s="9" t="str">
        <f>IF(Registro!$A675="","",Registro!$A675)</f>
        <v/>
      </c>
      <c r="B675" s="8" t="str">
        <f>IF(Registro!$B675="","",Registro!$B675)</f>
        <v/>
      </c>
      <c r="C675" s="14" t="str">
        <f t="shared" si="30"/>
        <v/>
      </c>
      <c r="D675" s="10" t="str">
        <f>IF(Registro!$E675="","",IF(ISERROR(FIND("x",LOWER(Registro!$E675))),"-",IFERROR(SUMPRODUCT(--("0"&amp;LEFT(TRIM(MID(SUBSTITUTE(SUBSTITUTE(SUBSTITUTE(SUBSTITUTE(SUBSTITUTE(LOWER(Registro!$E675),"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",LEN(Registro!$E675))),({1,2,3,4,5,6,7,8,9,10,11,12,13,14,15,16,17,18,19,20,21,22,23,24,25,26,27,28,29,30}-1)*LEN(Registro!$E675)+1,LEN(Registro!$E675)))&amp;"x")-1))),"Revisar formato")))</f>
        <v/>
      </c>
      <c r="E675" s="11" t="str">
        <f>IF(Registro!$E675="","",IF(ISERROR(FIND("x",LOWER(Registro!$E675))),"-",IFERROR(SUMPRODUCT(--("0"&amp;LEFT(TRIM(MID(SUBSTITUTE(SUBSTITUTE(SUBSTITUTE(SUBSTITUTE(SUBSTITUTE(LOWER(Registro!$E675),"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",LEN(Registro!$E675))),({1,2,3,4,5,6,7,8,9,10,11,12,13,14,15,16,17,18,19,20,21,22,23,24,25,26,27,28,29,30}-1)*LEN(Registro!$E675)+1,LEN(Registro!$E675)))&amp;"x")-1)),--("0"&amp;MID(TRIM(MID(SUBSTITUTE(SUBSTITUTE(SUBSTITUTE(SUBSTITUTE(SUBSTITUTE(LOWER(Registro!$E675),"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",LEN(Registro!$E675))),({1,2,3,4,5,6,7,8,9,10,11,12,13,14,15,16,17,18,19,20,21,22,23,24,25,26,27,28,29,30}-1)*LEN(Registro!$E675)+1,LEN(Registro!$E675)))&amp;"x")+1,20))),"Revisar formato")))</f>
        <v/>
      </c>
      <c r="F675" s="11" t="str">
        <f>IF(Registro!$F675="","",N(Registro!$F675))</f>
        <v/>
      </c>
      <c r="G675" s="11" t="str">
        <f t="shared" si="31"/>
        <v/>
      </c>
      <c r="H675" s="10" t="str">
        <f>IF(Registro!$G675="","",IF(ISERROR(FIND("x",LOWER(Registro!$G675))),"-",IFERROR(SUMPRODUCT(--("0"&amp;LEFT(TRIM(MID(SUBSTITUTE(SUBSTITUTE(SUBSTITUTE(SUBSTITUTE(SUBSTITUTE(LOWER(Registro!$G675),"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",LEN(Registro!$G675))),({1,2,3,4,5,6,7,8,9,10,11,12,13,14,15,16,17,18,19,20,21,22,23,24,25,26,27,28,29,30}-1)*LEN(Registro!$G675)+1,LEN(Registro!$G675))),FIND("x",TRIM(MID(SUBSTITUTE(SUBSTITUTE(SUBSTITUTE(SUBSTITUTE(SUBSTITUTE(LOWER(Registro!$G675),"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",LEN(Registro!$G675))),({1,2,3,4,5,6,7,8,9,10,11,12,13,14,15,16,17,18,19,20,21,22,23,24,25,26,27,28,29,30}-1)*LEN(Registro!$G675)+1,LEN(Registro!$G675)))&amp;"x")-1))),"Revisar formato")))</f>
        <v/>
      </c>
      <c r="I675" s="11" t="str">
        <f>IF(Registro!$G675="","",IF(ISERROR(FIND("x",LOWER(Registro!$G675))),N(Registro!$H675),IFERROR(SUMPRODUCT(--("0"&amp;LEFT(TRIM(MID(SUBSTITUTE(SUBSTITUTE(SUBSTITUTE(SUBSTITUTE(SUBSTITUTE(LOWER(Registro!$G675),"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",LEN(Registro!$G675))),({1,2,3,4,5,6,7,8,9,10,11,12,13,14,15,16,17,18,19,20,21,22,23,24,25,26,27,28,29,30}-1)*LEN(Registro!$G675)+1,LEN(Registro!$G675))),FIND("x",TRIM(MID(SUBSTITUTE(SUBSTITUTE(SUBSTITUTE(SUBSTITUTE(SUBSTITUTE(LOWER(Registro!$G675),"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",LEN(Registro!$G675))),({1,2,3,4,5,6,7,8,9,10,11,12,13,14,15,16,17,18,19,20,21,22,23,24,25,26,27,28,29,30}-1)*LEN(Registro!$G675)+1,LEN(Registro!$G675)))&amp;"x")-1)),--("0"&amp;MID(TRIM(MID(SUBSTITUTE(SUBSTITUTE(SUBSTITUTE(SUBSTITUTE(SUBSTITUTE(LOWER(Registro!$G675),"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",LEN(Registro!$G675))),({1,2,3,4,5,6,7,8,9,10,11,12,13,14,15,16,17,18,19,20,21,22,23,24,25,26,27,28,29,30}-1)*LEN(Registro!$G675)+1,LEN(Registro!$G675))),FIND("x",TRIM(MID(SUBSTITUTE(SUBSTITUTE(SUBSTITUTE(SUBSTITUTE(SUBSTITUTE(LOWER(Registro!$G675),"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",LEN(Registro!$G675))),({1,2,3,4,5,6,7,8,9,10,11,12,13,14,15,16,17,18,19,20,21,22,23,24,25,26,27,28,29,30}-1)*LEN(Registro!$G675)+1,LEN(Registro!$G675)))&amp;"x")+1,20))),"Revisar formato")))</f>
        <v/>
      </c>
      <c r="J675" s="9" t="str">
        <f>IF(AND(Registro!$E675="",Registro!$G675=""),"",IF(NOT(AND(ISNUMBER(I675),ISNUMBER(Registro!$H675))),"",IF(I675&lt;Registro!$H675,"FALTA BOLETOS",IF(I675=Registro!$H675,"CONFORME","DIFERENCIA"))))</f>
        <v/>
      </c>
      <c r="K675" s="11" t="str">
        <f>IF(Registro!$I675="","",IFERROR(SUMPRODUCT(--("0"&amp;TRIM(RIGHT(SUBSTITUTE(TRIM(MID(SUBSTITUTE(SUBSTITUTE(Registro!$I675,";",CHAR(10)),CHAR(10),REPT(" ",LEN(Registro!$I675))),({1,2,3,4,5,6,7,8,9,10,11,12,13,14,15,16,17,18,19,20,21,22,23,24,25,26,27,28,29,30}-1)*LEN(Registro!$I675)+1,LEN(Registro!$I675)))," ",REPT(" ",50)),50)))),"Revisar formato"))</f>
        <v/>
      </c>
      <c r="L675" s="11" t="str">
        <f>IF(Registro!$J675="","",IFERROR(SUMPRODUCT(--("0"&amp;TRIM(RIGHT(SUBSTITUTE(TRIM(MID(SUBSTITUTE(SUBSTITUTE(Registro!$J675,";",CHAR(10)),CHAR(10),REPT(" ",LEN(Registro!$J675))),({1,2,3,4,5,6,7,8,9,10,11,12,13,14,15,16,17,18,19,20,21,22,23,24,25,26,27,28,29,30}-1)*LEN(Registro!$J675)+1,LEN(Registro!$J675)))," ",REPT(" ",50)),50)))),"Revisar formato"))</f>
        <v/>
      </c>
      <c r="M675" s="11" t="str">
        <f>IF(AND(Registro!$H675="",Registro!$I675=""),"",IF(AND(ISTEXT(K675),K675&lt;&gt;""),"Revisar formato",N(Registro!$H675)-N(K675)))</f>
        <v/>
      </c>
      <c r="N675" s="11" t="str">
        <f t="shared" si="32"/>
        <v/>
      </c>
      <c r="O675" s="15" t="str">
        <f>IF(AND(A675=Consulta!$B$3,C675=Consulta!$H$3),B675*10000+ROW(),"")</f>
        <v/>
      </c>
    </row>
    <row r="676" spans="1:15" x14ac:dyDescent="0.25">
      <c r="A676" s="9" t="str">
        <f>IF(Registro!$A676="","",Registro!$A676)</f>
        <v/>
      </c>
      <c r="B676" s="8" t="str">
        <f>IF(Registro!$B676="","",Registro!$B676)</f>
        <v/>
      </c>
      <c r="C676" s="14" t="str">
        <f t="shared" si="30"/>
        <v/>
      </c>
      <c r="D676" s="10" t="str">
        <f>IF(Registro!$E676="","",IF(ISERROR(FIND("x",LOWER(Registro!$E676))),"-",IFERROR(SUMPRODUCT(--("0"&amp;LEFT(TRIM(MID(SUBSTITUTE(SUBSTITUTE(SUBSTITUTE(SUBSTITUTE(SUBSTITUTE(LOWER(Registro!$E676),"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",LEN(Registro!$E676))),({1,2,3,4,5,6,7,8,9,10,11,12,13,14,15,16,17,18,19,20,21,22,23,24,25,26,27,28,29,30}-1)*LEN(Registro!$E676)+1,LEN(Registro!$E676)))&amp;"x")-1))),"Revisar formato")))</f>
        <v/>
      </c>
      <c r="E676" s="11" t="str">
        <f>IF(Registro!$E676="","",IF(ISERROR(FIND("x",LOWER(Registro!$E676))),"-",IFERROR(SUMPRODUCT(--("0"&amp;LEFT(TRIM(MID(SUBSTITUTE(SUBSTITUTE(SUBSTITUTE(SUBSTITUTE(SUBSTITUTE(LOWER(Registro!$E676),"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",LEN(Registro!$E676))),({1,2,3,4,5,6,7,8,9,10,11,12,13,14,15,16,17,18,19,20,21,22,23,24,25,26,27,28,29,30}-1)*LEN(Registro!$E676)+1,LEN(Registro!$E676)))&amp;"x")-1)),--("0"&amp;MID(TRIM(MID(SUBSTITUTE(SUBSTITUTE(SUBSTITUTE(SUBSTITUTE(SUBSTITUTE(LOWER(Registro!$E676),"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",LEN(Registro!$E676))),({1,2,3,4,5,6,7,8,9,10,11,12,13,14,15,16,17,18,19,20,21,22,23,24,25,26,27,28,29,30}-1)*LEN(Registro!$E676)+1,LEN(Registro!$E676)))&amp;"x")+1,20))),"Revisar formato")))</f>
        <v/>
      </c>
      <c r="F676" s="11" t="str">
        <f>IF(Registro!$F676="","",N(Registro!$F676))</f>
        <v/>
      </c>
      <c r="G676" s="11" t="str">
        <f t="shared" si="31"/>
        <v/>
      </c>
      <c r="H676" s="10" t="str">
        <f>IF(Registro!$G676="","",IF(ISERROR(FIND("x",LOWER(Registro!$G676))),"-",IFERROR(SUMPRODUCT(--("0"&amp;LEFT(TRIM(MID(SUBSTITUTE(SUBSTITUTE(SUBSTITUTE(SUBSTITUTE(SUBSTITUTE(LOWER(Registro!$G676),"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",LEN(Registro!$G676))),({1,2,3,4,5,6,7,8,9,10,11,12,13,14,15,16,17,18,19,20,21,22,23,24,25,26,27,28,29,30}-1)*LEN(Registro!$G676)+1,LEN(Registro!$G676))),FIND("x",TRIM(MID(SUBSTITUTE(SUBSTITUTE(SUBSTITUTE(SUBSTITUTE(SUBSTITUTE(LOWER(Registro!$G676),"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",LEN(Registro!$G676))),({1,2,3,4,5,6,7,8,9,10,11,12,13,14,15,16,17,18,19,20,21,22,23,24,25,26,27,28,29,30}-1)*LEN(Registro!$G676)+1,LEN(Registro!$G676)))&amp;"x")-1))),"Revisar formato")))</f>
        <v/>
      </c>
      <c r="I676" s="11" t="str">
        <f>IF(Registro!$G676="","",IF(ISERROR(FIND("x",LOWER(Registro!$G676))),N(Registro!$H676),IFERROR(SUMPRODUCT(--("0"&amp;LEFT(TRIM(MID(SUBSTITUTE(SUBSTITUTE(SUBSTITUTE(SUBSTITUTE(SUBSTITUTE(LOWER(Registro!$G676),"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",LEN(Registro!$G676))),({1,2,3,4,5,6,7,8,9,10,11,12,13,14,15,16,17,18,19,20,21,22,23,24,25,26,27,28,29,30}-1)*LEN(Registro!$G676)+1,LEN(Registro!$G676))),FIND("x",TRIM(MID(SUBSTITUTE(SUBSTITUTE(SUBSTITUTE(SUBSTITUTE(SUBSTITUTE(LOWER(Registro!$G676),"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",LEN(Registro!$G676))),({1,2,3,4,5,6,7,8,9,10,11,12,13,14,15,16,17,18,19,20,21,22,23,24,25,26,27,28,29,30}-1)*LEN(Registro!$G676)+1,LEN(Registro!$G676)))&amp;"x")-1)),--("0"&amp;MID(TRIM(MID(SUBSTITUTE(SUBSTITUTE(SUBSTITUTE(SUBSTITUTE(SUBSTITUTE(LOWER(Registro!$G676),"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",LEN(Registro!$G676))),({1,2,3,4,5,6,7,8,9,10,11,12,13,14,15,16,17,18,19,20,21,22,23,24,25,26,27,28,29,30}-1)*LEN(Registro!$G676)+1,LEN(Registro!$G676))),FIND("x",TRIM(MID(SUBSTITUTE(SUBSTITUTE(SUBSTITUTE(SUBSTITUTE(SUBSTITUTE(LOWER(Registro!$G676),"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",LEN(Registro!$G676))),({1,2,3,4,5,6,7,8,9,10,11,12,13,14,15,16,17,18,19,20,21,22,23,24,25,26,27,28,29,30}-1)*LEN(Registro!$G676)+1,LEN(Registro!$G676)))&amp;"x")+1,20))),"Revisar formato")))</f>
        <v/>
      </c>
      <c r="J676" s="9" t="str">
        <f>IF(AND(Registro!$E676="",Registro!$G676=""),"",IF(NOT(AND(ISNUMBER(I676),ISNUMBER(Registro!$H676))),"",IF(I676&lt;Registro!$H676,"FALTA BOLETOS",IF(I676=Registro!$H676,"CONFORME","DIFERENCIA"))))</f>
        <v/>
      </c>
      <c r="K676" s="11" t="str">
        <f>IF(Registro!$I676="","",IFERROR(SUMPRODUCT(--("0"&amp;TRIM(RIGHT(SUBSTITUTE(TRIM(MID(SUBSTITUTE(SUBSTITUTE(Registro!$I676,";",CHAR(10)),CHAR(10),REPT(" ",LEN(Registro!$I676))),({1,2,3,4,5,6,7,8,9,10,11,12,13,14,15,16,17,18,19,20,21,22,23,24,25,26,27,28,29,30}-1)*LEN(Registro!$I676)+1,LEN(Registro!$I676)))," ",REPT(" ",50)),50)))),"Revisar formato"))</f>
        <v/>
      </c>
      <c r="L676" s="11" t="str">
        <f>IF(Registro!$J676="","",IFERROR(SUMPRODUCT(--("0"&amp;TRIM(RIGHT(SUBSTITUTE(TRIM(MID(SUBSTITUTE(SUBSTITUTE(Registro!$J676,";",CHAR(10)),CHAR(10),REPT(" ",LEN(Registro!$J676))),({1,2,3,4,5,6,7,8,9,10,11,12,13,14,15,16,17,18,19,20,21,22,23,24,25,26,27,28,29,30}-1)*LEN(Registro!$J676)+1,LEN(Registro!$J676)))," ",REPT(" ",50)),50)))),"Revisar formato"))</f>
        <v/>
      </c>
      <c r="M676" s="11" t="str">
        <f>IF(AND(Registro!$H676="",Registro!$I676=""),"",IF(AND(ISTEXT(K676),K676&lt;&gt;""),"Revisar formato",N(Registro!$H676)-N(K676)))</f>
        <v/>
      </c>
      <c r="N676" s="11" t="str">
        <f t="shared" si="32"/>
        <v/>
      </c>
      <c r="O676" s="15" t="str">
        <f>IF(AND(A676=Consulta!$B$3,C676=Consulta!$H$3),B676*10000+ROW(),"")</f>
        <v/>
      </c>
    </row>
    <row r="677" spans="1:15" x14ac:dyDescent="0.25">
      <c r="A677" s="9" t="str">
        <f>IF(Registro!$A677="","",Registro!$A677)</f>
        <v/>
      </c>
      <c r="B677" s="8" t="str">
        <f>IF(Registro!$B677="","",Registro!$B677)</f>
        <v/>
      </c>
      <c r="C677" s="14" t="str">
        <f t="shared" si="30"/>
        <v/>
      </c>
      <c r="D677" s="10" t="str">
        <f>IF(Registro!$E677="","",IF(ISERROR(FIND("x",LOWER(Registro!$E677))),"-",IFERROR(SUMPRODUCT(--("0"&amp;LEFT(TRIM(MID(SUBSTITUTE(SUBSTITUTE(SUBSTITUTE(SUBSTITUTE(SUBSTITUTE(LOWER(Registro!$E677),"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",LEN(Registro!$E677))),({1,2,3,4,5,6,7,8,9,10,11,12,13,14,15,16,17,18,19,20,21,22,23,24,25,26,27,28,29,30}-1)*LEN(Registro!$E677)+1,LEN(Registro!$E677)))&amp;"x")-1))),"Revisar formato")))</f>
        <v/>
      </c>
      <c r="E677" s="11" t="str">
        <f>IF(Registro!$E677="","",IF(ISERROR(FIND("x",LOWER(Registro!$E677))),"-",IFERROR(SUMPRODUCT(--("0"&amp;LEFT(TRIM(MID(SUBSTITUTE(SUBSTITUTE(SUBSTITUTE(SUBSTITUTE(SUBSTITUTE(LOWER(Registro!$E677),"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",LEN(Registro!$E677))),({1,2,3,4,5,6,7,8,9,10,11,12,13,14,15,16,17,18,19,20,21,22,23,24,25,26,27,28,29,30}-1)*LEN(Registro!$E677)+1,LEN(Registro!$E677)))&amp;"x")-1)),--("0"&amp;MID(TRIM(MID(SUBSTITUTE(SUBSTITUTE(SUBSTITUTE(SUBSTITUTE(SUBSTITUTE(LOWER(Registro!$E677),"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",LEN(Registro!$E677))),({1,2,3,4,5,6,7,8,9,10,11,12,13,14,15,16,17,18,19,20,21,22,23,24,25,26,27,28,29,30}-1)*LEN(Registro!$E677)+1,LEN(Registro!$E677)))&amp;"x")+1,20))),"Revisar formato")))</f>
        <v/>
      </c>
      <c r="F677" s="11" t="str">
        <f>IF(Registro!$F677="","",N(Registro!$F677))</f>
        <v/>
      </c>
      <c r="G677" s="11" t="str">
        <f t="shared" si="31"/>
        <v/>
      </c>
      <c r="H677" s="10" t="str">
        <f>IF(Registro!$G677="","",IF(ISERROR(FIND("x",LOWER(Registro!$G677))),"-",IFERROR(SUMPRODUCT(--("0"&amp;LEFT(TRIM(MID(SUBSTITUTE(SUBSTITUTE(SUBSTITUTE(SUBSTITUTE(SUBSTITUTE(LOWER(Registro!$G677),"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",LEN(Registro!$G677))),({1,2,3,4,5,6,7,8,9,10,11,12,13,14,15,16,17,18,19,20,21,22,23,24,25,26,27,28,29,30}-1)*LEN(Registro!$G677)+1,LEN(Registro!$G677))),FIND("x",TRIM(MID(SUBSTITUTE(SUBSTITUTE(SUBSTITUTE(SUBSTITUTE(SUBSTITUTE(LOWER(Registro!$G677),"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",LEN(Registro!$G677))),({1,2,3,4,5,6,7,8,9,10,11,12,13,14,15,16,17,18,19,20,21,22,23,24,25,26,27,28,29,30}-1)*LEN(Registro!$G677)+1,LEN(Registro!$G677)))&amp;"x")-1))),"Revisar formato")))</f>
        <v/>
      </c>
      <c r="I677" s="11" t="str">
        <f>IF(Registro!$G677="","",IF(ISERROR(FIND("x",LOWER(Registro!$G677))),N(Registro!$H677),IFERROR(SUMPRODUCT(--("0"&amp;LEFT(TRIM(MID(SUBSTITUTE(SUBSTITUTE(SUBSTITUTE(SUBSTITUTE(SUBSTITUTE(LOWER(Registro!$G677),"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",LEN(Registro!$G677))),({1,2,3,4,5,6,7,8,9,10,11,12,13,14,15,16,17,18,19,20,21,22,23,24,25,26,27,28,29,30}-1)*LEN(Registro!$G677)+1,LEN(Registro!$G677))),FIND("x",TRIM(MID(SUBSTITUTE(SUBSTITUTE(SUBSTITUTE(SUBSTITUTE(SUBSTITUTE(LOWER(Registro!$G677),"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",LEN(Registro!$G677))),({1,2,3,4,5,6,7,8,9,10,11,12,13,14,15,16,17,18,19,20,21,22,23,24,25,26,27,28,29,30}-1)*LEN(Registro!$G677)+1,LEN(Registro!$G677)))&amp;"x")-1)),--("0"&amp;MID(TRIM(MID(SUBSTITUTE(SUBSTITUTE(SUBSTITUTE(SUBSTITUTE(SUBSTITUTE(LOWER(Registro!$G677),"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",LEN(Registro!$G677))),({1,2,3,4,5,6,7,8,9,10,11,12,13,14,15,16,17,18,19,20,21,22,23,24,25,26,27,28,29,30}-1)*LEN(Registro!$G677)+1,LEN(Registro!$G677))),FIND("x",TRIM(MID(SUBSTITUTE(SUBSTITUTE(SUBSTITUTE(SUBSTITUTE(SUBSTITUTE(LOWER(Registro!$G677),"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",LEN(Registro!$G677))),({1,2,3,4,5,6,7,8,9,10,11,12,13,14,15,16,17,18,19,20,21,22,23,24,25,26,27,28,29,30}-1)*LEN(Registro!$G677)+1,LEN(Registro!$G677)))&amp;"x")+1,20))),"Revisar formato")))</f>
        <v/>
      </c>
      <c r="J677" s="9" t="str">
        <f>IF(AND(Registro!$E677="",Registro!$G677=""),"",IF(NOT(AND(ISNUMBER(I677),ISNUMBER(Registro!$H677))),"",IF(I677&lt;Registro!$H677,"FALTA BOLETOS",IF(I677=Registro!$H677,"CONFORME","DIFERENCIA"))))</f>
        <v/>
      </c>
      <c r="K677" s="11" t="str">
        <f>IF(Registro!$I677="","",IFERROR(SUMPRODUCT(--("0"&amp;TRIM(RIGHT(SUBSTITUTE(TRIM(MID(SUBSTITUTE(SUBSTITUTE(Registro!$I677,";",CHAR(10)),CHAR(10),REPT(" ",LEN(Registro!$I677))),({1,2,3,4,5,6,7,8,9,10,11,12,13,14,15,16,17,18,19,20,21,22,23,24,25,26,27,28,29,30}-1)*LEN(Registro!$I677)+1,LEN(Registro!$I677)))," ",REPT(" ",50)),50)))),"Revisar formato"))</f>
        <v/>
      </c>
      <c r="L677" s="11" t="str">
        <f>IF(Registro!$J677="","",IFERROR(SUMPRODUCT(--("0"&amp;TRIM(RIGHT(SUBSTITUTE(TRIM(MID(SUBSTITUTE(SUBSTITUTE(Registro!$J677,";",CHAR(10)),CHAR(10),REPT(" ",LEN(Registro!$J677))),({1,2,3,4,5,6,7,8,9,10,11,12,13,14,15,16,17,18,19,20,21,22,23,24,25,26,27,28,29,30}-1)*LEN(Registro!$J677)+1,LEN(Registro!$J677)))," ",REPT(" ",50)),50)))),"Revisar formato"))</f>
        <v/>
      </c>
      <c r="M677" s="11" t="str">
        <f>IF(AND(Registro!$H677="",Registro!$I677=""),"",IF(AND(ISTEXT(K677),K677&lt;&gt;""),"Revisar formato",N(Registro!$H677)-N(K677)))</f>
        <v/>
      </c>
      <c r="N677" s="11" t="str">
        <f t="shared" si="32"/>
        <v/>
      </c>
      <c r="O677" s="15" t="str">
        <f>IF(AND(A677=Consulta!$B$3,C677=Consulta!$H$3),B677*10000+ROW(),"")</f>
        <v/>
      </c>
    </row>
    <row r="678" spans="1:15" x14ac:dyDescent="0.25">
      <c r="A678" s="9" t="str">
        <f>IF(Registro!$A678="","",Registro!$A678)</f>
        <v/>
      </c>
      <c r="B678" s="8" t="str">
        <f>IF(Registro!$B678="","",Registro!$B678)</f>
        <v/>
      </c>
      <c r="C678" s="14" t="str">
        <f t="shared" si="30"/>
        <v/>
      </c>
      <c r="D678" s="10" t="str">
        <f>IF(Registro!$E678="","",IF(ISERROR(FIND("x",LOWER(Registro!$E678))),"-",IFERROR(SUMPRODUCT(--("0"&amp;LEFT(TRIM(MID(SUBSTITUTE(SUBSTITUTE(SUBSTITUTE(SUBSTITUTE(SUBSTITUTE(LOWER(Registro!$E678),"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",LEN(Registro!$E678))),({1,2,3,4,5,6,7,8,9,10,11,12,13,14,15,16,17,18,19,20,21,22,23,24,25,26,27,28,29,30}-1)*LEN(Registro!$E678)+1,LEN(Registro!$E678)))&amp;"x")-1))),"Revisar formato")))</f>
        <v/>
      </c>
      <c r="E678" s="11" t="str">
        <f>IF(Registro!$E678="","",IF(ISERROR(FIND("x",LOWER(Registro!$E678))),"-",IFERROR(SUMPRODUCT(--("0"&amp;LEFT(TRIM(MID(SUBSTITUTE(SUBSTITUTE(SUBSTITUTE(SUBSTITUTE(SUBSTITUTE(LOWER(Registro!$E678),"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",LEN(Registro!$E678))),({1,2,3,4,5,6,7,8,9,10,11,12,13,14,15,16,17,18,19,20,21,22,23,24,25,26,27,28,29,30}-1)*LEN(Registro!$E678)+1,LEN(Registro!$E678)))&amp;"x")-1)),--("0"&amp;MID(TRIM(MID(SUBSTITUTE(SUBSTITUTE(SUBSTITUTE(SUBSTITUTE(SUBSTITUTE(LOWER(Registro!$E678),"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",LEN(Registro!$E678))),({1,2,3,4,5,6,7,8,9,10,11,12,13,14,15,16,17,18,19,20,21,22,23,24,25,26,27,28,29,30}-1)*LEN(Registro!$E678)+1,LEN(Registro!$E678)))&amp;"x")+1,20))),"Revisar formato")))</f>
        <v/>
      </c>
      <c r="F678" s="11" t="str">
        <f>IF(Registro!$F678="","",N(Registro!$F678))</f>
        <v/>
      </c>
      <c r="G678" s="11" t="str">
        <f t="shared" si="31"/>
        <v/>
      </c>
      <c r="H678" s="10" t="str">
        <f>IF(Registro!$G678="","",IF(ISERROR(FIND("x",LOWER(Registro!$G678))),"-",IFERROR(SUMPRODUCT(--("0"&amp;LEFT(TRIM(MID(SUBSTITUTE(SUBSTITUTE(SUBSTITUTE(SUBSTITUTE(SUBSTITUTE(LOWER(Registro!$G678),"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",LEN(Registro!$G678))),({1,2,3,4,5,6,7,8,9,10,11,12,13,14,15,16,17,18,19,20,21,22,23,24,25,26,27,28,29,30}-1)*LEN(Registro!$G678)+1,LEN(Registro!$G678))),FIND("x",TRIM(MID(SUBSTITUTE(SUBSTITUTE(SUBSTITUTE(SUBSTITUTE(SUBSTITUTE(LOWER(Registro!$G678),"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",LEN(Registro!$G678))),({1,2,3,4,5,6,7,8,9,10,11,12,13,14,15,16,17,18,19,20,21,22,23,24,25,26,27,28,29,30}-1)*LEN(Registro!$G678)+1,LEN(Registro!$G678)))&amp;"x")-1))),"Revisar formato")))</f>
        <v/>
      </c>
      <c r="I678" s="11" t="str">
        <f>IF(Registro!$G678="","",IF(ISERROR(FIND("x",LOWER(Registro!$G678))),N(Registro!$H678),IFERROR(SUMPRODUCT(--("0"&amp;LEFT(TRIM(MID(SUBSTITUTE(SUBSTITUTE(SUBSTITUTE(SUBSTITUTE(SUBSTITUTE(LOWER(Registro!$G678),"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",LEN(Registro!$G678))),({1,2,3,4,5,6,7,8,9,10,11,12,13,14,15,16,17,18,19,20,21,22,23,24,25,26,27,28,29,30}-1)*LEN(Registro!$G678)+1,LEN(Registro!$G678))),FIND("x",TRIM(MID(SUBSTITUTE(SUBSTITUTE(SUBSTITUTE(SUBSTITUTE(SUBSTITUTE(LOWER(Registro!$G678),"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",LEN(Registro!$G678))),({1,2,3,4,5,6,7,8,9,10,11,12,13,14,15,16,17,18,19,20,21,22,23,24,25,26,27,28,29,30}-1)*LEN(Registro!$G678)+1,LEN(Registro!$G678)))&amp;"x")-1)),--("0"&amp;MID(TRIM(MID(SUBSTITUTE(SUBSTITUTE(SUBSTITUTE(SUBSTITUTE(SUBSTITUTE(LOWER(Registro!$G678),"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",LEN(Registro!$G678))),({1,2,3,4,5,6,7,8,9,10,11,12,13,14,15,16,17,18,19,20,21,22,23,24,25,26,27,28,29,30}-1)*LEN(Registro!$G678)+1,LEN(Registro!$G678))),FIND("x",TRIM(MID(SUBSTITUTE(SUBSTITUTE(SUBSTITUTE(SUBSTITUTE(SUBSTITUTE(LOWER(Registro!$G678),"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",LEN(Registro!$G678))),({1,2,3,4,5,6,7,8,9,10,11,12,13,14,15,16,17,18,19,20,21,22,23,24,25,26,27,28,29,30}-1)*LEN(Registro!$G678)+1,LEN(Registro!$G678)))&amp;"x")+1,20))),"Revisar formato")))</f>
        <v/>
      </c>
      <c r="J678" s="9" t="str">
        <f>IF(AND(Registro!$E678="",Registro!$G678=""),"",IF(NOT(AND(ISNUMBER(I678),ISNUMBER(Registro!$H678))),"",IF(I678&lt;Registro!$H678,"FALTA BOLETOS",IF(I678=Registro!$H678,"CONFORME","DIFERENCIA"))))</f>
        <v/>
      </c>
      <c r="K678" s="11" t="str">
        <f>IF(Registro!$I678="","",IFERROR(SUMPRODUCT(--("0"&amp;TRIM(RIGHT(SUBSTITUTE(TRIM(MID(SUBSTITUTE(SUBSTITUTE(Registro!$I678,";",CHAR(10)),CHAR(10),REPT(" ",LEN(Registro!$I678))),({1,2,3,4,5,6,7,8,9,10,11,12,13,14,15,16,17,18,19,20,21,22,23,24,25,26,27,28,29,30}-1)*LEN(Registro!$I678)+1,LEN(Registro!$I678)))," ",REPT(" ",50)),50)))),"Revisar formato"))</f>
        <v/>
      </c>
      <c r="L678" s="11" t="str">
        <f>IF(Registro!$J678="","",IFERROR(SUMPRODUCT(--("0"&amp;TRIM(RIGHT(SUBSTITUTE(TRIM(MID(SUBSTITUTE(SUBSTITUTE(Registro!$J678,";",CHAR(10)),CHAR(10),REPT(" ",LEN(Registro!$J678))),({1,2,3,4,5,6,7,8,9,10,11,12,13,14,15,16,17,18,19,20,21,22,23,24,25,26,27,28,29,30}-1)*LEN(Registro!$J678)+1,LEN(Registro!$J678)))," ",REPT(" ",50)),50)))),"Revisar formato"))</f>
        <v/>
      </c>
      <c r="M678" s="11" t="str">
        <f>IF(AND(Registro!$H678="",Registro!$I678=""),"",IF(AND(ISTEXT(K678),K678&lt;&gt;""),"Revisar formato",N(Registro!$H678)-N(K678)))</f>
        <v/>
      </c>
      <c r="N678" s="11" t="str">
        <f t="shared" si="32"/>
        <v/>
      </c>
      <c r="O678" s="15" t="str">
        <f>IF(AND(A678=Consulta!$B$3,C678=Consulta!$H$3),B678*10000+ROW(),"")</f>
        <v/>
      </c>
    </row>
    <row r="679" spans="1:15" x14ac:dyDescent="0.25">
      <c r="A679" s="9" t="str">
        <f>IF(Registro!$A679="","",Registro!$A679)</f>
        <v/>
      </c>
      <c r="B679" s="8" t="str">
        <f>IF(Registro!$B679="","",Registro!$B679)</f>
        <v/>
      </c>
      <c r="C679" s="14" t="str">
        <f t="shared" si="30"/>
        <v/>
      </c>
      <c r="D679" s="10" t="str">
        <f>IF(Registro!$E679="","",IF(ISERROR(FIND("x",LOWER(Registro!$E679))),"-",IFERROR(SUMPRODUCT(--("0"&amp;LEFT(TRIM(MID(SUBSTITUTE(SUBSTITUTE(SUBSTITUTE(SUBSTITUTE(SUBSTITUTE(LOWER(Registro!$E679),"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",LEN(Registro!$E679))),({1,2,3,4,5,6,7,8,9,10,11,12,13,14,15,16,17,18,19,20,21,22,23,24,25,26,27,28,29,30}-1)*LEN(Registro!$E679)+1,LEN(Registro!$E679)))&amp;"x")-1))),"Revisar formato")))</f>
        <v/>
      </c>
      <c r="E679" s="11" t="str">
        <f>IF(Registro!$E679="","",IF(ISERROR(FIND("x",LOWER(Registro!$E679))),"-",IFERROR(SUMPRODUCT(--("0"&amp;LEFT(TRIM(MID(SUBSTITUTE(SUBSTITUTE(SUBSTITUTE(SUBSTITUTE(SUBSTITUTE(LOWER(Registro!$E679),"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",LEN(Registro!$E679))),({1,2,3,4,5,6,7,8,9,10,11,12,13,14,15,16,17,18,19,20,21,22,23,24,25,26,27,28,29,30}-1)*LEN(Registro!$E679)+1,LEN(Registro!$E679)))&amp;"x")-1)),--("0"&amp;MID(TRIM(MID(SUBSTITUTE(SUBSTITUTE(SUBSTITUTE(SUBSTITUTE(SUBSTITUTE(LOWER(Registro!$E679),"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",LEN(Registro!$E679))),({1,2,3,4,5,6,7,8,9,10,11,12,13,14,15,16,17,18,19,20,21,22,23,24,25,26,27,28,29,30}-1)*LEN(Registro!$E679)+1,LEN(Registro!$E679)))&amp;"x")+1,20))),"Revisar formato")))</f>
        <v/>
      </c>
      <c r="F679" s="11" t="str">
        <f>IF(Registro!$F679="","",N(Registro!$F679))</f>
        <v/>
      </c>
      <c r="G679" s="11" t="str">
        <f t="shared" si="31"/>
        <v/>
      </c>
      <c r="H679" s="10" t="str">
        <f>IF(Registro!$G679="","",IF(ISERROR(FIND("x",LOWER(Registro!$G679))),"-",IFERROR(SUMPRODUCT(--("0"&amp;LEFT(TRIM(MID(SUBSTITUTE(SUBSTITUTE(SUBSTITUTE(SUBSTITUTE(SUBSTITUTE(LOWER(Registro!$G679),"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",LEN(Registro!$G679))),({1,2,3,4,5,6,7,8,9,10,11,12,13,14,15,16,17,18,19,20,21,22,23,24,25,26,27,28,29,30}-1)*LEN(Registro!$G679)+1,LEN(Registro!$G679))),FIND("x",TRIM(MID(SUBSTITUTE(SUBSTITUTE(SUBSTITUTE(SUBSTITUTE(SUBSTITUTE(LOWER(Registro!$G679),"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",LEN(Registro!$G679))),({1,2,3,4,5,6,7,8,9,10,11,12,13,14,15,16,17,18,19,20,21,22,23,24,25,26,27,28,29,30}-1)*LEN(Registro!$G679)+1,LEN(Registro!$G679)))&amp;"x")-1))),"Revisar formato")))</f>
        <v/>
      </c>
      <c r="I679" s="11" t="str">
        <f>IF(Registro!$G679="","",IF(ISERROR(FIND("x",LOWER(Registro!$G679))),N(Registro!$H679),IFERROR(SUMPRODUCT(--("0"&amp;LEFT(TRIM(MID(SUBSTITUTE(SUBSTITUTE(SUBSTITUTE(SUBSTITUTE(SUBSTITUTE(LOWER(Registro!$G679),"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",LEN(Registro!$G679))),({1,2,3,4,5,6,7,8,9,10,11,12,13,14,15,16,17,18,19,20,21,22,23,24,25,26,27,28,29,30}-1)*LEN(Registro!$G679)+1,LEN(Registro!$G679))),FIND("x",TRIM(MID(SUBSTITUTE(SUBSTITUTE(SUBSTITUTE(SUBSTITUTE(SUBSTITUTE(LOWER(Registro!$G679),"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",LEN(Registro!$G679))),({1,2,3,4,5,6,7,8,9,10,11,12,13,14,15,16,17,18,19,20,21,22,23,24,25,26,27,28,29,30}-1)*LEN(Registro!$G679)+1,LEN(Registro!$G679)))&amp;"x")-1)),--("0"&amp;MID(TRIM(MID(SUBSTITUTE(SUBSTITUTE(SUBSTITUTE(SUBSTITUTE(SUBSTITUTE(LOWER(Registro!$G679),"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",LEN(Registro!$G679))),({1,2,3,4,5,6,7,8,9,10,11,12,13,14,15,16,17,18,19,20,21,22,23,24,25,26,27,28,29,30}-1)*LEN(Registro!$G679)+1,LEN(Registro!$G679))),FIND("x",TRIM(MID(SUBSTITUTE(SUBSTITUTE(SUBSTITUTE(SUBSTITUTE(SUBSTITUTE(LOWER(Registro!$G679),"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",LEN(Registro!$G679))),({1,2,3,4,5,6,7,8,9,10,11,12,13,14,15,16,17,18,19,20,21,22,23,24,25,26,27,28,29,30}-1)*LEN(Registro!$G679)+1,LEN(Registro!$G679)))&amp;"x")+1,20))),"Revisar formato")))</f>
        <v/>
      </c>
      <c r="J679" s="9" t="str">
        <f>IF(AND(Registro!$E679="",Registro!$G679=""),"",IF(NOT(AND(ISNUMBER(I679),ISNUMBER(Registro!$H679))),"",IF(I679&lt;Registro!$H679,"FALTA BOLETOS",IF(I679=Registro!$H679,"CONFORME","DIFERENCIA"))))</f>
        <v/>
      </c>
      <c r="K679" s="11" t="str">
        <f>IF(Registro!$I679="","",IFERROR(SUMPRODUCT(--("0"&amp;TRIM(RIGHT(SUBSTITUTE(TRIM(MID(SUBSTITUTE(SUBSTITUTE(Registro!$I679,";",CHAR(10)),CHAR(10),REPT(" ",LEN(Registro!$I679))),({1,2,3,4,5,6,7,8,9,10,11,12,13,14,15,16,17,18,19,20,21,22,23,24,25,26,27,28,29,30}-1)*LEN(Registro!$I679)+1,LEN(Registro!$I679)))," ",REPT(" ",50)),50)))),"Revisar formato"))</f>
        <v/>
      </c>
      <c r="L679" s="11" t="str">
        <f>IF(Registro!$J679="","",IFERROR(SUMPRODUCT(--("0"&amp;TRIM(RIGHT(SUBSTITUTE(TRIM(MID(SUBSTITUTE(SUBSTITUTE(Registro!$J679,";",CHAR(10)),CHAR(10),REPT(" ",LEN(Registro!$J679))),({1,2,3,4,5,6,7,8,9,10,11,12,13,14,15,16,17,18,19,20,21,22,23,24,25,26,27,28,29,30}-1)*LEN(Registro!$J679)+1,LEN(Registro!$J679)))," ",REPT(" ",50)),50)))),"Revisar formato"))</f>
        <v/>
      </c>
      <c r="M679" s="11" t="str">
        <f>IF(AND(Registro!$H679="",Registro!$I679=""),"",IF(AND(ISTEXT(K679),K679&lt;&gt;""),"Revisar formato",N(Registro!$H679)-N(K679)))</f>
        <v/>
      </c>
      <c r="N679" s="11" t="str">
        <f t="shared" si="32"/>
        <v/>
      </c>
      <c r="O679" s="15" t="str">
        <f>IF(AND(A679=Consulta!$B$3,C679=Consulta!$H$3),B679*10000+ROW(),"")</f>
        <v/>
      </c>
    </row>
    <row r="680" spans="1:15" x14ac:dyDescent="0.25">
      <c r="A680" s="9" t="str">
        <f>IF(Registro!$A680="","",Registro!$A680)</f>
        <v/>
      </c>
      <c r="B680" s="8" t="str">
        <f>IF(Registro!$B680="","",Registro!$B680)</f>
        <v/>
      </c>
      <c r="C680" s="14" t="str">
        <f t="shared" si="30"/>
        <v/>
      </c>
      <c r="D680" s="10" t="str">
        <f>IF(Registro!$E680="","",IF(ISERROR(FIND("x",LOWER(Registro!$E680))),"-",IFERROR(SUMPRODUCT(--("0"&amp;LEFT(TRIM(MID(SUBSTITUTE(SUBSTITUTE(SUBSTITUTE(SUBSTITUTE(SUBSTITUTE(LOWER(Registro!$E680),"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",LEN(Registro!$E680))),({1,2,3,4,5,6,7,8,9,10,11,12,13,14,15,16,17,18,19,20,21,22,23,24,25,26,27,28,29,30}-1)*LEN(Registro!$E680)+1,LEN(Registro!$E680)))&amp;"x")-1))),"Revisar formato")))</f>
        <v/>
      </c>
      <c r="E680" s="11" t="str">
        <f>IF(Registro!$E680="","",IF(ISERROR(FIND("x",LOWER(Registro!$E680))),"-",IFERROR(SUMPRODUCT(--("0"&amp;LEFT(TRIM(MID(SUBSTITUTE(SUBSTITUTE(SUBSTITUTE(SUBSTITUTE(SUBSTITUTE(LOWER(Registro!$E680),"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",LEN(Registro!$E680))),({1,2,3,4,5,6,7,8,9,10,11,12,13,14,15,16,17,18,19,20,21,22,23,24,25,26,27,28,29,30}-1)*LEN(Registro!$E680)+1,LEN(Registro!$E680)))&amp;"x")-1)),--("0"&amp;MID(TRIM(MID(SUBSTITUTE(SUBSTITUTE(SUBSTITUTE(SUBSTITUTE(SUBSTITUTE(LOWER(Registro!$E680),"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",LEN(Registro!$E680))),({1,2,3,4,5,6,7,8,9,10,11,12,13,14,15,16,17,18,19,20,21,22,23,24,25,26,27,28,29,30}-1)*LEN(Registro!$E680)+1,LEN(Registro!$E680)))&amp;"x")+1,20))),"Revisar formato")))</f>
        <v/>
      </c>
      <c r="F680" s="11" t="str">
        <f>IF(Registro!$F680="","",N(Registro!$F680))</f>
        <v/>
      </c>
      <c r="G680" s="11" t="str">
        <f t="shared" si="31"/>
        <v/>
      </c>
      <c r="H680" s="10" t="str">
        <f>IF(Registro!$G680="","",IF(ISERROR(FIND("x",LOWER(Registro!$G680))),"-",IFERROR(SUMPRODUCT(--("0"&amp;LEFT(TRIM(MID(SUBSTITUTE(SUBSTITUTE(SUBSTITUTE(SUBSTITUTE(SUBSTITUTE(LOWER(Registro!$G680),"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",LEN(Registro!$G680))),({1,2,3,4,5,6,7,8,9,10,11,12,13,14,15,16,17,18,19,20,21,22,23,24,25,26,27,28,29,30}-1)*LEN(Registro!$G680)+1,LEN(Registro!$G680))),FIND("x",TRIM(MID(SUBSTITUTE(SUBSTITUTE(SUBSTITUTE(SUBSTITUTE(SUBSTITUTE(LOWER(Registro!$G680),"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",LEN(Registro!$G680))),({1,2,3,4,5,6,7,8,9,10,11,12,13,14,15,16,17,18,19,20,21,22,23,24,25,26,27,28,29,30}-1)*LEN(Registro!$G680)+1,LEN(Registro!$G680)))&amp;"x")-1))),"Revisar formato")))</f>
        <v/>
      </c>
      <c r="I680" s="11" t="str">
        <f>IF(Registro!$G680="","",IF(ISERROR(FIND("x",LOWER(Registro!$G680))),N(Registro!$H680),IFERROR(SUMPRODUCT(--("0"&amp;LEFT(TRIM(MID(SUBSTITUTE(SUBSTITUTE(SUBSTITUTE(SUBSTITUTE(SUBSTITUTE(LOWER(Registro!$G680),"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",LEN(Registro!$G680))),({1,2,3,4,5,6,7,8,9,10,11,12,13,14,15,16,17,18,19,20,21,22,23,24,25,26,27,28,29,30}-1)*LEN(Registro!$G680)+1,LEN(Registro!$G680))),FIND("x",TRIM(MID(SUBSTITUTE(SUBSTITUTE(SUBSTITUTE(SUBSTITUTE(SUBSTITUTE(LOWER(Registro!$G680),"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",LEN(Registro!$G680))),({1,2,3,4,5,6,7,8,9,10,11,12,13,14,15,16,17,18,19,20,21,22,23,24,25,26,27,28,29,30}-1)*LEN(Registro!$G680)+1,LEN(Registro!$G680)))&amp;"x")-1)),--("0"&amp;MID(TRIM(MID(SUBSTITUTE(SUBSTITUTE(SUBSTITUTE(SUBSTITUTE(SUBSTITUTE(LOWER(Registro!$G680),"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",LEN(Registro!$G680))),({1,2,3,4,5,6,7,8,9,10,11,12,13,14,15,16,17,18,19,20,21,22,23,24,25,26,27,28,29,30}-1)*LEN(Registro!$G680)+1,LEN(Registro!$G680))),FIND("x",TRIM(MID(SUBSTITUTE(SUBSTITUTE(SUBSTITUTE(SUBSTITUTE(SUBSTITUTE(LOWER(Registro!$G680),"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",LEN(Registro!$G680))),({1,2,3,4,5,6,7,8,9,10,11,12,13,14,15,16,17,18,19,20,21,22,23,24,25,26,27,28,29,30}-1)*LEN(Registro!$G680)+1,LEN(Registro!$G680)))&amp;"x")+1,20))),"Revisar formato")))</f>
        <v/>
      </c>
      <c r="J680" s="9" t="str">
        <f>IF(AND(Registro!$E680="",Registro!$G680=""),"",IF(NOT(AND(ISNUMBER(I680),ISNUMBER(Registro!$H680))),"",IF(I680&lt;Registro!$H680,"FALTA BOLETOS",IF(I680=Registro!$H680,"CONFORME","DIFERENCIA"))))</f>
        <v/>
      </c>
      <c r="K680" s="11" t="str">
        <f>IF(Registro!$I680="","",IFERROR(SUMPRODUCT(--("0"&amp;TRIM(RIGHT(SUBSTITUTE(TRIM(MID(SUBSTITUTE(SUBSTITUTE(Registro!$I680,";",CHAR(10)),CHAR(10),REPT(" ",LEN(Registro!$I680))),({1,2,3,4,5,6,7,8,9,10,11,12,13,14,15,16,17,18,19,20,21,22,23,24,25,26,27,28,29,30}-1)*LEN(Registro!$I680)+1,LEN(Registro!$I680)))," ",REPT(" ",50)),50)))),"Revisar formato"))</f>
        <v/>
      </c>
      <c r="L680" s="11" t="str">
        <f>IF(Registro!$J680="","",IFERROR(SUMPRODUCT(--("0"&amp;TRIM(RIGHT(SUBSTITUTE(TRIM(MID(SUBSTITUTE(SUBSTITUTE(Registro!$J680,";",CHAR(10)),CHAR(10),REPT(" ",LEN(Registro!$J680))),({1,2,3,4,5,6,7,8,9,10,11,12,13,14,15,16,17,18,19,20,21,22,23,24,25,26,27,28,29,30}-1)*LEN(Registro!$J680)+1,LEN(Registro!$J680)))," ",REPT(" ",50)),50)))),"Revisar formato"))</f>
        <v/>
      </c>
      <c r="M680" s="11" t="str">
        <f>IF(AND(Registro!$H680="",Registro!$I680=""),"",IF(AND(ISTEXT(K680),K680&lt;&gt;""),"Revisar formato",N(Registro!$H680)-N(K680)))</f>
        <v/>
      </c>
      <c r="N680" s="11" t="str">
        <f t="shared" si="32"/>
        <v/>
      </c>
      <c r="O680" s="15" t="str">
        <f>IF(AND(A680=Consulta!$B$3,C680=Consulta!$H$3),B680*10000+ROW(),"")</f>
        <v/>
      </c>
    </row>
    <row r="681" spans="1:15" x14ac:dyDescent="0.25">
      <c r="A681" s="9" t="str">
        <f>IF(Registro!$A681="","",Registro!$A681)</f>
        <v/>
      </c>
      <c r="B681" s="8" t="str">
        <f>IF(Registro!$B681="","",Registro!$B681)</f>
        <v/>
      </c>
      <c r="C681" s="14" t="str">
        <f t="shared" si="30"/>
        <v/>
      </c>
      <c r="D681" s="10" t="str">
        <f>IF(Registro!$E681="","",IF(ISERROR(FIND("x",LOWER(Registro!$E681))),"-",IFERROR(SUMPRODUCT(--("0"&amp;LEFT(TRIM(MID(SUBSTITUTE(SUBSTITUTE(SUBSTITUTE(SUBSTITUTE(SUBSTITUTE(LOWER(Registro!$E681),"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",LEN(Registro!$E681))),({1,2,3,4,5,6,7,8,9,10,11,12,13,14,15,16,17,18,19,20,21,22,23,24,25,26,27,28,29,30}-1)*LEN(Registro!$E681)+1,LEN(Registro!$E681)))&amp;"x")-1))),"Revisar formato")))</f>
        <v/>
      </c>
      <c r="E681" s="11" t="str">
        <f>IF(Registro!$E681="","",IF(ISERROR(FIND("x",LOWER(Registro!$E681))),"-",IFERROR(SUMPRODUCT(--("0"&amp;LEFT(TRIM(MID(SUBSTITUTE(SUBSTITUTE(SUBSTITUTE(SUBSTITUTE(SUBSTITUTE(LOWER(Registro!$E681),"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",LEN(Registro!$E681))),({1,2,3,4,5,6,7,8,9,10,11,12,13,14,15,16,17,18,19,20,21,22,23,24,25,26,27,28,29,30}-1)*LEN(Registro!$E681)+1,LEN(Registro!$E681)))&amp;"x")-1)),--("0"&amp;MID(TRIM(MID(SUBSTITUTE(SUBSTITUTE(SUBSTITUTE(SUBSTITUTE(SUBSTITUTE(LOWER(Registro!$E681),"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",LEN(Registro!$E681))),({1,2,3,4,5,6,7,8,9,10,11,12,13,14,15,16,17,18,19,20,21,22,23,24,25,26,27,28,29,30}-1)*LEN(Registro!$E681)+1,LEN(Registro!$E681)))&amp;"x")+1,20))),"Revisar formato")))</f>
        <v/>
      </c>
      <c r="F681" s="11" t="str">
        <f>IF(Registro!$F681="","",N(Registro!$F681))</f>
        <v/>
      </c>
      <c r="G681" s="11" t="str">
        <f t="shared" si="31"/>
        <v/>
      </c>
      <c r="H681" s="10" t="str">
        <f>IF(Registro!$G681="","",IF(ISERROR(FIND("x",LOWER(Registro!$G681))),"-",IFERROR(SUMPRODUCT(--("0"&amp;LEFT(TRIM(MID(SUBSTITUTE(SUBSTITUTE(SUBSTITUTE(SUBSTITUTE(SUBSTITUTE(LOWER(Registro!$G681),"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",LEN(Registro!$G681))),({1,2,3,4,5,6,7,8,9,10,11,12,13,14,15,16,17,18,19,20,21,22,23,24,25,26,27,28,29,30}-1)*LEN(Registro!$G681)+1,LEN(Registro!$G681))),FIND("x",TRIM(MID(SUBSTITUTE(SUBSTITUTE(SUBSTITUTE(SUBSTITUTE(SUBSTITUTE(LOWER(Registro!$G681),"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",LEN(Registro!$G681))),({1,2,3,4,5,6,7,8,9,10,11,12,13,14,15,16,17,18,19,20,21,22,23,24,25,26,27,28,29,30}-1)*LEN(Registro!$G681)+1,LEN(Registro!$G681)))&amp;"x")-1))),"Revisar formato")))</f>
        <v/>
      </c>
      <c r="I681" s="11" t="str">
        <f>IF(Registro!$G681="","",IF(ISERROR(FIND("x",LOWER(Registro!$G681))),N(Registro!$H681),IFERROR(SUMPRODUCT(--("0"&amp;LEFT(TRIM(MID(SUBSTITUTE(SUBSTITUTE(SUBSTITUTE(SUBSTITUTE(SUBSTITUTE(LOWER(Registro!$G681),"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",LEN(Registro!$G681))),({1,2,3,4,5,6,7,8,9,10,11,12,13,14,15,16,17,18,19,20,21,22,23,24,25,26,27,28,29,30}-1)*LEN(Registro!$G681)+1,LEN(Registro!$G681))),FIND("x",TRIM(MID(SUBSTITUTE(SUBSTITUTE(SUBSTITUTE(SUBSTITUTE(SUBSTITUTE(LOWER(Registro!$G681),"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",LEN(Registro!$G681))),({1,2,3,4,5,6,7,8,9,10,11,12,13,14,15,16,17,18,19,20,21,22,23,24,25,26,27,28,29,30}-1)*LEN(Registro!$G681)+1,LEN(Registro!$G681)))&amp;"x")-1)),--("0"&amp;MID(TRIM(MID(SUBSTITUTE(SUBSTITUTE(SUBSTITUTE(SUBSTITUTE(SUBSTITUTE(LOWER(Registro!$G681),"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",LEN(Registro!$G681))),({1,2,3,4,5,6,7,8,9,10,11,12,13,14,15,16,17,18,19,20,21,22,23,24,25,26,27,28,29,30}-1)*LEN(Registro!$G681)+1,LEN(Registro!$G681))),FIND("x",TRIM(MID(SUBSTITUTE(SUBSTITUTE(SUBSTITUTE(SUBSTITUTE(SUBSTITUTE(LOWER(Registro!$G681),"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",LEN(Registro!$G681))),({1,2,3,4,5,6,7,8,9,10,11,12,13,14,15,16,17,18,19,20,21,22,23,24,25,26,27,28,29,30}-1)*LEN(Registro!$G681)+1,LEN(Registro!$G681)))&amp;"x")+1,20))),"Revisar formato")))</f>
        <v/>
      </c>
      <c r="J681" s="9" t="str">
        <f>IF(AND(Registro!$E681="",Registro!$G681=""),"",IF(NOT(AND(ISNUMBER(I681),ISNUMBER(Registro!$H681))),"",IF(I681&lt;Registro!$H681,"FALTA BOLETOS",IF(I681=Registro!$H681,"CONFORME","DIFERENCIA"))))</f>
        <v/>
      </c>
      <c r="K681" s="11" t="str">
        <f>IF(Registro!$I681="","",IFERROR(SUMPRODUCT(--("0"&amp;TRIM(RIGHT(SUBSTITUTE(TRIM(MID(SUBSTITUTE(SUBSTITUTE(Registro!$I681,";",CHAR(10)),CHAR(10),REPT(" ",LEN(Registro!$I681))),({1,2,3,4,5,6,7,8,9,10,11,12,13,14,15,16,17,18,19,20,21,22,23,24,25,26,27,28,29,30}-1)*LEN(Registro!$I681)+1,LEN(Registro!$I681)))," ",REPT(" ",50)),50)))),"Revisar formato"))</f>
        <v/>
      </c>
      <c r="L681" s="11" t="str">
        <f>IF(Registro!$J681="","",IFERROR(SUMPRODUCT(--("0"&amp;TRIM(RIGHT(SUBSTITUTE(TRIM(MID(SUBSTITUTE(SUBSTITUTE(Registro!$J681,";",CHAR(10)),CHAR(10),REPT(" ",LEN(Registro!$J681))),({1,2,3,4,5,6,7,8,9,10,11,12,13,14,15,16,17,18,19,20,21,22,23,24,25,26,27,28,29,30}-1)*LEN(Registro!$J681)+1,LEN(Registro!$J681)))," ",REPT(" ",50)),50)))),"Revisar formato"))</f>
        <v/>
      </c>
      <c r="M681" s="11" t="str">
        <f>IF(AND(Registro!$H681="",Registro!$I681=""),"",IF(AND(ISTEXT(K681),K681&lt;&gt;""),"Revisar formato",N(Registro!$H681)-N(K681)))</f>
        <v/>
      </c>
      <c r="N681" s="11" t="str">
        <f t="shared" si="32"/>
        <v/>
      </c>
      <c r="O681" s="15" t="str">
        <f>IF(AND(A681=Consulta!$B$3,C681=Consulta!$H$3),B681*10000+ROW(),"")</f>
        <v/>
      </c>
    </row>
    <row r="682" spans="1:15" x14ac:dyDescent="0.25">
      <c r="A682" s="9" t="str">
        <f>IF(Registro!$A682="","",Registro!$A682)</f>
        <v/>
      </c>
      <c r="B682" s="8" t="str">
        <f>IF(Registro!$B682="","",Registro!$B682)</f>
        <v/>
      </c>
      <c r="C682" s="14" t="str">
        <f t="shared" si="30"/>
        <v/>
      </c>
      <c r="D682" s="10" t="str">
        <f>IF(Registro!$E682="","",IF(ISERROR(FIND("x",LOWER(Registro!$E682))),"-",IFERROR(SUMPRODUCT(--("0"&amp;LEFT(TRIM(MID(SUBSTITUTE(SUBSTITUTE(SUBSTITUTE(SUBSTITUTE(SUBSTITUTE(LOWER(Registro!$E682),"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",LEN(Registro!$E682))),({1,2,3,4,5,6,7,8,9,10,11,12,13,14,15,16,17,18,19,20,21,22,23,24,25,26,27,28,29,30}-1)*LEN(Registro!$E682)+1,LEN(Registro!$E682)))&amp;"x")-1))),"Revisar formato")))</f>
        <v/>
      </c>
      <c r="E682" s="11" t="str">
        <f>IF(Registro!$E682="","",IF(ISERROR(FIND("x",LOWER(Registro!$E682))),"-",IFERROR(SUMPRODUCT(--("0"&amp;LEFT(TRIM(MID(SUBSTITUTE(SUBSTITUTE(SUBSTITUTE(SUBSTITUTE(SUBSTITUTE(LOWER(Registro!$E682),"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",LEN(Registro!$E682))),({1,2,3,4,5,6,7,8,9,10,11,12,13,14,15,16,17,18,19,20,21,22,23,24,25,26,27,28,29,30}-1)*LEN(Registro!$E682)+1,LEN(Registro!$E682)))&amp;"x")-1)),--("0"&amp;MID(TRIM(MID(SUBSTITUTE(SUBSTITUTE(SUBSTITUTE(SUBSTITUTE(SUBSTITUTE(LOWER(Registro!$E682),"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",LEN(Registro!$E682))),({1,2,3,4,5,6,7,8,9,10,11,12,13,14,15,16,17,18,19,20,21,22,23,24,25,26,27,28,29,30}-1)*LEN(Registro!$E682)+1,LEN(Registro!$E682)))&amp;"x")+1,20))),"Revisar formato")))</f>
        <v/>
      </c>
      <c r="F682" s="11" t="str">
        <f>IF(Registro!$F682="","",N(Registro!$F682))</f>
        <v/>
      </c>
      <c r="G682" s="11" t="str">
        <f t="shared" si="31"/>
        <v/>
      </c>
      <c r="H682" s="10" t="str">
        <f>IF(Registro!$G682="","",IF(ISERROR(FIND("x",LOWER(Registro!$G682))),"-",IFERROR(SUMPRODUCT(--("0"&amp;LEFT(TRIM(MID(SUBSTITUTE(SUBSTITUTE(SUBSTITUTE(SUBSTITUTE(SUBSTITUTE(LOWER(Registro!$G682),"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",LEN(Registro!$G682))),({1,2,3,4,5,6,7,8,9,10,11,12,13,14,15,16,17,18,19,20,21,22,23,24,25,26,27,28,29,30}-1)*LEN(Registro!$G682)+1,LEN(Registro!$G682))),FIND("x",TRIM(MID(SUBSTITUTE(SUBSTITUTE(SUBSTITUTE(SUBSTITUTE(SUBSTITUTE(LOWER(Registro!$G682),"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",LEN(Registro!$G682))),({1,2,3,4,5,6,7,8,9,10,11,12,13,14,15,16,17,18,19,20,21,22,23,24,25,26,27,28,29,30}-1)*LEN(Registro!$G682)+1,LEN(Registro!$G682)))&amp;"x")-1))),"Revisar formato")))</f>
        <v/>
      </c>
      <c r="I682" s="11" t="str">
        <f>IF(Registro!$G682="","",IF(ISERROR(FIND("x",LOWER(Registro!$G682))),N(Registro!$H682),IFERROR(SUMPRODUCT(--("0"&amp;LEFT(TRIM(MID(SUBSTITUTE(SUBSTITUTE(SUBSTITUTE(SUBSTITUTE(SUBSTITUTE(LOWER(Registro!$G682),"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",LEN(Registro!$G682))),({1,2,3,4,5,6,7,8,9,10,11,12,13,14,15,16,17,18,19,20,21,22,23,24,25,26,27,28,29,30}-1)*LEN(Registro!$G682)+1,LEN(Registro!$G682))),FIND("x",TRIM(MID(SUBSTITUTE(SUBSTITUTE(SUBSTITUTE(SUBSTITUTE(SUBSTITUTE(LOWER(Registro!$G682),"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",LEN(Registro!$G682))),({1,2,3,4,5,6,7,8,9,10,11,12,13,14,15,16,17,18,19,20,21,22,23,24,25,26,27,28,29,30}-1)*LEN(Registro!$G682)+1,LEN(Registro!$G682)))&amp;"x")-1)),--("0"&amp;MID(TRIM(MID(SUBSTITUTE(SUBSTITUTE(SUBSTITUTE(SUBSTITUTE(SUBSTITUTE(LOWER(Registro!$G682),"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",LEN(Registro!$G682))),({1,2,3,4,5,6,7,8,9,10,11,12,13,14,15,16,17,18,19,20,21,22,23,24,25,26,27,28,29,30}-1)*LEN(Registro!$G682)+1,LEN(Registro!$G682))),FIND("x",TRIM(MID(SUBSTITUTE(SUBSTITUTE(SUBSTITUTE(SUBSTITUTE(SUBSTITUTE(LOWER(Registro!$G682),"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",LEN(Registro!$G682))),({1,2,3,4,5,6,7,8,9,10,11,12,13,14,15,16,17,18,19,20,21,22,23,24,25,26,27,28,29,30}-1)*LEN(Registro!$G682)+1,LEN(Registro!$G682)))&amp;"x")+1,20))),"Revisar formato")))</f>
        <v/>
      </c>
      <c r="J682" s="9" t="str">
        <f>IF(AND(Registro!$E682="",Registro!$G682=""),"",IF(NOT(AND(ISNUMBER(I682),ISNUMBER(Registro!$H682))),"",IF(I682&lt;Registro!$H682,"FALTA BOLETOS",IF(I682=Registro!$H682,"CONFORME","DIFERENCIA"))))</f>
        <v/>
      </c>
      <c r="K682" s="11" t="str">
        <f>IF(Registro!$I682="","",IFERROR(SUMPRODUCT(--("0"&amp;TRIM(RIGHT(SUBSTITUTE(TRIM(MID(SUBSTITUTE(SUBSTITUTE(Registro!$I682,";",CHAR(10)),CHAR(10),REPT(" ",LEN(Registro!$I682))),({1,2,3,4,5,6,7,8,9,10,11,12,13,14,15,16,17,18,19,20,21,22,23,24,25,26,27,28,29,30}-1)*LEN(Registro!$I682)+1,LEN(Registro!$I682)))," ",REPT(" ",50)),50)))),"Revisar formato"))</f>
        <v/>
      </c>
      <c r="L682" s="11" t="str">
        <f>IF(Registro!$J682="","",IFERROR(SUMPRODUCT(--("0"&amp;TRIM(RIGHT(SUBSTITUTE(TRIM(MID(SUBSTITUTE(SUBSTITUTE(Registro!$J682,";",CHAR(10)),CHAR(10),REPT(" ",LEN(Registro!$J682))),({1,2,3,4,5,6,7,8,9,10,11,12,13,14,15,16,17,18,19,20,21,22,23,24,25,26,27,28,29,30}-1)*LEN(Registro!$J682)+1,LEN(Registro!$J682)))," ",REPT(" ",50)),50)))),"Revisar formato"))</f>
        <v/>
      </c>
      <c r="M682" s="11" t="str">
        <f>IF(AND(Registro!$H682="",Registro!$I682=""),"",IF(AND(ISTEXT(K682),K682&lt;&gt;""),"Revisar formato",N(Registro!$H682)-N(K682)))</f>
        <v/>
      </c>
      <c r="N682" s="11" t="str">
        <f t="shared" si="32"/>
        <v/>
      </c>
      <c r="O682" s="15" t="str">
        <f>IF(AND(A682=Consulta!$B$3,C682=Consulta!$H$3),B682*10000+ROW(),"")</f>
        <v/>
      </c>
    </row>
    <row r="683" spans="1:15" x14ac:dyDescent="0.25">
      <c r="A683" s="9" t="str">
        <f>IF(Registro!$A683="","",Registro!$A683)</f>
        <v/>
      </c>
      <c r="B683" s="8" t="str">
        <f>IF(Registro!$B683="","",Registro!$B683)</f>
        <v/>
      </c>
      <c r="C683" s="14" t="str">
        <f t="shared" si="30"/>
        <v/>
      </c>
      <c r="D683" s="10" t="str">
        <f>IF(Registro!$E683="","",IF(ISERROR(FIND("x",LOWER(Registro!$E683))),"-",IFERROR(SUMPRODUCT(--("0"&amp;LEFT(TRIM(MID(SUBSTITUTE(SUBSTITUTE(SUBSTITUTE(SUBSTITUTE(SUBSTITUTE(LOWER(Registro!$E683),"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",LEN(Registro!$E683))),({1,2,3,4,5,6,7,8,9,10,11,12,13,14,15,16,17,18,19,20,21,22,23,24,25,26,27,28,29,30}-1)*LEN(Registro!$E683)+1,LEN(Registro!$E683)))&amp;"x")-1))),"Revisar formato")))</f>
        <v/>
      </c>
      <c r="E683" s="11" t="str">
        <f>IF(Registro!$E683="","",IF(ISERROR(FIND("x",LOWER(Registro!$E683))),"-",IFERROR(SUMPRODUCT(--("0"&amp;LEFT(TRIM(MID(SUBSTITUTE(SUBSTITUTE(SUBSTITUTE(SUBSTITUTE(SUBSTITUTE(LOWER(Registro!$E683),"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",LEN(Registro!$E683))),({1,2,3,4,5,6,7,8,9,10,11,12,13,14,15,16,17,18,19,20,21,22,23,24,25,26,27,28,29,30}-1)*LEN(Registro!$E683)+1,LEN(Registro!$E683)))&amp;"x")-1)),--("0"&amp;MID(TRIM(MID(SUBSTITUTE(SUBSTITUTE(SUBSTITUTE(SUBSTITUTE(SUBSTITUTE(LOWER(Registro!$E683),"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",LEN(Registro!$E683))),({1,2,3,4,5,6,7,8,9,10,11,12,13,14,15,16,17,18,19,20,21,22,23,24,25,26,27,28,29,30}-1)*LEN(Registro!$E683)+1,LEN(Registro!$E683)))&amp;"x")+1,20))),"Revisar formato")))</f>
        <v/>
      </c>
      <c r="F683" s="11" t="str">
        <f>IF(Registro!$F683="","",N(Registro!$F683))</f>
        <v/>
      </c>
      <c r="G683" s="11" t="str">
        <f t="shared" si="31"/>
        <v/>
      </c>
      <c r="H683" s="10" t="str">
        <f>IF(Registro!$G683="","",IF(ISERROR(FIND("x",LOWER(Registro!$G683))),"-",IFERROR(SUMPRODUCT(--("0"&amp;LEFT(TRIM(MID(SUBSTITUTE(SUBSTITUTE(SUBSTITUTE(SUBSTITUTE(SUBSTITUTE(LOWER(Registro!$G683),"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",LEN(Registro!$G683))),({1,2,3,4,5,6,7,8,9,10,11,12,13,14,15,16,17,18,19,20,21,22,23,24,25,26,27,28,29,30}-1)*LEN(Registro!$G683)+1,LEN(Registro!$G683))),FIND("x",TRIM(MID(SUBSTITUTE(SUBSTITUTE(SUBSTITUTE(SUBSTITUTE(SUBSTITUTE(LOWER(Registro!$G683),"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",LEN(Registro!$G683))),({1,2,3,4,5,6,7,8,9,10,11,12,13,14,15,16,17,18,19,20,21,22,23,24,25,26,27,28,29,30}-1)*LEN(Registro!$G683)+1,LEN(Registro!$G683)))&amp;"x")-1))),"Revisar formato")))</f>
        <v/>
      </c>
      <c r="I683" s="11" t="str">
        <f>IF(Registro!$G683="","",IF(ISERROR(FIND("x",LOWER(Registro!$G683))),N(Registro!$H683),IFERROR(SUMPRODUCT(--("0"&amp;LEFT(TRIM(MID(SUBSTITUTE(SUBSTITUTE(SUBSTITUTE(SUBSTITUTE(SUBSTITUTE(LOWER(Registro!$G683),"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",LEN(Registro!$G683))),({1,2,3,4,5,6,7,8,9,10,11,12,13,14,15,16,17,18,19,20,21,22,23,24,25,26,27,28,29,30}-1)*LEN(Registro!$G683)+1,LEN(Registro!$G683))),FIND("x",TRIM(MID(SUBSTITUTE(SUBSTITUTE(SUBSTITUTE(SUBSTITUTE(SUBSTITUTE(LOWER(Registro!$G683),"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",LEN(Registro!$G683))),({1,2,3,4,5,6,7,8,9,10,11,12,13,14,15,16,17,18,19,20,21,22,23,24,25,26,27,28,29,30}-1)*LEN(Registro!$G683)+1,LEN(Registro!$G683)))&amp;"x")-1)),--("0"&amp;MID(TRIM(MID(SUBSTITUTE(SUBSTITUTE(SUBSTITUTE(SUBSTITUTE(SUBSTITUTE(LOWER(Registro!$G683),"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",LEN(Registro!$G683))),({1,2,3,4,5,6,7,8,9,10,11,12,13,14,15,16,17,18,19,20,21,22,23,24,25,26,27,28,29,30}-1)*LEN(Registro!$G683)+1,LEN(Registro!$G683))),FIND("x",TRIM(MID(SUBSTITUTE(SUBSTITUTE(SUBSTITUTE(SUBSTITUTE(SUBSTITUTE(LOWER(Registro!$G683),"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",LEN(Registro!$G683))),({1,2,3,4,5,6,7,8,9,10,11,12,13,14,15,16,17,18,19,20,21,22,23,24,25,26,27,28,29,30}-1)*LEN(Registro!$G683)+1,LEN(Registro!$G683)))&amp;"x")+1,20))),"Revisar formato")))</f>
        <v/>
      </c>
      <c r="J683" s="9" t="str">
        <f>IF(AND(Registro!$E683="",Registro!$G683=""),"",IF(NOT(AND(ISNUMBER(I683),ISNUMBER(Registro!$H683))),"",IF(I683&lt;Registro!$H683,"FALTA BOLETOS",IF(I683=Registro!$H683,"CONFORME","DIFERENCIA"))))</f>
        <v/>
      </c>
      <c r="K683" s="11" t="str">
        <f>IF(Registro!$I683="","",IFERROR(SUMPRODUCT(--("0"&amp;TRIM(RIGHT(SUBSTITUTE(TRIM(MID(SUBSTITUTE(SUBSTITUTE(Registro!$I683,";",CHAR(10)),CHAR(10),REPT(" ",LEN(Registro!$I683))),({1,2,3,4,5,6,7,8,9,10,11,12,13,14,15,16,17,18,19,20,21,22,23,24,25,26,27,28,29,30}-1)*LEN(Registro!$I683)+1,LEN(Registro!$I683)))," ",REPT(" ",50)),50)))),"Revisar formato"))</f>
        <v/>
      </c>
      <c r="L683" s="11" t="str">
        <f>IF(Registro!$J683="","",IFERROR(SUMPRODUCT(--("0"&amp;TRIM(RIGHT(SUBSTITUTE(TRIM(MID(SUBSTITUTE(SUBSTITUTE(Registro!$J683,";",CHAR(10)),CHAR(10),REPT(" ",LEN(Registro!$J683))),({1,2,3,4,5,6,7,8,9,10,11,12,13,14,15,16,17,18,19,20,21,22,23,24,25,26,27,28,29,30}-1)*LEN(Registro!$J683)+1,LEN(Registro!$J683)))," ",REPT(" ",50)),50)))),"Revisar formato"))</f>
        <v/>
      </c>
      <c r="M683" s="11" t="str">
        <f>IF(AND(Registro!$H683="",Registro!$I683=""),"",IF(AND(ISTEXT(K683),K683&lt;&gt;""),"Revisar formato",N(Registro!$H683)-N(K683)))</f>
        <v/>
      </c>
      <c r="N683" s="11" t="str">
        <f t="shared" si="32"/>
        <v/>
      </c>
      <c r="O683" s="15" t="str">
        <f>IF(AND(A683=Consulta!$B$3,C683=Consulta!$H$3),B683*10000+ROW(),"")</f>
        <v/>
      </c>
    </row>
    <row r="684" spans="1:15" x14ac:dyDescent="0.25">
      <c r="A684" s="9" t="str">
        <f>IF(Registro!$A684="","",Registro!$A684)</f>
        <v/>
      </c>
      <c r="B684" s="8" t="str">
        <f>IF(Registro!$B684="","",Registro!$B684)</f>
        <v/>
      </c>
      <c r="C684" s="14" t="str">
        <f t="shared" si="30"/>
        <v/>
      </c>
      <c r="D684" s="10" t="str">
        <f>IF(Registro!$E684="","",IF(ISERROR(FIND("x",LOWER(Registro!$E684))),"-",IFERROR(SUMPRODUCT(--("0"&amp;LEFT(TRIM(MID(SUBSTITUTE(SUBSTITUTE(SUBSTITUTE(SUBSTITUTE(SUBSTITUTE(LOWER(Registro!$E684),"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",LEN(Registro!$E684))),({1,2,3,4,5,6,7,8,9,10,11,12,13,14,15,16,17,18,19,20,21,22,23,24,25,26,27,28,29,30}-1)*LEN(Registro!$E684)+1,LEN(Registro!$E684)))&amp;"x")-1))),"Revisar formato")))</f>
        <v/>
      </c>
      <c r="E684" s="11" t="str">
        <f>IF(Registro!$E684="","",IF(ISERROR(FIND("x",LOWER(Registro!$E684))),"-",IFERROR(SUMPRODUCT(--("0"&amp;LEFT(TRIM(MID(SUBSTITUTE(SUBSTITUTE(SUBSTITUTE(SUBSTITUTE(SUBSTITUTE(LOWER(Registro!$E684),"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",LEN(Registro!$E684))),({1,2,3,4,5,6,7,8,9,10,11,12,13,14,15,16,17,18,19,20,21,22,23,24,25,26,27,28,29,30}-1)*LEN(Registro!$E684)+1,LEN(Registro!$E684)))&amp;"x")-1)),--("0"&amp;MID(TRIM(MID(SUBSTITUTE(SUBSTITUTE(SUBSTITUTE(SUBSTITUTE(SUBSTITUTE(LOWER(Registro!$E684),"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",LEN(Registro!$E684))),({1,2,3,4,5,6,7,8,9,10,11,12,13,14,15,16,17,18,19,20,21,22,23,24,25,26,27,28,29,30}-1)*LEN(Registro!$E684)+1,LEN(Registro!$E684)))&amp;"x")+1,20))),"Revisar formato")))</f>
        <v/>
      </c>
      <c r="F684" s="11" t="str">
        <f>IF(Registro!$F684="","",N(Registro!$F684))</f>
        <v/>
      </c>
      <c r="G684" s="11" t="str">
        <f t="shared" si="31"/>
        <v/>
      </c>
      <c r="H684" s="10" t="str">
        <f>IF(Registro!$G684="","",IF(ISERROR(FIND("x",LOWER(Registro!$G684))),"-",IFERROR(SUMPRODUCT(--("0"&amp;LEFT(TRIM(MID(SUBSTITUTE(SUBSTITUTE(SUBSTITUTE(SUBSTITUTE(SUBSTITUTE(LOWER(Registro!$G684),"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",LEN(Registro!$G684))),({1,2,3,4,5,6,7,8,9,10,11,12,13,14,15,16,17,18,19,20,21,22,23,24,25,26,27,28,29,30}-1)*LEN(Registro!$G684)+1,LEN(Registro!$G684))),FIND("x",TRIM(MID(SUBSTITUTE(SUBSTITUTE(SUBSTITUTE(SUBSTITUTE(SUBSTITUTE(LOWER(Registro!$G684),"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",LEN(Registro!$G684))),({1,2,3,4,5,6,7,8,9,10,11,12,13,14,15,16,17,18,19,20,21,22,23,24,25,26,27,28,29,30}-1)*LEN(Registro!$G684)+1,LEN(Registro!$G684)))&amp;"x")-1))),"Revisar formato")))</f>
        <v/>
      </c>
      <c r="I684" s="11" t="str">
        <f>IF(Registro!$G684="","",IF(ISERROR(FIND("x",LOWER(Registro!$G684))),N(Registro!$H684),IFERROR(SUMPRODUCT(--("0"&amp;LEFT(TRIM(MID(SUBSTITUTE(SUBSTITUTE(SUBSTITUTE(SUBSTITUTE(SUBSTITUTE(LOWER(Registro!$G684),"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",LEN(Registro!$G684))),({1,2,3,4,5,6,7,8,9,10,11,12,13,14,15,16,17,18,19,20,21,22,23,24,25,26,27,28,29,30}-1)*LEN(Registro!$G684)+1,LEN(Registro!$G684))),FIND("x",TRIM(MID(SUBSTITUTE(SUBSTITUTE(SUBSTITUTE(SUBSTITUTE(SUBSTITUTE(LOWER(Registro!$G684),"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",LEN(Registro!$G684))),({1,2,3,4,5,6,7,8,9,10,11,12,13,14,15,16,17,18,19,20,21,22,23,24,25,26,27,28,29,30}-1)*LEN(Registro!$G684)+1,LEN(Registro!$G684)))&amp;"x")-1)),--("0"&amp;MID(TRIM(MID(SUBSTITUTE(SUBSTITUTE(SUBSTITUTE(SUBSTITUTE(SUBSTITUTE(LOWER(Registro!$G684),"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",LEN(Registro!$G684))),({1,2,3,4,5,6,7,8,9,10,11,12,13,14,15,16,17,18,19,20,21,22,23,24,25,26,27,28,29,30}-1)*LEN(Registro!$G684)+1,LEN(Registro!$G684))),FIND("x",TRIM(MID(SUBSTITUTE(SUBSTITUTE(SUBSTITUTE(SUBSTITUTE(SUBSTITUTE(LOWER(Registro!$G684),"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",LEN(Registro!$G684))),({1,2,3,4,5,6,7,8,9,10,11,12,13,14,15,16,17,18,19,20,21,22,23,24,25,26,27,28,29,30}-1)*LEN(Registro!$G684)+1,LEN(Registro!$G684)))&amp;"x")+1,20))),"Revisar formato")))</f>
        <v/>
      </c>
      <c r="J684" s="9" t="str">
        <f>IF(AND(Registro!$E684="",Registro!$G684=""),"",IF(NOT(AND(ISNUMBER(I684),ISNUMBER(Registro!$H684))),"",IF(I684&lt;Registro!$H684,"FALTA BOLETOS",IF(I684=Registro!$H684,"CONFORME","DIFERENCIA"))))</f>
        <v/>
      </c>
      <c r="K684" s="11" t="str">
        <f>IF(Registro!$I684="","",IFERROR(SUMPRODUCT(--("0"&amp;TRIM(RIGHT(SUBSTITUTE(TRIM(MID(SUBSTITUTE(SUBSTITUTE(Registro!$I684,";",CHAR(10)),CHAR(10),REPT(" ",LEN(Registro!$I684))),({1,2,3,4,5,6,7,8,9,10,11,12,13,14,15,16,17,18,19,20,21,22,23,24,25,26,27,28,29,30}-1)*LEN(Registro!$I684)+1,LEN(Registro!$I684)))," ",REPT(" ",50)),50)))),"Revisar formato"))</f>
        <v/>
      </c>
      <c r="L684" s="11" t="str">
        <f>IF(Registro!$J684="","",IFERROR(SUMPRODUCT(--("0"&amp;TRIM(RIGHT(SUBSTITUTE(TRIM(MID(SUBSTITUTE(SUBSTITUTE(Registro!$J684,";",CHAR(10)),CHAR(10),REPT(" ",LEN(Registro!$J684))),({1,2,3,4,5,6,7,8,9,10,11,12,13,14,15,16,17,18,19,20,21,22,23,24,25,26,27,28,29,30}-1)*LEN(Registro!$J684)+1,LEN(Registro!$J684)))," ",REPT(" ",50)),50)))),"Revisar formato"))</f>
        <v/>
      </c>
      <c r="M684" s="11" t="str">
        <f>IF(AND(Registro!$H684="",Registro!$I684=""),"",IF(AND(ISTEXT(K684),K684&lt;&gt;""),"Revisar formato",N(Registro!$H684)-N(K684)))</f>
        <v/>
      </c>
      <c r="N684" s="11" t="str">
        <f t="shared" si="32"/>
        <v/>
      </c>
      <c r="O684" s="15" t="str">
        <f>IF(AND(A684=Consulta!$B$3,C684=Consulta!$H$3),B684*10000+ROW(),"")</f>
        <v/>
      </c>
    </row>
    <row r="685" spans="1:15" x14ac:dyDescent="0.25">
      <c r="A685" s="9" t="str">
        <f>IF(Registro!$A685="","",Registro!$A685)</f>
        <v/>
      </c>
      <c r="B685" s="8" t="str">
        <f>IF(Registro!$B685="","",Registro!$B685)</f>
        <v/>
      </c>
      <c r="C685" s="14" t="str">
        <f t="shared" si="30"/>
        <v/>
      </c>
      <c r="D685" s="10" t="str">
        <f>IF(Registro!$E685="","",IF(ISERROR(FIND("x",LOWER(Registro!$E685))),"-",IFERROR(SUMPRODUCT(--("0"&amp;LEFT(TRIM(MID(SUBSTITUTE(SUBSTITUTE(SUBSTITUTE(SUBSTITUTE(SUBSTITUTE(LOWER(Registro!$E685),"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",LEN(Registro!$E685))),({1,2,3,4,5,6,7,8,9,10,11,12,13,14,15,16,17,18,19,20,21,22,23,24,25,26,27,28,29,30}-1)*LEN(Registro!$E685)+1,LEN(Registro!$E685)))&amp;"x")-1))),"Revisar formato")))</f>
        <v/>
      </c>
      <c r="E685" s="11" t="str">
        <f>IF(Registro!$E685="","",IF(ISERROR(FIND("x",LOWER(Registro!$E685))),"-",IFERROR(SUMPRODUCT(--("0"&amp;LEFT(TRIM(MID(SUBSTITUTE(SUBSTITUTE(SUBSTITUTE(SUBSTITUTE(SUBSTITUTE(LOWER(Registro!$E685),"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",LEN(Registro!$E685))),({1,2,3,4,5,6,7,8,9,10,11,12,13,14,15,16,17,18,19,20,21,22,23,24,25,26,27,28,29,30}-1)*LEN(Registro!$E685)+1,LEN(Registro!$E685)))&amp;"x")-1)),--("0"&amp;MID(TRIM(MID(SUBSTITUTE(SUBSTITUTE(SUBSTITUTE(SUBSTITUTE(SUBSTITUTE(LOWER(Registro!$E685),"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",LEN(Registro!$E685))),({1,2,3,4,5,6,7,8,9,10,11,12,13,14,15,16,17,18,19,20,21,22,23,24,25,26,27,28,29,30}-1)*LEN(Registro!$E685)+1,LEN(Registro!$E685)))&amp;"x")+1,20))),"Revisar formato")))</f>
        <v/>
      </c>
      <c r="F685" s="11" t="str">
        <f>IF(Registro!$F685="","",N(Registro!$F685))</f>
        <v/>
      </c>
      <c r="G685" s="11" t="str">
        <f t="shared" si="31"/>
        <v/>
      </c>
      <c r="H685" s="10" t="str">
        <f>IF(Registro!$G685="","",IF(ISERROR(FIND("x",LOWER(Registro!$G685))),"-",IFERROR(SUMPRODUCT(--("0"&amp;LEFT(TRIM(MID(SUBSTITUTE(SUBSTITUTE(SUBSTITUTE(SUBSTITUTE(SUBSTITUTE(LOWER(Registro!$G685),"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",LEN(Registro!$G685))),({1,2,3,4,5,6,7,8,9,10,11,12,13,14,15,16,17,18,19,20,21,22,23,24,25,26,27,28,29,30}-1)*LEN(Registro!$G685)+1,LEN(Registro!$G685))),FIND("x",TRIM(MID(SUBSTITUTE(SUBSTITUTE(SUBSTITUTE(SUBSTITUTE(SUBSTITUTE(LOWER(Registro!$G685),"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",LEN(Registro!$G685))),({1,2,3,4,5,6,7,8,9,10,11,12,13,14,15,16,17,18,19,20,21,22,23,24,25,26,27,28,29,30}-1)*LEN(Registro!$G685)+1,LEN(Registro!$G685)))&amp;"x")-1))),"Revisar formato")))</f>
        <v/>
      </c>
      <c r="I685" s="11" t="str">
        <f>IF(Registro!$G685="","",IF(ISERROR(FIND("x",LOWER(Registro!$G685))),N(Registro!$H685),IFERROR(SUMPRODUCT(--("0"&amp;LEFT(TRIM(MID(SUBSTITUTE(SUBSTITUTE(SUBSTITUTE(SUBSTITUTE(SUBSTITUTE(LOWER(Registro!$G685),"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",LEN(Registro!$G685))),({1,2,3,4,5,6,7,8,9,10,11,12,13,14,15,16,17,18,19,20,21,22,23,24,25,26,27,28,29,30}-1)*LEN(Registro!$G685)+1,LEN(Registro!$G685))),FIND("x",TRIM(MID(SUBSTITUTE(SUBSTITUTE(SUBSTITUTE(SUBSTITUTE(SUBSTITUTE(LOWER(Registro!$G685),"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",LEN(Registro!$G685))),({1,2,3,4,5,6,7,8,9,10,11,12,13,14,15,16,17,18,19,20,21,22,23,24,25,26,27,28,29,30}-1)*LEN(Registro!$G685)+1,LEN(Registro!$G685)))&amp;"x")-1)),--("0"&amp;MID(TRIM(MID(SUBSTITUTE(SUBSTITUTE(SUBSTITUTE(SUBSTITUTE(SUBSTITUTE(LOWER(Registro!$G685),"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",LEN(Registro!$G685))),({1,2,3,4,5,6,7,8,9,10,11,12,13,14,15,16,17,18,19,20,21,22,23,24,25,26,27,28,29,30}-1)*LEN(Registro!$G685)+1,LEN(Registro!$G685))),FIND("x",TRIM(MID(SUBSTITUTE(SUBSTITUTE(SUBSTITUTE(SUBSTITUTE(SUBSTITUTE(LOWER(Registro!$G685),"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",LEN(Registro!$G685))),({1,2,3,4,5,6,7,8,9,10,11,12,13,14,15,16,17,18,19,20,21,22,23,24,25,26,27,28,29,30}-1)*LEN(Registro!$G685)+1,LEN(Registro!$G685)))&amp;"x")+1,20))),"Revisar formato")))</f>
        <v/>
      </c>
      <c r="J685" s="9" t="str">
        <f>IF(AND(Registro!$E685="",Registro!$G685=""),"",IF(NOT(AND(ISNUMBER(I685),ISNUMBER(Registro!$H685))),"",IF(I685&lt;Registro!$H685,"FALTA BOLETOS",IF(I685=Registro!$H685,"CONFORME","DIFERENCIA"))))</f>
        <v/>
      </c>
      <c r="K685" s="11" t="str">
        <f>IF(Registro!$I685="","",IFERROR(SUMPRODUCT(--("0"&amp;TRIM(RIGHT(SUBSTITUTE(TRIM(MID(SUBSTITUTE(SUBSTITUTE(Registro!$I685,";",CHAR(10)),CHAR(10),REPT(" ",LEN(Registro!$I685))),({1,2,3,4,5,6,7,8,9,10,11,12,13,14,15,16,17,18,19,20,21,22,23,24,25,26,27,28,29,30}-1)*LEN(Registro!$I685)+1,LEN(Registro!$I685)))," ",REPT(" ",50)),50)))),"Revisar formato"))</f>
        <v/>
      </c>
      <c r="L685" s="11" t="str">
        <f>IF(Registro!$J685="","",IFERROR(SUMPRODUCT(--("0"&amp;TRIM(RIGHT(SUBSTITUTE(TRIM(MID(SUBSTITUTE(SUBSTITUTE(Registro!$J685,";",CHAR(10)),CHAR(10),REPT(" ",LEN(Registro!$J685))),({1,2,3,4,5,6,7,8,9,10,11,12,13,14,15,16,17,18,19,20,21,22,23,24,25,26,27,28,29,30}-1)*LEN(Registro!$J685)+1,LEN(Registro!$J685)))," ",REPT(" ",50)),50)))),"Revisar formato"))</f>
        <v/>
      </c>
      <c r="M685" s="11" t="str">
        <f>IF(AND(Registro!$H685="",Registro!$I685=""),"",IF(AND(ISTEXT(K685),K685&lt;&gt;""),"Revisar formato",N(Registro!$H685)-N(K685)))</f>
        <v/>
      </c>
      <c r="N685" s="11" t="str">
        <f t="shared" si="32"/>
        <v/>
      </c>
      <c r="O685" s="15" t="str">
        <f>IF(AND(A685=Consulta!$B$3,C685=Consulta!$H$3),B685*10000+ROW(),"")</f>
        <v/>
      </c>
    </row>
    <row r="686" spans="1:15" x14ac:dyDescent="0.25">
      <c r="A686" s="9" t="str">
        <f>IF(Registro!$A686="","",Registro!$A686)</f>
        <v/>
      </c>
      <c r="B686" s="8" t="str">
        <f>IF(Registro!$B686="","",Registro!$B686)</f>
        <v/>
      </c>
      <c r="C686" s="14" t="str">
        <f t="shared" si="30"/>
        <v/>
      </c>
      <c r="D686" s="10" t="str">
        <f>IF(Registro!$E686="","",IF(ISERROR(FIND("x",LOWER(Registro!$E686))),"-",IFERROR(SUMPRODUCT(--("0"&amp;LEFT(TRIM(MID(SUBSTITUTE(SUBSTITUTE(SUBSTITUTE(SUBSTITUTE(SUBSTITUTE(LOWER(Registro!$E686),"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",LEN(Registro!$E686))),({1,2,3,4,5,6,7,8,9,10,11,12,13,14,15,16,17,18,19,20,21,22,23,24,25,26,27,28,29,30}-1)*LEN(Registro!$E686)+1,LEN(Registro!$E686)))&amp;"x")-1))),"Revisar formato")))</f>
        <v/>
      </c>
      <c r="E686" s="11" t="str">
        <f>IF(Registro!$E686="","",IF(ISERROR(FIND("x",LOWER(Registro!$E686))),"-",IFERROR(SUMPRODUCT(--("0"&amp;LEFT(TRIM(MID(SUBSTITUTE(SUBSTITUTE(SUBSTITUTE(SUBSTITUTE(SUBSTITUTE(LOWER(Registro!$E686),"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",LEN(Registro!$E686))),({1,2,3,4,5,6,7,8,9,10,11,12,13,14,15,16,17,18,19,20,21,22,23,24,25,26,27,28,29,30}-1)*LEN(Registro!$E686)+1,LEN(Registro!$E686)))&amp;"x")-1)),--("0"&amp;MID(TRIM(MID(SUBSTITUTE(SUBSTITUTE(SUBSTITUTE(SUBSTITUTE(SUBSTITUTE(LOWER(Registro!$E686),"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",LEN(Registro!$E686))),({1,2,3,4,5,6,7,8,9,10,11,12,13,14,15,16,17,18,19,20,21,22,23,24,25,26,27,28,29,30}-1)*LEN(Registro!$E686)+1,LEN(Registro!$E686)))&amp;"x")+1,20))),"Revisar formato")))</f>
        <v/>
      </c>
      <c r="F686" s="11" t="str">
        <f>IF(Registro!$F686="","",N(Registro!$F686))</f>
        <v/>
      </c>
      <c r="G686" s="11" t="str">
        <f t="shared" si="31"/>
        <v/>
      </c>
      <c r="H686" s="10" t="str">
        <f>IF(Registro!$G686="","",IF(ISERROR(FIND("x",LOWER(Registro!$G686))),"-",IFERROR(SUMPRODUCT(--("0"&amp;LEFT(TRIM(MID(SUBSTITUTE(SUBSTITUTE(SUBSTITUTE(SUBSTITUTE(SUBSTITUTE(LOWER(Registro!$G686),"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",LEN(Registro!$G686))),({1,2,3,4,5,6,7,8,9,10,11,12,13,14,15,16,17,18,19,20,21,22,23,24,25,26,27,28,29,30}-1)*LEN(Registro!$G686)+1,LEN(Registro!$G686))),FIND("x",TRIM(MID(SUBSTITUTE(SUBSTITUTE(SUBSTITUTE(SUBSTITUTE(SUBSTITUTE(LOWER(Registro!$G686),"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",LEN(Registro!$G686))),({1,2,3,4,5,6,7,8,9,10,11,12,13,14,15,16,17,18,19,20,21,22,23,24,25,26,27,28,29,30}-1)*LEN(Registro!$G686)+1,LEN(Registro!$G686)))&amp;"x")-1))),"Revisar formato")))</f>
        <v/>
      </c>
      <c r="I686" s="11" t="str">
        <f>IF(Registro!$G686="","",IF(ISERROR(FIND("x",LOWER(Registro!$G686))),N(Registro!$H686),IFERROR(SUMPRODUCT(--("0"&amp;LEFT(TRIM(MID(SUBSTITUTE(SUBSTITUTE(SUBSTITUTE(SUBSTITUTE(SUBSTITUTE(LOWER(Registro!$G686),"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",LEN(Registro!$G686))),({1,2,3,4,5,6,7,8,9,10,11,12,13,14,15,16,17,18,19,20,21,22,23,24,25,26,27,28,29,30}-1)*LEN(Registro!$G686)+1,LEN(Registro!$G686))),FIND("x",TRIM(MID(SUBSTITUTE(SUBSTITUTE(SUBSTITUTE(SUBSTITUTE(SUBSTITUTE(LOWER(Registro!$G686),"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",LEN(Registro!$G686))),({1,2,3,4,5,6,7,8,9,10,11,12,13,14,15,16,17,18,19,20,21,22,23,24,25,26,27,28,29,30}-1)*LEN(Registro!$G686)+1,LEN(Registro!$G686)))&amp;"x")-1)),--("0"&amp;MID(TRIM(MID(SUBSTITUTE(SUBSTITUTE(SUBSTITUTE(SUBSTITUTE(SUBSTITUTE(LOWER(Registro!$G686),"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",LEN(Registro!$G686))),({1,2,3,4,5,6,7,8,9,10,11,12,13,14,15,16,17,18,19,20,21,22,23,24,25,26,27,28,29,30}-1)*LEN(Registro!$G686)+1,LEN(Registro!$G686))),FIND("x",TRIM(MID(SUBSTITUTE(SUBSTITUTE(SUBSTITUTE(SUBSTITUTE(SUBSTITUTE(LOWER(Registro!$G686),"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",LEN(Registro!$G686))),({1,2,3,4,5,6,7,8,9,10,11,12,13,14,15,16,17,18,19,20,21,22,23,24,25,26,27,28,29,30}-1)*LEN(Registro!$G686)+1,LEN(Registro!$G686)))&amp;"x")+1,20))),"Revisar formato")))</f>
        <v/>
      </c>
      <c r="J686" s="9" t="str">
        <f>IF(AND(Registro!$E686="",Registro!$G686=""),"",IF(NOT(AND(ISNUMBER(I686),ISNUMBER(Registro!$H686))),"",IF(I686&lt;Registro!$H686,"FALTA BOLETOS",IF(I686=Registro!$H686,"CONFORME","DIFERENCIA"))))</f>
        <v/>
      </c>
      <c r="K686" s="11" t="str">
        <f>IF(Registro!$I686="","",IFERROR(SUMPRODUCT(--("0"&amp;TRIM(RIGHT(SUBSTITUTE(TRIM(MID(SUBSTITUTE(SUBSTITUTE(Registro!$I686,";",CHAR(10)),CHAR(10),REPT(" ",LEN(Registro!$I686))),({1,2,3,4,5,6,7,8,9,10,11,12,13,14,15,16,17,18,19,20,21,22,23,24,25,26,27,28,29,30}-1)*LEN(Registro!$I686)+1,LEN(Registro!$I686)))," ",REPT(" ",50)),50)))),"Revisar formato"))</f>
        <v/>
      </c>
      <c r="L686" s="11" t="str">
        <f>IF(Registro!$J686="","",IFERROR(SUMPRODUCT(--("0"&amp;TRIM(RIGHT(SUBSTITUTE(TRIM(MID(SUBSTITUTE(SUBSTITUTE(Registro!$J686,";",CHAR(10)),CHAR(10),REPT(" ",LEN(Registro!$J686))),({1,2,3,4,5,6,7,8,9,10,11,12,13,14,15,16,17,18,19,20,21,22,23,24,25,26,27,28,29,30}-1)*LEN(Registro!$J686)+1,LEN(Registro!$J686)))," ",REPT(" ",50)),50)))),"Revisar formato"))</f>
        <v/>
      </c>
      <c r="M686" s="11" t="str">
        <f>IF(AND(Registro!$H686="",Registro!$I686=""),"",IF(AND(ISTEXT(K686),K686&lt;&gt;""),"Revisar formato",N(Registro!$H686)-N(K686)))</f>
        <v/>
      </c>
      <c r="N686" s="11" t="str">
        <f t="shared" si="32"/>
        <v/>
      </c>
      <c r="O686" s="15" t="str">
        <f>IF(AND(A686=Consulta!$B$3,C686=Consulta!$H$3),B686*10000+ROW(),"")</f>
        <v/>
      </c>
    </row>
    <row r="687" spans="1:15" x14ac:dyDescent="0.25">
      <c r="A687" s="9" t="str">
        <f>IF(Registro!$A687="","",Registro!$A687)</f>
        <v/>
      </c>
      <c r="B687" s="8" t="str">
        <f>IF(Registro!$B687="","",Registro!$B687)</f>
        <v/>
      </c>
      <c r="C687" s="14" t="str">
        <f t="shared" si="30"/>
        <v/>
      </c>
      <c r="D687" s="10" t="str">
        <f>IF(Registro!$E687="","",IF(ISERROR(FIND("x",LOWER(Registro!$E687))),"-",IFERROR(SUMPRODUCT(--("0"&amp;LEFT(TRIM(MID(SUBSTITUTE(SUBSTITUTE(SUBSTITUTE(SUBSTITUTE(SUBSTITUTE(LOWER(Registro!$E687),"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",LEN(Registro!$E687))),({1,2,3,4,5,6,7,8,9,10,11,12,13,14,15,16,17,18,19,20,21,22,23,24,25,26,27,28,29,30}-1)*LEN(Registro!$E687)+1,LEN(Registro!$E687)))&amp;"x")-1))),"Revisar formato")))</f>
        <v/>
      </c>
      <c r="E687" s="11" t="str">
        <f>IF(Registro!$E687="","",IF(ISERROR(FIND("x",LOWER(Registro!$E687))),"-",IFERROR(SUMPRODUCT(--("0"&amp;LEFT(TRIM(MID(SUBSTITUTE(SUBSTITUTE(SUBSTITUTE(SUBSTITUTE(SUBSTITUTE(LOWER(Registro!$E687),"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",LEN(Registro!$E687))),({1,2,3,4,5,6,7,8,9,10,11,12,13,14,15,16,17,18,19,20,21,22,23,24,25,26,27,28,29,30}-1)*LEN(Registro!$E687)+1,LEN(Registro!$E687)))&amp;"x")-1)),--("0"&amp;MID(TRIM(MID(SUBSTITUTE(SUBSTITUTE(SUBSTITUTE(SUBSTITUTE(SUBSTITUTE(LOWER(Registro!$E687),"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",LEN(Registro!$E687))),({1,2,3,4,5,6,7,8,9,10,11,12,13,14,15,16,17,18,19,20,21,22,23,24,25,26,27,28,29,30}-1)*LEN(Registro!$E687)+1,LEN(Registro!$E687)))&amp;"x")+1,20))),"Revisar formato")))</f>
        <v/>
      </c>
      <c r="F687" s="11" t="str">
        <f>IF(Registro!$F687="","",N(Registro!$F687))</f>
        <v/>
      </c>
      <c r="G687" s="11" t="str">
        <f t="shared" si="31"/>
        <v/>
      </c>
      <c r="H687" s="10" t="str">
        <f>IF(Registro!$G687="","",IF(ISERROR(FIND("x",LOWER(Registro!$G687))),"-",IFERROR(SUMPRODUCT(--("0"&amp;LEFT(TRIM(MID(SUBSTITUTE(SUBSTITUTE(SUBSTITUTE(SUBSTITUTE(SUBSTITUTE(LOWER(Registro!$G687),"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",LEN(Registro!$G687))),({1,2,3,4,5,6,7,8,9,10,11,12,13,14,15,16,17,18,19,20,21,22,23,24,25,26,27,28,29,30}-1)*LEN(Registro!$G687)+1,LEN(Registro!$G687))),FIND("x",TRIM(MID(SUBSTITUTE(SUBSTITUTE(SUBSTITUTE(SUBSTITUTE(SUBSTITUTE(LOWER(Registro!$G687),"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",LEN(Registro!$G687))),({1,2,3,4,5,6,7,8,9,10,11,12,13,14,15,16,17,18,19,20,21,22,23,24,25,26,27,28,29,30}-1)*LEN(Registro!$G687)+1,LEN(Registro!$G687)))&amp;"x")-1))),"Revisar formato")))</f>
        <v/>
      </c>
      <c r="I687" s="11" t="str">
        <f>IF(Registro!$G687="","",IF(ISERROR(FIND("x",LOWER(Registro!$G687))),N(Registro!$H687),IFERROR(SUMPRODUCT(--("0"&amp;LEFT(TRIM(MID(SUBSTITUTE(SUBSTITUTE(SUBSTITUTE(SUBSTITUTE(SUBSTITUTE(LOWER(Registro!$G687),"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",LEN(Registro!$G687))),({1,2,3,4,5,6,7,8,9,10,11,12,13,14,15,16,17,18,19,20,21,22,23,24,25,26,27,28,29,30}-1)*LEN(Registro!$G687)+1,LEN(Registro!$G687))),FIND("x",TRIM(MID(SUBSTITUTE(SUBSTITUTE(SUBSTITUTE(SUBSTITUTE(SUBSTITUTE(LOWER(Registro!$G687),"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",LEN(Registro!$G687))),({1,2,3,4,5,6,7,8,9,10,11,12,13,14,15,16,17,18,19,20,21,22,23,24,25,26,27,28,29,30}-1)*LEN(Registro!$G687)+1,LEN(Registro!$G687)))&amp;"x")-1)),--("0"&amp;MID(TRIM(MID(SUBSTITUTE(SUBSTITUTE(SUBSTITUTE(SUBSTITUTE(SUBSTITUTE(LOWER(Registro!$G687),"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",LEN(Registro!$G687))),({1,2,3,4,5,6,7,8,9,10,11,12,13,14,15,16,17,18,19,20,21,22,23,24,25,26,27,28,29,30}-1)*LEN(Registro!$G687)+1,LEN(Registro!$G687))),FIND("x",TRIM(MID(SUBSTITUTE(SUBSTITUTE(SUBSTITUTE(SUBSTITUTE(SUBSTITUTE(LOWER(Registro!$G687),"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",LEN(Registro!$G687))),({1,2,3,4,5,6,7,8,9,10,11,12,13,14,15,16,17,18,19,20,21,22,23,24,25,26,27,28,29,30}-1)*LEN(Registro!$G687)+1,LEN(Registro!$G687)))&amp;"x")+1,20))),"Revisar formato")))</f>
        <v/>
      </c>
      <c r="J687" s="9" t="str">
        <f>IF(AND(Registro!$E687="",Registro!$G687=""),"",IF(NOT(AND(ISNUMBER(I687),ISNUMBER(Registro!$H687))),"",IF(I687&lt;Registro!$H687,"FALTA BOLETOS",IF(I687=Registro!$H687,"CONFORME","DIFERENCIA"))))</f>
        <v/>
      </c>
      <c r="K687" s="11" t="str">
        <f>IF(Registro!$I687="","",IFERROR(SUMPRODUCT(--("0"&amp;TRIM(RIGHT(SUBSTITUTE(TRIM(MID(SUBSTITUTE(SUBSTITUTE(Registro!$I687,";",CHAR(10)),CHAR(10),REPT(" ",LEN(Registro!$I687))),({1,2,3,4,5,6,7,8,9,10,11,12,13,14,15,16,17,18,19,20,21,22,23,24,25,26,27,28,29,30}-1)*LEN(Registro!$I687)+1,LEN(Registro!$I687)))," ",REPT(" ",50)),50)))),"Revisar formato"))</f>
        <v/>
      </c>
      <c r="L687" s="11" t="str">
        <f>IF(Registro!$J687="","",IFERROR(SUMPRODUCT(--("0"&amp;TRIM(RIGHT(SUBSTITUTE(TRIM(MID(SUBSTITUTE(SUBSTITUTE(Registro!$J687,";",CHAR(10)),CHAR(10),REPT(" ",LEN(Registro!$J687))),({1,2,3,4,5,6,7,8,9,10,11,12,13,14,15,16,17,18,19,20,21,22,23,24,25,26,27,28,29,30}-1)*LEN(Registro!$J687)+1,LEN(Registro!$J687)))," ",REPT(" ",50)),50)))),"Revisar formato"))</f>
        <v/>
      </c>
      <c r="M687" s="11" t="str">
        <f>IF(AND(Registro!$H687="",Registro!$I687=""),"",IF(AND(ISTEXT(K687),K687&lt;&gt;""),"Revisar formato",N(Registro!$H687)-N(K687)))</f>
        <v/>
      </c>
      <c r="N687" s="11" t="str">
        <f t="shared" si="32"/>
        <v/>
      </c>
      <c r="O687" s="15" t="str">
        <f>IF(AND(A687=Consulta!$B$3,C687=Consulta!$H$3),B687*10000+ROW(),"")</f>
        <v/>
      </c>
    </row>
    <row r="688" spans="1:15" x14ac:dyDescent="0.25">
      <c r="A688" s="9" t="str">
        <f>IF(Registro!$A688="","",Registro!$A688)</f>
        <v/>
      </c>
      <c r="B688" s="8" t="str">
        <f>IF(Registro!$B688="","",Registro!$B688)</f>
        <v/>
      </c>
      <c r="C688" s="14" t="str">
        <f t="shared" si="30"/>
        <v/>
      </c>
      <c r="D688" s="10" t="str">
        <f>IF(Registro!$E688="","",IF(ISERROR(FIND("x",LOWER(Registro!$E688))),"-",IFERROR(SUMPRODUCT(--("0"&amp;LEFT(TRIM(MID(SUBSTITUTE(SUBSTITUTE(SUBSTITUTE(SUBSTITUTE(SUBSTITUTE(LOWER(Registro!$E688),"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",LEN(Registro!$E688))),({1,2,3,4,5,6,7,8,9,10,11,12,13,14,15,16,17,18,19,20,21,22,23,24,25,26,27,28,29,30}-1)*LEN(Registro!$E688)+1,LEN(Registro!$E688)))&amp;"x")-1))),"Revisar formato")))</f>
        <v/>
      </c>
      <c r="E688" s="11" t="str">
        <f>IF(Registro!$E688="","",IF(ISERROR(FIND("x",LOWER(Registro!$E688))),"-",IFERROR(SUMPRODUCT(--("0"&amp;LEFT(TRIM(MID(SUBSTITUTE(SUBSTITUTE(SUBSTITUTE(SUBSTITUTE(SUBSTITUTE(LOWER(Registro!$E688),"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",LEN(Registro!$E688))),({1,2,3,4,5,6,7,8,9,10,11,12,13,14,15,16,17,18,19,20,21,22,23,24,25,26,27,28,29,30}-1)*LEN(Registro!$E688)+1,LEN(Registro!$E688)))&amp;"x")-1)),--("0"&amp;MID(TRIM(MID(SUBSTITUTE(SUBSTITUTE(SUBSTITUTE(SUBSTITUTE(SUBSTITUTE(LOWER(Registro!$E688),"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",LEN(Registro!$E688))),({1,2,3,4,5,6,7,8,9,10,11,12,13,14,15,16,17,18,19,20,21,22,23,24,25,26,27,28,29,30}-1)*LEN(Registro!$E688)+1,LEN(Registro!$E688)))&amp;"x")+1,20))),"Revisar formato")))</f>
        <v/>
      </c>
      <c r="F688" s="11" t="str">
        <f>IF(Registro!$F688="","",N(Registro!$F688))</f>
        <v/>
      </c>
      <c r="G688" s="11" t="str">
        <f t="shared" si="31"/>
        <v/>
      </c>
      <c r="H688" s="10" t="str">
        <f>IF(Registro!$G688="","",IF(ISERROR(FIND("x",LOWER(Registro!$G688))),"-",IFERROR(SUMPRODUCT(--("0"&amp;LEFT(TRIM(MID(SUBSTITUTE(SUBSTITUTE(SUBSTITUTE(SUBSTITUTE(SUBSTITUTE(LOWER(Registro!$G688),"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",LEN(Registro!$G688))),({1,2,3,4,5,6,7,8,9,10,11,12,13,14,15,16,17,18,19,20,21,22,23,24,25,26,27,28,29,30}-1)*LEN(Registro!$G688)+1,LEN(Registro!$G688))),FIND("x",TRIM(MID(SUBSTITUTE(SUBSTITUTE(SUBSTITUTE(SUBSTITUTE(SUBSTITUTE(LOWER(Registro!$G688),"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",LEN(Registro!$G688))),({1,2,3,4,5,6,7,8,9,10,11,12,13,14,15,16,17,18,19,20,21,22,23,24,25,26,27,28,29,30}-1)*LEN(Registro!$G688)+1,LEN(Registro!$G688)))&amp;"x")-1))),"Revisar formato")))</f>
        <v/>
      </c>
      <c r="I688" s="11" t="str">
        <f>IF(Registro!$G688="","",IF(ISERROR(FIND("x",LOWER(Registro!$G688))),N(Registro!$H688),IFERROR(SUMPRODUCT(--("0"&amp;LEFT(TRIM(MID(SUBSTITUTE(SUBSTITUTE(SUBSTITUTE(SUBSTITUTE(SUBSTITUTE(LOWER(Registro!$G688),"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",LEN(Registro!$G688))),({1,2,3,4,5,6,7,8,9,10,11,12,13,14,15,16,17,18,19,20,21,22,23,24,25,26,27,28,29,30}-1)*LEN(Registro!$G688)+1,LEN(Registro!$G688))),FIND("x",TRIM(MID(SUBSTITUTE(SUBSTITUTE(SUBSTITUTE(SUBSTITUTE(SUBSTITUTE(LOWER(Registro!$G688),"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",LEN(Registro!$G688))),({1,2,3,4,5,6,7,8,9,10,11,12,13,14,15,16,17,18,19,20,21,22,23,24,25,26,27,28,29,30}-1)*LEN(Registro!$G688)+1,LEN(Registro!$G688)))&amp;"x")-1)),--("0"&amp;MID(TRIM(MID(SUBSTITUTE(SUBSTITUTE(SUBSTITUTE(SUBSTITUTE(SUBSTITUTE(LOWER(Registro!$G688),"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",LEN(Registro!$G688))),({1,2,3,4,5,6,7,8,9,10,11,12,13,14,15,16,17,18,19,20,21,22,23,24,25,26,27,28,29,30}-1)*LEN(Registro!$G688)+1,LEN(Registro!$G688))),FIND("x",TRIM(MID(SUBSTITUTE(SUBSTITUTE(SUBSTITUTE(SUBSTITUTE(SUBSTITUTE(LOWER(Registro!$G688),"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",LEN(Registro!$G688))),({1,2,3,4,5,6,7,8,9,10,11,12,13,14,15,16,17,18,19,20,21,22,23,24,25,26,27,28,29,30}-1)*LEN(Registro!$G688)+1,LEN(Registro!$G688)))&amp;"x")+1,20))),"Revisar formato")))</f>
        <v/>
      </c>
      <c r="J688" s="9" t="str">
        <f>IF(AND(Registro!$E688="",Registro!$G688=""),"",IF(NOT(AND(ISNUMBER(I688),ISNUMBER(Registro!$H688))),"",IF(I688&lt;Registro!$H688,"FALTA BOLETOS",IF(I688=Registro!$H688,"CONFORME","DIFERENCIA"))))</f>
        <v/>
      </c>
      <c r="K688" s="11" t="str">
        <f>IF(Registro!$I688="","",IFERROR(SUMPRODUCT(--("0"&amp;TRIM(RIGHT(SUBSTITUTE(TRIM(MID(SUBSTITUTE(SUBSTITUTE(Registro!$I688,";",CHAR(10)),CHAR(10),REPT(" ",LEN(Registro!$I688))),({1,2,3,4,5,6,7,8,9,10,11,12,13,14,15,16,17,18,19,20,21,22,23,24,25,26,27,28,29,30}-1)*LEN(Registro!$I688)+1,LEN(Registro!$I688)))," ",REPT(" ",50)),50)))),"Revisar formato"))</f>
        <v/>
      </c>
      <c r="L688" s="11" t="str">
        <f>IF(Registro!$J688="","",IFERROR(SUMPRODUCT(--("0"&amp;TRIM(RIGHT(SUBSTITUTE(TRIM(MID(SUBSTITUTE(SUBSTITUTE(Registro!$J688,";",CHAR(10)),CHAR(10),REPT(" ",LEN(Registro!$J688))),({1,2,3,4,5,6,7,8,9,10,11,12,13,14,15,16,17,18,19,20,21,22,23,24,25,26,27,28,29,30}-1)*LEN(Registro!$J688)+1,LEN(Registro!$J688)))," ",REPT(" ",50)),50)))),"Revisar formato"))</f>
        <v/>
      </c>
      <c r="M688" s="11" t="str">
        <f>IF(AND(Registro!$H688="",Registro!$I688=""),"",IF(AND(ISTEXT(K688),K688&lt;&gt;""),"Revisar formato",N(Registro!$H688)-N(K688)))</f>
        <v/>
      </c>
      <c r="N688" s="11" t="str">
        <f t="shared" si="32"/>
        <v/>
      </c>
      <c r="O688" s="15" t="str">
        <f>IF(AND(A688=Consulta!$B$3,C688=Consulta!$H$3),B688*10000+ROW(),"")</f>
        <v/>
      </c>
    </row>
    <row r="689" spans="1:15" x14ac:dyDescent="0.25">
      <c r="A689" s="9" t="str">
        <f>IF(Registro!$A689="","",Registro!$A689)</f>
        <v/>
      </c>
      <c r="B689" s="8" t="str">
        <f>IF(Registro!$B689="","",Registro!$B689)</f>
        <v/>
      </c>
      <c r="C689" s="14" t="str">
        <f t="shared" si="30"/>
        <v/>
      </c>
      <c r="D689" s="10" t="str">
        <f>IF(Registro!$E689="","",IF(ISERROR(FIND("x",LOWER(Registro!$E689))),"-",IFERROR(SUMPRODUCT(--("0"&amp;LEFT(TRIM(MID(SUBSTITUTE(SUBSTITUTE(SUBSTITUTE(SUBSTITUTE(SUBSTITUTE(LOWER(Registro!$E689),"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",LEN(Registro!$E689))),({1,2,3,4,5,6,7,8,9,10,11,12,13,14,15,16,17,18,19,20,21,22,23,24,25,26,27,28,29,30}-1)*LEN(Registro!$E689)+1,LEN(Registro!$E689)))&amp;"x")-1))),"Revisar formato")))</f>
        <v/>
      </c>
      <c r="E689" s="11" t="str">
        <f>IF(Registro!$E689="","",IF(ISERROR(FIND("x",LOWER(Registro!$E689))),"-",IFERROR(SUMPRODUCT(--("0"&amp;LEFT(TRIM(MID(SUBSTITUTE(SUBSTITUTE(SUBSTITUTE(SUBSTITUTE(SUBSTITUTE(LOWER(Registro!$E689),"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",LEN(Registro!$E689))),({1,2,3,4,5,6,7,8,9,10,11,12,13,14,15,16,17,18,19,20,21,22,23,24,25,26,27,28,29,30}-1)*LEN(Registro!$E689)+1,LEN(Registro!$E689)))&amp;"x")-1)),--("0"&amp;MID(TRIM(MID(SUBSTITUTE(SUBSTITUTE(SUBSTITUTE(SUBSTITUTE(SUBSTITUTE(LOWER(Registro!$E689),"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",LEN(Registro!$E689))),({1,2,3,4,5,6,7,8,9,10,11,12,13,14,15,16,17,18,19,20,21,22,23,24,25,26,27,28,29,30}-1)*LEN(Registro!$E689)+1,LEN(Registro!$E689)))&amp;"x")+1,20))),"Revisar formato")))</f>
        <v/>
      </c>
      <c r="F689" s="11" t="str">
        <f>IF(Registro!$F689="","",N(Registro!$F689))</f>
        <v/>
      </c>
      <c r="G689" s="11" t="str">
        <f t="shared" si="31"/>
        <v/>
      </c>
      <c r="H689" s="10" t="str">
        <f>IF(Registro!$G689="","",IF(ISERROR(FIND("x",LOWER(Registro!$G689))),"-",IFERROR(SUMPRODUCT(--("0"&amp;LEFT(TRIM(MID(SUBSTITUTE(SUBSTITUTE(SUBSTITUTE(SUBSTITUTE(SUBSTITUTE(LOWER(Registro!$G689),"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",LEN(Registro!$G689))),({1,2,3,4,5,6,7,8,9,10,11,12,13,14,15,16,17,18,19,20,21,22,23,24,25,26,27,28,29,30}-1)*LEN(Registro!$G689)+1,LEN(Registro!$G689))),FIND("x",TRIM(MID(SUBSTITUTE(SUBSTITUTE(SUBSTITUTE(SUBSTITUTE(SUBSTITUTE(LOWER(Registro!$G689),"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",LEN(Registro!$G689))),({1,2,3,4,5,6,7,8,9,10,11,12,13,14,15,16,17,18,19,20,21,22,23,24,25,26,27,28,29,30}-1)*LEN(Registro!$G689)+1,LEN(Registro!$G689)))&amp;"x")-1))),"Revisar formato")))</f>
        <v/>
      </c>
      <c r="I689" s="11" t="str">
        <f>IF(Registro!$G689="","",IF(ISERROR(FIND("x",LOWER(Registro!$G689))),N(Registro!$H689),IFERROR(SUMPRODUCT(--("0"&amp;LEFT(TRIM(MID(SUBSTITUTE(SUBSTITUTE(SUBSTITUTE(SUBSTITUTE(SUBSTITUTE(LOWER(Registro!$G689),"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",LEN(Registro!$G689))),({1,2,3,4,5,6,7,8,9,10,11,12,13,14,15,16,17,18,19,20,21,22,23,24,25,26,27,28,29,30}-1)*LEN(Registro!$G689)+1,LEN(Registro!$G689))),FIND("x",TRIM(MID(SUBSTITUTE(SUBSTITUTE(SUBSTITUTE(SUBSTITUTE(SUBSTITUTE(LOWER(Registro!$G689),"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",LEN(Registro!$G689))),({1,2,3,4,5,6,7,8,9,10,11,12,13,14,15,16,17,18,19,20,21,22,23,24,25,26,27,28,29,30}-1)*LEN(Registro!$G689)+1,LEN(Registro!$G689)))&amp;"x")-1)),--("0"&amp;MID(TRIM(MID(SUBSTITUTE(SUBSTITUTE(SUBSTITUTE(SUBSTITUTE(SUBSTITUTE(LOWER(Registro!$G689),"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",LEN(Registro!$G689))),({1,2,3,4,5,6,7,8,9,10,11,12,13,14,15,16,17,18,19,20,21,22,23,24,25,26,27,28,29,30}-1)*LEN(Registro!$G689)+1,LEN(Registro!$G689))),FIND("x",TRIM(MID(SUBSTITUTE(SUBSTITUTE(SUBSTITUTE(SUBSTITUTE(SUBSTITUTE(LOWER(Registro!$G689),"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",LEN(Registro!$G689))),({1,2,3,4,5,6,7,8,9,10,11,12,13,14,15,16,17,18,19,20,21,22,23,24,25,26,27,28,29,30}-1)*LEN(Registro!$G689)+1,LEN(Registro!$G689)))&amp;"x")+1,20))),"Revisar formato")))</f>
        <v/>
      </c>
      <c r="J689" s="9" t="str">
        <f>IF(AND(Registro!$E689="",Registro!$G689=""),"",IF(NOT(AND(ISNUMBER(I689),ISNUMBER(Registro!$H689))),"",IF(I689&lt;Registro!$H689,"FALTA BOLETOS",IF(I689=Registro!$H689,"CONFORME","DIFERENCIA"))))</f>
        <v/>
      </c>
      <c r="K689" s="11" t="str">
        <f>IF(Registro!$I689="","",IFERROR(SUMPRODUCT(--("0"&amp;TRIM(RIGHT(SUBSTITUTE(TRIM(MID(SUBSTITUTE(SUBSTITUTE(Registro!$I689,";",CHAR(10)),CHAR(10),REPT(" ",LEN(Registro!$I689))),({1,2,3,4,5,6,7,8,9,10,11,12,13,14,15,16,17,18,19,20,21,22,23,24,25,26,27,28,29,30}-1)*LEN(Registro!$I689)+1,LEN(Registro!$I689)))," ",REPT(" ",50)),50)))),"Revisar formato"))</f>
        <v/>
      </c>
      <c r="L689" s="11" t="str">
        <f>IF(Registro!$J689="","",IFERROR(SUMPRODUCT(--("0"&amp;TRIM(RIGHT(SUBSTITUTE(TRIM(MID(SUBSTITUTE(SUBSTITUTE(Registro!$J689,";",CHAR(10)),CHAR(10),REPT(" ",LEN(Registro!$J689))),({1,2,3,4,5,6,7,8,9,10,11,12,13,14,15,16,17,18,19,20,21,22,23,24,25,26,27,28,29,30}-1)*LEN(Registro!$J689)+1,LEN(Registro!$J689)))," ",REPT(" ",50)),50)))),"Revisar formato"))</f>
        <v/>
      </c>
      <c r="M689" s="11" t="str">
        <f>IF(AND(Registro!$H689="",Registro!$I689=""),"",IF(AND(ISTEXT(K689),K689&lt;&gt;""),"Revisar formato",N(Registro!$H689)-N(K689)))</f>
        <v/>
      </c>
      <c r="N689" s="11" t="str">
        <f t="shared" si="32"/>
        <v/>
      </c>
      <c r="O689" s="15" t="str">
        <f>IF(AND(A689=Consulta!$B$3,C689=Consulta!$H$3),B689*10000+ROW(),"")</f>
        <v/>
      </c>
    </row>
    <row r="690" spans="1:15" x14ac:dyDescent="0.25">
      <c r="A690" s="9" t="str">
        <f>IF(Registro!$A690="","",Registro!$A690)</f>
        <v/>
      </c>
      <c r="B690" s="8" t="str">
        <f>IF(Registro!$B690="","",Registro!$B690)</f>
        <v/>
      </c>
      <c r="C690" s="14" t="str">
        <f t="shared" si="30"/>
        <v/>
      </c>
      <c r="D690" s="10" t="str">
        <f>IF(Registro!$E690="","",IF(ISERROR(FIND("x",LOWER(Registro!$E690))),"-",IFERROR(SUMPRODUCT(--("0"&amp;LEFT(TRIM(MID(SUBSTITUTE(SUBSTITUTE(SUBSTITUTE(SUBSTITUTE(SUBSTITUTE(LOWER(Registro!$E690),"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",LEN(Registro!$E690))),({1,2,3,4,5,6,7,8,9,10,11,12,13,14,15,16,17,18,19,20,21,22,23,24,25,26,27,28,29,30}-1)*LEN(Registro!$E690)+1,LEN(Registro!$E690)))&amp;"x")-1))),"Revisar formato")))</f>
        <v/>
      </c>
      <c r="E690" s="11" t="str">
        <f>IF(Registro!$E690="","",IF(ISERROR(FIND("x",LOWER(Registro!$E690))),"-",IFERROR(SUMPRODUCT(--("0"&amp;LEFT(TRIM(MID(SUBSTITUTE(SUBSTITUTE(SUBSTITUTE(SUBSTITUTE(SUBSTITUTE(LOWER(Registro!$E690),"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",LEN(Registro!$E690))),({1,2,3,4,5,6,7,8,9,10,11,12,13,14,15,16,17,18,19,20,21,22,23,24,25,26,27,28,29,30}-1)*LEN(Registro!$E690)+1,LEN(Registro!$E690)))&amp;"x")-1)),--("0"&amp;MID(TRIM(MID(SUBSTITUTE(SUBSTITUTE(SUBSTITUTE(SUBSTITUTE(SUBSTITUTE(LOWER(Registro!$E690),"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",LEN(Registro!$E690))),({1,2,3,4,5,6,7,8,9,10,11,12,13,14,15,16,17,18,19,20,21,22,23,24,25,26,27,28,29,30}-1)*LEN(Registro!$E690)+1,LEN(Registro!$E690)))&amp;"x")+1,20))),"Revisar formato")))</f>
        <v/>
      </c>
      <c r="F690" s="11" t="str">
        <f>IF(Registro!$F690="","",N(Registro!$F690))</f>
        <v/>
      </c>
      <c r="G690" s="11" t="str">
        <f t="shared" si="31"/>
        <v/>
      </c>
      <c r="H690" s="10" t="str">
        <f>IF(Registro!$G690="","",IF(ISERROR(FIND("x",LOWER(Registro!$G690))),"-",IFERROR(SUMPRODUCT(--("0"&amp;LEFT(TRIM(MID(SUBSTITUTE(SUBSTITUTE(SUBSTITUTE(SUBSTITUTE(SUBSTITUTE(LOWER(Registro!$G690),"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",LEN(Registro!$G690))),({1,2,3,4,5,6,7,8,9,10,11,12,13,14,15,16,17,18,19,20,21,22,23,24,25,26,27,28,29,30}-1)*LEN(Registro!$G690)+1,LEN(Registro!$G690))),FIND("x",TRIM(MID(SUBSTITUTE(SUBSTITUTE(SUBSTITUTE(SUBSTITUTE(SUBSTITUTE(LOWER(Registro!$G690),"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",LEN(Registro!$G690))),({1,2,3,4,5,6,7,8,9,10,11,12,13,14,15,16,17,18,19,20,21,22,23,24,25,26,27,28,29,30}-1)*LEN(Registro!$G690)+1,LEN(Registro!$G690)))&amp;"x")-1))),"Revisar formato")))</f>
        <v/>
      </c>
      <c r="I690" s="11" t="str">
        <f>IF(Registro!$G690="","",IF(ISERROR(FIND("x",LOWER(Registro!$G690))),N(Registro!$H690),IFERROR(SUMPRODUCT(--("0"&amp;LEFT(TRIM(MID(SUBSTITUTE(SUBSTITUTE(SUBSTITUTE(SUBSTITUTE(SUBSTITUTE(LOWER(Registro!$G690),"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",LEN(Registro!$G690))),({1,2,3,4,5,6,7,8,9,10,11,12,13,14,15,16,17,18,19,20,21,22,23,24,25,26,27,28,29,30}-1)*LEN(Registro!$G690)+1,LEN(Registro!$G690))),FIND("x",TRIM(MID(SUBSTITUTE(SUBSTITUTE(SUBSTITUTE(SUBSTITUTE(SUBSTITUTE(LOWER(Registro!$G690),"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",LEN(Registro!$G690))),({1,2,3,4,5,6,7,8,9,10,11,12,13,14,15,16,17,18,19,20,21,22,23,24,25,26,27,28,29,30}-1)*LEN(Registro!$G690)+1,LEN(Registro!$G690)))&amp;"x")-1)),--("0"&amp;MID(TRIM(MID(SUBSTITUTE(SUBSTITUTE(SUBSTITUTE(SUBSTITUTE(SUBSTITUTE(LOWER(Registro!$G690),"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",LEN(Registro!$G690))),({1,2,3,4,5,6,7,8,9,10,11,12,13,14,15,16,17,18,19,20,21,22,23,24,25,26,27,28,29,30}-1)*LEN(Registro!$G690)+1,LEN(Registro!$G690))),FIND("x",TRIM(MID(SUBSTITUTE(SUBSTITUTE(SUBSTITUTE(SUBSTITUTE(SUBSTITUTE(LOWER(Registro!$G690),"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",LEN(Registro!$G690))),({1,2,3,4,5,6,7,8,9,10,11,12,13,14,15,16,17,18,19,20,21,22,23,24,25,26,27,28,29,30}-1)*LEN(Registro!$G690)+1,LEN(Registro!$G690)))&amp;"x")+1,20))),"Revisar formato")))</f>
        <v/>
      </c>
      <c r="J690" s="9" t="str">
        <f>IF(AND(Registro!$E690="",Registro!$G690=""),"",IF(NOT(AND(ISNUMBER(I690),ISNUMBER(Registro!$H690))),"",IF(I690&lt;Registro!$H690,"FALTA BOLETOS",IF(I690=Registro!$H690,"CONFORME","DIFERENCIA"))))</f>
        <v/>
      </c>
      <c r="K690" s="11" t="str">
        <f>IF(Registro!$I690="","",IFERROR(SUMPRODUCT(--("0"&amp;TRIM(RIGHT(SUBSTITUTE(TRIM(MID(SUBSTITUTE(SUBSTITUTE(Registro!$I690,";",CHAR(10)),CHAR(10),REPT(" ",LEN(Registro!$I690))),({1,2,3,4,5,6,7,8,9,10,11,12,13,14,15,16,17,18,19,20,21,22,23,24,25,26,27,28,29,30}-1)*LEN(Registro!$I690)+1,LEN(Registro!$I690)))," ",REPT(" ",50)),50)))),"Revisar formato"))</f>
        <v/>
      </c>
      <c r="L690" s="11" t="str">
        <f>IF(Registro!$J690="","",IFERROR(SUMPRODUCT(--("0"&amp;TRIM(RIGHT(SUBSTITUTE(TRIM(MID(SUBSTITUTE(SUBSTITUTE(Registro!$J690,";",CHAR(10)),CHAR(10),REPT(" ",LEN(Registro!$J690))),({1,2,3,4,5,6,7,8,9,10,11,12,13,14,15,16,17,18,19,20,21,22,23,24,25,26,27,28,29,30}-1)*LEN(Registro!$J690)+1,LEN(Registro!$J690)))," ",REPT(" ",50)),50)))),"Revisar formato"))</f>
        <v/>
      </c>
      <c r="M690" s="11" t="str">
        <f>IF(AND(Registro!$H690="",Registro!$I690=""),"",IF(AND(ISTEXT(K690),K690&lt;&gt;""),"Revisar formato",N(Registro!$H690)-N(K690)))</f>
        <v/>
      </c>
      <c r="N690" s="11" t="str">
        <f t="shared" si="32"/>
        <v/>
      </c>
      <c r="O690" s="15" t="str">
        <f>IF(AND(A690=Consulta!$B$3,C690=Consulta!$H$3),B690*10000+ROW(),"")</f>
        <v/>
      </c>
    </row>
    <row r="691" spans="1:15" x14ac:dyDescent="0.25">
      <c r="A691" s="9" t="str">
        <f>IF(Registro!$A691="","",Registro!$A691)</f>
        <v/>
      </c>
      <c r="B691" s="8" t="str">
        <f>IF(Registro!$B691="","",Registro!$B691)</f>
        <v/>
      </c>
      <c r="C691" s="14" t="str">
        <f t="shared" si="30"/>
        <v/>
      </c>
      <c r="D691" s="10" t="str">
        <f>IF(Registro!$E691="","",IF(ISERROR(FIND("x",LOWER(Registro!$E691))),"-",IFERROR(SUMPRODUCT(--("0"&amp;LEFT(TRIM(MID(SUBSTITUTE(SUBSTITUTE(SUBSTITUTE(SUBSTITUTE(SUBSTITUTE(LOWER(Registro!$E691),"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",LEN(Registro!$E691))),({1,2,3,4,5,6,7,8,9,10,11,12,13,14,15,16,17,18,19,20,21,22,23,24,25,26,27,28,29,30}-1)*LEN(Registro!$E691)+1,LEN(Registro!$E691)))&amp;"x")-1))),"Revisar formato")))</f>
        <v/>
      </c>
      <c r="E691" s="11" t="str">
        <f>IF(Registro!$E691="","",IF(ISERROR(FIND("x",LOWER(Registro!$E691))),"-",IFERROR(SUMPRODUCT(--("0"&amp;LEFT(TRIM(MID(SUBSTITUTE(SUBSTITUTE(SUBSTITUTE(SUBSTITUTE(SUBSTITUTE(LOWER(Registro!$E691),"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",LEN(Registro!$E691))),({1,2,3,4,5,6,7,8,9,10,11,12,13,14,15,16,17,18,19,20,21,22,23,24,25,26,27,28,29,30}-1)*LEN(Registro!$E691)+1,LEN(Registro!$E691)))&amp;"x")-1)),--("0"&amp;MID(TRIM(MID(SUBSTITUTE(SUBSTITUTE(SUBSTITUTE(SUBSTITUTE(SUBSTITUTE(LOWER(Registro!$E691),"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",LEN(Registro!$E691))),({1,2,3,4,5,6,7,8,9,10,11,12,13,14,15,16,17,18,19,20,21,22,23,24,25,26,27,28,29,30}-1)*LEN(Registro!$E691)+1,LEN(Registro!$E691)))&amp;"x")+1,20))),"Revisar formato")))</f>
        <v/>
      </c>
      <c r="F691" s="11" t="str">
        <f>IF(Registro!$F691="","",N(Registro!$F691))</f>
        <v/>
      </c>
      <c r="G691" s="11" t="str">
        <f t="shared" si="31"/>
        <v/>
      </c>
      <c r="H691" s="10" t="str">
        <f>IF(Registro!$G691="","",IF(ISERROR(FIND("x",LOWER(Registro!$G691))),"-",IFERROR(SUMPRODUCT(--("0"&amp;LEFT(TRIM(MID(SUBSTITUTE(SUBSTITUTE(SUBSTITUTE(SUBSTITUTE(SUBSTITUTE(LOWER(Registro!$G691),"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",LEN(Registro!$G691))),({1,2,3,4,5,6,7,8,9,10,11,12,13,14,15,16,17,18,19,20,21,22,23,24,25,26,27,28,29,30}-1)*LEN(Registro!$G691)+1,LEN(Registro!$G691))),FIND("x",TRIM(MID(SUBSTITUTE(SUBSTITUTE(SUBSTITUTE(SUBSTITUTE(SUBSTITUTE(LOWER(Registro!$G691),"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",LEN(Registro!$G691))),({1,2,3,4,5,6,7,8,9,10,11,12,13,14,15,16,17,18,19,20,21,22,23,24,25,26,27,28,29,30}-1)*LEN(Registro!$G691)+1,LEN(Registro!$G691)))&amp;"x")-1))),"Revisar formato")))</f>
        <v/>
      </c>
      <c r="I691" s="11" t="str">
        <f>IF(Registro!$G691="","",IF(ISERROR(FIND("x",LOWER(Registro!$G691))),N(Registro!$H691),IFERROR(SUMPRODUCT(--("0"&amp;LEFT(TRIM(MID(SUBSTITUTE(SUBSTITUTE(SUBSTITUTE(SUBSTITUTE(SUBSTITUTE(LOWER(Registro!$G691),"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",LEN(Registro!$G691))),({1,2,3,4,5,6,7,8,9,10,11,12,13,14,15,16,17,18,19,20,21,22,23,24,25,26,27,28,29,30}-1)*LEN(Registro!$G691)+1,LEN(Registro!$G691))),FIND("x",TRIM(MID(SUBSTITUTE(SUBSTITUTE(SUBSTITUTE(SUBSTITUTE(SUBSTITUTE(LOWER(Registro!$G691),"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",LEN(Registro!$G691))),({1,2,3,4,5,6,7,8,9,10,11,12,13,14,15,16,17,18,19,20,21,22,23,24,25,26,27,28,29,30}-1)*LEN(Registro!$G691)+1,LEN(Registro!$G691)))&amp;"x")-1)),--("0"&amp;MID(TRIM(MID(SUBSTITUTE(SUBSTITUTE(SUBSTITUTE(SUBSTITUTE(SUBSTITUTE(LOWER(Registro!$G691),"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",LEN(Registro!$G691))),({1,2,3,4,5,6,7,8,9,10,11,12,13,14,15,16,17,18,19,20,21,22,23,24,25,26,27,28,29,30}-1)*LEN(Registro!$G691)+1,LEN(Registro!$G691))),FIND("x",TRIM(MID(SUBSTITUTE(SUBSTITUTE(SUBSTITUTE(SUBSTITUTE(SUBSTITUTE(LOWER(Registro!$G691),"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",LEN(Registro!$G691))),({1,2,3,4,5,6,7,8,9,10,11,12,13,14,15,16,17,18,19,20,21,22,23,24,25,26,27,28,29,30}-1)*LEN(Registro!$G691)+1,LEN(Registro!$G691)))&amp;"x")+1,20))),"Revisar formato")))</f>
        <v/>
      </c>
      <c r="J691" s="9" t="str">
        <f>IF(AND(Registro!$E691="",Registro!$G691=""),"",IF(NOT(AND(ISNUMBER(I691),ISNUMBER(Registro!$H691))),"",IF(I691&lt;Registro!$H691,"FALTA BOLETOS",IF(I691=Registro!$H691,"CONFORME","DIFERENCIA"))))</f>
        <v/>
      </c>
      <c r="K691" s="11" t="str">
        <f>IF(Registro!$I691="","",IFERROR(SUMPRODUCT(--("0"&amp;TRIM(RIGHT(SUBSTITUTE(TRIM(MID(SUBSTITUTE(SUBSTITUTE(Registro!$I691,";",CHAR(10)),CHAR(10),REPT(" ",LEN(Registro!$I691))),({1,2,3,4,5,6,7,8,9,10,11,12,13,14,15,16,17,18,19,20,21,22,23,24,25,26,27,28,29,30}-1)*LEN(Registro!$I691)+1,LEN(Registro!$I691)))," ",REPT(" ",50)),50)))),"Revisar formato"))</f>
        <v/>
      </c>
      <c r="L691" s="11" t="str">
        <f>IF(Registro!$J691="","",IFERROR(SUMPRODUCT(--("0"&amp;TRIM(RIGHT(SUBSTITUTE(TRIM(MID(SUBSTITUTE(SUBSTITUTE(Registro!$J691,";",CHAR(10)),CHAR(10),REPT(" ",LEN(Registro!$J691))),({1,2,3,4,5,6,7,8,9,10,11,12,13,14,15,16,17,18,19,20,21,22,23,24,25,26,27,28,29,30}-1)*LEN(Registro!$J691)+1,LEN(Registro!$J691)))," ",REPT(" ",50)),50)))),"Revisar formato"))</f>
        <v/>
      </c>
      <c r="M691" s="11" t="str">
        <f>IF(AND(Registro!$H691="",Registro!$I691=""),"",IF(AND(ISTEXT(K691),K691&lt;&gt;""),"Revisar formato",N(Registro!$H691)-N(K691)))</f>
        <v/>
      </c>
      <c r="N691" s="11" t="str">
        <f t="shared" si="32"/>
        <v/>
      </c>
      <c r="O691" s="15" t="str">
        <f>IF(AND(A691=Consulta!$B$3,C691=Consulta!$H$3),B691*10000+ROW(),"")</f>
        <v/>
      </c>
    </row>
    <row r="692" spans="1:15" x14ac:dyDescent="0.25">
      <c r="A692" s="9" t="str">
        <f>IF(Registro!$A692="","",Registro!$A692)</f>
        <v/>
      </c>
      <c r="B692" s="8" t="str">
        <f>IF(Registro!$B692="","",Registro!$B692)</f>
        <v/>
      </c>
      <c r="C692" s="14" t="str">
        <f t="shared" si="30"/>
        <v/>
      </c>
      <c r="D692" s="10" t="str">
        <f>IF(Registro!$E692="","",IF(ISERROR(FIND("x",LOWER(Registro!$E692))),"-",IFERROR(SUMPRODUCT(--("0"&amp;LEFT(TRIM(MID(SUBSTITUTE(SUBSTITUTE(SUBSTITUTE(SUBSTITUTE(SUBSTITUTE(LOWER(Registro!$E692),"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",LEN(Registro!$E692))),({1,2,3,4,5,6,7,8,9,10,11,12,13,14,15,16,17,18,19,20,21,22,23,24,25,26,27,28,29,30}-1)*LEN(Registro!$E692)+1,LEN(Registro!$E692)))&amp;"x")-1))),"Revisar formato")))</f>
        <v/>
      </c>
      <c r="E692" s="11" t="str">
        <f>IF(Registro!$E692="","",IF(ISERROR(FIND("x",LOWER(Registro!$E692))),"-",IFERROR(SUMPRODUCT(--("0"&amp;LEFT(TRIM(MID(SUBSTITUTE(SUBSTITUTE(SUBSTITUTE(SUBSTITUTE(SUBSTITUTE(LOWER(Registro!$E692),"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",LEN(Registro!$E692))),({1,2,3,4,5,6,7,8,9,10,11,12,13,14,15,16,17,18,19,20,21,22,23,24,25,26,27,28,29,30}-1)*LEN(Registro!$E692)+1,LEN(Registro!$E692)))&amp;"x")-1)),--("0"&amp;MID(TRIM(MID(SUBSTITUTE(SUBSTITUTE(SUBSTITUTE(SUBSTITUTE(SUBSTITUTE(LOWER(Registro!$E692),"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",LEN(Registro!$E692))),({1,2,3,4,5,6,7,8,9,10,11,12,13,14,15,16,17,18,19,20,21,22,23,24,25,26,27,28,29,30}-1)*LEN(Registro!$E692)+1,LEN(Registro!$E692)))&amp;"x")+1,20))),"Revisar formato")))</f>
        <v/>
      </c>
      <c r="F692" s="11" t="str">
        <f>IF(Registro!$F692="","",N(Registro!$F692))</f>
        <v/>
      </c>
      <c r="G692" s="11" t="str">
        <f t="shared" si="31"/>
        <v/>
      </c>
      <c r="H692" s="10" t="str">
        <f>IF(Registro!$G692="","",IF(ISERROR(FIND("x",LOWER(Registro!$G692))),"-",IFERROR(SUMPRODUCT(--("0"&amp;LEFT(TRIM(MID(SUBSTITUTE(SUBSTITUTE(SUBSTITUTE(SUBSTITUTE(SUBSTITUTE(LOWER(Registro!$G692),"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",LEN(Registro!$G692))),({1,2,3,4,5,6,7,8,9,10,11,12,13,14,15,16,17,18,19,20,21,22,23,24,25,26,27,28,29,30}-1)*LEN(Registro!$G692)+1,LEN(Registro!$G692))),FIND("x",TRIM(MID(SUBSTITUTE(SUBSTITUTE(SUBSTITUTE(SUBSTITUTE(SUBSTITUTE(LOWER(Registro!$G692),"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",LEN(Registro!$G692))),({1,2,3,4,5,6,7,8,9,10,11,12,13,14,15,16,17,18,19,20,21,22,23,24,25,26,27,28,29,30}-1)*LEN(Registro!$G692)+1,LEN(Registro!$G692)))&amp;"x")-1))),"Revisar formato")))</f>
        <v/>
      </c>
      <c r="I692" s="11" t="str">
        <f>IF(Registro!$G692="","",IF(ISERROR(FIND("x",LOWER(Registro!$G692))),N(Registro!$H692),IFERROR(SUMPRODUCT(--("0"&amp;LEFT(TRIM(MID(SUBSTITUTE(SUBSTITUTE(SUBSTITUTE(SUBSTITUTE(SUBSTITUTE(LOWER(Registro!$G692),"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",LEN(Registro!$G692))),({1,2,3,4,5,6,7,8,9,10,11,12,13,14,15,16,17,18,19,20,21,22,23,24,25,26,27,28,29,30}-1)*LEN(Registro!$G692)+1,LEN(Registro!$G692))),FIND("x",TRIM(MID(SUBSTITUTE(SUBSTITUTE(SUBSTITUTE(SUBSTITUTE(SUBSTITUTE(LOWER(Registro!$G692),"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",LEN(Registro!$G692))),({1,2,3,4,5,6,7,8,9,10,11,12,13,14,15,16,17,18,19,20,21,22,23,24,25,26,27,28,29,30}-1)*LEN(Registro!$G692)+1,LEN(Registro!$G692)))&amp;"x")-1)),--("0"&amp;MID(TRIM(MID(SUBSTITUTE(SUBSTITUTE(SUBSTITUTE(SUBSTITUTE(SUBSTITUTE(LOWER(Registro!$G692),"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",LEN(Registro!$G692))),({1,2,3,4,5,6,7,8,9,10,11,12,13,14,15,16,17,18,19,20,21,22,23,24,25,26,27,28,29,30}-1)*LEN(Registro!$G692)+1,LEN(Registro!$G692))),FIND("x",TRIM(MID(SUBSTITUTE(SUBSTITUTE(SUBSTITUTE(SUBSTITUTE(SUBSTITUTE(LOWER(Registro!$G692),"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",LEN(Registro!$G692))),({1,2,3,4,5,6,7,8,9,10,11,12,13,14,15,16,17,18,19,20,21,22,23,24,25,26,27,28,29,30}-1)*LEN(Registro!$G692)+1,LEN(Registro!$G692)))&amp;"x")+1,20))),"Revisar formato")))</f>
        <v/>
      </c>
      <c r="J692" s="9" t="str">
        <f>IF(AND(Registro!$E692="",Registro!$G692=""),"",IF(NOT(AND(ISNUMBER(I692),ISNUMBER(Registro!$H692))),"",IF(I692&lt;Registro!$H692,"FALTA BOLETOS",IF(I692=Registro!$H692,"CONFORME","DIFERENCIA"))))</f>
        <v/>
      </c>
      <c r="K692" s="11" t="str">
        <f>IF(Registro!$I692="","",IFERROR(SUMPRODUCT(--("0"&amp;TRIM(RIGHT(SUBSTITUTE(TRIM(MID(SUBSTITUTE(SUBSTITUTE(Registro!$I692,";",CHAR(10)),CHAR(10),REPT(" ",LEN(Registro!$I692))),({1,2,3,4,5,6,7,8,9,10,11,12,13,14,15,16,17,18,19,20,21,22,23,24,25,26,27,28,29,30}-1)*LEN(Registro!$I692)+1,LEN(Registro!$I692)))," ",REPT(" ",50)),50)))),"Revisar formato"))</f>
        <v/>
      </c>
      <c r="L692" s="11" t="str">
        <f>IF(Registro!$J692="","",IFERROR(SUMPRODUCT(--("0"&amp;TRIM(RIGHT(SUBSTITUTE(TRIM(MID(SUBSTITUTE(SUBSTITUTE(Registro!$J692,";",CHAR(10)),CHAR(10),REPT(" ",LEN(Registro!$J692))),({1,2,3,4,5,6,7,8,9,10,11,12,13,14,15,16,17,18,19,20,21,22,23,24,25,26,27,28,29,30}-1)*LEN(Registro!$J692)+1,LEN(Registro!$J692)))," ",REPT(" ",50)),50)))),"Revisar formato"))</f>
        <v/>
      </c>
      <c r="M692" s="11" t="str">
        <f>IF(AND(Registro!$H692="",Registro!$I692=""),"",IF(AND(ISTEXT(K692),K692&lt;&gt;""),"Revisar formato",N(Registro!$H692)-N(K692)))</f>
        <v/>
      </c>
      <c r="N692" s="11" t="str">
        <f t="shared" si="32"/>
        <v/>
      </c>
      <c r="O692" s="15" t="str">
        <f>IF(AND(A692=Consulta!$B$3,C692=Consulta!$H$3),B692*10000+ROW(),"")</f>
        <v/>
      </c>
    </row>
    <row r="693" spans="1:15" x14ac:dyDescent="0.25">
      <c r="A693" s="9" t="str">
        <f>IF(Registro!$A693="","",Registro!$A693)</f>
        <v/>
      </c>
      <c r="B693" s="8" t="str">
        <f>IF(Registro!$B693="","",Registro!$B693)</f>
        <v/>
      </c>
      <c r="C693" s="14" t="str">
        <f t="shared" si="30"/>
        <v/>
      </c>
      <c r="D693" s="10" t="str">
        <f>IF(Registro!$E693="","",IF(ISERROR(FIND("x",LOWER(Registro!$E693))),"-",IFERROR(SUMPRODUCT(--("0"&amp;LEFT(TRIM(MID(SUBSTITUTE(SUBSTITUTE(SUBSTITUTE(SUBSTITUTE(SUBSTITUTE(LOWER(Registro!$E693),"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",LEN(Registro!$E693))),({1,2,3,4,5,6,7,8,9,10,11,12,13,14,15,16,17,18,19,20,21,22,23,24,25,26,27,28,29,30}-1)*LEN(Registro!$E693)+1,LEN(Registro!$E693)))&amp;"x")-1))),"Revisar formato")))</f>
        <v/>
      </c>
      <c r="E693" s="11" t="str">
        <f>IF(Registro!$E693="","",IF(ISERROR(FIND("x",LOWER(Registro!$E693))),"-",IFERROR(SUMPRODUCT(--("0"&amp;LEFT(TRIM(MID(SUBSTITUTE(SUBSTITUTE(SUBSTITUTE(SUBSTITUTE(SUBSTITUTE(LOWER(Registro!$E693),"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",LEN(Registro!$E693))),({1,2,3,4,5,6,7,8,9,10,11,12,13,14,15,16,17,18,19,20,21,22,23,24,25,26,27,28,29,30}-1)*LEN(Registro!$E693)+1,LEN(Registro!$E693)))&amp;"x")-1)),--("0"&amp;MID(TRIM(MID(SUBSTITUTE(SUBSTITUTE(SUBSTITUTE(SUBSTITUTE(SUBSTITUTE(LOWER(Registro!$E693),"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",LEN(Registro!$E693))),({1,2,3,4,5,6,7,8,9,10,11,12,13,14,15,16,17,18,19,20,21,22,23,24,25,26,27,28,29,30}-1)*LEN(Registro!$E693)+1,LEN(Registro!$E693)))&amp;"x")+1,20))),"Revisar formato")))</f>
        <v/>
      </c>
      <c r="F693" s="11" t="str">
        <f>IF(Registro!$F693="","",N(Registro!$F693))</f>
        <v/>
      </c>
      <c r="G693" s="11" t="str">
        <f t="shared" si="31"/>
        <v/>
      </c>
      <c r="H693" s="10" t="str">
        <f>IF(Registro!$G693="","",IF(ISERROR(FIND("x",LOWER(Registro!$G693))),"-",IFERROR(SUMPRODUCT(--("0"&amp;LEFT(TRIM(MID(SUBSTITUTE(SUBSTITUTE(SUBSTITUTE(SUBSTITUTE(SUBSTITUTE(LOWER(Registro!$G693),"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",LEN(Registro!$G693))),({1,2,3,4,5,6,7,8,9,10,11,12,13,14,15,16,17,18,19,20,21,22,23,24,25,26,27,28,29,30}-1)*LEN(Registro!$G693)+1,LEN(Registro!$G693))),FIND("x",TRIM(MID(SUBSTITUTE(SUBSTITUTE(SUBSTITUTE(SUBSTITUTE(SUBSTITUTE(LOWER(Registro!$G693),"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",LEN(Registro!$G693))),({1,2,3,4,5,6,7,8,9,10,11,12,13,14,15,16,17,18,19,20,21,22,23,24,25,26,27,28,29,30}-1)*LEN(Registro!$G693)+1,LEN(Registro!$G693)))&amp;"x")-1))),"Revisar formato")))</f>
        <v/>
      </c>
      <c r="I693" s="11" t="str">
        <f>IF(Registro!$G693="","",IF(ISERROR(FIND("x",LOWER(Registro!$G693))),N(Registro!$H693),IFERROR(SUMPRODUCT(--("0"&amp;LEFT(TRIM(MID(SUBSTITUTE(SUBSTITUTE(SUBSTITUTE(SUBSTITUTE(SUBSTITUTE(LOWER(Registro!$G693),"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",LEN(Registro!$G693))),({1,2,3,4,5,6,7,8,9,10,11,12,13,14,15,16,17,18,19,20,21,22,23,24,25,26,27,28,29,30}-1)*LEN(Registro!$G693)+1,LEN(Registro!$G693))),FIND("x",TRIM(MID(SUBSTITUTE(SUBSTITUTE(SUBSTITUTE(SUBSTITUTE(SUBSTITUTE(LOWER(Registro!$G693),"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",LEN(Registro!$G693))),({1,2,3,4,5,6,7,8,9,10,11,12,13,14,15,16,17,18,19,20,21,22,23,24,25,26,27,28,29,30}-1)*LEN(Registro!$G693)+1,LEN(Registro!$G693)))&amp;"x")-1)),--("0"&amp;MID(TRIM(MID(SUBSTITUTE(SUBSTITUTE(SUBSTITUTE(SUBSTITUTE(SUBSTITUTE(LOWER(Registro!$G693),"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",LEN(Registro!$G693))),({1,2,3,4,5,6,7,8,9,10,11,12,13,14,15,16,17,18,19,20,21,22,23,24,25,26,27,28,29,30}-1)*LEN(Registro!$G693)+1,LEN(Registro!$G693))),FIND("x",TRIM(MID(SUBSTITUTE(SUBSTITUTE(SUBSTITUTE(SUBSTITUTE(SUBSTITUTE(LOWER(Registro!$G693),"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",LEN(Registro!$G693))),({1,2,3,4,5,6,7,8,9,10,11,12,13,14,15,16,17,18,19,20,21,22,23,24,25,26,27,28,29,30}-1)*LEN(Registro!$G693)+1,LEN(Registro!$G693)))&amp;"x")+1,20))),"Revisar formato")))</f>
        <v/>
      </c>
      <c r="J693" s="9" t="str">
        <f>IF(AND(Registro!$E693="",Registro!$G693=""),"",IF(NOT(AND(ISNUMBER(I693),ISNUMBER(Registro!$H693))),"",IF(I693&lt;Registro!$H693,"FALTA BOLETOS",IF(I693=Registro!$H693,"CONFORME","DIFERENCIA"))))</f>
        <v/>
      </c>
      <c r="K693" s="11" t="str">
        <f>IF(Registro!$I693="","",IFERROR(SUMPRODUCT(--("0"&amp;TRIM(RIGHT(SUBSTITUTE(TRIM(MID(SUBSTITUTE(SUBSTITUTE(Registro!$I693,";",CHAR(10)),CHAR(10),REPT(" ",LEN(Registro!$I693))),({1,2,3,4,5,6,7,8,9,10,11,12,13,14,15,16,17,18,19,20,21,22,23,24,25,26,27,28,29,30}-1)*LEN(Registro!$I693)+1,LEN(Registro!$I693)))," ",REPT(" ",50)),50)))),"Revisar formato"))</f>
        <v/>
      </c>
      <c r="L693" s="11" t="str">
        <f>IF(Registro!$J693="","",IFERROR(SUMPRODUCT(--("0"&amp;TRIM(RIGHT(SUBSTITUTE(TRIM(MID(SUBSTITUTE(SUBSTITUTE(Registro!$J693,";",CHAR(10)),CHAR(10),REPT(" ",LEN(Registro!$J693))),({1,2,3,4,5,6,7,8,9,10,11,12,13,14,15,16,17,18,19,20,21,22,23,24,25,26,27,28,29,30}-1)*LEN(Registro!$J693)+1,LEN(Registro!$J693)))," ",REPT(" ",50)),50)))),"Revisar formato"))</f>
        <v/>
      </c>
      <c r="M693" s="11" t="str">
        <f>IF(AND(Registro!$H693="",Registro!$I693=""),"",IF(AND(ISTEXT(K693),K693&lt;&gt;""),"Revisar formato",N(Registro!$H693)-N(K693)))</f>
        <v/>
      </c>
      <c r="N693" s="11" t="str">
        <f t="shared" si="32"/>
        <v/>
      </c>
      <c r="O693" s="15" t="str">
        <f>IF(AND(A693=Consulta!$B$3,C693=Consulta!$H$3),B693*10000+ROW(),"")</f>
        <v/>
      </c>
    </row>
    <row r="694" spans="1:15" x14ac:dyDescent="0.25">
      <c r="A694" s="9" t="str">
        <f>IF(Registro!$A694="","",Registro!$A694)</f>
        <v/>
      </c>
      <c r="B694" s="8" t="str">
        <f>IF(Registro!$B694="","",Registro!$B694)</f>
        <v/>
      </c>
      <c r="C694" s="14" t="str">
        <f t="shared" si="30"/>
        <v/>
      </c>
      <c r="D694" s="10" t="str">
        <f>IF(Registro!$E694="","",IF(ISERROR(FIND("x",LOWER(Registro!$E694))),"-",IFERROR(SUMPRODUCT(--("0"&amp;LEFT(TRIM(MID(SUBSTITUTE(SUBSTITUTE(SUBSTITUTE(SUBSTITUTE(SUBSTITUTE(LOWER(Registro!$E694),"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",LEN(Registro!$E694))),({1,2,3,4,5,6,7,8,9,10,11,12,13,14,15,16,17,18,19,20,21,22,23,24,25,26,27,28,29,30}-1)*LEN(Registro!$E694)+1,LEN(Registro!$E694)))&amp;"x")-1))),"Revisar formato")))</f>
        <v/>
      </c>
      <c r="E694" s="11" t="str">
        <f>IF(Registro!$E694="","",IF(ISERROR(FIND("x",LOWER(Registro!$E694))),"-",IFERROR(SUMPRODUCT(--("0"&amp;LEFT(TRIM(MID(SUBSTITUTE(SUBSTITUTE(SUBSTITUTE(SUBSTITUTE(SUBSTITUTE(LOWER(Registro!$E694),"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",LEN(Registro!$E694))),({1,2,3,4,5,6,7,8,9,10,11,12,13,14,15,16,17,18,19,20,21,22,23,24,25,26,27,28,29,30}-1)*LEN(Registro!$E694)+1,LEN(Registro!$E694)))&amp;"x")-1)),--("0"&amp;MID(TRIM(MID(SUBSTITUTE(SUBSTITUTE(SUBSTITUTE(SUBSTITUTE(SUBSTITUTE(LOWER(Registro!$E694),"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",LEN(Registro!$E694))),({1,2,3,4,5,6,7,8,9,10,11,12,13,14,15,16,17,18,19,20,21,22,23,24,25,26,27,28,29,30}-1)*LEN(Registro!$E694)+1,LEN(Registro!$E694)))&amp;"x")+1,20))),"Revisar formato")))</f>
        <v/>
      </c>
      <c r="F694" s="11" t="str">
        <f>IF(Registro!$F694="","",N(Registro!$F694))</f>
        <v/>
      </c>
      <c r="G694" s="11" t="str">
        <f t="shared" si="31"/>
        <v/>
      </c>
      <c r="H694" s="10" t="str">
        <f>IF(Registro!$G694="","",IF(ISERROR(FIND("x",LOWER(Registro!$G694))),"-",IFERROR(SUMPRODUCT(--("0"&amp;LEFT(TRIM(MID(SUBSTITUTE(SUBSTITUTE(SUBSTITUTE(SUBSTITUTE(SUBSTITUTE(LOWER(Registro!$G694),"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",LEN(Registro!$G694))),({1,2,3,4,5,6,7,8,9,10,11,12,13,14,15,16,17,18,19,20,21,22,23,24,25,26,27,28,29,30}-1)*LEN(Registro!$G694)+1,LEN(Registro!$G694))),FIND("x",TRIM(MID(SUBSTITUTE(SUBSTITUTE(SUBSTITUTE(SUBSTITUTE(SUBSTITUTE(LOWER(Registro!$G694),"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",LEN(Registro!$G694))),({1,2,3,4,5,6,7,8,9,10,11,12,13,14,15,16,17,18,19,20,21,22,23,24,25,26,27,28,29,30}-1)*LEN(Registro!$G694)+1,LEN(Registro!$G694)))&amp;"x")-1))),"Revisar formato")))</f>
        <v/>
      </c>
      <c r="I694" s="11" t="str">
        <f>IF(Registro!$G694="","",IF(ISERROR(FIND("x",LOWER(Registro!$G694))),N(Registro!$H694),IFERROR(SUMPRODUCT(--("0"&amp;LEFT(TRIM(MID(SUBSTITUTE(SUBSTITUTE(SUBSTITUTE(SUBSTITUTE(SUBSTITUTE(LOWER(Registro!$G694),"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",LEN(Registro!$G694))),({1,2,3,4,5,6,7,8,9,10,11,12,13,14,15,16,17,18,19,20,21,22,23,24,25,26,27,28,29,30}-1)*LEN(Registro!$G694)+1,LEN(Registro!$G694))),FIND("x",TRIM(MID(SUBSTITUTE(SUBSTITUTE(SUBSTITUTE(SUBSTITUTE(SUBSTITUTE(LOWER(Registro!$G694),"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",LEN(Registro!$G694))),({1,2,3,4,5,6,7,8,9,10,11,12,13,14,15,16,17,18,19,20,21,22,23,24,25,26,27,28,29,30}-1)*LEN(Registro!$G694)+1,LEN(Registro!$G694)))&amp;"x")-1)),--("0"&amp;MID(TRIM(MID(SUBSTITUTE(SUBSTITUTE(SUBSTITUTE(SUBSTITUTE(SUBSTITUTE(LOWER(Registro!$G694),"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",LEN(Registro!$G694))),({1,2,3,4,5,6,7,8,9,10,11,12,13,14,15,16,17,18,19,20,21,22,23,24,25,26,27,28,29,30}-1)*LEN(Registro!$G694)+1,LEN(Registro!$G694))),FIND("x",TRIM(MID(SUBSTITUTE(SUBSTITUTE(SUBSTITUTE(SUBSTITUTE(SUBSTITUTE(LOWER(Registro!$G694),"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",LEN(Registro!$G694))),({1,2,3,4,5,6,7,8,9,10,11,12,13,14,15,16,17,18,19,20,21,22,23,24,25,26,27,28,29,30}-1)*LEN(Registro!$G694)+1,LEN(Registro!$G694)))&amp;"x")+1,20))),"Revisar formato")))</f>
        <v/>
      </c>
      <c r="J694" s="9" t="str">
        <f>IF(AND(Registro!$E694="",Registro!$G694=""),"",IF(NOT(AND(ISNUMBER(I694),ISNUMBER(Registro!$H694))),"",IF(I694&lt;Registro!$H694,"FALTA BOLETOS",IF(I694=Registro!$H694,"CONFORME","DIFERENCIA"))))</f>
        <v/>
      </c>
      <c r="K694" s="11" t="str">
        <f>IF(Registro!$I694="","",IFERROR(SUMPRODUCT(--("0"&amp;TRIM(RIGHT(SUBSTITUTE(TRIM(MID(SUBSTITUTE(SUBSTITUTE(Registro!$I694,";",CHAR(10)),CHAR(10),REPT(" ",LEN(Registro!$I694))),({1,2,3,4,5,6,7,8,9,10,11,12,13,14,15,16,17,18,19,20,21,22,23,24,25,26,27,28,29,30}-1)*LEN(Registro!$I694)+1,LEN(Registro!$I694)))," ",REPT(" ",50)),50)))),"Revisar formato"))</f>
        <v/>
      </c>
      <c r="L694" s="11" t="str">
        <f>IF(Registro!$J694="","",IFERROR(SUMPRODUCT(--("0"&amp;TRIM(RIGHT(SUBSTITUTE(TRIM(MID(SUBSTITUTE(SUBSTITUTE(Registro!$J694,";",CHAR(10)),CHAR(10),REPT(" ",LEN(Registro!$J694))),({1,2,3,4,5,6,7,8,9,10,11,12,13,14,15,16,17,18,19,20,21,22,23,24,25,26,27,28,29,30}-1)*LEN(Registro!$J694)+1,LEN(Registro!$J694)))," ",REPT(" ",50)),50)))),"Revisar formato"))</f>
        <v/>
      </c>
      <c r="M694" s="11" t="str">
        <f>IF(AND(Registro!$H694="",Registro!$I694=""),"",IF(AND(ISTEXT(K694),K694&lt;&gt;""),"Revisar formato",N(Registro!$H694)-N(K694)))</f>
        <v/>
      </c>
      <c r="N694" s="11" t="str">
        <f t="shared" si="32"/>
        <v/>
      </c>
      <c r="O694" s="15" t="str">
        <f>IF(AND(A694=Consulta!$B$3,C694=Consulta!$H$3),B694*10000+ROW(),"")</f>
        <v/>
      </c>
    </row>
    <row r="695" spans="1:15" x14ac:dyDescent="0.25">
      <c r="A695" s="9" t="str">
        <f>IF(Registro!$A695="","",Registro!$A695)</f>
        <v/>
      </c>
      <c r="B695" s="8" t="str">
        <f>IF(Registro!$B695="","",Registro!$B695)</f>
        <v/>
      </c>
      <c r="C695" s="14" t="str">
        <f t="shared" si="30"/>
        <v/>
      </c>
      <c r="D695" s="10" t="str">
        <f>IF(Registro!$E695="","",IF(ISERROR(FIND("x",LOWER(Registro!$E695))),"-",IFERROR(SUMPRODUCT(--("0"&amp;LEFT(TRIM(MID(SUBSTITUTE(SUBSTITUTE(SUBSTITUTE(SUBSTITUTE(SUBSTITUTE(LOWER(Registro!$E695),"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",LEN(Registro!$E695))),({1,2,3,4,5,6,7,8,9,10,11,12,13,14,15,16,17,18,19,20,21,22,23,24,25,26,27,28,29,30}-1)*LEN(Registro!$E695)+1,LEN(Registro!$E695)))&amp;"x")-1))),"Revisar formato")))</f>
        <v/>
      </c>
      <c r="E695" s="11" t="str">
        <f>IF(Registro!$E695="","",IF(ISERROR(FIND("x",LOWER(Registro!$E695))),"-",IFERROR(SUMPRODUCT(--("0"&amp;LEFT(TRIM(MID(SUBSTITUTE(SUBSTITUTE(SUBSTITUTE(SUBSTITUTE(SUBSTITUTE(LOWER(Registro!$E695),"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",LEN(Registro!$E695))),({1,2,3,4,5,6,7,8,9,10,11,12,13,14,15,16,17,18,19,20,21,22,23,24,25,26,27,28,29,30}-1)*LEN(Registro!$E695)+1,LEN(Registro!$E695)))&amp;"x")-1)),--("0"&amp;MID(TRIM(MID(SUBSTITUTE(SUBSTITUTE(SUBSTITUTE(SUBSTITUTE(SUBSTITUTE(LOWER(Registro!$E695),"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",LEN(Registro!$E695))),({1,2,3,4,5,6,7,8,9,10,11,12,13,14,15,16,17,18,19,20,21,22,23,24,25,26,27,28,29,30}-1)*LEN(Registro!$E695)+1,LEN(Registro!$E695)))&amp;"x")+1,20))),"Revisar formato")))</f>
        <v/>
      </c>
      <c r="F695" s="11" t="str">
        <f>IF(Registro!$F695="","",N(Registro!$F695))</f>
        <v/>
      </c>
      <c r="G695" s="11" t="str">
        <f t="shared" si="31"/>
        <v/>
      </c>
      <c r="H695" s="10" t="str">
        <f>IF(Registro!$G695="","",IF(ISERROR(FIND("x",LOWER(Registro!$G695))),"-",IFERROR(SUMPRODUCT(--("0"&amp;LEFT(TRIM(MID(SUBSTITUTE(SUBSTITUTE(SUBSTITUTE(SUBSTITUTE(SUBSTITUTE(LOWER(Registro!$G695),"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",LEN(Registro!$G695))),({1,2,3,4,5,6,7,8,9,10,11,12,13,14,15,16,17,18,19,20,21,22,23,24,25,26,27,28,29,30}-1)*LEN(Registro!$G695)+1,LEN(Registro!$G695))),FIND("x",TRIM(MID(SUBSTITUTE(SUBSTITUTE(SUBSTITUTE(SUBSTITUTE(SUBSTITUTE(LOWER(Registro!$G695),"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",LEN(Registro!$G695))),({1,2,3,4,5,6,7,8,9,10,11,12,13,14,15,16,17,18,19,20,21,22,23,24,25,26,27,28,29,30}-1)*LEN(Registro!$G695)+1,LEN(Registro!$G695)))&amp;"x")-1))),"Revisar formato")))</f>
        <v/>
      </c>
      <c r="I695" s="11" t="str">
        <f>IF(Registro!$G695="","",IF(ISERROR(FIND("x",LOWER(Registro!$G695))),N(Registro!$H695),IFERROR(SUMPRODUCT(--("0"&amp;LEFT(TRIM(MID(SUBSTITUTE(SUBSTITUTE(SUBSTITUTE(SUBSTITUTE(SUBSTITUTE(LOWER(Registro!$G695),"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",LEN(Registro!$G695))),({1,2,3,4,5,6,7,8,9,10,11,12,13,14,15,16,17,18,19,20,21,22,23,24,25,26,27,28,29,30}-1)*LEN(Registro!$G695)+1,LEN(Registro!$G695))),FIND("x",TRIM(MID(SUBSTITUTE(SUBSTITUTE(SUBSTITUTE(SUBSTITUTE(SUBSTITUTE(LOWER(Registro!$G695),"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",LEN(Registro!$G695))),({1,2,3,4,5,6,7,8,9,10,11,12,13,14,15,16,17,18,19,20,21,22,23,24,25,26,27,28,29,30}-1)*LEN(Registro!$G695)+1,LEN(Registro!$G695)))&amp;"x")-1)),--("0"&amp;MID(TRIM(MID(SUBSTITUTE(SUBSTITUTE(SUBSTITUTE(SUBSTITUTE(SUBSTITUTE(LOWER(Registro!$G695),"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",LEN(Registro!$G695))),({1,2,3,4,5,6,7,8,9,10,11,12,13,14,15,16,17,18,19,20,21,22,23,24,25,26,27,28,29,30}-1)*LEN(Registro!$G695)+1,LEN(Registro!$G695))),FIND("x",TRIM(MID(SUBSTITUTE(SUBSTITUTE(SUBSTITUTE(SUBSTITUTE(SUBSTITUTE(LOWER(Registro!$G695),"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",LEN(Registro!$G695))),({1,2,3,4,5,6,7,8,9,10,11,12,13,14,15,16,17,18,19,20,21,22,23,24,25,26,27,28,29,30}-1)*LEN(Registro!$G695)+1,LEN(Registro!$G695)))&amp;"x")+1,20))),"Revisar formato")))</f>
        <v/>
      </c>
      <c r="J695" s="9" t="str">
        <f>IF(AND(Registro!$E695="",Registro!$G695=""),"",IF(NOT(AND(ISNUMBER(I695),ISNUMBER(Registro!$H695))),"",IF(I695&lt;Registro!$H695,"FALTA BOLETOS",IF(I695=Registro!$H695,"CONFORME","DIFERENCIA"))))</f>
        <v/>
      </c>
      <c r="K695" s="11" t="str">
        <f>IF(Registro!$I695="","",IFERROR(SUMPRODUCT(--("0"&amp;TRIM(RIGHT(SUBSTITUTE(TRIM(MID(SUBSTITUTE(SUBSTITUTE(Registro!$I695,";",CHAR(10)),CHAR(10),REPT(" ",LEN(Registro!$I695))),({1,2,3,4,5,6,7,8,9,10,11,12,13,14,15,16,17,18,19,20,21,22,23,24,25,26,27,28,29,30}-1)*LEN(Registro!$I695)+1,LEN(Registro!$I695)))," ",REPT(" ",50)),50)))),"Revisar formato"))</f>
        <v/>
      </c>
      <c r="L695" s="11" t="str">
        <f>IF(Registro!$J695="","",IFERROR(SUMPRODUCT(--("0"&amp;TRIM(RIGHT(SUBSTITUTE(TRIM(MID(SUBSTITUTE(SUBSTITUTE(Registro!$J695,";",CHAR(10)),CHAR(10),REPT(" ",LEN(Registro!$J695))),({1,2,3,4,5,6,7,8,9,10,11,12,13,14,15,16,17,18,19,20,21,22,23,24,25,26,27,28,29,30}-1)*LEN(Registro!$J695)+1,LEN(Registro!$J695)))," ",REPT(" ",50)),50)))),"Revisar formato"))</f>
        <v/>
      </c>
      <c r="M695" s="11" t="str">
        <f>IF(AND(Registro!$H695="",Registro!$I695=""),"",IF(AND(ISTEXT(K695),K695&lt;&gt;""),"Revisar formato",N(Registro!$H695)-N(K695)))</f>
        <v/>
      </c>
      <c r="N695" s="11" t="str">
        <f t="shared" si="32"/>
        <v/>
      </c>
      <c r="O695" s="15" t="str">
        <f>IF(AND(A695=Consulta!$B$3,C695=Consulta!$H$3),B695*10000+ROW(),"")</f>
        <v/>
      </c>
    </row>
    <row r="696" spans="1:15" x14ac:dyDescent="0.25">
      <c r="A696" s="9" t="str">
        <f>IF(Registro!$A696="","",Registro!$A696)</f>
        <v/>
      </c>
      <c r="B696" s="8" t="str">
        <f>IF(Registro!$B696="","",Registro!$B696)</f>
        <v/>
      </c>
      <c r="C696" s="14" t="str">
        <f t="shared" si="30"/>
        <v/>
      </c>
      <c r="D696" s="10" t="str">
        <f>IF(Registro!$E696="","",IF(ISERROR(FIND("x",LOWER(Registro!$E696))),"-",IFERROR(SUMPRODUCT(--("0"&amp;LEFT(TRIM(MID(SUBSTITUTE(SUBSTITUTE(SUBSTITUTE(SUBSTITUTE(SUBSTITUTE(LOWER(Registro!$E696),"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",LEN(Registro!$E696))),({1,2,3,4,5,6,7,8,9,10,11,12,13,14,15,16,17,18,19,20,21,22,23,24,25,26,27,28,29,30}-1)*LEN(Registro!$E696)+1,LEN(Registro!$E696)))&amp;"x")-1))),"Revisar formato")))</f>
        <v/>
      </c>
      <c r="E696" s="11" t="str">
        <f>IF(Registro!$E696="","",IF(ISERROR(FIND("x",LOWER(Registro!$E696))),"-",IFERROR(SUMPRODUCT(--("0"&amp;LEFT(TRIM(MID(SUBSTITUTE(SUBSTITUTE(SUBSTITUTE(SUBSTITUTE(SUBSTITUTE(LOWER(Registro!$E696),"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",LEN(Registro!$E696))),({1,2,3,4,5,6,7,8,9,10,11,12,13,14,15,16,17,18,19,20,21,22,23,24,25,26,27,28,29,30}-1)*LEN(Registro!$E696)+1,LEN(Registro!$E696)))&amp;"x")-1)),--("0"&amp;MID(TRIM(MID(SUBSTITUTE(SUBSTITUTE(SUBSTITUTE(SUBSTITUTE(SUBSTITUTE(LOWER(Registro!$E696),"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",LEN(Registro!$E696))),({1,2,3,4,5,6,7,8,9,10,11,12,13,14,15,16,17,18,19,20,21,22,23,24,25,26,27,28,29,30}-1)*LEN(Registro!$E696)+1,LEN(Registro!$E696)))&amp;"x")+1,20))),"Revisar formato")))</f>
        <v/>
      </c>
      <c r="F696" s="11" t="str">
        <f>IF(Registro!$F696="","",N(Registro!$F696))</f>
        <v/>
      </c>
      <c r="G696" s="11" t="str">
        <f t="shared" si="31"/>
        <v/>
      </c>
      <c r="H696" s="10" t="str">
        <f>IF(Registro!$G696="","",IF(ISERROR(FIND("x",LOWER(Registro!$G696))),"-",IFERROR(SUMPRODUCT(--("0"&amp;LEFT(TRIM(MID(SUBSTITUTE(SUBSTITUTE(SUBSTITUTE(SUBSTITUTE(SUBSTITUTE(LOWER(Registro!$G696),"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",LEN(Registro!$G696))),({1,2,3,4,5,6,7,8,9,10,11,12,13,14,15,16,17,18,19,20,21,22,23,24,25,26,27,28,29,30}-1)*LEN(Registro!$G696)+1,LEN(Registro!$G696))),FIND("x",TRIM(MID(SUBSTITUTE(SUBSTITUTE(SUBSTITUTE(SUBSTITUTE(SUBSTITUTE(LOWER(Registro!$G696),"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",LEN(Registro!$G696))),({1,2,3,4,5,6,7,8,9,10,11,12,13,14,15,16,17,18,19,20,21,22,23,24,25,26,27,28,29,30}-1)*LEN(Registro!$G696)+1,LEN(Registro!$G696)))&amp;"x")-1))),"Revisar formato")))</f>
        <v/>
      </c>
      <c r="I696" s="11" t="str">
        <f>IF(Registro!$G696="","",IF(ISERROR(FIND("x",LOWER(Registro!$G696))),N(Registro!$H696),IFERROR(SUMPRODUCT(--("0"&amp;LEFT(TRIM(MID(SUBSTITUTE(SUBSTITUTE(SUBSTITUTE(SUBSTITUTE(SUBSTITUTE(LOWER(Registro!$G696),"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",LEN(Registro!$G696))),({1,2,3,4,5,6,7,8,9,10,11,12,13,14,15,16,17,18,19,20,21,22,23,24,25,26,27,28,29,30}-1)*LEN(Registro!$G696)+1,LEN(Registro!$G696))),FIND("x",TRIM(MID(SUBSTITUTE(SUBSTITUTE(SUBSTITUTE(SUBSTITUTE(SUBSTITUTE(LOWER(Registro!$G696),"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",LEN(Registro!$G696))),({1,2,3,4,5,6,7,8,9,10,11,12,13,14,15,16,17,18,19,20,21,22,23,24,25,26,27,28,29,30}-1)*LEN(Registro!$G696)+1,LEN(Registro!$G696)))&amp;"x")-1)),--("0"&amp;MID(TRIM(MID(SUBSTITUTE(SUBSTITUTE(SUBSTITUTE(SUBSTITUTE(SUBSTITUTE(LOWER(Registro!$G696),"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",LEN(Registro!$G696))),({1,2,3,4,5,6,7,8,9,10,11,12,13,14,15,16,17,18,19,20,21,22,23,24,25,26,27,28,29,30}-1)*LEN(Registro!$G696)+1,LEN(Registro!$G696))),FIND("x",TRIM(MID(SUBSTITUTE(SUBSTITUTE(SUBSTITUTE(SUBSTITUTE(SUBSTITUTE(LOWER(Registro!$G696),"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",LEN(Registro!$G696))),({1,2,3,4,5,6,7,8,9,10,11,12,13,14,15,16,17,18,19,20,21,22,23,24,25,26,27,28,29,30}-1)*LEN(Registro!$G696)+1,LEN(Registro!$G696)))&amp;"x")+1,20))),"Revisar formato")))</f>
        <v/>
      </c>
      <c r="J696" s="9" t="str">
        <f>IF(AND(Registro!$E696="",Registro!$G696=""),"",IF(NOT(AND(ISNUMBER(I696),ISNUMBER(Registro!$H696))),"",IF(I696&lt;Registro!$H696,"FALTA BOLETOS",IF(I696=Registro!$H696,"CONFORME","DIFERENCIA"))))</f>
        <v/>
      </c>
      <c r="K696" s="11" t="str">
        <f>IF(Registro!$I696="","",IFERROR(SUMPRODUCT(--("0"&amp;TRIM(RIGHT(SUBSTITUTE(TRIM(MID(SUBSTITUTE(SUBSTITUTE(Registro!$I696,";",CHAR(10)),CHAR(10),REPT(" ",LEN(Registro!$I696))),({1,2,3,4,5,6,7,8,9,10,11,12,13,14,15,16,17,18,19,20,21,22,23,24,25,26,27,28,29,30}-1)*LEN(Registro!$I696)+1,LEN(Registro!$I696)))," ",REPT(" ",50)),50)))),"Revisar formato"))</f>
        <v/>
      </c>
      <c r="L696" s="11" t="str">
        <f>IF(Registro!$J696="","",IFERROR(SUMPRODUCT(--("0"&amp;TRIM(RIGHT(SUBSTITUTE(TRIM(MID(SUBSTITUTE(SUBSTITUTE(Registro!$J696,";",CHAR(10)),CHAR(10),REPT(" ",LEN(Registro!$J696))),({1,2,3,4,5,6,7,8,9,10,11,12,13,14,15,16,17,18,19,20,21,22,23,24,25,26,27,28,29,30}-1)*LEN(Registro!$J696)+1,LEN(Registro!$J696)))," ",REPT(" ",50)),50)))),"Revisar formato"))</f>
        <v/>
      </c>
      <c r="M696" s="11" t="str">
        <f>IF(AND(Registro!$H696="",Registro!$I696=""),"",IF(AND(ISTEXT(K696),K696&lt;&gt;""),"Revisar formato",N(Registro!$H696)-N(K696)))</f>
        <v/>
      </c>
      <c r="N696" s="11" t="str">
        <f t="shared" si="32"/>
        <v/>
      </c>
      <c r="O696" s="15" t="str">
        <f>IF(AND(A696=Consulta!$B$3,C696=Consulta!$H$3),B696*10000+ROW(),"")</f>
        <v/>
      </c>
    </row>
    <row r="697" spans="1:15" x14ac:dyDescent="0.25">
      <c r="A697" s="9" t="str">
        <f>IF(Registro!$A697="","",Registro!$A697)</f>
        <v/>
      </c>
      <c r="B697" s="8" t="str">
        <f>IF(Registro!$B697="","",Registro!$B697)</f>
        <v/>
      </c>
      <c r="C697" s="14" t="str">
        <f t="shared" si="30"/>
        <v/>
      </c>
      <c r="D697" s="10" t="str">
        <f>IF(Registro!$E697="","",IF(ISERROR(FIND("x",LOWER(Registro!$E697))),"-",IFERROR(SUMPRODUCT(--("0"&amp;LEFT(TRIM(MID(SUBSTITUTE(SUBSTITUTE(SUBSTITUTE(SUBSTITUTE(SUBSTITUTE(LOWER(Registro!$E697),"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",LEN(Registro!$E697))),({1,2,3,4,5,6,7,8,9,10,11,12,13,14,15,16,17,18,19,20,21,22,23,24,25,26,27,28,29,30}-1)*LEN(Registro!$E697)+1,LEN(Registro!$E697)))&amp;"x")-1))),"Revisar formato")))</f>
        <v/>
      </c>
      <c r="E697" s="11" t="str">
        <f>IF(Registro!$E697="","",IF(ISERROR(FIND("x",LOWER(Registro!$E697))),"-",IFERROR(SUMPRODUCT(--("0"&amp;LEFT(TRIM(MID(SUBSTITUTE(SUBSTITUTE(SUBSTITUTE(SUBSTITUTE(SUBSTITUTE(LOWER(Registro!$E697),"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",LEN(Registro!$E697))),({1,2,3,4,5,6,7,8,9,10,11,12,13,14,15,16,17,18,19,20,21,22,23,24,25,26,27,28,29,30}-1)*LEN(Registro!$E697)+1,LEN(Registro!$E697)))&amp;"x")-1)),--("0"&amp;MID(TRIM(MID(SUBSTITUTE(SUBSTITUTE(SUBSTITUTE(SUBSTITUTE(SUBSTITUTE(LOWER(Registro!$E697),"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",LEN(Registro!$E697))),({1,2,3,4,5,6,7,8,9,10,11,12,13,14,15,16,17,18,19,20,21,22,23,24,25,26,27,28,29,30}-1)*LEN(Registro!$E697)+1,LEN(Registro!$E697)))&amp;"x")+1,20))),"Revisar formato")))</f>
        <v/>
      </c>
      <c r="F697" s="11" t="str">
        <f>IF(Registro!$F697="","",N(Registro!$F697))</f>
        <v/>
      </c>
      <c r="G697" s="11" t="str">
        <f t="shared" si="31"/>
        <v/>
      </c>
      <c r="H697" s="10" t="str">
        <f>IF(Registro!$G697="","",IF(ISERROR(FIND("x",LOWER(Registro!$G697))),"-",IFERROR(SUMPRODUCT(--("0"&amp;LEFT(TRIM(MID(SUBSTITUTE(SUBSTITUTE(SUBSTITUTE(SUBSTITUTE(SUBSTITUTE(LOWER(Registro!$G697),"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",LEN(Registro!$G697))),({1,2,3,4,5,6,7,8,9,10,11,12,13,14,15,16,17,18,19,20,21,22,23,24,25,26,27,28,29,30}-1)*LEN(Registro!$G697)+1,LEN(Registro!$G697))),FIND("x",TRIM(MID(SUBSTITUTE(SUBSTITUTE(SUBSTITUTE(SUBSTITUTE(SUBSTITUTE(LOWER(Registro!$G697),"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",LEN(Registro!$G697))),({1,2,3,4,5,6,7,8,9,10,11,12,13,14,15,16,17,18,19,20,21,22,23,24,25,26,27,28,29,30}-1)*LEN(Registro!$G697)+1,LEN(Registro!$G697)))&amp;"x")-1))),"Revisar formato")))</f>
        <v/>
      </c>
      <c r="I697" s="11" t="str">
        <f>IF(Registro!$G697="","",IF(ISERROR(FIND("x",LOWER(Registro!$G697))),N(Registro!$H697),IFERROR(SUMPRODUCT(--("0"&amp;LEFT(TRIM(MID(SUBSTITUTE(SUBSTITUTE(SUBSTITUTE(SUBSTITUTE(SUBSTITUTE(LOWER(Registro!$G697),"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",LEN(Registro!$G697))),({1,2,3,4,5,6,7,8,9,10,11,12,13,14,15,16,17,18,19,20,21,22,23,24,25,26,27,28,29,30}-1)*LEN(Registro!$G697)+1,LEN(Registro!$G697))),FIND("x",TRIM(MID(SUBSTITUTE(SUBSTITUTE(SUBSTITUTE(SUBSTITUTE(SUBSTITUTE(LOWER(Registro!$G697),"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",LEN(Registro!$G697))),({1,2,3,4,5,6,7,8,9,10,11,12,13,14,15,16,17,18,19,20,21,22,23,24,25,26,27,28,29,30}-1)*LEN(Registro!$G697)+1,LEN(Registro!$G697)))&amp;"x")-1)),--("0"&amp;MID(TRIM(MID(SUBSTITUTE(SUBSTITUTE(SUBSTITUTE(SUBSTITUTE(SUBSTITUTE(LOWER(Registro!$G697),"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",LEN(Registro!$G697))),({1,2,3,4,5,6,7,8,9,10,11,12,13,14,15,16,17,18,19,20,21,22,23,24,25,26,27,28,29,30}-1)*LEN(Registro!$G697)+1,LEN(Registro!$G697))),FIND("x",TRIM(MID(SUBSTITUTE(SUBSTITUTE(SUBSTITUTE(SUBSTITUTE(SUBSTITUTE(LOWER(Registro!$G697),"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",LEN(Registro!$G697))),({1,2,3,4,5,6,7,8,9,10,11,12,13,14,15,16,17,18,19,20,21,22,23,24,25,26,27,28,29,30}-1)*LEN(Registro!$G697)+1,LEN(Registro!$G697)))&amp;"x")+1,20))),"Revisar formato")))</f>
        <v/>
      </c>
      <c r="J697" s="9" t="str">
        <f>IF(AND(Registro!$E697="",Registro!$G697=""),"",IF(NOT(AND(ISNUMBER(I697),ISNUMBER(Registro!$H697))),"",IF(I697&lt;Registro!$H697,"FALTA BOLETOS",IF(I697=Registro!$H697,"CONFORME","DIFERENCIA"))))</f>
        <v/>
      </c>
      <c r="K697" s="11" t="str">
        <f>IF(Registro!$I697="","",IFERROR(SUMPRODUCT(--("0"&amp;TRIM(RIGHT(SUBSTITUTE(TRIM(MID(SUBSTITUTE(SUBSTITUTE(Registro!$I697,";",CHAR(10)),CHAR(10),REPT(" ",LEN(Registro!$I697))),({1,2,3,4,5,6,7,8,9,10,11,12,13,14,15,16,17,18,19,20,21,22,23,24,25,26,27,28,29,30}-1)*LEN(Registro!$I697)+1,LEN(Registro!$I697)))," ",REPT(" ",50)),50)))),"Revisar formato"))</f>
        <v/>
      </c>
      <c r="L697" s="11" t="str">
        <f>IF(Registro!$J697="","",IFERROR(SUMPRODUCT(--("0"&amp;TRIM(RIGHT(SUBSTITUTE(TRIM(MID(SUBSTITUTE(SUBSTITUTE(Registro!$J697,";",CHAR(10)),CHAR(10),REPT(" ",LEN(Registro!$J697))),({1,2,3,4,5,6,7,8,9,10,11,12,13,14,15,16,17,18,19,20,21,22,23,24,25,26,27,28,29,30}-1)*LEN(Registro!$J697)+1,LEN(Registro!$J697)))," ",REPT(" ",50)),50)))),"Revisar formato"))</f>
        <v/>
      </c>
      <c r="M697" s="11" t="str">
        <f>IF(AND(Registro!$H697="",Registro!$I697=""),"",IF(AND(ISTEXT(K697),K697&lt;&gt;""),"Revisar formato",N(Registro!$H697)-N(K697)))</f>
        <v/>
      </c>
      <c r="N697" s="11" t="str">
        <f t="shared" si="32"/>
        <v/>
      </c>
      <c r="O697" s="15" t="str">
        <f>IF(AND(A697=Consulta!$B$3,C697=Consulta!$H$3),B697*10000+ROW(),"")</f>
        <v/>
      </c>
    </row>
    <row r="698" spans="1:15" x14ac:dyDescent="0.25">
      <c r="A698" s="9" t="str">
        <f>IF(Registro!$A698="","",Registro!$A698)</f>
        <v/>
      </c>
      <c r="B698" s="8" t="str">
        <f>IF(Registro!$B698="","",Registro!$B698)</f>
        <v/>
      </c>
      <c r="C698" s="14" t="str">
        <f t="shared" si="30"/>
        <v/>
      </c>
      <c r="D698" s="10" t="str">
        <f>IF(Registro!$E698="","",IF(ISERROR(FIND("x",LOWER(Registro!$E698))),"-",IFERROR(SUMPRODUCT(--("0"&amp;LEFT(TRIM(MID(SUBSTITUTE(SUBSTITUTE(SUBSTITUTE(SUBSTITUTE(SUBSTITUTE(LOWER(Registro!$E698),"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",LEN(Registro!$E698))),({1,2,3,4,5,6,7,8,9,10,11,12,13,14,15,16,17,18,19,20,21,22,23,24,25,26,27,28,29,30}-1)*LEN(Registro!$E698)+1,LEN(Registro!$E698)))&amp;"x")-1))),"Revisar formato")))</f>
        <v/>
      </c>
      <c r="E698" s="11" t="str">
        <f>IF(Registro!$E698="","",IF(ISERROR(FIND("x",LOWER(Registro!$E698))),"-",IFERROR(SUMPRODUCT(--("0"&amp;LEFT(TRIM(MID(SUBSTITUTE(SUBSTITUTE(SUBSTITUTE(SUBSTITUTE(SUBSTITUTE(LOWER(Registro!$E698),"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",LEN(Registro!$E698))),({1,2,3,4,5,6,7,8,9,10,11,12,13,14,15,16,17,18,19,20,21,22,23,24,25,26,27,28,29,30}-1)*LEN(Registro!$E698)+1,LEN(Registro!$E698)))&amp;"x")-1)),--("0"&amp;MID(TRIM(MID(SUBSTITUTE(SUBSTITUTE(SUBSTITUTE(SUBSTITUTE(SUBSTITUTE(LOWER(Registro!$E698),"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",LEN(Registro!$E698))),({1,2,3,4,5,6,7,8,9,10,11,12,13,14,15,16,17,18,19,20,21,22,23,24,25,26,27,28,29,30}-1)*LEN(Registro!$E698)+1,LEN(Registro!$E698)))&amp;"x")+1,20))),"Revisar formato")))</f>
        <v/>
      </c>
      <c r="F698" s="11" t="str">
        <f>IF(Registro!$F698="","",N(Registro!$F698))</f>
        <v/>
      </c>
      <c r="G698" s="11" t="str">
        <f t="shared" si="31"/>
        <v/>
      </c>
      <c r="H698" s="10" t="str">
        <f>IF(Registro!$G698="","",IF(ISERROR(FIND("x",LOWER(Registro!$G698))),"-",IFERROR(SUMPRODUCT(--("0"&amp;LEFT(TRIM(MID(SUBSTITUTE(SUBSTITUTE(SUBSTITUTE(SUBSTITUTE(SUBSTITUTE(LOWER(Registro!$G698),"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",LEN(Registro!$G698))),({1,2,3,4,5,6,7,8,9,10,11,12,13,14,15,16,17,18,19,20,21,22,23,24,25,26,27,28,29,30}-1)*LEN(Registro!$G698)+1,LEN(Registro!$G698))),FIND("x",TRIM(MID(SUBSTITUTE(SUBSTITUTE(SUBSTITUTE(SUBSTITUTE(SUBSTITUTE(LOWER(Registro!$G698),"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",LEN(Registro!$G698))),({1,2,3,4,5,6,7,8,9,10,11,12,13,14,15,16,17,18,19,20,21,22,23,24,25,26,27,28,29,30}-1)*LEN(Registro!$G698)+1,LEN(Registro!$G698)))&amp;"x")-1))),"Revisar formato")))</f>
        <v/>
      </c>
      <c r="I698" s="11" t="str">
        <f>IF(Registro!$G698="","",IF(ISERROR(FIND("x",LOWER(Registro!$G698))),N(Registro!$H698),IFERROR(SUMPRODUCT(--("0"&amp;LEFT(TRIM(MID(SUBSTITUTE(SUBSTITUTE(SUBSTITUTE(SUBSTITUTE(SUBSTITUTE(LOWER(Registro!$G698),"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",LEN(Registro!$G698))),({1,2,3,4,5,6,7,8,9,10,11,12,13,14,15,16,17,18,19,20,21,22,23,24,25,26,27,28,29,30}-1)*LEN(Registro!$G698)+1,LEN(Registro!$G698))),FIND("x",TRIM(MID(SUBSTITUTE(SUBSTITUTE(SUBSTITUTE(SUBSTITUTE(SUBSTITUTE(LOWER(Registro!$G698),"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",LEN(Registro!$G698))),({1,2,3,4,5,6,7,8,9,10,11,12,13,14,15,16,17,18,19,20,21,22,23,24,25,26,27,28,29,30}-1)*LEN(Registro!$G698)+1,LEN(Registro!$G698)))&amp;"x")-1)),--("0"&amp;MID(TRIM(MID(SUBSTITUTE(SUBSTITUTE(SUBSTITUTE(SUBSTITUTE(SUBSTITUTE(LOWER(Registro!$G698),"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",LEN(Registro!$G698))),({1,2,3,4,5,6,7,8,9,10,11,12,13,14,15,16,17,18,19,20,21,22,23,24,25,26,27,28,29,30}-1)*LEN(Registro!$G698)+1,LEN(Registro!$G698))),FIND("x",TRIM(MID(SUBSTITUTE(SUBSTITUTE(SUBSTITUTE(SUBSTITUTE(SUBSTITUTE(LOWER(Registro!$G698),"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",LEN(Registro!$G698))),({1,2,3,4,5,6,7,8,9,10,11,12,13,14,15,16,17,18,19,20,21,22,23,24,25,26,27,28,29,30}-1)*LEN(Registro!$G698)+1,LEN(Registro!$G698)))&amp;"x")+1,20))),"Revisar formato")))</f>
        <v/>
      </c>
      <c r="J698" s="9" t="str">
        <f>IF(AND(Registro!$E698="",Registro!$G698=""),"",IF(NOT(AND(ISNUMBER(I698),ISNUMBER(Registro!$H698))),"",IF(I698&lt;Registro!$H698,"FALTA BOLETOS",IF(I698=Registro!$H698,"CONFORME","DIFERENCIA"))))</f>
        <v/>
      </c>
      <c r="K698" s="11" t="str">
        <f>IF(Registro!$I698="","",IFERROR(SUMPRODUCT(--("0"&amp;TRIM(RIGHT(SUBSTITUTE(TRIM(MID(SUBSTITUTE(SUBSTITUTE(Registro!$I698,";",CHAR(10)),CHAR(10),REPT(" ",LEN(Registro!$I698))),({1,2,3,4,5,6,7,8,9,10,11,12,13,14,15,16,17,18,19,20,21,22,23,24,25,26,27,28,29,30}-1)*LEN(Registro!$I698)+1,LEN(Registro!$I698)))," ",REPT(" ",50)),50)))),"Revisar formato"))</f>
        <v/>
      </c>
      <c r="L698" s="11" t="str">
        <f>IF(Registro!$J698="","",IFERROR(SUMPRODUCT(--("0"&amp;TRIM(RIGHT(SUBSTITUTE(TRIM(MID(SUBSTITUTE(SUBSTITUTE(Registro!$J698,";",CHAR(10)),CHAR(10),REPT(" ",LEN(Registro!$J698))),({1,2,3,4,5,6,7,8,9,10,11,12,13,14,15,16,17,18,19,20,21,22,23,24,25,26,27,28,29,30}-1)*LEN(Registro!$J698)+1,LEN(Registro!$J698)))," ",REPT(" ",50)),50)))),"Revisar formato"))</f>
        <v/>
      </c>
      <c r="M698" s="11" t="str">
        <f>IF(AND(Registro!$H698="",Registro!$I698=""),"",IF(AND(ISTEXT(K698),K698&lt;&gt;""),"Revisar formato",N(Registro!$H698)-N(K698)))</f>
        <v/>
      </c>
      <c r="N698" s="11" t="str">
        <f t="shared" si="32"/>
        <v/>
      </c>
      <c r="O698" s="15" t="str">
        <f>IF(AND(A698=Consulta!$B$3,C698=Consulta!$H$3),B698*10000+ROW(),"")</f>
        <v/>
      </c>
    </row>
    <row r="699" spans="1:15" x14ac:dyDescent="0.25">
      <c r="A699" s="9" t="str">
        <f>IF(Registro!$A699="","",Registro!$A699)</f>
        <v/>
      </c>
      <c r="B699" s="8" t="str">
        <f>IF(Registro!$B699="","",Registro!$B699)</f>
        <v/>
      </c>
      <c r="C699" s="14" t="str">
        <f t="shared" si="30"/>
        <v/>
      </c>
      <c r="D699" s="10" t="str">
        <f>IF(Registro!$E699="","",IF(ISERROR(FIND("x",LOWER(Registro!$E699))),"-",IFERROR(SUMPRODUCT(--("0"&amp;LEFT(TRIM(MID(SUBSTITUTE(SUBSTITUTE(SUBSTITUTE(SUBSTITUTE(SUBSTITUTE(LOWER(Registro!$E699),"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",LEN(Registro!$E699))),({1,2,3,4,5,6,7,8,9,10,11,12,13,14,15,16,17,18,19,20,21,22,23,24,25,26,27,28,29,30}-1)*LEN(Registro!$E699)+1,LEN(Registro!$E699)))&amp;"x")-1))),"Revisar formato")))</f>
        <v/>
      </c>
      <c r="E699" s="11" t="str">
        <f>IF(Registro!$E699="","",IF(ISERROR(FIND("x",LOWER(Registro!$E699))),"-",IFERROR(SUMPRODUCT(--("0"&amp;LEFT(TRIM(MID(SUBSTITUTE(SUBSTITUTE(SUBSTITUTE(SUBSTITUTE(SUBSTITUTE(LOWER(Registro!$E699),"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",LEN(Registro!$E699))),({1,2,3,4,5,6,7,8,9,10,11,12,13,14,15,16,17,18,19,20,21,22,23,24,25,26,27,28,29,30}-1)*LEN(Registro!$E699)+1,LEN(Registro!$E699)))&amp;"x")-1)),--("0"&amp;MID(TRIM(MID(SUBSTITUTE(SUBSTITUTE(SUBSTITUTE(SUBSTITUTE(SUBSTITUTE(LOWER(Registro!$E699),"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",LEN(Registro!$E699))),({1,2,3,4,5,6,7,8,9,10,11,12,13,14,15,16,17,18,19,20,21,22,23,24,25,26,27,28,29,30}-1)*LEN(Registro!$E699)+1,LEN(Registro!$E699)))&amp;"x")+1,20))),"Revisar formato")))</f>
        <v/>
      </c>
      <c r="F699" s="11" t="str">
        <f>IF(Registro!$F699="","",N(Registro!$F699))</f>
        <v/>
      </c>
      <c r="G699" s="11" t="str">
        <f t="shared" si="31"/>
        <v/>
      </c>
      <c r="H699" s="10" t="str">
        <f>IF(Registro!$G699="","",IF(ISERROR(FIND("x",LOWER(Registro!$G699))),"-",IFERROR(SUMPRODUCT(--("0"&amp;LEFT(TRIM(MID(SUBSTITUTE(SUBSTITUTE(SUBSTITUTE(SUBSTITUTE(SUBSTITUTE(LOWER(Registro!$G699),"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",LEN(Registro!$G699))),({1,2,3,4,5,6,7,8,9,10,11,12,13,14,15,16,17,18,19,20,21,22,23,24,25,26,27,28,29,30}-1)*LEN(Registro!$G699)+1,LEN(Registro!$G699))),FIND("x",TRIM(MID(SUBSTITUTE(SUBSTITUTE(SUBSTITUTE(SUBSTITUTE(SUBSTITUTE(LOWER(Registro!$G699),"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",LEN(Registro!$G699))),({1,2,3,4,5,6,7,8,9,10,11,12,13,14,15,16,17,18,19,20,21,22,23,24,25,26,27,28,29,30}-1)*LEN(Registro!$G699)+1,LEN(Registro!$G699)))&amp;"x")-1))),"Revisar formato")))</f>
        <v/>
      </c>
      <c r="I699" s="11" t="str">
        <f>IF(Registro!$G699="","",IF(ISERROR(FIND("x",LOWER(Registro!$G699))),N(Registro!$H699),IFERROR(SUMPRODUCT(--("0"&amp;LEFT(TRIM(MID(SUBSTITUTE(SUBSTITUTE(SUBSTITUTE(SUBSTITUTE(SUBSTITUTE(LOWER(Registro!$G699),"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",LEN(Registro!$G699))),({1,2,3,4,5,6,7,8,9,10,11,12,13,14,15,16,17,18,19,20,21,22,23,24,25,26,27,28,29,30}-1)*LEN(Registro!$G699)+1,LEN(Registro!$G699))),FIND("x",TRIM(MID(SUBSTITUTE(SUBSTITUTE(SUBSTITUTE(SUBSTITUTE(SUBSTITUTE(LOWER(Registro!$G699),"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",LEN(Registro!$G699))),({1,2,3,4,5,6,7,8,9,10,11,12,13,14,15,16,17,18,19,20,21,22,23,24,25,26,27,28,29,30}-1)*LEN(Registro!$G699)+1,LEN(Registro!$G699)))&amp;"x")-1)),--("0"&amp;MID(TRIM(MID(SUBSTITUTE(SUBSTITUTE(SUBSTITUTE(SUBSTITUTE(SUBSTITUTE(LOWER(Registro!$G699),"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",LEN(Registro!$G699))),({1,2,3,4,5,6,7,8,9,10,11,12,13,14,15,16,17,18,19,20,21,22,23,24,25,26,27,28,29,30}-1)*LEN(Registro!$G699)+1,LEN(Registro!$G699))),FIND("x",TRIM(MID(SUBSTITUTE(SUBSTITUTE(SUBSTITUTE(SUBSTITUTE(SUBSTITUTE(LOWER(Registro!$G699),"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",LEN(Registro!$G699))),({1,2,3,4,5,6,7,8,9,10,11,12,13,14,15,16,17,18,19,20,21,22,23,24,25,26,27,28,29,30}-1)*LEN(Registro!$G699)+1,LEN(Registro!$G699)))&amp;"x")+1,20))),"Revisar formato")))</f>
        <v/>
      </c>
      <c r="J699" s="9" t="str">
        <f>IF(AND(Registro!$E699="",Registro!$G699=""),"",IF(NOT(AND(ISNUMBER(I699),ISNUMBER(Registro!$H699))),"",IF(I699&lt;Registro!$H699,"FALTA BOLETOS",IF(I699=Registro!$H699,"CONFORME","DIFERENCIA"))))</f>
        <v/>
      </c>
      <c r="K699" s="11" t="str">
        <f>IF(Registro!$I699="","",IFERROR(SUMPRODUCT(--("0"&amp;TRIM(RIGHT(SUBSTITUTE(TRIM(MID(SUBSTITUTE(SUBSTITUTE(Registro!$I699,";",CHAR(10)),CHAR(10),REPT(" ",LEN(Registro!$I699))),({1,2,3,4,5,6,7,8,9,10,11,12,13,14,15,16,17,18,19,20,21,22,23,24,25,26,27,28,29,30}-1)*LEN(Registro!$I699)+1,LEN(Registro!$I699)))," ",REPT(" ",50)),50)))),"Revisar formato"))</f>
        <v/>
      </c>
      <c r="L699" s="11" t="str">
        <f>IF(Registro!$J699="","",IFERROR(SUMPRODUCT(--("0"&amp;TRIM(RIGHT(SUBSTITUTE(TRIM(MID(SUBSTITUTE(SUBSTITUTE(Registro!$J699,";",CHAR(10)),CHAR(10),REPT(" ",LEN(Registro!$J699))),({1,2,3,4,5,6,7,8,9,10,11,12,13,14,15,16,17,18,19,20,21,22,23,24,25,26,27,28,29,30}-1)*LEN(Registro!$J699)+1,LEN(Registro!$J699)))," ",REPT(" ",50)),50)))),"Revisar formato"))</f>
        <v/>
      </c>
      <c r="M699" s="11" t="str">
        <f>IF(AND(Registro!$H699="",Registro!$I699=""),"",IF(AND(ISTEXT(K699),K699&lt;&gt;""),"Revisar formato",N(Registro!$H699)-N(K699)))</f>
        <v/>
      </c>
      <c r="N699" s="11" t="str">
        <f t="shared" si="32"/>
        <v/>
      </c>
      <c r="O699" s="15" t="str">
        <f>IF(AND(A699=Consulta!$B$3,C699=Consulta!$H$3),B699*10000+ROW(),"")</f>
        <v/>
      </c>
    </row>
    <row r="700" spans="1:15" x14ac:dyDescent="0.25">
      <c r="A700" s="9" t="str">
        <f>IF(Registro!$A700="","",Registro!$A700)</f>
        <v/>
      </c>
      <c r="B700" s="8" t="str">
        <f>IF(Registro!$B700="","",Registro!$B700)</f>
        <v/>
      </c>
      <c r="C700" s="14" t="str">
        <f t="shared" si="30"/>
        <v/>
      </c>
      <c r="D700" s="10" t="str">
        <f>IF(Registro!$E700="","",IF(ISERROR(FIND("x",LOWER(Registro!$E700))),"-",IFERROR(SUMPRODUCT(--("0"&amp;LEFT(TRIM(MID(SUBSTITUTE(SUBSTITUTE(SUBSTITUTE(SUBSTITUTE(SUBSTITUTE(LOWER(Registro!$E700),"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",LEN(Registro!$E700))),({1,2,3,4,5,6,7,8,9,10,11,12,13,14,15,16,17,18,19,20,21,22,23,24,25,26,27,28,29,30}-1)*LEN(Registro!$E700)+1,LEN(Registro!$E700)))&amp;"x")-1))),"Revisar formato")))</f>
        <v/>
      </c>
      <c r="E700" s="11" t="str">
        <f>IF(Registro!$E700="","",IF(ISERROR(FIND("x",LOWER(Registro!$E700))),"-",IFERROR(SUMPRODUCT(--("0"&amp;LEFT(TRIM(MID(SUBSTITUTE(SUBSTITUTE(SUBSTITUTE(SUBSTITUTE(SUBSTITUTE(LOWER(Registro!$E700),"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",LEN(Registro!$E700))),({1,2,3,4,5,6,7,8,9,10,11,12,13,14,15,16,17,18,19,20,21,22,23,24,25,26,27,28,29,30}-1)*LEN(Registro!$E700)+1,LEN(Registro!$E700)))&amp;"x")-1)),--("0"&amp;MID(TRIM(MID(SUBSTITUTE(SUBSTITUTE(SUBSTITUTE(SUBSTITUTE(SUBSTITUTE(LOWER(Registro!$E700),"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",LEN(Registro!$E700))),({1,2,3,4,5,6,7,8,9,10,11,12,13,14,15,16,17,18,19,20,21,22,23,24,25,26,27,28,29,30}-1)*LEN(Registro!$E700)+1,LEN(Registro!$E700)))&amp;"x")+1,20))),"Revisar formato")))</f>
        <v/>
      </c>
      <c r="F700" s="11" t="str">
        <f>IF(Registro!$F700="","",N(Registro!$F700))</f>
        <v/>
      </c>
      <c r="G700" s="11" t="str">
        <f t="shared" si="31"/>
        <v/>
      </c>
      <c r="H700" s="10" t="str">
        <f>IF(Registro!$G700="","",IF(ISERROR(FIND("x",LOWER(Registro!$G700))),"-",IFERROR(SUMPRODUCT(--("0"&amp;LEFT(TRIM(MID(SUBSTITUTE(SUBSTITUTE(SUBSTITUTE(SUBSTITUTE(SUBSTITUTE(LOWER(Registro!$G700),"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",LEN(Registro!$G700))),({1,2,3,4,5,6,7,8,9,10,11,12,13,14,15,16,17,18,19,20,21,22,23,24,25,26,27,28,29,30}-1)*LEN(Registro!$G700)+1,LEN(Registro!$G700))),FIND("x",TRIM(MID(SUBSTITUTE(SUBSTITUTE(SUBSTITUTE(SUBSTITUTE(SUBSTITUTE(LOWER(Registro!$G700),"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",LEN(Registro!$G700))),({1,2,3,4,5,6,7,8,9,10,11,12,13,14,15,16,17,18,19,20,21,22,23,24,25,26,27,28,29,30}-1)*LEN(Registro!$G700)+1,LEN(Registro!$G700)))&amp;"x")-1))),"Revisar formato")))</f>
        <v/>
      </c>
      <c r="I700" s="11" t="str">
        <f>IF(Registro!$G700="","",IF(ISERROR(FIND("x",LOWER(Registro!$G700))),N(Registro!$H700),IFERROR(SUMPRODUCT(--("0"&amp;LEFT(TRIM(MID(SUBSTITUTE(SUBSTITUTE(SUBSTITUTE(SUBSTITUTE(SUBSTITUTE(LOWER(Registro!$G700),"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",LEN(Registro!$G700))),({1,2,3,4,5,6,7,8,9,10,11,12,13,14,15,16,17,18,19,20,21,22,23,24,25,26,27,28,29,30}-1)*LEN(Registro!$G700)+1,LEN(Registro!$G700))),FIND("x",TRIM(MID(SUBSTITUTE(SUBSTITUTE(SUBSTITUTE(SUBSTITUTE(SUBSTITUTE(LOWER(Registro!$G700),"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",LEN(Registro!$G700))),({1,2,3,4,5,6,7,8,9,10,11,12,13,14,15,16,17,18,19,20,21,22,23,24,25,26,27,28,29,30}-1)*LEN(Registro!$G700)+1,LEN(Registro!$G700)))&amp;"x")-1)),--("0"&amp;MID(TRIM(MID(SUBSTITUTE(SUBSTITUTE(SUBSTITUTE(SUBSTITUTE(SUBSTITUTE(LOWER(Registro!$G700),"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",LEN(Registro!$G700))),({1,2,3,4,5,6,7,8,9,10,11,12,13,14,15,16,17,18,19,20,21,22,23,24,25,26,27,28,29,30}-1)*LEN(Registro!$G700)+1,LEN(Registro!$G700))),FIND("x",TRIM(MID(SUBSTITUTE(SUBSTITUTE(SUBSTITUTE(SUBSTITUTE(SUBSTITUTE(LOWER(Registro!$G700),"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",LEN(Registro!$G700))),({1,2,3,4,5,6,7,8,9,10,11,12,13,14,15,16,17,18,19,20,21,22,23,24,25,26,27,28,29,30}-1)*LEN(Registro!$G700)+1,LEN(Registro!$G700)))&amp;"x")+1,20))),"Revisar formato")))</f>
        <v/>
      </c>
      <c r="J700" s="9" t="str">
        <f>IF(AND(Registro!$E700="",Registro!$G700=""),"",IF(NOT(AND(ISNUMBER(I700),ISNUMBER(Registro!$H700))),"",IF(I700&lt;Registro!$H700,"FALTA BOLETOS",IF(I700=Registro!$H700,"CONFORME","DIFERENCIA"))))</f>
        <v/>
      </c>
      <c r="K700" s="11" t="str">
        <f>IF(Registro!$I700="","",IFERROR(SUMPRODUCT(--("0"&amp;TRIM(RIGHT(SUBSTITUTE(TRIM(MID(SUBSTITUTE(SUBSTITUTE(Registro!$I700,";",CHAR(10)),CHAR(10),REPT(" ",LEN(Registro!$I700))),({1,2,3,4,5,6,7,8,9,10,11,12,13,14,15,16,17,18,19,20,21,22,23,24,25,26,27,28,29,30}-1)*LEN(Registro!$I700)+1,LEN(Registro!$I700)))," ",REPT(" ",50)),50)))),"Revisar formato"))</f>
        <v/>
      </c>
      <c r="L700" s="11" t="str">
        <f>IF(Registro!$J700="","",IFERROR(SUMPRODUCT(--("0"&amp;TRIM(RIGHT(SUBSTITUTE(TRIM(MID(SUBSTITUTE(SUBSTITUTE(Registro!$J700,";",CHAR(10)),CHAR(10),REPT(" ",LEN(Registro!$J700))),({1,2,3,4,5,6,7,8,9,10,11,12,13,14,15,16,17,18,19,20,21,22,23,24,25,26,27,28,29,30}-1)*LEN(Registro!$J700)+1,LEN(Registro!$J700)))," ",REPT(" ",50)),50)))),"Revisar formato"))</f>
        <v/>
      </c>
      <c r="M700" s="11" t="str">
        <f>IF(AND(Registro!$H700="",Registro!$I700=""),"",IF(AND(ISTEXT(K700),K700&lt;&gt;""),"Revisar formato",N(Registro!$H700)-N(K700)))</f>
        <v/>
      </c>
      <c r="N700" s="11" t="str">
        <f t="shared" si="32"/>
        <v/>
      </c>
      <c r="O700" s="15" t="str">
        <f>IF(AND(A700=Consulta!$B$3,C700=Consulta!$H$3),B700*10000+ROW(),"")</f>
        <v/>
      </c>
    </row>
    <row r="701" spans="1:15" x14ac:dyDescent="0.25">
      <c r="A701" s="9" t="str">
        <f>IF(Registro!$A701="","",Registro!$A701)</f>
        <v/>
      </c>
      <c r="B701" s="8" t="str">
        <f>IF(Registro!$B701="","",Registro!$B701)</f>
        <v/>
      </c>
      <c r="C701" s="14" t="str">
        <f t="shared" si="30"/>
        <v/>
      </c>
      <c r="D701" s="10" t="str">
        <f>IF(Registro!$E701="","",IF(ISERROR(FIND("x",LOWER(Registro!$E701))),"-",IFERROR(SUMPRODUCT(--("0"&amp;LEFT(TRIM(MID(SUBSTITUTE(SUBSTITUTE(SUBSTITUTE(SUBSTITUTE(SUBSTITUTE(LOWER(Registro!$E701),"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",LEN(Registro!$E701))),({1,2,3,4,5,6,7,8,9,10,11,12,13,14,15,16,17,18,19,20,21,22,23,24,25,26,27,28,29,30}-1)*LEN(Registro!$E701)+1,LEN(Registro!$E701)))&amp;"x")-1))),"Revisar formato")))</f>
        <v/>
      </c>
      <c r="E701" s="11" t="str">
        <f>IF(Registro!$E701="","",IF(ISERROR(FIND("x",LOWER(Registro!$E701))),"-",IFERROR(SUMPRODUCT(--("0"&amp;LEFT(TRIM(MID(SUBSTITUTE(SUBSTITUTE(SUBSTITUTE(SUBSTITUTE(SUBSTITUTE(LOWER(Registro!$E701),"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",LEN(Registro!$E701))),({1,2,3,4,5,6,7,8,9,10,11,12,13,14,15,16,17,18,19,20,21,22,23,24,25,26,27,28,29,30}-1)*LEN(Registro!$E701)+1,LEN(Registro!$E701)))&amp;"x")-1)),--("0"&amp;MID(TRIM(MID(SUBSTITUTE(SUBSTITUTE(SUBSTITUTE(SUBSTITUTE(SUBSTITUTE(LOWER(Registro!$E701),"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",LEN(Registro!$E701))),({1,2,3,4,5,6,7,8,9,10,11,12,13,14,15,16,17,18,19,20,21,22,23,24,25,26,27,28,29,30}-1)*LEN(Registro!$E701)+1,LEN(Registro!$E701)))&amp;"x")+1,20))),"Revisar formato")))</f>
        <v/>
      </c>
      <c r="F701" s="11" t="str">
        <f>IF(Registro!$F701="","",N(Registro!$F701))</f>
        <v/>
      </c>
      <c r="G701" s="11" t="str">
        <f t="shared" si="31"/>
        <v/>
      </c>
      <c r="H701" s="10" t="str">
        <f>IF(Registro!$G701="","",IF(ISERROR(FIND("x",LOWER(Registro!$G701))),"-",IFERROR(SUMPRODUCT(--("0"&amp;LEFT(TRIM(MID(SUBSTITUTE(SUBSTITUTE(SUBSTITUTE(SUBSTITUTE(SUBSTITUTE(LOWER(Registro!$G701),"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",LEN(Registro!$G701))),({1,2,3,4,5,6,7,8,9,10,11,12,13,14,15,16,17,18,19,20,21,22,23,24,25,26,27,28,29,30}-1)*LEN(Registro!$G701)+1,LEN(Registro!$G701))),FIND("x",TRIM(MID(SUBSTITUTE(SUBSTITUTE(SUBSTITUTE(SUBSTITUTE(SUBSTITUTE(LOWER(Registro!$G701),"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",LEN(Registro!$G701))),({1,2,3,4,5,6,7,8,9,10,11,12,13,14,15,16,17,18,19,20,21,22,23,24,25,26,27,28,29,30}-1)*LEN(Registro!$G701)+1,LEN(Registro!$G701)))&amp;"x")-1))),"Revisar formato")))</f>
        <v/>
      </c>
      <c r="I701" s="11" t="str">
        <f>IF(Registro!$G701="","",IF(ISERROR(FIND("x",LOWER(Registro!$G701))),N(Registro!$H701),IFERROR(SUMPRODUCT(--("0"&amp;LEFT(TRIM(MID(SUBSTITUTE(SUBSTITUTE(SUBSTITUTE(SUBSTITUTE(SUBSTITUTE(LOWER(Registro!$G701),"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",LEN(Registro!$G701))),({1,2,3,4,5,6,7,8,9,10,11,12,13,14,15,16,17,18,19,20,21,22,23,24,25,26,27,28,29,30}-1)*LEN(Registro!$G701)+1,LEN(Registro!$G701))),FIND("x",TRIM(MID(SUBSTITUTE(SUBSTITUTE(SUBSTITUTE(SUBSTITUTE(SUBSTITUTE(LOWER(Registro!$G701),"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",LEN(Registro!$G701))),({1,2,3,4,5,6,7,8,9,10,11,12,13,14,15,16,17,18,19,20,21,22,23,24,25,26,27,28,29,30}-1)*LEN(Registro!$G701)+1,LEN(Registro!$G701)))&amp;"x")-1)),--("0"&amp;MID(TRIM(MID(SUBSTITUTE(SUBSTITUTE(SUBSTITUTE(SUBSTITUTE(SUBSTITUTE(LOWER(Registro!$G701),"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",LEN(Registro!$G701))),({1,2,3,4,5,6,7,8,9,10,11,12,13,14,15,16,17,18,19,20,21,22,23,24,25,26,27,28,29,30}-1)*LEN(Registro!$G701)+1,LEN(Registro!$G701))),FIND("x",TRIM(MID(SUBSTITUTE(SUBSTITUTE(SUBSTITUTE(SUBSTITUTE(SUBSTITUTE(LOWER(Registro!$G701),"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",LEN(Registro!$G701))),({1,2,3,4,5,6,7,8,9,10,11,12,13,14,15,16,17,18,19,20,21,22,23,24,25,26,27,28,29,30}-1)*LEN(Registro!$G701)+1,LEN(Registro!$G701)))&amp;"x")+1,20))),"Revisar formato")))</f>
        <v/>
      </c>
      <c r="J701" s="9" t="str">
        <f>IF(AND(Registro!$E701="",Registro!$G701=""),"",IF(NOT(AND(ISNUMBER(I701),ISNUMBER(Registro!$H701))),"",IF(I701&lt;Registro!$H701,"FALTA BOLETOS",IF(I701=Registro!$H701,"CONFORME","DIFERENCIA"))))</f>
        <v/>
      </c>
      <c r="K701" s="11" t="str">
        <f>IF(Registro!$I701="","",IFERROR(SUMPRODUCT(--("0"&amp;TRIM(RIGHT(SUBSTITUTE(TRIM(MID(SUBSTITUTE(SUBSTITUTE(Registro!$I701,";",CHAR(10)),CHAR(10),REPT(" ",LEN(Registro!$I701))),({1,2,3,4,5,6,7,8,9,10,11,12,13,14,15,16,17,18,19,20,21,22,23,24,25,26,27,28,29,30}-1)*LEN(Registro!$I701)+1,LEN(Registro!$I701)))," ",REPT(" ",50)),50)))),"Revisar formato"))</f>
        <v/>
      </c>
      <c r="L701" s="11" t="str">
        <f>IF(Registro!$J701="","",IFERROR(SUMPRODUCT(--("0"&amp;TRIM(RIGHT(SUBSTITUTE(TRIM(MID(SUBSTITUTE(SUBSTITUTE(Registro!$J701,";",CHAR(10)),CHAR(10),REPT(" ",LEN(Registro!$J701))),({1,2,3,4,5,6,7,8,9,10,11,12,13,14,15,16,17,18,19,20,21,22,23,24,25,26,27,28,29,30}-1)*LEN(Registro!$J701)+1,LEN(Registro!$J701)))," ",REPT(" ",50)),50)))),"Revisar formato"))</f>
        <v/>
      </c>
      <c r="M701" s="11" t="str">
        <f>IF(AND(Registro!$H701="",Registro!$I701=""),"",IF(AND(ISTEXT(K701),K701&lt;&gt;""),"Revisar formato",N(Registro!$H701)-N(K701)))</f>
        <v/>
      </c>
      <c r="N701" s="11" t="str">
        <f t="shared" si="32"/>
        <v/>
      </c>
      <c r="O701" s="15" t="str">
        <f>IF(AND(A701=Consulta!$B$3,C701=Consulta!$H$3),B701*10000+ROW(),"")</f>
        <v/>
      </c>
    </row>
    <row r="702" spans="1:15" x14ac:dyDescent="0.25">
      <c r="A702" s="9" t="str">
        <f>IF(Registro!$A702="","",Registro!$A702)</f>
        <v/>
      </c>
      <c r="B702" s="8" t="str">
        <f>IF(Registro!$B702="","",Registro!$B702)</f>
        <v/>
      </c>
      <c r="C702" s="14" t="str">
        <f t="shared" si="30"/>
        <v/>
      </c>
      <c r="D702" s="10" t="str">
        <f>IF(Registro!$E702="","",IF(ISERROR(FIND("x",LOWER(Registro!$E702))),"-",IFERROR(SUMPRODUCT(--("0"&amp;LEFT(TRIM(MID(SUBSTITUTE(SUBSTITUTE(SUBSTITUTE(SUBSTITUTE(SUBSTITUTE(LOWER(Registro!$E702),"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",LEN(Registro!$E702))),({1,2,3,4,5,6,7,8,9,10,11,12,13,14,15,16,17,18,19,20,21,22,23,24,25,26,27,28,29,30}-1)*LEN(Registro!$E702)+1,LEN(Registro!$E702)))&amp;"x")-1))),"Revisar formato")))</f>
        <v/>
      </c>
      <c r="E702" s="11" t="str">
        <f>IF(Registro!$E702="","",IF(ISERROR(FIND("x",LOWER(Registro!$E702))),"-",IFERROR(SUMPRODUCT(--("0"&amp;LEFT(TRIM(MID(SUBSTITUTE(SUBSTITUTE(SUBSTITUTE(SUBSTITUTE(SUBSTITUTE(LOWER(Registro!$E702),"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",LEN(Registro!$E702))),({1,2,3,4,5,6,7,8,9,10,11,12,13,14,15,16,17,18,19,20,21,22,23,24,25,26,27,28,29,30}-1)*LEN(Registro!$E702)+1,LEN(Registro!$E702)))&amp;"x")-1)),--("0"&amp;MID(TRIM(MID(SUBSTITUTE(SUBSTITUTE(SUBSTITUTE(SUBSTITUTE(SUBSTITUTE(LOWER(Registro!$E702),"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",LEN(Registro!$E702))),({1,2,3,4,5,6,7,8,9,10,11,12,13,14,15,16,17,18,19,20,21,22,23,24,25,26,27,28,29,30}-1)*LEN(Registro!$E702)+1,LEN(Registro!$E702)))&amp;"x")+1,20))),"Revisar formato")))</f>
        <v/>
      </c>
      <c r="F702" s="11" t="str">
        <f>IF(Registro!$F702="","",N(Registro!$F702))</f>
        <v/>
      </c>
      <c r="G702" s="11" t="str">
        <f t="shared" si="31"/>
        <v/>
      </c>
      <c r="H702" s="10" t="str">
        <f>IF(Registro!$G702="","",IF(ISERROR(FIND("x",LOWER(Registro!$G702))),"-",IFERROR(SUMPRODUCT(--("0"&amp;LEFT(TRIM(MID(SUBSTITUTE(SUBSTITUTE(SUBSTITUTE(SUBSTITUTE(SUBSTITUTE(LOWER(Registro!$G702),"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",LEN(Registro!$G702))),({1,2,3,4,5,6,7,8,9,10,11,12,13,14,15,16,17,18,19,20,21,22,23,24,25,26,27,28,29,30}-1)*LEN(Registro!$G702)+1,LEN(Registro!$G702))),FIND("x",TRIM(MID(SUBSTITUTE(SUBSTITUTE(SUBSTITUTE(SUBSTITUTE(SUBSTITUTE(LOWER(Registro!$G702),"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",LEN(Registro!$G702))),({1,2,3,4,5,6,7,8,9,10,11,12,13,14,15,16,17,18,19,20,21,22,23,24,25,26,27,28,29,30}-1)*LEN(Registro!$G702)+1,LEN(Registro!$G702)))&amp;"x")-1))),"Revisar formato")))</f>
        <v/>
      </c>
      <c r="I702" s="11" t="str">
        <f>IF(Registro!$G702="","",IF(ISERROR(FIND("x",LOWER(Registro!$G702))),N(Registro!$H702),IFERROR(SUMPRODUCT(--("0"&amp;LEFT(TRIM(MID(SUBSTITUTE(SUBSTITUTE(SUBSTITUTE(SUBSTITUTE(SUBSTITUTE(LOWER(Registro!$G702),"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",LEN(Registro!$G702))),({1,2,3,4,5,6,7,8,9,10,11,12,13,14,15,16,17,18,19,20,21,22,23,24,25,26,27,28,29,30}-1)*LEN(Registro!$G702)+1,LEN(Registro!$G702))),FIND("x",TRIM(MID(SUBSTITUTE(SUBSTITUTE(SUBSTITUTE(SUBSTITUTE(SUBSTITUTE(LOWER(Registro!$G702),"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",LEN(Registro!$G702))),({1,2,3,4,5,6,7,8,9,10,11,12,13,14,15,16,17,18,19,20,21,22,23,24,25,26,27,28,29,30}-1)*LEN(Registro!$G702)+1,LEN(Registro!$G702)))&amp;"x")-1)),--("0"&amp;MID(TRIM(MID(SUBSTITUTE(SUBSTITUTE(SUBSTITUTE(SUBSTITUTE(SUBSTITUTE(LOWER(Registro!$G702),"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",LEN(Registro!$G702))),({1,2,3,4,5,6,7,8,9,10,11,12,13,14,15,16,17,18,19,20,21,22,23,24,25,26,27,28,29,30}-1)*LEN(Registro!$G702)+1,LEN(Registro!$G702))),FIND("x",TRIM(MID(SUBSTITUTE(SUBSTITUTE(SUBSTITUTE(SUBSTITUTE(SUBSTITUTE(LOWER(Registro!$G702),"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",LEN(Registro!$G702))),({1,2,3,4,5,6,7,8,9,10,11,12,13,14,15,16,17,18,19,20,21,22,23,24,25,26,27,28,29,30}-1)*LEN(Registro!$G702)+1,LEN(Registro!$G702)))&amp;"x")+1,20))),"Revisar formato")))</f>
        <v/>
      </c>
      <c r="J702" s="9" t="str">
        <f>IF(AND(Registro!$E702="",Registro!$G702=""),"",IF(NOT(AND(ISNUMBER(I702),ISNUMBER(Registro!$H702))),"",IF(I702&lt;Registro!$H702,"FALTA BOLETOS",IF(I702=Registro!$H702,"CONFORME","DIFERENCIA"))))</f>
        <v/>
      </c>
      <c r="K702" s="11" t="str">
        <f>IF(Registro!$I702="","",IFERROR(SUMPRODUCT(--("0"&amp;TRIM(RIGHT(SUBSTITUTE(TRIM(MID(SUBSTITUTE(SUBSTITUTE(Registro!$I702,";",CHAR(10)),CHAR(10),REPT(" ",LEN(Registro!$I702))),({1,2,3,4,5,6,7,8,9,10,11,12,13,14,15,16,17,18,19,20,21,22,23,24,25,26,27,28,29,30}-1)*LEN(Registro!$I702)+1,LEN(Registro!$I702)))," ",REPT(" ",50)),50)))),"Revisar formato"))</f>
        <v/>
      </c>
      <c r="L702" s="11" t="str">
        <f>IF(Registro!$J702="","",IFERROR(SUMPRODUCT(--("0"&amp;TRIM(RIGHT(SUBSTITUTE(TRIM(MID(SUBSTITUTE(SUBSTITUTE(Registro!$J702,";",CHAR(10)),CHAR(10),REPT(" ",LEN(Registro!$J702))),({1,2,3,4,5,6,7,8,9,10,11,12,13,14,15,16,17,18,19,20,21,22,23,24,25,26,27,28,29,30}-1)*LEN(Registro!$J702)+1,LEN(Registro!$J702)))," ",REPT(" ",50)),50)))),"Revisar formato"))</f>
        <v/>
      </c>
      <c r="M702" s="11" t="str">
        <f>IF(AND(Registro!$H702="",Registro!$I702=""),"",IF(AND(ISTEXT(K702),K702&lt;&gt;""),"Revisar formato",N(Registro!$H702)-N(K702)))</f>
        <v/>
      </c>
      <c r="N702" s="11" t="str">
        <f t="shared" si="32"/>
        <v/>
      </c>
      <c r="O702" s="15" t="str">
        <f>IF(AND(A702=Consulta!$B$3,C702=Consulta!$H$3),B702*10000+ROW(),"")</f>
        <v/>
      </c>
    </row>
    <row r="703" spans="1:15" x14ac:dyDescent="0.25">
      <c r="A703" s="9" t="str">
        <f>IF(Registro!$A703="","",Registro!$A703)</f>
        <v/>
      </c>
      <c r="B703" s="8" t="str">
        <f>IF(Registro!$B703="","",Registro!$B703)</f>
        <v/>
      </c>
      <c r="C703" s="14" t="str">
        <f t="shared" si="30"/>
        <v/>
      </c>
      <c r="D703" s="10" t="str">
        <f>IF(Registro!$E703="","",IF(ISERROR(FIND("x",LOWER(Registro!$E703))),"-",IFERROR(SUMPRODUCT(--("0"&amp;LEFT(TRIM(MID(SUBSTITUTE(SUBSTITUTE(SUBSTITUTE(SUBSTITUTE(SUBSTITUTE(LOWER(Registro!$E703),"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",LEN(Registro!$E703))),({1,2,3,4,5,6,7,8,9,10,11,12,13,14,15,16,17,18,19,20,21,22,23,24,25,26,27,28,29,30}-1)*LEN(Registro!$E703)+1,LEN(Registro!$E703)))&amp;"x")-1))),"Revisar formato")))</f>
        <v/>
      </c>
      <c r="E703" s="11" t="str">
        <f>IF(Registro!$E703="","",IF(ISERROR(FIND("x",LOWER(Registro!$E703))),"-",IFERROR(SUMPRODUCT(--("0"&amp;LEFT(TRIM(MID(SUBSTITUTE(SUBSTITUTE(SUBSTITUTE(SUBSTITUTE(SUBSTITUTE(LOWER(Registro!$E703),"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",LEN(Registro!$E703))),({1,2,3,4,5,6,7,8,9,10,11,12,13,14,15,16,17,18,19,20,21,22,23,24,25,26,27,28,29,30}-1)*LEN(Registro!$E703)+1,LEN(Registro!$E703)))&amp;"x")-1)),--("0"&amp;MID(TRIM(MID(SUBSTITUTE(SUBSTITUTE(SUBSTITUTE(SUBSTITUTE(SUBSTITUTE(LOWER(Registro!$E703),"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",LEN(Registro!$E703))),({1,2,3,4,5,6,7,8,9,10,11,12,13,14,15,16,17,18,19,20,21,22,23,24,25,26,27,28,29,30}-1)*LEN(Registro!$E703)+1,LEN(Registro!$E703)))&amp;"x")+1,20))),"Revisar formato")))</f>
        <v/>
      </c>
      <c r="F703" s="11" t="str">
        <f>IF(Registro!$F703="","",N(Registro!$F703))</f>
        <v/>
      </c>
      <c r="G703" s="11" t="str">
        <f t="shared" si="31"/>
        <v/>
      </c>
      <c r="H703" s="10" t="str">
        <f>IF(Registro!$G703="","",IF(ISERROR(FIND("x",LOWER(Registro!$G703))),"-",IFERROR(SUMPRODUCT(--("0"&amp;LEFT(TRIM(MID(SUBSTITUTE(SUBSTITUTE(SUBSTITUTE(SUBSTITUTE(SUBSTITUTE(LOWER(Registro!$G703),"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",LEN(Registro!$G703))),({1,2,3,4,5,6,7,8,9,10,11,12,13,14,15,16,17,18,19,20,21,22,23,24,25,26,27,28,29,30}-1)*LEN(Registro!$G703)+1,LEN(Registro!$G703))),FIND("x",TRIM(MID(SUBSTITUTE(SUBSTITUTE(SUBSTITUTE(SUBSTITUTE(SUBSTITUTE(LOWER(Registro!$G703),"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",LEN(Registro!$G703))),({1,2,3,4,5,6,7,8,9,10,11,12,13,14,15,16,17,18,19,20,21,22,23,24,25,26,27,28,29,30}-1)*LEN(Registro!$G703)+1,LEN(Registro!$G703)))&amp;"x")-1))),"Revisar formato")))</f>
        <v/>
      </c>
      <c r="I703" s="11" t="str">
        <f>IF(Registro!$G703="","",IF(ISERROR(FIND("x",LOWER(Registro!$G703))),N(Registro!$H703),IFERROR(SUMPRODUCT(--("0"&amp;LEFT(TRIM(MID(SUBSTITUTE(SUBSTITUTE(SUBSTITUTE(SUBSTITUTE(SUBSTITUTE(LOWER(Registro!$G703),"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",LEN(Registro!$G703))),({1,2,3,4,5,6,7,8,9,10,11,12,13,14,15,16,17,18,19,20,21,22,23,24,25,26,27,28,29,30}-1)*LEN(Registro!$G703)+1,LEN(Registro!$G703))),FIND("x",TRIM(MID(SUBSTITUTE(SUBSTITUTE(SUBSTITUTE(SUBSTITUTE(SUBSTITUTE(LOWER(Registro!$G703),"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",LEN(Registro!$G703))),({1,2,3,4,5,6,7,8,9,10,11,12,13,14,15,16,17,18,19,20,21,22,23,24,25,26,27,28,29,30}-1)*LEN(Registro!$G703)+1,LEN(Registro!$G703)))&amp;"x")-1)),--("0"&amp;MID(TRIM(MID(SUBSTITUTE(SUBSTITUTE(SUBSTITUTE(SUBSTITUTE(SUBSTITUTE(LOWER(Registro!$G703),"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",LEN(Registro!$G703))),({1,2,3,4,5,6,7,8,9,10,11,12,13,14,15,16,17,18,19,20,21,22,23,24,25,26,27,28,29,30}-1)*LEN(Registro!$G703)+1,LEN(Registro!$G703))),FIND("x",TRIM(MID(SUBSTITUTE(SUBSTITUTE(SUBSTITUTE(SUBSTITUTE(SUBSTITUTE(LOWER(Registro!$G703),"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",LEN(Registro!$G703))),({1,2,3,4,5,6,7,8,9,10,11,12,13,14,15,16,17,18,19,20,21,22,23,24,25,26,27,28,29,30}-1)*LEN(Registro!$G703)+1,LEN(Registro!$G703)))&amp;"x")+1,20))),"Revisar formato")))</f>
        <v/>
      </c>
      <c r="J703" s="9" t="str">
        <f>IF(AND(Registro!$E703="",Registro!$G703=""),"",IF(NOT(AND(ISNUMBER(I703),ISNUMBER(Registro!$H703))),"",IF(I703&lt;Registro!$H703,"FALTA BOLETOS",IF(I703=Registro!$H703,"CONFORME","DIFERENCIA"))))</f>
        <v/>
      </c>
      <c r="K703" s="11" t="str">
        <f>IF(Registro!$I703="","",IFERROR(SUMPRODUCT(--("0"&amp;TRIM(RIGHT(SUBSTITUTE(TRIM(MID(SUBSTITUTE(SUBSTITUTE(Registro!$I703,";",CHAR(10)),CHAR(10),REPT(" ",LEN(Registro!$I703))),({1,2,3,4,5,6,7,8,9,10,11,12,13,14,15,16,17,18,19,20,21,22,23,24,25,26,27,28,29,30}-1)*LEN(Registro!$I703)+1,LEN(Registro!$I703)))," ",REPT(" ",50)),50)))),"Revisar formato"))</f>
        <v/>
      </c>
      <c r="L703" s="11" t="str">
        <f>IF(Registro!$J703="","",IFERROR(SUMPRODUCT(--("0"&amp;TRIM(RIGHT(SUBSTITUTE(TRIM(MID(SUBSTITUTE(SUBSTITUTE(Registro!$J703,";",CHAR(10)),CHAR(10),REPT(" ",LEN(Registro!$J703))),({1,2,3,4,5,6,7,8,9,10,11,12,13,14,15,16,17,18,19,20,21,22,23,24,25,26,27,28,29,30}-1)*LEN(Registro!$J703)+1,LEN(Registro!$J703)))," ",REPT(" ",50)),50)))),"Revisar formato"))</f>
        <v/>
      </c>
      <c r="M703" s="11" t="str">
        <f>IF(AND(Registro!$H703="",Registro!$I703=""),"",IF(AND(ISTEXT(K703),K703&lt;&gt;""),"Revisar formato",N(Registro!$H703)-N(K703)))</f>
        <v/>
      </c>
      <c r="N703" s="11" t="str">
        <f t="shared" si="32"/>
        <v/>
      </c>
      <c r="O703" s="15" t="str">
        <f>IF(AND(A703=Consulta!$B$3,C703=Consulta!$H$3),B703*10000+ROW(),"")</f>
        <v/>
      </c>
    </row>
    <row r="704" spans="1:15" x14ac:dyDescent="0.25">
      <c r="A704" s="9" t="str">
        <f>IF(Registro!$A704="","",Registro!$A704)</f>
        <v/>
      </c>
      <c r="B704" s="8" t="str">
        <f>IF(Registro!$B704="","",Registro!$B704)</f>
        <v/>
      </c>
      <c r="C704" s="14" t="str">
        <f t="shared" si="30"/>
        <v/>
      </c>
      <c r="D704" s="10" t="str">
        <f>IF(Registro!$E704="","",IF(ISERROR(FIND("x",LOWER(Registro!$E704))),"-",IFERROR(SUMPRODUCT(--("0"&amp;LEFT(TRIM(MID(SUBSTITUTE(SUBSTITUTE(SUBSTITUTE(SUBSTITUTE(SUBSTITUTE(LOWER(Registro!$E704),"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",LEN(Registro!$E704))),({1,2,3,4,5,6,7,8,9,10,11,12,13,14,15,16,17,18,19,20,21,22,23,24,25,26,27,28,29,30}-1)*LEN(Registro!$E704)+1,LEN(Registro!$E704)))&amp;"x")-1))),"Revisar formato")))</f>
        <v/>
      </c>
      <c r="E704" s="11" t="str">
        <f>IF(Registro!$E704="","",IF(ISERROR(FIND("x",LOWER(Registro!$E704))),"-",IFERROR(SUMPRODUCT(--("0"&amp;LEFT(TRIM(MID(SUBSTITUTE(SUBSTITUTE(SUBSTITUTE(SUBSTITUTE(SUBSTITUTE(LOWER(Registro!$E704),"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",LEN(Registro!$E704))),({1,2,3,4,5,6,7,8,9,10,11,12,13,14,15,16,17,18,19,20,21,22,23,24,25,26,27,28,29,30}-1)*LEN(Registro!$E704)+1,LEN(Registro!$E704)))&amp;"x")-1)),--("0"&amp;MID(TRIM(MID(SUBSTITUTE(SUBSTITUTE(SUBSTITUTE(SUBSTITUTE(SUBSTITUTE(LOWER(Registro!$E704),"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",LEN(Registro!$E704))),({1,2,3,4,5,6,7,8,9,10,11,12,13,14,15,16,17,18,19,20,21,22,23,24,25,26,27,28,29,30}-1)*LEN(Registro!$E704)+1,LEN(Registro!$E704)))&amp;"x")+1,20))),"Revisar formato")))</f>
        <v/>
      </c>
      <c r="F704" s="11" t="str">
        <f>IF(Registro!$F704="","",N(Registro!$F704))</f>
        <v/>
      </c>
      <c r="G704" s="11" t="str">
        <f t="shared" si="31"/>
        <v/>
      </c>
      <c r="H704" s="10" t="str">
        <f>IF(Registro!$G704="","",IF(ISERROR(FIND("x",LOWER(Registro!$G704))),"-",IFERROR(SUMPRODUCT(--("0"&amp;LEFT(TRIM(MID(SUBSTITUTE(SUBSTITUTE(SUBSTITUTE(SUBSTITUTE(SUBSTITUTE(LOWER(Registro!$G704),"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",LEN(Registro!$G704))),({1,2,3,4,5,6,7,8,9,10,11,12,13,14,15,16,17,18,19,20,21,22,23,24,25,26,27,28,29,30}-1)*LEN(Registro!$G704)+1,LEN(Registro!$G704))),FIND("x",TRIM(MID(SUBSTITUTE(SUBSTITUTE(SUBSTITUTE(SUBSTITUTE(SUBSTITUTE(LOWER(Registro!$G704),"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",LEN(Registro!$G704))),({1,2,3,4,5,6,7,8,9,10,11,12,13,14,15,16,17,18,19,20,21,22,23,24,25,26,27,28,29,30}-1)*LEN(Registro!$G704)+1,LEN(Registro!$G704)))&amp;"x")-1))),"Revisar formato")))</f>
        <v/>
      </c>
      <c r="I704" s="11" t="str">
        <f>IF(Registro!$G704="","",IF(ISERROR(FIND("x",LOWER(Registro!$G704))),N(Registro!$H704),IFERROR(SUMPRODUCT(--("0"&amp;LEFT(TRIM(MID(SUBSTITUTE(SUBSTITUTE(SUBSTITUTE(SUBSTITUTE(SUBSTITUTE(LOWER(Registro!$G704),"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",LEN(Registro!$G704))),({1,2,3,4,5,6,7,8,9,10,11,12,13,14,15,16,17,18,19,20,21,22,23,24,25,26,27,28,29,30}-1)*LEN(Registro!$G704)+1,LEN(Registro!$G704))),FIND("x",TRIM(MID(SUBSTITUTE(SUBSTITUTE(SUBSTITUTE(SUBSTITUTE(SUBSTITUTE(LOWER(Registro!$G704),"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",LEN(Registro!$G704))),({1,2,3,4,5,6,7,8,9,10,11,12,13,14,15,16,17,18,19,20,21,22,23,24,25,26,27,28,29,30}-1)*LEN(Registro!$G704)+1,LEN(Registro!$G704)))&amp;"x")-1)),--("0"&amp;MID(TRIM(MID(SUBSTITUTE(SUBSTITUTE(SUBSTITUTE(SUBSTITUTE(SUBSTITUTE(LOWER(Registro!$G704),"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",LEN(Registro!$G704))),({1,2,3,4,5,6,7,8,9,10,11,12,13,14,15,16,17,18,19,20,21,22,23,24,25,26,27,28,29,30}-1)*LEN(Registro!$G704)+1,LEN(Registro!$G704))),FIND("x",TRIM(MID(SUBSTITUTE(SUBSTITUTE(SUBSTITUTE(SUBSTITUTE(SUBSTITUTE(LOWER(Registro!$G704),"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",LEN(Registro!$G704))),({1,2,3,4,5,6,7,8,9,10,11,12,13,14,15,16,17,18,19,20,21,22,23,24,25,26,27,28,29,30}-1)*LEN(Registro!$G704)+1,LEN(Registro!$G704)))&amp;"x")+1,20))),"Revisar formato")))</f>
        <v/>
      </c>
      <c r="J704" s="9" t="str">
        <f>IF(AND(Registro!$E704="",Registro!$G704=""),"",IF(NOT(AND(ISNUMBER(I704),ISNUMBER(Registro!$H704))),"",IF(I704&lt;Registro!$H704,"FALTA BOLETOS",IF(I704=Registro!$H704,"CONFORME","DIFERENCIA"))))</f>
        <v/>
      </c>
      <c r="K704" s="11" t="str">
        <f>IF(Registro!$I704="","",IFERROR(SUMPRODUCT(--("0"&amp;TRIM(RIGHT(SUBSTITUTE(TRIM(MID(SUBSTITUTE(SUBSTITUTE(Registro!$I704,";",CHAR(10)),CHAR(10),REPT(" ",LEN(Registro!$I704))),({1,2,3,4,5,6,7,8,9,10,11,12,13,14,15,16,17,18,19,20,21,22,23,24,25,26,27,28,29,30}-1)*LEN(Registro!$I704)+1,LEN(Registro!$I704)))," ",REPT(" ",50)),50)))),"Revisar formato"))</f>
        <v/>
      </c>
      <c r="L704" s="11" t="str">
        <f>IF(Registro!$J704="","",IFERROR(SUMPRODUCT(--("0"&amp;TRIM(RIGHT(SUBSTITUTE(TRIM(MID(SUBSTITUTE(SUBSTITUTE(Registro!$J704,";",CHAR(10)),CHAR(10),REPT(" ",LEN(Registro!$J704))),({1,2,3,4,5,6,7,8,9,10,11,12,13,14,15,16,17,18,19,20,21,22,23,24,25,26,27,28,29,30}-1)*LEN(Registro!$J704)+1,LEN(Registro!$J704)))," ",REPT(" ",50)),50)))),"Revisar formato"))</f>
        <v/>
      </c>
      <c r="M704" s="11" t="str">
        <f>IF(AND(Registro!$H704="",Registro!$I704=""),"",IF(AND(ISTEXT(K704),K704&lt;&gt;""),"Revisar formato",N(Registro!$H704)-N(K704)))</f>
        <v/>
      </c>
      <c r="N704" s="11" t="str">
        <f t="shared" si="32"/>
        <v/>
      </c>
      <c r="O704" s="15" t="str">
        <f>IF(AND(A704=Consulta!$B$3,C704=Consulta!$H$3),B704*10000+ROW(),"")</f>
        <v/>
      </c>
    </row>
    <row r="705" spans="1:15" x14ac:dyDescent="0.25">
      <c r="A705" s="9" t="str">
        <f>IF(Registro!$A705="","",Registro!$A705)</f>
        <v/>
      </c>
      <c r="B705" s="8" t="str">
        <f>IF(Registro!$B705="","",Registro!$B705)</f>
        <v/>
      </c>
      <c r="C705" s="14" t="str">
        <f t="shared" si="30"/>
        <v/>
      </c>
      <c r="D705" s="10" t="str">
        <f>IF(Registro!$E705="","",IF(ISERROR(FIND("x",LOWER(Registro!$E705))),"-",IFERROR(SUMPRODUCT(--("0"&amp;LEFT(TRIM(MID(SUBSTITUTE(SUBSTITUTE(SUBSTITUTE(SUBSTITUTE(SUBSTITUTE(LOWER(Registro!$E705),"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",LEN(Registro!$E705))),({1,2,3,4,5,6,7,8,9,10,11,12,13,14,15,16,17,18,19,20,21,22,23,24,25,26,27,28,29,30}-1)*LEN(Registro!$E705)+1,LEN(Registro!$E705)))&amp;"x")-1))),"Revisar formato")))</f>
        <v/>
      </c>
      <c r="E705" s="11" t="str">
        <f>IF(Registro!$E705="","",IF(ISERROR(FIND("x",LOWER(Registro!$E705))),"-",IFERROR(SUMPRODUCT(--("0"&amp;LEFT(TRIM(MID(SUBSTITUTE(SUBSTITUTE(SUBSTITUTE(SUBSTITUTE(SUBSTITUTE(LOWER(Registro!$E705),"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",LEN(Registro!$E705))),({1,2,3,4,5,6,7,8,9,10,11,12,13,14,15,16,17,18,19,20,21,22,23,24,25,26,27,28,29,30}-1)*LEN(Registro!$E705)+1,LEN(Registro!$E705)))&amp;"x")-1)),--("0"&amp;MID(TRIM(MID(SUBSTITUTE(SUBSTITUTE(SUBSTITUTE(SUBSTITUTE(SUBSTITUTE(LOWER(Registro!$E705),"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",LEN(Registro!$E705))),({1,2,3,4,5,6,7,8,9,10,11,12,13,14,15,16,17,18,19,20,21,22,23,24,25,26,27,28,29,30}-1)*LEN(Registro!$E705)+1,LEN(Registro!$E705)))&amp;"x")+1,20))),"Revisar formato")))</f>
        <v/>
      </c>
      <c r="F705" s="11" t="str">
        <f>IF(Registro!$F705="","",N(Registro!$F705))</f>
        <v/>
      </c>
      <c r="G705" s="11" t="str">
        <f t="shared" si="31"/>
        <v/>
      </c>
      <c r="H705" s="10" t="str">
        <f>IF(Registro!$G705="","",IF(ISERROR(FIND("x",LOWER(Registro!$G705))),"-",IFERROR(SUMPRODUCT(--("0"&amp;LEFT(TRIM(MID(SUBSTITUTE(SUBSTITUTE(SUBSTITUTE(SUBSTITUTE(SUBSTITUTE(LOWER(Registro!$G705),"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",LEN(Registro!$G705))),({1,2,3,4,5,6,7,8,9,10,11,12,13,14,15,16,17,18,19,20,21,22,23,24,25,26,27,28,29,30}-1)*LEN(Registro!$G705)+1,LEN(Registro!$G705))),FIND("x",TRIM(MID(SUBSTITUTE(SUBSTITUTE(SUBSTITUTE(SUBSTITUTE(SUBSTITUTE(LOWER(Registro!$G705),"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",LEN(Registro!$G705))),({1,2,3,4,5,6,7,8,9,10,11,12,13,14,15,16,17,18,19,20,21,22,23,24,25,26,27,28,29,30}-1)*LEN(Registro!$G705)+1,LEN(Registro!$G705)))&amp;"x")-1))),"Revisar formato")))</f>
        <v/>
      </c>
      <c r="I705" s="11" t="str">
        <f>IF(Registro!$G705="","",IF(ISERROR(FIND("x",LOWER(Registro!$G705))),N(Registro!$H705),IFERROR(SUMPRODUCT(--("0"&amp;LEFT(TRIM(MID(SUBSTITUTE(SUBSTITUTE(SUBSTITUTE(SUBSTITUTE(SUBSTITUTE(LOWER(Registro!$G705),"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",LEN(Registro!$G705))),({1,2,3,4,5,6,7,8,9,10,11,12,13,14,15,16,17,18,19,20,21,22,23,24,25,26,27,28,29,30}-1)*LEN(Registro!$G705)+1,LEN(Registro!$G705))),FIND("x",TRIM(MID(SUBSTITUTE(SUBSTITUTE(SUBSTITUTE(SUBSTITUTE(SUBSTITUTE(LOWER(Registro!$G705),"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",LEN(Registro!$G705))),({1,2,3,4,5,6,7,8,9,10,11,12,13,14,15,16,17,18,19,20,21,22,23,24,25,26,27,28,29,30}-1)*LEN(Registro!$G705)+1,LEN(Registro!$G705)))&amp;"x")-1)),--("0"&amp;MID(TRIM(MID(SUBSTITUTE(SUBSTITUTE(SUBSTITUTE(SUBSTITUTE(SUBSTITUTE(LOWER(Registro!$G705),"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",LEN(Registro!$G705))),({1,2,3,4,5,6,7,8,9,10,11,12,13,14,15,16,17,18,19,20,21,22,23,24,25,26,27,28,29,30}-1)*LEN(Registro!$G705)+1,LEN(Registro!$G705))),FIND("x",TRIM(MID(SUBSTITUTE(SUBSTITUTE(SUBSTITUTE(SUBSTITUTE(SUBSTITUTE(LOWER(Registro!$G705),"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",LEN(Registro!$G705))),({1,2,3,4,5,6,7,8,9,10,11,12,13,14,15,16,17,18,19,20,21,22,23,24,25,26,27,28,29,30}-1)*LEN(Registro!$G705)+1,LEN(Registro!$G705)))&amp;"x")+1,20))),"Revisar formato")))</f>
        <v/>
      </c>
      <c r="J705" s="9" t="str">
        <f>IF(AND(Registro!$E705="",Registro!$G705=""),"",IF(NOT(AND(ISNUMBER(I705),ISNUMBER(Registro!$H705))),"",IF(I705&lt;Registro!$H705,"FALTA BOLETOS",IF(I705=Registro!$H705,"CONFORME","DIFERENCIA"))))</f>
        <v/>
      </c>
      <c r="K705" s="11" t="str">
        <f>IF(Registro!$I705="","",IFERROR(SUMPRODUCT(--("0"&amp;TRIM(RIGHT(SUBSTITUTE(TRIM(MID(SUBSTITUTE(SUBSTITUTE(Registro!$I705,";",CHAR(10)),CHAR(10),REPT(" ",LEN(Registro!$I705))),({1,2,3,4,5,6,7,8,9,10,11,12,13,14,15,16,17,18,19,20,21,22,23,24,25,26,27,28,29,30}-1)*LEN(Registro!$I705)+1,LEN(Registro!$I705)))," ",REPT(" ",50)),50)))),"Revisar formato"))</f>
        <v/>
      </c>
      <c r="L705" s="11" t="str">
        <f>IF(Registro!$J705="","",IFERROR(SUMPRODUCT(--("0"&amp;TRIM(RIGHT(SUBSTITUTE(TRIM(MID(SUBSTITUTE(SUBSTITUTE(Registro!$J705,";",CHAR(10)),CHAR(10),REPT(" ",LEN(Registro!$J705))),({1,2,3,4,5,6,7,8,9,10,11,12,13,14,15,16,17,18,19,20,21,22,23,24,25,26,27,28,29,30}-1)*LEN(Registro!$J705)+1,LEN(Registro!$J705)))," ",REPT(" ",50)),50)))),"Revisar formato"))</f>
        <v/>
      </c>
      <c r="M705" s="11" t="str">
        <f>IF(AND(Registro!$H705="",Registro!$I705=""),"",IF(AND(ISTEXT(K705),K705&lt;&gt;""),"Revisar formato",N(Registro!$H705)-N(K705)))</f>
        <v/>
      </c>
      <c r="N705" s="11" t="str">
        <f t="shared" si="32"/>
        <v/>
      </c>
      <c r="O705" s="15" t="str">
        <f>IF(AND(A705=Consulta!$B$3,C705=Consulta!$H$3),B705*10000+ROW(),"")</f>
        <v/>
      </c>
    </row>
    <row r="706" spans="1:15" x14ac:dyDescent="0.25">
      <c r="A706" s="9" t="str">
        <f>IF(Registro!$A706="","",Registro!$A706)</f>
        <v/>
      </c>
      <c r="B706" s="8" t="str">
        <f>IF(Registro!$B706="","",Registro!$B706)</f>
        <v/>
      </c>
      <c r="C706" s="14" t="str">
        <f t="shared" ref="C706:C769" si="33">IF(ISNUMBER(B706),YEAR(B706)*100+MONTH(B706),"")</f>
        <v/>
      </c>
      <c r="D706" s="10" t="str">
        <f>IF(Registro!$E706="","",IF(ISERROR(FIND("x",LOWER(Registro!$E706))),"-",IFERROR(SUMPRODUCT(--("0"&amp;LEFT(TRIM(MID(SUBSTITUTE(SUBSTITUTE(SUBSTITUTE(SUBSTITUTE(SUBSTITUTE(LOWER(Registro!$E706),"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",LEN(Registro!$E706))),({1,2,3,4,5,6,7,8,9,10,11,12,13,14,15,16,17,18,19,20,21,22,23,24,25,26,27,28,29,30}-1)*LEN(Registro!$E706)+1,LEN(Registro!$E706)))&amp;"x")-1))),"Revisar formato")))</f>
        <v/>
      </c>
      <c r="E706" s="11" t="str">
        <f>IF(Registro!$E706="","",IF(ISERROR(FIND("x",LOWER(Registro!$E706))),"-",IFERROR(SUMPRODUCT(--("0"&amp;LEFT(TRIM(MID(SUBSTITUTE(SUBSTITUTE(SUBSTITUTE(SUBSTITUTE(SUBSTITUTE(LOWER(Registro!$E706),"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",LEN(Registro!$E706))),({1,2,3,4,5,6,7,8,9,10,11,12,13,14,15,16,17,18,19,20,21,22,23,24,25,26,27,28,29,30}-1)*LEN(Registro!$E706)+1,LEN(Registro!$E706)))&amp;"x")-1)),--("0"&amp;MID(TRIM(MID(SUBSTITUTE(SUBSTITUTE(SUBSTITUTE(SUBSTITUTE(SUBSTITUTE(LOWER(Registro!$E706),"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",LEN(Registro!$E706))),({1,2,3,4,5,6,7,8,9,10,11,12,13,14,15,16,17,18,19,20,21,22,23,24,25,26,27,28,29,30}-1)*LEN(Registro!$E706)+1,LEN(Registro!$E706)))&amp;"x")+1,20))),"Revisar formato")))</f>
        <v/>
      </c>
      <c r="F706" s="11" t="str">
        <f>IF(Registro!$F706="","",N(Registro!$F706))</f>
        <v/>
      </c>
      <c r="G706" s="11" t="str">
        <f t="shared" ref="G706:G769" si="34">IF(AND(E706="",F706=""),"",IF(OR(E706="",ISNUMBER(E706)),N(E706)-N(F706),E706))</f>
        <v/>
      </c>
      <c r="H706" s="10" t="str">
        <f>IF(Registro!$G706="","",IF(ISERROR(FIND("x",LOWER(Registro!$G706))),"-",IFERROR(SUMPRODUCT(--("0"&amp;LEFT(TRIM(MID(SUBSTITUTE(SUBSTITUTE(SUBSTITUTE(SUBSTITUTE(SUBSTITUTE(LOWER(Registro!$G706),"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",LEN(Registro!$G706))),({1,2,3,4,5,6,7,8,9,10,11,12,13,14,15,16,17,18,19,20,21,22,23,24,25,26,27,28,29,30}-1)*LEN(Registro!$G706)+1,LEN(Registro!$G706))),FIND("x",TRIM(MID(SUBSTITUTE(SUBSTITUTE(SUBSTITUTE(SUBSTITUTE(SUBSTITUTE(LOWER(Registro!$G706),"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",LEN(Registro!$G706))),({1,2,3,4,5,6,7,8,9,10,11,12,13,14,15,16,17,18,19,20,21,22,23,24,25,26,27,28,29,30}-1)*LEN(Registro!$G706)+1,LEN(Registro!$G706)))&amp;"x")-1))),"Revisar formato")))</f>
        <v/>
      </c>
      <c r="I706" s="11" t="str">
        <f>IF(Registro!$G706="","",IF(ISERROR(FIND("x",LOWER(Registro!$G706))),N(Registro!$H706),IFERROR(SUMPRODUCT(--("0"&amp;LEFT(TRIM(MID(SUBSTITUTE(SUBSTITUTE(SUBSTITUTE(SUBSTITUTE(SUBSTITUTE(LOWER(Registro!$G706),"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",LEN(Registro!$G706))),({1,2,3,4,5,6,7,8,9,10,11,12,13,14,15,16,17,18,19,20,21,22,23,24,25,26,27,28,29,30}-1)*LEN(Registro!$G706)+1,LEN(Registro!$G706))),FIND("x",TRIM(MID(SUBSTITUTE(SUBSTITUTE(SUBSTITUTE(SUBSTITUTE(SUBSTITUTE(LOWER(Registro!$G706),"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",LEN(Registro!$G706))),({1,2,3,4,5,6,7,8,9,10,11,12,13,14,15,16,17,18,19,20,21,22,23,24,25,26,27,28,29,30}-1)*LEN(Registro!$G706)+1,LEN(Registro!$G706)))&amp;"x")-1)),--("0"&amp;MID(TRIM(MID(SUBSTITUTE(SUBSTITUTE(SUBSTITUTE(SUBSTITUTE(SUBSTITUTE(LOWER(Registro!$G706),"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",LEN(Registro!$G706))),({1,2,3,4,5,6,7,8,9,10,11,12,13,14,15,16,17,18,19,20,21,22,23,24,25,26,27,28,29,30}-1)*LEN(Registro!$G706)+1,LEN(Registro!$G706))),FIND("x",TRIM(MID(SUBSTITUTE(SUBSTITUTE(SUBSTITUTE(SUBSTITUTE(SUBSTITUTE(LOWER(Registro!$G706),"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",LEN(Registro!$G706))),({1,2,3,4,5,6,7,8,9,10,11,12,13,14,15,16,17,18,19,20,21,22,23,24,25,26,27,28,29,30}-1)*LEN(Registro!$G706)+1,LEN(Registro!$G706)))&amp;"x")+1,20))),"Revisar formato")))</f>
        <v/>
      </c>
      <c r="J706" s="9" t="str">
        <f>IF(AND(Registro!$E706="",Registro!$G706=""),"",IF(NOT(AND(ISNUMBER(I706),ISNUMBER(Registro!$H706))),"",IF(I706&lt;Registro!$H706,"FALTA BOLETOS",IF(I706=Registro!$H706,"CONFORME","DIFERENCIA"))))</f>
        <v/>
      </c>
      <c r="K706" s="11" t="str">
        <f>IF(Registro!$I706="","",IFERROR(SUMPRODUCT(--("0"&amp;TRIM(RIGHT(SUBSTITUTE(TRIM(MID(SUBSTITUTE(SUBSTITUTE(Registro!$I706,";",CHAR(10)),CHAR(10),REPT(" ",LEN(Registro!$I706))),({1,2,3,4,5,6,7,8,9,10,11,12,13,14,15,16,17,18,19,20,21,22,23,24,25,26,27,28,29,30}-1)*LEN(Registro!$I706)+1,LEN(Registro!$I706)))," ",REPT(" ",50)),50)))),"Revisar formato"))</f>
        <v/>
      </c>
      <c r="L706" s="11" t="str">
        <f>IF(Registro!$J706="","",IFERROR(SUMPRODUCT(--("0"&amp;TRIM(RIGHT(SUBSTITUTE(TRIM(MID(SUBSTITUTE(SUBSTITUTE(Registro!$J706,";",CHAR(10)),CHAR(10),REPT(" ",LEN(Registro!$J706))),({1,2,3,4,5,6,7,8,9,10,11,12,13,14,15,16,17,18,19,20,21,22,23,24,25,26,27,28,29,30}-1)*LEN(Registro!$J706)+1,LEN(Registro!$J706)))," ",REPT(" ",50)),50)))),"Revisar formato"))</f>
        <v/>
      </c>
      <c r="M706" s="11" t="str">
        <f>IF(AND(Registro!$H706="",Registro!$I706=""),"",IF(AND(ISTEXT(K706),K706&lt;&gt;""),"Revisar formato",N(Registro!$H706)-N(K706)))</f>
        <v/>
      </c>
      <c r="N706" s="11" t="str">
        <f t="shared" ref="N706:N769" si="35">IF(M706="","",IF(OR(M706="Revisar formato",AND(ISTEXT(L706),L706&lt;&gt;"")),"Revisar formato",M706-N(L706)))</f>
        <v/>
      </c>
      <c r="O706" s="15" t="str">
        <f>IF(AND(A706=Consulta!$B$3,C706=Consulta!$H$3),B706*10000+ROW(),"")</f>
        <v/>
      </c>
    </row>
    <row r="707" spans="1:15" x14ac:dyDescent="0.25">
      <c r="A707" s="9" t="str">
        <f>IF(Registro!$A707="","",Registro!$A707)</f>
        <v/>
      </c>
      <c r="B707" s="8" t="str">
        <f>IF(Registro!$B707="","",Registro!$B707)</f>
        <v/>
      </c>
      <c r="C707" s="14" t="str">
        <f t="shared" si="33"/>
        <v/>
      </c>
      <c r="D707" s="10" t="str">
        <f>IF(Registro!$E707="","",IF(ISERROR(FIND("x",LOWER(Registro!$E707))),"-",IFERROR(SUMPRODUCT(--("0"&amp;LEFT(TRIM(MID(SUBSTITUTE(SUBSTITUTE(SUBSTITUTE(SUBSTITUTE(SUBSTITUTE(LOWER(Registro!$E707),"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",LEN(Registro!$E707))),({1,2,3,4,5,6,7,8,9,10,11,12,13,14,15,16,17,18,19,20,21,22,23,24,25,26,27,28,29,30}-1)*LEN(Registro!$E707)+1,LEN(Registro!$E707)))&amp;"x")-1))),"Revisar formato")))</f>
        <v/>
      </c>
      <c r="E707" s="11" t="str">
        <f>IF(Registro!$E707="","",IF(ISERROR(FIND("x",LOWER(Registro!$E707))),"-",IFERROR(SUMPRODUCT(--("0"&amp;LEFT(TRIM(MID(SUBSTITUTE(SUBSTITUTE(SUBSTITUTE(SUBSTITUTE(SUBSTITUTE(LOWER(Registro!$E707),"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",LEN(Registro!$E707))),({1,2,3,4,5,6,7,8,9,10,11,12,13,14,15,16,17,18,19,20,21,22,23,24,25,26,27,28,29,30}-1)*LEN(Registro!$E707)+1,LEN(Registro!$E707)))&amp;"x")-1)),--("0"&amp;MID(TRIM(MID(SUBSTITUTE(SUBSTITUTE(SUBSTITUTE(SUBSTITUTE(SUBSTITUTE(LOWER(Registro!$E707),"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",LEN(Registro!$E707))),({1,2,3,4,5,6,7,8,9,10,11,12,13,14,15,16,17,18,19,20,21,22,23,24,25,26,27,28,29,30}-1)*LEN(Registro!$E707)+1,LEN(Registro!$E707)))&amp;"x")+1,20))),"Revisar formato")))</f>
        <v/>
      </c>
      <c r="F707" s="11" t="str">
        <f>IF(Registro!$F707="","",N(Registro!$F707))</f>
        <v/>
      </c>
      <c r="G707" s="11" t="str">
        <f t="shared" si="34"/>
        <v/>
      </c>
      <c r="H707" s="10" t="str">
        <f>IF(Registro!$G707="","",IF(ISERROR(FIND("x",LOWER(Registro!$G707))),"-",IFERROR(SUMPRODUCT(--("0"&amp;LEFT(TRIM(MID(SUBSTITUTE(SUBSTITUTE(SUBSTITUTE(SUBSTITUTE(SUBSTITUTE(LOWER(Registro!$G707),"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",LEN(Registro!$G707))),({1,2,3,4,5,6,7,8,9,10,11,12,13,14,15,16,17,18,19,20,21,22,23,24,25,26,27,28,29,30}-1)*LEN(Registro!$G707)+1,LEN(Registro!$G707))),FIND("x",TRIM(MID(SUBSTITUTE(SUBSTITUTE(SUBSTITUTE(SUBSTITUTE(SUBSTITUTE(LOWER(Registro!$G707),"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",LEN(Registro!$G707))),({1,2,3,4,5,6,7,8,9,10,11,12,13,14,15,16,17,18,19,20,21,22,23,24,25,26,27,28,29,30}-1)*LEN(Registro!$G707)+1,LEN(Registro!$G707)))&amp;"x")-1))),"Revisar formato")))</f>
        <v/>
      </c>
      <c r="I707" s="11" t="str">
        <f>IF(Registro!$G707="","",IF(ISERROR(FIND("x",LOWER(Registro!$G707))),N(Registro!$H707),IFERROR(SUMPRODUCT(--("0"&amp;LEFT(TRIM(MID(SUBSTITUTE(SUBSTITUTE(SUBSTITUTE(SUBSTITUTE(SUBSTITUTE(LOWER(Registro!$G707),"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",LEN(Registro!$G707))),({1,2,3,4,5,6,7,8,9,10,11,12,13,14,15,16,17,18,19,20,21,22,23,24,25,26,27,28,29,30}-1)*LEN(Registro!$G707)+1,LEN(Registro!$G707))),FIND("x",TRIM(MID(SUBSTITUTE(SUBSTITUTE(SUBSTITUTE(SUBSTITUTE(SUBSTITUTE(LOWER(Registro!$G707),"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",LEN(Registro!$G707))),({1,2,3,4,5,6,7,8,9,10,11,12,13,14,15,16,17,18,19,20,21,22,23,24,25,26,27,28,29,30}-1)*LEN(Registro!$G707)+1,LEN(Registro!$G707)))&amp;"x")-1)),--("0"&amp;MID(TRIM(MID(SUBSTITUTE(SUBSTITUTE(SUBSTITUTE(SUBSTITUTE(SUBSTITUTE(LOWER(Registro!$G707),"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",LEN(Registro!$G707))),({1,2,3,4,5,6,7,8,9,10,11,12,13,14,15,16,17,18,19,20,21,22,23,24,25,26,27,28,29,30}-1)*LEN(Registro!$G707)+1,LEN(Registro!$G707))),FIND("x",TRIM(MID(SUBSTITUTE(SUBSTITUTE(SUBSTITUTE(SUBSTITUTE(SUBSTITUTE(LOWER(Registro!$G707),"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",LEN(Registro!$G707))),({1,2,3,4,5,6,7,8,9,10,11,12,13,14,15,16,17,18,19,20,21,22,23,24,25,26,27,28,29,30}-1)*LEN(Registro!$G707)+1,LEN(Registro!$G707)))&amp;"x")+1,20))),"Revisar formato")))</f>
        <v/>
      </c>
      <c r="J707" s="9" t="str">
        <f>IF(AND(Registro!$E707="",Registro!$G707=""),"",IF(NOT(AND(ISNUMBER(I707),ISNUMBER(Registro!$H707))),"",IF(I707&lt;Registro!$H707,"FALTA BOLETOS",IF(I707=Registro!$H707,"CONFORME","DIFERENCIA"))))</f>
        <v/>
      </c>
      <c r="K707" s="11" t="str">
        <f>IF(Registro!$I707="","",IFERROR(SUMPRODUCT(--("0"&amp;TRIM(RIGHT(SUBSTITUTE(TRIM(MID(SUBSTITUTE(SUBSTITUTE(Registro!$I707,";",CHAR(10)),CHAR(10),REPT(" ",LEN(Registro!$I707))),({1,2,3,4,5,6,7,8,9,10,11,12,13,14,15,16,17,18,19,20,21,22,23,24,25,26,27,28,29,30}-1)*LEN(Registro!$I707)+1,LEN(Registro!$I707)))," ",REPT(" ",50)),50)))),"Revisar formato"))</f>
        <v/>
      </c>
      <c r="L707" s="11" t="str">
        <f>IF(Registro!$J707="","",IFERROR(SUMPRODUCT(--("0"&amp;TRIM(RIGHT(SUBSTITUTE(TRIM(MID(SUBSTITUTE(SUBSTITUTE(Registro!$J707,";",CHAR(10)),CHAR(10),REPT(" ",LEN(Registro!$J707))),({1,2,3,4,5,6,7,8,9,10,11,12,13,14,15,16,17,18,19,20,21,22,23,24,25,26,27,28,29,30}-1)*LEN(Registro!$J707)+1,LEN(Registro!$J707)))," ",REPT(" ",50)),50)))),"Revisar formato"))</f>
        <v/>
      </c>
      <c r="M707" s="11" t="str">
        <f>IF(AND(Registro!$H707="",Registro!$I707=""),"",IF(AND(ISTEXT(K707),K707&lt;&gt;""),"Revisar formato",N(Registro!$H707)-N(K707)))</f>
        <v/>
      </c>
      <c r="N707" s="11" t="str">
        <f t="shared" si="35"/>
        <v/>
      </c>
      <c r="O707" s="15" t="str">
        <f>IF(AND(A707=Consulta!$B$3,C707=Consulta!$H$3),B707*10000+ROW(),"")</f>
        <v/>
      </c>
    </row>
    <row r="708" spans="1:15" x14ac:dyDescent="0.25">
      <c r="A708" s="9" t="str">
        <f>IF(Registro!$A708="","",Registro!$A708)</f>
        <v/>
      </c>
      <c r="B708" s="8" t="str">
        <f>IF(Registro!$B708="","",Registro!$B708)</f>
        <v/>
      </c>
      <c r="C708" s="14" t="str">
        <f t="shared" si="33"/>
        <v/>
      </c>
      <c r="D708" s="10" t="str">
        <f>IF(Registro!$E708="","",IF(ISERROR(FIND("x",LOWER(Registro!$E708))),"-",IFERROR(SUMPRODUCT(--("0"&amp;LEFT(TRIM(MID(SUBSTITUTE(SUBSTITUTE(SUBSTITUTE(SUBSTITUTE(SUBSTITUTE(LOWER(Registro!$E708),"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",LEN(Registro!$E708))),({1,2,3,4,5,6,7,8,9,10,11,12,13,14,15,16,17,18,19,20,21,22,23,24,25,26,27,28,29,30}-1)*LEN(Registro!$E708)+1,LEN(Registro!$E708)))&amp;"x")-1))),"Revisar formato")))</f>
        <v/>
      </c>
      <c r="E708" s="11" t="str">
        <f>IF(Registro!$E708="","",IF(ISERROR(FIND("x",LOWER(Registro!$E708))),"-",IFERROR(SUMPRODUCT(--("0"&amp;LEFT(TRIM(MID(SUBSTITUTE(SUBSTITUTE(SUBSTITUTE(SUBSTITUTE(SUBSTITUTE(LOWER(Registro!$E708),"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",LEN(Registro!$E708))),({1,2,3,4,5,6,7,8,9,10,11,12,13,14,15,16,17,18,19,20,21,22,23,24,25,26,27,28,29,30}-1)*LEN(Registro!$E708)+1,LEN(Registro!$E708)))&amp;"x")-1)),--("0"&amp;MID(TRIM(MID(SUBSTITUTE(SUBSTITUTE(SUBSTITUTE(SUBSTITUTE(SUBSTITUTE(LOWER(Registro!$E708),"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",LEN(Registro!$E708))),({1,2,3,4,5,6,7,8,9,10,11,12,13,14,15,16,17,18,19,20,21,22,23,24,25,26,27,28,29,30}-1)*LEN(Registro!$E708)+1,LEN(Registro!$E708)))&amp;"x")+1,20))),"Revisar formato")))</f>
        <v/>
      </c>
      <c r="F708" s="11" t="str">
        <f>IF(Registro!$F708="","",N(Registro!$F708))</f>
        <v/>
      </c>
      <c r="G708" s="11" t="str">
        <f t="shared" si="34"/>
        <v/>
      </c>
      <c r="H708" s="10" t="str">
        <f>IF(Registro!$G708="","",IF(ISERROR(FIND("x",LOWER(Registro!$G708))),"-",IFERROR(SUMPRODUCT(--("0"&amp;LEFT(TRIM(MID(SUBSTITUTE(SUBSTITUTE(SUBSTITUTE(SUBSTITUTE(SUBSTITUTE(LOWER(Registro!$G708),"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",LEN(Registro!$G708))),({1,2,3,4,5,6,7,8,9,10,11,12,13,14,15,16,17,18,19,20,21,22,23,24,25,26,27,28,29,30}-1)*LEN(Registro!$G708)+1,LEN(Registro!$G708))),FIND("x",TRIM(MID(SUBSTITUTE(SUBSTITUTE(SUBSTITUTE(SUBSTITUTE(SUBSTITUTE(LOWER(Registro!$G708),"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",LEN(Registro!$G708))),({1,2,3,4,5,6,7,8,9,10,11,12,13,14,15,16,17,18,19,20,21,22,23,24,25,26,27,28,29,30}-1)*LEN(Registro!$G708)+1,LEN(Registro!$G708)))&amp;"x")-1))),"Revisar formato")))</f>
        <v/>
      </c>
      <c r="I708" s="11" t="str">
        <f>IF(Registro!$G708="","",IF(ISERROR(FIND("x",LOWER(Registro!$G708))),N(Registro!$H708),IFERROR(SUMPRODUCT(--("0"&amp;LEFT(TRIM(MID(SUBSTITUTE(SUBSTITUTE(SUBSTITUTE(SUBSTITUTE(SUBSTITUTE(LOWER(Registro!$G708),"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",LEN(Registro!$G708))),({1,2,3,4,5,6,7,8,9,10,11,12,13,14,15,16,17,18,19,20,21,22,23,24,25,26,27,28,29,30}-1)*LEN(Registro!$G708)+1,LEN(Registro!$G708))),FIND("x",TRIM(MID(SUBSTITUTE(SUBSTITUTE(SUBSTITUTE(SUBSTITUTE(SUBSTITUTE(LOWER(Registro!$G708),"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",LEN(Registro!$G708))),({1,2,3,4,5,6,7,8,9,10,11,12,13,14,15,16,17,18,19,20,21,22,23,24,25,26,27,28,29,30}-1)*LEN(Registro!$G708)+1,LEN(Registro!$G708)))&amp;"x")-1)),--("0"&amp;MID(TRIM(MID(SUBSTITUTE(SUBSTITUTE(SUBSTITUTE(SUBSTITUTE(SUBSTITUTE(LOWER(Registro!$G708),"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",LEN(Registro!$G708))),({1,2,3,4,5,6,7,8,9,10,11,12,13,14,15,16,17,18,19,20,21,22,23,24,25,26,27,28,29,30}-1)*LEN(Registro!$G708)+1,LEN(Registro!$G708))),FIND("x",TRIM(MID(SUBSTITUTE(SUBSTITUTE(SUBSTITUTE(SUBSTITUTE(SUBSTITUTE(LOWER(Registro!$G708),"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",LEN(Registro!$G708))),({1,2,3,4,5,6,7,8,9,10,11,12,13,14,15,16,17,18,19,20,21,22,23,24,25,26,27,28,29,30}-1)*LEN(Registro!$G708)+1,LEN(Registro!$G708)))&amp;"x")+1,20))),"Revisar formato")))</f>
        <v/>
      </c>
      <c r="J708" s="9" t="str">
        <f>IF(AND(Registro!$E708="",Registro!$G708=""),"",IF(NOT(AND(ISNUMBER(I708),ISNUMBER(Registro!$H708))),"",IF(I708&lt;Registro!$H708,"FALTA BOLETOS",IF(I708=Registro!$H708,"CONFORME","DIFERENCIA"))))</f>
        <v/>
      </c>
      <c r="K708" s="11" t="str">
        <f>IF(Registro!$I708="","",IFERROR(SUMPRODUCT(--("0"&amp;TRIM(RIGHT(SUBSTITUTE(TRIM(MID(SUBSTITUTE(SUBSTITUTE(Registro!$I708,";",CHAR(10)),CHAR(10),REPT(" ",LEN(Registro!$I708))),({1,2,3,4,5,6,7,8,9,10,11,12,13,14,15,16,17,18,19,20,21,22,23,24,25,26,27,28,29,30}-1)*LEN(Registro!$I708)+1,LEN(Registro!$I708)))," ",REPT(" ",50)),50)))),"Revisar formato"))</f>
        <v/>
      </c>
      <c r="L708" s="11" t="str">
        <f>IF(Registro!$J708="","",IFERROR(SUMPRODUCT(--("0"&amp;TRIM(RIGHT(SUBSTITUTE(TRIM(MID(SUBSTITUTE(SUBSTITUTE(Registro!$J708,";",CHAR(10)),CHAR(10),REPT(" ",LEN(Registro!$J708))),({1,2,3,4,5,6,7,8,9,10,11,12,13,14,15,16,17,18,19,20,21,22,23,24,25,26,27,28,29,30}-1)*LEN(Registro!$J708)+1,LEN(Registro!$J708)))," ",REPT(" ",50)),50)))),"Revisar formato"))</f>
        <v/>
      </c>
      <c r="M708" s="11" t="str">
        <f>IF(AND(Registro!$H708="",Registro!$I708=""),"",IF(AND(ISTEXT(K708),K708&lt;&gt;""),"Revisar formato",N(Registro!$H708)-N(K708)))</f>
        <v/>
      </c>
      <c r="N708" s="11" t="str">
        <f t="shared" si="35"/>
        <v/>
      </c>
      <c r="O708" s="15" t="str">
        <f>IF(AND(A708=Consulta!$B$3,C708=Consulta!$H$3),B708*10000+ROW(),"")</f>
        <v/>
      </c>
    </row>
    <row r="709" spans="1:15" x14ac:dyDescent="0.25">
      <c r="A709" s="9" t="str">
        <f>IF(Registro!$A709="","",Registro!$A709)</f>
        <v/>
      </c>
      <c r="B709" s="8" t="str">
        <f>IF(Registro!$B709="","",Registro!$B709)</f>
        <v/>
      </c>
      <c r="C709" s="14" t="str">
        <f t="shared" si="33"/>
        <v/>
      </c>
      <c r="D709" s="10" t="str">
        <f>IF(Registro!$E709="","",IF(ISERROR(FIND("x",LOWER(Registro!$E709))),"-",IFERROR(SUMPRODUCT(--("0"&amp;LEFT(TRIM(MID(SUBSTITUTE(SUBSTITUTE(SUBSTITUTE(SUBSTITUTE(SUBSTITUTE(LOWER(Registro!$E709),"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",LEN(Registro!$E709))),({1,2,3,4,5,6,7,8,9,10,11,12,13,14,15,16,17,18,19,20,21,22,23,24,25,26,27,28,29,30}-1)*LEN(Registro!$E709)+1,LEN(Registro!$E709)))&amp;"x")-1))),"Revisar formato")))</f>
        <v/>
      </c>
      <c r="E709" s="11" t="str">
        <f>IF(Registro!$E709="","",IF(ISERROR(FIND("x",LOWER(Registro!$E709))),"-",IFERROR(SUMPRODUCT(--("0"&amp;LEFT(TRIM(MID(SUBSTITUTE(SUBSTITUTE(SUBSTITUTE(SUBSTITUTE(SUBSTITUTE(LOWER(Registro!$E709),"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",LEN(Registro!$E709))),({1,2,3,4,5,6,7,8,9,10,11,12,13,14,15,16,17,18,19,20,21,22,23,24,25,26,27,28,29,30}-1)*LEN(Registro!$E709)+1,LEN(Registro!$E709)))&amp;"x")-1)),--("0"&amp;MID(TRIM(MID(SUBSTITUTE(SUBSTITUTE(SUBSTITUTE(SUBSTITUTE(SUBSTITUTE(LOWER(Registro!$E709),"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",LEN(Registro!$E709))),({1,2,3,4,5,6,7,8,9,10,11,12,13,14,15,16,17,18,19,20,21,22,23,24,25,26,27,28,29,30}-1)*LEN(Registro!$E709)+1,LEN(Registro!$E709)))&amp;"x")+1,20))),"Revisar formato")))</f>
        <v/>
      </c>
      <c r="F709" s="11" t="str">
        <f>IF(Registro!$F709="","",N(Registro!$F709))</f>
        <v/>
      </c>
      <c r="G709" s="11" t="str">
        <f t="shared" si="34"/>
        <v/>
      </c>
      <c r="H709" s="10" t="str">
        <f>IF(Registro!$G709="","",IF(ISERROR(FIND("x",LOWER(Registro!$G709))),"-",IFERROR(SUMPRODUCT(--("0"&amp;LEFT(TRIM(MID(SUBSTITUTE(SUBSTITUTE(SUBSTITUTE(SUBSTITUTE(SUBSTITUTE(LOWER(Registro!$G709),"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",LEN(Registro!$G709))),({1,2,3,4,5,6,7,8,9,10,11,12,13,14,15,16,17,18,19,20,21,22,23,24,25,26,27,28,29,30}-1)*LEN(Registro!$G709)+1,LEN(Registro!$G709))),FIND("x",TRIM(MID(SUBSTITUTE(SUBSTITUTE(SUBSTITUTE(SUBSTITUTE(SUBSTITUTE(LOWER(Registro!$G709),"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",LEN(Registro!$G709))),({1,2,3,4,5,6,7,8,9,10,11,12,13,14,15,16,17,18,19,20,21,22,23,24,25,26,27,28,29,30}-1)*LEN(Registro!$G709)+1,LEN(Registro!$G709)))&amp;"x")-1))),"Revisar formato")))</f>
        <v/>
      </c>
      <c r="I709" s="11" t="str">
        <f>IF(Registro!$G709="","",IF(ISERROR(FIND("x",LOWER(Registro!$G709))),N(Registro!$H709),IFERROR(SUMPRODUCT(--("0"&amp;LEFT(TRIM(MID(SUBSTITUTE(SUBSTITUTE(SUBSTITUTE(SUBSTITUTE(SUBSTITUTE(LOWER(Registro!$G709),"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",LEN(Registro!$G709))),({1,2,3,4,5,6,7,8,9,10,11,12,13,14,15,16,17,18,19,20,21,22,23,24,25,26,27,28,29,30}-1)*LEN(Registro!$G709)+1,LEN(Registro!$G709))),FIND("x",TRIM(MID(SUBSTITUTE(SUBSTITUTE(SUBSTITUTE(SUBSTITUTE(SUBSTITUTE(LOWER(Registro!$G709),"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",LEN(Registro!$G709))),({1,2,3,4,5,6,7,8,9,10,11,12,13,14,15,16,17,18,19,20,21,22,23,24,25,26,27,28,29,30}-1)*LEN(Registro!$G709)+1,LEN(Registro!$G709)))&amp;"x")-1)),--("0"&amp;MID(TRIM(MID(SUBSTITUTE(SUBSTITUTE(SUBSTITUTE(SUBSTITUTE(SUBSTITUTE(LOWER(Registro!$G709),"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",LEN(Registro!$G709))),({1,2,3,4,5,6,7,8,9,10,11,12,13,14,15,16,17,18,19,20,21,22,23,24,25,26,27,28,29,30}-1)*LEN(Registro!$G709)+1,LEN(Registro!$G709))),FIND("x",TRIM(MID(SUBSTITUTE(SUBSTITUTE(SUBSTITUTE(SUBSTITUTE(SUBSTITUTE(LOWER(Registro!$G709),"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",LEN(Registro!$G709))),({1,2,3,4,5,6,7,8,9,10,11,12,13,14,15,16,17,18,19,20,21,22,23,24,25,26,27,28,29,30}-1)*LEN(Registro!$G709)+1,LEN(Registro!$G709)))&amp;"x")+1,20))),"Revisar formato")))</f>
        <v/>
      </c>
      <c r="J709" s="9" t="str">
        <f>IF(AND(Registro!$E709="",Registro!$G709=""),"",IF(NOT(AND(ISNUMBER(I709),ISNUMBER(Registro!$H709))),"",IF(I709&lt;Registro!$H709,"FALTA BOLETOS",IF(I709=Registro!$H709,"CONFORME","DIFERENCIA"))))</f>
        <v/>
      </c>
      <c r="K709" s="11" t="str">
        <f>IF(Registro!$I709="","",IFERROR(SUMPRODUCT(--("0"&amp;TRIM(RIGHT(SUBSTITUTE(TRIM(MID(SUBSTITUTE(SUBSTITUTE(Registro!$I709,";",CHAR(10)),CHAR(10),REPT(" ",LEN(Registro!$I709))),({1,2,3,4,5,6,7,8,9,10,11,12,13,14,15,16,17,18,19,20,21,22,23,24,25,26,27,28,29,30}-1)*LEN(Registro!$I709)+1,LEN(Registro!$I709)))," ",REPT(" ",50)),50)))),"Revisar formato"))</f>
        <v/>
      </c>
      <c r="L709" s="11" t="str">
        <f>IF(Registro!$J709="","",IFERROR(SUMPRODUCT(--("0"&amp;TRIM(RIGHT(SUBSTITUTE(TRIM(MID(SUBSTITUTE(SUBSTITUTE(Registro!$J709,";",CHAR(10)),CHAR(10),REPT(" ",LEN(Registro!$J709))),({1,2,3,4,5,6,7,8,9,10,11,12,13,14,15,16,17,18,19,20,21,22,23,24,25,26,27,28,29,30}-1)*LEN(Registro!$J709)+1,LEN(Registro!$J709)))," ",REPT(" ",50)),50)))),"Revisar formato"))</f>
        <v/>
      </c>
      <c r="M709" s="11" t="str">
        <f>IF(AND(Registro!$H709="",Registro!$I709=""),"",IF(AND(ISTEXT(K709),K709&lt;&gt;""),"Revisar formato",N(Registro!$H709)-N(K709)))</f>
        <v/>
      </c>
      <c r="N709" s="11" t="str">
        <f t="shared" si="35"/>
        <v/>
      </c>
      <c r="O709" s="15" t="str">
        <f>IF(AND(A709=Consulta!$B$3,C709=Consulta!$H$3),B709*10000+ROW(),"")</f>
        <v/>
      </c>
    </row>
    <row r="710" spans="1:15" x14ac:dyDescent="0.25">
      <c r="A710" s="9" t="str">
        <f>IF(Registro!$A710="","",Registro!$A710)</f>
        <v/>
      </c>
      <c r="B710" s="8" t="str">
        <f>IF(Registro!$B710="","",Registro!$B710)</f>
        <v/>
      </c>
      <c r="C710" s="14" t="str">
        <f t="shared" si="33"/>
        <v/>
      </c>
      <c r="D710" s="10" t="str">
        <f>IF(Registro!$E710="","",IF(ISERROR(FIND("x",LOWER(Registro!$E710))),"-",IFERROR(SUMPRODUCT(--("0"&amp;LEFT(TRIM(MID(SUBSTITUTE(SUBSTITUTE(SUBSTITUTE(SUBSTITUTE(SUBSTITUTE(LOWER(Registro!$E710),"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",LEN(Registro!$E710))),({1,2,3,4,5,6,7,8,9,10,11,12,13,14,15,16,17,18,19,20,21,22,23,24,25,26,27,28,29,30}-1)*LEN(Registro!$E710)+1,LEN(Registro!$E710)))&amp;"x")-1))),"Revisar formato")))</f>
        <v/>
      </c>
      <c r="E710" s="11" t="str">
        <f>IF(Registro!$E710="","",IF(ISERROR(FIND("x",LOWER(Registro!$E710))),"-",IFERROR(SUMPRODUCT(--("0"&amp;LEFT(TRIM(MID(SUBSTITUTE(SUBSTITUTE(SUBSTITUTE(SUBSTITUTE(SUBSTITUTE(LOWER(Registro!$E710),"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",LEN(Registro!$E710))),({1,2,3,4,5,6,7,8,9,10,11,12,13,14,15,16,17,18,19,20,21,22,23,24,25,26,27,28,29,30}-1)*LEN(Registro!$E710)+1,LEN(Registro!$E710)))&amp;"x")-1)),--("0"&amp;MID(TRIM(MID(SUBSTITUTE(SUBSTITUTE(SUBSTITUTE(SUBSTITUTE(SUBSTITUTE(LOWER(Registro!$E710),"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",LEN(Registro!$E710))),({1,2,3,4,5,6,7,8,9,10,11,12,13,14,15,16,17,18,19,20,21,22,23,24,25,26,27,28,29,30}-1)*LEN(Registro!$E710)+1,LEN(Registro!$E710)))&amp;"x")+1,20))),"Revisar formato")))</f>
        <v/>
      </c>
      <c r="F710" s="11" t="str">
        <f>IF(Registro!$F710="","",N(Registro!$F710))</f>
        <v/>
      </c>
      <c r="G710" s="11" t="str">
        <f t="shared" si="34"/>
        <v/>
      </c>
      <c r="H710" s="10" t="str">
        <f>IF(Registro!$G710="","",IF(ISERROR(FIND("x",LOWER(Registro!$G710))),"-",IFERROR(SUMPRODUCT(--("0"&amp;LEFT(TRIM(MID(SUBSTITUTE(SUBSTITUTE(SUBSTITUTE(SUBSTITUTE(SUBSTITUTE(LOWER(Registro!$G710),"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",LEN(Registro!$G710))),({1,2,3,4,5,6,7,8,9,10,11,12,13,14,15,16,17,18,19,20,21,22,23,24,25,26,27,28,29,30}-1)*LEN(Registro!$G710)+1,LEN(Registro!$G710))),FIND("x",TRIM(MID(SUBSTITUTE(SUBSTITUTE(SUBSTITUTE(SUBSTITUTE(SUBSTITUTE(LOWER(Registro!$G710),"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",LEN(Registro!$G710))),({1,2,3,4,5,6,7,8,9,10,11,12,13,14,15,16,17,18,19,20,21,22,23,24,25,26,27,28,29,30}-1)*LEN(Registro!$G710)+1,LEN(Registro!$G710)))&amp;"x")-1))),"Revisar formato")))</f>
        <v/>
      </c>
      <c r="I710" s="11" t="str">
        <f>IF(Registro!$G710="","",IF(ISERROR(FIND("x",LOWER(Registro!$G710))),N(Registro!$H710),IFERROR(SUMPRODUCT(--("0"&amp;LEFT(TRIM(MID(SUBSTITUTE(SUBSTITUTE(SUBSTITUTE(SUBSTITUTE(SUBSTITUTE(LOWER(Registro!$G710),"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",LEN(Registro!$G710))),({1,2,3,4,5,6,7,8,9,10,11,12,13,14,15,16,17,18,19,20,21,22,23,24,25,26,27,28,29,30}-1)*LEN(Registro!$G710)+1,LEN(Registro!$G710))),FIND("x",TRIM(MID(SUBSTITUTE(SUBSTITUTE(SUBSTITUTE(SUBSTITUTE(SUBSTITUTE(LOWER(Registro!$G710),"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",LEN(Registro!$G710))),({1,2,3,4,5,6,7,8,9,10,11,12,13,14,15,16,17,18,19,20,21,22,23,24,25,26,27,28,29,30}-1)*LEN(Registro!$G710)+1,LEN(Registro!$G710)))&amp;"x")-1)),--("0"&amp;MID(TRIM(MID(SUBSTITUTE(SUBSTITUTE(SUBSTITUTE(SUBSTITUTE(SUBSTITUTE(LOWER(Registro!$G710),"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",LEN(Registro!$G710))),({1,2,3,4,5,6,7,8,9,10,11,12,13,14,15,16,17,18,19,20,21,22,23,24,25,26,27,28,29,30}-1)*LEN(Registro!$G710)+1,LEN(Registro!$G710))),FIND("x",TRIM(MID(SUBSTITUTE(SUBSTITUTE(SUBSTITUTE(SUBSTITUTE(SUBSTITUTE(LOWER(Registro!$G710),"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",LEN(Registro!$G710))),({1,2,3,4,5,6,7,8,9,10,11,12,13,14,15,16,17,18,19,20,21,22,23,24,25,26,27,28,29,30}-1)*LEN(Registro!$G710)+1,LEN(Registro!$G710)))&amp;"x")+1,20))),"Revisar formato")))</f>
        <v/>
      </c>
      <c r="J710" s="9" t="str">
        <f>IF(AND(Registro!$E710="",Registro!$G710=""),"",IF(NOT(AND(ISNUMBER(I710),ISNUMBER(Registro!$H710))),"",IF(I710&lt;Registro!$H710,"FALTA BOLETOS",IF(I710=Registro!$H710,"CONFORME","DIFERENCIA"))))</f>
        <v/>
      </c>
      <c r="K710" s="11" t="str">
        <f>IF(Registro!$I710="","",IFERROR(SUMPRODUCT(--("0"&amp;TRIM(RIGHT(SUBSTITUTE(TRIM(MID(SUBSTITUTE(SUBSTITUTE(Registro!$I710,";",CHAR(10)),CHAR(10),REPT(" ",LEN(Registro!$I710))),({1,2,3,4,5,6,7,8,9,10,11,12,13,14,15,16,17,18,19,20,21,22,23,24,25,26,27,28,29,30}-1)*LEN(Registro!$I710)+1,LEN(Registro!$I710)))," ",REPT(" ",50)),50)))),"Revisar formato"))</f>
        <v/>
      </c>
      <c r="L710" s="11" t="str">
        <f>IF(Registro!$J710="","",IFERROR(SUMPRODUCT(--("0"&amp;TRIM(RIGHT(SUBSTITUTE(TRIM(MID(SUBSTITUTE(SUBSTITUTE(Registro!$J710,";",CHAR(10)),CHAR(10),REPT(" ",LEN(Registro!$J710))),({1,2,3,4,5,6,7,8,9,10,11,12,13,14,15,16,17,18,19,20,21,22,23,24,25,26,27,28,29,30}-1)*LEN(Registro!$J710)+1,LEN(Registro!$J710)))," ",REPT(" ",50)),50)))),"Revisar formato"))</f>
        <v/>
      </c>
      <c r="M710" s="11" t="str">
        <f>IF(AND(Registro!$H710="",Registro!$I710=""),"",IF(AND(ISTEXT(K710),K710&lt;&gt;""),"Revisar formato",N(Registro!$H710)-N(K710)))</f>
        <v/>
      </c>
      <c r="N710" s="11" t="str">
        <f t="shared" si="35"/>
        <v/>
      </c>
      <c r="O710" s="15" t="str">
        <f>IF(AND(A710=Consulta!$B$3,C710=Consulta!$H$3),B710*10000+ROW(),"")</f>
        <v/>
      </c>
    </row>
    <row r="711" spans="1:15" x14ac:dyDescent="0.25">
      <c r="A711" s="9" t="str">
        <f>IF(Registro!$A711="","",Registro!$A711)</f>
        <v/>
      </c>
      <c r="B711" s="8" t="str">
        <f>IF(Registro!$B711="","",Registro!$B711)</f>
        <v/>
      </c>
      <c r="C711" s="14" t="str">
        <f t="shared" si="33"/>
        <v/>
      </c>
      <c r="D711" s="10" t="str">
        <f>IF(Registro!$E711="","",IF(ISERROR(FIND("x",LOWER(Registro!$E711))),"-",IFERROR(SUMPRODUCT(--("0"&amp;LEFT(TRIM(MID(SUBSTITUTE(SUBSTITUTE(SUBSTITUTE(SUBSTITUTE(SUBSTITUTE(LOWER(Registro!$E711),"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",LEN(Registro!$E711))),({1,2,3,4,5,6,7,8,9,10,11,12,13,14,15,16,17,18,19,20,21,22,23,24,25,26,27,28,29,30}-1)*LEN(Registro!$E711)+1,LEN(Registro!$E711)))&amp;"x")-1))),"Revisar formato")))</f>
        <v/>
      </c>
      <c r="E711" s="11" t="str">
        <f>IF(Registro!$E711="","",IF(ISERROR(FIND("x",LOWER(Registro!$E711))),"-",IFERROR(SUMPRODUCT(--("0"&amp;LEFT(TRIM(MID(SUBSTITUTE(SUBSTITUTE(SUBSTITUTE(SUBSTITUTE(SUBSTITUTE(LOWER(Registro!$E711),"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",LEN(Registro!$E711))),({1,2,3,4,5,6,7,8,9,10,11,12,13,14,15,16,17,18,19,20,21,22,23,24,25,26,27,28,29,30}-1)*LEN(Registro!$E711)+1,LEN(Registro!$E711)))&amp;"x")-1)),--("0"&amp;MID(TRIM(MID(SUBSTITUTE(SUBSTITUTE(SUBSTITUTE(SUBSTITUTE(SUBSTITUTE(LOWER(Registro!$E711),"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",LEN(Registro!$E711))),({1,2,3,4,5,6,7,8,9,10,11,12,13,14,15,16,17,18,19,20,21,22,23,24,25,26,27,28,29,30}-1)*LEN(Registro!$E711)+1,LEN(Registro!$E711)))&amp;"x")+1,20))),"Revisar formato")))</f>
        <v/>
      </c>
      <c r="F711" s="11" t="str">
        <f>IF(Registro!$F711="","",N(Registro!$F711))</f>
        <v/>
      </c>
      <c r="G711" s="11" t="str">
        <f t="shared" si="34"/>
        <v/>
      </c>
      <c r="H711" s="10" t="str">
        <f>IF(Registro!$G711="","",IF(ISERROR(FIND("x",LOWER(Registro!$G711))),"-",IFERROR(SUMPRODUCT(--("0"&amp;LEFT(TRIM(MID(SUBSTITUTE(SUBSTITUTE(SUBSTITUTE(SUBSTITUTE(SUBSTITUTE(LOWER(Registro!$G711),"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",LEN(Registro!$G711))),({1,2,3,4,5,6,7,8,9,10,11,12,13,14,15,16,17,18,19,20,21,22,23,24,25,26,27,28,29,30}-1)*LEN(Registro!$G711)+1,LEN(Registro!$G711))),FIND("x",TRIM(MID(SUBSTITUTE(SUBSTITUTE(SUBSTITUTE(SUBSTITUTE(SUBSTITUTE(LOWER(Registro!$G711),"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",LEN(Registro!$G711))),({1,2,3,4,5,6,7,8,9,10,11,12,13,14,15,16,17,18,19,20,21,22,23,24,25,26,27,28,29,30}-1)*LEN(Registro!$G711)+1,LEN(Registro!$G711)))&amp;"x")-1))),"Revisar formato")))</f>
        <v/>
      </c>
      <c r="I711" s="11" t="str">
        <f>IF(Registro!$G711="","",IF(ISERROR(FIND("x",LOWER(Registro!$G711))),N(Registro!$H711),IFERROR(SUMPRODUCT(--("0"&amp;LEFT(TRIM(MID(SUBSTITUTE(SUBSTITUTE(SUBSTITUTE(SUBSTITUTE(SUBSTITUTE(LOWER(Registro!$G711),"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",LEN(Registro!$G711))),({1,2,3,4,5,6,7,8,9,10,11,12,13,14,15,16,17,18,19,20,21,22,23,24,25,26,27,28,29,30}-1)*LEN(Registro!$G711)+1,LEN(Registro!$G711))),FIND("x",TRIM(MID(SUBSTITUTE(SUBSTITUTE(SUBSTITUTE(SUBSTITUTE(SUBSTITUTE(LOWER(Registro!$G711),"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",LEN(Registro!$G711))),({1,2,3,4,5,6,7,8,9,10,11,12,13,14,15,16,17,18,19,20,21,22,23,24,25,26,27,28,29,30}-1)*LEN(Registro!$G711)+1,LEN(Registro!$G711)))&amp;"x")-1)),--("0"&amp;MID(TRIM(MID(SUBSTITUTE(SUBSTITUTE(SUBSTITUTE(SUBSTITUTE(SUBSTITUTE(LOWER(Registro!$G711),"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",LEN(Registro!$G711))),({1,2,3,4,5,6,7,8,9,10,11,12,13,14,15,16,17,18,19,20,21,22,23,24,25,26,27,28,29,30}-1)*LEN(Registro!$G711)+1,LEN(Registro!$G711))),FIND("x",TRIM(MID(SUBSTITUTE(SUBSTITUTE(SUBSTITUTE(SUBSTITUTE(SUBSTITUTE(LOWER(Registro!$G711),"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",LEN(Registro!$G711))),({1,2,3,4,5,6,7,8,9,10,11,12,13,14,15,16,17,18,19,20,21,22,23,24,25,26,27,28,29,30}-1)*LEN(Registro!$G711)+1,LEN(Registro!$G711)))&amp;"x")+1,20))),"Revisar formato")))</f>
        <v/>
      </c>
      <c r="J711" s="9" t="str">
        <f>IF(AND(Registro!$E711="",Registro!$G711=""),"",IF(NOT(AND(ISNUMBER(I711),ISNUMBER(Registro!$H711))),"",IF(I711&lt;Registro!$H711,"FALTA BOLETOS",IF(I711=Registro!$H711,"CONFORME","DIFERENCIA"))))</f>
        <v/>
      </c>
      <c r="K711" s="11" t="str">
        <f>IF(Registro!$I711="","",IFERROR(SUMPRODUCT(--("0"&amp;TRIM(RIGHT(SUBSTITUTE(TRIM(MID(SUBSTITUTE(SUBSTITUTE(Registro!$I711,";",CHAR(10)),CHAR(10),REPT(" ",LEN(Registro!$I711))),({1,2,3,4,5,6,7,8,9,10,11,12,13,14,15,16,17,18,19,20,21,22,23,24,25,26,27,28,29,30}-1)*LEN(Registro!$I711)+1,LEN(Registro!$I711)))," ",REPT(" ",50)),50)))),"Revisar formato"))</f>
        <v/>
      </c>
      <c r="L711" s="11" t="str">
        <f>IF(Registro!$J711="","",IFERROR(SUMPRODUCT(--("0"&amp;TRIM(RIGHT(SUBSTITUTE(TRIM(MID(SUBSTITUTE(SUBSTITUTE(Registro!$J711,";",CHAR(10)),CHAR(10),REPT(" ",LEN(Registro!$J711))),({1,2,3,4,5,6,7,8,9,10,11,12,13,14,15,16,17,18,19,20,21,22,23,24,25,26,27,28,29,30}-1)*LEN(Registro!$J711)+1,LEN(Registro!$J711)))," ",REPT(" ",50)),50)))),"Revisar formato"))</f>
        <v/>
      </c>
      <c r="M711" s="11" t="str">
        <f>IF(AND(Registro!$H711="",Registro!$I711=""),"",IF(AND(ISTEXT(K711),K711&lt;&gt;""),"Revisar formato",N(Registro!$H711)-N(K711)))</f>
        <v/>
      </c>
      <c r="N711" s="11" t="str">
        <f t="shared" si="35"/>
        <v/>
      </c>
      <c r="O711" s="15" t="str">
        <f>IF(AND(A711=Consulta!$B$3,C711=Consulta!$H$3),B711*10000+ROW(),"")</f>
        <v/>
      </c>
    </row>
    <row r="712" spans="1:15" x14ac:dyDescent="0.25">
      <c r="A712" s="9" t="str">
        <f>IF(Registro!$A712="","",Registro!$A712)</f>
        <v/>
      </c>
      <c r="B712" s="8" t="str">
        <f>IF(Registro!$B712="","",Registro!$B712)</f>
        <v/>
      </c>
      <c r="C712" s="14" t="str">
        <f t="shared" si="33"/>
        <v/>
      </c>
      <c r="D712" s="10" t="str">
        <f>IF(Registro!$E712="","",IF(ISERROR(FIND("x",LOWER(Registro!$E712))),"-",IFERROR(SUMPRODUCT(--("0"&amp;LEFT(TRIM(MID(SUBSTITUTE(SUBSTITUTE(SUBSTITUTE(SUBSTITUTE(SUBSTITUTE(LOWER(Registro!$E712),"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",LEN(Registro!$E712))),({1,2,3,4,5,6,7,8,9,10,11,12,13,14,15,16,17,18,19,20,21,22,23,24,25,26,27,28,29,30}-1)*LEN(Registro!$E712)+1,LEN(Registro!$E712)))&amp;"x")-1))),"Revisar formato")))</f>
        <v/>
      </c>
      <c r="E712" s="11" t="str">
        <f>IF(Registro!$E712="","",IF(ISERROR(FIND("x",LOWER(Registro!$E712))),"-",IFERROR(SUMPRODUCT(--("0"&amp;LEFT(TRIM(MID(SUBSTITUTE(SUBSTITUTE(SUBSTITUTE(SUBSTITUTE(SUBSTITUTE(LOWER(Registro!$E712),"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",LEN(Registro!$E712))),({1,2,3,4,5,6,7,8,9,10,11,12,13,14,15,16,17,18,19,20,21,22,23,24,25,26,27,28,29,30}-1)*LEN(Registro!$E712)+1,LEN(Registro!$E712)))&amp;"x")-1)),--("0"&amp;MID(TRIM(MID(SUBSTITUTE(SUBSTITUTE(SUBSTITUTE(SUBSTITUTE(SUBSTITUTE(LOWER(Registro!$E712),"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",LEN(Registro!$E712))),({1,2,3,4,5,6,7,8,9,10,11,12,13,14,15,16,17,18,19,20,21,22,23,24,25,26,27,28,29,30}-1)*LEN(Registro!$E712)+1,LEN(Registro!$E712)))&amp;"x")+1,20))),"Revisar formato")))</f>
        <v/>
      </c>
      <c r="F712" s="11" t="str">
        <f>IF(Registro!$F712="","",N(Registro!$F712))</f>
        <v/>
      </c>
      <c r="G712" s="11" t="str">
        <f t="shared" si="34"/>
        <v/>
      </c>
      <c r="H712" s="10" t="str">
        <f>IF(Registro!$G712="","",IF(ISERROR(FIND("x",LOWER(Registro!$G712))),"-",IFERROR(SUMPRODUCT(--("0"&amp;LEFT(TRIM(MID(SUBSTITUTE(SUBSTITUTE(SUBSTITUTE(SUBSTITUTE(SUBSTITUTE(LOWER(Registro!$G712),"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",LEN(Registro!$G712))),({1,2,3,4,5,6,7,8,9,10,11,12,13,14,15,16,17,18,19,20,21,22,23,24,25,26,27,28,29,30}-1)*LEN(Registro!$G712)+1,LEN(Registro!$G712))),FIND("x",TRIM(MID(SUBSTITUTE(SUBSTITUTE(SUBSTITUTE(SUBSTITUTE(SUBSTITUTE(LOWER(Registro!$G712),"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",LEN(Registro!$G712))),({1,2,3,4,5,6,7,8,9,10,11,12,13,14,15,16,17,18,19,20,21,22,23,24,25,26,27,28,29,30}-1)*LEN(Registro!$G712)+1,LEN(Registro!$G712)))&amp;"x")-1))),"Revisar formato")))</f>
        <v/>
      </c>
      <c r="I712" s="11" t="str">
        <f>IF(Registro!$G712="","",IF(ISERROR(FIND("x",LOWER(Registro!$G712))),N(Registro!$H712),IFERROR(SUMPRODUCT(--("0"&amp;LEFT(TRIM(MID(SUBSTITUTE(SUBSTITUTE(SUBSTITUTE(SUBSTITUTE(SUBSTITUTE(LOWER(Registro!$G712),"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",LEN(Registro!$G712))),({1,2,3,4,5,6,7,8,9,10,11,12,13,14,15,16,17,18,19,20,21,22,23,24,25,26,27,28,29,30}-1)*LEN(Registro!$G712)+1,LEN(Registro!$G712))),FIND("x",TRIM(MID(SUBSTITUTE(SUBSTITUTE(SUBSTITUTE(SUBSTITUTE(SUBSTITUTE(LOWER(Registro!$G712),"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",LEN(Registro!$G712))),({1,2,3,4,5,6,7,8,9,10,11,12,13,14,15,16,17,18,19,20,21,22,23,24,25,26,27,28,29,30}-1)*LEN(Registro!$G712)+1,LEN(Registro!$G712)))&amp;"x")-1)),--("0"&amp;MID(TRIM(MID(SUBSTITUTE(SUBSTITUTE(SUBSTITUTE(SUBSTITUTE(SUBSTITUTE(LOWER(Registro!$G712),"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",LEN(Registro!$G712))),({1,2,3,4,5,6,7,8,9,10,11,12,13,14,15,16,17,18,19,20,21,22,23,24,25,26,27,28,29,30}-1)*LEN(Registro!$G712)+1,LEN(Registro!$G712))),FIND("x",TRIM(MID(SUBSTITUTE(SUBSTITUTE(SUBSTITUTE(SUBSTITUTE(SUBSTITUTE(LOWER(Registro!$G712),"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",LEN(Registro!$G712))),({1,2,3,4,5,6,7,8,9,10,11,12,13,14,15,16,17,18,19,20,21,22,23,24,25,26,27,28,29,30}-1)*LEN(Registro!$G712)+1,LEN(Registro!$G712)))&amp;"x")+1,20))),"Revisar formato")))</f>
        <v/>
      </c>
      <c r="J712" s="9" t="str">
        <f>IF(AND(Registro!$E712="",Registro!$G712=""),"",IF(NOT(AND(ISNUMBER(I712),ISNUMBER(Registro!$H712))),"",IF(I712&lt;Registro!$H712,"FALTA BOLETOS",IF(I712=Registro!$H712,"CONFORME","DIFERENCIA"))))</f>
        <v/>
      </c>
      <c r="K712" s="11" t="str">
        <f>IF(Registro!$I712="","",IFERROR(SUMPRODUCT(--("0"&amp;TRIM(RIGHT(SUBSTITUTE(TRIM(MID(SUBSTITUTE(SUBSTITUTE(Registro!$I712,";",CHAR(10)),CHAR(10),REPT(" ",LEN(Registro!$I712))),({1,2,3,4,5,6,7,8,9,10,11,12,13,14,15,16,17,18,19,20,21,22,23,24,25,26,27,28,29,30}-1)*LEN(Registro!$I712)+1,LEN(Registro!$I712)))," ",REPT(" ",50)),50)))),"Revisar formato"))</f>
        <v/>
      </c>
      <c r="L712" s="11" t="str">
        <f>IF(Registro!$J712="","",IFERROR(SUMPRODUCT(--("0"&amp;TRIM(RIGHT(SUBSTITUTE(TRIM(MID(SUBSTITUTE(SUBSTITUTE(Registro!$J712,";",CHAR(10)),CHAR(10),REPT(" ",LEN(Registro!$J712))),({1,2,3,4,5,6,7,8,9,10,11,12,13,14,15,16,17,18,19,20,21,22,23,24,25,26,27,28,29,30}-1)*LEN(Registro!$J712)+1,LEN(Registro!$J712)))," ",REPT(" ",50)),50)))),"Revisar formato"))</f>
        <v/>
      </c>
      <c r="M712" s="11" t="str">
        <f>IF(AND(Registro!$H712="",Registro!$I712=""),"",IF(AND(ISTEXT(K712),K712&lt;&gt;""),"Revisar formato",N(Registro!$H712)-N(K712)))</f>
        <v/>
      </c>
      <c r="N712" s="11" t="str">
        <f t="shared" si="35"/>
        <v/>
      </c>
      <c r="O712" s="15" t="str">
        <f>IF(AND(A712=Consulta!$B$3,C712=Consulta!$H$3),B712*10000+ROW(),"")</f>
        <v/>
      </c>
    </row>
    <row r="713" spans="1:15" x14ac:dyDescent="0.25">
      <c r="A713" s="9" t="str">
        <f>IF(Registro!$A713="","",Registro!$A713)</f>
        <v/>
      </c>
      <c r="B713" s="8" t="str">
        <f>IF(Registro!$B713="","",Registro!$B713)</f>
        <v/>
      </c>
      <c r="C713" s="14" t="str">
        <f t="shared" si="33"/>
        <v/>
      </c>
      <c r="D713" s="10" t="str">
        <f>IF(Registro!$E713="","",IF(ISERROR(FIND("x",LOWER(Registro!$E713))),"-",IFERROR(SUMPRODUCT(--("0"&amp;LEFT(TRIM(MID(SUBSTITUTE(SUBSTITUTE(SUBSTITUTE(SUBSTITUTE(SUBSTITUTE(LOWER(Registro!$E713),"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",LEN(Registro!$E713))),({1,2,3,4,5,6,7,8,9,10,11,12,13,14,15,16,17,18,19,20,21,22,23,24,25,26,27,28,29,30}-1)*LEN(Registro!$E713)+1,LEN(Registro!$E713)))&amp;"x")-1))),"Revisar formato")))</f>
        <v/>
      </c>
      <c r="E713" s="11" t="str">
        <f>IF(Registro!$E713="","",IF(ISERROR(FIND("x",LOWER(Registro!$E713))),"-",IFERROR(SUMPRODUCT(--("0"&amp;LEFT(TRIM(MID(SUBSTITUTE(SUBSTITUTE(SUBSTITUTE(SUBSTITUTE(SUBSTITUTE(LOWER(Registro!$E713),"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",LEN(Registro!$E713))),({1,2,3,4,5,6,7,8,9,10,11,12,13,14,15,16,17,18,19,20,21,22,23,24,25,26,27,28,29,30}-1)*LEN(Registro!$E713)+1,LEN(Registro!$E713)))&amp;"x")-1)),--("0"&amp;MID(TRIM(MID(SUBSTITUTE(SUBSTITUTE(SUBSTITUTE(SUBSTITUTE(SUBSTITUTE(LOWER(Registro!$E713),"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",LEN(Registro!$E713))),({1,2,3,4,5,6,7,8,9,10,11,12,13,14,15,16,17,18,19,20,21,22,23,24,25,26,27,28,29,30}-1)*LEN(Registro!$E713)+1,LEN(Registro!$E713)))&amp;"x")+1,20))),"Revisar formato")))</f>
        <v/>
      </c>
      <c r="F713" s="11" t="str">
        <f>IF(Registro!$F713="","",N(Registro!$F713))</f>
        <v/>
      </c>
      <c r="G713" s="11" t="str">
        <f t="shared" si="34"/>
        <v/>
      </c>
      <c r="H713" s="10" t="str">
        <f>IF(Registro!$G713="","",IF(ISERROR(FIND("x",LOWER(Registro!$G713))),"-",IFERROR(SUMPRODUCT(--("0"&amp;LEFT(TRIM(MID(SUBSTITUTE(SUBSTITUTE(SUBSTITUTE(SUBSTITUTE(SUBSTITUTE(LOWER(Registro!$G713),"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",LEN(Registro!$G713))),({1,2,3,4,5,6,7,8,9,10,11,12,13,14,15,16,17,18,19,20,21,22,23,24,25,26,27,28,29,30}-1)*LEN(Registro!$G713)+1,LEN(Registro!$G713))),FIND("x",TRIM(MID(SUBSTITUTE(SUBSTITUTE(SUBSTITUTE(SUBSTITUTE(SUBSTITUTE(LOWER(Registro!$G713),"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",LEN(Registro!$G713))),({1,2,3,4,5,6,7,8,9,10,11,12,13,14,15,16,17,18,19,20,21,22,23,24,25,26,27,28,29,30}-1)*LEN(Registro!$G713)+1,LEN(Registro!$G713)))&amp;"x")-1))),"Revisar formato")))</f>
        <v/>
      </c>
      <c r="I713" s="11" t="str">
        <f>IF(Registro!$G713="","",IF(ISERROR(FIND("x",LOWER(Registro!$G713))),N(Registro!$H713),IFERROR(SUMPRODUCT(--("0"&amp;LEFT(TRIM(MID(SUBSTITUTE(SUBSTITUTE(SUBSTITUTE(SUBSTITUTE(SUBSTITUTE(LOWER(Registro!$G713),"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",LEN(Registro!$G713))),({1,2,3,4,5,6,7,8,9,10,11,12,13,14,15,16,17,18,19,20,21,22,23,24,25,26,27,28,29,30}-1)*LEN(Registro!$G713)+1,LEN(Registro!$G713))),FIND("x",TRIM(MID(SUBSTITUTE(SUBSTITUTE(SUBSTITUTE(SUBSTITUTE(SUBSTITUTE(LOWER(Registro!$G713),"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",LEN(Registro!$G713))),({1,2,3,4,5,6,7,8,9,10,11,12,13,14,15,16,17,18,19,20,21,22,23,24,25,26,27,28,29,30}-1)*LEN(Registro!$G713)+1,LEN(Registro!$G713)))&amp;"x")-1)),--("0"&amp;MID(TRIM(MID(SUBSTITUTE(SUBSTITUTE(SUBSTITUTE(SUBSTITUTE(SUBSTITUTE(LOWER(Registro!$G713),"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",LEN(Registro!$G713))),({1,2,3,4,5,6,7,8,9,10,11,12,13,14,15,16,17,18,19,20,21,22,23,24,25,26,27,28,29,30}-1)*LEN(Registro!$G713)+1,LEN(Registro!$G713))),FIND("x",TRIM(MID(SUBSTITUTE(SUBSTITUTE(SUBSTITUTE(SUBSTITUTE(SUBSTITUTE(LOWER(Registro!$G713),"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",LEN(Registro!$G713))),({1,2,3,4,5,6,7,8,9,10,11,12,13,14,15,16,17,18,19,20,21,22,23,24,25,26,27,28,29,30}-1)*LEN(Registro!$G713)+1,LEN(Registro!$G713)))&amp;"x")+1,20))),"Revisar formato")))</f>
        <v/>
      </c>
      <c r="J713" s="9" t="str">
        <f>IF(AND(Registro!$E713="",Registro!$G713=""),"",IF(NOT(AND(ISNUMBER(I713),ISNUMBER(Registro!$H713))),"",IF(I713&lt;Registro!$H713,"FALTA BOLETOS",IF(I713=Registro!$H713,"CONFORME","DIFERENCIA"))))</f>
        <v/>
      </c>
      <c r="K713" s="11" t="str">
        <f>IF(Registro!$I713="","",IFERROR(SUMPRODUCT(--("0"&amp;TRIM(RIGHT(SUBSTITUTE(TRIM(MID(SUBSTITUTE(SUBSTITUTE(Registro!$I713,";",CHAR(10)),CHAR(10),REPT(" ",LEN(Registro!$I713))),({1,2,3,4,5,6,7,8,9,10,11,12,13,14,15,16,17,18,19,20,21,22,23,24,25,26,27,28,29,30}-1)*LEN(Registro!$I713)+1,LEN(Registro!$I713)))," ",REPT(" ",50)),50)))),"Revisar formato"))</f>
        <v/>
      </c>
      <c r="L713" s="11" t="str">
        <f>IF(Registro!$J713="","",IFERROR(SUMPRODUCT(--("0"&amp;TRIM(RIGHT(SUBSTITUTE(TRIM(MID(SUBSTITUTE(SUBSTITUTE(Registro!$J713,";",CHAR(10)),CHAR(10),REPT(" ",LEN(Registro!$J713))),({1,2,3,4,5,6,7,8,9,10,11,12,13,14,15,16,17,18,19,20,21,22,23,24,25,26,27,28,29,30}-1)*LEN(Registro!$J713)+1,LEN(Registro!$J713)))," ",REPT(" ",50)),50)))),"Revisar formato"))</f>
        <v/>
      </c>
      <c r="M713" s="11" t="str">
        <f>IF(AND(Registro!$H713="",Registro!$I713=""),"",IF(AND(ISTEXT(K713),K713&lt;&gt;""),"Revisar formato",N(Registro!$H713)-N(K713)))</f>
        <v/>
      </c>
      <c r="N713" s="11" t="str">
        <f t="shared" si="35"/>
        <v/>
      </c>
      <c r="O713" s="15" t="str">
        <f>IF(AND(A713=Consulta!$B$3,C713=Consulta!$H$3),B713*10000+ROW(),"")</f>
        <v/>
      </c>
    </row>
    <row r="714" spans="1:15" x14ac:dyDescent="0.25">
      <c r="A714" s="9" t="str">
        <f>IF(Registro!$A714="","",Registro!$A714)</f>
        <v/>
      </c>
      <c r="B714" s="8" t="str">
        <f>IF(Registro!$B714="","",Registro!$B714)</f>
        <v/>
      </c>
      <c r="C714" s="14" t="str">
        <f t="shared" si="33"/>
        <v/>
      </c>
      <c r="D714" s="10" t="str">
        <f>IF(Registro!$E714="","",IF(ISERROR(FIND("x",LOWER(Registro!$E714))),"-",IFERROR(SUMPRODUCT(--("0"&amp;LEFT(TRIM(MID(SUBSTITUTE(SUBSTITUTE(SUBSTITUTE(SUBSTITUTE(SUBSTITUTE(LOWER(Registro!$E714),"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",LEN(Registro!$E714))),({1,2,3,4,5,6,7,8,9,10,11,12,13,14,15,16,17,18,19,20,21,22,23,24,25,26,27,28,29,30}-1)*LEN(Registro!$E714)+1,LEN(Registro!$E714)))&amp;"x")-1))),"Revisar formato")))</f>
        <v/>
      </c>
      <c r="E714" s="11" t="str">
        <f>IF(Registro!$E714="","",IF(ISERROR(FIND("x",LOWER(Registro!$E714))),"-",IFERROR(SUMPRODUCT(--("0"&amp;LEFT(TRIM(MID(SUBSTITUTE(SUBSTITUTE(SUBSTITUTE(SUBSTITUTE(SUBSTITUTE(LOWER(Registro!$E714),"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",LEN(Registro!$E714))),({1,2,3,4,5,6,7,8,9,10,11,12,13,14,15,16,17,18,19,20,21,22,23,24,25,26,27,28,29,30}-1)*LEN(Registro!$E714)+1,LEN(Registro!$E714)))&amp;"x")-1)),--("0"&amp;MID(TRIM(MID(SUBSTITUTE(SUBSTITUTE(SUBSTITUTE(SUBSTITUTE(SUBSTITUTE(LOWER(Registro!$E714),"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",LEN(Registro!$E714))),({1,2,3,4,5,6,7,8,9,10,11,12,13,14,15,16,17,18,19,20,21,22,23,24,25,26,27,28,29,30}-1)*LEN(Registro!$E714)+1,LEN(Registro!$E714)))&amp;"x")+1,20))),"Revisar formato")))</f>
        <v/>
      </c>
      <c r="F714" s="11" t="str">
        <f>IF(Registro!$F714="","",N(Registro!$F714))</f>
        <v/>
      </c>
      <c r="G714" s="11" t="str">
        <f t="shared" si="34"/>
        <v/>
      </c>
      <c r="H714" s="10" t="str">
        <f>IF(Registro!$G714="","",IF(ISERROR(FIND("x",LOWER(Registro!$G714))),"-",IFERROR(SUMPRODUCT(--("0"&amp;LEFT(TRIM(MID(SUBSTITUTE(SUBSTITUTE(SUBSTITUTE(SUBSTITUTE(SUBSTITUTE(LOWER(Registro!$G714),"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",LEN(Registro!$G714))),({1,2,3,4,5,6,7,8,9,10,11,12,13,14,15,16,17,18,19,20,21,22,23,24,25,26,27,28,29,30}-1)*LEN(Registro!$G714)+1,LEN(Registro!$G714))),FIND("x",TRIM(MID(SUBSTITUTE(SUBSTITUTE(SUBSTITUTE(SUBSTITUTE(SUBSTITUTE(LOWER(Registro!$G714),"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",LEN(Registro!$G714))),({1,2,3,4,5,6,7,8,9,10,11,12,13,14,15,16,17,18,19,20,21,22,23,24,25,26,27,28,29,30}-1)*LEN(Registro!$G714)+1,LEN(Registro!$G714)))&amp;"x")-1))),"Revisar formato")))</f>
        <v/>
      </c>
      <c r="I714" s="11" t="str">
        <f>IF(Registro!$G714="","",IF(ISERROR(FIND("x",LOWER(Registro!$G714))),N(Registro!$H714),IFERROR(SUMPRODUCT(--("0"&amp;LEFT(TRIM(MID(SUBSTITUTE(SUBSTITUTE(SUBSTITUTE(SUBSTITUTE(SUBSTITUTE(LOWER(Registro!$G714),"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",LEN(Registro!$G714))),({1,2,3,4,5,6,7,8,9,10,11,12,13,14,15,16,17,18,19,20,21,22,23,24,25,26,27,28,29,30}-1)*LEN(Registro!$G714)+1,LEN(Registro!$G714))),FIND("x",TRIM(MID(SUBSTITUTE(SUBSTITUTE(SUBSTITUTE(SUBSTITUTE(SUBSTITUTE(LOWER(Registro!$G714),"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",LEN(Registro!$G714))),({1,2,3,4,5,6,7,8,9,10,11,12,13,14,15,16,17,18,19,20,21,22,23,24,25,26,27,28,29,30}-1)*LEN(Registro!$G714)+1,LEN(Registro!$G714)))&amp;"x")-1)),--("0"&amp;MID(TRIM(MID(SUBSTITUTE(SUBSTITUTE(SUBSTITUTE(SUBSTITUTE(SUBSTITUTE(LOWER(Registro!$G714),"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",LEN(Registro!$G714))),({1,2,3,4,5,6,7,8,9,10,11,12,13,14,15,16,17,18,19,20,21,22,23,24,25,26,27,28,29,30}-1)*LEN(Registro!$G714)+1,LEN(Registro!$G714))),FIND("x",TRIM(MID(SUBSTITUTE(SUBSTITUTE(SUBSTITUTE(SUBSTITUTE(SUBSTITUTE(LOWER(Registro!$G714),"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",LEN(Registro!$G714))),({1,2,3,4,5,6,7,8,9,10,11,12,13,14,15,16,17,18,19,20,21,22,23,24,25,26,27,28,29,30}-1)*LEN(Registro!$G714)+1,LEN(Registro!$G714)))&amp;"x")+1,20))),"Revisar formato")))</f>
        <v/>
      </c>
      <c r="J714" s="9" t="str">
        <f>IF(AND(Registro!$E714="",Registro!$G714=""),"",IF(NOT(AND(ISNUMBER(I714),ISNUMBER(Registro!$H714))),"",IF(I714&lt;Registro!$H714,"FALTA BOLETOS",IF(I714=Registro!$H714,"CONFORME","DIFERENCIA"))))</f>
        <v/>
      </c>
      <c r="K714" s="11" t="str">
        <f>IF(Registro!$I714="","",IFERROR(SUMPRODUCT(--("0"&amp;TRIM(RIGHT(SUBSTITUTE(TRIM(MID(SUBSTITUTE(SUBSTITUTE(Registro!$I714,";",CHAR(10)),CHAR(10),REPT(" ",LEN(Registro!$I714))),({1,2,3,4,5,6,7,8,9,10,11,12,13,14,15,16,17,18,19,20,21,22,23,24,25,26,27,28,29,30}-1)*LEN(Registro!$I714)+1,LEN(Registro!$I714)))," ",REPT(" ",50)),50)))),"Revisar formato"))</f>
        <v/>
      </c>
      <c r="L714" s="11" t="str">
        <f>IF(Registro!$J714="","",IFERROR(SUMPRODUCT(--("0"&amp;TRIM(RIGHT(SUBSTITUTE(TRIM(MID(SUBSTITUTE(SUBSTITUTE(Registro!$J714,";",CHAR(10)),CHAR(10),REPT(" ",LEN(Registro!$J714))),({1,2,3,4,5,6,7,8,9,10,11,12,13,14,15,16,17,18,19,20,21,22,23,24,25,26,27,28,29,30}-1)*LEN(Registro!$J714)+1,LEN(Registro!$J714)))," ",REPT(" ",50)),50)))),"Revisar formato"))</f>
        <v/>
      </c>
      <c r="M714" s="11" t="str">
        <f>IF(AND(Registro!$H714="",Registro!$I714=""),"",IF(AND(ISTEXT(K714),K714&lt;&gt;""),"Revisar formato",N(Registro!$H714)-N(K714)))</f>
        <v/>
      </c>
      <c r="N714" s="11" t="str">
        <f t="shared" si="35"/>
        <v/>
      </c>
      <c r="O714" s="15" t="str">
        <f>IF(AND(A714=Consulta!$B$3,C714=Consulta!$H$3),B714*10000+ROW(),"")</f>
        <v/>
      </c>
    </row>
    <row r="715" spans="1:15" x14ac:dyDescent="0.25">
      <c r="A715" s="9" t="str">
        <f>IF(Registro!$A715="","",Registro!$A715)</f>
        <v/>
      </c>
      <c r="B715" s="8" t="str">
        <f>IF(Registro!$B715="","",Registro!$B715)</f>
        <v/>
      </c>
      <c r="C715" s="14" t="str">
        <f t="shared" si="33"/>
        <v/>
      </c>
      <c r="D715" s="10" t="str">
        <f>IF(Registro!$E715="","",IF(ISERROR(FIND("x",LOWER(Registro!$E715))),"-",IFERROR(SUMPRODUCT(--("0"&amp;LEFT(TRIM(MID(SUBSTITUTE(SUBSTITUTE(SUBSTITUTE(SUBSTITUTE(SUBSTITUTE(LOWER(Registro!$E715),"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",LEN(Registro!$E715))),({1,2,3,4,5,6,7,8,9,10,11,12,13,14,15,16,17,18,19,20,21,22,23,24,25,26,27,28,29,30}-1)*LEN(Registro!$E715)+1,LEN(Registro!$E715)))&amp;"x")-1))),"Revisar formato")))</f>
        <v/>
      </c>
      <c r="E715" s="11" t="str">
        <f>IF(Registro!$E715="","",IF(ISERROR(FIND("x",LOWER(Registro!$E715))),"-",IFERROR(SUMPRODUCT(--("0"&amp;LEFT(TRIM(MID(SUBSTITUTE(SUBSTITUTE(SUBSTITUTE(SUBSTITUTE(SUBSTITUTE(LOWER(Registro!$E715),"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",LEN(Registro!$E715))),({1,2,3,4,5,6,7,8,9,10,11,12,13,14,15,16,17,18,19,20,21,22,23,24,25,26,27,28,29,30}-1)*LEN(Registro!$E715)+1,LEN(Registro!$E715)))&amp;"x")-1)),--("0"&amp;MID(TRIM(MID(SUBSTITUTE(SUBSTITUTE(SUBSTITUTE(SUBSTITUTE(SUBSTITUTE(LOWER(Registro!$E715),"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",LEN(Registro!$E715))),({1,2,3,4,5,6,7,8,9,10,11,12,13,14,15,16,17,18,19,20,21,22,23,24,25,26,27,28,29,30}-1)*LEN(Registro!$E715)+1,LEN(Registro!$E715)))&amp;"x")+1,20))),"Revisar formato")))</f>
        <v/>
      </c>
      <c r="F715" s="11" t="str">
        <f>IF(Registro!$F715="","",N(Registro!$F715))</f>
        <v/>
      </c>
      <c r="G715" s="11" t="str">
        <f t="shared" si="34"/>
        <v/>
      </c>
      <c r="H715" s="10" t="str">
        <f>IF(Registro!$G715="","",IF(ISERROR(FIND("x",LOWER(Registro!$G715))),"-",IFERROR(SUMPRODUCT(--("0"&amp;LEFT(TRIM(MID(SUBSTITUTE(SUBSTITUTE(SUBSTITUTE(SUBSTITUTE(SUBSTITUTE(LOWER(Registro!$G715),"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",LEN(Registro!$G715))),({1,2,3,4,5,6,7,8,9,10,11,12,13,14,15,16,17,18,19,20,21,22,23,24,25,26,27,28,29,30}-1)*LEN(Registro!$G715)+1,LEN(Registro!$G715))),FIND("x",TRIM(MID(SUBSTITUTE(SUBSTITUTE(SUBSTITUTE(SUBSTITUTE(SUBSTITUTE(LOWER(Registro!$G715),"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",LEN(Registro!$G715))),({1,2,3,4,5,6,7,8,9,10,11,12,13,14,15,16,17,18,19,20,21,22,23,24,25,26,27,28,29,30}-1)*LEN(Registro!$G715)+1,LEN(Registro!$G715)))&amp;"x")-1))),"Revisar formato")))</f>
        <v/>
      </c>
      <c r="I715" s="11" t="str">
        <f>IF(Registro!$G715="","",IF(ISERROR(FIND("x",LOWER(Registro!$G715))),N(Registro!$H715),IFERROR(SUMPRODUCT(--("0"&amp;LEFT(TRIM(MID(SUBSTITUTE(SUBSTITUTE(SUBSTITUTE(SUBSTITUTE(SUBSTITUTE(LOWER(Registro!$G715),"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",LEN(Registro!$G715))),({1,2,3,4,5,6,7,8,9,10,11,12,13,14,15,16,17,18,19,20,21,22,23,24,25,26,27,28,29,30}-1)*LEN(Registro!$G715)+1,LEN(Registro!$G715))),FIND("x",TRIM(MID(SUBSTITUTE(SUBSTITUTE(SUBSTITUTE(SUBSTITUTE(SUBSTITUTE(LOWER(Registro!$G715),"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",LEN(Registro!$G715))),({1,2,3,4,5,6,7,8,9,10,11,12,13,14,15,16,17,18,19,20,21,22,23,24,25,26,27,28,29,30}-1)*LEN(Registro!$G715)+1,LEN(Registro!$G715)))&amp;"x")-1)),--("0"&amp;MID(TRIM(MID(SUBSTITUTE(SUBSTITUTE(SUBSTITUTE(SUBSTITUTE(SUBSTITUTE(LOWER(Registro!$G715),"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",LEN(Registro!$G715))),({1,2,3,4,5,6,7,8,9,10,11,12,13,14,15,16,17,18,19,20,21,22,23,24,25,26,27,28,29,30}-1)*LEN(Registro!$G715)+1,LEN(Registro!$G715))),FIND("x",TRIM(MID(SUBSTITUTE(SUBSTITUTE(SUBSTITUTE(SUBSTITUTE(SUBSTITUTE(LOWER(Registro!$G715),"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",LEN(Registro!$G715))),({1,2,3,4,5,6,7,8,9,10,11,12,13,14,15,16,17,18,19,20,21,22,23,24,25,26,27,28,29,30}-1)*LEN(Registro!$G715)+1,LEN(Registro!$G715)))&amp;"x")+1,20))),"Revisar formato")))</f>
        <v/>
      </c>
      <c r="J715" s="9" t="str">
        <f>IF(AND(Registro!$E715="",Registro!$G715=""),"",IF(NOT(AND(ISNUMBER(I715),ISNUMBER(Registro!$H715))),"",IF(I715&lt;Registro!$H715,"FALTA BOLETOS",IF(I715=Registro!$H715,"CONFORME","DIFERENCIA"))))</f>
        <v/>
      </c>
      <c r="K715" s="11" t="str">
        <f>IF(Registro!$I715="","",IFERROR(SUMPRODUCT(--("0"&amp;TRIM(RIGHT(SUBSTITUTE(TRIM(MID(SUBSTITUTE(SUBSTITUTE(Registro!$I715,";",CHAR(10)),CHAR(10),REPT(" ",LEN(Registro!$I715))),({1,2,3,4,5,6,7,8,9,10,11,12,13,14,15,16,17,18,19,20,21,22,23,24,25,26,27,28,29,30}-1)*LEN(Registro!$I715)+1,LEN(Registro!$I715)))," ",REPT(" ",50)),50)))),"Revisar formato"))</f>
        <v/>
      </c>
      <c r="L715" s="11" t="str">
        <f>IF(Registro!$J715="","",IFERROR(SUMPRODUCT(--("0"&amp;TRIM(RIGHT(SUBSTITUTE(TRIM(MID(SUBSTITUTE(SUBSTITUTE(Registro!$J715,";",CHAR(10)),CHAR(10),REPT(" ",LEN(Registro!$J715))),({1,2,3,4,5,6,7,8,9,10,11,12,13,14,15,16,17,18,19,20,21,22,23,24,25,26,27,28,29,30}-1)*LEN(Registro!$J715)+1,LEN(Registro!$J715)))," ",REPT(" ",50)),50)))),"Revisar formato"))</f>
        <v/>
      </c>
      <c r="M715" s="11" t="str">
        <f>IF(AND(Registro!$H715="",Registro!$I715=""),"",IF(AND(ISTEXT(K715),K715&lt;&gt;""),"Revisar formato",N(Registro!$H715)-N(K715)))</f>
        <v/>
      </c>
      <c r="N715" s="11" t="str">
        <f t="shared" si="35"/>
        <v/>
      </c>
      <c r="O715" s="15" t="str">
        <f>IF(AND(A715=Consulta!$B$3,C715=Consulta!$H$3),B715*10000+ROW(),"")</f>
        <v/>
      </c>
    </row>
    <row r="716" spans="1:15" x14ac:dyDescent="0.25">
      <c r="A716" s="9" t="str">
        <f>IF(Registro!$A716="","",Registro!$A716)</f>
        <v/>
      </c>
      <c r="B716" s="8" t="str">
        <f>IF(Registro!$B716="","",Registro!$B716)</f>
        <v/>
      </c>
      <c r="C716" s="14" t="str">
        <f t="shared" si="33"/>
        <v/>
      </c>
      <c r="D716" s="10" t="str">
        <f>IF(Registro!$E716="","",IF(ISERROR(FIND("x",LOWER(Registro!$E716))),"-",IFERROR(SUMPRODUCT(--("0"&amp;LEFT(TRIM(MID(SUBSTITUTE(SUBSTITUTE(SUBSTITUTE(SUBSTITUTE(SUBSTITUTE(LOWER(Registro!$E716),"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",LEN(Registro!$E716))),({1,2,3,4,5,6,7,8,9,10,11,12,13,14,15,16,17,18,19,20,21,22,23,24,25,26,27,28,29,30}-1)*LEN(Registro!$E716)+1,LEN(Registro!$E716)))&amp;"x")-1))),"Revisar formato")))</f>
        <v/>
      </c>
      <c r="E716" s="11" t="str">
        <f>IF(Registro!$E716="","",IF(ISERROR(FIND("x",LOWER(Registro!$E716))),"-",IFERROR(SUMPRODUCT(--("0"&amp;LEFT(TRIM(MID(SUBSTITUTE(SUBSTITUTE(SUBSTITUTE(SUBSTITUTE(SUBSTITUTE(LOWER(Registro!$E716),"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",LEN(Registro!$E716))),({1,2,3,4,5,6,7,8,9,10,11,12,13,14,15,16,17,18,19,20,21,22,23,24,25,26,27,28,29,30}-1)*LEN(Registro!$E716)+1,LEN(Registro!$E716)))&amp;"x")-1)),--("0"&amp;MID(TRIM(MID(SUBSTITUTE(SUBSTITUTE(SUBSTITUTE(SUBSTITUTE(SUBSTITUTE(LOWER(Registro!$E716),"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",LEN(Registro!$E716))),({1,2,3,4,5,6,7,8,9,10,11,12,13,14,15,16,17,18,19,20,21,22,23,24,25,26,27,28,29,30}-1)*LEN(Registro!$E716)+1,LEN(Registro!$E716)))&amp;"x")+1,20))),"Revisar formato")))</f>
        <v/>
      </c>
      <c r="F716" s="11" t="str">
        <f>IF(Registro!$F716="","",N(Registro!$F716))</f>
        <v/>
      </c>
      <c r="G716" s="11" t="str">
        <f t="shared" si="34"/>
        <v/>
      </c>
      <c r="H716" s="10" t="str">
        <f>IF(Registro!$G716="","",IF(ISERROR(FIND("x",LOWER(Registro!$G716))),"-",IFERROR(SUMPRODUCT(--("0"&amp;LEFT(TRIM(MID(SUBSTITUTE(SUBSTITUTE(SUBSTITUTE(SUBSTITUTE(SUBSTITUTE(LOWER(Registro!$G716),"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",LEN(Registro!$G716))),({1,2,3,4,5,6,7,8,9,10,11,12,13,14,15,16,17,18,19,20,21,22,23,24,25,26,27,28,29,30}-1)*LEN(Registro!$G716)+1,LEN(Registro!$G716))),FIND("x",TRIM(MID(SUBSTITUTE(SUBSTITUTE(SUBSTITUTE(SUBSTITUTE(SUBSTITUTE(LOWER(Registro!$G716),"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",LEN(Registro!$G716))),({1,2,3,4,5,6,7,8,9,10,11,12,13,14,15,16,17,18,19,20,21,22,23,24,25,26,27,28,29,30}-1)*LEN(Registro!$G716)+1,LEN(Registro!$G716)))&amp;"x")-1))),"Revisar formato")))</f>
        <v/>
      </c>
      <c r="I716" s="11" t="str">
        <f>IF(Registro!$G716="","",IF(ISERROR(FIND("x",LOWER(Registro!$G716))),N(Registro!$H716),IFERROR(SUMPRODUCT(--("0"&amp;LEFT(TRIM(MID(SUBSTITUTE(SUBSTITUTE(SUBSTITUTE(SUBSTITUTE(SUBSTITUTE(LOWER(Registro!$G716),"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",LEN(Registro!$G716))),({1,2,3,4,5,6,7,8,9,10,11,12,13,14,15,16,17,18,19,20,21,22,23,24,25,26,27,28,29,30}-1)*LEN(Registro!$G716)+1,LEN(Registro!$G716))),FIND("x",TRIM(MID(SUBSTITUTE(SUBSTITUTE(SUBSTITUTE(SUBSTITUTE(SUBSTITUTE(LOWER(Registro!$G716),"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",LEN(Registro!$G716))),({1,2,3,4,5,6,7,8,9,10,11,12,13,14,15,16,17,18,19,20,21,22,23,24,25,26,27,28,29,30}-1)*LEN(Registro!$G716)+1,LEN(Registro!$G716)))&amp;"x")-1)),--("0"&amp;MID(TRIM(MID(SUBSTITUTE(SUBSTITUTE(SUBSTITUTE(SUBSTITUTE(SUBSTITUTE(LOWER(Registro!$G716),"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",LEN(Registro!$G716))),({1,2,3,4,5,6,7,8,9,10,11,12,13,14,15,16,17,18,19,20,21,22,23,24,25,26,27,28,29,30}-1)*LEN(Registro!$G716)+1,LEN(Registro!$G716))),FIND("x",TRIM(MID(SUBSTITUTE(SUBSTITUTE(SUBSTITUTE(SUBSTITUTE(SUBSTITUTE(LOWER(Registro!$G716),"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",LEN(Registro!$G716))),({1,2,3,4,5,6,7,8,9,10,11,12,13,14,15,16,17,18,19,20,21,22,23,24,25,26,27,28,29,30}-1)*LEN(Registro!$G716)+1,LEN(Registro!$G716)))&amp;"x")+1,20))),"Revisar formato")))</f>
        <v/>
      </c>
      <c r="J716" s="9" t="str">
        <f>IF(AND(Registro!$E716="",Registro!$G716=""),"",IF(NOT(AND(ISNUMBER(I716),ISNUMBER(Registro!$H716))),"",IF(I716&lt;Registro!$H716,"FALTA BOLETOS",IF(I716=Registro!$H716,"CONFORME","DIFERENCIA"))))</f>
        <v/>
      </c>
      <c r="K716" s="11" t="str">
        <f>IF(Registro!$I716="","",IFERROR(SUMPRODUCT(--("0"&amp;TRIM(RIGHT(SUBSTITUTE(TRIM(MID(SUBSTITUTE(SUBSTITUTE(Registro!$I716,";",CHAR(10)),CHAR(10),REPT(" ",LEN(Registro!$I716))),({1,2,3,4,5,6,7,8,9,10,11,12,13,14,15,16,17,18,19,20,21,22,23,24,25,26,27,28,29,30}-1)*LEN(Registro!$I716)+1,LEN(Registro!$I716)))," ",REPT(" ",50)),50)))),"Revisar formato"))</f>
        <v/>
      </c>
      <c r="L716" s="11" t="str">
        <f>IF(Registro!$J716="","",IFERROR(SUMPRODUCT(--("0"&amp;TRIM(RIGHT(SUBSTITUTE(TRIM(MID(SUBSTITUTE(SUBSTITUTE(Registro!$J716,";",CHAR(10)),CHAR(10),REPT(" ",LEN(Registro!$J716))),({1,2,3,4,5,6,7,8,9,10,11,12,13,14,15,16,17,18,19,20,21,22,23,24,25,26,27,28,29,30}-1)*LEN(Registro!$J716)+1,LEN(Registro!$J716)))," ",REPT(" ",50)),50)))),"Revisar formato"))</f>
        <v/>
      </c>
      <c r="M716" s="11" t="str">
        <f>IF(AND(Registro!$H716="",Registro!$I716=""),"",IF(AND(ISTEXT(K716),K716&lt;&gt;""),"Revisar formato",N(Registro!$H716)-N(K716)))</f>
        <v/>
      </c>
      <c r="N716" s="11" t="str">
        <f t="shared" si="35"/>
        <v/>
      </c>
      <c r="O716" s="15" t="str">
        <f>IF(AND(A716=Consulta!$B$3,C716=Consulta!$H$3),B716*10000+ROW(),"")</f>
        <v/>
      </c>
    </row>
    <row r="717" spans="1:15" x14ac:dyDescent="0.25">
      <c r="A717" s="9" t="str">
        <f>IF(Registro!$A717="","",Registro!$A717)</f>
        <v/>
      </c>
      <c r="B717" s="8" t="str">
        <f>IF(Registro!$B717="","",Registro!$B717)</f>
        <v/>
      </c>
      <c r="C717" s="14" t="str">
        <f t="shared" si="33"/>
        <v/>
      </c>
      <c r="D717" s="10" t="str">
        <f>IF(Registro!$E717="","",IF(ISERROR(FIND("x",LOWER(Registro!$E717))),"-",IFERROR(SUMPRODUCT(--("0"&amp;LEFT(TRIM(MID(SUBSTITUTE(SUBSTITUTE(SUBSTITUTE(SUBSTITUTE(SUBSTITUTE(LOWER(Registro!$E717),"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",LEN(Registro!$E717))),({1,2,3,4,5,6,7,8,9,10,11,12,13,14,15,16,17,18,19,20,21,22,23,24,25,26,27,28,29,30}-1)*LEN(Registro!$E717)+1,LEN(Registro!$E717)))&amp;"x")-1))),"Revisar formato")))</f>
        <v/>
      </c>
      <c r="E717" s="11" t="str">
        <f>IF(Registro!$E717="","",IF(ISERROR(FIND("x",LOWER(Registro!$E717))),"-",IFERROR(SUMPRODUCT(--("0"&amp;LEFT(TRIM(MID(SUBSTITUTE(SUBSTITUTE(SUBSTITUTE(SUBSTITUTE(SUBSTITUTE(LOWER(Registro!$E717),"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",LEN(Registro!$E717))),({1,2,3,4,5,6,7,8,9,10,11,12,13,14,15,16,17,18,19,20,21,22,23,24,25,26,27,28,29,30}-1)*LEN(Registro!$E717)+1,LEN(Registro!$E717)))&amp;"x")-1)),--("0"&amp;MID(TRIM(MID(SUBSTITUTE(SUBSTITUTE(SUBSTITUTE(SUBSTITUTE(SUBSTITUTE(LOWER(Registro!$E717),"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",LEN(Registro!$E717))),({1,2,3,4,5,6,7,8,9,10,11,12,13,14,15,16,17,18,19,20,21,22,23,24,25,26,27,28,29,30}-1)*LEN(Registro!$E717)+1,LEN(Registro!$E717)))&amp;"x")+1,20))),"Revisar formato")))</f>
        <v/>
      </c>
      <c r="F717" s="11" t="str">
        <f>IF(Registro!$F717="","",N(Registro!$F717))</f>
        <v/>
      </c>
      <c r="G717" s="11" t="str">
        <f t="shared" si="34"/>
        <v/>
      </c>
      <c r="H717" s="10" t="str">
        <f>IF(Registro!$G717="","",IF(ISERROR(FIND("x",LOWER(Registro!$G717))),"-",IFERROR(SUMPRODUCT(--("0"&amp;LEFT(TRIM(MID(SUBSTITUTE(SUBSTITUTE(SUBSTITUTE(SUBSTITUTE(SUBSTITUTE(LOWER(Registro!$G717),"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",LEN(Registro!$G717))),({1,2,3,4,5,6,7,8,9,10,11,12,13,14,15,16,17,18,19,20,21,22,23,24,25,26,27,28,29,30}-1)*LEN(Registro!$G717)+1,LEN(Registro!$G717))),FIND("x",TRIM(MID(SUBSTITUTE(SUBSTITUTE(SUBSTITUTE(SUBSTITUTE(SUBSTITUTE(LOWER(Registro!$G717),"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",LEN(Registro!$G717))),({1,2,3,4,5,6,7,8,9,10,11,12,13,14,15,16,17,18,19,20,21,22,23,24,25,26,27,28,29,30}-1)*LEN(Registro!$G717)+1,LEN(Registro!$G717)))&amp;"x")-1))),"Revisar formato")))</f>
        <v/>
      </c>
      <c r="I717" s="11" t="str">
        <f>IF(Registro!$G717="","",IF(ISERROR(FIND("x",LOWER(Registro!$G717))),N(Registro!$H717),IFERROR(SUMPRODUCT(--("0"&amp;LEFT(TRIM(MID(SUBSTITUTE(SUBSTITUTE(SUBSTITUTE(SUBSTITUTE(SUBSTITUTE(LOWER(Registro!$G717),"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",LEN(Registro!$G717))),({1,2,3,4,5,6,7,8,9,10,11,12,13,14,15,16,17,18,19,20,21,22,23,24,25,26,27,28,29,30}-1)*LEN(Registro!$G717)+1,LEN(Registro!$G717))),FIND("x",TRIM(MID(SUBSTITUTE(SUBSTITUTE(SUBSTITUTE(SUBSTITUTE(SUBSTITUTE(LOWER(Registro!$G717),"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",LEN(Registro!$G717))),({1,2,3,4,5,6,7,8,9,10,11,12,13,14,15,16,17,18,19,20,21,22,23,24,25,26,27,28,29,30}-1)*LEN(Registro!$G717)+1,LEN(Registro!$G717)))&amp;"x")-1)),--("0"&amp;MID(TRIM(MID(SUBSTITUTE(SUBSTITUTE(SUBSTITUTE(SUBSTITUTE(SUBSTITUTE(LOWER(Registro!$G717),"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",LEN(Registro!$G717))),({1,2,3,4,5,6,7,8,9,10,11,12,13,14,15,16,17,18,19,20,21,22,23,24,25,26,27,28,29,30}-1)*LEN(Registro!$G717)+1,LEN(Registro!$G717))),FIND("x",TRIM(MID(SUBSTITUTE(SUBSTITUTE(SUBSTITUTE(SUBSTITUTE(SUBSTITUTE(LOWER(Registro!$G717),"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",LEN(Registro!$G717))),({1,2,3,4,5,6,7,8,9,10,11,12,13,14,15,16,17,18,19,20,21,22,23,24,25,26,27,28,29,30}-1)*LEN(Registro!$G717)+1,LEN(Registro!$G717)))&amp;"x")+1,20))),"Revisar formato")))</f>
        <v/>
      </c>
      <c r="J717" s="9" t="str">
        <f>IF(AND(Registro!$E717="",Registro!$G717=""),"",IF(NOT(AND(ISNUMBER(I717),ISNUMBER(Registro!$H717))),"",IF(I717&lt;Registro!$H717,"FALTA BOLETOS",IF(I717=Registro!$H717,"CONFORME","DIFERENCIA"))))</f>
        <v/>
      </c>
      <c r="K717" s="11" t="str">
        <f>IF(Registro!$I717="","",IFERROR(SUMPRODUCT(--("0"&amp;TRIM(RIGHT(SUBSTITUTE(TRIM(MID(SUBSTITUTE(SUBSTITUTE(Registro!$I717,";",CHAR(10)),CHAR(10),REPT(" ",LEN(Registro!$I717))),({1,2,3,4,5,6,7,8,9,10,11,12,13,14,15,16,17,18,19,20,21,22,23,24,25,26,27,28,29,30}-1)*LEN(Registro!$I717)+1,LEN(Registro!$I717)))," ",REPT(" ",50)),50)))),"Revisar formato"))</f>
        <v/>
      </c>
      <c r="L717" s="11" t="str">
        <f>IF(Registro!$J717="","",IFERROR(SUMPRODUCT(--("0"&amp;TRIM(RIGHT(SUBSTITUTE(TRIM(MID(SUBSTITUTE(SUBSTITUTE(Registro!$J717,";",CHAR(10)),CHAR(10),REPT(" ",LEN(Registro!$J717))),({1,2,3,4,5,6,7,8,9,10,11,12,13,14,15,16,17,18,19,20,21,22,23,24,25,26,27,28,29,30}-1)*LEN(Registro!$J717)+1,LEN(Registro!$J717)))," ",REPT(" ",50)),50)))),"Revisar formato"))</f>
        <v/>
      </c>
      <c r="M717" s="11" t="str">
        <f>IF(AND(Registro!$H717="",Registro!$I717=""),"",IF(AND(ISTEXT(K717),K717&lt;&gt;""),"Revisar formato",N(Registro!$H717)-N(K717)))</f>
        <v/>
      </c>
      <c r="N717" s="11" t="str">
        <f t="shared" si="35"/>
        <v/>
      </c>
      <c r="O717" s="15" t="str">
        <f>IF(AND(A717=Consulta!$B$3,C717=Consulta!$H$3),B717*10000+ROW(),"")</f>
        <v/>
      </c>
    </row>
    <row r="718" spans="1:15" x14ac:dyDescent="0.25">
      <c r="A718" s="9" t="str">
        <f>IF(Registro!$A718="","",Registro!$A718)</f>
        <v/>
      </c>
      <c r="B718" s="8" t="str">
        <f>IF(Registro!$B718="","",Registro!$B718)</f>
        <v/>
      </c>
      <c r="C718" s="14" t="str">
        <f t="shared" si="33"/>
        <v/>
      </c>
      <c r="D718" s="10" t="str">
        <f>IF(Registro!$E718="","",IF(ISERROR(FIND("x",LOWER(Registro!$E718))),"-",IFERROR(SUMPRODUCT(--("0"&amp;LEFT(TRIM(MID(SUBSTITUTE(SUBSTITUTE(SUBSTITUTE(SUBSTITUTE(SUBSTITUTE(LOWER(Registro!$E718),"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",LEN(Registro!$E718))),({1,2,3,4,5,6,7,8,9,10,11,12,13,14,15,16,17,18,19,20,21,22,23,24,25,26,27,28,29,30}-1)*LEN(Registro!$E718)+1,LEN(Registro!$E718)))&amp;"x")-1))),"Revisar formato")))</f>
        <v/>
      </c>
      <c r="E718" s="11" t="str">
        <f>IF(Registro!$E718="","",IF(ISERROR(FIND("x",LOWER(Registro!$E718))),"-",IFERROR(SUMPRODUCT(--("0"&amp;LEFT(TRIM(MID(SUBSTITUTE(SUBSTITUTE(SUBSTITUTE(SUBSTITUTE(SUBSTITUTE(LOWER(Registro!$E718),"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",LEN(Registro!$E718))),({1,2,3,4,5,6,7,8,9,10,11,12,13,14,15,16,17,18,19,20,21,22,23,24,25,26,27,28,29,30}-1)*LEN(Registro!$E718)+1,LEN(Registro!$E718)))&amp;"x")-1)),--("0"&amp;MID(TRIM(MID(SUBSTITUTE(SUBSTITUTE(SUBSTITUTE(SUBSTITUTE(SUBSTITUTE(LOWER(Registro!$E718),"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",LEN(Registro!$E718))),({1,2,3,4,5,6,7,8,9,10,11,12,13,14,15,16,17,18,19,20,21,22,23,24,25,26,27,28,29,30}-1)*LEN(Registro!$E718)+1,LEN(Registro!$E718)))&amp;"x")+1,20))),"Revisar formato")))</f>
        <v/>
      </c>
      <c r="F718" s="11" t="str">
        <f>IF(Registro!$F718="","",N(Registro!$F718))</f>
        <v/>
      </c>
      <c r="G718" s="11" t="str">
        <f t="shared" si="34"/>
        <v/>
      </c>
      <c r="H718" s="10" t="str">
        <f>IF(Registro!$G718="","",IF(ISERROR(FIND("x",LOWER(Registro!$G718))),"-",IFERROR(SUMPRODUCT(--("0"&amp;LEFT(TRIM(MID(SUBSTITUTE(SUBSTITUTE(SUBSTITUTE(SUBSTITUTE(SUBSTITUTE(LOWER(Registro!$G718),"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",LEN(Registro!$G718))),({1,2,3,4,5,6,7,8,9,10,11,12,13,14,15,16,17,18,19,20,21,22,23,24,25,26,27,28,29,30}-1)*LEN(Registro!$G718)+1,LEN(Registro!$G718))),FIND("x",TRIM(MID(SUBSTITUTE(SUBSTITUTE(SUBSTITUTE(SUBSTITUTE(SUBSTITUTE(LOWER(Registro!$G718),"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",LEN(Registro!$G718))),({1,2,3,4,5,6,7,8,9,10,11,12,13,14,15,16,17,18,19,20,21,22,23,24,25,26,27,28,29,30}-1)*LEN(Registro!$G718)+1,LEN(Registro!$G718)))&amp;"x")-1))),"Revisar formato")))</f>
        <v/>
      </c>
      <c r="I718" s="11" t="str">
        <f>IF(Registro!$G718="","",IF(ISERROR(FIND("x",LOWER(Registro!$G718))),N(Registro!$H718),IFERROR(SUMPRODUCT(--("0"&amp;LEFT(TRIM(MID(SUBSTITUTE(SUBSTITUTE(SUBSTITUTE(SUBSTITUTE(SUBSTITUTE(LOWER(Registro!$G718),"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",LEN(Registro!$G718))),({1,2,3,4,5,6,7,8,9,10,11,12,13,14,15,16,17,18,19,20,21,22,23,24,25,26,27,28,29,30}-1)*LEN(Registro!$G718)+1,LEN(Registro!$G718))),FIND("x",TRIM(MID(SUBSTITUTE(SUBSTITUTE(SUBSTITUTE(SUBSTITUTE(SUBSTITUTE(LOWER(Registro!$G718),"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",LEN(Registro!$G718))),({1,2,3,4,5,6,7,8,9,10,11,12,13,14,15,16,17,18,19,20,21,22,23,24,25,26,27,28,29,30}-1)*LEN(Registro!$G718)+1,LEN(Registro!$G718)))&amp;"x")-1)),--("0"&amp;MID(TRIM(MID(SUBSTITUTE(SUBSTITUTE(SUBSTITUTE(SUBSTITUTE(SUBSTITUTE(LOWER(Registro!$G718),"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",LEN(Registro!$G718))),({1,2,3,4,5,6,7,8,9,10,11,12,13,14,15,16,17,18,19,20,21,22,23,24,25,26,27,28,29,30}-1)*LEN(Registro!$G718)+1,LEN(Registro!$G718))),FIND("x",TRIM(MID(SUBSTITUTE(SUBSTITUTE(SUBSTITUTE(SUBSTITUTE(SUBSTITUTE(LOWER(Registro!$G718),"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",LEN(Registro!$G718))),({1,2,3,4,5,6,7,8,9,10,11,12,13,14,15,16,17,18,19,20,21,22,23,24,25,26,27,28,29,30}-1)*LEN(Registro!$G718)+1,LEN(Registro!$G718)))&amp;"x")+1,20))),"Revisar formato")))</f>
        <v/>
      </c>
      <c r="J718" s="9" t="str">
        <f>IF(AND(Registro!$E718="",Registro!$G718=""),"",IF(NOT(AND(ISNUMBER(I718),ISNUMBER(Registro!$H718))),"",IF(I718&lt;Registro!$H718,"FALTA BOLETOS",IF(I718=Registro!$H718,"CONFORME","DIFERENCIA"))))</f>
        <v/>
      </c>
      <c r="K718" s="11" t="str">
        <f>IF(Registro!$I718="","",IFERROR(SUMPRODUCT(--("0"&amp;TRIM(RIGHT(SUBSTITUTE(TRIM(MID(SUBSTITUTE(SUBSTITUTE(Registro!$I718,";",CHAR(10)),CHAR(10),REPT(" ",LEN(Registro!$I718))),({1,2,3,4,5,6,7,8,9,10,11,12,13,14,15,16,17,18,19,20,21,22,23,24,25,26,27,28,29,30}-1)*LEN(Registro!$I718)+1,LEN(Registro!$I718)))," ",REPT(" ",50)),50)))),"Revisar formato"))</f>
        <v/>
      </c>
      <c r="L718" s="11" t="str">
        <f>IF(Registro!$J718="","",IFERROR(SUMPRODUCT(--("0"&amp;TRIM(RIGHT(SUBSTITUTE(TRIM(MID(SUBSTITUTE(SUBSTITUTE(Registro!$J718,";",CHAR(10)),CHAR(10),REPT(" ",LEN(Registro!$J718))),({1,2,3,4,5,6,7,8,9,10,11,12,13,14,15,16,17,18,19,20,21,22,23,24,25,26,27,28,29,30}-1)*LEN(Registro!$J718)+1,LEN(Registro!$J718)))," ",REPT(" ",50)),50)))),"Revisar formato"))</f>
        <v/>
      </c>
      <c r="M718" s="11" t="str">
        <f>IF(AND(Registro!$H718="",Registro!$I718=""),"",IF(AND(ISTEXT(K718),K718&lt;&gt;""),"Revisar formato",N(Registro!$H718)-N(K718)))</f>
        <v/>
      </c>
      <c r="N718" s="11" t="str">
        <f t="shared" si="35"/>
        <v/>
      </c>
      <c r="O718" s="15" t="str">
        <f>IF(AND(A718=Consulta!$B$3,C718=Consulta!$H$3),B718*10000+ROW(),"")</f>
        <v/>
      </c>
    </row>
    <row r="719" spans="1:15" x14ac:dyDescent="0.25">
      <c r="A719" s="9" t="str">
        <f>IF(Registro!$A719="","",Registro!$A719)</f>
        <v/>
      </c>
      <c r="B719" s="8" t="str">
        <f>IF(Registro!$B719="","",Registro!$B719)</f>
        <v/>
      </c>
      <c r="C719" s="14" t="str">
        <f t="shared" si="33"/>
        <v/>
      </c>
      <c r="D719" s="10" t="str">
        <f>IF(Registro!$E719="","",IF(ISERROR(FIND("x",LOWER(Registro!$E719))),"-",IFERROR(SUMPRODUCT(--("0"&amp;LEFT(TRIM(MID(SUBSTITUTE(SUBSTITUTE(SUBSTITUTE(SUBSTITUTE(SUBSTITUTE(LOWER(Registro!$E719),"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",LEN(Registro!$E719))),({1,2,3,4,5,6,7,8,9,10,11,12,13,14,15,16,17,18,19,20,21,22,23,24,25,26,27,28,29,30}-1)*LEN(Registro!$E719)+1,LEN(Registro!$E719)))&amp;"x")-1))),"Revisar formato")))</f>
        <v/>
      </c>
      <c r="E719" s="11" t="str">
        <f>IF(Registro!$E719="","",IF(ISERROR(FIND("x",LOWER(Registro!$E719))),"-",IFERROR(SUMPRODUCT(--("0"&amp;LEFT(TRIM(MID(SUBSTITUTE(SUBSTITUTE(SUBSTITUTE(SUBSTITUTE(SUBSTITUTE(LOWER(Registro!$E719),"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",LEN(Registro!$E719))),({1,2,3,4,5,6,7,8,9,10,11,12,13,14,15,16,17,18,19,20,21,22,23,24,25,26,27,28,29,30}-1)*LEN(Registro!$E719)+1,LEN(Registro!$E719)))&amp;"x")-1)),--("0"&amp;MID(TRIM(MID(SUBSTITUTE(SUBSTITUTE(SUBSTITUTE(SUBSTITUTE(SUBSTITUTE(LOWER(Registro!$E719),"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",LEN(Registro!$E719))),({1,2,3,4,5,6,7,8,9,10,11,12,13,14,15,16,17,18,19,20,21,22,23,24,25,26,27,28,29,30}-1)*LEN(Registro!$E719)+1,LEN(Registro!$E719)))&amp;"x")+1,20))),"Revisar formato")))</f>
        <v/>
      </c>
      <c r="F719" s="11" t="str">
        <f>IF(Registro!$F719="","",N(Registro!$F719))</f>
        <v/>
      </c>
      <c r="G719" s="11" t="str">
        <f t="shared" si="34"/>
        <v/>
      </c>
      <c r="H719" s="10" t="str">
        <f>IF(Registro!$G719="","",IF(ISERROR(FIND("x",LOWER(Registro!$G719))),"-",IFERROR(SUMPRODUCT(--("0"&amp;LEFT(TRIM(MID(SUBSTITUTE(SUBSTITUTE(SUBSTITUTE(SUBSTITUTE(SUBSTITUTE(LOWER(Registro!$G719),"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",LEN(Registro!$G719))),({1,2,3,4,5,6,7,8,9,10,11,12,13,14,15,16,17,18,19,20,21,22,23,24,25,26,27,28,29,30}-1)*LEN(Registro!$G719)+1,LEN(Registro!$G719))),FIND("x",TRIM(MID(SUBSTITUTE(SUBSTITUTE(SUBSTITUTE(SUBSTITUTE(SUBSTITUTE(LOWER(Registro!$G719),"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",LEN(Registro!$G719))),({1,2,3,4,5,6,7,8,9,10,11,12,13,14,15,16,17,18,19,20,21,22,23,24,25,26,27,28,29,30}-1)*LEN(Registro!$G719)+1,LEN(Registro!$G719)))&amp;"x")-1))),"Revisar formato")))</f>
        <v/>
      </c>
      <c r="I719" s="11" t="str">
        <f>IF(Registro!$G719="","",IF(ISERROR(FIND("x",LOWER(Registro!$G719))),N(Registro!$H719),IFERROR(SUMPRODUCT(--("0"&amp;LEFT(TRIM(MID(SUBSTITUTE(SUBSTITUTE(SUBSTITUTE(SUBSTITUTE(SUBSTITUTE(LOWER(Registro!$G719),"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",LEN(Registro!$G719))),({1,2,3,4,5,6,7,8,9,10,11,12,13,14,15,16,17,18,19,20,21,22,23,24,25,26,27,28,29,30}-1)*LEN(Registro!$G719)+1,LEN(Registro!$G719))),FIND("x",TRIM(MID(SUBSTITUTE(SUBSTITUTE(SUBSTITUTE(SUBSTITUTE(SUBSTITUTE(LOWER(Registro!$G719),"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",LEN(Registro!$G719))),({1,2,3,4,5,6,7,8,9,10,11,12,13,14,15,16,17,18,19,20,21,22,23,24,25,26,27,28,29,30}-1)*LEN(Registro!$G719)+1,LEN(Registro!$G719)))&amp;"x")-1)),--("0"&amp;MID(TRIM(MID(SUBSTITUTE(SUBSTITUTE(SUBSTITUTE(SUBSTITUTE(SUBSTITUTE(LOWER(Registro!$G719),"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",LEN(Registro!$G719))),({1,2,3,4,5,6,7,8,9,10,11,12,13,14,15,16,17,18,19,20,21,22,23,24,25,26,27,28,29,30}-1)*LEN(Registro!$G719)+1,LEN(Registro!$G719))),FIND("x",TRIM(MID(SUBSTITUTE(SUBSTITUTE(SUBSTITUTE(SUBSTITUTE(SUBSTITUTE(LOWER(Registro!$G719),"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",LEN(Registro!$G719))),({1,2,3,4,5,6,7,8,9,10,11,12,13,14,15,16,17,18,19,20,21,22,23,24,25,26,27,28,29,30}-1)*LEN(Registro!$G719)+1,LEN(Registro!$G719)))&amp;"x")+1,20))),"Revisar formato")))</f>
        <v/>
      </c>
      <c r="J719" s="9" t="str">
        <f>IF(AND(Registro!$E719="",Registro!$G719=""),"",IF(NOT(AND(ISNUMBER(I719),ISNUMBER(Registro!$H719))),"",IF(I719&lt;Registro!$H719,"FALTA BOLETOS",IF(I719=Registro!$H719,"CONFORME","DIFERENCIA"))))</f>
        <v/>
      </c>
      <c r="K719" s="11" t="str">
        <f>IF(Registro!$I719="","",IFERROR(SUMPRODUCT(--("0"&amp;TRIM(RIGHT(SUBSTITUTE(TRIM(MID(SUBSTITUTE(SUBSTITUTE(Registro!$I719,";",CHAR(10)),CHAR(10),REPT(" ",LEN(Registro!$I719))),({1,2,3,4,5,6,7,8,9,10,11,12,13,14,15,16,17,18,19,20,21,22,23,24,25,26,27,28,29,30}-1)*LEN(Registro!$I719)+1,LEN(Registro!$I719)))," ",REPT(" ",50)),50)))),"Revisar formato"))</f>
        <v/>
      </c>
      <c r="L719" s="11" t="str">
        <f>IF(Registro!$J719="","",IFERROR(SUMPRODUCT(--("0"&amp;TRIM(RIGHT(SUBSTITUTE(TRIM(MID(SUBSTITUTE(SUBSTITUTE(Registro!$J719,";",CHAR(10)),CHAR(10),REPT(" ",LEN(Registro!$J719))),({1,2,3,4,5,6,7,8,9,10,11,12,13,14,15,16,17,18,19,20,21,22,23,24,25,26,27,28,29,30}-1)*LEN(Registro!$J719)+1,LEN(Registro!$J719)))," ",REPT(" ",50)),50)))),"Revisar formato"))</f>
        <v/>
      </c>
      <c r="M719" s="11" t="str">
        <f>IF(AND(Registro!$H719="",Registro!$I719=""),"",IF(AND(ISTEXT(K719),K719&lt;&gt;""),"Revisar formato",N(Registro!$H719)-N(K719)))</f>
        <v/>
      </c>
      <c r="N719" s="11" t="str">
        <f t="shared" si="35"/>
        <v/>
      </c>
      <c r="O719" s="15" t="str">
        <f>IF(AND(A719=Consulta!$B$3,C719=Consulta!$H$3),B719*10000+ROW(),"")</f>
        <v/>
      </c>
    </row>
    <row r="720" spans="1:15" x14ac:dyDescent="0.25">
      <c r="A720" s="9" t="str">
        <f>IF(Registro!$A720="","",Registro!$A720)</f>
        <v/>
      </c>
      <c r="B720" s="8" t="str">
        <f>IF(Registro!$B720="","",Registro!$B720)</f>
        <v/>
      </c>
      <c r="C720" s="14" t="str">
        <f t="shared" si="33"/>
        <v/>
      </c>
      <c r="D720" s="10" t="str">
        <f>IF(Registro!$E720="","",IF(ISERROR(FIND("x",LOWER(Registro!$E720))),"-",IFERROR(SUMPRODUCT(--("0"&amp;LEFT(TRIM(MID(SUBSTITUTE(SUBSTITUTE(SUBSTITUTE(SUBSTITUTE(SUBSTITUTE(LOWER(Registro!$E720),"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",LEN(Registro!$E720))),({1,2,3,4,5,6,7,8,9,10,11,12,13,14,15,16,17,18,19,20,21,22,23,24,25,26,27,28,29,30}-1)*LEN(Registro!$E720)+1,LEN(Registro!$E720)))&amp;"x")-1))),"Revisar formato")))</f>
        <v/>
      </c>
      <c r="E720" s="11" t="str">
        <f>IF(Registro!$E720="","",IF(ISERROR(FIND("x",LOWER(Registro!$E720))),"-",IFERROR(SUMPRODUCT(--("0"&amp;LEFT(TRIM(MID(SUBSTITUTE(SUBSTITUTE(SUBSTITUTE(SUBSTITUTE(SUBSTITUTE(LOWER(Registro!$E720),"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",LEN(Registro!$E720))),({1,2,3,4,5,6,7,8,9,10,11,12,13,14,15,16,17,18,19,20,21,22,23,24,25,26,27,28,29,30}-1)*LEN(Registro!$E720)+1,LEN(Registro!$E720)))&amp;"x")-1)),--("0"&amp;MID(TRIM(MID(SUBSTITUTE(SUBSTITUTE(SUBSTITUTE(SUBSTITUTE(SUBSTITUTE(LOWER(Registro!$E720),"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",LEN(Registro!$E720))),({1,2,3,4,5,6,7,8,9,10,11,12,13,14,15,16,17,18,19,20,21,22,23,24,25,26,27,28,29,30}-1)*LEN(Registro!$E720)+1,LEN(Registro!$E720)))&amp;"x")+1,20))),"Revisar formato")))</f>
        <v/>
      </c>
      <c r="F720" s="11" t="str">
        <f>IF(Registro!$F720="","",N(Registro!$F720))</f>
        <v/>
      </c>
      <c r="G720" s="11" t="str">
        <f t="shared" si="34"/>
        <v/>
      </c>
      <c r="H720" s="10" t="str">
        <f>IF(Registro!$G720="","",IF(ISERROR(FIND("x",LOWER(Registro!$G720))),"-",IFERROR(SUMPRODUCT(--("0"&amp;LEFT(TRIM(MID(SUBSTITUTE(SUBSTITUTE(SUBSTITUTE(SUBSTITUTE(SUBSTITUTE(LOWER(Registro!$G720),"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",LEN(Registro!$G720))),({1,2,3,4,5,6,7,8,9,10,11,12,13,14,15,16,17,18,19,20,21,22,23,24,25,26,27,28,29,30}-1)*LEN(Registro!$G720)+1,LEN(Registro!$G720))),FIND("x",TRIM(MID(SUBSTITUTE(SUBSTITUTE(SUBSTITUTE(SUBSTITUTE(SUBSTITUTE(LOWER(Registro!$G720),"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",LEN(Registro!$G720))),({1,2,3,4,5,6,7,8,9,10,11,12,13,14,15,16,17,18,19,20,21,22,23,24,25,26,27,28,29,30}-1)*LEN(Registro!$G720)+1,LEN(Registro!$G720)))&amp;"x")-1))),"Revisar formato")))</f>
        <v/>
      </c>
      <c r="I720" s="11" t="str">
        <f>IF(Registro!$G720="","",IF(ISERROR(FIND("x",LOWER(Registro!$G720))),N(Registro!$H720),IFERROR(SUMPRODUCT(--("0"&amp;LEFT(TRIM(MID(SUBSTITUTE(SUBSTITUTE(SUBSTITUTE(SUBSTITUTE(SUBSTITUTE(LOWER(Registro!$G720),"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",LEN(Registro!$G720))),({1,2,3,4,5,6,7,8,9,10,11,12,13,14,15,16,17,18,19,20,21,22,23,24,25,26,27,28,29,30}-1)*LEN(Registro!$G720)+1,LEN(Registro!$G720))),FIND("x",TRIM(MID(SUBSTITUTE(SUBSTITUTE(SUBSTITUTE(SUBSTITUTE(SUBSTITUTE(LOWER(Registro!$G720),"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",LEN(Registro!$G720))),({1,2,3,4,5,6,7,8,9,10,11,12,13,14,15,16,17,18,19,20,21,22,23,24,25,26,27,28,29,30}-1)*LEN(Registro!$G720)+1,LEN(Registro!$G720)))&amp;"x")-1)),--("0"&amp;MID(TRIM(MID(SUBSTITUTE(SUBSTITUTE(SUBSTITUTE(SUBSTITUTE(SUBSTITUTE(LOWER(Registro!$G720),"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",LEN(Registro!$G720))),({1,2,3,4,5,6,7,8,9,10,11,12,13,14,15,16,17,18,19,20,21,22,23,24,25,26,27,28,29,30}-1)*LEN(Registro!$G720)+1,LEN(Registro!$G720))),FIND("x",TRIM(MID(SUBSTITUTE(SUBSTITUTE(SUBSTITUTE(SUBSTITUTE(SUBSTITUTE(LOWER(Registro!$G720),"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",LEN(Registro!$G720))),({1,2,3,4,5,6,7,8,9,10,11,12,13,14,15,16,17,18,19,20,21,22,23,24,25,26,27,28,29,30}-1)*LEN(Registro!$G720)+1,LEN(Registro!$G720)))&amp;"x")+1,20))),"Revisar formato")))</f>
        <v/>
      </c>
      <c r="J720" s="9" t="str">
        <f>IF(AND(Registro!$E720="",Registro!$G720=""),"",IF(NOT(AND(ISNUMBER(I720),ISNUMBER(Registro!$H720))),"",IF(I720&lt;Registro!$H720,"FALTA BOLETOS",IF(I720=Registro!$H720,"CONFORME","DIFERENCIA"))))</f>
        <v/>
      </c>
      <c r="K720" s="11" t="str">
        <f>IF(Registro!$I720="","",IFERROR(SUMPRODUCT(--("0"&amp;TRIM(RIGHT(SUBSTITUTE(TRIM(MID(SUBSTITUTE(SUBSTITUTE(Registro!$I720,";",CHAR(10)),CHAR(10),REPT(" ",LEN(Registro!$I720))),({1,2,3,4,5,6,7,8,9,10,11,12,13,14,15,16,17,18,19,20,21,22,23,24,25,26,27,28,29,30}-1)*LEN(Registro!$I720)+1,LEN(Registro!$I720)))," ",REPT(" ",50)),50)))),"Revisar formato"))</f>
        <v/>
      </c>
      <c r="L720" s="11" t="str">
        <f>IF(Registro!$J720="","",IFERROR(SUMPRODUCT(--("0"&amp;TRIM(RIGHT(SUBSTITUTE(TRIM(MID(SUBSTITUTE(SUBSTITUTE(Registro!$J720,";",CHAR(10)),CHAR(10),REPT(" ",LEN(Registro!$J720))),({1,2,3,4,5,6,7,8,9,10,11,12,13,14,15,16,17,18,19,20,21,22,23,24,25,26,27,28,29,30}-1)*LEN(Registro!$J720)+1,LEN(Registro!$J720)))," ",REPT(" ",50)),50)))),"Revisar formato"))</f>
        <v/>
      </c>
      <c r="M720" s="11" t="str">
        <f>IF(AND(Registro!$H720="",Registro!$I720=""),"",IF(AND(ISTEXT(K720),K720&lt;&gt;""),"Revisar formato",N(Registro!$H720)-N(K720)))</f>
        <v/>
      </c>
      <c r="N720" s="11" t="str">
        <f t="shared" si="35"/>
        <v/>
      </c>
      <c r="O720" s="15" t="str">
        <f>IF(AND(A720=Consulta!$B$3,C720=Consulta!$H$3),B720*10000+ROW(),"")</f>
        <v/>
      </c>
    </row>
    <row r="721" spans="1:15" x14ac:dyDescent="0.25">
      <c r="A721" s="9" t="str">
        <f>IF(Registro!$A721="","",Registro!$A721)</f>
        <v/>
      </c>
      <c r="B721" s="8" t="str">
        <f>IF(Registro!$B721="","",Registro!$B721)</f>
        <v/>
      </c>
      <c r="C721" s="14" t="str">
        <f t="shared" si="33"/>
        <v/>
      </c>
      <c r="D721" s="10" t="str">
        <f>IF(Registro!$E721="","",IF(ISERROR(FIND("x",LOWER(Registro!$E721))),"-",IFERROR(SUMPRODUCT(--("0"&amp;LEFT(TRIM(MID(SUBSTITUTE(SUBSTITUTE(SUBSTITUTE(SUBSTITUTE(SUBSTITUTE(LOWER(Registro!$E721),"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",LEN(Registro!$E721))),({1,2,3,4,5,6,7,8,9,10,11,12,13,14,15,16,17,18,19,20,21,22,23,24,25,26,27,28,29,30}-1)*LEN(Registro!$E721)+1,LEN(Registro!$E721)))&amp;"x")-1))),"Revisar formato")))</f>
        <v/>
      </c>
      <c r="E721" s="11" t="str">
        <f>IF(Registro!$E721="","",IF(ISERROR(FIND("x",LOWER(Registro!$E721))),"-",IFERROR(SUMPRODUCT(--("0"&amp;LEFT(TRIM(MID(SUBSTITUTE(SUBSTITUTE(SUBSTITUTE(SUBSTITUTE(SUBSTITUTE(LOWER(Registro!$E721),"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",LEN(Registro!$E721))),({1,2,3,4,5,6,7,8,9,10,11,12,13,14,15,16,17,18,19,20,21,22,23,24,25,26,27,28,29,30}-1)*LEN(Registro!$E721)+1,LEN(Registro!$E721)))&amp;"x")-1)),--("0"&amp;MID(TRIM(MID(SUBSTITUTE(SUBSTITUTE(SUBSTITUTE(SUBSTITUTE(SUBSTITUTE(LOWER(Registro!$E721),"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",LEN(Registro!$E721))),({1,2,3,4,5,6,7,8,9,10,11,12,13,14,15,16,17,18,19,20,21,22,23,24,25,26,27,28,29,30}-1)*LEN(Registro!$E721)+1,LEN(Registro!$E721)))&amp;"x")+1,20))),"Revisar formato")))</f>
        <v/>
      </c>
      <c r="F721" s="11" t="str">
        <f>IF(Registro!$F721="","",N(Registro!$F721))</f>
        <v/>
      </c>
      <c r="G721" s="11" t="str">
        <f t="shared" si="34"/>
        <v/>
      </c>
      <c r="H721" s="10" t="str">
        <f>IF(Registro!$G721="","",IF(ISERROR(FIND("x",LOWER(Registro!$G721))),"-",IFERROR(SUMPRODUCT(--("0"&amp;LEFT(TRIM(MID(SUBSTITUTE(SUBSTITUTE(SUBSTITUTE(SUBSTITUTE(SUBSTITUTE(LOWER(Registro!$G721),"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",LEN(Registro!$G721))),({1,2,3,4,5,6,7,8,9,10,11,12,13,14,15,16,17,18,19,20,21,22,23,24,25,26,27,28,29,30}-1)*LEN(Registro!$G721)+1,LEN(Registro!$G721))),FIND("x",TRIM(MID(SUBSTITUTE(SUBSTITUTE(SUBSTITUTE(SUBSTITUTE(SUBSTITUTE(LOWER(Registro!$G721),"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",LEN(Registro!$G721))),({1,2,3,4,5,6,7,8,9,10,11,12,13,14,15,16,17,18,19,20,21,22,23,24,25,26,27,28,29,30}-1)*LEN(Registro!$G721)+1,LEN(Registro!$G721)))&amp;"x")-1))),"Revisar formato")))</f>
        <v/>
      </c>
      <c r="I721" s="11" t="str">
        <f>IF(Registro!$G721="","",IF(ISERROR(FIND("x",LOWER(Registro!$G721))),N(Registro!$H721),IFERROR(SUMPRODUCT(--("0"&amp;LEFT(TRIM(MID(SUBSTITUTE(SUBSTITUTE(SUBSTITUTE(SUBSTITUTE(SUBSTITUTE(LOWER(Registro!$G721),"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",LEN(Registro!$G721))),({1,2,3,4,5,6,7,8,9,10,11,12,13,14,15,16,17,18,19,20,21,22,23,24,25,26,27,28,29,30}-1)*LEN(Registro!$G721)+1,LEN(Registro!$G721))),FIND("x",TRIM(MID(SUBSTITUTE(SUBSTITUTE(SUBSTITUTE(SUBSTITUTE(SUBSTITUTE(LOWER(Registro!$G721),"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",LEN(Registro!$G721))),({1,2,3,4,5,6,7,8,9,10,11,12,13,14,15,16,17,18,19,20,21,22,23,24,25,26,27,28,29,30}-1)*LEN(Registro!$G721)+1,LEN(Registro!$G721)))&amp;"x")-1)),--("0"&amp;MID(TRIM(MID(SUBSTITUTE(SUBSTITUTE(SUBSTITUTE(SUBSTITUTE(SUBSTITUTE(LOWER(Registro!$G721),"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",LEN(Registro!$G721))),({1,2,3,4,5,6,7,8,9,10,11,12,13,14,15,16,17,18,19,20,21,22,23,24,25,26,27,28,29,30}-1)*LEN(Registro!$G721)+1,LEN(Registro!$G721))),FIND("x",TRIM(MID(SUBSTITUTE(SUBSTITUTE(SUBSTITUTE(SUBSTITUTE(SUBSTITUTE(LOWER(Registro!$G721),"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",LEN(Registro!$G721))),({1,2,3,4,5,6,7,8,9,10,11,12,13,14,15,16,17,18,19,20,21,22,23,24,25,26,27,28,29,30}-1)*LEN(Registro!$G721)+1,LEN(Registro!$G721)))&amp;"x")+1,20))),"Revisar formato")))</f>
        <v/>
      </c>
      <c r="J721" s="9" t="str">
        <f>IF(AND(Registro!$E721="",Registro!$G721=""),"",IF(NOT(AND(ISNUMBER(I721),ISNUMBER(Registro!$H721))),"",IF(I721&lt;Registro!$H721,"FALTA BOLETOS",IF(I721=Registro!$H721,"CONFORME","DIFERENCIA"))))</f>
        <v/>
      </c>
      <c r="K721" s="11" t="str">
        <f>IF(Registro!$I721="","",IFERROR(SUMPRODUCT(--("0"&amp;TRIM(RIGHT(SUBSTITUTE(TRIM(MID(SUBSTITUTE(SUBSTITUTE(Registro!$I721,";",CHAR(10)),CHAR(10),REPT(" ",LEN(Registro!$I721))),({1,2,3,4,5,6,7,8,9,10,11,12,13,14,15,16,17,18,19,20,21,22,23,24,25,26,27,28,29,30}-1)*LEN(Registro!$I721)+1,LEN(Registro!$I721)))," ",REPT(" ",50)),50)))),"Revisar formato"))</f>
        <v/>
      </c>
      <c r="L721" s="11" t="str">
        <f>IF(Registro!$J721="","",IFERROR(SUMPRODUCT(--("0"&amp;TRIM(RIGHT(SUBSTITUTE(TRIM(MID(SUBSTITUTE(SUBSTITUTE(Registro!$J721,";",CHAR(10)),CHAR(10),REPT(" ",LEN(Registro!$J721))),({1,2,3,4,5,6,7,8,9,10,11,12,13,14,15,16,17,18,19,20,21,22,23,24,25,26,27,28,29,30}-1)*LEN(Registro!$J721)+1,LEN(Registro!$J721)))," ",REPT(" ",50)),50)))),"Revisar formato"))</f>
        <v/>
      </c>
      <c r="M721" s="11" t="str">
        <f>IF(AND(Registro!$H721="",Registro!$I721=""),"",IF(AND(ISTEXT(K721),K721&lt;&gt;""),"Revisar formato",N(Registro!$H721)-N(K721)))</f>
        <v/>
      </c>
      <c r="N721" s="11" t="str">
        <f t="shared" si="35"/>
        <v/>
      </c>
      <c r="O721" s="15" t="str">
        <f>IF(AND(A721=Consulta!$B$3,C721=Consulta!$H$3),B721*10000+ROW(),"")</f>
        <v/>
      </c>
    </row>
    <row r="722" spans="1:15" x14ac:dyDescent="0.25">
      <c r="A722" s="9" t="str">
        <f>IF(Registro!$A722="","",Registro!$A722)</f>
        <v/>
      </c>
      <c r="B722" s="8" t="str">
        <f>IF(Registro!$B722="","",Registro!$B722)</f>
        <v/>
      </c>
      <c r="C722" s="14" t="str">
        <f t="shared" si="33"/>
        <v/>
      </c>
      <c r="D722" s="10" t="str">
        <f>IF(Registro!$E722="","",IF(ISERROR(FIND("x",LOWER(Registro!$E722))),"-",IFERROR(SUMPRODUCT(--("0"&amp;LEFT(TRIM(MID(SUBSTITUTE(SUBSTITUTE(SUBSTITUTE(SUBSTITUTE(SUBSTITUTE(LOWER(Registro!$E722),"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",LEN(Registro!$E722))),({1,2,3,4,5,6,7,8,9,10,11,12,13,14,15,16,17,18,19,20,21,22,23,24,25,26,27,28,29,30}-1)*LEN(Registro!$E722)+1,LEN(Registro!$E722)))&amp;"x")-1))),"Revisar formato")))</f>
        <v/>
      </c>
      <c r="E722" s="11" t="str">
        <f>IF(Registro!$E722="","",IF(ISERROR(FIND("x",LOWER(Registro!$E722))),"-",IFERROR(SUMPRODUCT(--("0"&amp;LEFT(TRIM(MID(SUBSTITUTE(SUBSTITUTE(SUBSTITUTE(SUBSTITUTE(SUBSTITUTE(LOWER(Registro!$E722),"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",LEN(Registro!$E722))),({1,2,3,4,5,6,7,8,9,10,11,12,13,14,15,16,17,18,19,20,21,22,23,24,25,26,27,28,29,30}-1)*LEN(Registro!$E722)+1,LEN(Registro!$E722)))&amp;"x")-1)),--("0"&amp;MID(TRIM(MID(SUBSTITUTE(SUBSTITUTE(SUBSTITUTE(SUBSTITUTE(SUBSTITUTE(LOWER(Registro!$E722),"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",LEN(Registro!$E722))),({1,2,3,4,5,6,7,8,9,10,11,12,13,14,15,16,17,18,19,20,21,22,23,24,25,26,27,28,29,30}-1)*LEN(Registro!$E722)+1,LEN(Registro!$E722)))&amp;"x")+1,20))),"Revisar formato")))</f>
        <v/>
      </c>
      <c r="F722" s="11" t="str">
        <f>IF(Registro!$F722="","",N(Registro!$F722))</f>
        <v/>
      </c>
      <c r="G722" s="11" t="str">
        <f t="shared" si="34"/>
        <v/>
      </c>
      <c r="H722" s="10" t="str">
        <f>IF(Registro!$G722="","",IF(ISERROR(FIND("x",LOWER(Registro!$G722))),"-",IFERROR(SUMPRODUCT(--("0"&amp;LEFT(TRIM(MID(SUBSTITUTE(SUBSTITUTE(SUBSTITUTE(SUBSTITUTE(SUBSTITUTE(LOWER(Registro!$G722),"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",LEN(Registro!$G722))),({1,2,3,4,5,6,7,8,9,10,11,12,13,14,15,16,17,18,19,20,21,22,23,24,25,26,27,28,29,30}-1)*LEN(Registro!$G722)+1,LEN(Registro!$G722))),FIND("x",TRIM(MID(SUBSTITUTE(SUBSTITUTE(SUBSTITUTE(SUBSTITUTE(SUBSTITUTE(LOWER(Registro!$G722),"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",LEN(Registro!$G722))),({1,2,3,4,5,6,7,8,9,10,11,12,13,14,15,16,17,18,19,20,21,22,23,24,25,26,27,28,29,30}-1)*LEN(Registro!$G722)+1,LEN(Registro!$G722)))&amp;"x")-1))),"Revisar formato")))</f>
        <v/>
      </c>
      <c r="I722" s="11" t="str">
        <f>IF(Registro!$G722="","",IF(ISERROR(FIND("x",LOWER(Registro!$G722))),N(Registro!$H722),IFERROR(SUMPRODUCT(--("0"&amp;LEFT(TRIM(MID(SUBSTITUTE(SUBSTITUTE(SUBSTITUTE(SUBSTITUTE(SUBSTITUTE(LOWER(Registro!$G722),"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",LEN(Registro!$G722))),({1,2,3,4,5,6,7,8,9,10,11,12,13,14,15,16,17,18,19,20,21,22,23,24,25,26,27,28,29,30}-1)*LEN(Registro!$G722)+1,LEN(Registro!$G722))),FIND("x",TRIM(MID(SUBSTITUTE(SUBSTITUTE(SUBSTITUTE(SUBSTITUTE(SUBSTITUTE(LOWER(Registro!$G722),"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",LEN(Registro!$G722))),({1,2,3,4,5,6,7,8,9,10,11,12,13,14,15,16,17,18,19,20,21,22,23,24,25,26,27,28,29,30}-1)*LEN(Registro!$G722)+1,LEN(Registro!$G722)))&amp;"x")-1)),--("0"&amp;MID(TRIM(MID(SUBSTITUTE(SUBSTITUTE(SUBSTITUTE(SUBSTITUTE(SUBSTITUTE(LOWER(Registro!$G722),"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",LEN(Registro!$G722))),({1,2,3,4,5,6,7,8,9,10,11,12,13,14,15,16,17,18,19,20,21,22,23,24,25,26,27,28,29,30}-1)*LEN(Registro!$G722)+1,LEN(Registro!$G722))),FIND("x",TRIM(MID(SUBSTITUTE(SUBSTITUTE(SUBSTITUTE(SUBSTITUTE(SUBSTITUTE(LOWER(Registro!$G722),"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",LEN(Registro!$G722))),({1,2,3,4,5,6,7,8,9,10,11,12,13,14,15,16,17,18,19,20,21,22,23,24,25,26,27,28,29,30}-1)*LEN(Registro!$G722)+1,LEN(Registro!$G722)))&amp;"x")+1,20))),"Revisar formato")))</f>
        <v/>
      </c>
      <c r="J722" s="9" t="str">
        <f>IF(AND(Registro!$E722="",Registro!$G722=""),"",IF(NOT(AND(ISNUMBER(I722),ISNUMBER(Registro!$H722))),"",IF(I722&lt;Registro!$H722,"FALTA BOLETOS",IF(I722=Registro!$H722,"CONFORME","DIFERENCIA"))))</f>
        <v/>
      </c>
      <c r="K722" s="11" t="str">
        <f>IF(Registro!$I722="","",IFERROR(SUMPRODUCT(--("0"&amp;TRIM(RIGHT(SUBSTITUTE(TRIM(MID(SUBSTITUTE(SUBSTITUTE(Registro!$I722,";",CHAR(10)),CHAR(10),REPT(" ",LEN(Registro!$I722))),({1,2,3,4,5,6,7,8,9,10,11,12,13,14,15,16,17,18,19,20,21,22,23,24,25,26,27,28,29,30}-1)*LEN(Registro!$I722)+1,LEN(Registro!$I722)))," ",REPT(" ",50)),50)))),"Revisar formato"))</f>
        <v/>
      </c>
      <c r="L722" s="11" t="str">
        <f>IF(Registro!$J722="","",IFERROR(SUMPRODUCT(--("0"&amp;TRIM(RIGHT(SUBSTITUTE(TRIM(MID(SUBSTITUTE(SUBSTITUTE(Registro!$J722,";",CHAR(10)),CHAR(10),REPT(" ",LEN(Registro!$J722))),({1,2,3,4,5,6,7,8,9,10,11,12,13,14,15,16,17,18,19,20,21,22,23,24,25,26,27,28,29,30}-1)*LEN(Registro!$J722)+1,LEN(Registro!$J722)))," ",REPT(" ",50)),50)))),"Revisar formato"))</f>
        <v/>
      </c>
      <c r="M722" s="11" t="str">
        <f>IF(AND(Registro!$H722="",Registro!$I722=""),"",IF(AND(ISTEXT(K722),K722&lt;&gt;""),"Revisar formato",N(Registro!$H722)-N(K722)))</f>
        <v/>
      </c>
      <c r="N722" s="11" t="str">
        <f t="shared" si="35"/>
        <v/>
      </c>
      <c r="O722" s="15" t="str">
        <f>IF(AND(A722=Consulta!$B$3,C722=Consulta!$H$3),B722*10000+ROW(),"")</f>
        <v/>
      </c>
    </row>
    <row r="723" spans="1:15" x14ac:dyDescent="0.25">
      <c r="A723" s="9" t="str">
        <f>IF(Registro!$A723="","",Registro!$A723)</f>
        <v/>
      </c>
      <c r="B723" s="8" t="str">
        <f>IF(Registro!$B723="","",Registro!$B723)</f>
        <v/>
      </c>
      <c r="C723" s="14" t="str">
        <f t="shared" si="33"/>
        <v/>
      </c>
      <c r="D723" s="10" t="str">
        <f>IF(Registro!$E723="","",IF(ISERROR(FIND("x",LOWER(Registro!$E723))),"-",IFERROR(SUMPRODUCT(--("0"&amp;LEFT(TRIM(MID(SUBSTITUTE(SUBSTITUTE(SUBSTITUTE(SUBSTITUTE(SUBSTITUTE(LOWER(Registro!$E723),"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",LEN(Registro!$E723))),({1,2,3,4,5,6,7,8,9,10,11,12,13,14,15,16,17,18,19,20,21,22,23,24,25,26,27,28,29,30}-1)*LEN(Registro!$E723)+1,LEN(Registro!$E723)))&amp;"x")-1))),"Revisar formato")))</f>
        <v/>
      </c>
      <c r="E723" s="11" t="str">
        <f>IF(Registro!$E723="","",IF(ISERROR(FIND("x",LOWER(Registro!$E723))),"-",IFERROR(SUMPRODUCT(--("0"&amp;LEFT(TRIM(MID(SUBSTITUTE(SUBSTITUTE(SUBSTITUTE(SUBSTITUTE(SUBSTITUTE(LOWER(Registro!$E723),"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",LEN(Registro!$E723))),({1,2,3,4,5,6,7,8,9,10,11,12,13,14,15,16,17,18,19,20,21,22,23,24,25,26,27,28,29,30}-1)*LEN(Registro!$E723)+1,LEN(Registro!$E723)))&amp;"x")-1)),--("0"&amp;MID(TRIM(MID(SUBSTITUTE(SUBSTITUTE(SUBSTITUTE(SUBSTITUTE(SUBSTITUTE(LOWER(Registro!$E723),"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",LEN(Registro!$E723))),({1,2,3,4,5,6,7,8,9,10,11,12,13,14,15,16,17,18,19,20,21,22,23,24,25,26,27,28,29,30}-1)*LEN(Registro!$E723)+1,LEN(Registro!$E723)))&amp;"x")+1,20))),"Revisar formato")))</f>
        <v/>
      </c>
      <c r="F723" s="11" t="str">
        <f>IF(Registro!$F723="","",N(Registro!$F723))</f>
        <v/>
      </c>
      <c r="G723" s="11" t="str">
        <f t="shared" si="34"/>
        <v/>
      </c>
      <c r="H723" s="10" t="str">
        <f>IF(Registro!$G723="","",IF(ISERROR(FIND("x",LOWER(Registro!$G723))),"-",IFERROR(SUMPRODUCT(--("0"&amp;LEFT(TRIM(MID(SUBSTITUTE(SUBSTITUTE(SUBSTITUTE(SUBSTITUTE(SUBSTITUTE(LOWER(Registro!$G723),"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",LEN(Registro!$G723))),({1,2,3,4,5,6,7,8,9,10,11,12,13,14,15,16,17,18,19,20,21,22,23,24,25,26,27,28,29,30}-1)*LEN(Registro!$G723)+1,LEN(Registro!$G723))),FIND("x",TRIM(MID(SUBSTITUTE(SUBSTITUTE(SUBSTITUTE(SUBSTITUTE(SUBSTITUTE(LOWER(Registro!$G723),"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",LEN(Registro!$G723))),({1,2,3,4,5,6,7,8,9,10,11,12,13,14,15,16,17,18,19,20,21,22,23,24,25,26,27,28,29,30}-1)*LEN(Registro!$G723)+1,LEN(Registro!$G723)))&amp;"x")-1))),"Revisar formato")))</f>
        <v/>
      </c>
      <c r="I723" s="11" t="str">
        <f>IF(Registro!$G723="","",IF(ISERROR(FIND("x",LOWER(Registro!$G723))),N(Registro!$H723),IFERROR(SUMPRODUCT(--("0"&amp;LEFT(TRIM(MID(SUBSTITUTE(SUBSTITUTE(SUBSTITUTE(SUBSTITUTE(SUBSTITUTE(LOWER(Registro!$G723),"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",LEN(Registro!$G723))),({1,2,3,4,5,6,7,8,9,10,11,12,13,14,15,16,17,18,19,20,21,22,23,24,25,26,27,28,29,30}-1)*LEN(Registro!$G723)+1,LEN(Registro!$G723))),FIND("x",TRIM(MID(SUBSTITUTE(SUBSTITUTE(SUBSTITUTE(SUBSTITUTE(SUBSTITUTE(LOWER(Registro!$G723),"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",LEN(Registro!$G723))),({1,2,3,4,5,6,7,8,9,10,11,12,13,14,15,16,17,18,19,20,21,22,23,24,25,26,27,28,29,30}-1)*LEN(Registro!$G723)+1,LEN(Registro!$G723)))&amp;"x")-1)),--("0"&amp;MID(TRIM(MID(SUBSTITUTE(SUBSTITUTE(SUBSTITUTE(SUBSTITUTE(SUBSTITUTE(LOWER(Registro!$G723),"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",LEN(Registro!$G723))),({1,2,3,4,5,6,7,8,9,10,11,12,13,14,15,16,17,18,19,20,21,22,23,24,25,26,27,28,29,30}-1)*LEN(Registro!$G723)+1,LEN(Registro!$G723))),FIND("x",TRIM(MID(SUBSTITUTE(SUBSTITUTE(SUBSTITUTE(SUBSTITUTE(SUBSTITUTE(LOWER(Registro!$G723),"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",LEN(Registro!$G723))),({1,2,3,4,5,6,7,8,9,10,11,12,13,14,15,16,17,18,19,20,21,22,23,24,25,26,27,28,29,30}-1)*LEN(Registro!$G723)+1,LEN(Registro!$G723)))&amp;"x")+1,20))),"Revisar formato")))</f>
        <v/>
      </c>
      <c r="J723" s="9" t="str">
        <f>IF(AND(Registro!$E723="",Registro!$G723=""),"",IF(NOT(AND(ISNUMBER(I723),ISNUMBER(Registro!$H723))),"",IF(I723&lt;Registro!$H723,"FALTA BOLETOS",IF(I723=Registro!$H723,"CONFORME","DIFERENCIA"))))</f>
        <v/>
      </c>
      <c r="K723" s="11" t="str">
        <f>IF(Registro!$I723="","",IFERROR(SUMPRODUCT(--("0"&amp;TRIM(RIGHT(SUBSTITUTE(TRIM(MID(SUBSTITUTE(SUBSTITUTE(Registro!$I723,";",CHAR(10)),CHAR(10),REPT(" ",LEN(Registro!$I723))),({1,2,3,4,5,6,7,8,9,10,11,12,13,14,15,16,17,18,19,20,21,22,23,24,25,26,27,28,29,30}-1)*LEN(Registro!$I723)+1,LEN(Registro!$I723)))," ",REPT(" ",50)),50)))),"Revisar formato"))</f>
        <v/>
      </c>
      <c r="L723" s="11" t="str">
        <f>IF(Registro!$J723="","",IFERROR(SUMPRODUCT(--("0"&amp;TRIM(RIGHT(SUBSTITUTE(TRIM(MID(SUBSTITUTE(SUBSTITUTE(Registro!$J723,";",CHAR(10)),CHAR(10),REPT(" ",LEN(Registro!$J723))),({1,2,3,4,5,6,7,8,9,10,11,12,13,14,15,16,17,18,19,20,21,22,23,24,25,26,27,28,29,30}-1)*LEN(Registro!$J723)+1,LEN(Registro!$J723)))," ",REPT(" ",50)),50)))),"Revisar formato"))</f>
        <v/>
      </c>
      <c r="M723" s="11" t="str">
        <f>IF(AND(Registro!$H723="",Registro!$I723=""),"",IF(AND(ISTEXT(K723),K723&lt;&gt;""),"Revisar formato",N(Registro!$H723)-N(K723)))</f>
        <v/>
      </c>
      <c r="N723" s="11" t="str">
        <f t="shared" si="35"/>
        <v/>
      </c>
      <c r="O723" s="15" t="str">
        <f>IF(AND(A723=Consulta!$B$3,C723=Consulta!$H$3),B723*10000+ROW(),"")</f>
        <v/>
      </c>
    </row>
    <row r="724" spans="1:15" x14ac:dyDescent="0.25">
      <c r="A724" s="9" t="str">
        <f>IF(Registro!$A724="","",Registro!$A724)</f>
        <v/>
      </c>
      <c r="B724" s="8" t="str">
        <f>IF(Registro!$B724="","",Registro!$B724)</f>
        <v/>
      </c>
      <c r="C724" s="14" t="str">
        <f t="shared" si="33"/>
        <v/>
      </c>
      <c r="D724" s="10" t="str">
        <f>IF(Registro!$E724="","",IF(ISERROR(FIND("x",LOWER(Registro!$E724))),"-",IFERROR(SUMPRODUCT(--("0"&amp;LEFT(TRIM(MID(SUBSTITUTE(SUBSTITUTE(SUBSTITUTE(SUBSTITUTE(SUBSTITUTE(LOWER(Registro!$E724),"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",LEN(Registro!$E724))),({1,2,3,4,5,6,7,8,9,10,11,12,13,14,15,16,17,18,19,20,21,22,23,24,25,26,27,28,29,30}-1)*LEN(Registro!$E724)+1,LEN(Registro!$E724)))&amp;"x")-1))),"Revisar formato")))</f>
        <v/>
      </c>
      <c r="E724" s="11" t="str">
        <f>IF(Registro!$E724="","",IF(ISERROR(FIND("x",LOWER(Registro!$E724))),"-",IFERROR(SUMPRODUCT(--("0"&amp;LEFT(TRIM(MID(SUBSTITUTE(SUBSTITUTE(SUBSTITUTE(SUBSTITUTE(SUBSTITUTE(LOWER(Registro!$E724),"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",LEN(Registro!$E724))),({1,2,3,4,5,6,7,8,9,10,11,12,13,14,15,16,17,18,19,20,21,22,23,24,25,26,27,28,29,30}-1)*LEN(Registro!$E724)+1,LEN(Registro!$E724)))&amp;"x")-1)),--("0"&amp;MID(TRIM(MID(SUBSTITUTE(SUBSTITUTE(SUBSTITUTE(SUBSTITUTE(SUBSTITUTE(LOWER(Registro!$E724),"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",LEN(Registro!$E724))),({1,2,3,4,5,6,7,8,9,10,11,12,13,14,15,16,17,18,19,20,21,22,23,24,25,26,27,28,29,30}-1)*LEN(Registro!$E724)+1,LEN(Registro!$E724)))&amp;"x")+1,20))),"Revisar formato")))</f>
        <v/>
      </c>
      <c r="F724" s="11" t="str">
        <f>IF(Registro!$F724="","",N(Registro!$F724))</f>
        <v/>
      </c>
      <c r="G724" s="11" t="str">
        <f t="shared" si="34"/>
        <v/>
      </c>
      <c r="H724" s="10" t="str">
        <f>IF(Registro!$G724="","",IF(ISERROR(FIND("x",LOWER(Registro!$G724))),"-",IFERROR(SUMPRODUCT(--("0"&amp;LEFT(TRIM(MID(SUBSTITUTE(SUBSTITUTE(SUBSTITUTE(SUBSTITUTE(SUBSTITUTE(LOWER(Registro!$G724),"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",LEN(Registro!$G724))),({1,2,3,4,5,6,7,8,9,10,11,12,13,14,15,16,17,18,19,20,21,22,23,24,25,26,27,28,29,30}-1)*LEN(Registro!$G724)+1,LEN(Registro!$G724))),FIND("x",TRIM(MID(SUBSTITUTE(SUBSTITUTE(SUBSTITUTE(SUBSTITUTE(SUBSTITUTE(LOWER(Registro!$G724),"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",LEN(Registro!$G724))),({1,2,3,4,5,6,7,8,9,10,11,12,13,14,15,16,17,18,19,20,21,22,23,24,25,26,27,28,29,30}-1)*LEN(Registro!$G724)+1,LEN(Registro!$G724)))&amp;"x")-1))),"Revisar formato")))</f>
        <v/>
      </c>
      <c r="I724" s="11" t="str">
        <f>IF(Registro!$G724="","",IF(ISERROR(FIND("x",LOWER(Registro!$G724))),N(Registro!$H724),IFERROR(SUMPRODUCT(--("0"&amp;LEFT(TRIM(MID(SUBSTITUTE(SUBSTITUTE(SUBSTITUTE(SUBSTITUTE(SUBSTITUTE(LOWER(Registro!$G724),"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",LEN(Registro!$G724))),({1,2,3,4,5,6,7,8,9,10,11,12,13,14,15,16,17,18,19,20,21,22,23,24,25,26,27,28,29,30}-1)*LEN(Registro!$G724)+1,LEN(Registro!$G724))),FIND("x",TRIM(MID(SUBSTITUTE(SUBSTITUTE(SUBSTITUTE(SUBSTITUTE(SUBSTITUTE(LOWER(Registro!$G724),"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",LEN(Registro!$G724))),({1,2,3,4,5,6,7,8,9,10,11,12,13,14,15,16,17,18,19,20,21,22,23,24,25,26,27,28,29,30}-1)*LEN(Registro!$G724)+1,LEN(Registro!$G724)))&amp;"x")-1)),--("0"&amp;MID(TRIM(MID(SUBSTITUTE(SUBSTITUTE(SUBSTITUTE(SUBSTITUTE(SUBSTITUTE(LOWER(Registro!$G724),"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",LEN(Registro!$G724))),({1,2,3,4,5,6,7,8,9,10,11,12,13,14,15,16,17,18,19,20,21,22,23,24,25,26,27,28,29,30}-1)*LEN(Registro!$G724)+1,LEN(Registro!$G724))),FIND("x",TRIM(MID(SUBSTITUTE(SUBSTITUTE(SUBSTITUTE(SUBSTITUTE(SUBSTITUTE(LOWER(Registro!$G724),"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",LEN(Registro!$G724))),({1,2,3,4,5,6,7,8,9,10,11,12,13,14,15,16,17,18,19,20,21,22,23,24,25,26,27,28,29,30}-1)*LEN(Registro!$G724)+1,LEN(Registro!$G724)))&amp;"x")+1,20))),"Revisar formato")))</f>
        <v/>
      </c>
      <c r="J724" s="9" t="str">
        <f>IF(AND(Registro!$E724="",Registro!$G724=""),"",IF(NOT(AND(ISNUMBER(I724),ISNUMBER(Registro!$H724))),"",IF(I724&lt;Registro!$H724,"FALTA BOLETOS",IF(I724=Registro!$H724,"CONFORME","DIFERENCIA"))))</f>
        <v/>
      </c>
      <c r="K724" s="11" t="str">
        <f>IF(Registro!$I724="","",IFERROR(SUMPRODUCT(--("0"&amp;TRIM(RIGHT(SUBSTITUTE(TRIM(MID(SUBSTITUTE(SUBSTITUTE(Registro!$I724,";",CHAR(10)),CHAR(10),REPT(" ",LEN(Registro!$I724))),({1,2,3,4,5,6,7,8,9,10,11,12,13,14,15,16,17,18,19,20,21,22,23,24,25,26,27,28,29,30}-1)*LEN(Registro!$I724)+1,LEN(Registro!$I724)))," ",REPT(" ",50)),50)))),"Revisar formato"))</f>
        <v/>
      </c>
      <c r="L724" s="11" t="str">
        <f>IF(Registro!$J724="","",IFERROR(SUMPRODUCT(--("0"&amp;TRIM(RIGHT(SUBSTITUTE(TRIM(MID(SUBSTITUTE(SUBSTITUTE(Registro!$J724,";",CHAR(10)),CHAR(10),REPT(" ",LEN(Registro!$J724))),({1,2,3,4,5,6,7,8,9,10,11,12,13,14,15,16,17,18,19,20,21,22,23,24,25,26,27,28,29,30}-1)*LEN(Registro!$J724)+1,LEN(Registro!$J724)))," ",REPT(" ",50)),50)))),"Revisar formato"))</f>
        <v/>
      </c>
      <c r="M724" s="11" t="str">
        <f>IF(AND(Registro!$H724="",Registro!$I724=""),"",IF(AND(ISTEXT(K724),K724&lt;&gt;""),"Revisar formato",N(Registro!$H724)-N(K724)))</f>
        <v/>
      </c>
      <c r="N724" s="11" t="str">
        <f t="shared" si="35"/>
        <v/>
      </c>
      <c r="O724" s="15" t="str">
        <f>IF(AND(A724=Consulta!$B$3,C724=Consulta!$H$3),B724*10000+ROW(),"")</f>
        <v/>
      </c>
    </row>
    <row r="725" spans="1:15" x14ac:dyDescent="0.25">
      <c r="A725" s="9" t="str">
        <f>IF(Registro!$A725="","",Registro!$A725)</f>
        <v/>
      </c>
      <c r="B725" s="8" t="str">
        <f>IF(Registro!$B725="","",Registro!$B725)</f>
        <v/>
      </c>
      <c r="C725" s="14" t="str">
        <f t="shared" si="33"/>
        <v/>
      </c>
      <c r="D725" s="10" t="str">
        <f>IF(Registro!$E725="","",IF(ISERROR(FIND("x",LOWER(Registro!$E725))),"-",IFERROR(SUMPRODUCT(--("0"&amp;LEFT(TRIM(MID(SUBSTITUTE(SUBSTITUTE(SUBSTITUTE(SUBSTITUTE(SUBSTITUTE(LOWER(Registro!$E725),"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",LEN(Registro!$E725))),({1,2,3,4,5,6,7,8,9,10,11,12,13,14,15,16,17,18,19,20,21,22,23,24,25,26,27,28,29,30}-1)*LEN(Registro!$E725)+1,LEN(Registro!$E725)))&amp;"x")-1))),"Revisar formato")))</f>
        <v/>
      </c>
      <c r="E725" s="11" t="str">
        <f>IF(Registro!$E725="","",IF(ISERROR(FIND("x",LOWER(Registro!$E725))),"-",IFERROR(SUMPRODUCT(--("0"&amp;LEFT(TRIM(MID(SUBSTITUTE(SUBSTITUTE(SUBSTITUTE(SUBSTITUTE(SUBSTITUTE(LOWER(Registro!$E725),"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",LEN(Registro!$E725))),({1,2,3,4,5,6,7,8,9,10,11,12,13,14,15,16,17,18,19,20,21,22,23,24,25,26,27,28,29,30}-1)*LEN(Registro!$E725)+1,LEN(Registro!$E725)))&amp;"x")-1)),--("0"&amp;MID(TRIM(MID(SUBSTITUTE(SUBSTITUTE(SUBSTITUTE(SUBSTITUTE(SUBSTITUTE(LOWER(Registro!$E725),"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",LEN(Registro!$E725))),({1,2,3,4,5,6,7,8,9,10,11,12,13,14,15,16,17,18,19,20,21,22,23,24,25,26,27,28,29,30}-1)*LEN(Registro!$E725)+1,LEN(Registro!$E725)))&amp;"x")+1,20))),"Revisar formato")))</f>
        <v/>
      </c>
      <c r="F725" s="11" t="str">
        <f>IF(Registro!$F725="","",N(Registro!$F725))</f>
        <v/>
      </c>
      <c r="G725" s="11" t="str">
        <f t="shared" si="34"/>
        <v/>
      </c>
      <c r="H725" s="10" t="str">
        <f>IF(Registro!$G725="","",IF(ISERROR(FIND("x",LOWER(Registro!$G725))),"-",IFERROR(SUMPRODUCT(--("0"&amp;LEFT(TRIM(MID(SUBSTITUTE(SUBSTITUTE(SUBSTITUTE(SUBSTITUTE(SUBSTITUTE(LOWER(Registro!$G725),"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",LEN(Registro!$G725))),({1,2,3,4,5,6,7,8,9,10,11,12,13,14,15,16,17,18,19,20,21,22,23,24,25,26,27,28,29,30}-1)*LEN(Registro!$G725)+1,LEN(Registro!$G725))),FIND("x",TRIM(MID(SUBSTITUTE(SUBSTITUTE(SUBSTITUTE(SUBSTITUTE(SUBSTITUTE(LOWER(Registro!$G725),"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",LEN(Registro!$G725))),({1,2,3,4,5,6,7,8,9,10,11,12,13,14,15,16,17,18,19,20,21,22,23,24,25,26,27,28,29,30}-1)*LEN(Registro!$G725)+1,LEN(Registro!$G725)))&amp;"x")-1))),"Revisar formato")))</f>
        <v/>
      </c>
      <c r="I725" s="11" t="str">
        <f>IF(Registro!$G725="","",IF(ISERROR(FIND("x",LOWER(Registro!$G725))),N(Registro!$H725),IFERROR(SUMPRODUCT(--("0"&amp;LEFT(TRIM(MID(SUBSTITUTE(SUBSTITUTE(SUBSTITUTE(SUBSTITUTE(SUBSTITUTE(LOWER(Registro!$G725),"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",LEN(Registro!$G725))),({1,2,3,4,5,6,7,8,9,10,11,12,13,14,15,16,17,18,19,20,21,22,23,24,25,26,27,28,29,30}-1)*LEN(Registro!$G725)+1,LEN(Registro!$G725))),FIND("x",TRIM(MID(SUBSTITUTE(SUBSTITUTE(SUBSTITUTE(SUBSTITUTE(SUBSTITUTE(LOWER(Registro!$G725),"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",LEN(Registro!$G725))),({1,2,3,4,5,6,7,8,9,10,11,12,13,14,15,16,17,18,19,20,21,22,23,24,25,26,27,28,29,30}-1)*LEN(Registro!$G725)+1,LEN(Registro!$G725)))&amp;"x")-1)),--("0"&amp;MID(TRIM(MID(SUBSTITUTE(SUBSTITUTE(SUBSTITUTE(SUBSTITUTE(SUBSTITUTE(LOWER(Registro!$G725),"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",LEN(Registro!$G725))),({1,2,3,4,5,6,7,8,9,10,11,12,13,14,15,16,17,18,19,20,21,22,23,24,25,26,27,28,29,30}-1)*LEN(Registro!$G725)+1,LEN(Registro!$G725))),FIND("x",TRIM(MID(SUBSTITUTE(SUBSTITUTE(SUBSTITUTE(SUBSTITUTE(SUBSTITUTE(LOWER(Registro!$G725),"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",LEN(Registro!$G725))),({1,2,3,4,5,6,7,8,9,10,11,12,13,14,15,16,17,18,19,20,21,22,23,24,25,26,27,28,29,30}-1)*LEN(Registro!$G725)+1,LEN(Registro!$G725)))&amp;"x")+1,20))),"Revisar formato")))</f>
        <v/>
      </c>
      <c r="J725" s="9" t="str">
        <f>IF(AND(Registro!$E725="",Registro!$G725=""),"",IF(NOT(AND(ISNUMBER(I725),ISNUMBER(Registro!$H725))),"",IF(I725&lt;Registro!$H725,"FALTA BOLETOS",IF(I725=Registro!$H725,"CONFORME","DIFERENCIA"))))</f>
        <v/>
      </c>
      <c r="K725" s="11" t="str">
        <f>IF(Registro!$I725="","",IFERROR(SUMPRODUCT(--("0"&amp;TRIM(RIGHT(SUBSTITUTE(TRIM(MID(SUBSTITUTE(SUBSTITUTE(Registro!$I725,";",CHAR(10)),CHAR(10),REPT(" ",LEN(Registro!$I725))),({1,2,3,4,5,6,7,8,9,10,11,12,13,14,15,16,17,18,19,20,21,22,23,24,25,26,27,28,29,30}-1)*LEN(Registro!$I725)+1,LEN(Registro!$I725)))," ",REPT(" ",50)),50)))),"Revisar formato"))</f>
        <v/>
      </c>
      <c r="L725" s="11" t="str">
        <f>IF(Registro!$J725="","",IFERROR(SUMPRODUCT(--("0"&amp;TRIM(RIGHT(SUBSTITUTE(TRIM(MID(SUBSTITUTE(SUBSTITUTE(Registro!$J725,";",CHAR(10)),CHAR(10),REPT(" ",LEN(Registro!$J725))),({1,2,3,4,5,6,7,8,9,10,11,12,13,14,15,16,17,18,19,20,21,22,23,24,25,26,27,28,29,30}-1)*LEN(Registro!$J725)+1,LEN(Registro!$J725)))," ",REPT(" ",50)),50)))),"Revisar formato"))</f>
        <v/>
      </c>
      <c r="M725" s="11" t="str">
        <f>IF(AND(Registro!$H725="",Registro!$I725=""),"",IF(AND(ISTEXT(K725),K725&lt;&gt;""),"Revisar formato",N(Registro!$H725)-N(K725)))</f>
        <v/>
      </c>
      <c r="N725" s="11" t="str">
        <f t="shared" si="35"/>
        <v/>
      </c>
      <c r="O725" s="15" t="str">
        <f>IF(AND(A725=Consulta!$B$3,C725=Consulta!$H$3),B725*10000+ROW(),"")</f>
        <v/>
      </c>
    </row>
    <row r="726" spans="1:15" x14ac:dyDescent="0.25">
      <c r="A726" s="9" t="str">
        <f>IF(Registro!$A726="","",Registro!$A726)</f>
        <v/>
      </c>
      <c r="B726" s="8" t="str">
        <f>IF(Registro!$B726="","",Registro!$B726)</f>
        <v/>
      </c>
      <c r="C726" s="14" t="str">
        <f t="shared" si="33"/>
        <v/>
      </c>
      <c r="D726" s="10" t="str">
        <f>IF(Registro!$E726="","",IF(ISERROR(FIND("x",LOWER(Registro!$E726))),"-",IFERROR(SUMPRODUCT(--("0"&amp;LEFT(TRIM(MID(SUBSTITUTE(SUBSTITUTE(SUBSTITUTE(SUBSTITUTE(SUBSTITUTE(LOWER(Registro!$E726),"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",LEN(Registro!$E726))),({1,2,3,4,5,6,7,8,9,10,11,12,13,14,15,16,17,18,19,20,21,22,23,24,25,26,27,28,29,30}-1)*LEN(Registro!$E726)+1,LEN(Registro!$E726)))&amp;"x")-1))),"Revisar formato")))</f>
        <v/>
      </c>
      <c r="E726" s="11" t="str">
        <f>IF(Registro!$E726="","",IF(ISERROR(FIND("x",LOWER(Registro!$E726))),"-",IFERROR(SUMPRODUCT(--("0"&amp;LEFT(TRIM(MID(SUBSTITUTE(SUBSTITUTE(SUBSTITUTE(SUBSTITUTE(SUBSTITUTE(LOWER(Registro!$E726),"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",LEN(Registro!$E726))),({1,2,3,4,5,6,7,8,9,10,11,12,13,14,15,16,17,18,19,20,21,22,23,24,25,26,27,28,29,30}-1)*LEN(Registro!$E726)+1,LEN(Registro!$E726)))&amp;"x")-1)),--("0"&amp;MID(TRIM(MID(SUBSTITUTE(SUBSTITUTE(SUBSTITUTE(SUBSTITUTE(SUBSTITUTE(LOWER(Registro!$E726),"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",LEN(Registro!$E726))),({1,2,3,4,5,6,7,8,9,10,11,12,13,14,15,16,17,18,19,20,21,22,23,24,25,26,27,28,29,30}-1)*LEN(Registro!$E726)+1,LEN(Registro!$E726)))&amp;"x")+1,20))),"Revisar formato")))</f>
        <v/>
      </c>
      <c r="F726" s="11" t="str">
        <f>IF(Registro!$F726="","",N(Registro!$F726))</f>
        <v/>
      </c>
      <c r="G726" s="11" t="str">
        <f t="shared" si="34"/>
        <v/>
      </c>
      <c r="H726" s="10" t="str">
        <f>IF(Registro!$G726="","",IF(ISERROR(FIND("x",LOWER(Registro!$G726))),"-",IFERROR(SUMPRODUCT(--("0"&amp;LEFT(TRIM(MID(SUBSTITUTE(SUBSTITUTE(SUBSTITUTE(SUBSTITUTE(SUBSTITUTE(LOWER(Registro!$G726),"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",LEN(Registro!$G726))),({1,2,3,4,5,6,7,8,9,10,11,12,13,14,15,16,17,18,19,20,21,22,23,24,25,26,27,28,29,30}-1)*LEN(Registro!$G726)+1,LEN(Registro!$G726))),FIND("x",TRIM(MID(SUBSTITUTE(SUBSTITUTE(SUBSTITUTE(SUBSTITUTE(SUBSTITUTE(LOWER(Registro!$G726),"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",LEN(Registro!$G726))),({1,2,3,4,5,6,7,8,9,10,11,12,13,14,15,16,17,18,19,20,21,22,23,24,25,26,27,28,29,30}-1)*LEN(Registro!$G726)+1,LEN(Registro!$G726)))&amp;"x")-1))),"Revisar formato")))</f>
        <v/>
      </c>
      <c r="I726" s="11" t="str">
        <f>IF(Registro!$G726="","",IF(ISERROR(FIND("x",LOWER(Registro!$G726))),N(Registro!$H726),IFERROR(SUMPRODUCT(--("0"&amp;LEFT(TRIM(MID(SUBSTITUTE(SUBSTITUTE(SUBSTITUTE(SUBSTITUTE(SUBSTITUTE(LOWER(Registro!$G726),"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",LEN(Registro!$G726))),({1,2,3,4,5,6,7,8,9,10,11,12,13,14,15,16,17,18,19,20,21,22,23,24,25,26,27,28,29,30}-1)*LEN(Registro!$G726)+1,LEN(Registro!$G726))),FIND("x",TRIM(MID(SUBSTITUTE(SUBSTITUTE(SUBSTITUTE(SUBSTITUTE(SUBSTITUTE(LOWER(Registro!$G726),"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",LEN(Registro!$G726))),({1,2,3,4,5,6,7,8,9,10,11,12,13,14,15,16,17,18,19,20,21,22,23,24,25,26,27,28,29,30}-1)*LEN(Registro!$G726)+1,LEN(Registro!$G726)))&amp;"x")-1)),--("0"&amp;MID(TRIM(MID(SUBSTITUTE(SUBSTITUTE(SUBSTITUTE(SUBSTITUTE(SUBSTITUTE(LOWER(Registro!$G726),"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",LEN(Registro!$G726))),({1,2,3,4,5,6,7,8,9,10,11,12,13,14,15,16,17,18,19,20,21,22,23,24,25,26,27,28,29,30}-1)*LEN(Registro!$G726)+1,LEN(Registro!$G726))),FIND("x",TRIM(MID(SUBSTITUTE(SUBSTITUTE(SUBSTITUTE(SUBSTITUTE(SUBSTITUTE(LOWER(Registro!$G726),"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",LEN(Registro!$G726))),({1,2,3,4,5,6,7,8,9,10,11,12,13,14,15,16,17,18,19,20,21,22,23,24,25,26,27,28,29,30}-1)*LEN(Registro!$G726)+1,LEN(Registro!$G726)))&amp;"x")+1,20))),"Revisar formato")))</f>
        <v/>
      </c>
      <c r="J726" s="9" t="str">
        <f>IF(AND(Registro!$E726="",Registro!$G726=""),"",IF(NOT(AND(ISNUMBER(I726),ISNUMBER(Registro!$H726))),"",IF(I726&lt;Registro!$H726,"FALTA BOLETOS",IF(I726=Registro!$H726,"CONFORME","DIFERENCIA"))))</f>
        <v/>
      </c>
      <c r="K726" s="11" t="str">
        <f>IF(Registro!$I726="","",IFERROR(SUMPRODUCT(--("0"&amp;TRIM(RIGHT(SUBSTITUTE(TRIM(MID(SUBSTITUTE(SUBSTITUTE(Registro!$I726,";",CHAR(10)),CHAR(10),REPT(" ",LEN(Registro!$I726))),({1,2,3,4,5,6,7,8,9,10,11,12,13,14,15,16,17,18,19,20,21,22,23,24,25,26,27,28,29,30}-1)*LEN(Registro!$I726)+1,LEN(Registro!$I726)))," ",REPT(" ",50)),50)))),"Revisar formato"))</f>
        <v/>
      </c>
      <c r="L726" s="11" t="str">
        <f>IF(Registro!$J726="","",IFERROR(SUMPRODUCT(--("0"&amp;TRIM(RIGHT(SUBSTITUTE(TRIM(MID(SUBSTITUTE(SUBSTITUTE(Registro!$J726,";",CHAR(10)),CHAR(10),REPT(" ",LEN(Registro!$J726))),({1,2,3,4,5,6,7,8,9,10,11,12,13,14,15,16,17,18,19,20,21,22,23,24,25,26,27,28,29,30}-1)*LEN(Registro!$J726)+1,LEN(Registro!$J726)))," ",REPT(" ",50)),50)))),"Revisar formato"))</f>
        <v/>
      </c>
      <c r="M726" s="11" t="str">
        <f>IF(AND(Registro!$H726="",Registro!$I726=""),"",IF(AND(ISTEXT(K726),K726&lt;&gt;""),"Revisar formato",N(Registro!$H726)-N(K726)))</f>
        <v/>
      </c>
      <c r="N726" s="11" t="str">
        <f t="shared" si="35"/>
        <v/>
      </c>
      <c r="O726" s="15" t="str">
        <f>IF(AND(A726=Consulta!$B$3,C726=Consulta!$H$3),B726*10000+ROW(),"")</f>
        <v/>
      </c>
    </row>
    <row r="727" spans="1:15" x14ac:dyDescent="0.25">
      <c r="A727" s="9" t="str">
        <f>IF(Registro!$A727="","",Registro!$A727)</f>
        <v/>
      </c>
      <c r="B727" s="8" t="str">
        <f>IF(Registro!$B727="","",Registro!$B727)</f>
        <v/>
      </c>
      <c r="C727" s="14" t="str">
        <f t="shared" si="33"/>
        <v/>
      </c>
      <c r="D727" s="10" t="str">
        <f>IF(Registro!$E727="","",IF(ISERROR(FIND("x",LOWER(Registro!$E727))),"-",IFERROR(SUMPRODUCT(--("0"&amp;LEFT(TRIM(MID(SUBSTITUTE(SUBSTITUTE(SUBSTITUTE(SUBSTITUTE(SUBSTITUTE(LOWER(Registro!$E727),"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",LEN(Registro!$E727))),({1,2,3,4,5,6,7,8,9,10,11,12,13,14,15,16,17,18,19,20,21,22,23,24,25,26,27,28,29,30}-1)*LEN(Registro!$E727)+1,LEN(Registro!$E727)))&amp;"x")-1))),"Revisar formato")))</f>
        <v/>
      </c>
      <c r="E727" s="11" t="str">
        <f>IF(Registro!$E727="","",IF(ISERROR(FIND("x",LOWER(Registro!$E727))),"-",IFERROR(SUMPRODUCT(--("0"&amp;LEFT(TRIM(MID(SUBSTITUTE(SUBSTITUTE(SUBSTITUTE(SUBSTITUTE(SUBSTITUTE(LOWER(Registro!$E727),"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",LEN(Registro!$E727))),({1,2,3,4,5,6,7,8,9,10,11,12,13,14,15,16,17,18,19,20,21,22,23,24,25,26,27,28,29,30}-1)*LEN(Registro!$E727)+1,LEN(Registro!$E727)))&amp;"x")-1)),--("0"&amp;MID(TRIM(MID(SUBSTITUTE(SUBSTITUTE(SUBSTITUTE(SUBSTITUTE(SUBSTITUTE(LOWER(Registro!$E727),"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",LEN(Registro!$E727))),({1,2,3,4,5,6,7,8,9,10,11,12,13,14,15,16,17,18,19,20,21,22,23,24,25,26,27,28,29,30}-1)*LEN(Registro!$E727)+1,LEN(Registro!$E727)))&amp;"x")+1,20))),"Revisar formato")))</f>
        <v/>
      </c>
      <c r="F727" s="11" t="str">
        <f>IF(Registro!$F727="","",N(Registro!$F727))</f>
        <v/>
      </c>
      <c r="G727" s="11" t="str">
        <f t="shared" si="34"/>
        <v/>
      </c>
      <c r="H727" s="10" t="str">
        <f>IF(Registro!$G727="","",IF(ISERROR(FIND("x",LOWER(Registro!$G727))),"-",IFERROR(SUMPRODUCT(--("0"&amp;LEFT(TRIM(MID(SUBSTITUTE(SUBSTITUTE(SUBSTITUTE(SUBSTITUTE(SUBSTITUTE(LOWER(Registro!$G727),"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",LEN(Registro!$G727))),({1,2,3,4,5,6,7,8,9,10,11,12,13,14,15,16,17,18,19,20,21,22,23,24,25,26,27,28,29,30}-1)*LEN(Registro!$G727)+1,LEN(Registro!$G727))),FIND("x",TRIM(MID(SUBSTITUTE(SUBSTITUTE(SUBSTITUTE(SUBSTITUTE(SUBSTITUTE(LOWER(Registro!$G727),"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",LEN(Registro!$G727))),({1,2,3,4,5,6,7,8,9,10,11,12,13,14,15,16,17,18,19,20,21,22,23,24,25,26,27,28,29,30}-1)*LEN(Registro!$G727)+1,LEN(Registro!$G727)))&amp;"x")-1))),"Revisar formato")))</f>
        <v/>
      </c>
      <c r="I727" s="11" t="str">
        <f>IF(Registro!$G727="","",IF(ISERROR(FIND("x",LOWER(Registro!$G727))),N(Registro!$H727),IFERROR(SUMPRODUCT(--("0"&amp;LEFT(TRIM(MID(SUBSTITUTE(SUBSTITUTE(SUBSTITUTE(SUBSTITUTE(SUBSTITUTE(LOWER(Registro!$G727),"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",LEN(Registro!$G727))),({1,2,3,4,5,6,7,8,9,10,11,12,13,14,15,16,17,18,19,20,21,22,23,24,25,26,27,28,29,30}-1)*LEN(Registro!$G727)+1,LEN(Registro!$G727))),FIND("x",TRIM(MID(SUBSTITUTE(SUBSTITUTE(SUBSTITUTE(SUBSTITUTE(SUBSTITUTE(LOWER(Registro!$G727),"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",LEN(Registro!$G727))),({1,2,3,4,5,6,7,8,9,10,11,12,13,14,15,16,17,18,19,20,21,22,23,24,25,26,27,28,29,30}-1)*LEN(Registro!$G727)+1,LEN(Registro!$G727)))&amp;"x")-1)),--("0"&amp;MID(TRIM(MID(SUBSTITUTE(SUBSTITUTE(SUBSTITUTE(SUBSTITUTE(SUBSTITUTE(LOWER(Registro!$G727),"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",LEN(Registro!$G727))),({1,2,3,4,5,6,7,8,9,10,11,12,13,14,15,16,17,18,19,20,21,22,23,24,25,26,27,28,29,30}-1)*LEN(Registro!$G727)+1,LEN(Registro!$G727))),FIND("x",TRIM(MID(SUBSTITUTE(SUBSTITUTE(SUBSTITUTE(SUBSTITUTE(SUBSTITUTE(LOWER(Registro!$G727),"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",LEN(Registro!$G727))),({1,2,3,4,5,6,7,8,9,10,11,12,13,14,15,16,17,18,19,20,21,22,23,24,25,26,27,28,29,30}-1)*LEN(Registro!$G727)+1,LEN(Registro!$G727)))&amp;"x")+1,20))),"Revisar formato")))</f>
        <v/>
      </c>
      <c r="J727" s="9" t="str">
        <f>IF(AND(Registro!$E727="",Registro!$G727=""),"",IF(NOT(AND(ISNUMBER(I727),ISNUMBER(Registro!$H727))),"",IF(I727&lt;Registro!$H727,"FALTA BOLETOS",IF(I727=Registro!$H727,"CONFORME","DIFERENCIA"))))</f>
        <v/>
      </c>
      <c r="K727" s="11" t="str">
        <f>IF(Registro!$I727="","",IFERROR(SUMPRODUCT(--("0"&amp;TRIM(RIGHT(SUBSTITUTE(TRIM(MID(SUBSTITUTE(SUBSTITUTE(Registro!$I727,";",CHAR(10)),CHAR(10),REPT(" ",LEN(Registro!$I727))),({1,2,3,4,5,6,7,8,9,10,11,12,13,14,15,16,17,18,19,20,21,22,23,24,25,26,27,28,29,30}-1)*LEN(Registro!$I727)+1,LEN(Registro!$I727)))," ",REPT(" ",50)),50)))),"Revisar formato"))</f>
        <v/>
      </c>
      <c r="L727" s="11" t="str">
        <f>IF(Registro!$J727="","",IFERROR(SUMPRODUCT(--("0"&amp;TRIM(RIGHT(SUBSTITUTE(TRIM(MID(SUBSTITUTE(SUBSTITUTE(Registro!$J727,";",CHAR(10)),CHAR(10),REPT(" ",LEN(Registro!$J727))),({1,2,3,4,5,6,7,8,9,10,11,12,13,14,15,16,17,18,19,20,21,22,23,24,25,26,27,28,29,30}-1)*LEN(Registro!$J727)+1,LEN(Registro!$J727)))," ",REPT(" ",50)),50)))),"Revisar formato"))</f>
        <v/>
      </c>
      <c r="M727" s="11" t="str">
        <f>IF(AND(Registro!$H727="",Registro!$I727=""),"",IF(AND(ISTEXT(K727),K727&lt;&gt;""),"Revisar formato",N(Registro!$H727)-N(K727)))</f>
        <v/>
      </c>
      <c r="N727" s="11" t="str">
        <f t="shared" si="35"/>
        <v/>
      </c>
      <c r="O727" s="15" t="str">
        <f>IF(AND(A727=Consulta!$B$3,C727=Consulta!$H$3),B727*10000+ROW(),"")</f>
        <v/>
      </c>
    </row>
    <row r="728" spans="1:15" x14ac:dyDescent="0.25">
      <c r="A728" s="9" t="str">
        <f>IF(Registro!$A728="","",Registro!$A728)</f>
        <v/>
      </c>
      <c r="B728" s="8" t="str">
        <f>IF(Registro!$B728="","",Registro!$B728)</f>
        <v/>
      </c>
      <c r="C728" s="14" t="str">
        <f t="shared" si="33"/>
        <v/>
      </c>
      <c r="D728" s="10" t="str">
        <f>IF(Registro!$E728="","",IF(ISERROR(FIND("x",LOWER(Registro!$E728))),"-",IFERROR(SUMPRODUCT(--("0"&amp;LEFT(TRIM(MID(SUBSTITUTE(SUBSTITUTE(SUBSTITUTE(SUBSTITUTE(SUBSTITUTE(LOWER(Registro!$E728),"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",LEN(Registro!$E728))),({1,2,3,4,5,6,7,8,9,10,11,12,13,14,15,16,17,18,19,20,21,22,23,24,25,26,27,28,29,30}-1)*LEN(Registro!$E728)+1,LEN(Registro!$E728)))&amp;"x")-1))),"Revisar formato")))</f>
        <v/>
      </c>
      <c r="E728" s="11" t="str">
        <f>IF(Registro!$E728="","",IF(ISERROR(FIND("x",LOWER(Registro!$E728))),"-",IFERROR(SUMPRODUCT(--("0"&amp;LEFT(TRIM(MID(SUBSTITUTE(SUBSTITUTE(SUBSTITUTE(SUBSTITUTE(SUBSTITUTE(LOWER(Registro!$E728),"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",LEN(Registro!$E728))),({1,2,3,4,5,6,7,8,9,10,11,12,13,14,15,16,17,18,19,20,21,22,23,24,25,26,27,28,29,30}-1)*LEN(Registro!$E728)+1,LEN(Registro!$E728)))&amp;"x")-1)),--("0"&amp;MID(TRIM(MID(SUBSTITUTE(SUBSTITUTE(SUBSTITUTE(SUBSTITUTE(SUBSTITUTE(LOWER(Registro!$E728),"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",LEN(Registro!$E728))),({1,2,3,4,5,6,7,8,9,10,11,12,13,14,15,16,17,18,19,20,21,22,23,24,25,26,27,28,29,30}-1)*LEN(Registro!$E728)+1,LEN(Registro!$E728)))&amp;"x")+1,20))),"Revisar formato")))</f>
        <v/>
      </c>
      <c r="F728" s="11" t="str">
        <f>IF(Registro!$F728="","",N(Registro!$F728))</f>
        <v/>
      </c>
      <c r="G728" s="11" t="str">
        <f t="shared" si="34"/>
        <v/>
      </c>
      <c r="H728" s="10" t="str">
        <f>IF(Registro!$G728="","",IF(ISERROR(FIND("x",LOWER(Registro!$G728))),"-",IFERROR(SUMPRODUCT(--("0"&amp;LEFT(TRIM(MID(SUBSTITUTE(SUBSTITUTE(SUBSTITUTE(SUBSTITUTE(SUBSTITUTE(LOWER(Registro!$G728),"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",LEN(Registro!$G728))),({1,2,3,4,5,6,7,8,9,10,11,12,13,14,15,16,17,18,19,20,21,22,23,24,25,26,27,28,29,30}-1)*LEN(Registro!$G728)+1,LEN(Registro!$G728))),FIND("x",TRIM(MID(SUBSTITUTE(SUBSTITUTE(SUBSTITUTE(SUBSTITUTE(SUBSTITUTE(LOWER(Registro!$G728),"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",LEN(Registro!$G728))),({1,2,3,4,5,6,7,8,9,10,11,12,13,14,15,16,17,18,19,20,21,22,23,24,25,26,27,28,29,30}-1)*LEN(Registro!$G728)+1,LEN(Registro!$G728)))&amp;"x")-1))),"Revisar formato")))</f>
        <v/>
      </c>
      <c r="I728" s="11" t="str">
        <f>IF(Registro!$G728="","",IF(ISERROR(FIND("x",LOWER(Registro!$G728))),N(Registro!$H728),IFERROR(SUMPRODUCT(--("0"&amp;LEFT(TRIM(MID(SUBSTITUTE(SUBSTITUTE(SUBSTITUTE(SUBSTITUTE(SUBSTITUTE(LOWER(Registro!$G728),"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",LEN(Registro!$G728))),({1,2,3,4,5,6,7,8,9,10,11,12,13,14,15,16,17,18,19,20,21,22,23,24,25,26,27,28,29,30}-1)*LEN(Registro!$G728)+1,LEN(Registro!$G728))),FIND("x",TRIM(MID(SUBSTITUTE(SUBSTITUTE(SUBSTITUTE(SUBSTITUTE(SUBSTITUTE(LOWER(Registro!$G728),"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",LEN(Registro!$G728))),({1,2,3,4,5,6,7,8,9,10,11,12,13,14,15,16,17,18,19,20,21,22,23,24,25,26,27,28,29,30}-1)*LEN(Registro!$G728)+1,LEN(Registro!$G728)))&amp;"x")-1)),--("0"&amp;MID(TRIM(MID(SUBSTITUTE(SUBSTITUTE(SUBSTITUTE(SUBSTITUTE(SUBSTITUTE(LOWER(Registro!$G728),"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",LEN(Registro!$G728))),({1,2,3,4,5,6,7,8,9,10,11,12,13,14,15,16,17,18,19,20,21,22,23,24,25,26,27,28,29,30}-1)*LEN(Registro!$G728)+1,LEN(Registro!$G728))),FIND("x",TRIM(MID(SUBSTITUTE(SUBSTITUTE(SUBSTITUTE(SUBSTITUTE(SUBSTITUTE(LOWER(Registro!$G728),"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",LEN(Registro!$G728))),({1,2,3,4,5,6,7,8,9,10,11,12,13,14,15,16,17,18,19,20,21,22,23,24,25,26,27,28,29,30}-1)*LEN(Registro!$G728)+1,LEN(Registro!$G728)))&amp;"x")+1,20))),"Revisar formato")))</f>
        <v/>
      </c>
      <c r="J728" s="9" t="str">
        <f>IF(AND(Registro!$E728="",Registro!$G728=""),"",IF(NOT(AND(ISNUMBER(I728),ISNUMBER(Registro!$H728))),"",IF(I728&lt;Registro!$H728,"FALTA BOLETOS",IF(I728=Registro!$H728,"CONFORME","DIFERENCIA"))))</f>
        <v/>
      </c>
      <c r="K728" s="11" t="str">
        <f>IF(Registro!$I728="","",IFERROR(SUMPRODUCT(--("0"&amp;TRIM(RIGHT(SUBSTITUTE(TRIM(MID(SUBSTITUTE(SUBSTITUTE(Registro!$I728,";",CHAR(10)),CHAR(10),REPT(" ",LEN(Registro!$I728))),({1,2,3,4,5,6,7,8,9,10,11,12,13,14,15,16,17,18,19,20,21,22,23,24,25,26,27,28,29,30}-1)*LEN(Registro!$I728)+1,LEN(Registro!$I728)))," ",REPT(" ",50)),50)))),"Revisar formato"))</f>
        <v/>
      </c>
      <c r="L728" s="11" t="str">
        <f>IF(Registro!$J728="","",IFERROR(SUMPRODUCT(--("0"&amp;TRIM(RIGHT(SUBSTITUTE(TRIM(MID(SUBSTITUTE(SUBSTITUTE(Registro!$J728,";",CHAR(10)),CHAR(10),REPT(" ",LEN(Registro!$J728))),({1,2,3,4,5,6,7,8,9,10,11,12,13,14,15,16,17,18,19,20,21,22,23,24,25,26,27,28,29,30}-1)*LEN(Registro!$J728)+1,LEN(Registro!$J728)))," ",REPT(" ",50)),50)))),"Revisar formato"))</f>
        <v/>
      </c>
      <c r="M728" s="11" t="str">
        <f>IF(AND(Registro!$H728="",Registro!$I728=""),"",IF(AND(ISTEXT(K728),K728&lt;&gt;""),"Revisar formato",N(Registro!$H728)-N(K728)))</f>
        <v/>
      </c>
      <c r="N728" s="11" t="str">
        <f t="shared" si="35"/>
        <v/>
      </c>
      <c r="O728" s="15" t="str">
        <f>IF(AND(A728=Consulta!$B$3,C728=Consulta!$H$3),B728*10000+ROW(),"")</f>
        <v/>
      </c>
    </row>
    <row r="729" spans="1:15" x14ac:dyDescent="0.25">
      <c r="A729" s="9" t="str">
        <f>IF(Registro!$A729="","",Registro!$A729)</f>
        <v/>
      </c>
      <c r="B729" s="8" t="str">
        <f>IF(Registro!$B729="","",Registro!$B729)</f>
        <v/>
      </c>
      <c r="C729" s="14" t="str">
        <f t="shared" si="33"/>
        <v/>
      </c>
      <c r="D729" s="10" t="str">
        <f>IF(Registro!$E729="","",IF(ISERROR(FIND("x",LOWER(Registro!$E729))),"-",IFERROR(SUMPRODUCT(--("0"&amp;LEFT(TRIM(MID(SUBSTITUTE(SUBSTITUTE(SUBSTITUTE(SUBSTITUTE(SUBSTITUTE(LOWER(Registro!$E729),"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",LEN(Registro!$E729))),({1,2,3,4,5,6,7,8,9,10,11,12,13,14,15,16,17,18,19,20,21,22,23,24,25,26,27,28,29,30}-1)*LEN(Registro!$E729)+1,LEN(Registro!$E729)))&amp;"x")-1))),"Revisar formato")))</f>
        <v/>
      </c>
      <c r="E729" s="11" t="str">
        <f>IF(Registro!$E729="","",IF(ISERROR(FIND("x",LOWER(Registro!$E729))),"-",IFERROR(SUMPRODUCT(--("0"&amp;LEFT(TRIM(MID(SUBSTITUTE(SUBSTITUTE(SUBSTITUTE(SUBSTITUTE(SUBSTITUTE(LOWER(Registro!$E729),"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",LEN(Registro!$E729))),({1,2,3,4,5,6,7,8,9,10,11,12,13,14,15,16,17,18,19,20,21,22,23,24,25,26,27,28,29,30}-1)*LEN(Registro!$E729)+1,LEN(Registro!$E729)))&amp;"x")-1)),--("0"&amp;MID(TRIM(MID(SUBSTITUTE(SUBSTITUTE(SUBSTITUTE(SUBSTITUTE(SUBSTITUTE(LOWER(Registro!$E729),"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",LEN(Registro!$E729))),({1,2,3,4,5,6,7,8,9,10,11,12,13,14,15,16,17,18,19,20,21,22,23,24,25,26,27,28,29,30}-1)*LEN(Registro!$E729)+1,LEN(Registro!$E729)))&amp;"x")+1,20))),"Revisar formato")))</f>
        <v/>
      </c>
      <c r="F729" s="11" t="str">
        <f>IF(Registro!$F729="","",N(Registro!$F729))</f>
        <v/>
      </c>
      <c r="G729" s="11" t="str">
        <f t="shared" si="34"/>
        <v/>
      </c>
      <c r="H729" s="10" t="str">
        <f>IF(Registro!$G729="","",IF(ISERROR(FIND("x",LOWER(Registro!$G729))),"-",IFERROR(SUMPRODUCT(--("0"&amp;LEFT(TRIM(MID(SUBSTITUTE(SUBSTITUTE(SUBSTITUTE(SUBSTITUTE(SUBSTITUTE(LOWER(Registro!$G729),"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",LEN(Registro!$G729))),({1,2,3,4,5,6,7,8,9,10,11,12,13,14,15,16,17,18,19,20,21,22,23,24,25,26,27,28,29,30}-1)*LEN(Registro!$G729)+1,LEN(Registro!$G729))),FIND("x",TRIM(MID(SUBSTITUTE(SUBSTITUTE(SUBSTITUTE(SUBSTITUTE(SUBSTITUTE(LOWER(Registro!$G729),"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",LEN(Registro!$G729))),({1,2,3,4,5,6,7,8,9,10,11,12,13,14,15,16,17,18,19,20,21,22,23,24,25,26,27,28,29,30}-1)*LEN(Registro!$G729)+1,LEN(Registro!$G729)))&amp;"x")-1))),"Revisar formato")))</f>
        <v/>
      </c>
      <c r="I729" s="11" t="str">
        <f>IF(Registro!$G729="","",IF(ISERROR(FIND("x",LOWER(Registro!$G729))),N(Registro!$H729),IFERROR(SUMPRODUCT(--("0"&amp;LEFT(TRIM(MID(SUBSTITUTE(SUBSTITUTE(SUBSTITUTE(SUBSTITUTE(SUBSTITUTE(LOWER(Registro!$G729),"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",LEN(Registro!$G729))),({1,2,3,4,5,6,7,8,9,10,11,12,13,14,15,16,17,18,19,20,21,22,23,24,25,26,27,28,29,30}-1)*LEN(Registro!$G729)+1,LEN(Registro!$G729))),FIND("x",TRIM(MID(SUBSTITUTE(SUBSTITUTE(SUBSTITUTE(SUBSTITUTE(SUBSTITUTE(LOWER(Registro!$G729),"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",LEN(Registro!$G729))),({1,2,3,4,5,6,7,8,9,10,11,12,13,14,15,16,17,18,19,20,21,22,23,24,25,26,27,28,29,30}-1)*LEN(Registro!$G729)+1,LEN(Registro!$G729)))&amp;"x")-1)),--("0"&amp;MID(TRIM(MID(SUBSTITUTE(SUBSTITUTE(SUBSTITUTE(SUBSTITUTE(SUBSTITUTE(LOWER(Registro!$G729),"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",LEN(Registro!$G729))),({1,2,3,4,5,6,7,8,9,10,11,12,13,14,15,16,17,18,19,20,21,22,23,24,25,26,27,28,29,30}-1)*LEN(Registro!$G729)+1,LEN(Registro!$G729))),FIND("x",TRIM(MID(SUBSTITUTE(SUBSTITUTE(SUBSTITUTE(SUBSTITUTE(SUBSTITUTE(LOWER(Registro!$G729),"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",LEN(Registro!$G729))),({1,2,3,4,5,6,7,8,9,10,11,12,13,14,15,16,17,18,19,20,21,22,23,24,25,26,27,28,29,30}-1)*LEN(Registro!$G729)+1,LEN(Registro!$G729)))&amp;"x")+1,20))),"Revisar formato")))</f>
        <v/>
      </c>
      <c r="J729" s="9" t="str">
        <f>IF(AND(Registro!$E729="",Registro!$G729=""),"",IF(NOT(AND(ISNUMBER(I729),ISNUMBER(Registro!$H729))),"",IF(I729&lt;Registro!$H729,"FALTA BOLETOS",IF(I729=Registro!$H729,"CONFORME","DIFERENCIA"))))</f>
        <v/>
      </c>
      <c r="K729" s="11" t="str">
        <f>IF(Registro!$I729="","",IFERROR(SUMPRODUCT(--("0"&amp;TRIM(RIGHT(SUBSTITUTE(TRIM(MID(SUBSTITUTE(SUBSTITUTE(Registro!$I729,";",CHAR(10)),CHAR(10),REPT(" ",LEN(Registro!$I729))),({1,2,3,4,5,6,7,8,9,10,11,12,13,14,15,16,17,18,19,20,21,22,23,24,25,26,27,28,29,30}-1)*LEN(Registro!$I729)+1,LEN(Registro!$I729)))," ",REPT(" ",50)),50)))),"Revisar formato"))</f>
        <v/>
      </c>
      <c r="L729" s="11" t="str">
        <f>IF(Registro!$J729="","",IFERROR(SUMPRODUCT(--("0"&amp;TRIM(RIGHT(SUBSTITUTE(TRIM(MID(SUBSTITUTE(SUBSTITUTE(Registro!$J729,";",CHAR(10)),CHAR(10),REPT(" ",LEN(Registro!$J729))),({1,2,3,4,5,6,7,8,9,10,11,12,13,14,15,16,17,18,19,20,21,22,23,24,25,26,27,28,29,30}-1)*LEN(Registro!$J729)+1,LEN(Registro!$J729)))," ",REPT(" ",50)),50)))),"Revisar formato"))</f>
        <v/>
      </c>
      <c r="M729" s="11" t="str">
        <f>IF(AND(Registro!$H729="",Registro!$I729=""),"",IF(AND(ISTEXT(K729),K729&lt;&gt;""),"Revisar formato",N(Registro!$H729)-N(K729)))</f>
        <v/>
      </c>
      <c r="N729" s="11" t="str">
        <f t="shared" si="35"/>
        <v/>
      </c>
      <c r="O729" s="15" t="str">
        <f>IF(AND(A729=Consulta!$B$3,C729=Consulta!$H$3),B729*10000+ROW(),"")</f>
        <v/>
      </c>
    </row>
    <row r="730" spans="1:15" x14ac:dyDescent="0.25">
      <c r="A730" s="9" t="str">
        <f>IF(Registro!$A730="","",Registro!$A730)</f>
        <v/>
      </c>
      <c r="B730" s="8" t="str">
        <f>IF(Registro!$B730="","",Registro!$B730)</f>
        <v/>
      </c>
      <c r="C730" s="14" t="str">
        <f t="shared" si="33"/>
        <v/>
      </c>
      <c r="D730" s="10" t="str">
        <f>IF(Registro!$E730="","",IF(ISERROR(FIND("x",LOWER(Registro!$E730))),"-",IFERROR(SUMPRODUCT(--("0"&amp;LEFT(TRIM(MID(SUBSTITUTE(SUBSTITUTE(SUBSTITUTE(SUBSTITUTE(SUBSTITUTE(LOWER(Registro!$E730),"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",LEN(Registro!$E730))),({1,2,3,4,5,6,7,8,9,10,11,12,13,14,15,16,17,18,19,20,21,22,23,24,25,26,27,28,29,30}-1)*LEN(Registro!$E730)+1,LEN(Registro!$E730)))&amp;"x")-1))),"Revisar formato")))</f>
        <v/>
      </c>
      <c r="E730" s="11" t="str">
        <f>IF(Registro!$E730="","",IF(ISERROR(FIND("x",LOWER(Registro!$E730))),"-",IFERROR(SUMPRODUCT(--("0"&amp;LEFT(TRIM(MID(SUBSTITUTE(SUBSTITUTE(SUBSTITUTE(SUBSTITUTE(SUBSTITUTE(LOWER(Registro!$E730),"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",LEN(Registro!$E730))),({1,2,3,4,5,6,7,8,9,10,11,12,13,14,15,16,17,18,19,20,21,22,23,24,25,26,27,28,29,30}-1)*LEN(Registro!$E730)+1,LEN(Registro!$E730)))&amp;"x")-1)),--("0"&amp;MID(TRIM(MID(SUBSTITUTE(SUBSTITUTE(SUBSTITUTE(SUBSTITUTE(SUBSTITUTE(LOWER(Registro!$E730),"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",LEN(Registro!$E730))),({1,2,3,4,5,6,7,8,9,10,11,12,13,14,15,16,17,18,19,20,21,22,23,24,25,26,27,28,29,30}-1)*LEN(Registro!$E730)+1,LEN(Registro!$E730)))&amp;"x")+1,20))),"Revisar formato")))</f>
        <v/>
      </c>
      <c r="F730" s="11" t="str">
        <f>IF(Registro!$F730="","",N(Registro!$F730))</f>
        <v/>
      </c>
      <c r="G730" s="11" t="str">
        <f t="shared" si="34"/>
        <v/>
      </c>
      <c r="H730" s="10" t="str">
        <f>IF(Registro!$G730="","",IF(ISERROR(FIND("x",LOWER(Registro!$G730))),"-",IFERROR(SUMPRODUCT(--("0"&amp;LEFT(TRIM(MID(SUBSTITUTE(SUBSTITUTE(SUBSTITUTE(SUBSTITUTE(SUBSTITUTE(LOWER(Registro!$G730),"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",LEN(Registro!$G730))),({1,2,3,4,5,6,7,8,9,10,11,12,13,14,15,16,17,18,19,20,21,22,23,24,25,26,27,28,29,30}-1)*LEN(Registro!$G730)+1,LEN(Registro!$G730))),FIND("x",TRIM(MID(SUBSTITUTE(SUBSTITUTE(SUBSTITUTE(SUBSTITUTE(SUBSTITUTE(LOWER(Registro!$G730),"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",LEN(Registro!$G730))),({1,2,3,4,5,6,7,8,9,10,11,12,13,14,15,16,17,18,19,20,21,22,23,24,25,26,27,28,29,30}-1)*LEN(Registro!$G730)+1,LEN(Registro!$G730)))&amp;"x")-1))),"Revisar formato")))</f>
        <v/>
      </c>
      <c r="I730" s="11" t="str">
        <f>IF(Registro!$G730="","",IF(ISERROR(FIND("x",LOWER(Registro!$G730))),N(Registro!$H730),IFERROR(SUMPRODUCT(--("0"&amp;LEFT(TRIM(MID(SUBSTITUTE(SUBSTITUTE(SUBSTITUTE(SUBSTITUTE(SUBSTITUTE(LOWER(Registro!$G730),"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",LEN(Registro!$G730))),({1,2,3,4,5,6,7,8,9,10,11,12,13,14,15,16,17,18,19,20,21,22,23,24,25,26,27,28,29,30}-1)*LEN(Registro!$G730)+1,LEN(Registro!$G730))),FIND("x",TRIM(MID(SUBSTITUTE(SUBSTITUTE(SUBSTITUTE(SUBSTITUTE(SUBSTITUTE(LOWER(Registro!$G730),"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",LEN(Registro!$G730))),({1,2,3,4,5,6,7,8,9,10,11,12,13,14,15,16,17,18,19,20,21,22,23,24,25,26,27,28,29,30}-1)*LEN(Registro!$G730)+1,LEN(Registro!$G730)))&amp;"x")-1)),--("0"&amp;MID(TRIM(MID(SUBSTITUTE(SUBSTITUTE(SUBSTITUTE(SUBSTITUTE(SUBSTITUTE(LOWER(Registro!$G730),"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",LEN(Registro!$G730))),({1,2,3,4,5,6,7,8,9,10,11,12,13,14,15,16,17,18,19,20,21,22,23,24,25,26,27,28,29,30}-1)*LEN(Registro!$G730)+1,LEN(Registro!$G730))),FIND("x",TRIM(MID(SUBSTITUTE(SUBSTITUTE(SUBSTITUTE(SUBSTITUTE(SUBSTITUTE(LOWER(Registro!$G730),"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",LEN(Registro!$G730))),({1,2,3,4,5,6,7,8,9,10,11,12,13,14,15,16,17,18,19,20,21,22,23,24,25,26,27,28,29,30}-1)*LEN(Registro!$G730)+1,LEN(Registro!$G730)))&amp;"x")+1,20))),"Revisar formato")))</f>
        <v/>
      </c>
      <c r="J730" s="9" t="str">
        <f>IF(AND(Registro!$E730="",Registro!$G730=""),"",IF(NOT(AND(ISNUMBER(I730),ISNUMBER(Registro!$H730))),"",IF(I730&lt;Registro!$H730,"FALTA BOLETOS",IF(I730=Registro!$H730,"CONFORME","DIFERENCIA"))))</f>
        <v/>
      </c>
      <c r="K730" s="11" t="str">
        <f>IF(Registro!$I730="","",IFERROR(SUMPRODUCT(--("0"&amp;TRIM(RIGHT(SUBSTITUTE(TRIM(MID(SUBSTITUTE(SUBSTITUTE(Registro!$I730,";",CHAR(10)),CHAR(10),REPT(" ",LEN(Registro!$I730))),({1,2,3,4,5,6,7,8,9,10,11,12,13,14,15,16,17,18,19,20,21,22,23,24,25,26,27,28,29,30}-1)*LEN(Registro!$I730)+1,LEN(Registro!$I730)))," ",REPT(" ",50)),50)))),"Revisar formato"))</f>
        <v/>
      </c>
      <c r="L730" s="11" t="str">
        <f>IF(Registro!$J730="","",IFERROR(SUMPRODUCT(--("0"&amp;TRIM(RIGHT(SUBSTITUTE(TRIM(MID(SUBSTITUTE(SUBSTITUTE(Registro!$J730,";",CHAR(10)),CHAR(10),REPT(" ",LEN(Registro!$J730))),({1,2,3,4,5,6,7,8,9,10,11,12,13,14,15,16,17,18,19,20,21,22,23,24,25,26,27,28,29,30}-1)*LEN(Registro!$J730)+1,LEN(Registro!$J730)))," ",REPT(" ",50)),50)))),"Revisar formato"))</f>
        <v/>
      </c>
      <c r="M730" s="11" t="str">
        <f>IF(AND(Registro!$H730="",Registro!$I730=""),"",IF(AND(ISTEXT(K730),K730&lt;&gt;""),"Revisar formato",N(Registro!$H730)-N(K730)))</f>
        <v/>
      </c>
      <c r="N730" s="11" t="str">
        <f t="shared" si="35"/>
        <v/>
      </c>
      <c r="O730" s="15" t="str">
        <f>IF(AND(A730=Consulta!$B$3,C730=Consulta!$H$3),B730*10000+ROW(),"")</f>
        <v/>
      </c>
    </row>
    <row r="731" spans="1:15" x14ac:dyDescent="0.25">
      <c r="A731" s="9" t="str">
        <f>IF(Registro!$A731="","",Registro!$A731)</f>
        <v/>
      </c>
      <c r="B731" s="8" t="str">
        <f>IF(Registro!$B731="","",Registro!$B731)</f>
        <v/>
      </c>
      <c r="C731" s="14" t="str">
        <f t="shared" si="33"/>
        <v/>
      </c>
      <c r="D731" s="10" t="str">
        <f>IF(Registro!$E731="","",IF(ISERROR(FIND("x",LOWER(Registro!$E731))),"-",IFERROR(SUMPRODUCT(--("0"&amp;LEFT(TRIM(MID(SUBSTITUTE(SUBSTITUTE(SUBSTITUTE(SUBSTITUTE(SUBSTITUTE(LOWER(Registro!$E731),"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",LEN(Registro!$E731))),({1,2,3,4,5,6,7,8,9,10,11,12,13,14,15,16,17,18,19,20,21,22,23,24,25,26,27,28,29,30}-1)*LEN(Registro!$E731)+1,LEN(Registro!$E731)))&amp;"x")-1))),"Revisar formato")))</f>
        <v/>
      </c>
      <c r="E731" s="11" t="str">
        <f>IF(Registro!$E731="","",IF(ISERROR(FIND("x",LOWER(Registro!$E731))),"-",IFERROR(SUMPRODUCT(--("0"&amp;LEFT(TRIM(MID(SUBSTITUTE(SUBSTITUTE(SUBSTITUTE(SUBSTITUTE(SUBSTITUTE(LOWER(Registro!$E731),"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",LEN(Registro!$E731))),({1,2,3,4,5,6,7,8,9,10,11,12,13,14,15,16,17,18,19,20,21,22,23,24,25,26,27,28,29,30}-1)*LEN(Registro!$E731)+1,LEN(Registro!$E731)))&amp;"x")-1)),--("0"&amp;MID(TRIM(MID(SUBSTITUTE(SUBSTITUTE(SUBSTITUTE(SUBSTITUTE(SUBSTITUTE(LOWER(Registro!$E731),"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",LEN(Registro!$E731))),({1,2,3,4,5,6,7,8,9,10,11,12,13,14,15,16,17,18,19,20,21,22,23,24,25,26,27,28,29,30}-1)*LEN(Registro!$E731)+1,LEN(Registro!$E731)))&amp;"x")+1,20))),"Revisar formato")))</f>
        <v/>
      </c>
      <c r="F731" s="11" t="str">
        <f>IF(Registro!$F731="","",N(Registro!$F731))</f>
        <v/>
      </c>
      <c r="G731" s="11" t="str">
        <f t="shared" si="34"/>
        <v/>
      </c>
      <c r="H731" s="10" t="str">
        <f>IF(Registro!$G731="","",IF(ISERROR(FIND("x",LOWER(Registro!$G731))),"-",IFERROR(SUMPRODUCT(--("0"&amp;LEFT(TRIM(MID(SUBSTITUTE(SUBSTITUTE(SUBSTITUTE(SUBSTITUTE(SUBSTITUTE(LOWER(Registro!$G731),"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",LEN(Registro!$G731))),({1,2,3,4,5,6,7,8,9,10,11,12,13,14,15,16,17,18,19,20,21,22,23,24,25,26,27,28,29,30}-1)*LEN(Registro!$G731)+1,LEN(Registro!$G731))),FIND("x",TRIM(MID(SUBSTITUTE(SUBSTITUTE(SUBSTITUTE(SUBSTITUTE(SUBSTITUTE(LOWER(Registro!$G731),"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",LEN(Registro!$G731))),({1,2,3,4,5,6,7,8,9,10,11,12,13,14,15,16,17,18,19,20,21,22,23,24,25,26,27,28,29,30}-1)*LEN(Registro!$G731)+1,LEN(Registro!$G731)))&amp;"x")-1))),"Revisar formato")))</f>
        <v/>
      </c>
      <c r="I731" s="11" t="str">
        <f>IF(Registro!$G731="","",IF(ISERROR(FIND("x",LOWER(Registro!$G731))),N(Registro!$H731),IFERROR(SUMPRODUCT(--("0"&amp;LEFT(TRIM(MID(SUBSTITUTE(SUBSTITUTE(SUBSTITUTE(SUBSTITUTE(SUBSTITUTE(LOWER(Registro!$G731),"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",LEN(Registro!$G731))),({1,2,3,4,5,6,7,8,9,10,11,12,13,14,15,16,17,18,19,20,21,22,23,24,25,26,27,28,29,30}-1)*LEN(Registro!$G731)+1,LEN(Registro!$G731))),FIND("x",TRIM(MID(SUBSTITUTE(SUBSTITUTE(SUBSTITUTE(SUBSTITUTE(SUBSTITUTE(LOWER(Registro!$G731),"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",LEN(Registro!$G731))),({1,2,3,4,5,6,7,8,9,10,11,12,13,14,15,16,17,18,19,20,21,22,23,24,25,26,27,28,29,30}-1)*LEN(Registro!$G731)+1,LEN(Registro!$G731)))&amp;"x")-1)),--("0"&amp;MID(TRIM(MID(SUBSTITUTE(SUBSTITUTE(SUBSTITUTE(SUBSTITUTE(SUBSTITUTE(LOWER(Registro!$G731),"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",LEN(Registro!$G731))),({1,2,3,4,5,6,7,8,9,10,11,12,13,14,15,16,17,18,19,20,21,22,23,24,25,26,27,28,29,30}-1)*LEN(Registro!$G731)+1,LEN(Registro!$G731))),FIND("x",TRIM(MID(SUBSTITUTE(SUBSTITUTE(SUBSTITUTE(SUBSTITUTE(SUBSTITUTE(LOWER(Registro!$G731),"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",LEN(Registro!$G731))),({1,2,3,4,5,6,7,8,9,10,11,12,13,14,15,16,17,18,19,20,21,22,23,24,25,26,27,28,29,30}-1)*LEN(Registro!$G731)+1,LEN(Registro!$G731)))&amp;"x")+1,20))),"Revisar formato")))</f>
        <v/>
      </c>
      <c r="J731" s="9" t="str">
        <f>IF(AND(Registro!$E731="",Registro!$G731=""),"",IF(NOT(AND(ISNUMBER(I731),ISNUMBER(Registro!$H731))),"",IF(I731&lt;Registro!$H731,"FALTA BOLETOS",IF(I731=Registro!$H731,"CONFORME","DIFERENCIA"))))</f>
        <v/>
      </c>
      <c r="K731" s="11" t="str">
        <f>IF(Registro!$I731="","",IFERROR(SUMPRODUCT(--("0"&amp;TRIM(RIGHT(SUBSTITUTE(TRIM(MID(SUBSTITUTE(SUBSTITUTE(Registro!$I731,";",CHAR(10)),CHAR(10),REPT(" ",LEN(Registro!$I731))),({1,2,3,4,5,6,7,8,9,10,11,12,13,14,15,16,17,18,19,20,21,22,23,24,25,26,27,28,29,30}-1)*LEN(Registro!$I731)+1,LEN(Registro!$I731)))," ",REPT(" ",50)),50)))),"Revisar formato"))</f>
        <v/>
      </c>
      <c r="L731" s="11" t="str">
        <f>IF(Registro!$J731="","",IFERROR(SUMPRODUCT(--("0"&amp;TRIM(RIGHT(SUBSTITUTE(TRIM(MID(SUBSTITUTE(SUBSTITUTE(Registro!$J731,";",CHAR(10)),CHAR(10),REPT(" ",LEN(Registro!$J731))),({1,2,3,4,5,6,7,8,9,10,11,12,13,14,15,16,17,18,19,20,21,22,23,24,25,26,27,28,29,30}-1)*LEN(Registro!$J731)+1,LEN(Registro!$J731)))," ",REPT(" ",50)),50)))),"Revisar formato"))</f>
        <v/>
      </c>
      <c r="M731" s="11" t="str">
        <f>IF(AND(Registro!$H731="",Registro!$I731=""),"",IF(AND(ISTEXT(K731),K731&lt;&gt;""),"Revisar formato",N(Registro!$H731)-N(K731)))</f>
        <v/>
      </c>
      <c r="N731" s="11" t="str">
        <f t="shared" si="35"/>
        <v/>
      </c>
      <c r="O731" s="15" t="str">
        <f>IF(AND(A731=Consulta!$B$3,C731=Consulta!$H$3),B731*10000+ROW(),"")</f>
        <v/>
      </c>
    </row>
    <row r="732" spans="1:15" x14ac:dyDescent="0.25">
      <c r="A732" s="9" t="str">
        <f>IF(Registro!$A732="","",Registro!$A732)</f>
        <v/>
      </c>
      <c r="B732" s="8" t="str">
        <f>IF(Registro!$B732="","",Registro!$B732)</f>
        <v/>
      </c>
      <c r="C732" s="14" t="str">
        <f t="shared" si="33"/>
        <v/>
      </c>
      <c r="D732" s="10" t="str">
        <f>IF(Registro!$E732="","",IF(ISERROR(FIND("x",LOWER(Registro!$E732))),"-",IFERROR(SUMPRODUCT(--("0"&amp;LEFT(TRIM(MID(SUBSTITUTE(SUBSTITUTE(SUBSTITUTE(SUBSTITUTE(SUBSTITUTE(LOWER(Registro!$E732),"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",LEN(Registro!$E732))),({1,2,3,4,5,6,7,8,9,10,11,12,13,14,15,16,17,18,19,20,21,22,23,24,25,26,27,28,29,30}-1)*LEN(Registro!$E732)+1,LEN(Registro!$E732)))&amp;"x")-1))),"Revisar formato")))</f>
        <v/>
      </c>
      <c r="E732" s="11" t="str">
        <f>IF(Registro!$E732="","",IF(ISERROR(FIND("x",LOWER(Registro!$E732))),"-",IFERROR(SUMPRODUCT(--("0"&amp;LEFT(TRIM(MID(SUBSTITUTE(SUBSTITUTE(SUBSTITUTE(SUBSTITUTE(SUBSTITUTE(LOWER(Registro!$E732),"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",LEN(Registro!$E732))),({1,2,3,4,5,6,7,8,9,10,11,12,13,14,15,16,17,18,19,20,21,22,23,24,25,26,27,28,29,30}-1)*LEN(Registro!$E732)+1,LEN(Registro!$E732)))&amp;"x")-1)),--("0"&amp;MID(TRIM(MID(SUBSTITUTE(SUBSTITUTE(SUBSTITUTE(SUBSTITUTE(SUBSTITUTE(LOWER(Registro!$E732),"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",LEN(Registro!$E732))),({1,2,3,4,5,6,7,8,9,10,11,12,13,14,15,16,17,18,19,20,21,22,23,24,25,26,27,28,29,30}-1)*LEN(Registro!$E732)+1,LEN(Registro!$E732)))&amp;"x")+1,20))),"Revisar formato")))</f>
        <v/>
      </c>
      <c r="F732" s="11" t="str">
        <f>IF(Registro!$F732="","",N(Registro!$F732))</f>
        <v/>
      </c>
      <c r="G732" s="11" t="str">
        <f t="shared" si="34"/>
        <v/>
      </c>
      <c r="H732" s="10" t="str">
        <f>IF(Registro!$G732="","",IF(ISERROR(FIND("x",LOWER(Registro!$G732))),"-",IFERROR(SUMPRODUCT(--("0"&amp;LEFT(TRIM(MID(SUBSTITUTE(SUBSTITUTE(SUBSTITUTE(SUBSTITUTE(SUBSTITUTE(LOWER(Registro!$G732),"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",LEN(Registro!$G732))),({1,2,3,4,5,6,7,8,9,10,11,12,13,14,15,16,17,18,19,20,21,22,23,24,25,26,27,28,29,30}-1)*LEN(Registro!$G732)+1,LEN(Registro!$G732))),FIND("x",TRIM(MID(SUBSTITUTE(SUBSTITUTE(SUBSTITUTE(SUBSTITUTE(SUBSTITUTE(LOWER(Registro!$G732),"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",LEN(Registro!$G732))),({1,2,3,4,5,6,7,8,9,10,11,12,13,14,15,16,17,18,19,20,21,22,23,24,25,26,27,28,29,30}-1)*LEN(Registro!$G732)+1,LEN(Registro!$G732)))&amp;"x")-1))),"Revisar formato")))</f>
        <v/>
      </c>
      <c r="I732" s="11" t="str">
        <f>IF(Registro!$G732="","",IF(ISERROR(FIND("x",LOWER(Registro!$G732))),N(Registro!$H732),IFERROR(SUMPRODUCT(--("0"&amp;LEFT(TRIM(MID(SUBSTITUTE(SUBSTITUTE(SUBSTITUTE(SUBSTITUTE(SUBSTITUTE(LOWER(Registro!$G732),"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",LEN(Registro!$G732))),({1,2,3,4,5,6,7,8,9,10,11,12,13,14,15,16,17,18,19,20,21,22,23,24,25,26,27,28,29,30}-1)*LEN(Registro!$G732)+1,LEN(Registro!$G732))),FIND("x",TRIM(MID(SUBSTITUTE(SUBSTITUTE(SUBSTITUTE(SUBSTITUTE(SUBSTITUTE(LOWER(Registro!$G732),"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",LEN(Registro!$G732))),({1,2,3,4,5,6,7,8,9,10,11,12,13,14,15,16,17,18,19,20,21,22,23,24,25,26,27,28,29,30}-1)*LEN(Registro!$G732)+1,LEN(Registro!$G732)))&amp;"x")-1)),--("0"&amp;MID(TRIM(MID(SUBSTITUTE(SUBSTITUTE(SUBSTITUTE(SUBSTITUTE(SUBSTITUTE(LOWER(Registro!$G732),"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",LEN(Registro!$G732))),({1,2,3,4,5,6,7,8,9,10,11,12,13,14,15,16,17,18,19,20,21,22,23,24,25,26,27,28,29,30}-1)*LEN(Registro!$G732)+1,LEN(Registro!$G732))),FIND("x",TRIM(MID(SUBSTITUTE(SUBSTITUTE(SUBSTITUTE(SUBSTITUTE(SUBSTITUTE(LOWER(Registro!$G732),"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",LEN(Registro!$G732))),({1,2,3,4,5,6,7,8,9,10,11,12,13,14,15,16,17,18,19,20,21,22,23,24,25,26,27,28,29,30}-1)*LEN(Registro!$G732)+1,LEN(Registro!$G732)))&amp;"x")+1,20))),"Revisar formato")))</f>
        <v/>
      </c>
      <c r="J732" s="9" t="str">
        <f>IF(AND(Registro!$E732="",Registro!$G732=""),"",IF(NOT(AND(ISNUMBER(I732),ISNUMBER(Registro!$H732))),"",IF(I732&lt;Registro!$H732,"FALTA BOLETOS",IF(I732=Registro!$H732,"CONFORME","DIFERENCIA"))))</f>
        <v/>
      </c>
      <c r="K732" s="11" t="str">
        <f>IF(Registro!$I732="","",IFERROR(SUMPRODUCT(--("0"&amp;TRIM(RIGHT(SUBSTITUTE(TRIM(MID(SUBSTITUTE(SUBSTITUTE(Registro!$I732,";",CHAR(10)),CHAR(10),REPT(" ",LEN(Registro!$I732))),({1,2,3,4,5,6,7,8,9,10,11,12,13,14,15,16,17,18,19,20,21,22,23,24,25,26,27,28,29,30}-1)*LEN(Registro!$I732)+1,LEN(Registro!$I732)))," ",REPT(" ",50)),50)))),"Revisar formato"))</f>
        <v/>
      </c>
      <c r="L732" s="11" t="str">
        <f>IF(Registro!$J732="","",IFERROR(SUMPRODUCT(--("0"&amp;TRIM(RIGHT(SUBSTITUTE(TRIM(MID(SUBSTITUTE(SUBSTITUTE(Registro!$J732,";",CHAR(10)),CHAR(10),REPT(" ",LEN(Registro!$J732))),({1,2,3,4,5,6,7,8,9,10,11,12,13,14,15,16,17,18,19,20,21,22,23,24,25,26,27,28,29,30}-1)*LEN(Registro!$J732)+1,LEN(Registro!$J732)))," ",REPT(" ",50)),50)))),"Revisar formato"))</f>
        <v/>
      </c>
      <c r="M732" s="11" t="str">
        <f>IF(AND(Registro!$H732="",Registro!$I732=""),"",IF(AND(ISTEXT(K732),K732&lt;&gt;""),"Revisar formato",N(Registro!$H732)-N(K732)))</f>
        <v/>
      </c>
      <c r="N732" s="11" t="str">
        <f t="shared" si="35"/>
        <v/>
      </c>
      <c r="O732" s="15" t="str">
        <f>IF(AND(A732=Consulta!$B$3,C732=Consulta!$H$3),B732*10000+ROW(),"")</f>
        <v/>
      </c>
    </row>
    <row r="733" spans="1:15" x14ac:dyDescent="0.25">
      <c r="A733" s="9" t="str">
        <f>IF(Registro!$A733="","",Registro!$A733)</f>
        <v/>
      </c>
      <c r="B733" s="8" t="str">
        <f>IF(Registro!$B733="","",Registro!$B733)</f>
        <v/>
      </c>
      <c r="C733" s="14" t="str">
        <f t="shared" si="33"/>
        <v/>
      </c>
      <c r="D733" s="10" t="str">
        <f>IF(Registro!$E733="","",IF(ISERROR(FIND("x",LOWER(Registro!$E733))),"-",IFERROR(SUMPRODUCT(--("0"&amp;LEFT(TRIM(MID(SUBSTITUTE(SUBSTITUTE(SUBSTITUTE(SUBSTITUTE(SUBSTITUTE(LOWER(Registro!$E733),"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",LEN(Registro!$E733))),({1,2,3,4,5,6,7,8,9,10,11,12,13,14,15,16,17,18,19,20,21,22,23,24,25,26,27,28,29,30}-1)*LEN(Registro!$E733)+1,LEN(Registro!$E733)))&amp;"x")-1))),"Revisar formato")))</f>
        <v/>
      </c>
      <c r="E733" s="11" t="str">
        <f>IF(Registro!$E733="","",IF(ISERROR(FIND("x",LOWER(Registro!$E733))),"-",IFERROR(SUMPRODUCT(--("0"&amp;LEFT(TRIM(MID(SUBSTITUTE(SUBSTITUTE(SUBSTITUTE(SUBSTITUTE(SUBSTITUTE(LOWER(Registro!$E733),"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",LEN(Registro!$E733))),({1,2,3,4,5,6,7,8,9,10,11,12,13,14,15,16,17,18,19,20,21,22,23,24,25,26,27,28,29,30}-1)*LEN(Registro!$E733)+1,LEN(Registro!$E733)))&amp;"x")-1)),--("0"&amp;MID(TRIM(MID(SUBSTITUTE(SUBSTITUTE(SUBSTITUTE(SUBSTITUTE(SUBSTITUTE(LOWER(Registro!$E733),"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",LEN(Registro!$E733))),({1,2,3,4,5,6,7,8,9,10,11,12,13,14,15,16,17,18,19,20,21,22,23,24,25,26,27,28,29,30}-1)*LEN(Registro!$E733)+1,LEN(Registro!$E733)))&amp;"x")+1,20))),"Revisar formato")))</f>
        <v/>
      </c>
      <c r="F733" s="11" t="str">
        <f>IF(Registro!$F733="","",N(Registro!$F733))</f>
        <v/>
      </c>
      <c r="G733" s="11" t="str">
        <f t="shared" si="34"/>
        <v/>
      </c>
      <c r="H733" s="10" t="str">
        <f>IF(Registro!$G733="","",IF(ISERROR(FIND("x",LOWER(Registro!$G733))),"-",IFERROR(SUMPRODUCT(--("0"&amp;LEFT(TRIM(MID(SUBSTITUTE(SUBSTITUTE(SUBSTITUTE(SUBSTITUTE(SUBSTITUTE(LOWER(Registro!$G733),"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",LEN(Registro!$G733))),({1,2,3,4,5,6,7,8,9,10,11,12,13,14,15,16,17,18,19,20,21,22,23,24,25,26,27,28,29,30}-1)*LEN(Registro!$G733)+1,LEN(Registro!$G733))),FIND("x",TRIM(MID(SUBSTITUTE(SUBSTITUTE(SUBSTITUTE(SUBSTITUTE(SUBSTITUTE(LOWER(Registro!$G733),"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",LEN(Registro!$G733))),({1,2,3,4,5,6,7,8,9,10,11,12,13,14,15,16,17,18,19,20,21,22,23,24,25,26,27,28,29,30}-1)*LEN(Registro!$G733)+1,LEN(Registro!$G733)))&amp;"x")-1))),"Revisar formato")))</f>
        <v/>
      </c>
      <c r="I733" s="11" t="str">
        <f>IF(Registro!$G733="","",IF(ISERROR(FIND("x",LOWER(Registro!$G733))),N(Registro!$H733),IFERROR(SUMPRODUCT(--("0"&amp;LEFT(TRIM(MID(SUBSTITUTE(SUBSTITUTE(SUBSTITUTE(SUBSTITUTE(SUBSTITUTE(LOWER(Registro!$G733),"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",LEN(Registro!$G733))),({1,2,3,4,5,6,7,8,9,10,11,12,13,14,15,16,17,18,19,20,21,22,23,24,25,26,27,28,29,30}-1)*LEN(Registro!$G733)+1,LEN(Registro!$G733))),FIND("x",TRIM(MID(SUBSTITUTE(SUBSTITUTE(SUBSTITUTE(SUBSTITUTE(SUBSTITUTE(LOWER(Registro!$G733),"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",LEN(Registro!$G733))),({1,2,3,4,5,6,7,8,9,10,11,12,13,14,15,16,17,18,19,20,21,22,23,24,25,26,27,28,29,30}-1)*LEN(Registro!$G733)+1,LEN(Registro!$G733)))&amp;"x")-1)),--("0"&amp;MID(TRIM(MID(SUBSTITUTE(SUBSTITUTE(SUBSTITUTE(SUBSTITUTE(SUBSTITUTE(LOWER(Registro!$G733),"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",LEN(Registro!$G733))),({1,2,3,4,5,6,7,8,9,10,11,12,13,14,15,16,17,18,19,20,21,22,23,24,25,26,27,28,29,30}-1)*LEN(Registro!$G733)+1,LEN(Registro!$G733))),FIND("x",TRIM(MID(SUBSTITUTE(SUBSTITUTE(SUBSTITUTE(SUBSTITUTE(SUBSTITUTE(LOWER(Registro!$G733),"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",LEN(Registro!$G733))),({1,2,3,4,5,6,7,8,9,10,11,12,13,14,15,16,17,18,19,20,21,22,23,24,25,26,27,28,29,30}-1)*LEN(Registro!$G733)+1,LEN(Registro!$G733)))&amp;"x")+1,20))),"Revisar formato")))</f>
        <v/>
      </c>
      <c r="J733" s="9" t="str">
        <f>IF(AND(Registro!$E733="",Registro!$G733=""),"",IF(NOT(AND(ISNUMBER(I733),ISNUMBER(Registro!$H733))),"",IF(I733&lt;Registro!$H733,"FALTA BOLETOS",IF(I733=Registro!$H733,"CONFORME","DIFERENCIA"))))</f>
        <v/>
      </c>
      <c r="K733" s="11" t="str">
        <f>IF(Registro!$I733="","",IFERROR(SUMPRODUCT(--("0"&amp;TRIM(RIGHT(SUBSTITUTE(TRIM(MID(SUBSTITUTE(SUBSTITUTE(Registro!$I733,";",CHAR(10)),CHAR(10),REPT(" ",LEN(Registro!$I733))),({1,2,3,4,5,6,7,8,9,10,11,12,13,14,15,16,17,18,19,20,21,22,23,24,25,26,27,28,29,30}-1)*LEN(Registro!$I733)+1,LEN(Registro!$I733)))," ",REPT(" ",50)),50)))),"Revisar formato"))</f>
        <v/>
      </c>
      <c r="L733" s="11" t="str">
        <f>IF(Registro!$J733="","",IFERROR(SUMPRODUCT(--("0"&amp;TRIM(RIGHT(SUBSTITUTE(TRIM(MID(SUBSTITUTE(SUBSTITUTE(Registro!$J733,";",CHAR(10)),CHAR(10),REPT(" ",LEN(Registro!$J733))),({1,2,3,4,5,6,7,8,9,10,11,12,13,14,15,16,17,18,19,20,21,22,23,24,25,26,27,28,29,30}-1)*LEN(Registro!$J733)+1,LEN(Registro!$J733)))," ",REPT(" ",50)),50)))),"Revisar formato"))</f>
        <v/>
      </c>
      <c r="M733" s="11" t="str">
        <f>IF(AND(Registro!$H733="",Registro!$I733=""),"",IF(AND(ISTEXT(K733),K733&lt;&gt;""),"Revisar formato",N(Registro!$H733)-N(K733)))</f>
        <v/>
      </c>
      <c r="N733" s="11" t="str">
        <f t="shared" si="35"/>
        <v/>
      </c>
      <c r="O733" s="15" t="str">
        <f>IF(AND(A733=Consulta!$B$3,C733=Consulta!$H$3),B733*10000+ROW(),"")</f>
        <v/>
      </c>
    </row>
    <row r="734" spans="1:15" x14ac:dyDescent="0.25">
      <c r="A734" s="9" t="str">
        <f>IF(Registro!$A734="","",Registro!$A734)</f>
        <v/>
      </c>
      <c r="B734" s="8" t="str">
        <f>IF(Registro!$B734="","",Registro!$B734)</f>
        <v/>
      </c>
      <c r="C734" s="14" t="str">
        <f t="shared" si="33"/>
        <v/>
      </c>
      <c r="D734" s="10" t="str">
        <f>IF(Registro!$E734="","",IF(ISERROR(FIND("x",LOWER(Registro!$E734))),"-",IFERROR(SUMPRODUCT(--("0"&amp;LEFT(TRIM(MID(SUBSTITUTE(SUBSTITUTE(SUBSTITUTE(SUBSTITUTE(SUBSTITUTE(LOWER(Registro!$E734),"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",LEN(Registro!$E734))),({1,2,3,4,5,6,7,8,9,10,11,12,13,14,15,16,17,18,19,20,21,22,23,24,25,26,27,28,29,30}-1)*LEN(Registro!$E734)+1,LEN(Registro!$E734)))&amp;"x")-1))),"Revisar formato")))</f>
        <v/>
      </c>
      <c r="E734" s="11" t="str">
        <f>IF(Registro!$E734="","",IF(ISERROR(FIND("x",LOWER(Registro!$E734))),"-",IFERROR(SUMPRODUCT(--("0"&amp;LEFT(TRIM(MID(SUBSTITUTE(SUBSTITUTE(SUBSTITUTE(SUBSTITUTE(SUBSTITUTE(LOWER(Registro!$E734),"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",LEN(Registro!$E734))),({1,2,3,4,5,6,7,8,9,10,11,12,13,14,15,16,17,18,19,20,21,22,23,24,25,26,27,28,29,30}-1)*LEN(Registro!$E734)+1,LEN(Registro!$E734)))&amp;"x")-1)),--("0"&amp;MID(TRIM(MID(SUBSTITUTE(SUBSTITUTE(SUBSTITUTE(SUBSTITUTE(SUBSTITUTE(LOWER(Registro!$E734),"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",LEN(Registro!$E734))),({1,2,3,4,5,6,7,8,9,10,11,12,13,14,15,16,17,18,19,20,21,22,23,24,25,26,27,28,29,30}-1)*LEN(Registro!$E734)+1,LEN(Registro!$E734)))&amp;"x")+1,20))),"Revisar formato")))</f>
        <v/>
      </c>
      <c r="F734" s="11" t="str">
        <f>IF(Registro!$F734="","",N(Registro!$F734))</f>
        <v/>
      </c>
      <c r="G734" s="11" t="str">
        <f t="shared" si="34"/>
        <v/>
      </c>
      <c r="H734" s="10" t="str">
        <f>IF(Registro!$G734="","",IF(ISERROR(FIND("x",LOWER(Registro!$G734))),"-",IFERROR(SUMPRODUCT(--("0"&amp;LEFT(TRIM(MID(SUBSTITUTE(SUBSTITUTE(SUBSTITUTE(SUBSTITUTE(SUBSTITUTE(LOWER(Registro!$G734),"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",LEN(Registro!$G734))),({1,2,3,4,5,6,7,8,9,10,11,12,13,14,15,16,17,18,19,20,21,22,23,24,25,26,27,28,29,30}-1)*LEN(Registro!$G734)+1,LEN(Registro!$G734))),FIND("x",TRIM(MID(SUBSTITUTE(SUBSTITUTE(SUBSTITUTE(SUBSTITUTE(SUBSTITUTE(LOWER(Registro!$G734),"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",LEN(Registro!$G734))),({1,2,3,4,5,6,7,8,9,10,11,12,13,14,15,16,17,18,19,20,21,22,23,24,25,26,27,28,29,30}-1)*LEN(Registro!$G734)+1,LEN(Registro!$G734)))&amp;"x")-1))),"Revisar formato")))</f>
        <v/>
      </c>
      <c r="I734" s="11" t="str">
        <f>IF(Registro!$G734="","",IF(ISERROR(FIND("x",LOWER(Registro!$G734))),N(Registro!$H734),IFERROR(SUMPRODUCT(--("0"&amp;LEFT(TRIM(MID(SUBSTITUTE(SUBSTITUTE(SUBSTITUTE(SUBSTITUTE(SUBSTITUTE(LOWER(Registro!$G734),"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",LEN(Registro!$G734))),({1,2,3,4,5,6,7,8,9,10,11,12,13,14,15,16,17,18,19,20,21,22,23,24,25,26,27,28,29,30}-1)*LEN(Registro!$G734)+1,LEN(Registro!$G734))),FIND("x",TRIM(MID(SUBSTITUTE(SUBSTITUTE(SUBSTITUTE(SUBSTITUTE(SUBSTITUTE(LOWER(Registro!$G734),"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",LEN(Registro!$G734))),({1,2,3,4,5,6,7,8,9,10,11,12,13,14,15,16,17,18,19,20,21,22,23,24,25,26,27,28,29,30}-1)*LEN(Registro!$G734)+1,LEN(Registro!$G734)))&amp;"x")-1)),--("0"&amp;MID(TRIM(MID(SUBSTITUTE(SUBSTITUTE(SUBSTITUTE(SUBSTITUTE(SUBSTITUTE(LOWER(Registro!$G734),"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",LEN(Registro!$G734))),({1,2,3,4,5,6,7,8,9,10,11,12,13,14,15,16,17,18,19,20,21,22,23,24,25,26,27,28,29,30}-1)*LEN(Registro!$G734)+1,LEN(Registro!$G734))),FIND("x",TRIM(MID(SUBSTITUTE(SUBSTITUTE(SUBSTITUTE(SUBSTITUTE(SUBSTITUTE(LOWER(Registro!$G734),"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",LEN(Registro!$G734))),({1,2,3,4,5,6,7,8,9,10,11,12,13,14,15,16,17,18,19,20,21,22,23,24,25,26,27,28,29,30}-1)*LEN(Registro!$G734)+1,LEN(Registro!$G734)))&amp;"x")+1,20))),"Revisar formato")))</f>
        <v/>
      </c>
      <c r="J734" s="9" t="str">
        <f>IF(AND(Registro!$E734="",Registro!$G734=""),"",IF(NOT(AND(ISNUMBER(I734),ISNUMBER(Registro!$H734))),"",IF(I734&lt;Registro!$H734,"FALTA BOLETOS",IF(I734=Registro!$H734,"CONFORME","DIFERENCIA"))))</f>
        <v/>
      </c>
      <c r="K734" s="11" t="str">
        <f>IF(Registro!$I734="","",IFERROR(SUMPRODUCT(--("0"&amp;TRIM(RIGHT(SUBSTITUTE(TRIM(MID(SUBSTITUTE(SUBSTITUTE(Registro!$I734,";",CHAR(10)),CHAR(10),REPT(" ",LEN(Registro!$I734))),({1,2,3,4,5,6,7,8,9,10,11,12,13,14,15,16,17,18,19,20,21,22,23,24,25,26,27,28,29,30}-1)*LEN(Registro!$I734)+1,LEN(Registro!$I734)))," ",REPT(" ",50)),50)))),"Revisar formato"))</f>
        <v/>
      </c>
      <c r="L734" s="11" t="str">
        <f>IF(Registro!$J734="","",IFERROR(SUMPRODUCT(--("0"&amp;TRIM(RIGHT(SUBSTITUTE(TRIM(MID(SUBSTITUTE(SUBSTITUTE(Registro!$J734,";",CHAR(10)),CHAR(10),REPT(" ",LEN(Registro!$J734))),({1,2,3,4,5,6,7,8,9,10,11,12,13,14,15,16,17,18,19,20,21,22,23,24,25,26,27,28,29,30}-1)*LEN(Registro!$J734)+1,LEN(Registro!$J734)))," ",REPT(" ",50)),50)))),"Revisar formato"))</f>
        <v/>
      </c>
      <c r="M734" s="11" t="str">
        <f>IF(AND(Registro!$H734="",Registro!$I734=""),"",IF(AND(ISTEXT(K734),K734&lt;&gt;""),"Revisar formato",N(Registro!$H734)-N(K734)))</f>
        <v/>
      </c>
      <c r="N734" s="11" t="str">
        <f t="shared" si="35"/>
        <v/>
      </c>
      <c r="O734" s="15" t="str">
        <f>IF(AND(A734=Consulta!$B$3,C734=Consulta!$H$3),B734*10000+ROW(),"")</f>
        <v/>
      </c>
    </row>
    <row r="735" spans="1:15" x14ac:dyDescent="0.25">
      <c r="A735" s="9" t="str">
        <f>IF(Registro!$A735="","",Registro!$A735)</f>
        <v/>
      </c>
      <c r="B735" s="8" t="str">
        <f>IF(Registro!$B735="","",Registro!$B735)</f>
        <v/>
      </c>
      <c r="C735" s="14" t="str">
        <f t="shared" si="33"/>
        <v/>
      </c>
      <c r="D735" s="10" t="str">
        <f>IF(Registro!$E735="","",IF(ISERROR(FIND("x",LOWER(Registro!$E735))),"-",IFERROR(SUMPRODUCT(--("0"&amp;LEFT(TRIM(MID(SUBSTITUTE(SUBSTITUTE(SUBSTITUTE(SUBSTITUTE(SUBSTITUTE(LOWER(Registro!$E735),"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",LEN(Registro!$E735))),({1,2,3,4,5,6,7,8,9,10,11,12,13,14,15,16,17,18,19,20,21,22,23,24,25,26,27,28,29,30}-1)*LEN(Registro!$E735)+1,LEN(Registro!$E735)))&amp;"x")-1))),"Revisar formato")))</f>
        <v/>
      </c>
      <c r="E735" s="11" t="str">
        <f>IF(Registro!$E735="","",IF(ISERROR(FIND("x",LOWER(Registro!$E735))),"-",IFERROR(SUMPRODUCT(--("0"&amp;LEFT(TRIM(MID(SUBSTITUTE(SUBSTITUTE(SUBSTITUTE(SUBSTITUTE(SUBSTITUTE(LOWER(Registro!$E735),"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",LEN(Registro!$E735))),({1,2,3,4,5,6,7,8,9,10,11,12,13,14,15,16,17,18,19,20,21,22,23,24,25,26,27,28,29,30}-1)*LEN(Registro!$E735)+1,LEN(Registro!$E735)))&amp;"x")-1)),--("0"&amp;MID(TRIM(MID(SUBSTITUTE(SUBSTITUTE(SUBSTITUTE(SUBSTITUTE(SUBSTITUTE(LOWER(Registro!$E735),"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",LEN(Registro!$E735))),({1,2,3,4,5,6,7,8,9,10,11,12,13,14,15,16,17,18,19,20,21,22,23,24,25,26,27,28,29,30}-1)*LEN(Registro!$E735)+1,LEN(Registro!$E735)))&amp;"x")+1,20))),"Revisar formato")))</f>
        <v/>
      </c>
      <c r="F735" s="11" t="str">
        <f>IF(Registro!$F735="","",N(Registro!$F735))</f>
        <v/>
      </c>
      <c r="G735" s="11" t="str">
        <f t="shared" si="34"/>
        <v/>
      </c>
      <c r="H735" s="10" t="str">
        <f>IF(Registro!$G735="","",IF(ISERROR(FIND("x",LOWER(Registro!$G735))),"-",IFERROR(SUMPRODUCT(--("0"&amp;LEFT(TRIM(MID(SUBSTITUTE(SUBSTITUTE(SUBSTITUTE(SUBSTITUTE(SUBSTITUTE(LOWER(Registro!$G735),"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",LEN(Registro!$G735))),({1,2,3,4,5,6,7,8,9,10,11,12,13,14,15,16,17,18,19,20,21,22,23,24,25,26,27,28,29,30}-1)*LEN(Registro!$G735)+1,LEN(Registro!$G735))),FIND("x",TRIM(MID(SUBSTITUTE(SUBSTITUTE(SUBSTITUTE(SUBSTITUTE(SUBSTITUTE(LOWER(Registro!$G735),"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",LEN(Registro!$G735))),({1,2,3,4,5,6,7,8,9,10,11,12,13,14,15,16,17,18,19,20,21,22,23,24,25,26,27,28,29,30}-1)*LEN(Registro!$G735)+1,LEN(Registro!$G735)))&amp;"x")-1))),"Revisar formato")))</f>
        <v/>
      </c>
      <c r="I735" s="11" t="str">
        <f>IF(Registro!$G735="","",IF(ISERROR(FIND("x",LOWER(Registro!$G735))),N(Registro!$H735),IFERROR(SUMPRODUCT(--("0"&amp;LEFT(TRIM(MID(SUBSTITUTE(SUBSTITUTE(SUBSTITUTE(SUBSTITUTE(SUBSTITUTE(LOWER(Registro!$G735),"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",LEN(Registro!$G735))),({1,2,3,4,5,6,7,8,9,10,11,12,13,14,15,16,17,18,19,20,21,22,23,24,25,26,27,28,29,30}-1)*LEN(Registro!$G735)+1,LEN(Registro!$G735))),FIND("x",TRIM(MID(SUBSTITUTE(SUBSTITUTE(SUBSTITUTE(SUBSTITUTE(SUBSTITUTE(LOWER(Registro!$G735),"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",LEN(Registro!$G735))),({1,2,3,4,5,6,7,8,9,10,11,12,13,14,15,16,17,18,19,20,21,22,23,24,25,26,27,28,29,30}-1)*LEN(Registro!$G735)+1,LEN(Registro!$G735)))&amp;"x")-1)),--("0"&amp;MID(TRIM(MID(SUBSTITUTE(SUBSTITUTE(SUBSTITUTE(SUBSTITUTE(SUBSTITUTE(LOWER(Registro!$G735),"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",LEN(Registro!$G735))),({1,2,3,4,5,6,7,8,9,10,11,12,13,14,15,16,17,18,19,20,21,22,23,24,25,26,27,28,29,30}-1)*LEN(Registro!$G735)+1,LEN(Registro!$G735))),FIND("x",TRIM(MID(SUBSTITUTE(SUBSTITUTE(SUBSTITUTE(SUBSTITUTE(SUBSTITUTE(LOWER(Registro!$G735),"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",LEN(Registro!$G735))),({1,2,3,4,5,6,7,8,9,10,11,12,13,14,15,16,17,18,19,20,21,22,23,24,25,26,27,28,29,30}-1)*LEN(Registro!$G735)+1,LEN(Registro!$G735)))&amp;"x")+1,20))),"Revisar formato")))</f>
        <v/>
      </c>
      <c r="J735" s="9" t="str">
        <f>IF(AND(Registro!$E735="",Registro!$G735=""),"",IF(NOT(AND(ISNUMBER(I735),ISNUMBER(Registro!$H735))),"",IF(I735&lt;Registro!$H735,"FALTA BOLETOS",IF(I735=Registro!$H735,"CONFORME","DIFERENCIA"))))</f>
        <v/>
      </c>
      <c r="K735" s="11" t="str">
        <f>IF(Registro!$I735="","",IFERROR(SUMPRODUCT(--("0"&amp;TRIM(RIGHT(SUBSTITUTE(TRIM(MID(SUBSTITUTE(SUBSTITUTE(Registro!$I735,";",CHAR(10)),CHAR(10),REPT(" ",LEN(Registro!$I735))),({1,2,3,4,5,6,7,8,9,10,11,12,13,14,15,16,17,18,19,20,21,22,23,24,25,26,27,28,29,30}-1)*LEN(Registro!$I735)+1,LEN(Registro!$I735)))," ",REPT(" ",50)),50)))),"Revisar formato"))</f>
        <v/>
      </c>
      <c r="L735" s="11" t="str">
        <f>IF(Registro!$J735="","",IFERROR(SUMPRODUCT(--("0"&amp;TRIM(RIGHT(SUBSTITUTE(TRIM(MID(SUBSTITUTE(SUBSTITUTE(Registro!$J735,";",CHAR(10)),CHAR(10),REPT(" ",LEN(Registro!$J735))),({1,2,3,4,5,6,7,8,9,10,11,12,13,14,15,16,17,18,19,20,21,22,23,24,25,26,27,28,29,30}-1)*LEN(Registro!$J735)+1,LEN(Registro!$J735)))," ",REPT(" ",50)),50)))),"Revisar formato"))</f>
        <v/>
      </c>
      <c r="M735" s="11" t="str">
        <f>IF(AND(Registro!$H735="",Registro!$I735=""),"",IF(AND(ISTEXT(K735),K735&lt;&gt;""),"Revisar formato",N(Registro!$H735)-N(K735)))</f>
        <v/>
      </c>
      <c r="N735" s="11" t="str">
        <f t="shared" si="35"/>
        <v/>
      </c>
      <c r="O735" s="15" t="str">
        <f>IF(AND(A735=Consulta!$B$3,C735=Consulta!$H$3),B735*10000+ROW(),"")</f>
        <v/>
      </c>
    </row>
    <row r="736" spans="1:15" x14ac:dyDescent="0.25">
      <c r="A736" s="9" t="str">
        <f>IF(Registro!$A736="","",Registro!$A736)</f>
        <v/>
      </c>
      <c r="B736" s="8" t="str">
        <f>IF(Registro!$B736="","",Registro!$B736)</f>
        <v/>
      </c>
      <c r="C736" s="14" t="str">
        <f t="shared" si="33"/>
        <v/>
      </c>
      <c r="D736" s="10" t="str">
        <f>IF(Registro!$E736="","",IF(ISERROR(FIND("x",LOWER(Registro!$E736))),"-",IFERROR(SUMPRODUCT(--("0"&amp;LEFT(TRIM(MID(SUBSTITUTE(SUBSTITUTE(SUBSTITUTE(SUBSTITUTE(SUBSTITUTE(LOWER(Registro!$E736),"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",LEN(Registro!$E736))),({1,2,3,4,5,6,7,8,9,10,11,12,13,14,15,16,17,18,19,20,21,22,23,24,25,26,27,28,29,30}-1)*LEN(Registro!$E736)+1,LEN(Registro!$E736)))&amp;"x")-1))),"Revisar formato")))</f>
        <v/>
      </c>
      <c r="E736" s="11" t="str">
        <f>IF(Registro!$E736="","",IF(ISERROR(FIND("x",LOWER(Registro!$E736))),"-",IFERROR(SUMPRODUCT(--("0"&amp;LEFT(TRIM(MID(SUBSTITUTE(SUBSTITUTE(SUBSTITUTE(SUBSTITUTE(SUBSTITUTE(LOWER(Registro!$E736),"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",LEN(Registro!$E736))),({1,2,3,4,5,6,7,8,9,10,11,12,13,14,15,16,17,18,19,20,21,22,23,24,25,26,27,28,29,30}-1)*LEN(Registro!$E736)+1,LEN(Registro!$E736)))&amp;"x")-1)),--("0"&amp;MID(TRIM(MID(SUBSTITUTE(SUBSTITUTE(SUBSTITUTE(SUBSTITUTE(SUBSTITUTE(LOWER(Registro!$E736),"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",LEN(Registro!$E736))),({1,2,3,4,5,6,7,8,9,10,11,12,13,14,15,16,17,18,19,20,21,22,23,24,25,26,27,28,29,30}-1)*LEN(Registro!$E736)+1,LEN(Registro!$E736)))&amp;"x")+1,20))),"Revisar formato")))</f>
        <v/>
      </c>
      <c r="F736" s="11" t="str">
        <f>IF(Registro!$F736="","",N(Registro!$F736))</f>
        <v/>
      </c>
      <c r="G736" s="11" t="str">
        <f t="shared" si="34"/>
        <v/>
      </c>
      <c r="H736" s="10" t="str">
        <f>IF(Registro!$G736="","",IF(ISERROR(FIND("x",LOWER(Registro!$G736))),"-",IFERROR(SUMPRODUCT(--("0"&amp;LEFT(TRIM(MID(SUBSTITUTE(SUBSTITUTE(SUBSTITUTE(SUBSTITUTE(SUBSTITUTE(LOWER(Registro!$G736),"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",LEN(Registro!$G736))),({1,2,3,4,5,6,7,8,9,10,11,12,13,14,15,16,17,18,19,20,21,22,23,24,25,26,27,28,29,30}-1)*LEN(Registro!$G736)+1,LEN(Registro!$G736))),FIND("x",TRIM(MID(SUBSTITUTE(SUBSTITUTE(SUBSTITUTE(SUBSTITUTE(SUBSTITUTE(LOWER(Registro!$G736),"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",LEN(Registro!$G736))),({1,2,3,4,5,6,7,8,9,10,11,12,13,14,15,16,17,18,19,20,21,22,23,24,25,26,27,28,29,30}-1)*LEN(Registro!$G736)+1,LEN(Registro!$G736)))&amp;"x")-1))),"Revisar formato")))</f>
        <v/>
      </c>
      <c r="I736" s="11" t="str">
        <f>IF(Registro!$G736="","",IF(ISERROR(FIND("x",LOWER(Registro!$G736))),N(Registro!$H736),IFERROR(SUMPRODUCT(--("0"&amp;LEFT(TRIM(MID(SUBSTITUTE(SUBSTITUTE(SUBSTITUTE(SUBSTITUTE(SUBSTITUTE(LOWER(Registro!$G736),"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",LEN(Registro!$G736))),({1,2,3,4,5,6,7,8,9,10,11,12,13,14,15,16,17,18,19,20,21,22,23,24,25,26,27,28,29,30}-1)*LEN(Registro!$G736)+1,LEN(Registro!$G736))),FIND("x",TRIM(MID(SUBSTITUTE(SUBSTITUTE(SUBSTITUTE(SUBSTITUTE(SUBSTITUTE(LOWER(Registro!$G736),"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",LEN(Registro!$G736))),({1,2,3,4,5,6,7,8,9,10,11,12,13,14,15,16,17,18,19,20,21,22,23,24,25,26,27,28,29,30}-1)*LEN(Registro!$G736)+1,LEN(Registro!$G736)))&amp;"x")-1)),--("0"&amp;MID(TRIM(MID(SUBSTITUTE(SUBSTITUTE(SUBSTITUTE(SUBSTITUTE(SUBSTITUTE(LOWER(Registro!$G736),"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",LEN(Registro!$G736))),({1,2,3,4,5,6,7,8,9,10,11,12,13,14,15,16,17,18,19,20,21,22,23,24,25,26,27,28,29,30}-1)*LEN(Registro!$G736)+1,LEN(Registro!$G736))),FIND("x",TRIM(MID(SUBSTITUTE(SUBSTITUTE(SUBSTITUTE(SUBSTITUTE(SUBSTITUTE(LOWER(Registro!$G736),"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",LEN(Registro!$G736))),({1,2,3,4,5,6,7,8,9,10,11,12,13,14,15,16,17,18,19,20,21,22,23,24,25,26,27,28,29,30}-1)*LEN(Registro!$G736)+1,LEN(Registro!$G736)))&amp;"x")+1,20))),"Revisar formato")))</f>
        <v/>
      </c>
      <c r="J736" s="9" t="str">
        <f>IF(AND(Registro!$E736="",Registro!$G736=""),"",IF(NOT(AND(ISNUMBER(I736),ISNUMBER(Registro!$H736))),"",IF(I736&lt;Registro!$H736,"FALTA BOLETOS",IF(I736=Registro!$H736,"CONFORME","DIFERENCIA"))))</f>
        <v/>
      </c>
      <c r="K736" s="11" t="str">
        <f>IF(Registro!$I736="","",IFERROR(SUMPRODUCT(--("0"&amp;TRIM(RIGHT(SUBSTITUTE(TRIM(MID(SUBSTITUTE(SUBSTITUTE(Registro!$I736,";",CHAR(10)),CHAR(10),REPT(" ",LEN(Registro!$I736))),({1,2,3,4,5,6,7,8,9,10,11,12,13,14,15,16,17,18,19,20,21,22,23,24,25,26,27,28,29,30}-1)*LEN(Registro!$I736)+1,LEN(Registro!$I736)))," ",REPT(" ",50)),50)))),"Revisar formato"))</f>
        <v/>
      </c>
      <c r="L736" s="11" t="str">
        <f>IF(Registro!$J736="","",IFERROR(SUMPRODUCT(--("0"&amp;TRIM(RIGHT(SUBSTITUTE(TRIM(MID(SUBSTITUTE(SUBSTITUTE(Registro!$J736,";",CHAR(10)),CHAR(10),REPT(" ",LEN(Registro!$J736))),({1,2,3,4,5,6,7,8,9,10,11,12,13,14,15,16,17,18,19,20,21,22,23,24,25,26,27,28,29,30}-1)*LEN(Registro!$J736)+1,LEN(Registro!$J736)))," ",REPT(" ",50)),50)))),"Revisar formato"))</f>
        <v/>
      </c>
      <c r="M736" s="11" t="str">
        <f>IF(AND(Registro!$H736="",Registro!$I736=""),"",IF(AND(ISTEXT(K736),K736&lt;&gt;""),"Revisar formato",N(Registro!$H736)-N(K736)))</f>
        <v/>
      </c>
      <c r="N736" s="11" t="str">
        <f t="shared" si="35"/>
        <v/>
      </c>
      <c r="O736" s="15" t="str">
        <f>IF(AND(A736=Consulta!$B$3,C736=Consulta!$H$3),B736*10000+ROW(),"")</f>
        <v/>
      </c>
    </row>
    <row r="737" spans="1:15" x14ac:dyDescent="0.25">
      <c r="A737" s="9" t="str">
        <f>IF(Registro!$A737="","",Registro!$A737)</f>
        <v/>
      </c>
      <c r="B737" s="8" t="str">
        <f>IF(Registro!$B737="","",Registro!$B737)</f>
        <v/>
      </c>
      <c r="C737" s="14" t="str">
        <f t="shared" si="33"/>
        <v/>
      </c>
      <c r="D737" s="10" t="str">
        <f>IF(Registro!$E737="","",IF(ISERROR(FIND("x",LOWER(Registro!$E737))),"-",IFERROR(SUMPRODUCT(--("0"&amp;LEFT(TRIM(MID(SUBSTITUTE(SUBSTITUTE(SUBSTITUTE(SUBSTITUTE(SUBSTITUTE(LOWER(Registro!$E737),"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",LEN(Registro!$E737))),({1,2,3,4,5,6,7,8,9,10,11,12,13,14,15,16,17,18,19,20,21,22,23,24,25,26,27,28,29,30}-1)*LEN(Registro!$E737)+1,LEN(Registro!$E737)))&amp;"x")-1))),"Revisar formato")))</f>
        <v/>
      </c>
      <c r="E737" s="11" t="str">
        <f>IF(Registro!$E737="","",IF(ISERROR(FIND("x",LOWER(Registro!$E737))),"-",IFERROR(SUMPRODUCT(--("0"&amp;LEFT(TRIM(MID(SUBSTITUTE(SUBSTITUTE(SUBSTITUTE(SUBSTITUTE(SUBSTITUTE(LOWER(Registro!$E737),"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",LEN(Registro!$E737))),({1,2,3,4,5,6,7,8,9,10,11,12,13,14,15,16,17,18,19,20,21,22,23,24,25,26,27,28,29,30}-1)*LEN(Registro!$E737)+1,LEN(Registro!$E737)))&amp;"x")-1)),--("0"&amp;MID(TRIM(MID(SUBSTITUTE(SUBSTITUTE(SUBSTITUTE(SUBSTITUTE(SUBSTITUTE(LOWER(Registro!$E737),"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",LEN(Registro!$E737))),({1,2,3,4,5,6,7,8,9,10,11,12,13,14,15,16,17,18,19,20,21,22,23,24,25,26,27,28,29,30}-1)*LEN(Registro!$E737)+1,LEN(Registro!$E737)))&amp;"x")+1,20))),"Revisar formato")))</f>
        <v/>
      </c>
      <c r="F737" s="11" t="str">
        <f>IF(Registro!$F737="","",N(Registro!$F737))</f>
        <v/>
      </c>
      <c r="G737" s="11" t="str">
        <f t="shared" si="34"/>
        <v/>
      </c>
      <c r="H737" s="10" t="str">
        <f>IF(Registro!$G737="","",IF(ISERROR(FIND("x",LOWER(Registro!$G737))),"-",IFERROR(SUMPRODUCT(--("0"&amp;LEFT(TRIM(MID(SUBSTITUTE(SUBSTITUTE(SUBSTITUTE(SUBSTITUTE(SUBSTITUTE(LOWER(Registro!$G737),"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",LEN(Registro!$G737))),({1,2,3,4,5,6,7,8,9,10,11,12,13,14,15,16,17,18,19,20,21,22,23,24,25,26,27,28,29,30}-1)*LEN(Registro!$G737)+1,LEN(Registro!$G737))),FIND("x",TRIM(MID(SUBSTITUTE(SUBSTITUTE(SUBSTITUTE(SUBSTITUTE(SUBSTITUTE(LOWER(Registro!$G737),"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",LEN(Registro!$G737))),({1,2,3,4,5,6,7,8,9,10,11,12,13,14,15,16,17,18,19,20,21,22,23,24,25,26,27,28,29,30}-1)*LEN(Registro!$G737)+1,LEN(Registro!$G737)))&amp;"x")-1))),"Revisar formato")))</f>
        <v/>
      </c>
      <c r="I737" s="11" t="str">
        <f>IF(Registro!$G737="","",IF(ISERROR(FIND("x",LOWER(Registro!$G737))),N(Registro!$H737),IFERROR(SUMPRODUCT(--("0"&amp;LEFT(TRIM(MID(SUBSTITUTE(SUBSTITUTE(SUBSTITUTE(SUBSTITUTE(SUBSTITUTE(LOWER(Registro!$G737),"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",LEN(Registro!$G737))),({1,2,3,4,5,6,7,8,9,10,11,12,13,14,15,16,17,18,19,20,21,22,23,24,25,26,27,28,29,30}-1)*LEN(Registro!$G737)+1,LEN(Registro!$G737))),FIND("x",TRIM(MID(SUBSTITUTE(SUBSTITUTE(SUBSTITUTE(SUBSTITUTE(SUBSTITUTE(LOWER(Registro!$G737),"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",LEN(Registro!$G737))),({1,2,3,4,5,6,7,8,9,10,11,12,13,14,15,16,17,18,19,20,21,22,23,24,25,26,27,28,29,30}-1)*LEN(Registro!$G737)+1,LEN(Registro!$G737)))&amp;"x")-1)),--("0"&amp;MID(TRIM(MID(SUBSTITUTE(SUBSTITUTE(SUBSTITUTE(SUBSTITUTE(SUBSTITUTE(LOWER(Registro!$G737),"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",LEN(Registro!$G737))),({1,2,3,4,5,6,7,8,9,10,11,12,13,14,15,16,17,18,19,20,21,22,23,24,25,26,27,28,29,30}-1)*LEN(Registro!$G737)+1,LEN(Registro!$G737))),FIND("x",TRIM(MID(SUBSTITUTE(SUBSTITUTE(SUBSTITUTE(SUBSTITUTE(SUBSTITUTE(LOWER(Registro!$G737),"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",LEN(Registro!$G737))),({1,2,3,4,5,6,7,8,9,10,11,12,13,14,15,16,17,18,19,20,21,22,23,24,25,26,27,28,29,30}-1)*LEN(Registro!$G737)+1,LEN(Registro!$G737)))&amp;"x")+1,20))),"Revisar formato")))</f>
        <v/>
      </c>
      <c r="J737" s="9" t="str">
        <f>IF(AND(Registro!$E737="",Registro!$G737=""),"",IF(NOT(AND(ISNUMBER(I737),ISNUMBER(Registro!$H737))),"",IF(I737&lt;Registro!$H737,"FALTA BOLETOS",IF(I737=Registro!$H737,"CONFORME","DIFERENCIA"))))</f>
        <v/>
      </c>
      <c r="K737" s="11" t="str">
        <f>IF(Registro!$I737="","",IFERROR(SUMPRODUCT(--("0"&amp;TRIM(RIGHT(SUBSTITUTE(TRIM(MID(SUBSTITUTE(SUBSTITUTE(Registro!$I737,";",CHAR(10)),CHAR(10),REPT(" ",LEN(Registro!$I737))),({1,2,3,4,5,6,7,8,9,10,11,12,13,14,15,16,17,18,19,20,21,22,23,24,25,26,27,28,29,30}-1)*LEN(Registro!$I737)+1,LEN(Registro!$I737)))," ",REPT(" ",50)),50)))),"Revisar formato"))</f>
        <v/>
      </c>
      <c r="L737" s="11" t="str">
        <f>IF(Registro!$J737="","",IFERROR(SUMPRODUCT(--("0"&amp;TRIM(RIGHT(SUBSTITUTE(TRIM(MID(SUBSTITUTE(SUBSTITUTE(Registro!$J737,";",CHAR(10)),CHAR(10),REPT(" ",LEN(Registro!$J737))),({1,2,3,4,5,6,7,8,9,10,11,12,13,14,15,16,17,18,19,20,21,22,23,24,25,26,27,28,29,30}-1)*LEN(Registro!$J737)+1,LEN(Registro!$J737)))," ",REPT(" ",50)),50)))),"Revisar formato"))</f>
        <v/>
      </c>
      <c r="M737" s="11" t="str">
        <f>IF(AND(Registro!$H737="",Registro!$I737=""),"",IF(AND(ISTEXT(K737),K737&lt;&gt;""),"Revisar formato",N(Registro!$H737)-N(K737)))</f>
        <v/>
      </c>
      <c r="N737" s="11" t="str">
        <f t="shared" si="35"/>
        <v/>
      </c>
      <c r="O737" s="15" t="str">
        <f>IF(AND(A737=Consulta!$B$3,C737=Consulta!$H$3),B737*10000+ROW(),"")</f>
        <v/>
      </c>
    </row>
    <row r="738" spans="1:15" x14ac:dyDescent="0.25">
      <c r="A738" s="9" t="str">
        <f>IF(Registro!$A738="","",Registro!$A738)</f>
        <v/>
      </c>
      <c r="B738" s="8" t="str">
        <f>IF(Registro!$B738="","",Registro!$B738)</f>
        <v/>
      </c>
      <c r="C738" s="14" t="str">
        <f t="shared" si="33"/>
        <v/>
      </c>
      <c r="D738" s="10" t="str">
        <f>IF(Registro!$E738="","",IF(ISERROR(FIND("x",LOWER(Registro!$E738))),"-",IFERROR(SUMPRODUCT(--("0"&amp;LEFT(TRIM(MID(SUBSTITUTE(SUBSTITUTE(SUBSTITUTE(SUBSTITUTE(SUBSTITUTE(LOWER(Registro!$E738),"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",LEN(Registro!$E738))),({1,2,3,4,5,6,7,8,9,10,11,12,13,14,15,16,17,18,19,20,21,22,23,24,25,26,27,28,29,30}-1)*LEN(Registro!$E738)+1,LEN(Registro!$E738)))&amp;"x")-1))),"Revisar formato")))</f>
        <v/>
      </c>
      <c r="E738" s="11" t="str">
        <f>IF(Registro!$E738="","",IF(ISERROR(FIND("x",LOWER(Registro!$E738))),"-",IFERROR(SUMPRODUCT(--("0"&amp;LEFT(TRIM(MID(SUBSTITUTE(SUBSTITUTE(SUBSTITUTE(SUBSTITUTE(SUBSTITUTE(LOWER(Registro!$E738),"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",LEN(Registro!$E738))),({1,2,3,4,5,6,7,8,9,10,11,12,13,14,15,16,17,18,19,20,21,22,23,24,25,26,27,28,29,30}-1)*LEN(Registro!$E738)+1,LEN(Registro!$E738)))&amp;"x")-1)),--("0"&amp;MID(TRIM(MID(SUBSTITUTE(SUBSTITUTE(SUBSTITUTE(SUBSTITUTE(SUBSTITUTE(LOWER(Registro!$E738),"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",LEN(Registro!$E738))),({1,2,3,4,5,6,7,8,9,10,11,12,13,14,15,16,17,18,19,20,21,22,23,24,25,26,27,28,29,30}-1)*LEN(Registro!$E738)+1,LEN(Registro!$E738)))&amp;"x")+1,20))),"Revisar formato")))</f>
        <v/>
      </c>
      <c r="F738" s="11" t="str">
        <f>IF(Registro!$F738="","",N(Registro!$F738))</f>
        <v/>
      </c>
      <c r="G738" s="11" t="str">
        <f t="shared" si="34"/>
        <v/>
      </c>
      <c r="H738" s="10" t="str">
        <f>IF(Registro!$G738="","",IF(ISERROR(FIND("x",LOWER(Registro!$G738))),"-",IFERROR(SUMPRODUCT(--("0"&amp;LEFT(TRIM(MID(SUBSTITUTE(SUBSTITUTE(SUBSTITUTE(SUBSTITUTE(SUBSTITUTE(LOWER(Registro!$G738),"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",LEN(Registro!$G738))),({1,2,3,4,5,6,7,8,9,10,11,12,13,14,15,16,17,18,19,20,21,22,23,24,25,26,27,28,29,30}-1)*LEN(Registro!$G738)+1,LEN(Registro!$G738))),FIND("x",TRIM(MID(SUBSTITUTE(SUBSTITUTE(SUBSTITUTE(SUBSTITUTE(SUBSTITUTE(LOWER(Registro!$G738),"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",LEN(Registro!$G738))),({1,2,3,4,5,6,7,8,9,10,11,12,13,14,15,16,17,18,19,20,21,22,23,24,25,26,27,28,29,30}-1)*LEN(Registro!$G738)+1,LEN(Registro!$G738)))&amp;"x")-1))),"Revisar formato")))</f>
        <v/>
      </c>
      <c r="I738" s="11" t="str">
        <f>IF(Registro!$G738="","",IF(ISERROR(FIND("x",LOWER(Registro!$G738))),N(Registro!$H738),IFERROR(SUMPRODUCT(--("0"&amp;LEFT(TRIM(MID(SUBSTITUTE(SUBSTITUTE(SUBSTITUTE(SUBSTITUTE(SUBSTITUTE(LOWER(Registro!$G738),"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",LEN(Registro!$G738))),({1,2,3,4,5,6,7,8,9,10,11,12,13,14,15,16,17,18,19,20,21,22,23,24,25,26,27,28,29,30}-1)*LEN(Registro!$G738)+1,LEN(Registro!$G738))),FIND("x",TRIM(MID(SUBSTITUTE(SUBSTITUTE(SUBSTITUTE(SUBSTITUTE(SUBSTITUTE(LOWER(Registro!$G738),"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",LEN(Registro!$G738))),({1,2,3,4,5,6,7,8,9,10,11,12,13,14,15,16,17,18,19,20,21,22,23,24,25,26,27,28,29,30}-1)*LEN(Registro!$G738)+1,LEN(Registro!$G738)))&amp;"x")-1)),--("0"&amp;MID(TRIM(MID(SUBSTITUTE(SUBSTITUTE(SUBSTITUTE(SUBSTITUTE(SUBSTITUTE(LOWER(Registro!$G738),"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",LEN(Registro!$G738))),({1,2,3,4,5,6,7,8,9,10,11,12,13,14,15,16,17,18,19,20,21,22,23,24,25,26,27,28,29,30}-1)*LEN(Registro!$G738)+1,LEN(Registro!$G738))),FIND("x",TRIM(MID(SUBSTITUTE(SUBSTITUTE(SUBSTITUTE(SUBSTITUTE(SUBSTITUTE(LOWER(Registro!$G738),"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",LEN(Registro!$G738))),({1,2,3,4,5,6,7,8,9,10,11,12,13,14,15,16,17,18,19,20,21,22,23,24,25,26,27,28,29,30}-1)*LEN(Registro!$G738)+1,LEN(Registro!$G738)))&amp;"x")+1,20))),"Revisar formato")))</f>
        <v/>
      </c>
      <c r="J738" s="9" t="str">
        <f>IF(AND(Registro!$E738="",Registro!$G738=""),"",IF(NOT(AND(ISNUMBER(I738),ISNUMBER(Registro!$H738))),"",IF(I738&lt;Registro!$H738,"FALTA BOLETOS",IF(I738=Registro!$H738,"CONFORME","DIFERENCIA"))))</f>
        <v/>
      </c>
      <c r="K738" s="11" t="str">
        <f>IF(Registro!$I738="","",IFERROR(SUMPRODUCT(--("0"&amp;TRIM(RIGHT(SUBSTITUTE(TRIM(MID(SUBSTITUTE(SUBSTITUTE(Registro!$I738,";",CHAR(10)),CHAR(10),REPT(" ",LEN(Registro!$I738))),({1,2,3,4,5,6,7,8,9,10,11,12,13,14,15,16,17,18,19,20,21,22,23,24,25,26,27,28,29,30}-1)*LEN(Registro!$I738)+1,LEN(Registro!$I738)))," ",REPT(" ",50)),50)))),"Revisar formato"))</f>
        <v/>
      </c>
      <c r="L738" s="11" t="str">
        <f>IF(Registro!$J738="","",IFERROR(SUMPRODUCT(--("0"&amp;TRIM(RIGHT(SUBSTITUTE(TRIM(MID(SUBSTITUTE(SUBSTITUTE(Registro!$J738,";",CHAR(10)),CHAR(10),REPT(" ",LEN(Registro!$J738))),({1,2,3,4,5,6,7,8,9,10,11,12,13,14,15,16,17,18,19,20,21,22,23,24,25,26,27,28,29,30}-1)*LEN(Registro!$J738)+1,LEN(Registro!$J738)))," ",REPT(" ",50)),50)))),"Revisar formato"))</f>
        <v/>
      </c>
      <c r="M738" s="11" t="str">
        <f>IF(AND(Registro!$H738="",Registro!$I738=""),"",IF(AND(ISTEXT(K738),K738&lt;&gt;""),"Revisar formato",N(Registro!$H738)-N(K738)))</f>
        <v/>
      </c>
      <c r="N738" s="11" t="str">
        <f t="shared" si="35"/>
        <v/>
      </c>
      <c r="O738" s="15" t="str">
        <f>IF(AND(A738=Consulta!$B$3,C738=Consulta!$H$3),B738*10000+ROW(),"")</f>
        <v/>
      </c>
    </row>
    <row r="739" spans="1:15" x14ac:dyDescent="0.25">
      <c r="A739" s="9" t="str">
        <f>IF(Registro!$A739="","",Registro!$A739)</f>
        <v/>
      </c>
      <c r="B739" s="8" t="str">
        <f>IF(Registro!$B739="","",Registro!$B739)</f>
        <v/>
      </c>
      <c r="C739" s="14" t="str">
        <f t="shared" si="33"/>
        <v/>
      </c>
      <c r="D739" s="10" t="str">
        <f>IF(Registro!$E739="","",IF(ISERROR(FIND("x",LOWER(Registro!$E739))),"-",IFERROR(SUMPRODUCT(--("0"&amp;LEFT(TRIM(MID(SUBSTITUTE(SUBSTITUTE(SUBSTITUTE(SUBSTITUTE(SUBSTITUTE(LOWER(Registro!$E739),"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",LEN(Registro!$E739))),({1,2,3,4,5,6,7,8,9,10,11,12,13,14,15,16,17,18,19,20,21,22,23,24,25,26,27,28,29,30}-1)*LEN(Registro!$E739)+1,LEN(Registro!$E739)))&amp;"x")-1))),"Revisar formato")))</f>
        <v/>
      </c>
      <c r="E739" s="11" t="str">
        <f>IF(Registro!$E739="","",IF(ISERROR(FIND("x",LOWER(Registro!$E739))),"-",IFERROR(SUMPRODUCT(--("0"&amp;LEFT(TRIM(MID(SUBSTITUTE(SUBSTITUTE(SUBSTITUTE(SUBSTITUTE(SUBSTITUTE(LOWER(Registro!$E739),"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",LEN(Registro!$E739))),({1,2,3,4,5,6,7,8,9,10,11,12,13,14,15,16,17,18,19,20,21,22,23,24,25,26,27,28,29,30}-1)*LEN(Registro!$E739)+1,LEN(Registro!$E739)))&amp;"x")-1)),--("0"&amp;MID(TRIM(MID(SUBSTITUTE(SUBSTITUTE(SUBSTITUTE(SUBSTITUTE(SUBSTITUTE(LOWER(Registro!$E739),"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",LEN(Registro!$E739))),({1,2,3,4,5,6,7,8,9,10,11,12,13,14,15,16,17,18,19,20,21,22,23,24,25,26,27,28,29,30}-1)*LEN(Registro!$E739)+1,LEN(Registro!$E739)))&amp;"x")+1,20))),"Revisar formato")))</f>
        <v/>
      </c>
      <c r="F739" s="11" t="str">
        <f>IF(Registro!$F739="","",N(Registro!$F739))</f>
        <v/>
      </c>
      <c r="G739" s="11" t="str">
        <f t="shared" si="34"/>
        <v/>
      </c>
      <c r="H739" s="10" t="str">
        <f>IF(Registro!$G739="","",IF(ISERROR(FIND("x",LOWER(Registro!$G739))),"-",IFERROR(SUMPRODUCT(--("0"&amp;LEFT(TRIM(MID(SUBSTITUTE(SUBSTITUTE(SUBSTITUTE(SUBSTITUTE(SUBSTITUTE(LOWER(Registro!$G739),"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",LEN(Registro!$G739))),({1,2,3,4,5,6,7,8,9,10,11,12,13,14,15,16,17,18,19,20,21,22,23,24,25,26,27,28,29,30}-1)*LEN(Registro!$G739)+1,LEN(Registro!$G739))),FIND("x",TRIM(MID(SUBSTITUTE(SUBSTITUTE(SUBSTITUTE(SUBSTITUTE(SUBSTITUTE(LOWER(Registro!$G739),"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",LEN(Registro!$G739))),({1,2,3,4,5,6,7,8,9,10,11,12,13,14,15,16,17,18,19,20,21,22,23,24,25,26,27,28,29,30}-1)*LEN(Registro!$G739)+1,LEN(Registro!$G739)))&amp;"x")-1))),"Revisar formato")))</f>
        <v/>
      </c>
      <c r="I739" s="11" t="str">
        <f>IF(Registro!$G739="","",IF(ISERROR(FIND("x",LOWER(Registro!$G739))),N(Registro!$H739),IFERROR(SUMPRODUCT(--("0"&amp;LEFT(TRIM(MID(SUBSTITUTE(SUBSTITUTE(SUBSTITUTE(SUBSTITUTE(SUBSTITUTE(LOWER(Registro!$G739),"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",LEN(Registro!$G739))),({1,2,3,4,5,6,7,8,9,10,11,12,13,14,15,16,17,18,19,20,21,22,23,24,25,26,27,28,29,30}-1)*LEN(Registro!$G739)+1,LEN(Registro!$G739))),FIND("x",TRIM(MID(SUBSTITUTE(SUBSTITUTE(SUBSTITUTE(SUBSTITUTE(SUBSTITUTE(LOWER(Registro!$G739),"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",LEN(Registro!$G739))),({1,2,3,4,5,6,7,8,9,10,11,12,13,14,15,16,17,18,19,20,21,22,23,24,25,26,27,28,29,30}-1)*LEN(Registro!$G739)+1,LEN(Registro!$G739)))&amp;"x")-1)),--("0"&amp;MID(TRIM(MID(SUBSTITUTE(SUBSTITUTE(SUBSTITUTE(SUBSTITUTE(SUBSTITUTE(LOWER(Registro!$G739),"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",LEN(Registro!$G739))),({1,2,3,4,5,6,7,8,9,10,11,12,13,14,15,16,17,18,19,20,21,22,23,24,25,26,27,28,29,30}-1)*LEN(Registro!$G739)+1,LEN(Registro!$G739))),FIND("x",TRIM(MID(SUBSTITUTE(SUBSTITUTE(SUBSTITUTE(SUBSTITUTE(SUBSTITUTE(LOWER(Registro!$G739),"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",LEN(Registro!$G739))),({1,2,3,4,5,6,7,8,9,10,11,12,13,14,15,16,17,18,19,20,21,22,23,24,25,26,27,28,29,30}-1)*LEN(Registro!$G739)+1,LEN(Registro!$G739)))&amp;"x")+1,20))),"Revisar formato")))</f>
        <v/>
      </c>
      <c r="J739" s="9" t="str">
        <f>IF(AND(Registro!$E739="",Registro!$G739=""),"",IF(NOT(AND(ISNUMBER(I739),ISNUMBER(Registro!$H739))),"",IF(I739&lt;Registro!$H739,"FALTA BOLETOS",IF(I739=Registro!$H739,"CONFORME","DIFERENCIA"))))</f>
        <v/>
      </c>
      <c r="K739" s="11" t="str">
        <f>IF(Registro!$I739="","",IFERROR(SUMPRODUCT(--("0"&amp;TRIM(RIGHT(SUBSTITUTE(TRIM(MID(SUBSTITUTE(SUBSTITUTE(Registro!$I739,";",CHAR(10)),CHAR(10),REPT(" ",LEN(Registro!$I739))),({1,2,3,4,5,6,7,8,9,10,11,12,13,14,15,16,17,18,19,20,21,22,23,24,25,26,27,28,29,30}-1)*LEN(Registro!$I739)+1,LEN(Registro!$I739)))," ",REPT(" ",50)),50)))),"Revisar formato"))</f>
        <v/>
      </c>
      <c r="L739" s="11" t="str">
        <f>IF(Registro!$J739="","",IFERROR(SUMPRODUCT(--("0"&amp;TRIM(RIGHT(SUBSTITUTE(TRIM(MID(SUBSTITUTE(SUBSTITUTE(Registro!$J739,";",CHAR(10)),CHAR(10),REPT(" ",LEN(Registro!$J739))),({1,2,3,4,5,6,7,8,9,10,11,12,13,14,15,16,17,18,19,20,21,22,23,24,25,26,27,28,29,30}-1)*LEN(Registro!$J739)+1,LEN(Registro!$J739)))," ",REPT(" ",50)),50)))),"Revisar formato"))</f>
        <v/>
      </c>
      <c r="M739" s="11" t="str">
        <f>IF(AND(Registro!$H739="",Registro!$I739=""),"",IF(AND(ISTEXT(K739),K739&lt;&gt;""),"Revisar formato",N(Registro!$H739)-N(K739)))</f>
        <v/>
      </c>
      <c r="N739" s="11" t="str">
        <f t="shared" si="35"/>
        <v/>
      </c>
      <c r="O739" s="15" t="str">
        <f>IF(AND(A739=Consulta!$B$3,C739=Consulta!$H$3),B739*10000+ROW(),"")</f>
        <v/>
      </c>
    </row>
    <row r="740" spans="1:15" x14ac:dyDescent="0.25">
      <c r="A740" s="9" t="str">
        <f>IF(Registro!$A740="","",Registro!$A740)</f>
        <v/>
      </c>
      <c r="B740" s="8" t="str">
        <f>IF(Registro!$B740="","",Registro!$B740)</f>
        <v/>
      </c>
      <c r="C740" s="14" t="str">
        <f t="shared" si="33"/>
        <v/>
      </c>
      <c r="D740" s="10" t="str">
        <f>IF(Registro!$E740="","",IF(ISERROR(FIND("x",LOWER(Registro!$E740))),"-",IFERROR(SUMPRODUCT(--("0"&amp;LEFT(TRIM(MID(SUBSTITUTE(SUBSTITUTE(SUBSTITUTE(SUBSTITUTE(SUBSTITUTE(LOWER(Registro!$E740),"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",LEN(Registro!$E740))),({1,2,3,4,5,6,7,8,9,10,11,12,13,14,15,16,17,18,19,20,21,22,23,24,25,26,27,28,29,30}-1)*LEN(Registro!$E740)+1,LEN(Registro!$E740)))&amp;"x")-1))),"Revisar formato")))</f>
        <v/>
      </c>
      <c r="E740" s="11" t="str">
        <f>IF(Registro!$E740="","",IF(ISERROR(FIND("x",LOWER(Registro!$E740))),"-",IFERROR(SUMPRODUCT(--("0"&amp;LEFT(TRIM(MID(SUBSTITUTE(SUBSTITUTE(SUBSTITUTE(SUBSTITUTE(SUBSTITUTE(LOWER(Registro!$E740),"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",LEN(Registro!$E740))),({1,2,3,4,5,6,7,8,9,10,11,12,13,14,15,16,17,18,19,20,21,22,23,24,25,26,27,28,29,30}-1)*LEN(Registro!$E740)+1,LEN(Registro!$E740)))&amp;"x")-1)),--("0"&amp;MID(TRIM(MID(SUBSTITUTE(SUBSTITUTE(SUBSTITUTE(SUBSTITUTE(SUBSTITUTE(LOWER(Registro!$E740),"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",LEN(Registro!$E740))),({1,2,3,4,5,6,7,8,9,10,11,12,13,14,15,16,17,18,19,20,21,22,23,24,25,26,27,28,29,30}-1)*LEN(Registro!$E740)+1,LEN(Registro!$E740)))&amp;"x")+1,20))),"Revisar formato")))</f>
        <v/>
      </c>
      <c r="F740" s="11" t="str">
        <f>IF(Registro!$F740="","",N(Registro!$F740))</f>
        <v/>
      </c>
      <c r="G740" s="11" t="str">
        <f t="shared" si="34"/>
        <v/>
      </c>
      <c r="H740" s="10" t="str">
        <f>IF(Registro!$G740="","",IF(ISERROR(FIND("x",LOWER(Registro!$G740))),"-",IFERROR(SUMPRODUCT(--("0"&amp;LEFT(TRIM(MID(SUBSTITUTE(SUBSTITUTE(SUBSTITUTE(SUBSTITUTE(SUBSTITUTE(LOWER(Registro!$G740),"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",LEN(Registro!$G740))),({1,2,3,4,5,6,7,8,9,10,11,12,13,14,15,16,17,18,19,20,21,22,23,24,25,26,27,28,29,30}-1)*LEN(Registro!$G740)+1,LEN(Registro!$G740))),FIND("x",TRIM(MID(SUBSTITUTE(SUBSTITUTE(SUBSTITUTE(SUBSTITUTE(SUBSTITUTE(LOWER(Registro!$G740),"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",LEN(Registro!$G740))),({1,2,3,4,5,6,7,8,9,10,11,12,13,14,15,16,17,18,19,20,21,22,23,24,25,26,27,28,29,30}-1)*LEN(Registro!$G740)+1,LEN(Registro!$G740)))&amp;"x")-1))),"Revisar formato")))</f>
        <v/>
      </c>
      <c r="I740" s="11" t="str">
        <f>IF(Registro!$G740="","",IF(ISERROR(FIND("x",LOWER(Registro!$G740))),N(Registro!$H740),IFERROR(SUMPRODUCT(--("0"&amp;LEFT(TRIM(MID(SUBSTITUTE(SUBSTITUTE(SUBSTITUTE(SUBSTITUTE(SUBSTITUTE(LOWER(Registro!$G740),"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",LEN(Registro!$G740))),({1,2,3,4,5,6,7,8,9,10,11,12,13,14,15,16,17,18,19,20,21,22,23,24,25,26,27,28,29,30}-1)*LEN(Registro!$G740)+1,LEN(Registro!$G740))),FIND("x",TRIM(MID(SUBSTITUTE(SUBSTITUTE(SUBSTITUTE(SUBSTITUTE(SUBSTITUTE(LOWER(Registro!$G740),"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",LEN(Registro!$G740))),({1,2,3,4,5,6,7,8,9,10,11,12,13,14,15,16,17,18,19,20,21,22,23,24,25,26,27,28,29,30}-1)*LEN(Registro!$G740)+1,LEN(Registro!$G740)))&amp;"x")-1)),--("0"&amp;MID(TRIM(MID(SUBSTITUTE(SUBSTITUTE(SUBSTITUTE(SUBSTITUTE(SUBSTITUTE(LOWER(Registro!$G740),"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",LEN(Registro!$G740))),({1,2,3,4,5,6,7,8,9,10,11,12,13,14,15,16,17,18,19,20,21,22,23,24,25,26,27,28,29,30}-1)*LEN(Registro!$G740)+1,LEN(Registro!$G740))),FIND("x",TRIM(MID(SUBSTITUTE(SUBSTITUTE(SUBSTITUTE(SUBSTITUTE(SUBSTITUTE(LOWER(Registro!$G740),"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",LEN(Registro!$G740))),({1,2,3,4,5,6,7,8,9,10,11,12,13,14,15,16,17,18,19,20,21,22,23,24,25,26,27,28,29,30}-1)*LEN(Registro!$G740)+1,LEN(Registro!$G740)))&amp;"x")+1,20))),"Revisar formato")))</f>
        <v/>
      </c>
      <c r="J740" s="9" t="str">
        <f>IF(AND(Registro!$E740="",Registro!$G740=""),"",IF(NOT(AND(ISNUMBER(I740),ISNUMBER(Registro!$H740))),"",IF(I740&lt;Registro!$H740,"FALTA BOLETOS",IF(I740=Registro!$H740,"CONFORME","DIFERENCIA"))))</f>
        <v/>
      </c>
      <c r="K740" s="11" t="str">
        <f>IF(Registro!$I740="","",IFERROR(SUMPRODUCT(--("0"&amp;TRIM(RIGHT(SUBSTITUTE(TRIM(MID(SUBSTITUTE(SUBSTITUTE(Registro!$I740,";",CHAR(10)),CHAR(10),REPT(" ",LEN(Registro!$I740))),({1,2,3,4,5,6,7,8,9,10,11,12,13,14,15,16,17,18,19,20,21,22,23,24,25,26,27,28,29,30}-1)*LEN(Registro!$I740)+1,LEN(Registro!$I740)))," ",REPT(" ",50)),50)))),"Revisar formato"))</f>
        <v/>
      </c>
      <c r="L740" s="11" t="str">
        <f>IF(Registro!$J740="","",IFERROR(SUMPRODUCT(--("0"&amp;TRIM(RIGHT(SUBSTITUTE(TRIM(MID(SUBSTITUTE(SUBSTITUTE(Registro!$J740,";",CHAR(10)),CHAR(10),REPT(" ",LEN(Registro!$J740))),({1,2,3,4,5,6,7,8,9,10,11,12,13,14,15,16,17,18,19,20,21,22,23,24,25,26,27,28,29,30}-1)*LEN(Registro!$J740)+1,LEN(Registro!$J740)))," ",REPT(" ",50)),50)))),"Revisar formato"))</f>
        <v/>
      </c>
      <c r="M740" s="11" t="str">
        <f>IF(AND(Registro!$H740="",Registro!$I740=""),"",IF(AND(ISTEXT(K740),K740&lt;&gt;""),"Revisar formato",N(Registro!$H740)-N(K740)))</f>
        <v/>
      </c>
      <c r="N740" s="11" t="str">
        <f t="shared" si="35"/>
        <v/>
      </c>
      <c r="O740" s="15" t="str">
        <f>IF(AND(A740=Consulta!$B$3,C740=Consulta!$H$3),B740*10000+ROW(),"")</f>
        <v/>
      </c>
    </row>
    <row r="741" spans="1:15" x14ac:dyDescent="0.25">
      <c r="A741" s="9" t="str">
        <f>IF(Registro!$A741="","",Registro!$A741)</f>
        <v/>
      </c>
      <c r="B741" s="8" t="str">
        <f>IF(Registro!$B741="","",Registro!$B741)</f>
        <v/>
      </c>
      <c r="C741" s="14" t="str">
        <f t="shared" si="33"/>
        <v/>
      </c>
      <c r="D741" s="10" t="str">
        <f>IF(Registro!$E741="","",IF(ISERROR(FIND("x",LOWER(Registro!$E741))),"-",IFERROR(SUMPRODUCT(--("0"&amp;LEFT(TRIM(MID(SUBSTITUTE(SUBSTITUTE(SUBSTITUTE(SUBSTITUTE(SUBSTITUTE(LOWER(Registro!$E741),"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",LEN(Registro!$E741))),({1,2,3,4,5,6,7,8,9,10,11,12,13,14,15,16,17,18,19,20,21,22,23,24,25,26,27,28,29,30}-1)*LEN(Registro!$E741)+1,LEN(Registro!$E741)))&amp;"x")-1))),"Revisar formato")))</f>
        <v/>
      </c>
      <c r="E741" s="11" t="str">
        <f>IF(Registro!$E741="","",IF(ISERROR(FIND("x",LOWER(Registro!$E741))),"-",IFERROR(SUMPRODUCT(--("0"&amp;LEFT(TRIM(MID(SUBSTITUTE(SUBSTITUTE(SUBSTITUTE(SUBSTITUTE(SUBSTITUTE(LOWER(Registro!$E741),"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",LEN(Registro!$E741))),({1,2,3,4,5,6,7,8,9,10,11,12,13,14,15,16,17,18,19,20,21,22,23,24,25,26,27,28,29,30}-1)*LEN(Registro!$E741)+1,LEN(Registro!$E741)))&amp;"x")-1)),--("0"&amp;MID(TRIM(MID(SUBSTITUTE(SUBSTITUTE(SUBSTITUTE(SUBSTITUTE(SUBSTITUTE(LOWER(Registro!$E741),"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",LEN(Registro!$E741))),({1,2,3,4,5,6,7,8,9,10,11,12,13,14,15,16,17,18,19,20,21,22,23,24,25,26,27,28,29,30}-1)*LEN(Registro!$E741)+1,LEN(Registro!$E741)))&amp;"x")+1,20))),"Revisar formato")))</f>
        <v/>
      </c>
      <c r="F741" s="11" t="str">
        <f>IF(Registro!$F741="","",N(Registro!$F741))</f>
        <v/>
      </c>
      <c r="G741" s="11" t="str">
        <f t="shared" si="34"/>
        <v/>
      </c>
      <c r="H741" s="10" t="str">
        <f>IF(Registro!$G741="","",IF(ISERROR(FIND("x",LOWER(Registro!$G741))),"-",IFERROR(SUMPRODUCT(--("0"&amp;LEFT(TRIM(MID(SUBSTITUTE(SUBSTITUTE(SUBSTITUTE(SUBSTITUTE(SUBSTITUTE(LOWER(Registro!$G741),"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",LEN(Registro!$G741))),({1,2,3,4,5,6,7,8,9,10,11,12,13,14,15,16,17,18,19,20,21,22,23,24,25,26,27,28,29,30}-1)*LEN(Registro!$G741)+1,LEN(Registro!$G741))),FIND("x",TRIM(MID(SUBSTITUTE(SUBSTITUTE(SUBSTITUTE(SUBSTITUTE(SUBSTITUTE(LOWER(Registro!$G741),"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",LEN(Registro!$G741))),({1,2,3,4,5,6,7,8,9,10,11,12,13,14,15,16,17,18,19,20,21,22,23,24,25,26,27,28,29,30}-1)*LEN(Registro!$G741)+1,LEN(Registro!$G741)))&amp;"x")-1))),"Revisar formato")))</f>
        <v/>
      </c>
      <c r="I741" s="11" t="str">
        <f>IF(Registro!$G741="","",IF(ISERROR(FIND("x",LOWER(Registro!$G741))),N(Registro!$H741),IFERROR(SUMPRODUCT(--("0"&amp;LEFT(TRIM(MID(SUBSTITUTE(SUBSTITUTE(SUBSTITUTE(SUBSTITUTE(SUBSTITUTE(LOWER(Registro!$G741),"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",LEN(Registro!$G741))),({1,2,3,4,5,6,7,8,9,10,11,12,13,14,15,16,17,18,19,20,21,22,23,24,25,26,27,28,29,30}-1)*LEN(Registro!$G741)+1,LEN(Registro!$G741))),FIND("x",TRIM(MID(SUBSTITUTE(SUBSTITUTE(SUBSTITUTE(SUBSTITUTE(SUBSTITUTE(LOWER(Registro!$G741),"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",LEN(Registro!$G741))),({1,2,3,4,5,6,7,8,9,10,11,12,13,14,15,16,17,18,19,20,21,22,23,24,25,26,27,28,29,30}-1)*LEN(Registro!$G741)+1,LEN(Registro!$G741)))&amp;"x")-1)),--("0"&amp;MID(TRIM(MID(SUBSTITUTE(SUBSTITUTE(SUBSTITUTE(SUBSTITUTE(SUBSTITUTE(LOWER(Registro!$G741),"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",LEN(Registro!$G741))),({1,2,3,4,5,6,7,8,9,10,11,12,13,14,15,16,17,18,19,20,21,22,23,24,25,26,27,28,29,30}-1)*LEN(Registro!$G741)+1,LEN(Registro!$G741))),FIND("x",TRIM(MID(SUBSTITUTE(SUBSTITUTE(SUBSTITUTE(SUBSTITUTE(SUBSTITUTE(LOWER(Registro!$G741),"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",LEN(Registro!$G741))),({1,2,3,4,5,6,7,8,9,10,11,12,13,14,15,16,17,18,19,20,21,22,23,24,25,26,27,28,29,30}-1)*LEN(Registro!$G741)+1,LEN(Registro!$G741)))&amp;"x")+1,20))),"Revisar formato")))</f>
        <v/>
      </c>
      <c r="J741" s="9" t="str">
        <f>IF(AND(Registro!$E741="",Registro!$G741=""),"",IF(NOT(AND(ISNUMBER(I741),ISNUMBER(Registro!$H741))),"",IF(I741&lt;Registro!$H741,"FALTA BOLETOS",IF(I741=Registro!$H741,"CONFORME","DIFERENCIA"))))</f>
        <v/>
      </c>
      <c r="K741" s="11" t="str">
        <f>IF(Registro!$I741="","",IFERROR(SUMPRODUCT(--("0"&amp;TRIM(RIGHT(SUBSTITUTE(TRIM(MID(SUBSTITUTE(SUBSTITUTE(Registro!$I741,";",CHAR(10)),CHAR(10),REPT(" ",LEN(Registro!$I741))),({1,2,3,4,5,6,7,8,9,10,11,12,13,14,15,16,17,18,19,20,21,22,23,24,25,26,27,28,29,30}-1)*LEN(Registro!$I741)+1,LEN(Registro!$I741)))," ",REPT(" ",50)),50)))),"Revisar formato"))</f>
        <v/>
      </c>
      <c r="L741" s="11" t="str">
        <f>IF(Registro!$J741="","",IFERROR(SUMPRODUCT(--("0"&amp;TRIM(RIGHT(SUBSTITUTE(TRIM(MID(SUBSTITUTE(SUBSTITUTE(Registro!$J741,";",CHAR(10)),CHAR(10),REPT(" ",LEN(Registro!$J741))),({1,2,3,4,5,6,7,8,9,10,11,12,13,14,15,16,17,18,19,20,21,22,23,24,25,26,27,28,29,30}-1)*LEN(Registro!$J741)+1,LEN(Registro!$J741)))," ",REPT(" ",50)),50)))),"Revisar formato"))</f>
        <v/>
      </c>
      <c r="M741" s="11" t="str">
        <f>IF(AND(Registro!$H741="",Registro!$I741=""),"",IF(AND(ISTEXT(K741),K741&lt;&gt;""),"Revisar formato",N(Registro!$H741)-N(K741)))</f>
        <v/>
      </c>
      <c r="N741" s="11" t="str">
        <f t="shared" si="35"/>
        <v/>
      </c>
      <c r="O741" s="15" t="str">
        <f>IF(AND(A741=Consulta!$B$3,C741=Consulta!$H$3),B741*10000+ROW(),"")</f>
        <v/>
      </c>
    </row>
    <row r="742" spans="1:15" x14ac:dyDescent="0.25">
      <c r="A742" s="9" t="str">
        <f>IF(Registro!$A742="","",Registro!$A742)</f>
        <v/>
      </c>
      <c r="B742" s="8" t="str">
        <f>IF(Registro!$B742="","",Registro!$B742)</f>
        <v/>
      </c>
      <c r="C742" s="14" t="str">
        <f t="shared" si="33"/>
        <v/>
      </c>
      <c r="D742" s="10" t="str">
        <f>IF(Registro!$E742="","",IF(ISERROR(FIND("x",LOWER(Registro!$E742))),"-",IFERROR(SUMPRODUCT(--("0"&amp;LEFT(TRIM(MID(SUBSTITUTE(SUBSTITUTE(SUBSTITUTE(SUBSTITUTE(SUBSTITUTE(LOWER(Registro!$E742),"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",LEN(Registro!$E742))),({1,2,3,4,5,6,7,8,9,10,11,12,13,14,15,16,17,18,19,20,21,22,23,24,25,26,27,28,29,30}-1)*LEN(Registro!$E742)+1,LEN(Registro!$E742)))&amp;"x")-1))),"Revisar formato")))</f>
        <v/>
      </c>
      <c r="E742" s="11" t="str">
        <f>IF(Registro!$E742="","",IF(ISERROR(FIND("x",LOWER(Registro!$E742))),"-",IFERROR(SUMPRODUCT(--("0"&amp;LEFT(TRIM(MID(SUBSTITUTE(SUBSTITUTE(SUBSTITUTE(SUBSTITUTE(SUBSTITUTE(LOWER(Registro!$E742),"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",LEN(Registro!$E742))),({1,2,3,4,5,6,7,8,9,10,11,12,13,14,15,16,17,18,19,20,21,22,23,24,25,26,27,28,29,30}-1)*LEN(Registro!$E742)+1,LEN(Registro!$E742)))&amp;"x")-1)),--("0"&amp;MID(TRIM(MID(SUBSTITUTE(SUBSTITUTE(SUBSTITUTE(SUBSTITUTE(SUBSTITUTE(LOWER(Registro!$E742),"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",LEN(Registro!$E742))),({1,2,3,4,5,6,7,8,9,10,11,12,13,14,15,16,17,18,19,20,21,22,23,24,25,26,27,28,29,30}-1)*LEN(Registro!$E742)+1,LEN(Registro!$E742)))&amp;"x")+1,20))),"Revisar formato")))</f>
        <v/>
      </c>
      <c r="F742" s="11" t="str">
        <f>IF(Registro!$F742="","",N(Registro!$F742))</f>
        <v/>
      </c>
      <c r="G742" s="11" t="str">
        <f t="shared" si="34"/>
        <v/>
      </c>
      <c r="H742" s="10" t="str">
        <f>IF(Registro!$G742="","",IF(ISERROR(FIND("x",LOWER(Registro!$G742))),"-",IFERROR(SUMPRODUCT(--("0"&amp;LEFT(TRIM(MID(SUBSTITUTE(SUBSTITUTE(SUBSTITUTE(SUBSTITUTE(SUBSTITUTE(LOWER(Registro!$G742),"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",LEN(Registro!$G742))),({1,2,3,4,5,6,7,8,9,10,11,12,13,14,15,16,17,18,19,20,21,22,23,24,25,26,27,28,29,30}-1)*LEN(Registro!$G742)+1,LEN(Registro!$G742))),FIND("x",TRIM(MID(SUBSTITUTE(SUBSTITUTE(SUBSTITUTE(SUBSTITUTE(SUBSTITUTE(LOWER(Registro!$G742),"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",LEN(Registro!$G742))),({1,2,3,4,5,6,7,8,9,10,11,12,13,14,15,16,17,18,19,20,21,22,23,24,25,26,27,28,29,30}-1)*LEN(Registro!$G742)+1,LEN(Registro!$G742)))&amp;"x")-1))),"Revisar formato")))</f>
        <v/>
      </c>
      <c r="I742" s="11" t="str">
        <f>IF(Registro!$G742="","",IF(ISERROR(FIND("x",LOWER(Registro!$G742))),N(Registro!$H742),IFERROR(SUMPRODUCT(--("0"&amp;LEFT(TRIM(MID(SUBSTITUTE(SUBSTITUTE(SUBSTITUTE(SUBSTITUTE(SUBSTITUTE(LOWER(Registro!$G742),"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",LEN(Registro!$G742))),({1,2,3,4,5,6,7,8,9,10,11,12,13,14,15,16,17,18,19,20,21,22,23,24,25,26,27,28,29,30}-1)*LEN(Registro!$G742)+1,LEN(Registro!$G742))),FIND("x",TRIM(MID(SUBSTITUTE(SUBSTITUTE(SUBSTITUTE(SUBSTITUTE(SUBSTITUTE(LOWER(Registro!$G742),"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",LEN(Registro!$G742))),({1,2,3,4,5,6,7,8,9,10,11,12,13,14,15,16,17,18,19,20,21,22,23,24,25,26,27,28,29,30}-1)*LEN(Registro!$G742)+1,LEN(Registro!$G742)))&amp;"x")-1)),--("0"&amp;MID(TRIM(MID(SUBSTITUTE(SUBSTITUTE(SUBSTITUTE(SUBSTITUTE(SUBSTITUTE(LOWER(Registro!$G742),"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",LEN(Registro!$G742))),({1,2,3,4,5,6,7,8,9,10,11,12,13,14,15,16,17,18,19,20,21,22,23,24,25,26,27,28,29,30}-1)*LEN(Registro!$G742)+1,LEN(Registro!$G742))),FIND("x",TRIM(MID(SUBSTITUTE(SUBSTITUTE(SUBSTITUTE(SUBSTITUTE(SUBSTITUTE(LOWER(Registro!$G742),"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",LEN(Registro!$G742))),({1,2,3,4,5,6,7,8,9,10,11,12,13,14,15,16,17,18,19,20,21,22,23,24,25,26,27,28,29,30}-1)*LEN(Registro!$G742)+1,LEN(Registro!$G742)))&amp;"x")+1,20))),"Revisar formato")))</f>
        <v/>
      </c>
      <c r="J742" s="9" t="str">
        <f>IF(AND(Registro!$E742="",Registro!$G742=""),"",IF(NOT(AND(ISNUMBER(I742),ISNUMBER(Registro!$H742))),"",IF(I742&lt;Registro!$H742,"FALTA BOLETOS",IF(I742=Registro!$H742,"CONFORME","DIFERENCIA"))))</f>
        <v/>
      </c>
      <c r="K742" s="11" t="str">
        <f>IF(Registro!$I742="","",IFERROR(SUMPRODUCT(--("0"&amp;TRIM(RIGHT(SUBSTITUTE(TRIM(MID(SUBSTITUTE(SUBSTITUTE(Registro!$I742,";",CHAR(10)),CHAR(10),REPT(" ",LEN(Registro!$I742))),({1,2,3,4,5,6,7,8,9,10,11,12,13,14,15,16,17,18,19,20,21,22,23,24,25,26,27,28,29,30}-1)*LEN(Registro!$I742)+1,LEN(Registro!$I742)))," ",REPT(" ",50)),50)))),"Revisar formato"))</f>
        <v/>
      </c>
      <c r="L742" s="11" t="str">
        <f>IF(Registro!$J742="","",IFERROR(SUMPRODUCT(--("0"&amp;TRIM(RIGHT(SUBSTITUTE(TRIM(MID(SUBSTITUTE(SUBSTITUTE(Registro!$J742,";",CHAR(10)),CHAR(10),REPT(" ",LEN(Registro!$J742))),({1,2,3,4,5,6,7,8,9,10,11,12,13,14,15,16,17,18,19,20,21,22,23,24,25,26,27,28,29,30}-1)*LEN(Registro!$J742)+1,LEN(Registro!$J742)))," ",REPT(" ",50)),50)))),"Revisar formato"))</f>
        <v/>
      </c>
      <c r="M742" s="11" t="str">
        <f>IF(AND(Registro!$H742="",Registro!$I742=""),"",IF(AND(ISTEXT(K742),K742&lt;&gt;""),"Revisar formato",N(Registro!$H742)-N(K742)))</f>
        <v/>
      </c>
      <c r="N742" s="11" t="str">
        <f t="shared" si="35"/>
        <v/>
      </c>
      <c r="O742" s="15" t="str">
        <f>IF(AND(A742=Consulta!$B$3,C742=Consulta!$H$3),B742*10000+ROW(),"")</f>
        <v/>
      </c>
    </row>
    <row r="743" spans="1:15" x14ac:dyDescent="0.25">
      <c r="A743" s="9" t="str">
        <f>IF(Registro!$A743="","",Registro!$A743)</f>
        <v/>
      </c>
      <c r="B743" s="8" t="str">
        <f>IF(Registro!$B743="","",Registro!$B743)</f>
        <v/>
      </c>
      <c r="C743" s="14" t="str">
        <f t="shared" si="33"/>
        <v/>
      </c>
      <c r="D743" s="10" t="str">
        <f>IF(Registro!$E743="","",IF(ISERROR(FIND("x",LOWER(Registro!$E743))),"-",IFERROR(SUMPRODUCT(--("0"&amp;LEFT(TRIM(MID(SUBSTITUTE(SUBSTITUTE(SUBSTITUTE(SUBSTITUTE(SUBSTITUTE(LOWER(Registro!$E743),"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",LEN(Registro!$E743))),({1,2,3,4,5,6,7,8,9,10,11,12,13,14,15,16,17,18,19,20,21,22,23,24,25,26,27,28,29,30}-1)*LEN(Registro!$E743)+1,LEN(Registro!$E743)))&amp;"x")-1))),"Revisar formato")))</f>
        <v/>
      </c>
      <c r="E743" s="11" t="str">
        <f>IF(Registro!$E743="","",IF(ISERROR(FIND("x",LOWER(Registro!$E743))),"-",IFERROR(SUMPRODUCT(--("0"&amp;LEFT(TRIM(MID(SUBSTITUTE(SUBSTITUTE(SUBSTITUTE(SUBSTITUTE(SUBSTITUTE(LOWER(Registro!$E743),"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",LEN(Registro!$E743))),({1,2,3,4,5,6,7,8,9,10,11,12,13,14,15,16,17,18,19,20,21,22,23,24,25,26,27,28,29,30}-1)*LEN(Registro!$E743)+1,LEN(Registro!$E743)))&amp;"x")-1)),--("0"&amp;MID(TRIM(MID(SUBSTITUTE(SUBSTITUTE(SUBSTITUTE(SUBSTITUTE(SUBSTITUTE(LOWER(Registro!$E743),"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",LEN(Registro!$E743))),({1,2,3,4,5,6,7,8,9,10,11,12,13,14,15,16,17,18,19,20,21,22,23,24,25,26,27,28,29,30}-1)*LEN(Registro!$E743)+1,LEN(Registro!$E743)))&amp;"x")+1,20))),"Revisar formato")))</f>
        <v/>
      </c>
      <c r="F743" s="11" t="str">
        <f>IF(Registro!$F743="","",N(Registro!$F743))</f>
        <v/>
      </c>
      <c r="G743" s="11" t="str">
        <f t="shared" si="34"/>
        <v/>
      </c>
      <c r="H743" s="10" t="str">
        <f>IF(Registro!$G743="","",IF(ISERROR(FIND("x",LOWER(Registro!$G743))),"-",IFERROR(SUMPRODUCT(--("0"&amp;LEFT(TRIM(MID(SUBSTITUTE(SUBSTITUTE(SUBSTITUTE(SUBSTITUTE(SUBSTITUTE(LOWER(Registro!$G743),"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",LEN(Registro!$G743))),({1,2,3,4,5,6,7,8,9,10,11,12,13,14,15,16,17,18,19,20,21,22,23,24,25,26,27,28,29,30}-1)*LEN(Registro!$G743)+1,LEN(Registro!$G743))),FIND("x",TRIM(MID(SUBSTITUTE(SUBSTITUTE(SUBSTITUTE(SUBSTITUTE(SUBSTITUTE(LOWER(Registro!$G743),"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",LEN(Registro!$G743))),({1,2,3,4,5,6,7,8,9,10,11,12,13,14,15,16,17,18,19,20,21,22,23,24,25,26,27,28,29,30}-1)*LEN(Registro!$G743)+1,LEN(Registro!$G743)))&amp;"x")-1))),"Revisar formato")))</f>
        <v/>
      </c>
      <c r="I743" s="11" t="str">
        <f>IF(Registro!$G743="","",IF(ISERROR(FIND("x",LOWER(Registro!$G743))),N(Registro!$H743),IFERROR(SUMPRODUCT(--("0"&amp;LEFT(TRIM(MID(SUBSTITUTE(SUBSTITUTE(SUBSTITUTE(SUBSTITUTE(SUBSTITUTE(LOWER(Registro!$G743),"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",LEN(Registro!$G743))),({1,2,3,4,5,6,7,8,9,10,11,12,13,14,15,16,17,18,19,20,21,22,23,24,25,26,27,28,29,30}-1)*LEN(Registro!$G743)+1,LEN(Registro!$G743))),FIND("x",TRIM(MID(SUBSTITUTE(SUBSTITUTE(SUBSTITUTE(SUBSTITUTE(SUBSTITUTE(LOWER(Registro!$G743),"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",LEN(Registro!$G743))),({1,2,3,4,5,6,7,8,9,10,11,12,13,14,15,16,17,18,19,20,21,22,23,24,25,26,27,28,29,30}-1)*LEN(Registro!$G743)+1,LEN(Registro!$G743)))&amp;"x")-1)),--("0"&amp;MID(TRIM(MID(SUBSTITUTE(SUBSTITUTE(SUBSTITUTE(SUBSTITUTE(SUBSTITUTE(LOWER(Registro!$G743),"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",LEN(Registro!$G743))),({1,2,3,4,5,6,7,8,9,10,11,12,13,14,15,16,17,18,19,20,21,22,23,24,25,26,27,28,29,30}-1)*LEN(Registro!$G743)+1,LEN(Registro!$G743))),FIND("x",TRIM(MID(SUBSTITUTE(SUBSTITUTE(SUBSTITUTE(SUBSTITUTE(SUBSTITUTE(LOWER(Registro!$G743),"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",LEN(Registro!$G743))),({1,2,3,4,5,6,7,8,9,10,11,12,13,14,15,16,17,18,19,20,21,22,23,24,25,26,27,28,29,30}-1)*LEN(Registro!$G743)+1,LEN(Registro!$G743)))&amp;"x")+1,20))),"Revisar formato")))</f>
        <v/>
      </c>
      <c r="J743" s="9" t="str">
        <f>IF(AND(Registro!$E743="",Registro!$G743=""),"",IF(NOT(AND(ISNUMBER(I743),ISNUMBER(Registro!$H743))),"",IF(I743&lt;Registro!$H743,"FALTA BOLETOS",IF(I743=Registro!$H743,"CONFORME","DIFERENCIA"))))</f>
        <v/>
      </c>
      <c r="K743" s="11" t="str">
        <f>IF(Registro!$I743="","",IFERROR(SUMPRODUCT(--("0"&amp;TRIM(RIGHT(SUBSTITUTE(TRIM(MID(SUBSTITUTE(SUBSTITUTE(Registro!$I743,";",CHAR(10)),CHAR(10),REPT(" ",LEN(Registro!$I743))),({1,2,3,4,5,6,7,8,9,10,11,12,13,14,15,16,17,18,19,20,21,22,23,24,25,26,27,28,29,30}-1)*LEN(Registro!$I743)+1,LEN(Registro!$I743)))," ",REPT(" ",50)),50)))),"Revisar formato"))</f>
        <v/>
      </c>
      <c r="L743" s="11" t="str">
        <f>IF(Registro!$J743="","",IFERROR(SUMPRODUCT(--("0"&amp;TRIM(RIGHT(SUBSTITUTE(TRIM(MID(SUBSTITUTE(SUBSTITUTE(Registro!$J743,";",CHAR(10)),CHAR(10),REPT(" ",LEN(Registro!$J743))),({1,2,3,4,5,6,7,8,9,10,11,12,13,14,15,16,17,18,19,20,21,22,23,24,25,26,27,28,29,30}-1)*LEN(Registro!$J743)+1,LEN(Registro!$J743)))," ",REPT(" ",50)),50)))),"Revisar formato"))</f>
        <v/>
      </c>
      <c r="M743" s="11" t="str">
        <f>IF(AND(Registro!$H743="",Registro!$I743=""),"",IF(AND(ISTEXT(K743),K743&lt;&gt;""),"Revisar formato",N(Registro!$H743)-N(K743)))</f>
        <v/>
      </c>
      <c r="N743" s="11" t="str">
        <f t="shared" si="35"/>
        <v/>
      </c>
      <c r="O743" s="15" t="str">
        <f>IF(AND(A743=Consulta!$B$3,C743=Consulta!$H$3),B743*10000+ROW(),"")</f>
        <v/>
      </c>
    </row>
    <row r="744" spans="1:15" x14ac:dyDescent="0.25">
      <c r="A744" s="9" t="str">
        <f>IF(Registro!$A744="","",Registro!$A744)</f>
        <v/>
      </c>
      <c r="B744" s="8" t="str">
        <f>IF(Registro!$B744="","",Registro!$B744)</f>
        <v/>
      </c>
      <c r="C744" s="14" t="str">
        <f t="shared" si="33"/>
        <v/>
      </c>
      <c r="D744" s="10" t="str">
        <f>IF(Registro!$E744="","",IF(ISERROR(FIND("x",LOWER(Registro!$E744))),"-",IFERROR(SUMPRODUCT(--("0"&amp;LEFT(TRIM(MID(SUBSTITUTE(SUBSTITUTE(SUBSTITUTE(SUBSTITUTE(SUBSTITUTE(LOWER(Registro!$E744),"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",LEN(Registro!$E744))),({1,2,3,4,5,6,7,8,9,10,11,12,13,14,15,16,17,18,19,20,21,22,23,24,25,26,27,28,29,30}-1)*LEN(Registro!$E744)+1,LEN(Registro!$E744)))&amp;"x")-1))),"Revisar formato")))</f>
        <v/>
      </c>
      <c r="E744" s="11" t="str">
        <f>IF(Registro!$E744="","",IF(ISERROR(FIND("x",LOWER(Registro!$E744))),"-",IFERROR(SUMPRODUCT(--("0"&amp;LEFT(TRIM(MID(SUBSTITUTE(SUBSTITUTE(SUBSTITUTE(SUBSTITUTE(SUBSTITUTE(LOWER(Registro!$E744),"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",LEN(Registro!$E744))),({1,2,3,4,5,6,7,8,9,10,11,12,13,14,15,16,17,18,19,20,21,22,23,24,25,26,27,28,29,30}-1)*LEN(Registro!$E744)+1,LEN(Registro!$E744)))&amp;"x")-1)),--("0"&amp;MID(TRIM(MID(SUBSTITUTE(SUBSTITUTE(SUBSTITUTE(SUBSTITUTE(SUBSTITUTE(LOWER(Registro!$E744),"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",LEN(Registro!$E744))),({1,2,3,4,5,6,7,8,9,10,11,12,13,14,15,16,17,18,19,20,21,22,23,24,25,26,27,28,29,30}-1)*LEN(Registro!$E744)+1,LEN(Registro!$E744)))&amp;"x")+1,20))),"Revisar formato")))</f>
        <v/>
      </c>
      <c r="F744" s="11" t="str">
        <f>IF(Registro!$F744="","",N(Registro!$F744))</f>
        <v/>
      </c>
      <c r="G744" s="11" t="str">
        <f t="shared" si="34"/>
        <v/>
      </c>
      <c r="H744" s="10" t="str">
        <f>IF(Registro!$G744="","",IF(ISERROR(FIND("x",LOWER(Registro!$G744))),"-",IFERROR(SUMPRODUCT(--("0"&amp;LEFT(TRIM(MID(SUBSTITUTE(SUBSTITUTE(SUBSTITUTE(SUBSTITUTE(SUBSTITUTE(LOWER(Registro!$G744),"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",LEN(Registro!$G744))),({1,2,3,4,5,6,7,8,9,10,11,12,13,14,15,16,17,18,19,20,21,22,23,24,25,26,27,28,29,30}-1)*LEN(Registro!$G744)+1,LEN(Registro!$G744))),FIND("x",TRIM(MID(SUBSTITUTE(SUBSTITUTE(SUBSTITUTE(SUBSTITUTE(SUBSTITUTE(LOWER(Registro!$G744),"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",LEN(Registro!$G744))),({1,2,3,4,5,6,7,8,9,10,11,12,13,14,15,16,17,18,19,20,21,22,23,24,25,26,27,28,29,30}-1)*LEN(Registro!$G744)+1,LEN(Registro!$G744)))&amp;"x")-1))),"Revisar formato")))</f>
        <v/>
      </c>
      <c r="I744" s="11" t="str">
        <f>IF(Registro!$G744="","",IF(ISERROR(FIND("x",LOWER(Registro!$G744))),N(Registro!$H744),IFERROR(SUMPRODUCT(--("0"&amp;LEFT(TRIM(MID(SUBSTITUTE(SUBSTITUTE(SUBSTITUTE(SUBSTITUTE(SUBSTITUTE(LOWER(Registro!$G744),"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",LEN(Registro!$G744))),({1,2,3,4,5,6,7,8,9,10,11,12,13,14,15,16,17,18,19,20,21,22,23,24,25,26,27,28,29,30}-1)*LEN(Registro!$G744)+1,LEN(Registro!$G744))),FIND("x",TRIM(MID(SUBSTITUTE(SUBSTITUTE(SUBSTITUTE(SUBSTITUTE(SUBSTITUTE(LOWER(Registro!$G744),"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",LEN(Registro!$G744))),({1,2,3,4,5,6,7,8,9,10,11,12,13,14,15,16,17,18,19,20,21,22,23,24,25,26,27,28,29,30}-1)*LEN(Registro!$G744)+1,LEN(Registro!$G744)))&amp;"x")-1)),--("0"&amp;MID(TRIM(MID(SUBSTITUTE(SUBSTITUTE(SUBSTITUTE(SUBSTITUTE(SUBSTITUTE(LOWER(Registro!$G744),"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",LEN(Registro!$G744))),({1,2,3,4,5,6,7,8,9,10,11,12,13,14,15,16,17,18,19,20,21,22,23,24,25,26,27,28,29,30}-1)*LEN(Registro!$G744)+1,LEN(Registro!$G744))),FIND("x",TRIM(MID(SUBSTITUTE(SUBSTITUTE(SUBSTITUTE(SUBSTITUTE(SUBSTITUTE(LOWER(Registro!$G744),"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",LEN(Registro!$G744))),({1,2,3,4,5,6,7,8,9,10,11,12,13,14,15,16,17,18,19,20,21,22,23,24,25,26,27,28,29,30}-1)*LEN(Registro!$G744)+1,LEN(Registro!$G744)))&amp;"x")+1,20))),"Revisar formato")))</f>
        <v/>
      </c>
      <c r="J744" s="9" t="str">
        <f>IF(AND(Registro!$E744="",Registro!$G744=""),"",IF(NOT(AND(ISNUMBER(I744),ISNUMBER(Registro!$H744))),"",IF(I744&lt;Registro!$H744,"FALTA BOLETOS",IF(I744=Registro!$H744,"CONFORME","DIFERENCIA"))))</f>
        <v/>
      </c>
      <c r="K744" s="11" t="str">
        <f>IF(Registro!$I744="","",IFERROR(SUMPRODUCT(--("0"&amp;TRIM(RIGHT(SUBSTITUTE(TRIM(MID(SUBSTITUTE(SUBSTITUTE(Registro!$I744,";",CHAR(10)),CHAR(10),REPT(" ",LEN(Registro!$I744))),({1,2,3,4,5,6,7,8,9,10,11,12,13,14,15,16,17,18,19,20,21,22,23,24,25,26,27,28,29,30}-1)*LEN(Registro!$I744)+1,LEN(Registro!$I744)))," ",REPT(" ",50)),50)))),"Revisar formato"))</f>
        <v/>
      </c>
      <c r="L744" s="11" t="str">
        <f>IF(Registro!$J744="","",IFERROR(SUMPRODUCT(--("0"&amp;TRIM(RIGHT(SUBSTITUTE(TRIM(MID(SUBSTITUTE(SUBSTITUTE(Registro!$J744,";",CHAR(10)),CHAR(10),REPT(" ",LEN(Registro!$J744))),({1,2,3,4,5,6,7,8,9,10,11,12,13,14,15,16,17,18,19,20,21,22,23,24,25,26,27,28,29,30}-1)*LEN(Registro!$J744)+1,LEN(Registro!$J744)))," ",REPT(" ",50)),50)))),"Revisar formato"))</f>
        <v/>
      </c>
      <c r="M744" s="11" t="str">
        <f>IF(AND(Registro!$H744="",Registro!$I744=""),"",IF(AND(ISTEXT(K744),K744&lt;&gt;""),"Revisar formato",N(Registro!$H744)-N(K744)))</f>
        <v/>
      </c>
      <c r="N744" s="11" t="str">
        <f t="shared" si="35"/>
        <v/>
      </c>
      <c r="O744" s="15" t="str">
        <f>IF(AND(A744=Consulta!$B$3,C744=Consulta!$H$3),B744*10000+ROW(),"")</f>
        <v/>
      </c>
    </row>
    <row r="745" spans="1:15" x14ac:dyDescent="0.25">
      <c r="A745" s="9" t="str">
        <f>IF(Registro!$A745="","",Registro!$A745)</f>
        <v/>
      </c>
      <c r="B745" s="8" t="str">
        <f>IF(Registro!$B745="","",Registro!$B745)</f>
        <v/>
      </c>
      <c r="C745" s="14" t="str">
        <f t="shared" si="33"/>
        <v/>
      </c>
      <c r="D745" s="10" t="str">
        <f>IF(Registro!$E745="","",IF(ISERROR(FIND("x",LOWER(Registro!$E745))),"-",IFERROR(SUMPRODUCT(--("0"&amp;LEFT(TRIM(MID(SUBSTITUTE(SUBSTITUTE(SUBSTITUTE(SUBSTITUTE(SUBSTITUTE(LOWER(Registro!$E745),"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",LEN(Registro!$E745))),({1,2,3,4,5,6,7,8,9,10,11,12,13,14,15,16,17,18,19,20,21,22,23,24,25,26,27,28,29,30}-1)*LEN(Registro!$E745)+1,LEN(Registro!$E745)))&amp;"x")-1))),"Revisar formato")))</f>
        <v/>
      </c>
      <c r="E745" s="11" t="str">
        <f>IF(Registro!$E745="","",IF(ISERROR(FIND("x",LOWER(Registro!$E745))),"-",IFERROR(SUMPRODUCT(--("0"&amp;LEFT(TRIM(MID(SUBSTITUTE(SUBSTITUTE(SUBSTITUTE(SUBSTITUTE(SUBSTITUTE(LOWER(Registro!$E745),"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",LEN(Registro!$E745))),({1,2,3,4,5,6,7,8,9,10,11,12,13,14,15,16,17,18,19,20,21,22,23,24,25,26,27,28,29,30}-1)*LEN(Registro!$E745)+1,LEN(Registro!$E745)))&amp;"x")-1)),--("0"&amp;MID(TRIM(MID(SUBSTITUTE(SUBSTITUTE(SUBSTITUTE(SUBSTITUTE(SUBSTITUTE(LOWER(Registro!$E745),"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",LEN(Registro!$E745))),({1,2,3,4,5,6,7,8,9,10,11,12,13,14,15,16,17,18,19,20,21,22,23,24,25,26,27,28,29,30}-1)*LEN(Registro!$E745)+1,LEN(Registro!$E745)))&amp;"x")+1,20))),"Revisar formato")))</f>
        <v/>
      </c>
      <c r="F745" s="11" t="str">
        <f>IF(Registro!$F745="","",N(Registro!$F745))</f>
        <v/>
      </c>
      <c r="G745" s="11" t="str">
        <f t="shared" si="34"/>
        <v/>
      </c>
      <c r="H745" s="10" t="str">
        <f>IF(Registro!$G745="","",IF(ISERROR(FIND("x",LOWER(Registro!$G745))),"-",IFERROR(SUMPRODUCT(--("0"&amp;LEFT(TRIM(MID(SUBSTITUTE(SUBSTITUTE(SUBSTITUTE(SUBSTITUTE(SUBSTITUTE(LOWER(Registro!$G745),"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",LEN(Registro!$G745))),({1,2,3,4,5,6,7,8,9,10,11,12,13,14,15,16,17,18,19,20,21,22,23,24,25,26,27,28,29,30}-1)*LEN(Registro!$G745)+1,LEN(Registro!$G745))),FIND("x",TRIM(MID(SUBSTITUTE(SUBSTITUTE(SUBSTITUTE(SUBSTITUTE(SUBSTITUTE(LOWER(Registro!$G745),"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",LEN(Registro!$G745))),({1,2,3,4,5,6,7,8,9,10,11,12,13,14,15,16,17,18,19,20,21,22,23,24,25,26,27,28,29,30}-1)*LEN(Registro!$G745)+1,LEN(Registro!$G745)))&amp;"x")-1))),"Revisar formato")))</f>
        <v/>
      </c>
      <c r="I745" s="11" t="str">
        <f>IF(Registro!$G745="","",IF(ISERROR(FIND("x",LOWER(Registro!$G745))),N(Registro!$H745),IFERROR(SUMPRODUCT(--("0"&amp;LEFT(TRIM(MID(SUBSTITUTE(SUBSTITUTE(SUBSTITUTE(SUBSTITUTE(SUBSTITUTE(LOWER(Registro!$G745),"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",LEN(Registro!$G745))),({1,2,3,4,5,6,7,8,9,10,11,12,13,14,15,16,17,18,19,20,21,22,23,24,25,26,27,28,29,30}-1)*LEN(Registro!$G745)+1,LEN(Registro!$G745))),FIND("x",TRIM(MID(SUBSTITUTE(SUBSTITUTE(SUBSTITUTE(SUBSTITUTE(SUBSTITUTE(LOWER(Registro!$G745),"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",LEN(Registro!$G745))),({1,2,3,4,5,6,7,8,9,10,11,12,13,14,15,16,17,18,19,20,21,22,23,24,25,26,27,28,29,30}-1)*LEN(Registro!$G745)+1,LEN(Registro!$G745)))&amp;"x")-1)),--("0"&amp;MID(TRIM(MID(SUBSTITUTE(SUBSTITUTE(SUBSTITUTE(SUBSTITUTE(SUBSTITUTE(LOWER(Registro!$G745),"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",LEN(Registro!$G745))),({1,2,3,4,5,6,7,8,9,10,11,12,13,14,15,16,17,18,19,20,21,22,23,24,25,26,27,28,29,30}-1)*LEN(Registro!$G745)+1,LEN(Registro!$G745))),FIND("x",TRIM(MID(SUBSTITUTE(SUBSTITUTE(SUBSTITUTE(SUBSTITUTE(SUBSTITUTE(LOWER(Registro!$G745),"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",LEN(Registro!$G745))),({1,2,3,4,5,6,7,8,9,10,11,12,13,14,15,16,17,18,19,20,21,22,23,24,25,26,27,28,29,30}-1)*LEN(Registro!$G745)+1,LEN(Registro!$G745)))&amp;"x")+1,20))),"Revisar formato")))</f>
        <v/>
      </c>
      <c r="J745" s="9" t="str">
        <f>IF(AND(Registro!$E745="",Registro!$G745=""),"",IF(NOT(AND(ISNUMBER(I745),ISNUMBER(Registro!$H745))),"",IF(I745&lt;Registro!$H745,"FALTA BOLETOS",IF(I745=Registro!$H745,"CONFORME","DIFERENCIA"))))</f>
        <v/>
      </c>
      <c r="K745" s="11" t="str">
        <f>IF(Registro!$I745="","",IFERROR(SUMPRODUCT(--("0"&amp;TRIM(RIGHT(SUBSTITUTE(TRIM(MID(SUBSTITUTE(SUBSTITUTE(Registro!$I745,";",CHAR(10)),CHAR(10),REPT(" ",LEN(Registro!$I745))),({1,2,3,4,5,6,7,8,9,10,11,12,13,14,15,16,17,18,19,20,21,22,23,24,25,26,27,28,29,30}-1)*LEN(Registro!$I745)+1,LEN(Registro!$I745)))," ",REPT(" ",50)),50)))),"Revisar formato"))</f>
        <v/>
      </c>
      <c r="L745" s="11" t="str">
        <f>IF(Registro!$J745="","",IFERROR(SUMPRODUCT(--("0"&amp;TRIM(RIGHT(SUBSTITUTE(TRIM(MID(SUBSTITUTE(SUBSTITUTE(Registro!$J745,";",CHAR(10)),CHAR(10),REPT(" ",LEN(Registro!$J745))),({1,2,3,4,5,6,7,8,9,10,11,12,13,14,15,16,17,18,19,20,21,22,23,24,25,26,27,28,29,30}-1)*LEN(Registro!$J745)+1,LEN(Registro!$J745)))," ",REPT(" ",50)),50)))),"Revisar formato"))</f>
        <v/>
      </c>
      <c r="M745" s="11" t="str">
        <f>IF(AND(Registro!$H745="",Registro!$I745=""),"",IF(AND(ISTEXT(K745),K745&lt;&gt;""),"Revisar formato",N(Registro!$H745)-N(K745)))</f>
        <v/>
      </c>
      <c r="N745" s="11" t="str">
        <f t="shared" si="35"/>
        <v/>
      </c>
      <c r="O745" s="15" t="str">
        <f>IF(AND(A745=Consulta!$B$3,C745=Consulta!$H$3),B745*10000+ROW(),"")</f>
        <v/>
      </c>
    </row>
    <row r="746" spans="1:15" x14ac:dyDescent="0.25">
      <c r="A746" s="9" t="str">
        <f>IF(Registro!$A746="","",Registro!$A746)</f>
        <v/>
      </c>
      <c r="B746" s="8" t="str">
        <f>IF(Registro!$B746="","",Registro!$B746)</f>
        <v/>
      </c>
      <c r="C746" s="14" t="str">
        <f t="shared" si="33"/>
        <v/>
      </c>
      <c r="D746" s="10" t="str">
        <f>IF(Registro!$E746="","",IF(ISERROR(FIND("x",LOWER(Registro!$E746))),"-",IFERROR(SUMPRODUCT(--("0"&amp;LEFT(TRIM(MID(SUBSTITUTE(SUBSTITUTE(SUBSTITUTE(SUBSTITUTE(SUBSTITUTE(LOWER(Registro!$E746),"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",LEN(Registro!$E746))),({1,2,3,4,5,6,7,8,9,10,11,12,13,14,15,16,17,18,19,20,21,22,23,24,25,26,27,28,29,30}-1)*LEN(Registro!$E746)+1,LEN(Registro!$E746)))&amp;"x")-1))),"Revisar formato")))</f>
        <v/>
      </c>
      <c r="E746" s="11" t="str">
        <f>IF(Registro!$E746="","",IF(ISERROR(FIND("x",LOWER(Registro!$E746))),"-",IFERROR(SUMPRODUCT(--("0"&amp;LEFT(TRIM(MID(SUBSTITUTE(SUBSTITUTE(SUBSTITUTE(SUBSTITUTE(SUBSTITUTE(LOWER(Registro!$E746),"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",LEN(Registro!$E746))),({1,2,3,4,5,6,7,8,9,10,11,12,13,14,15,16,17,18,19,20,21,22,23,24,25,26,27,28,29,30}-1)*LEN(Registro!$E746)+1,LEN(Registro!$E746)))&amp;"x")-1)),--("0"&amp;MID(TRIM(MID(SUBSTITUTE(SUBSTITUTE(SUBSTITUTE(SUBSTITUTE(SUBSTITUTE(LOWER(Registro!$E746),"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",LEN(Registro!$E746))),({1,2,3,4,5,6,7,8,9,10,11,12,13,14,15,16,17,18,19,20,21,22,23,24,25,26,27,28,29,30}-1)*LEN(Registro!$E746)+1,LEN(Registro!$E746)))&amp;"x")+1,20))),"Revisar formato")))</f>
        <v/>
      </c>
      <c r="F746" s="11" t="str">
        <f>IF(Registro!$F746="","",N(Registro!$F746))</f>
        <v/>
      </c>
      <c r="G746" s="11" t="str">
        <f t="shared" si="34"/>
        <v/>
      </c>
      <c r="H746" s="10" t="str">
        <f>IF(Registro!$G746="","",IF(ISERROR(FIND("x",LOWER(Registro!$G746))),"-",IFERROR(SUMPRODUCT(--("0"&amp;LEFT(TRIM(MID(SUBSTITUTE(SUBSTITUTE(SUBSTITUTE(SUBSTITUTE(SUBSTITUTE(LOWER(Registro!$G746),"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",LEN(Registro!$G746))),({1,2,3,4,5,6,7,8,9,10,11,12,13,14,15,16,17,18,19,20,21,22,23,24,25,26,27,28,29,30}-1)*LEN(Registro!$G746)+1,LEN(Registro!$G746))),FIND("x",TRIM(MID(SUBSTITUTE(SUBSTITUTE(SUBSTITUTE(SUBSTITUTE(SUBSTITUTE(LOWER(Registro!$G746),"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",LEN(Registro!$G746))),({1,2,3,4,5,6,7,8,9,10,11,12,13,14,15,16,17,18,19,20,21,22,23,24,25,26,27,28,29,30}-1)*LEN(Registro!$G746)+1,LEN(Registro!$G746)))&amp;"x")-1))),"Revisar formato")))</f>
        <v/>
      </c>
      <c r="I746" s="11" t="str">
        <f>IF(Registro!$G746="","",IF(ISERROR(FIND("x",LOWER(Registro!$G746))),N(Registro!$H746),IFERROR(SUMPRODUCT(--("0"&amp;LEFT(TRIM(MID(SUBSTITUTE(SUBSTITUTE(SUBSTITUTE(SUBSTITUTE(SUBSTITUTE(LOWER(Registro!$G746),"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",LEN(Registro!$G746))),({1,2,3,4,5,6,7,8,9,10,11,12,13,14,15,16,17,18,19,20,21,22,23,24,25,26,27,28,29,30}-1)*LEN(Registro!$G746)+1,LEN(Registro!$G746))),FIND("x",TRIM(MID(SUBSTITUTE(SUBSTITUTE(SUBSTITUTE(SUBSTITUTE(SUBSTITUTE(LOWER(Registro!$G746),"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",LEN(Registro!$G746))),({1,2,3,4,5,6,7,8,9,10,11,12,13,14,15,16,17,18,19,20,21,22,23,24,25,26,27,28,29,30}-1)*LEN(Registro!$G746)+1,LEN(Registro!$G746)))&amp;"x")-1)),--("0"&amp;MID(TRIM(MID(SUBSTITUTE(SUBSTITUTE(SUBSTITUTE(SUBSTITUTE(SUBSTITUTE(LOWER(Registro!$G746),"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",LEN(Registro!$G746))),({1,2,3,4,5,6,7,8,9,10,11,12,13,14,15,16,17,18,19,20,21,22,23,24,25,26,27,28,29,30}-1)*LEN(Registro!$G746)+1,LEN(Registro!$G746))),FIND("x",TRIM(MID(SUBSTITUTE(SUBSTITUTE(SUBSTITUTE(SUBSTITUTE(SUBSTITUTE(LOWER(Registro!$G746),"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",LEN(Registro!$G746))),({1,2,3,4,5,6,7,8,9,10,11,12,13,14,15,16,17,18,19,20,21,22,23,24,25,26,27,28,29,30}-1)*LEN(Registro!$G746)+1,LEN(Registro!$G746)))&amp;"x")+1,20))),"Revisar formato")))</f>
        <v/>
      </c>
      <c r="J746" s="9" t="str">
        <f>IF(AND(Registro!$E746="",Registro!$G746=""),"",IF(NOT(AND(ISNUMBER(I746),ISNUMBER(Registro!$H746))),"",IF(I746&lt;Registro!$H746,"FALTA BOLETOS",IF(I746=Registro!$H746,"CONFORME","DIFERENCIA"))))</f>
        <v/>
      </c>
      <c r="K746" s="11" t="str">
        <f>IF(Registro!$I746="","",IFERROR(SUMPRODUCT(--("0"&amp;TRIM(RIGHT(SUBSTITUTE(TRIM(MID(SUBSTITUTE(SUBSTITUTE(Registro!$I746,";",CHAR(10)),CHAR(10),REPT(" ",LEN(Registro!$I746))),({1,2,3,4,5,6,7,8,9,10,11,12,13,14,15,16,17,18,19,20,21,22,23,24,25,26,27,28,29,30}-1)*LEN(Registro!$I746)+1,LEN(Registro!$I746)))," ",REPT(" ",50)),50)))),"Revisar formato"))</f>
        <v/>
      </c>
      <c r="L746" s="11" t="str">
        <f>IF(Registro!$J746="","",IFERROR(SUMPRODUCT(--("0"&amp;TRIM(RIGHT(SUBSTITUTE(TRIM(MID(SUBSTITUTE(SUBSTITUTE(Registro!$J746,";",CHAR(10)),CHAR(10),REPT(" ",LEN(Registro!$J746))),({1,2,3,4,5,6,7,8,9,10,11,12,13,14,15,16,17,18,19,20,21,22,23,24,25,26,27,28,29,30}-1)*LEN(Registro!$J746)+1,LEN(Registro!$J746)))," ",REPT(" ",50)),50)))),"Revisar formato"))</f>
        <v/>
      </c>
      <c r="M746" s="11" t="str">
        <f>IF(AND(Registro!$H746="",Registro!$I746=""),"",IF(AND(ISTEXT(K746),K746&lt;&gt;""),"Revisar formato",N(Registro!$H746)-N(K746)))</f>
        <v/>
      </c>
      <c r="N746" s="11" t="str">
        <f t="shared" si="35"/>
        <v/>
      </c>
      <c r="O746" s="15" t="str">
        <f>IF(AND(A746=Consulta!$B$3,C746=Consulta!$H$3),B746*10000+ROW(),"")</f>
        <v/>
      </c>
    </row>
    <row r="747" spans="1:15" x14ac:dyDescent="0.25">
      <c r="A747" s="9" t="str">
        <f>IF(Registro!$A747="","",Registro!$A747)</f>
        <v/>
      </c>
      <c r="B747" s="8" t="str">
        <f>IF(Registro!$B747="","",Registro!$B747)</f>
        <v/>
      </c>
      <c r="C747" s="14" t="str">
        <f t="shared" si="33"/>
        <v/>
      </c>
      <c r="D747" s="10" t="str">
        <f>IF(Registro!$E747="","",IF(ISERROR(FIND("x",LOWER(Registro!$E747))),"-",IFERROR(SUMPRODUCT(--("0"&amp;LEFT(TRIM(MID(SUBSTITUTE(SUBSTITUTE(SUBSTITUTE(SUBSTITUTE(SUBSTITUTE(LOWER(Registro!$E747),"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",LEN(Registro!$E747))),({1,2,3,4,5,6,7,8,9,10,11,12,13,14,15,16,17,18,19,20,21,22,23,24,25,26,27,28,29,30}-1)*LEN(Registro!$E747)+1,LEN(Registro!$E747)))&amp;"x")-1))),"Revisar formato")))</f>
        <v/>
      </c>
      <c r="E747" s="11" t="str">
        <f>IF(Registro!$E747="","",IF(ISERROR(FIND("x",LOWER(Registro!$E747))),"-",IFERROR(SUMPRODUCT(--("0"&amp;LEFT(TRIM(MID(SUBSTITUTE(SUBSTITUTE(SUBSTITUTE(SUBSTITUTE(SUBSTITUTE(LOWER(Registro!$E747),"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",LEN(Registro!$E747))),({1,2,3,4,5,6,7,8,9,10,11,12,13,14,15,16,17,18,19,20,21,22,23,24,25,26,27,28,29,30}-1)*LEN(Registro!$E747)+1,LEN(Registro!$E747)))&amp;"x")-1)),--("0"&amp;MID(TRIM(MID(SUBSTITUTE(SUBSTITUTE(SUBSTITUTE(SUBSTITUTE(SUBSTITUTE(LOWER(Registro!$E747),"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",LEN(Registro!$E747))),({1,2,3,4,5,6,7,8,9,10,11,12,13,14,15,16,17,18,19,20,21,22,23,24,25,26,27,28,29,30}-1)*LEN(Registro!$E747)+1,LEN(Registro!$E747)))&amp;"x")+1,20))),"Revisar formato")))</f>
        <v/>
      </c>
      <c r="F747" s="11" t="str">
        <f>IF(Registro!$F747="","",N(Registro!$F747))</f>
        <v/>
      </c>
      <c r="G747" s="11" t="str">
        <f t="shared" si="34"/>
        <v/>
      </c>
      <c r="H747" s="10" t="str">
        <f>IF(Registro!$G747="","",IF(ISERROR(FIND("x",LOWER(Registro!$G747))),"-",IFERROR(SUMPRODUCT(--("0"&amp;LEFT(TRIM(MID(SUBSTITUTE(SUBSTITUTE(SUBSTITUTE(SUBSTITUTE(SUBSTITUTE(LOWER(Registro!$G747),"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",LEN(Registro!$G747))),({1,2,3,4,5,6,7,8,9,10,11,12,13,14,15,16,17,18,19,20,21,22,23,24,25,26,27,28,29,30}-1)*LEN(Registro!$G747)+1,LEN(Registro!$G747))),FIND("x",TRIM(MID(SUBSTITUTE(SUBSTITUTE(SUBSTITUTE(SUBSTITUTE(SUBSTITUTE(LOWER(Registro!$G747),"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",LEN(Registro!$G747))),({1,2,3,4,5,6,7,8,9,10,11,12,13,14,15,16,17,18,19,20,21,22,23,24,25,26,27,28,29,30}-1)*LEN(Registro!$G747)+1,LEN(Registro!$G747)))&amp;"x")-1))),"Revisar formato")))</f>
        <v/>
      </c>
      <c r="I747" s="11" t="str">
        <f>IF(Registro!$G747="","",IF(ISERROR(FIND("x",LOWER(Registro!$G747))),N(Registro!$H747),IFERROR(SUMPRODUCT(--("0"&amp;LEFT(TRIM(MID(SUBSTITUTE(SUBSTITUTE(SUBSTITUTE(SUBSTITUTE(SUBSTITUTE(LOWER(Registro!$G747),"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",LEN(Registro!$G747))),({1,2,3,4,5,6,7,8,9,10,11,12,13,14,15,16,17,18,19,20,21,22,23,24,25,26,27,28,29,30}-1)*LEN(Registro!$G747)+1,LEN(Registro!$G747))),FIND("x",TRIM(MID(SUBSTITUTE(SUBSTITUTE(SUBSTITUTE(SUBSTITUTE(SUBSTITUTE(LOWER(Registro!$G747),"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",LEN(Registro!$G747))),({1,2,3,4,5,6,7,8,9,10,11,12,13,14,15,16,17,18,19,20,21,22,23,24,25,26,27,28,29,30}-1)*LEN(Registro!$G747)+1,LEN(Registro!$G747)))&amp;"x")-1)),--("0"&amp;MID(TRIM(MID(SUBSTITUTE(SUBSTITUTE(SUBSTITUTE(SUBSTITUTE(SUBSTITUTE(LOWER(Registro!$G747),"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",LEN(Registro!$G747))),({1,2,3,4,5,6,7,8,9,10,11,12,13,14,15,16,17,18,19,20,21,22,23,24,25,26,27,28,29,30}-1)*LEN(Registro!$G747)+1,LEN(Registro!$G747))),FIND("x",TRIM(MID(SUBSTITUTE(SUBSTITUTE(SUBSTITUTE(SUBSTITUTE(SUBSTITUTE(LOWER(Registro!$G747),"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",LEN(Registro!$G747))),({1,2,3,4,5,6,7,8,9,10,11,12,13,14,15,16,17,18,19,20,21,22,23,24,25,26,27,28,29,30}-1)*LEN(Registro!$G747)+1,LEN(Registro!$G747)))&amp;"x")+1,20))),"Revisar formato")))</f>
        <v/>
      </c>
      <c r="J747" s="9" t="str">
        <f>IF(AND(Registro!$E747="",Registro!$G747=""),"",IF(NOT(AND(ISNUMBER(I747),ISNUMBER(Registro!$H747))),"",IF(I747&lt;Registro!$H747,"FALTA BOLETOS",IF(I747=Registro!$H747,"CONFORME","DIFERENCIA"))))</f>
        <v/>
      </c>
      <c r="K747" s="11" t="str">
        <f>IF(Registro!$I747="","",IFERROR(SUMPRODUCT(--("0"&amp;TRIM(RIGHT(SUBSTITUTE(TRIM(MID(SUBSTITUTE(SUBSTITUTE(Registro!$I747,";",CHAR(10)),CHAR(10),REPT(" ",LEN(Registro!$I747))),({1,2,3,4,5,6,7,8,9,10,11,12,13,14,15,16,17,18,19,20,21,22,23,24,25,26,27,28,29,30}-1)*LEN(Registro!$I747)+1,LEN(Registro!$I747)))," ",REPT(" ",50)),50)))),"Revisar formato"))</f>
        <v/>
      </c>
      <c r="L747" s="11" t="str">
        <f>IF(Registro!$J747="","",IFERROR(SUMPRODUCT(--("0"&amp;TRIM(RIGHT(SUBSTITUTE(TRIM(MID(SUBSTITUTE(SUBSTITUTE(Registro!$J747,";",CHAR(10)),CHAR(10),REPT(" ",LEN(Registro!$J747))),({1,2,3,4,5,6,7,8,9,10,11,12,13,14,15,16,17,18,19,20,21,22,23,24,25,26,27,28,29,30}-1)*LEN(Registro!$J747)+1,LEN(Registro!$J747)))," ",REPT(" ",50)),50)))),"Revisar formato"))</f>
        <v/>
      </c>
      <c r="M747" s="11" t="str">
        <f>IF(AND(Registro!$H747="",Registro!$I747=""),"",IF(AND(ISTEXT(K747),K747&lt;&gt;""),"Revisar formato",N(Registro!$H747)-N(K747)))</f>
        <v/>
      </c>
      <c r="N747" s="11" t="str">
        <f t="shared" si="35"/>
        <v/>
      </c>
      <c r="O747" s="15" t="str">
        <f>IF(AND(A747=Consulta!$B$3,C747=Consulta!$H$3),B747*10000+ROW(),"")</f>
        <v/>
      </c>
    </row>
    <row r="748" spans="1:15" x14ac:dyDescent="0.25">
      <c r="A748" s="9" t="str">
        <f>IF(Registro!$A748="","",Registro!$A748)</f>
        <v/>
      </c>
      <c r="B748" s="8" t="str">
        <f>IF(Registro!$B748="","",Registro!$B748)</f>
        <v/>
      </c>
      <c r="C748" s="14" t="str">
        <f t="shared" si="33"/>
        <v/>
      </c>
      <c r="D748" s="10" t="str">
        <f>IF(Registro!$E748="","",IF(ISERROR(FIND("x",LOWER(Registro!$E748))),"-",IFERROR(SUMPRODUCT(--("0"&amp;LEFT(TRIM(MID(SUBSTITUTE(SUBSTITUTE(SUBSTITUTE(SUBSTITUTE(SUBSTITUTE(LOWER(Registro!$E748),"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",LEN(Registro!$E748))),({1,2,3,4,5,6,7,8,9,10,11,12,13,14,15,16,17,18,19,20,21,22,23,24,25,26,27,28,29,30}-1)*LEN(Registro!$E748)+1,LEN(Registro!$E748)))&amp;"x")-1))),"Revisar formato")))</f>
        <v/>
      </c>
      <c r="E748" s="11" t="str">
        <f>IF(Registro!$E748="","",IF(ISERROR(FIND("x",LOWER(Registro!$E748))),"-",IFERROR(SUMPRODUCT(--("0"&amp;LEFT(TRIM(MID(SUBSTITUTE(SUBSTITUTE(SUBSTITUTE(SUBSTITUTE(SUBSTITUTE(LOWER(Registro!$E748),"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",LEN(Registro!$E748))),({1,2,3,4,5,6,7,8,9,10,11,12,13,14,15,16,17,18,19,20,21,22,23,24,25,26,27,28,29,30}-1)*LEN(Registro!$E748)+1,LEN(Registro!$E748)))&amp;"x")-1)),--("0"&amp;MID(TRIM(MID(SUBSTITUTE(SUBSTITUTE(SUBSTITUTE(SUBSTITUTE(SUBSTITUTE(LOWER(Registro!$E748),"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",LEN(Registro!$E748))),({1,2,3,4,5,6,7,8,9,10,11,12,13,14,15,16,17,18,19,20,21,22,23,24,25,26,27,28,29,30}-1)*LEN(Registro!$E748)+1,LEN(Registro!$E748)))&amp;"x")+1,20))),"Revisar formato")))</f>
        <v/>
      </c>
      <c r="F748" s="11" t="str">
        <f>IF(Registro!$F748="","",N(Registro!$F748))</f>
        <v/>
      </c>
      <c r="G748" s="11" t="str">
        <f t="shared" si="34"/>
        <v/>
      </c>
      <c r="H748" s="10" t="str">
        <f>IF(Registro!$G748="","",IF(ISERROR(FIND("x",LOWER(Registro!$G748))),"-",IFERROR(SUMPRODUCT(--("0"&amp;LEFT(TRIM(MID(SUBSTITUTE(SUBSTITUTE(SUBSTITUTE(SUBSTITUTE(SUBSTITUTE(LOWER(Registro!$G748),"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",LEN(Registro!$G748))),({1,2,3,4,5,6,7,8,9,10,11,12,13,14,15,16,17,18,19,20,21,22,23,24,25,26,27,28,29,30}-1)*LEN(Registro!$G748)+1,LEN(Registro!$G748))),FIND("x",TRIM(MID(SUBSTITUTE(SUBSTITUTE(SUBSTITUTE(SUBSTITUTE(SUBSTITUTE(LOWER(Registro!$G748),"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",LEN(Registro!$G748))),({1,2,3,4,5,6,7,8,9,10,11,12,13,14,15,16,17,18,19,20,21,22,23,24,25,26,27,28,29,30}-1)*LEN(Registro!$G748)+1,LEN(Registro!$G748)))&amp;"x")-1))),"Revisar formato")))</f>
        <v/>
      </c>
      <c r="I748" s="11" t="str">
        <f>IF(Registro!$G748="","",IF(ISERROR(FIND("x",LOWER(Registro!$G748))),N(Registro!$H748),IFERROR(SUMPRODUCT(--("0"&amp;LEFT(TRIM(MID(SUBSTITUTE(SUBSTITUTE(SUBSTITUTE(SUBSTITUTE(SUBSTITUTE(LOWER(Registro!$G748),"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",LEN(Registro!$G748))),({1,2,3,4,5,6,7,8,9,10,11,12,13,14,15,16,17,18,19,20,21,22,23,24,25,26,27,28,29,30}-1)*LEN(Registro!$G748)+1,LEN(Registro!$G748))),FIND("x",TRIM(MID(SUBSTITUTE(SUBSTITUTE(SUBSTITUTE(SUBSTITUTE(SUBSTITUTE(LOWER(Registro!$G748),"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",LEN(Registro!$G748))),({1,2,3,4,5,6,7,8,9,10,11,12,13,14,15,16,17,18,19,20,21,22,23,24,25,26,27,28,29,30}-1)*LEN(Registro!$G748)+1,LEN(Registro!$G748)))&amp;"x")-1)),--("0"&amp;MID(TRIM(MID(SUBSTITUTE(SUBSTITUTE(SUBSTITUTE(SUBSTITUTE(SUBSTITUTE(LOWER(Registro!$G748),"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",LEN(Registro!$G748))),({1,2,3,4,5,6,7,8,9,10,11,12,13,14,15,16,17,18,19,20,21,22,23,24,25,26,27,28,29,30}-1)*LEN(Registro!$G748)+1,LEN(Registro!$G748))),FIND("x",TRIM(MID(SUBSTITUTE(SUBSTITUTE(SUBSTITUTE(SUBSTITUTE(SUBSTITUTE(LOWER(Registro!$G748),"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",LEN(Registro!$G748))),({1,2,3,4,5,6,7,8,9,10,11,12,13,14,15,16,17,18,19,20,21,22,23,24,25,26,27,28,29,30}-1)*LEN(Registro!$G748)+1,LEN(Registro!$G748)))&amp;"x")+1,20))),"Revisar formato")))</f>
        <v/>
      </c>
      <c r="J748" s="9" t="str">
        <f>IF(AND(Registro!$E748="",Registro!$G748=""),"",IF(NOT(AND(ISNUMBER(I748),ISNUMBER(Registro!$H748))),"",IF(I748&lt;Registro!$H748,"FALTA BOLETOS",IF(I748=Registro!$H748,"CONFORME","DIFERENCIA"))))</f>
        <v/>
      </c>
      <c r="K748" s="11" t="str">
        <f>IF(Registro!$I748="","",IFERROR(SUMPRODUCT(--("0"&amp;TRIM(RIGHT(SUBSTITUTE(TRIM(MID(SUBSTITUTE(SUBSTITUTE(Registro!$I748,";",CHAR(10)),CHAR(10),REPT(" ",LEN(Registro!$I748))),({1,2,3,4,5,6,7,8,9,10,11,12,13,14,15,16,17,18,19,20,21,22,23,24,25,26,27,28,29,30}-1)*LEN(Registro!$I748)+1,LEN(Registro!$I748)))," ",REPT(" ",50)),50)))),"Revisar formato"))</f>
        <v/>
      </c>
      <c r="L748" s="11" t="str">
        <f>IF(Registro!$J748="","",IFERROR(SUMPRODUCT(--("0"&amp;TRIM(RIGHT(SUBSTITUTE(TRIM(MID(SUBSTITUTE(SUBSTITUTE(Registro!$J748,";",CHAR(10)),CHAR(10),REPT(" ",LEN(Registro!$J748))),({1,2,3,4,5,6,7,8,9,10,11,12,13,14,15,16,17,18,19,20,21,22,23,24,25,26,27,28,29,30}-1)*LEN(Registro!$J748)+1,LEN(Registro!$J748)))," ",REPT(" ",50)),50)))),"Revisar formato"))</f>
        <v/>
      </c>
      <c r="M748" s="11" t="str">
        <f>IF(AND(Registro!$H748="",Registro!$I748=""),"",IF(AND(ISTEXT(K748),K748&lt;&gt;""),"Revisar formato",N(Registro!$H748)-N(K748)))</f>
        <v/>
      </c>
      <c r="N748" s="11" t="str">
        <f t="shared" si="35"/>
        <v/>
      </c>
      <c r="O748" s="15" t="str">
        <f>IF(AND(A748=Consulta!$B$3,C748=Consulta!$H$3),B748*10000+ROW(),"")</f>
        <v/>
      </c>
    </row>
    <row r="749" spans="1:15" x14ac:dyDescent="0.25">
      <c r="A749" s="9" t="str">
        <f>IF(Registro!$A749="","",Registro!$A749)</f>
        <v/>
      </c>
      <c r="B749" s="8" t="str">
        <f>IF(Registro!$B749="","",Registro!$B749)</f>
        <v/>
      </c>
      <c r="C749" s="14" t="str">
        <f t="shared" si="33"/>
        <v/>
      </c>
      <c r="D749" s="10" t="str">
        <f>IF(Registro!$E749="","",IF(ISERROR(FIND("x",LOWER(Registro!$E749))),"-",IFERROR(SUMPRODUCT(--("0"&amp;LEFT(TRIM(MID(SUBSTITUTE(SUBSTITUTE(SUBSTITUTE(SUBSTITUTE(SUBSTITUTE(LOWER(Registro!$E749),"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",LEN(Registro!$E749))),({1,2,3,4,5,6,7,8,9,10,11,12,13,14,15,16,17,18,19,20,21,22,23,24,25,26,27,28,29,30}-1)*LEN(Registro!$E749)+1,LEN(Registro!$E749)))&amp;"x")-1))),"Revisar formato")))</f>
        <v/>
      </c>
      <c r="E749" s="11" t="str">
        <f>IF(Registro!$E749="","",IF(ISERROR(FIND("x",LOWER(Registro!$E749))),"-",IFERROR(SUMPRODUCT(--("0"&amp;LEFT(TRIM(MID(SUBSTITUTE(SUBSTITUTE(SUBSTITUTE(SUBSTITUTE(SUBSTITUTE(LOWER(Registro!$E749),"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",LEN(Registro!$E749))),({1,2,3,4,5,6,7,8,9,10,11,12,13,14,15,16,17,18,19,20,21,22,23,24,25,26,27,28,29,30}-1)*LEN(Registro!$E749)+1,LEN(Registro!$E749)))&amp;"x")-1)),--("0"&amp;MID(TRIM(MID(SUBSTITUTE(SUBSTITUTE(SUBSTITUTE(SUBSTITUTE(SUBSTITUTE(LOWER(Registro!$E749),"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",LEN(Registro!$E749))),({1,2,3,4,5,6,7,8,9,10,11,12,13,14,15,16,17,18,19,20,21,22,23,24,25,26,27,28,29,30}-1)*LEN(Registro!$E749)+1,LEN(Registro!$E749)))&amp;"x")+1,20))),"Revisar formato")))</f>
        <v/>
      </c>
      <c r="F749" s="11" t="str">
        <f>IF(Registro!$F749="","",N(Registro!$F749))</f>
        <v/>
      </c>
      <c r="G749" s="11" t="str">
        <f t="shared" si="34"/>
        <v/>
      </c>
      <c r="H749" s="10" t="str">
        <f>IF(Registro!$G749="","",IF(ISERROR(FIND("x",LOWER(Registro!$G749))),"-",IFERROR(SUMPRODUCT(--("0"&amp;LEFT(TRIM(MID(SUBSTITUTE(SUBSTITUTE(SUBSTITUTE(SUBSTITUTE(SUBSTITUTE(LOWER(Registro!$G749),"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",LEN(Registro!$G749))),({1,2,3,4,5,6,7,8,9,10,11,12,13,14,15,16,17,18,19,20,21,22,23,24,25,26,27,28,29,30}-1)*LEN(Registro!$G749)+1,LEN(Registro!$G749))),FIND("x",TRIM(MID(SUBSTITUTE(SUBSTITUTE(SUBSTITUTE(SUBSTITUTE(SUBSTITUTE(LOWER(Registro!$G749),"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",LEN(Registro!$G749))),({1,2,3,4,5,6,7,8,9,10,11,12,13,14,15,16,17,18,19,20,21,22,23,24,25,26,27,28,29,30}-1)*LEN(Registro!$G749)+1,LEN(Registro!$G749)))&amp;"x")-1))),"Revisar formato")))</f>
        <v/>
      </c>
      <c r="I749" s="11" t="str">
        <f>IF(Registro!$G749="","",IF(ISERROR(FIND("x",LOWER(Registro!$G749))),N(Registro!$H749),IFERROR(SUMPRODUCT(--("0"&amp;LEFT(TRIM(MID(SUBSTITUTE(SUBSTITUTE(SUBSTITUTE(SUBSTITUTE(SUBSTITUTE(LOWER(Registro!$G749),"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",LEN(Registro!$G749))),({1,2,3,4,5,6,7,8,9,10,11,12,13,14,15,16,17,18,19,20,21,22,23,24,25,26,27,28,29,30}-1)*LEN(Registro!$G749)+1,LEN(Registro!$G749))),FIND("x",TRIM(MID(SUBSTITUTE(SUBSTITUTE(SUBSTITUTE(SUBSTITUTE(SUBSTITUTE(LOWER(Registro!$G749),"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",LEN(Registro!$G749))),({1,2,3,4,5,6,7,8,9,10,11,12,13,14,15,16,17,18,19,20,21,22,23,24,25,26,27,28,29,30}-1)*LEN(Registro!$G749)+1,LEN(Registro!$G749)))&amp;"x")-1)),--("0"&amp;MID(TRIM(MID(SUBSTITUTE(SUBSTITUTE(SUBSTITUTE(SUBSTITUTE(SUBSTITUTE(LOWER(Registro!$G749),"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",LEN(Registro!$G749))),({1,2,3,4,5,6,7,8,9,10,11,12,13,14,15,16,17,18,19,20,21,22,23,24,25,26,27,28,29,30}-1)*LEN(Registro!$G749)+1,LEN(Registro!$G749))),FIND("x",TRIM(MID(SUBSTITUTE(SUBSTITUTE(SUBSTITUTE(SUBSTITUTE(SUBSTITUTE(LOWER(Registro!$G749),"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",LEN(Registro!$G749))),({1,2,3,4,5,6,7,8,9,10,11,12,13,14,15,16,17,18,19,20,21,22,23,24,25,26,27,28,29,30}-1)*LEN(Registro!$G749)+1,LEN(Registro!$G749)))&amp;"x")+1,20))),"Revisar formato")))</f>
        <v/>
      </c>
      <c r="J749" s="9" t="str">
        <f>IF(AND(Registro!$E749="",Registro!$G749=""),"",IF(NOT(AND(ISNUMBER(I749),ISNUMBER(Registro!$H749))),"",IF(I749&lt;Registro!$H749,"FALTA BOLETOS",IF(I749=Registro!$H749,"CONFORME","DIFERENCIA"))))</f>
        <v/>
      </c>
      <c r="K749" s="11" t="str">
        <f>IF(Registro!$I749="","",IFERROR(SUMPRODUCT(--("0"&amp;TRIM(RIGHT(SUBSTITUTE(TRIM(MID(SUBSTITUTE(SUBSTITUTE(Registro!$I749,";",CHAR(10)),CHAR(10),REPT(" ",LEN(Registro!$I749))),({1,2,3,4,5,6,7,8,9,10,11,12,13,14,15,16,17,18,19,20,21,22,23,24,25,26,27,28,29,30}-1)*LEN(Registro!$I749)+1,LEN(Registro!$I749)))," ",REPT(" ",50)),50)))),"Revisar formato"))</f>
        <v/>
      </c>
      <c r="L749" s="11" t="str">
        <f>IF(Registro!$J749="","",IFERROR(SUMPRODUCT(--("0"&amp;TRIM(RIGHT(SUBSTITUTE(TRIM(MID(SUBSTITUTE(SUBSTITUTE(Registro!$J749,";",CHAR(10)),CHAR(10),REPT(" ",LEN(Registro!$J749))),({1,2,3,4,5,6,7,8,9,10,11,12,13,14,15,16,17,18,19,20,21,22,23,24,25,26,27,28,29,30}-1)*LEN(Registro!$J749)+1,LEN(Registro!$J749)))," ",REPT(" ",50)),50)))),"Revisar formato"))</f>
        <v/>
      </c>
      <c r="M749" s="11" t="str">
        <f>IF(AND(Registro!$H749="",Registro!$I749=""),"",IF(AND(ISTEXT(K749),K749&lt;&gt;""),"Revisar formato",N(Registro!$H749)-N(K749)))</f>
        <v/>
      </c>
      <c r="N749" s="11" t="str">
        <f t="shared" si="35"/>
        <v/>
      </c>
      <c r="O749" s="15" t="str">
        <f>IF(AND(A749=Consulta!$B$3,C749=Consulta!$H$3),B749*10000+ROW(),"")</f>
        <v/>
      </c>
    </row>
    <row r="750" spans="1:15" x14ac:dyDescent="0.25">
      <c r="A750" s="9" t="str">
        <f>IF(Registro!$A750="","",Registro!$A750)</f>
        <v/>
      </c>
      <c r="B750" s="8" t="str">
        <f>IF(Registro!$B750="","",Registro!$B750)</f>
        <v/>
      </c>
      <c r="C750" s="14" t="str">
        <f t="shared" si="33"/>
        <v/>
      </c>
      <c r="D750" s="10" t="str">
        <f>IF(Registro!$E750="","",IF(ISERROR(FIND("x",LOWER(Registro!$E750))),"-",IFERROR(SUMPRODUCT(--("0"&amp;LEFT(TRIM(MID(SUBSTITUTE(SUBSTITUTE(SUBSTITUTE(SUBSTITUTE(SUBSTITUTE(LOWER(Registro!$E750),"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",LEN(Registro!$E750))),({1,2,3,4,5,6,7,8,9,10,11,12,13,14,15,16,17,18,19,20,21,22,23,24,25,26,27,28,29,30}-1)*LEN(Registro!$E750)+1,LEN(Registro!$E750)))&amp;"x")-1))),"Revisar formato")))</f>
        <v/>
      </c>
      <c r="E750" s="11" t="str">
        <f>IF(Registro!$E750="","",IF(ISERROR(FIND("x",LOWER(Registro!$E750))),"-",IFERROR(SUMPRODUCT(--("0"&amp;LEFT(TRIM(MID(SUBSTITUTE(SUBSTITUTE(SUBSTITUTE(SUBSTITUTE(SUBSTITUTE(LOWER(Registro!$E750),"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",LEN(Registro!$E750))),({1,2,3,4,5,6,7,8,9,10,11,12,13,14,15,16,17,18,19,20,21,22,23,24,25,26,27,28,29,30}-1)*LEN(Registro!$E750)+1,LEN(Registro!$E750)))&amp;"x")-1)),--("0"&amp;MID(TRIM(MID(SUBSTITUTE(SUBSTITUTE(SUBSTITUTE(SUBSTITUTE(SUBSTITUTE(LOWER(Registro!$E750),"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",LEN(Registro!$E750))),({1,2,3,4,5,6,7,8,9,10,11,12,13,14,15,16,17,18,19,20,21,22,23,24,25,26,27,28,29,30}-1)*LEN(Registro!$E750)+1,LEN(Registro!$E750)))&amp;"x")+1,20))),"Revisar formato")))</f>
        <v/>
      </c>
      <c r="F750" s="11" t="str">
        <f>IF(Registro!$F750="","",N(Registro!$F750))</f>
        <v/>
      </c>
      <c r="G750" s="11" t="str">
        <f t="shared" si="34"/>
        <v/>
      </c>
      <c r="H750" s="10" t="str">
        <f>IF(Registro!$G750="","",IF(ISERROR(FIND("x",LOWER(Registro!$G750))),"-",IFERROR(SUMPRODUCT(--("0"&amp;LEFT(TRIM(MID(SUBSTITUTE(SUBSTITUTE(SUBSTITUTE(SUBSTITUTE(SUBSTITUTE(LOWER(Registro!$G750),"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",LEN(Registro!$G750))),({1,2,3,4,5,6,7,8,9,10,11,12,13,14,15,16,17,18,19,20,21,22,23,24,25,26,27,28,29,30}-1)*LEN(Registro!$G750)+1,LEN(Registro!$G750))),FIND("x",TRIM(MID(SUBSTITUTE(SUBSTITUTE(SUBSTITUTE(SUBSTITUTE(SUBSTITUTE(LOWER(Registro!$G750),"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",LEN(Registro!$G750))),({1,2,3,4,5,6,7,8,9,10,11,12,13,14,15,16,17,18,19,20,21,22,23,24,25,26,27,28,29,30}-1)*LEN(Registro!$G750)+1,LEN(Registro!$G750)))&amp;"x")-1))),"Revisar formato")))</f>
        <v/>
      </c>
      <c r="I750" s="11" t="str">
        <f>IF(Registro!$G750="","",IF(ISERROR(FIND("x",LOWER(Registro!$G750))),N(Registro!$H750),IFERROR(SUMPRODUCT(--("0"&amp;LEFT(TRIM(MID(SUBSTITUTE(SUBSTITUTE(SUBSTITUTE(SUBSTITUTE(SUBSTITUTE(LOWER(Registro!$G750),"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",LEN(Registro!$G750))),({1,2,3,4,5,6,7,8,9,10,11,12,13,14,15,16,17,18,19,20,21,22,23,24,25,26,27,28,29,30}-1)*LEN(Registro!$G750)+1,LEN(Registro!$G750))),FIND("x",TRIM(MID(SUBSTITUTE(SUBSTITUTE(SUBSTITUTE(SUBSTITUTE(SUBSTITUTE(LOWER(Registro!$G750),"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",LEN(Registro!$G750))),({1,2,3,4,5,6,7,8,9,10,11,12,13,14,15,16,17,18,19,20,21,22,23,24,25,26,27,28,29,30}-1)*LEN(Registro!$G750)+1,LEN(Registro!$G750)))&amp;"x")-1)),--("0"&amp;MID(TRIM(MID(SUBSTITUTE(SUBSTITUTE(SUBSTITUTE(SUBSTITUTE(SUBSTITUTE(LOWER(Registro!$G750),"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",LEN(Registro!$G750))),({1,2,3,4,5,6,7,8,9,10,11,12,13,14,15,16,17,18,19,20,21,22,23,24,25,26,27,28,29,30}-1)*LEN(Registro!$G750)+1,LEN(Registro!$G750))),FIND("x",TRIM(MID(SUBSTITUTE(SUBSTITUTE(SUBSTITUTE(SUBSTITUTE(SUBSTITUTE(LOWER(Registro!$G750),"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",LEN(Registro!$G750))),({1,2,3,4,5,6,7,8,9,10,11,12,13,14,15,16,17,18,19,20,21,22,23,24,25,26,27,28,29,30}-1)*LEN(Registro!$G750)+1,LEN(Registro!$G750)))&amp;"x")+1,20))),"Revisar formato")))</f>
        <v/>
      </c>
      <c r="J750" s="9" t="str">
        <f>IF(AND(Registro!$E750="",Registro!$G750=""),"",IF(NOT(AND(ISNUMBER(I750),ISNUMBER(Registro!$H750))),"",IF(I750&lt;Registro!$H750,"FALTA BOLETOS",IF(I750=Registro!$H750,"CONFORME","DIFERENCIA"))))</f>
        <v/>
      </c>
      <c r="K750" s="11" t="str">
        <f>IF(Registro!$I750="","",IFERROR(SUMPRODUCT(--("0"&amp;TRIM(RIGHT(SUBSTITUTE(TRIM(MID(SUBSTITUTE(SUBSTITUTE(Registro!$I750,";",CHAR(10)),CHAR(10),REPT(" ",LEN(Registro!$I750))),({1,2,3,4,5,6,7,8,9,10,11,12,13,14,15,16,17,18,19,20,21,22,23,24,25,26,27,28,29,30}-1)*LEN(Registro!$I750)+1,LEN(Registro!$I750)))," ",REPT(" ",50)),50)))),"Revisar formato"))</f>
        <v/>
      </c>
      <c r="L750" s="11" t="str">
        <f>IF(Registro!$J750="","",IFERROR(SUMPRODUCT(--("0"&amp;TRIM(RIGHT(SUBSTITUTE(TRIM(MID(SUBSTITUTE(SUBSTITUTE(Registro!$J750,";",CHAR(10)),CHAR(10),REPT(" ",LEN(Registro!$J750))),({1,2,3,4,5,6,7,8,9,10,11,12,13,14,15,16,17,18,19,20,21,22,23,24,25,26,27,28,29,30}-1)*LEN(Registro!$J750)+1,LEN(Registro!$J750)))," ",REPT(" ",50)),50)))),"Revisar formato"))</f>
        <v/>
      </c>
      <c r="M750" s="11" t="str">
        <f>IF(AND(Registro!$H750="",Registro!$I750=""),"",IF(AND(ISTEXT(K750),K750&lt;&gt;""),"Revisar formato",N(Registro!$H750)-N(K750)))</f>
        <v/>
      </c>
      <c r="N750" s="11" t="str">
        <f t="shared" si="35"/>
        <v/>
      </c>
      <c r="O750" s="15" t="str">
        <f>IF(AND(A750=Consulta!$B$3,C750=Consulta!$H$3),B750*10000+ROW(),"")</f>
        <v/>
      </c>
    </row>
    <row r="751" spans="1:15" x14ac:dyDescent="0.25">
      <c r="A751" s="9" t="str">
        <f>IF(Registro!$A751="","",Registro!$A751)</f>
        <v/>
      </c>
      <c r="B751" s="8" t="str">
        <f>IF(Registro!$B751="","",Registro!$B751)</f>
        <v/>
      </c>
      <c r="C751" s="14" t="str">
        <f t="shared" si="33"/>
        <v/>
      </c>
      <c r="D751" s="10" t="str">
        <f>IF(Registro!$E751="","",IF(ISERROR(FIND("x",LOWER(Registro!$E751))),"-",IFERROR(SUMPRODUCT(--("0"&amp;LEFT(TRIM(MID(SUBSTITUTE(SUBSTITUTE(SUBSTITUTE(SUBSTITUTE(SUBSTITUTE(LOWER(Registro!$E751),"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",LEN(Registro!$E751))),({1,2,3,4,5,6,7,8,9,10,11,12,13,14,15,16,17,18,19,20,21,22,23,24,25,26,27,28,29,30}-1)*LEN(Registro!$E751)+1,LEN(Registro!$E751)))&amp;"x")-1))),"Revisar formato")))</f>
        <v/>
      </c>
      <c r="E751" s="11" t="str">
        <f>IF(Registro!$E751="","",IF(ISERROR(FIND("x",LOWER(Registro!$E751))),"-",IFERROR(SUMPRODUCT(--("0"&amp;LEFT(TRIM(MID(SUBSTITUTE(SUBSTITUTE(SUBSTITUTE(SUBSTITUTE(SUBSTITUTE(LOWER(Registro!$E751),"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",LEN(Registro!$E751))),({1,2,3,4,5,6,7,8,9,10,11,12,13,14,15,16,17,18,19,20,21,22,23,24,25,26,27,28,29,30}-1)*LEN(Registro!$E751)+1,LEN(Registro!$E751)))&amp;"x")-1)),--("0"&amp;MID(TRIM(MID(SUBSTITUTE(SUBSTITUTE(SUBSTITUTE(SUBSTITUTE(SUBSTITUTE(LOWER(Registro!$E751),"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",LEN(Registro!$E751))),({1,2,3,4,5,6,7,8,9,10,11,12,13,14,15,16,17,18,19,20,21,22,23,24,25,26,27,28,29,30}-1)*LEN(Registro!$E751)+1,LEN(Registro!$E751)))&amp;"x")+1,20))),"Revisar formato")))</f>
        <v/>
      </c>
      <c r="F751" s="11" t="str">
        <f>IF(Registro!$F751="","",N(Registro!$F751))</f>
        <v/>
      </c>
      <c r="G751" s="11" t="str">
        <f t="shared" si="34"/>
        <v/>
      </c>
      <c r="H751" s="10" t="str">
        <f>IF(Registro!$G751="","",IF(ISERROR(FIND("x",LOWER(Registro!$G751))),"-",IFERROR(SUMPRODUCT(--("0"&amp;LEFT(TRIM(MID(SUBSTITUTE(SUBSTITUTE(SUBSTITUTE(SUBSTITUTE(SUBSTITUTE(LOWER(Registro!$G751),"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",LEN(Registro!$G751))),({1,2,3,4,5,6,7,8,9,10,11,12,13,14,15,16,17,18,19,20,21,22,23,24,25,26,27,28,29,30}-1)*LEN(Registro!$G751)+1,LEN(Registro!$G751))),FIND("x",TRIM(MID(SUBSTITUTE(SUBSTITUTE(SUBSTITUTE(SUBSTITUTE(SUBSTITUTE(LOWER(Registro!$G751),"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",LEN(Registro!$G751))),({1,2,3,4,5,6,7,8,9,10,11,12,13,14,15,16,17,18,19,20,21,22,23,24,25,26,27,28,29,30}-1)*LEN(Registro!$G751)+1,LEN(Registro!$G751)))&amp;"x")-1))),"Revisar formato")))</f>
        <v/>
      </c>
      <c r="I751" s="11" t="str">
        <f>IF(Registro!$G751="","",IF(ISERROR(FIND("x",LOWER(Registro!$G751))),N(Registro!$H751),IFERROR(SUMPRODUCT(--("0"&amp;LEFT(TRIM(MID(SUBSTITUTE(SUBSTITUTE(SUBSTITUTE(SUBSTITUTE(SUBSTITUTE(LOWER(Registro!$G751),"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",LEN(Registro!$G751))),({1,2,3,4,5,6,7,8,9,10,11,12,13,14,15,16,17,18,19,20,21,22,23,24,25,26,27,28,29,30}-1)*LEN(Registro!$G751)+1,LEN(Registro!$G751))),FIND("x",TRIM(MID(SUBSTITUTE(SUBSTITUTE(SUBSTITUTE(SUBSTITUTE(SUBSTITUTE(LOWER(Registro!$G751),"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",LEN(Registro!$G751))),({1,2,3,4,5,6,7,8,9,10,11,12,13,14,15,16,17,18,19,20,21,22,23,24,25,26,27,28,29,30}-1)*LEN(Registro!$G751)+1,LEN(Registro!$G751)))&amp;"x")-1)),--("0"&amp;MID(TRIM(MID(SUBSTITUTE(SUBSTITUTE(SUBSTITUTE(SUBSTITUTE(SUBSTITUTE(LOWER(Registro!$G751),"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",LEN(Registro!$G751))),({1,2,3,4,5,6,7,8,9,10,11,12,13,14,15,16,17,18,19,20,21,22,23,24,25,26,27,28,29,30}-1)*LEN(Registro!$G751)+1,LEN(Registro!$G751))),FIND("x",TRIM(MID(SUBSTITUTE(SUBSTITUTE(SUBSTITUTE(SUBSTITUTE(SUBSTITUTE(LOWER(Registro!$G751),"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",LEN(Registro!$G751))),({1,2,3,4,5,6,7,8,9,10,11,12,13,14,15,16,17,18,19,20,21,22,23,24,25,26,27,28,29,30}-1)*LEN(Registro!$G751)+1,LEN(Registro!$G751)))&amp;"x")+1,20))),"Revisar formato")))</f>
        <v/>
      </c>
      <c r="J751" s="9" t="str">
        <f>IF(AND(Registro!$E751="",Registro!$G751=""),"",IF(NOT(AND(ISNUMBER(I751),ISNUMBER(Registro!$H751))),"",IF(I751&lt;Registro!$H751,"FALTA BOLETOS",IF(I751=Registro!$H751,"CONFORME","DIFERENCIA"))))</f>
        <v/>
      </c>
      <c r="K751" s="11" t="str">
        <f>IF(Registro!$I751="","",IFERROR(SUMPRODUCT(--("0"&amp;TRIM(RIGHT(SUBSTITUTE(TRIM(MID(SUBSTITUTE(SUBSTITUTE(Registro!$I751,";",CHAR(10)),CHAR(10),REPT(" ",LEN(Registro!$I751))),({1,2,3,4,5,6,7,8,9,10,11,12,13,14,15,16,17,18,19,20,21,22,23,24,25,26,27,28,29,30}-1)*LEN(Registro!$I751)+1,LEN(Registro!$I751)))," ",REPT(" ",50)),50)))),"Revisar formato"))</f>
        <v/>
      </c>
      <c r="L751" s="11" t="str">
        <f>IF(Registro!$J751="","",IFERROR(SUMPRODUCT(--("0"&amp;TRIM(RIGHT(SUBSTITUTE(TRIM(MID(SUBSTITUTE(SUBSTITUTE(Registro!$J751,";",CHAR(10)),CHAR(10),REPT(" ",LEN(Registro!$J751))),({1,2,3,4,5,6,7,8,9,10,11,12,13,14,15,16,17,18,19,20,21,22,23,24,25,26,27,28,29,30}-1)*LEN(Registro!$J751)+1,LEN(Registro!$J751)))," ",REPT(" ",50)),50)))),"Revisar formato"))</f>
        <v/>
      </c>
      <c r="M751" s="11" t="str">
        <f>IF(AND(Registro!$H751="",Registro!$I751=""),"",IF(AND(ISTEXT(K751),K751&lt;&gt;""),"Revisar formato",N(Registro!$H751)-N(K751)))</f>
        <v/>
      </c>
      <c r="N751" s="11" t="str">
        <f t="shared" si="35"/>
        <v/>
      </c>
      <c r="O751" s="15" t="str">
        <f>IF(AND(A751=Consulta!$B$3,C751=Consulta!$H$3),B751*10000+ROW(),"")</f>
        <v/>
      </c>
    </row>
    <row r="752" spans="1:15" x14ac:dyDescent="0.25">
      <c r="A752" s="9" t="str">
        <f>IF(Registro!$A752="","",Registro!$A752)</f>
        <v/>
      </c>
      <c r="B752" s="8" t="str">
        <f>IF(Registro!$B752="","",Registro!$B752)</f>
        <v/>
      </c>
      <c r="C752" s="14" t="str">
        <f t="shared" si="33"/>
        <v/>
      </c>
      <c r="D752" s="10" t="str">
        <f>IF(Registro!$E752="","",IF(ISERROR(FIND("x",LOWER(Registro!$E752))),"-",IFERROR(SUMPRODUCT(--("0"&amp;LEFT(TRIM(MID(SUBSTITUTE(SUBSTITUTE(SUBSTITUTE(SUBSTITUTE(SUBSTITUTE(LOWER(Registro!$E752),"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",LEN(Registro!$E752))),({1,2,3,4,5,6,7,8,9,10,11,12,13,14,15,16,17,18,19,20,21,22,23,24,25,26,27,28,29,30}-1)*LEN(Registro!$E752)+1,LEN(Registro!$E752)))&amp;"x")-1))),"Revisar formato")))</f>
        <v/>
      </c>
      <c r="E752" s="11" t="str">
        <f>IF(Registro!$E752="","",IF(ISERROR(FIND("x",LOWER(Registro!$E752))),"-",IFERROR(SUMPRODUCT(--("0"&amp;LEFT(TRIM(MID(SUBSTITUTE(SUBSTITUTE(SUBSTITUTE(SUBSTITUTE(SUBSTITUTE(LOWER(Registro!$E752),"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",LEN(Registro!$E752))),({1,2,3,4,5,6,7,8,9,10,11,12,13,14,15,16,17,18,19,20,21,22,23,24,25,26,27,28,29,30}-1)*LEN(Registro!$E752)+1,LEN(Registro!$E752)))&amp;"x")-1)),--("0"&amp;MID(TRIM(MID(SUBSTITUTE(SUBSTITUTE(SUBSTITUTE(SUBSTITUTE(SUBSTITUTE(LOWER(Registro!$E752),"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",LEN(Registro!$E752))),({1,2,3,4,5,6,7,8,9,10,11,12,13,14,15,16,17,18,19,20,21,22,23,24,25,26,27,28,29,30}-1)*LEN(Registro!$E752)+1,LEN(Registro!$E752)))&amp;"x")+1,20))),"Revisar formato")))</f>
        <v/>
      </c>
      <c r="F752" s="11" t="str">
        <f>IF(Registro!$F752="","",N(Registro!$F752))</f>
        <v/>
      </c>
      <c r="G752" s="11" t="str">
        <f t="shared" si="34"/>
        <v/>
      </c>
      <c r="H752" s="10" t="str">
        <f>IF(Registro!$G752="","",IF(ISERROR(FIND("x",LOWER(Registro!$G752))),"-",IFERROR(SUMPRODUCT(--("0"&amp;LEFT(TRIM(MID(SUBSTITUTE(SUBSTITUTE(SUBSTITUTE(SUBSTITUTE(SUBSTITUTE(LOWER(Registro!$G752),"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",LEN(Registro!$G752))),({1,2,3,4,5,6,7,8,9,10,11,12,13,14,15,16,17,18,19,20,21,22,23,24,25,26,27,28,29,30}-1)*LEN(Registro!$G752)+1,LEN(Registro!$G752))),FIND("x",TRIM(MID(SUBSTITUTE(SUBSTITUTE(SUBSTITUTE(SUBSTITUTE(SUBSTITUTE(LOWER(Registro!$G752),"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",LEN(Registro!$G752))),({1,2,3,4,5,6,7,8,9,10,11,12,13,14,15,16,17,18,19,20,21,22,23,24,25,26,27,28,29,30}-1)*LEN(Registro!$G752)+1,LEN(Registro!$G752)))&amp;"x")-1))),"Revisar formato")))</f>
        <v/>
      </c>
      <c r="I752" s="11" t="str">
        <f>IF(Registro!$G752="","",IF(ISERROR(FIND("x",LOWER(Registro!$G752))),N(Registro!$H752),IFERROR(SUMPRODUCT(--("0"&amp;LEFT(TRIM(MID(SUBSTITUTE(SUBSTITUTE(SUBSTITUTE(SUBSTITUTE(SUBSTITUTE(LOWER(Registro!$G752),"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",LEN(Registro!$G752))),({1,2,3,4,5,6,7,8,9,10,11,12,13,14,15,16,17,18,19,20,21,22,23,24,25,26,27,28,29,30}-1)*LEN(Registro!$G752)+1,LEN(Registro!$G752))),FIND("x",TRIM(MID(SUBSTITUTE(SUBSTITUTE(SUBSTITUTE(SUBSTITUTE(SUBSTITUTE(LOWER(Registro!$G752),"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",LEN(Registro!$G752))),({1,2,3,4,5,6,7,8,9,10,11,12,13,14,15,16,17,18,19,20,21,22,23,24,25,26,27,28,29,30}-1)*LEN(Registro!$G752)+1,LEN(Registro!$G752)))&amp;"x")-1)),--("0"&amp;MID(TRIM(MID(SUBSTITUTE(SUBSTITUTE(SUBSTITUTE(SUBSTITUTE(SUBSTITUTE(LOWER(Registro!$G752),"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",LEN(Registro!$G752))),({1,2,3,4,5,6,7,8,9,10,11,12,13,14,15,16,17,18,19,20,21,22,23,24,25,26,27,28,29,30}-1)*LEN(Registro!$G752)+1,LEN(Registro!$G752))),FIND("x",TRIM(MID(SUBSTITUTE(SUBSTITUTE(SUBSTITUTE(SUBSTITUTE(SUBSTITUTE(LOWER(Registro!$G752),"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",LEN(Registro!$G752))),({1,2,3,4,5,6,7,8,9,10,11,12,13,14,15,16,17,18,19,20,21,22,23,24,25,26,27,28,29,30}-1)*LEN(Registro!$G752)+1,LEN(Registro!$G752)))&amp;"x")+1,20))),"Revisar formato")))</f>
        <v/>
      </c>
      <c r="J752" s="9" t="str">
        <f>IF(AND(Registro!$E752="",Registro!$G752=""),"",IF(NOT(AND(ISNUMBER(I752),ISNUMBER(Registro!$H752))),"",IF(I752&lt;Registro!$H752,"FALTA BOLETOS",IF(I752=Registro!$H752,"CONFORME","DIFERENCIA"))))</f>
        <v/>
      </c>
      <c r="K752" s="11" t="str">
        <f>IF(Registro!$I752="","",IFERROR(SUMPRODUCT(--("0"&amp;TRIM(RIGHT(SUBSTITUTE(TRIM(MID(SUBSTITUTE(SUBSTITUTE(Registro!$I752,";",CHAR(10)),CHAR(10),REPT(" ",LEN(Registro!$I752))),({1,2,3,4,5,6,7,8,9,10,11,12,13,14,15,16,17,18,19,20,21,22,23,24,25,26,27,28,29,30}-1)*LEN(Registro!$I752)+1,LEN(Registro!$I752)))," ",REPT(" ",50)),50)))),"Revisar formato"))</f>
        <v/>
      </c>
      <c r="L752" s="11" t="str">
        <f>IF(Registro!$J752="","",IFERROR(SUMPRODUCT(--("0"&amp;TRIM(RIGHT(SUBSTITUTE(TRIM(MID(SUBSTITUTE(SUBSTITUTE(Registro!$J752,";",CHAR(10)),CHAR(10),REPT(" ",LEN(Registro!$J752))),({1,2,3,4,5,6,7,8,9,10,11,12,13,14,15,16,17,18,19,20,21,22,23,24,25,26,27,28,29,30}-1)*LEN(Registro!$J752)+1,LEN(Registro!$J752)))," ",REPT(" ",50)),50)))),"Revisar formato"))</f>
        <v/>
      </c>
      <c r="M752" s="11" t="str">
        <f>IF(AND(Registro!$H752="",Registro!$I752=""),"",IF(AND(ISTEXT(K752),K752&lt;&gt;""),"Revisar formato",N(Registro!$H752)-N(K752)))</f>
        <v/>
      </c>
      <c r="N752" s="11" t="str">
        <f t="shared" si="35"/>
        <v/>
      </c>
      <c r="O752" s="15" t="str">
        <f>IF(AND(A752=Consulta!$B$3,C752=Consulta!$H$3),B752*10000+ROW(),"")</f>
        <v/>
      </c>
    </row>
    <row r="753" spans="1:15" x14ac:dyDescent="0.25">
      <c r="A753" s="9" t="str">
        <f>IF(Registro!$A753="","",Registro!$A753)</f>
        <v/>
      </c>
      <c r="B753" s="8" t="str">
        <f>IF(Registro!$B753="","",Registro!$B753)</f>
        <v/>
      </c>
      <c r="C753" s="14" t="str">
        <f t="shared" si="33"/>
        <v/>
      </c>
      <c r="D753" s="10" t="str">
        <f>IF(Registro!$E753="","",IF(ISERROR(FIND("x",LOWER(Registro!$E753))),"-",IFERROR(SUMPRODUCT(--("0"&amp;LEFT(TRIM(MID(SUBSTITUTE(SUBSTITUTE(SUBSTITUTE(SUBSTITUTE(SUBSTITUTE(LOWER(Registro!$E753),"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",LEN(Registro!$E753))),({1,2,3,4,5,6,7,8,9,10,11,12,13,14,15,16,17,18,19,20,21,22,23,24,25,26,27,28,29,30}-1)*LEN(Registro!$E753)+1,LEN(Registro!$E753)))&amp;"x")-1))),"Revisar formato")))</f>
        <v/>
      </c>
      <c r="E753" s="11" t="str">
        <f>IF(Registro!$E753="","",IF(ISERROR(FIND("x",LOWER(Registro!$E753))),"-",IFERROR(SUMPRODUCT(--("0"&amp;LEFT(TRIM(MID(SUBSTITUTE(SUBSTITUTE(SUBSTITUTE(SUBSTITUTE(SUBSTITUTE(LOWER(Registro!$E753),"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",LEN(Registro!$E753))),({1,2,3,4,5,6,7,8,9,10,11,12,13,14,15,16,17,18,19,20,21,22,23,24,25,26,27,28,29,30}-1)*LEN(Registro!$E753)+1,LEN(Registro!$E753)))&amp;"x")-1)),--("0"&amp;MID(TRIM(MID(SUBSTITUTE(SUBSTITUTE(SUBSTITUTE(SUBSTITUTE(SUBSTITUTE(LOWER(Registro!$E753),"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",LEN(Registro!$E753))),({1,2,3,4,5,6,7,8,9,10,11,12,13,14,15,16,17,18,19,20,21,22,23,24,25,26,27,28,29,30}-1)*LEN(Registro!$E753)+1,LEN(Registro!$E753)))&amp;"x")+1,20))),"Revisar formato")))</f>
        <v/>
      </c>
      <c r="F753" s="11" t="str">
        <f>IF(Registro!$F753="","",N(Registro!$F753))</f>
        <v/>
      </c>
      <c r="G753" s="11" t="str">
        <f t="shared" si="34"/>
        <v/>
      </c>
      <c r="H753" s="10" t="str">
        <f>IF(Registro!$G753="","",IF(ISERROR(FIND("x",LOWER(Registro!$G753))),"-",IFERROR(SUMPRODUCT(--("0"&amp;LEFT(TRIM(MID(SUBSTITUTE(SUBSTITUTE(SUBSTITUTE(SUBSTITUTE(SUBSTITUTE(LOWER(Registro!$G753),"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",LEN(Registro!$G753))),({1,2,3,4,5,6,7,8,9,10,11,12,13,14,15,16,17,18,19,20,21,22,23,24,25,26,27,28,29,30}-1)*LEN(Registro!$G753)+1,LEN(Registro!$G753))),FIND("x",TRIM(MID(SUBSTITUTE(SUBSTITUTE(SUBSTITUTE(SUBSTITUTE(SUBSTITUTE(LOWER(Registro!$G753),"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",LEN(Registro!$G753))),({1,2,3,4,5,6,7,8,9,10,11,12,13,14,15,16,17,18,19,20,21,22,23,24,25,26,27,28,29,30}-1)*LEN(Registro!$G753)+1,LEN(Registro!$G753)))&amp;"x")-1))),"Revisar formato")))</f>
        <v/>
      </c>
      <c r="I753" s="11" t="str">
        <f>IF(Registro!$G753="","",IF(ISERROR(FIND("x",LOWER(Registro!$G753))),N(Registro!$H753),IFERROR(SUMPRODUCT(--("0"&amp;LEFT(TRIM(MID(SUBSTITUTE(SUBSTITUTE(SUBSTITUTE(SUBSTITUTE(SUBSTITUTE(LOWER(Registro!$G753),"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",LEN(Registro!$G753))),({1,2,3,4,5,6,7,8,9,10,11,12,13,14,15,16,17,18,19,20,21,22,23,24,25,26,27,28,29,30}-1)*LEN(Registro!$G753)+1,LEN(Registro!$G753))),FIND("x",TRIM(MID(SUBSTITUTE(SUBSTITUTE(SUBSTITUTE(SUBSTITUTE(SUBSTITUTE(LOWER(Registro!$G753),"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",LEN(Registro!$G753))),({1,2,3,4,5,6,7,8,9,10,11,12,13,14,15,16,17,18,19,20,21,22,23,24,25,26,27,28,29,30}-1)*LEN(Registro!$G753)+1,LEN(Registro!$G753)))&amp;"x")-1)),--("0"&amp;MID(TRIM(MID(SUBSTITUTE(SUBSTITUTE(SUBSTITUTE(SUBSTITUTE(SUBSTITUTE(LOWER(Registro!$G753),"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",LEN(Registro!$G753))),({1,2,3,4,5,6,7,8,9,10,11,12,13,14,15,16,17,18,19,20,21,22,23,24,25,26,27,28,29,30}-1)*LEN(Registro!$G753)+1,LEN(Registro!$G753))),FIND("x",TRIM(MID(SUBSTITUTE(SUBSTITUTE(SUBSTITUTE(SUBSTITUTE(SUBSTITUTE(LOWER(Registro!$G753),"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",LEN(Registro!$G753))),({1,2,3,4,5,6,7,8,9,10,11,12,13,14,15,16,17,18,19,20,21,22,23,24,25,26,27,28,29,30}-1)*LEN(Registro!$G753)+1,LEN(Registro!$G753)))&amp;"x")+1,20))),"Revisar formato")))</f>
        <v/>
      </c>
      <c r="J753" s="9" t="str">
        <f>IF(AND(Registro!$E753="",Registro!$G753=""),"",IF(NOT(AND(ISNUMBER(I753),ISNUMBER(Registro!$H753))),"",IF(I753&lt;Registro!$H753,"FALTA BOLETOS",IF(I753=Registro!$H753,"CONFORME","DIFERENCIA"))))</f>
        <v/>
      </c>
      <c r="K753" s="11" t="str">
        <f>IF(Registro!$I753="","",IFERROR(SUMPRODUCT(--("0"&amp;TRIM(RIGHT(SUBSTITUTE(TRIM(MID(SUBSTITUTE(SUBSTITUTE(Registro!$I753,";",CHAR(10)),CHAR(10),REPT(" ",LEN(Registro!$I753))),({1,2,3,4,5,6,7,8,9,10,11,12,13,14,15,16,17,18,19,20,21,22,23,24,25,26,27,28,29,30}-1)*LEN(Registro!$I753)+1,LEN(Registro!$I753)))," ",REPT(" ",50)),50)))),"Revisar formato"))</f>
        <v/>
      </c>
      <c r="L753" s="11" t="str">
        <f>IF(Registro!$J753="","",IFERROR(SUMPRODUCT(--("0"&amp;TRIM(RIGHT(SUBSTITUTE(TRIM(MID(SUBSTITUTE(SUBSTITUTE(Registro!$J753,";",CHAR(10)),CHAR(10),REPT(" ",LEN(Registro!$J753))),({1,2,3,4,5,6,7,8,9,10,11,12,13,14,15,16,17,18,19,20,21,22,23,24,25,26,27,28,29,30}-1)*LEN(Registro!$J753)+1,LEN(Registro!$J753)))," ",REPT(" ",50)),50)))),"Revisar formato"))</f>
        <v/>
      </c>
      <c r="M753" s="11" t="str">
        <f>IF(AND(Registro!$H753="",Registro!$I753=""),"",IF(AND(ISTEXT(K753),K753&lt;&gt;""),"Revisar formato",N(Registro!$H753)-N(K753)))</f>
        <v/>
      </c>
      <c r="N753" s="11" t="str">
        <f t="shared" si="35"/>
        <v/>
      </c>
      <c r="O753" s="15" t="str">
        <f>IF(AND(A753=Consulta!$B$3,C753=Consulta!$H$3),B753*10000+ROW(),"")</f>
        <v/>
      </c>
    </row>
    <row r="754" spans="1:15" x14ac:dyDescent="0.25">
      <c r="A754" s="9" t="str">
        <f>IF(Registro!$A754="","",Registro!$A754)</f>
        <v/>
      </c>
      <c r="B754" s="8" t="str">
        <f>IF(Registro!$B754="","",Registro!$B754)</f>
        <v/>
      </c>
      <c r="C754" s="14" t="str">
        <f t="shared" si="33"/>
        <v/>
      </c>
      <c r="D754" s="10" t="str">
        <f>IF(Registro!$E754="","",IF(ISERROR(FIND("x",LOWER(Registro!$E754))),"-",IFERROR(SUMPRODUCT(--("0"&amp;LEFT(TRIM(MID(SUBSTITUTE(SUBSTITUTE(SUBSTITUTE(SUBSTITUTE(SUBSTITUTE(LOWER(Registro!$E754),"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",LEN(Registro!$E754))),({1,2,3,4,5,6,7,8,9,10,11,12,13,14,15,16,17,18,19,20,21,22,23,24,25,26,27,28,29,30}-1)*LEN(Registro!$E754)+1,LEN(Registro!$E754)))&amp;"x")-1))),"Revisar formato")))</f>
        <v/>
      </c>
      <c r="E754" s="11" t="str">
        <f>IF(Registro!$E754="","",IF(ISERROR(FIND("x",LOWER(Registro!$E754))),"-",IFERROR(SUMPRODUCT(--("0"&amp;LEFT(TRIM(MID(SUBSTITUTE(SUBSTITUTE(SUBSTITUTE(SUBSTITUTE(SUBSTITUTE(LOWER(Registro!$E754),"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",LEN(Registro!$E754))),({1,2,3,4,5,6,7,8,9,10,11,12,13,14,15,16,17,18,19,20,21,22,23,24,25,26,27,28,29,30}-1)*LEN(Registro!$E754)+1,LEN(Registro!$E754)))&amp;"x")-1)),--("0"&amp;MID(TRIM(MID(SUBSTITUTE(SUBSTITUTE(SUBSTITUTE(SUBSTITUTE(SUBSTITUTE(LOWER(Registro!$E754),"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",LEN(Registro!$E754))),({1,2,3,4,5,6,7,8,9,10,11,12,13,14,15,16,17,18,19,20,21,22,23,24,25,26,27,28,29,30}-1)*LEN(Registro!$E754)+1,LEN(Registro!$E754)))&amp;"x")+1,20))),"Revisar formato")))</f>
        <v/>
      </c>
      <c r="F754" s="11" t="str">
        <f>IF(Registro!$F754="","",N(Registro!$F754))</f>
        <v/>
      </c>
      <c r="G754" s="11" t="str">
        <f t="shared" si="34"/>
        <v/>
      </c>
      <c r="H754" s="10" t="str">
        <f>IF(Registro!$G754="","",IF(ISERROR(FIND("x",LOWER(Registro!$G754))),"-",IFERROR(SUMPRODUCT(--("0"&amp;LEFT(TRIM(MID(SUBSTITUTE(SUBSTITUTE(SUBSTITUTE(SUBSTITUTE(SUBSTITUTE(LOWER(Registro!$G754),"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",LEN(Registro!$G754))),({1,2,3,4,5,6,7,8,9,10,11,12,13,14,15,16,17,18,19,20,21,22,23,24,25,26,27,28,29,30}-1)*LEN(Registro!$G754)+1,LEN(Registro!$G754))),FIND("x",TRIM(MID(SUBSTITUTE(SUBSTITUTE(SUBSTITUTE(SUBSTITUTE(SUBSTITUTE(LOWER(Registro!$G754),"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",LEN(Registro!$G754))),({1,2,3,4,5,6,7,8,9,10,11,12,13,14,15,16,17,18,19,20,21,22,23,24,25,26,27,28,29,30}-1)*LEN(Registro!$G754)+1,LEN(Registro!$G754)))&amp;"x")-1))),"Revisar formato")))</f>
        <v/>
      </c>
      <c r="I754" s="11" t="str">
        <f>IF(Registro!$G754="","",IF(ISERROR(FIND("x",LOWER(Registro!$G754))),N(Registro!$H754),IFERROR(SUMPRODUCT(--("0"&amp;LEFT(TRIM(MID(SUBSTITUTE(SUBSTITUTE(SUBSTITUTE(SUBSTITUTE(SUBSTITUTE(LOWER(Registro!$G754),"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",LEN(Registro!$G754))),({1,2,3,4,5,6,7,8,9,10,11,12,13,14,15,16,17,18,19,20,21,22,23,24,25,26,27,28,29,30}-1)*LEN(Registro!$G754)+1,LEN(Registro!$G754))),FIND("x",TRIM(MID(SUBSTITUTE(SUBSTITUTE(SUBSTITUTE(SUBSTITUTE(SUBSTITUTE(LOWER(Registro!$G754),"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",LEN(Registro!$G754))),({1,2,3,4,5,6,7,8,9,10,11,12,13,14,15,16,17,18,19,20,21,22,23,24,25,26,27,28,29,30}-1)*LEN(Registro!$G754)+1,LEN(Registro!$G754)))&amp;"x")-1)),--("0"&amp;MID(TRIM(MID(SUBSTITUTE(SUBSTITUTE(SUBSTITUTE(SUBSTITUTE(SUBSTITUTE(LOWER(Registro!$G754),"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",LEN(Registro!$G754))),({1,2,3,4,5,6,7,8,9,10,11,12,13,14,15,16,17,18,19,20,21,22,23,24,25,26,27,28,29,30}-1)*LEN(Registro!$G754)+1,LEN(Registro!$G754))),FIND("x",TRIM(MID(SUBSTITUTE(SUBSTITUTE(SUBSTITUTE(SUBSTITUTE(SUBSTITUTE(LOWER(Registro!$G754),"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",LEN(Registro!$G754))),({1,2,3,4,5,6,7,8,9,10,11,12,13,14,15,16,17,18,19,20,21,22,23,24,25,26,27,28,29,30}-1)*LEN(Registro!$G754)+1,LEN(Registro!$G754)))&amp;"x")+1,20))),"Revisar formato")))</f>
        <v/>
      </c>
      <c r="J754" s="9" t="str">
        <f>IF(AND(Registro!$E754="",Registro!$G754=""),"",IF(NOT(AND(ISNUMBER(I754),ISNUMBER(Registro!$H754))),"",IF(I754&lt;Registro!$H754,"FALTA BOLETOS",IF(I754=Registro!$H754,"CONFORME","DIFERENCIA"))))</f>
        <v/>
      </c>
      <c r="K754" s="11" t="str">
        <f>IF(Registro!$I754="","",IFERROR(SUMPRODUCT(--("0"&amp;TRIM(RIGHT(SUBSTITUTE(TRIM(MID(SUBSTITUTE(SUBSTITUTE(Registro!$I754,";",CHAR(10)),CHAR(10),REPT(" ",LEN(Registro!$I754))),({1,2,3,4,5,6,7,8,9,10,11,12,13,14,15,16,17,18,19,20,21,22,23,24,25,26,27,28,29,30}-1)*LEN(Registro!$I754)+1,LEN(Registro!$I754)))," ",REPT(" ",50)),50)))),"Revisar formato"))</f>
        <v/>
      </c>
      <c r="L754" s="11" t="str">
        <f>IF(Registro!$J754="","",IFERROR(SUMPRODUCT(--("0"&amp;TRIM(RIGHT(SUBSTITUTE(TRIM(MID(SUBSTITUTE(SUBSTITUTE(Registro!$J754,";",CHAR(10)),CHAR(10),REPT(" ",LEN(Registro!$J754))),({1,2,3,4,5,6,7,8,9,10,11,12,13,14,15,16,17,18,19,20,21,22,23,24,25,26,27,28,29,30}-1)*LEN(Registro!$J754)+1,LEN(Registro!$J754)))," ",REPT(" ",50)),50)))),"Revisar formato"))</f>
        <v/>
      </c>
      <c r="M754" s="11" t="str">
        <f>IF(AND(Registro!$H754="",Registro!$I754=""),"",IF(AND(ISTEXT(K754),K754&lt;&gt;""),"Revisar formato",N(Registro!$H754)-N(K754)))</f>
        <v/>
      </c>
      <c r="N754" s="11" t="str">
        <f t="shared" si="35"/>
        <v/>
      </c>
      <c r="O754" s="15" t="str">
        <f>IF(AND(A754=Consulta!$B$3,C754=Consulta!$H$3),B754*10000+ROW(),"")</f>
        <v/>
      </c>
    </row>
    <row r="755" spans="1:15" x14ac:dyDescent="0.25">
      <c r="A755" s="9" t="str">
        <f>IF(Registro!$A755="","",Registro!$A755)</f>
        <v/>
      </c>
      <c r="B755" s="8" t="str">
        <f>IF(Registro!$B755="","",Registro!$B755)</f>
        <v/>
      </c>
      <c r="C755" s="14" t="str">
        <f t="shared" si="33"/>
        <v/>
      </c>
      <c r="D755" s="10" t="str">
        <f>IF(Registro!$E755="","",IF(ISERROR(FIND("x",LOWER(Registro!$E755))),"-",IFERROR(SUMPRODUCT(--("0"&amp;LEFT(TRIM(MID(SUBSTITUTE(SUBSTITUTE(SUBSTITUTE(SUBSTITUTE(SUBSTITUTE(LOWER(Registro!$E755),"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",LEN(Registro!$E755))),({1,2,3,4,5,6,7,8,9,10,11,12,13,14,15,16,17,18,19,20,21,22,23,24,25,26,27,28,29,30}-1)*LEN(Registro!$E755)+1,LEN(Registro!$E755)))&amp;"x")-1))),"Revisar formato")))</f>
        <v/>
      </c>
      <c r="E755" s="11" t="str">
        <f>IF(Registro!$E755="","",IF(ISERROR(FIND("x",LOWER(Registro!$E755))),"-",IFERROR(SUMPRODUCT(--("0"&amp;LEFT(TRIM(MID(SUBSTITUTE(SUBSTITUTE(SUBSTITUTE(SUBSTITUTE(SUBSTITUTE(LOWER(Registro!$E755),"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",LEN(Registro!$E755))),({1,2,3,4,5,6,7,8,9,10,11,12,13,14,15,16,17,18,19,20,21,22,23,24,25,26,27,28,29,30}-1)*LEN(Registro!$E755)+1,LEN(Registro!$E755)))&amp;"x")-1)),--("0"&amp;MID(TRIM(MID(SUBSTITUTE(SUBSTITUTE(SUBSTITUTE(SUBSTITUTE(SUBSTITUTE(LOWER(Registro!$E755),"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",LEN(Registro!$E755))),({1,2,3,4,5,6,7,8,9,10,11,12,13,14,15,16,17,18,19,20,21,22,23,24,25,26,27,28,29,30}-1)*LEN(Registro!$E755)+1,LEN(Registro!$E755)))&amp;"x")+1,20))),"Revisar formato")))</f>
        <v/>
      </c>
      <c r="F755" s="11" t="str">
        <f>IF(Registro!$F755="","",N(Registro!$F755))</f>
        <v/>
      </c>
      <c r="G755" s="11" t="str">
        <f t="shared" si="34"/>
        <v/>
      </c>
      <c r="H755" s="10" t="str">
        <f>IF(Registro!$G755="","",IF(ISERROR(FIND("x",LOWER(Registro!$G755))),"-",IFERROR(SUMPRODUCT(--("0"&amp;LEFT(TRIM(MID(SUBSTITUTE(SUBSTITUTE(SUBSTITUTE(SUBSTITUTE(SUBSTITUTE(LOWER(Registro!$G755),"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",LEN(Registro!$G755))),({1,2,3,4,5,6,7,8,9,10,11,12,13,14,15,16,17,18,19,20,21,22,23,24,25,26,27,28,29,30}-1)*LEN(Registro!$G755)+1,LEN(Registro!$G755))),FIND("x",TRIM(MID(SUBSTITUTE(SUBSTITUTE(SUBSTITUTE(SUBSTITUTE(SUBSTITUTE(LOWER(Registro!$G755),"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",LEN(Registro!$G755))),({1,2,3,4,5,6,7,8,9,10,11,12,13,14,15,16,17,18,19,20,21,22,23,24,25,26,27,28,29,30}-1)*LEN(Registro!$G755)+1,LEN(Registro!$G755)))&amp;"x")-1))),"Revisar formato")))</f>
        <v/>
      </c>
      <c r="I755" s="11" t="str">
        <f>IF(Registro!$G755="","",IF(ISERROR(FIND("x",LOWER(Registro!$G755))),N(Registro!$H755),IFERROR(SUMPRODUCT(--("0"&amp;LEFT(TRIM(MID(SUBSTITUTE(SUBSTITUTE(SUBSTITUTE(SUBSTITUTE(SUBSTITUTE(LOWER(Registro!$G755),"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",LEN(Registro!$G755))),({1,2,3,4,5,6,7,8,9,10,11,12,13,14,15,16,17,18,19,20,21,22,23,24,25,26,27,28,29,30}-1)*LEN(Registro!$G755)+1,LEN(Registro!$G755))),FIND("x",TRIM(MID(SUBSTITUTE(SUBSTITUTE(SUBSTITUTE(SUBSTITUTE(SUBSTITUTE(LOWER(Registro!$G755),"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",LEN(Registro!$G755))),({1,2,3,4,5,6,7,8,9,10,11,12,13,14,15,16,17,18,19,20,21,22,23,24,25,26,27,28,29,30}-1)*LEN(Registro!$G755)+1,LEN(Registro!$G755)))&amp;"x")-1)),--("0"&amp;MID(TRIM(MID(SUBSTITUTE(SUBSTITUTE(SUBSTITUTE(SUBSTITUTE(SUBSTITUTE(LOWER(Registro!$G755),"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",LEN(Registro!$G755))),({1,2,3,4,5,6,7,8,9,10,11,12,13,14,15,16,17,18,19,20,21,22,23,24,25,26,27,28,29,30}-1)*LEN(Registro!$G755)+1,LEN(Registro!$G755))),FIND("x",TRIM(MID(SUBSTITUTE(SUBSTITUTE(SUBSTITUTE(SUBSTITUTE(SUBSTITUTE(LOWER(Registro!$G755),"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",LEN(Registro!$G755))),({1,2,3,4,5,6,7,8,9,10,11,12,13,14,15,16,17,18,19,20,21,22,23,24,25,26,27,28,29,30}-1)*LEN(Registro!$G755)+1,LEN(Registro!$G755)))&amp;"x")+1,20))),"Revisar formato")))</f>
        <v/>
      </c>
      <c r="J755" s="9" t="str">
        <f>IF(AND(Registro!$E755="",Registro!$G755=""),"",IF(NOT(AND(ISNUMBER(I755),ISNUMBER(Registro!$H755))),"",IF(I755&lt;Registro!$H755,"FALTA BOLETOS",IF(I755=Registro!$H755,"CONFORME","DIFERENCIA"))))</f>
        <v/>
      </c>
      <c r="K755" s="11" t="str">
        <f>IF(Registro!$I755="","",IFERROR(SUMPRODUCT(--("0"&amp;TRIM(RIGHT(SUBSTITUTE(TRIM(MID(SUBSTITUTE(SUBSTITUTE(Registro!$I755,";",CHAR(10)),CHAR(10),REPT(" ",LEN(Registro!$I755))),({1,2,3,4,5,6,7,8,9,10,11,12,13,14,15,16,17,18,19,20,21,22,23,24,25,26,27,28,29,30}-1)*LEN(Registro!$I755)+1,LEN(Registro!$I755)))," ",REPT(" ",50)),50)))),"Revisar formato"))</f>
        <v/>
      </c>
      <c r="L755" s="11" t="str">
        <f>IF(Registro!$J755="","",IFERROR(SUMPRODUCT(--("0"&amp;TRIM(RIGHT(SUBSTITUTE(TRIM(MID(SUBSTITUTE(SUBSTITUTE(Registro!$J755,";",CHAR(10)),CHAR(10),REPT(" ",LEN(Registro!$J755))),({1,2,3,4,5,6,7,8,9,10,11,12,13,14,15,16,17,18,19,20,21,22,23,24,25,26,27,28,29,30}-1)*LEN(Registro!$J755)+1,LEN(Registro!$J755)))," ",REPT(" ",50)),50)))),"Revisar formato"))</f>
        <v/>
      </c>
      <c r="M755" s="11" t="str">
        <f>IF(AND(Registro!$H755="",Registro!$I755=""),"",IF(AND(ISTEXT(K755),K755&lt;&gt;""),"Revisar formato",N(Registro!$H755)-N(K755)))</f>
        <v/>
      </c>
      <c r="N755" s="11" t="str">
        <f t="shared" si="35"/>
        <v/>
      </c>
      <c r="O755" s="15" t="str">
        <f>IF(AND(A755=Consulta!$B$3,C755=Consulta!$H$3),B755*10000+ROW(),"")</f>
        <v/>
      </c>
    </row>
    <row r="756" spans="1:15" x14ac:dyDescent="0.25">
      <c r="A756" s="9" t="str">
        <f>IF(Registro!$A756="","",Registro!$A756)</f>
        <v/>
      </c>
      <c r="B756" s="8" t="str">
        <f>IF(Registro!$B756="","",Registro!$B756)</f>
        <v/>
      </c>
      <c r="C756" s="14" t="str">
        <f t="shared" si="33"/>
        <v/>
      </c>
      <c r="D756" s="10" t="str">
        <f>IF(Registro!$E756="","",IF(ISERROR(FIND("x",LOWER(Registro!$E756))),"-",IFERROR(SUMPRODUCT(--("0"&amp;LEFT(TRIM(MID(SUBSTITUTE(SUBSTITUTE(SUBSTITUTE(SUBSTITUTE(SUBSTITUTE(LOWER(Registro!$E756),"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",LEN(Registro!$E756))),({1,2,3,4,5,6,7,8,9,10,11,12,13,14,15,16,17,18,19,20,21,22,23,24,25,26,27,28,29,30}-1)*LEN(Registro!$E756)+1,LEN(Registro!$E756)))&amp;"x")-1))),"Revisar formato")))</f>
        <v/>
      </c>
      <c r="E756" s="11" t="str">
        <f>IF(Registro!$E756="","",IF(ISERROR(FIND("x",LOWER(Registro!$E756))),"-",IFERROR(SUMPRODUCT(--("0"&amp;LEFT(TRIM(MID(SUBSTITUTE(SUBSTITUTE(SUBSTITUTE(SUBSTITUTE(SUBSTITUTE(LOWER(Registro!$E756),"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",LEN(Registro!$E756))),({1,2,3,4,5,6,7,8,9,10,11,12,13,14,15,16,17,18,19,20,21,22,23,24,25,26,27,28,29,30}-1)*LEN(Registro!$E756)+1,LEN(Registro!$E756)))&amp;"x")-1)),--("0"&amp;MID(TRIM(MID(SUBSTITUTE(SUBSTITUTE(SUBSTITUTE(SUBSTITUTE(SUBSTITUTE(LOWER(Registro!$E756),"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",LEN(Registro!$E756))),({1,2,3,4,5,6,7,8,9,10,11,12,13,14,15,16,17,18,19,20,21,22,23,24,25,26,27,28,29,30}-1)*LEN(Registro!$E756)+1,LEN(Registro!$E756)))&amp;"x")+1,20))),"Revisar formato")))</f>
        <v/>
      </c>
      <c r="F756" s="11" t="str">
        <f>IF(Registro!$F756="","",N(Registro!$F756))</f>
        <v/>
      </c>
      <c r="G756" s="11" t="str">
        <f t="shared" si="34"/>
        <v/>
      </c>
      <c r="H756" s="10" t="str">
        <f>IF(Registro!$G756="","",IF(ISERROR(FIND("x",LOWER(Registro!$G756))),"-",IFERROR(SUMPRODUCT(--("0"&amp;LEFT(TRIM(MID(SUBSTITUTE(SUBSTITUTE(SUBSTITUTE(SUBSTITUTE(SUBSTITUTE(LOWER(Registro!$G756),"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",LEN(Registro!$G756))),({1,2,3,4,5,6,7,8,9,10,11,12,13,14,15,16,17,18,19,20,21,22,23,24,25,26,27,28,29,30}-1)*LEN(Registro!$G756)+1,LEN(Registro!$G756))),FIND("x",TRIM(MID(SUBSTITUTE(SUBSTITUTE(SUBSTITUTE(SUBSTITUTE(SUBSTITUTE(LOWER(Registro!$G756),"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",LEN(Registro!$G756))),({1,2,3,4,5,6,7,8,9,10,11,12,13,14,15,16,17,18,19,20,21,22,23,24,25,26,27,28,29,30}-1)*LEN(Registro!$G756)+1,LEN(Registro!$G756)))&amp;"x")-1))),"Revisar formato")))</f>
        <v/>
      </c>
      <c r="I756" s="11" t="str">
        <f>IF(Registro!$G756="","",IF(ISERROR(FIND("x",LOWER(Registro!$G756))),N(Registro!$H756),IFERROR(SUMPRODUCT(--("0"&amp;LEFT(TRIM(MID(SUBSTITUTE(SUBSTITUTE(SUBSTITUTE(SUBSTITUTE(SUBSTITUTE(LOWER(Registro!$G756),"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",LEN(Registro!$G756))),({1,2,3,4,5,6,7,8,9,10,11,12,13,14,15,16,17,18,19,20,21,22,23,24,25,26,27,28,29,30}-1)*LEN(Registro!$G756)+1,LEN(Registro!$G756))),FIND("x",TRIM(MID(SUBSTITUTE(SUBSTITUTE(SUBSTITUTE(SUBSTITUTE(SUBSTITUTE(LOWER(Registro!$G756),"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",LEN(Registro!$G756))),({1,2,3,4,5,6,7,8,9,10,11,12,13,14,15,16,17,18,19,20,21,22,23,24,25,26,27,28,29,30}-1)*LEN(Registro!$G756)+1,LEN(Registro!$G756)))&amp;"x")-1)),--("0"&amp;MID(TRIM(MID(SUBSTITUTE(SUBSTITUTE(SUBSTITUTE(SUBSTITUTE(SUBSTITUTE(LOWER(Registro!$G756),"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",LEN(Registro!$G756))),({1,2,3,4,5,6,7,8,9,10,11,12,13,14,15,16,17,18,19,20,21,22,23,24,25,26,27,28,29,30}-1)*LEN(Registro!$G756)+1,LEN(Registro!$G756))),FIND("x",TRIM(MID(SUBSTITUTE(SUBSTITUTE(SUBSTITUTE(SUBSTITUTE(SUBSTITUTE(LOWER(Registro!$G756),"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",LEN(Registro!$G756))),({1,2,3,4,5,6,7,8,9,10,11,12,13,14,15,16,17,18,19,20,21,22,23,24,25,26,27,28,29,30}-1)*LEN(Registro!$G756)+1,LEN(Registro!$G756)))&amp;"x")+1,20))),"Revisar formato")))</f>
        <v/>
      </c>
      <c r="J756" s="9" t="str">
        <f>IF(AND(Registro!$E756="",Registro!$G756=""),"",IF(NOT(AND(ISNUMBER(I756),ISNUMBER(Registro!$H756))),"",IF(I756&lt;Registro!$H756,"FALTA BOLETOS",IF(I756=Registro!$H756,"CONFORME","DIFERENCIA"))))</f>
        <v/>
      </c>
      <c r="K756" s="11" t="str">
        <f>IF(Registro!$I756="","",IFERROR(SUMPRODUCT(--("0"&amp;TRIM(RIGHT(SUBSTITUTE(TRIM(MID(SUBSTITUTE(SUBSTITUTE(Registro!$I756,";",CHAR(10)),CHAR(10),REPT(" ",LEN(Registro!$I756))),({1,2,3,4,5,6,7,8,9,10,11,12,13,14,15,16,17,18,19,20,21,22,23,24,25,26,27,28,29,30}-1)*LEN(Registro!$I756)+1,LEN(Registro!$I756)))," ",REPT(" ",50)),50)))),"Revisar formato"))</f>
        <v/>
      </c>
      <c r="L756" s="11" t="str">
        <f>IF(Registro!$J756="","",IFERROR(SUMPRODUCT(--("0"&amp;TRIM(RIGHT(SUBSTITUTE(TRIM(MID(SUBSTITUTE(SUBSTITUTE(Registro!$J756,";",CHAR(10)),CHAR(10),REPT(" ",LEN(Registro!$J756))),({1,2,3,4,5,6,7,8,9,10,11,12,13,14,15,16,17,18,19,20,21,22,23,24,25,26,27,28,29,30}-1)*LEN(Registro!$J756)+1,LEN(Registro!$J756)))," ",REPT(" ",50)),50)))),"Revisar formato"))</f>
        <v/>
      </c>
      <c r="M756" s="11" t="str">
        <f>IF(AND(Registro!$H756="",Registro!$I756=""),"",IF(AND(ISTEXT(K756),K756&lt;&gt;""),"Revisar formato",N(Registro!$H756)-N(K756)))</f>
        <v/>
      </c>
      <c r="N756" s="11" t="str">
        <f t="shared" si="35"/>
        <v/>
      </c>
      <c r="O756" s="15" t="str">
        <f>IF(AND(A756=Consulta!$B$3,C756=Consulta!$H$3),B756*10000+ROW(),"")</f>
        <v/>
      </c>
    </row>
    <row r="757" spans="1:15" x14ac:dyDescent="0.25">
      <c r="A757" s="9" t="str">
        <f>IF(Registro!$A757="","",Registro!$A757)</f>
        <v/>
      </c>
      <c r="B757" s="8" t="str">
        <f>IF(Registro!$B757="","",Registro!$B757)</f>
        <v/>
      </c>
      <c r="C757" s="14" t="str">
        <f t="shared" si="33"/>
        <v/>
      </c>
      <c r="D757" s="10" t="str">
        <f>IF(Registro!$E757="","",IF(ISERROR(FIND("x",LOWER(Registro!$E757))),"-",IFERROR(SUMPRODUCT(--("0"&amp;LEFT(TRIM(MID(SUBSTITUTE(SUBSTITUTE(SUBSTITUTE(SUBSTITUTE(SUBSTITUTE(LOWER(Registro!$E757),"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",LEN(Registro!$E757))),({1,2,3,4,5,6,7,8,9,10,11,12,13,14,15,16,17,18,19,20,21,22,23,24,25,26,27,28,29,30}-1)*LEN(Registro!$E757)+1,LEN(Registro!$E757)))&amp;"x")-1))),"Revisar formato")))</f>
        <v/>
      </c>
      <c r="E757" s="11" t="str">
        <f>IF(Registro!$E757="","",IF(ISERROR(FIND("x",LOWER(Registro!$E757))),"-",IFERROR(SUMPRODUCT(--("0"&amp;LEFT(TRIM(MID(SUBSTITUTE(SUBSTITUTE(SUBSTITUTE(SUBSTITUTE(SUBSTITUTE(LOWER(Registro!$E757),"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",LEN(Registro!$E757))),({1,2,3,4,5,6,7,8,9,10,11,12,13,14,15,16,17,18,19,20,21,22,23,24,25,26,27,28,29,30}-1)*LEN(Registro!$E757)+1,LEN(Registro!$E757)))&amp;"x")-1)),--("0"&amp;MID(TRIM(MID(SUBSTITUTE(SUBSTITUTE(SUBSTITUTE(SUBSTITUTE(SUBSTITUTE(LOWER(Registro!$E757),"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",LEN(Registro!$E757))),({1,2,3,4,5,6,7,8,9,10,11,12,13,14,15,16,17,18,19,20,21,22,23,24,25,26,27,28,29,30}-1)*LEN(Registro!$E757)+1,LEN(Registro!$E757)))&amp;"x")+1,20))),"Revisar formato")))</f>
        <v/>
      </c>
      <c r="F757" s="11" t="str">
        <f>IF(Registro!$F757="","",N(Registro!$F757))</f>
        <v/>
      </c>
      <c r="G757" s="11" t="str">
        <f t="shared" si="34"/>
        <v/>
      </c>
      <c r="H757" s="10" t="str">
        <f>IF(Registro!$G757="","",IF(ISERROR(FIND("x",LOWER(Registro!$G757))),"-",IFERROR(SUMPRODUCT(--("0"&amp;LEFT(TRIM(MID(SUBSTITUTE(SUBSTITUTE(SUBSTITUTE(SUBSTITUTE(SUBSTITUTE(LOWER(Registro!$G757),"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",LEN(Registro!$G757))),({1,2,3,4,5,6,7,8,9,10,11,12,13,14,15,16,17,18,19,20,21,22,23,24,25,26,27,28,29,30}-1)*LEN(Registro!$G757)+1,LEN(Registro!$G757))),FIND("x",TRIM(MID(SUBSTITUTE(SUBSTITUTE(SUBSTITUTE(SUBSTITUTE(SUBSTITUTE(LOWER(Registro!$G757),"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",LEN(Registro!$G757))),({1,2,3,4,5,6,7,8,9,10,11,12,13,14,15,16,17,18,19,20,21,22,23,24,25,26,27,28,29,30}-1)*LEN(Registro!$G757)+1,LEN(Registro!$G757)))&amp;"x")-1))),"Revisar formato")))</f>
        <v/>
      </c>
      <c r="I757" s="11" t="str">
        <f>IF(Registro!$G757="","",IF(ISERROR(FIND("x",LOWER(Registro!$G757))),N(Registro!$H757),IFERROR(SUMPRODUCT(--("0"&amp;LEFT(TRIM(MID(SUBSTITUTE(SUBSTITUTE(SUBSTITUTE(SUBSTITUTE(SUBSTITUTE(LOWER(Registro!$G757),"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",LEN(Registro!$G757))),({1,2,3,4,5,6,7,8,9,10,11,12,13,14,15,16,17,18,19,20,21,22,23,24,25,26,27,28,29,30}-1)*LEN(Registro!$G757)+1,LEN(Registro!$G757))),FIND("x",TRIM(MID(SUBSTITUTE(SUBSTITUTE(SUBSTITUTE(SUBSTITUTE(SUBSTITUTE(LOWER(Registro!$G757),"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",LEN(Registro!$G757))),({1,2,3,4,5,6,7,8,9,10,11,12,13,14,15,16,17,18,19,20,21,22,23,24,25,26,27,28,29,30}-1)*LEN(Registro!$G757)+1,LEN(Registro!$G757)))&amp;"x")-1)),--("0"&amp;MID(TRIM(MID(SUBSTITUTE(SUBSTITUTE(SUBSTITUTE(SUBSTITUTE(SUBSTITUTE(LOWER(Registro!$G757),"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",LEN(Registro!$G757))),({1,2,3,4,5,6,7,8,9,10,11,12,13,14,15,16,17,18,19,20,21,22,23,24,25,26,27,28,29,30}-1)*LEN(Registro!$G757)+1,LEN(Registro!$G757))),FIND("x",TRIM(MID(SUBSTITUTE(SUBSTITUTE(SUBSTITUTE(SUBSTITUTE(SUBSTITUTE(LOWER(Registro!$G757),"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",LEN(Registro!$G757))),({1,2,3,4,5,6,7,8,9,10,11,12,13,14,15,16,17,18,19,20,21,22,23,24,25,26,27,28,29,30}-1)*LEN(Registro!$G757)+1,LEN(Registro!$G757)))&amp;"x")+1,20))),"Revisar formato")))</f>
        <v/>
      </c>
      <c r="J757" s="9" t="str">
        <f>IF(AND(Registro!$E757="",Registro!$G757=""),"",IF(NOT(AND(ISNUMBER(I757),ISNUMBER(Registro!$H757))),"",IF(I757&lt;Registro!$H757,"FALTA BOLETOS",IF(I757=Registro!$H757,"CONFORME","DIFERENCIA"))))</f>
        <v/>
      </c>
      <c r="K757" s="11" t="str">
        <f>IF(Registro!$I757="","",IFERROR(SUMPRODUCT(--("0"&amp;TRIM(RIGHT(SUBSTITUTE(TRIM(MID(SUBSTITUTE(SUBSTITUTE(Registro!$I757,";",CHAR(10)),CHAR(10),REPT(" ",LEN(Registro!$I757))),({1,2,3,4,5,6,7,8,9,10,11,12,13,14,15,16,17,18,19,20,21,22,23,24,25,26,27,28,29,30}-1)*LEN(Registro!$I757)+1,LEN(Registro!$I757)))," ",REPT(" ",50)),50)))),"Revisar formato"))</f>
        <v/>
      </c>
      <c r="L757" s="11" t="str">
        <f>IF(Registro!$J757="","",IFERROR(SUMPRODUCT(--("0"&amp;TRIM(RIGHT(SUBSTITUTE(TRIM(MID(SUBSTITUTE(SUBSTITUTE(Registro!$J757,";",CHAR(10)),CHAR(10),REPT(" ",LEN(Registro!$J757))),({1,2,3,4,5,6,7,8,9,10,11,12,13,14,15,16,17,18,19,20,21,22,23,24,25,26,27,28,29,30}-1)*LEN(Registro!$J757)+1,LEN(Registro!$J757)))," ",REPT(" ",50)),50)))),"Revisar formato"))</f>
        <v/>
      </c>
      <c r="M757" s="11" t="str">
        <f>IF(AND(Registro!$H757="",Registro!$I757=""),"",IF(AND(ISTEXT(K757),K757&lt;&gt;""),"Revisar formato",N(Registro!$H757)-N(K757)))</f>
        <v/>
      </c>
      <c r="N757" s="11" t="str">
        <f t="shared" si="35"/>
        <v/>
      </c>
      <c r="O757" s="15" t="str">
        <f>IF(AND(A757=Consulta!$B$3,C757=Consulta!$H$3),B757*10000+ROW(),"")</f>
        <v/>
      </c>
    </row>
    <row r="758" spans="1:15" x14ac:dyDescent="0.25">
      <c r="A758" s="9" t="str">
        <f>IF(Registro!$A758="","",Registro!$A758)</f>
        <v/>
      </c>
      <c r="B758" s="8" t="str">
        <f>IF(Registro!$B758="","",Registro!$B758)</f>
        <v/>
      </c>
      <c r="C758" s="14" t="str">
        <f t="shared" si="33"/>
        <v/>
      </c>
      <c r="D758" s="10" t="str">
        <f>IF(Registro!$E758="","",IF(ISERROR(FIND("x",LOWER(Registro!$E758))),"-",IFERROR(SUMPRODUCT(--("0"&amp;LEFT(TRIM(MID(SUBSTITUTE(SUBSTITUTE(SUBSTITUTE(SUBSTITUTE(SUBSTITUTE(LOWER(Registro!$E758),"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",LEN(Registro!$E758))),({1,2,3,4,5,6,7,8,9,10,11,12,13,14,15,16,17,18,19,20,21,22,23,24,25,26,27,28,29,30}-1)*LEN(Registro!$E758)+1,LEN(Registro!$E758)))&amp;"x")-1))),"Revisar formato")))</f>
        <v/>
      </c>
      <c r="E758" s="11" t="str">
        <f>IF(Registro!$E758="","",IF(ISERROR(FIND("x",LOWER(Registro!$E758))),"-",IFERROR(SUMPRODUCT(--("0"&amp;LEFT(TRIM(MID(SUBSTITUTE(SUBSTITUTE(SUBSTITUTE(SUBSTITUTE(SUBSTITUTE(LOWER(Registro!$E758),"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",LEN(Registro!$E758))),({1,2,3,4,5,6,7,8,9,10,11,12,13,14,15,16,17,18,19,20,21,22,23,24,25,26,27,28,29,30}-1)*LEN(Registro!$E758)+1,LEN(Registro!$E758)))&amp;"x")-1)),--("0"&amp;MID(TRIM(MID(SUBSTITUTE(SUBSTITUTE(SUBSTITUTE(SUBSTITUTE(SUBSTITUTE(LOWER(Registro!$E758),"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",LEN(Registro!$E758))),({1,2,3,4,5,6,7,8,9,10,11,12,13,14,15,16,17,18,19,20,21,22,23,24,25,26,27,28,29,30}-1)*LEN(Registro!$E758)+1,LEN(Registro!$E758)))&amp;"x")+1,20))),"Revisar formato")))</f>
        <v/>
      </c>
      <c r="F758" s="11" t="str">
        <f>IF(Registro!$F758="","",N(Registro!$F758))</f>
        <v/>
      </c>
      <c r="G758" s="11" t="str">
        <f t="shared" si="34"/>
        <v/>
      </c>
      <c r="H758" s="10" t="str">
        <f>IF(Registro!$G758="","",IF(ISERROR(FIND("x",LOWER(Registro!$G758))),"-",IFERROR(SUMPRODUCT(--("0"&amp;LEFT(TRIM(MID(SUBSTITUTE(SUBSTITUTE(SUBSTITUTE(SUBSTITUTE(SUBSTITUTE(LOWER(Registro!$G758),"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",LEN(Registro!$G758))),({1,2,3,4,5,6,7,8,9,10,11,12,13,14,15,16,17,18,19,20,21,22,23,24,25,26,27,28,29,30}-1)*LEN(Registro!$G758)+1,LEN(Registro!$G758))),FIND("x",TRIM(MID(SUBSTITUTE(SUBSTITUTE(SUBSTITUTE(SUBSTITUTE(SUBSTITUTE(LOWER(Registro!$G758),"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",LEN(Registro!$G758))),({1,2,3,4,5,6,7,8,9,10,11,12,13,14,15,16,17,18,19,20,21,22,23,24,25,26,27,28,29,30}-1)*LEN(Registro!$G758)+1,LEN(Registro!$G758)))&amp;"x")-1))),"Revisar formato")))</f>
        <v/>
      </c>
      <c r="I758" s="11" t="str">
        <f>IF(Registro!$G758="","",IF(ISERROR(FIND("x",LOWER(Registro!$G758))),N(Registro!$H758),IFERROR(SUMPRODUCT(--("0"&amp;LEFT(TRIM(MID(SUBSTITUTE(SUBSTITUTE(SUBSTITUTE(SUBSTITUTE(SUBSTITUTE(LOWER(Registro!$G758),"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",LEN(Registro!$G758))),({1,2,3,4,5,6,7,8,9,10,11,12,13,14,15,16,17,18,19,20,21,22,23,24,25,26,27,28,29,30}-1)*LEN(Registro!$G758)+1,LEN(Registro!$G758))),FIND("x",TRIM(MID(SUBSTITUTE(SUBSTITUTE(SUBSTITUTE(SUBSTITUTE(SUBSTITUTE(LOWER(Registro!$G758),"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",LEN(Registro!$G758))),({1,2,3,4,5,6,7,8,9,10,11,12,13,14,15,16,17,18,19,20,21,22,23,24,25,26,27,28,29,30}-1)*LEN(Registro!$G758)+1,LEN(Registro!$G758)))&amp;"x")-1)),--("0"&amp;MID(TRIM(MID(SUBSTITUTE(SUBSTITUTE(SUBSTITUTE(SUBSTITUTE(SUBSTITUTE(LOWER(Registro!$G758),"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",LEN(Registro!$G758))),({1,2,3,4,5,6,7,8,9,10,11,12,13,14,15,16,17,18,19,20,21,22,23,24,25,26,27,28,29,30}-1)*LEN(Registro!$G758)+1,LEN(Registro!$G758))),FIND("x",TRIM(MID(SUBSTITUTE(SUBSTITUTE(SUBSTITUTE(SUBSTITUTE(SUBSTITUTE(LOWER(Registro!$G758),"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",LEN(Registro!$G758))),({1,2,3,4,5,6,7,8,9,10,11,12,13,14,15,16,17,18,19,20,21,22,23,24,25,26,27,28,29,30}-1)*LEN(Registro!$G758)+1,LEN(Registro!$G758)))&amp;"x")+1,20))),"Revisar formato")))</f>
        <v/>
      </c>
      <c r="J758" s="9" t="str">
        <f>IF(AND(Registro!$E758="",Registro!$G758=""),"",IF(NOT(AND(ISNUMBER(I758),ISNUMBER(Registro!$H758))),"",IF(I758&lt;Registro!$H758,"FALTA BOLETOS",IF(I758=Registro!$H758,"CONFORME","DIFERENCIA"))))</f>
        <v/>
      </c>
      <c r="K758" s="11" t="str">
        <f>IF(Registro!$I758="","",IFERROR(SUMPRODUCT(--("0"&amp;TRIM(RIGHT(SUBSTITUTE(TRIM(MID(SUBSTITUTE(SUBSTITUTE(Registro!$I758,";",CHAR(10)),CHAR(10),REPT(" ",LEN(Registro!$I758))),({1,2,3,4,5,6,7,8,9,10,11,12,13,14,15,16,17,18,19,20,21,22,23,24,25,26,27,28,29,30}-1)*LEN(Registro!$I758)+1,LEN(Registro!$I758)))," ",REPT(" ",50)),50)))),"Revisar formato"))</f>
        <v/>
      </c>
      <c r="L758" s="11" t="str">
        <f>IF(Registro!$J758="","",IFERROR(SUMPRODUCT(--("0"&amp;TRIM(RIGHT(SUBSTITUTE(TRIM(MID(SUBSTITUTE(SUBSTITUTE(Registro!$J758,";",CHAR(10)),CHAR(10),REPT(" ",LEN(Registro!$J758))),({1,2,3,4,5,6,7,8,9,10,11,12,13,14,15,16,17,18,19,20,21,22,23,24,25,26,27,28,29,30}-1)*LEN(Registro!$J758)+1,LEN(Registro!$J758)))," ",REPT(" ",50)),50)))),"Revisar formato"))</f>
        <v/>
      </c>
      <c r="M758" s="11" t="str">
        <f>IF(AND(Registro!$H758="",Registro!$I758=""),"",IF(AND(ISTEXT(K758),K758&lt;&gt;""),"Revisar formato",N(Registro!$H758)-N(K758)))</f>
        <v/>
      </c>
      <c r="N758" s="11" t="str">
        <f t="shared" si="35"/>
        <v/>
      </c>
      <c r="O758" s="15" t="str">
        <f>IF(AND(A758=Consulta!$B$3,C758=Consulta!$H$3),B758*10000+ROW(),"")</f>
        <v/>
      </c>
    </row>
    <row r="759" spans="1:15" x14ac:dyDescent="0.25">
      <c r="A759" s="9" t="str">
        <f>IF(Registro!$A759="","",Registro!$A759)</f>
        <v/>
      </c>
      <c r="B759" s="8" t="str">
        <f>IF(Registro!$B759="","",Registro!$B759)</f>
        <v/>
      </c>
      <c r="C759" s="14" t="str">
        <f t="shared" si="33"/>
        <v/>
      </c>
      <c r="D759" s="10" t="str">
        <f>IF(Registro!$E759="","",IF(ISERROR(FIND("x",LOWER(Registro!$E759))),"-",IFERROR(SUMPRODUCT(--("0"&amp;LEFT(TRIM(MID(SUBSTITUTE(SUBSTITUTE(SUBSTITUTE(SUBSTITUTE(SUBSTITUTE(LOWER(Registro!$E759),"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",LEN(Registro!$E759))),({1,2,3,4,5,6,7,8,9,10,11,12,13,14,15,16,17,18,19,20,21,22,23,24,25,26,27,28,29,30}-1)*LEN(Registro!$E759)+1,LEN(Registro!$E759)))&amp;"x")-1))),"Revisar formato")))</f>
        <v/>
      </c>
      <c r="E759" s="11" t="str">
        <f>IF(Registro!$E759="","",IF(ISERROR(FIND("x",LOWER(Registro!$E759))),"-",IFERROR(SUMPRODUCT(--("0"&amp;LEFT(TRIM(MID(SUBSTITUTE(SUBSTITUTE(SUBSTITUTE(SUBSTITUTE(SUBSTITUTE(LOWER(Registro!$E759),"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",LEN(Registro!$E759))),({1,2,3,4,5,6,7,8,9,10,11,12,13,14,15,16,17,18,19,20,21,22,23,24,25,26,27,28,29,30}-1)*LEN(Registro!$E759)+1,LEN(Registro!$E759)))&amp;"x")-1)),--("0"&amp;MID(TRIM(MID(SUBSTITUTE(SUBSTITUTE(SUBSTITUTE(SUBSTITUTE(SUBSTITUTE(LOWER(Registro!$E759),"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",LEN(Registro!$E759))),({1,2,3,4,5,6,7,8,9,10,11,12,13,14,15,16,17,18,19,20,21,22,23,24,25,26,27,28,29,30}-1)*LEN(Registro!$E759)+1,LEN(Registro!$E759)))&amp;"x")+1,20))),"Revisar formato")))</f>
        <v/>
      </c>
      <c r="F759" s="11" t="str">
        <f>IF(Registro!$F759="","",N(Registro!$F759))</f>
        <v/>
      </c>
      <c r="G759" s="11" t="str">
        <f t="shared" si="34"/>
        <v/>
      </c>
      <c r="H759" s="10" t="str">
        <f>IF(Registro!$G759="","",IF(ISERROR(FIND("x",LOWER(Registro!$G759))),"-",IFERROR(SUMPRODUCT(--("0"&amp;LEFT(TRIM(MID(SUBSTITUTE(SUBSTITUTE(SUBSTITUTE(SUBSTITUTE(SUBSTITUTE(LOWER(Registro!$G759),"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",LEN(Registro!$G759))),({1,2,3,4,5,6,7,8,9,10,11,12,13,14,15,16,17,18,19,20,21,22,23,24,25,26,27,28,29,30}-1)*LEN(Registro!$G759)+1,LEN(Registro!$G759))),FIND("x",TRIM(MID(SUBSTITUTE(SUBSTITUTE(SUBSTITUTE(SUBSTITUTE(SUBSTITUTE(LOWER(Registro!$G759),"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",LEN(Registro!$G759))),({1,2,3,4,5,6,7,8,9,10,11,12,13,14,15,16,17,18,19,20,21,22,23,24,25,26,27,28,29,30}-1)*LEN(Registro!$G759)+1,LEN(Registro!$G759)))&amp;"x")-1))),"Revisar formato")))</f>
        <v/>
      </c>
      <c r="I759" s="11" t="str">
        <f>IF(Registro!$G759="","",IF(ISERROR(FIND("x",LOWER(Registro!$G759))),N(Registro!$H759),IFERROR(SUMPRODUCT(--("0"&amp;LEFT(TRIM(MID(SUBSTITUTE(SUBSTITUTE(SUBSTITUTE(SUBSTITUTE(SUBSTITUTE(LOWER(Registro!$G759),"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",LEN(Registro!$G759))),({1,2,3,4,5,6,7,8,9,10,11,12,13,14,15,16,17,18,19,20,21,22,23,24,25,26,27,28,29,30}-1)*LEN(Registro!$G759)+1,LEN(Registro!$G759))),FIND("x",TRIM(MID(SUBSTITUTE(SUBSTITUTE(SUBSTITUTE(SUBSTITUTE(SUBSTITUTE(LOWER(Registro!$G759),"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",LEN(Registro!$G759))),({1,2,3,4,5,6,7,8,9,10,11,12,13,14,15,16,17,18,19,20,21,22,23,24,25,26,27,28,29,30}-1)*LEN(Registro!$G759)+1,LEN(Registro!$G759)))&amp;"x")-1)),--("0"&amp;MID(TRIM(MID(SUBSTITUTE(SUBSTITUTE(SUBSTITUTE(SUBSTITUTE(SUBSTITUTE(LOWER(Registro!$G759),"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",LEN(Registro!$G759))),({1,2,3,4,5,6,7,8,9,10,11,12,13,14,15,16,17,18,19,20,21,22,23,24,25,26,27,28,29,30}-1)*LEN(Registro!$G759)+1,LEN(Registro!$G759))),FIND("x",TRIM(MID(SUBSTITUTE(SUBSTITUTE(SUBSTITUTE(SUBSTITUTE(SUBSTITUTE(LOWER(Registro!$G759),"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",LEN(Registro!$G759))),({1,2,3,4,5,6,7,8,9,10,11,12,13,14,15,16,17,18,19,20,21,22,23,24,25,26,27,28,29,30}-1)*LEN(Registro!$G759)+1,LEN(Registro!$G759)))&amp;"x")+1,20))),"Revisar formato")))</f>
        <v/>
      </c>
      <c r="J759" s="9" t="str">
        <f>IF(AND(Registro!$E759="",Registro!$G759=""),"",IF(NOT(AND(ISNUMBER(I759),ISNUMBER(Registro!$H759))),"",IF(I759&lt;Registro!$H759,"FALTA BOLETOS",IF(I759=Registro!$H759,"CONFORME","DIFERENCIA"))))</f>
        <v/>
      </c>
      <c r="K759" s="11" t="str">
        <f>IF(Registro!$I759="","",IFERROR(SUMPRODUCT(--("0"&amp;TRIM(RIGHT(SUBSTITUTE(TRIM(MID(SUBSTITUTE(SUBSTITUTE(Registro!$I759,";",CHAR(10)),CHAR(10),REPT(" ",LEN(Registro!$I759))),({1,2,3,4,5,6,7,8,9,10,11,12,13,14,15,16,17,18,19,20,21,22,23,24,25,26,27,28,29,30}-1)*LEN(Registro!$I759)+1,LEN(Registro!$I759)))," ",REPT(" ",50)),50)))),"Revisar formato"))</f>
        <v/>
      </c>
      <c r="L759" s="11" t="str">
        <f>IF(Registro!$J759="","",IFERROR(SUMPRODUCT(--("0"&amp;TRIM(RIGHT(SUBSTITUTE(TRIM(MID(SUBSTITUTE(SUBSTITUTE(Registro!$J759,";",CHAR(10)),CHAR(10),REPT(" ",LEN(Registro!$J759))),({1,2,3,4,5,6,7,8,9,10,11,12,13,14,15,16,17,18,19,20,21,22,23,24,25,26,27,28,29,30}-1)*LEN(Registro!$J759)+1,LEN(Registro!$J759)))," ",REPT(" ",50)),50)))),"Revisar formato"))</f>
        <v/>
      </c>
      <c r="M759" s="11" t="str">
        <f>IF(AND(Registro!$H759="",Registro!$I759=""),"",IF(AND(ISTEXT(K759),K759&lt;&gt;""),"Revisar formato",N(Registro!$H759)-N(K759)))</f>
        <v/>
      </c>
      <c r="N759" s="11" t="str">
        <f t="shared" si="35"/>
        <v/>
      </c>
      <c r="O759" s="15" t="str">
        <f>IF(AND(A759=Consulta!$B$3,C759=Consulta!$H$3),B759*10000+ROW(),"")</f>
        <v/>
      </c>
    </row>
    <row r="760" spans="1:15" x14ac:dyDescent="0.25">
      <c r="A760" s="9" t="str">
        <f>IF(Registro!$A760="","",Registro!$A760)</f>
        <v/>
      </c>
      <c r="B760" s="8" t="str">
        <f>IF(Registro!$B760="","",Registro!$B760)</f>
        <v/>
      </c>
      <c r="C760" s="14" t="str">
        <f t="shared" si="33"/>
        <v/>
      </c>
      <c r="D760" s="10" t="str">
        <f>IF(Registro!$E760="","",IF(ISERROR(FIND("x",LOWER(Registro!$E760))),"-",IFERROR(SUMPRODUCT(--("0"&amp;LEFT(TRIM(MID(SUBSTITUTE(SUBSTITUTE(SUBSTITUTE(SUBSTITUTE(SUBSTITUTE(LOWER(Registro!$E760),"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",LEN(Registro!$E760))),({1,2,3,4,5,6,7,8,9,10,11,12,13,14,15,16,17,18,19,20,21,22,23,24,25,26,27,28,29,30}-1)*LEN(Registro!$E760)+1,LEN(Registro!$E760)))&amp;"x")-1))),"Revisar formato")))</f>
        <v/>
      </c>
      <c r="E760" s="11" t="str">
        <f>IF(Registro!$E760="","",IF(ISERROR(FIND("x",LOWER(Registro!$E760))),"-",IFERROR(SUMPRODUCT(--("0"&amp;LEFT(TRIM(MID(SUBSTITUTE(SUBSTITUTE(SUBSTITUTE(SUBSTITUTE(SUBSTITUTE(LOWER(Registro!$E760),"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",LEN(Registro!$E760))),({1,2,3,4,5,6,7,8,9,10,11,12,13,14,15,16,17,18,19,20,21,22,23,24,25,26,27,28,29,30}-1)*LEN(Registro!$E760)+1,LEN(Registro!$E760)))&amp;"x")-1)),--("0"&amp;MID(TRIM(MID(SUBSTITUTE(SUBSTITUTE(SUBSTITUTE(SUBSTITUTE(SUBSTITUTE(LOWER(Registro!$E760),"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",LEN(Registro!$E760))),({1,2,3,4,5,6,7,8,9,10,11,12,13,14,15,16,17,18,19,20,21,22,23,24,25,26,27,28,29,30}-1)*LEN(Registro!$E760)+1,LEN(Registro!$E760)))&amp;"x")+1,20))),"Revisar formato")))</f>
        <v/>
      </c>
      <c r="F760" s="11" t="str">
        <f>IF(Registro!$F760="","",N(Registro!$F760))</f>
        <v/>
      </c>
      <c r="G760" s="11" t="str">
        <f t="shared" si="34"/>
        <v/>
      </c>
      <c r="H760" s="10" t="str">
        <f>IF(Registro!$G760="","",IF(ISERROR(FIND("x",LOWER(Registro!$G760))),"-",IFERROR(SUMPRODUCT(--("0"&amp;LEFT(TRIM(MID(SUBSTITUTE(SUBSTITUTE(SUBSTITUTE(SUBSTITUTE(SUBSTITUTE(LOWER(Registro!$G760),"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",LEN(Registro!$G760))),({1,2,3,4,5,6,7,8,9,10,11,12,13,14,15,16,17,18,19,20,21,22,23,24,25,26,27,28,29,30}-1)*LEN(Registro!$G760)+1,LEN(Registro!$G760))),FIND("x",TRIM(MID(SUBSTITUTE(SUBSTITUTE(SUBSTITUTE(SUBSTITUTE(SUBSTITUTE(LOWER(Registro!$G760),"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",LEN(Registro!$G760))),({1,2,3,4,5,6,7,8,9,10,11,12,13,14,15,16,17,18,19,20,21,22,23,24,25,26,27,28,29,30}-1)*LEN(Registro!$G760)+1,LEN(Registro!$G760)))&amp;"x")-1))),"Revisar formato")))</f>
        <v/>
      </c>
      <c r="I760" s="11" t="str">
        <f>IF(Registro!$G760="","",IF(ISERROR(FIND("x",LOWER(Registro!$G760))),N(Registro!$H760),IFERROR(SUMPRODUCT(--("0"&amp;LEFT(TRIM(MID(SUBSTITUTE(SUBSTITUTE(SUBSTITUTE(SUBSTITUTE(SUBSTITUTE(LOWER(Registro!$G760),"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",LEN(Registro!$G760))),({1,2,3,4,5,6,7,8,9,10,11,12,13,14,15,16,17,18,19,20,21,22,23,24,25,26,27,28,29,30}-1)*LEN(Registro!$G760)+1,LEN(Registro!$G760))),FIND("x",TRIM(MID(SUBSTITUTE(SUBSTITUTE(SUBSTITUTE(SUBSTITUTE(SUBSTITUTE(LOWER(Registro!$G760),"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",LEN(Registro!$G760))),({1,2,3,4,5,6,7,8,9,10,11,12,13,14,15,16,17,18,19,20,21,22,23,24,25,26,27,28,29,30}-1)*LEN(Registro!$G760)+1,LEN(Registro!$G760)))&amp;"x")-1)),--("0"&amp;MID(TRIM(MID(SUBSTITUTE(SUBSTITUTE(SUBSTITUTE(SUBSTITUTE(SUBSTITUTE(LOWER(Registro!$G760),"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",LEN(Registro!$G760))),({1,2,3,4,5,6,7,8,9,10,11,12,13,14,15,16,17,18,19,20,21,22,23,24,25,26,27,28,29,30}-1)*LEN(Registro!$G760)+1,LEN(Registro!$G760))),FIND("x",TRIM(MID(SUBSTITUTE(SUBSTITUTE(SUBSTITUTE(SUBSTITUTE(SUBSTITUTE(LOWER(Registro!$G760),"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",LEN(Registro!$G760))),({1,2,3,4,5,6,7,8,9,10,11,12,13,14,15,16,17,18,19,20,21,22,23,24,25,26,27,28,29,30}-1)*LEN(Registro!$G760)+1,LEN(Registro!$G760)))&amp;"x")+1,20))),"Revisar formato")))</f>
        <v/>
      </c>
      <c r="J760" s="9" t="str">
        <f>IF(AND(Registro!$E760="",Registro!$G760=""),"",IF(NOT(AND(ISNUMBER(I760),ISNUMBER(Registro!$H760))),"",IF(I760&lt;Registro!$H760,"FALTA BOLETOS",IF(I760=Registro!$H760,"CONFORME","DIFERENCIA"))))</f>
        <v/>
      </c>
      <c r="K760" s="11" t="str">
        <f>IF(Registro!$I760="","",IFERROR(SUMPRODUCT(--("0"&amp;TRIM(RIGHT(SUBSTITUTE(TRIM(MID(SUBSTITUTE(SUBSTITUTE(Registro!$I760,";",CHAR(10)),CHAR(10),REPT(" ",LEN(Registro!$I760))),({1,2,3,4,5,6,7,8,9,10,11,12,13,14,15,16,17,18,19,20,21,22,23,24,25,26,27,28,29,30}-1)*LEN(Registro!$I760)+1,LEN(Registro!$I760)))," ",REPT(" ",50)),50)))),"Revisar formato"))</f>
        <v/>
      </c>
      <c r="L760" s="11" t="str">
        <f>IF(Registro!$J760="","",IFERROR(SUMPRODUCT(--("0"&amp;TRIM(RIGHT(SUBSTITUTE(TRIM(MID(SUBSTITUTE(SUBSTITUTE(Registro!$J760,";",CHAR(10)),CHAR(10),REPT(" ",LEN(Registro!$J760))),({1,2,3,4,5,6,7,8,9,10,11,12,13,14,15,16,17,18,19,20,21,22,23,24,25,26,27,28,29,30}-1)*LEN(Registro!$J760)+1,LEN(Registro!$J760)))," ",REPT(" ",50)),50)))),"Revisar formato"))</f>
        <v/>
      </c>
      <c r="M760" s="11" t="str">
        <f>IF(AND(Registro!$H760="",Registro!$I760=""),"",IF(AND(ISTEXT(K760),K760&lt;&gt;""),"Revisar formato",N(Registro!$H760)-N(K760)))</f>
        <v/>
      </c>
      <c r="N760" s="11" t="str">
        <f t="shared" si="35"/>
        <v/>
      </c>
      <c r="O760" s="15" t="str">
        <f>IF(AND(A760=Consulta!$B$3,C760=Consulta!$H$3),B760*10000+ROW(),"")</f>
        <v/>
      </c>
    </row>
    <row r="761" spans="1:15" x14ac:dyDescent="0.25">
      <c r="A761" s="9" t="str">
        <f>IF(Registro!$A761="","",Registro!$A761)</f>
        <v/>
      </c>
      <c r="B761" s="8" t="str">
        <f>IF(Registro!$B761="","",Registro!$B761)</f>
        <v/>
      </c>
      <c r="C761" s="14" t="str">
        <f t="shared" si="33"/>
        <v/>
      </c>
      <c r="D761" s="10" t="str">
        <f>IF(Registro!$E761="","",IF(ISERROR(FIND("x",LOWER(Registro!$E761))),"-",IFERROR(SUMPRODUCT(--("0"&amp;LEFT(TRIM(MID(SUBSTITUTE(SUBSTITUTE(SUBSTITUTE(SUBSTITUTE(SUBSTITUTE(LOWER(Registro!$E761),"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",LEN(Registro!$E761))),({1,2,3,4,5,6,7,8,9,10,11,12,13,14,15,16,17,18,19,20,21,22,23,24,25,26,27,28,29,30}-1)*LEN(Registro!$E761)+1,LEN(Registro!$E761)))&amp;"x")-1))),"Revisar formato")))</f>
        <v/>
      </c>
      <c r="E761" s="11" t="str">
        <f>IF(Registro!$E761="","",IF(ISERROR(FIND("x",LOWER(Registro!$E761))),"-",IFERROR(SUMPRODUCT(--("0"&amp;LEFT(TRIM(MID(SUBSTITUTE(SUBSTITUTE(SUBSTITUTE(SUBSTITUTE(SUBSTITUTE(LOWER(Registro!$E761),"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",LEN(Registro!$E761))),({1,2,3,4,5,6,7,8,9,10,11,12,13,14,15,16,17,18,19,20,21,22,23,24,25,26,27,28,29,30}-1)*LEN(Registro!$E761)+1,LEN(Registro!$E761)))&amp;"x")-1)),--("0"&amp;MID(TRIM(MID(SUBSTITUTE(SUBSTITUTE(SUBSTITUTE(SUBSTITUTE(SUBSTITUTE(LOWER(Registro!$E761),"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",LEN(Registro!$E761))),({1,2,3,4,5,6,7,8,9,10,11,12,13,14,15,16,17,18,19,20,21,22,23,24,25,26,27,28,29,30}-1)*LEN(Registro!$E761)+1,LEN(Registro!$E761)))&amp;"x")+1,20))),"Revisar formato")))</f>
        <v/>
      </c>
      <c r="F761" s="11" t="str">
        <f>IF(Registro!$F761="","",N(Registro!$F761))</f>
        <v/>
      </c>
      <c r="G761" s="11" t="str">
        <f t="shared" si="34"/>
        <v/>
      </c>
      <c r="H761" s="10" t="str">
        <f>IF(Registro!$G761="","",IF(ISERROR(FIND("x",LOWER(Registro!$G761))),"-",IFERROR(SUMPRODUCT(--("0"&amp;LEFT(TRIM(MID(SUBSTITUTE(SUBSTITUTE(SUBSTITUTE(SUBSTITUTE(SUBSTITUTE(LOWER(Registro!$G761),"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",LEN(Registro!$G761))),({1,2,3,4,5,6,7,8,9,10,11,12,13,14,15,16,17,18,19,20,21,22,23,24,25,26,27,28,29,30}-1)*LEN(Registro!$G761)+1,LEN(Registro!$G761))),FIND("x",TRIM(MID(SUBSTITUTE(SUBSTITUTE(SUBSTITUTE(SUBSTITUTE(SUBSTITUTE(LOWER(Registro!$G761),"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",LEN(Registro!$G761))),({1,2,3,4,5,6,7,8,9,10,11,12,13,14,15,16,17,18,19,20,21,22,23,24,25,26,27,28,29,30}-1)*LEN(Registro!$G761)+1,LEN(Registro!$G761)))&amp;"x")-1))),"Revisar formato")))</f>
        <v/>
      </c>
      <c r="I761" s="11" t="str">
        <f>IF(Registro!$G761="","",IF(ISERROR(FIND("x",LOWER(Registro!$G761))),N(Registro!$H761),IFERROR(SUMPRODUCT(--("0"&amp;LEFT(TRIM(MID(SUBSTITUTE(SUBSTITUTE(SUBSTITUTE(SUBSTITUTE(SUBSTITUTE(LOWER(Registro!$G761),"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",LEN(Registro!$G761))),({1,2,3,4,5,6,7,8,9,10,11,12,13,14,15,16,17,18,19,20,21,22,23,24,25,26,27,28,29,30}-1)*LEN(Registro!$G761)+1,LEN(Registro!$G761))),FIND("x",TRIM(MID(SUBSTITUTE(SUBSTITUTE(SUBSTITUTE(SUBSTITUTE(SUBSTITUTE(LOWER(Registro!$G761),"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",LEN(Registro!$G761))),({1,2,3,4,5,6,7,8,9,10,11,12,13,14,15,16,17,18,19,20,21,22,23,24,25,26,27,28,29,30}-1)*LEN(Registro!$G761)+1,LEN(Registro!$G761)))&amp;"x")-1)),--("0"&amp;MID(TRIM(MID(SUBSTITUTE(SUBSTITUTE(SUBSTITUTE(SUBSTITUTE(SUBSTITUTE(LOWER(Registro!$G761),"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",LEN(Registro!$G761))),({1,2,3,4,5,6,7,8,9,10,11,12,13,14,15,16,17,18,19,20,21,22,23,24,25,26,27,28,29,30}-1)*LEN(Registro!$G761)+1,LEN(Registro!$G761))),FIND("x",TRIM(MID(SUBSTITUTE(SUBSTITUTE(SUBSTITUTE(SUBSTITUTE(SUBSTITUTE(LOWER(Registro!$G761),"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",LEN(Registro!$G761))),({1,2,3,4,5,6,7,8,9,10,11,12,13,14,15,16,17,18,19,20,21,22,23,24,25,26,27,28,29,30}-1)*LEN(Registro!$G761)+1,LEN(Registro!$G761)))&amp;"x")+1,20))),"Revisar formato")))</f>
        <v/>
      </c>
      <c r="J761" s="9" t="str">
        <f>IF(AND(Registro!$E761="",Registro!$G761=""),"",IF(NOT(AND(ISNUMBER(I761),ISNUMBER(Registro!$H761))),"",IF(I761&lt;Registro!$H761,"FALTA BOLETOS",IF(I761=Registro!$H761,"CONFORME","DIFERENCIA"))))</f>
        <v/>
      </c>
      <c r="K761" s="11" t="str">
        <f>IF(Registro!$I761="","",IFERROR(SUMPRODUCT(--("0"&amp;TRIM(RIGHT(SUBSTITUTE(TRIM(MID(SUBSTITUTE(SUBSTITUTE(Registro!$I761,";",CHAR(10)),CHAR(10),REPT(" ",LEN(Registro!$I761))),({1,2,3,4,5,6,7,8,9,10,11,12,13,14,15,16,17,18,19,20,21,22,23,24,25,26,27,28,29,30}-1)*LEN(Registro!$I761)+1,LEN(Registro!$I761)))," ",REPT(" ",50)),50)))),"Revisar formato"))</f>
        <v/>
      </c>
      <c r="L761" s="11" t="str">
        <f>IF(Registro!$J761="","",IFERROR(SUMPRODUCT(--("0"&amp;TRIM(RIGHT(SUBSTITUTE(TRIM(MID(SUBSTITUTE(SUBSTITUTE(Registro!$J761,";",CHAR(10)),CHAR(10),REPT(" ",LEN(Registro!$J761))),({1,2,3,4,5,6,7,8,9,10,11,12,13,14,15,16,17,18,19,20,21,22,23,24,25,26,27,28,29,30}-1)*LEN(Registro!$J761)+1,LEN(Registro!$J761)))," ",REPT(" ",50)),50)))),"Revisar formato"))</f>
        <v/>
      </c>
      <c r="M761" s="11" t="str">
        <f>IF(AND(Registro!$H761="",Registro!$I761=""),"",IF(AND(ISTEXT(K761),K761&lt;&gt;""),"Revisar formato",N(Registro!$H761)-N(K761)))</f>
        <v/>
      </c>
      <c r="N761" s="11" t="str">
        <f t="shared" si="35"/>
        <v/>
      </c>
      <c r="O761" s="15" t="str">
        <f>IF(AND(A761=Consulta!$B$3,C761=Consulta!$H$3),B761*10000+ROW(),"")</f>
        <v/>
      </c>
    </row>
    <row r="762" spans="1:15" x14ac:dyDescent="0.25">
      <c r="A762" s="9" t="str">
        <f>IF(Registro!$A762="","",Registro!$A762)</f>
        <v/>
      </c>
      <c r="B762" s="8" t="str">
        <f>IF(Registro!$B762="","",Registro!$B762)</f>
        <v/>
      </c>
      <c r="C762" s="14" t="str">
        <f t="shared" si="33"/>
        <v/>
      </c>
      <c r="D762" s="10" t="str">
        <f>IF(Registro!$E762="","",IF(ISERROR(FIND("x",LOWER(Registro!$E762))),"-",IFERROR(SUMPRODUCT(--("0"&amp;LEFT(TRIM(MID(SUBSTITUTE(SUBSTITUTE(SUBSTITUTE(SUBSTITUTE(SUBSTITUTE(LOWER(Registro!$E762),"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",LEN(Registro!$E762))),({1,2,3,4,5,6,7,8,9,10,11,12,13,14,15,16,17,18,19,20,21,22,23,24,25,26,27,28,29,30}-1)*LEN(Registro!$E762)+1,LEN(Registro!$E762)))&amp;"x")-1))),"Revisar formato")))</f>
        <v/>
      </c>
      <c r="E762" s="11" t="str">
        <f>IF(Registro!$E762="","",IF(ISERROR(FIND("x",LOWER(Registro!$E762))),"-",IFERROR(SUMPRODUCT(--("0"&amp;LEFT(TRIM(MID(SUBSTITUTE(SUBSTITUTE(SUBSTITUTE(SUBSTITUTE(SUBSTITUTE(LOWER(Registro!$E762),"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",LEN(Registro!$E762))),({1,2,3,4,5,6,7,8,9,10,11,12,13,14,15,16,17,18,19,20,21,22,23,24,25,26,27,28,29,30}-1)*LEN(Registro!$E762)+1,LEN(Registro!$E762)))&amp;"x")-1)),--("0"&amp;MID(TRIM(MID(SUBSTITUTE(SUBSTITUTE(SUBSTITUTE(SUBSTITUTE(SUBSTITUTE(LOWER(Registro!$E762),"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",LEN(Registro!$E762))),({1,2,3,4,5,6,7,8,9,10,11,12,13,14,15,16,17,18,19,20,21,22,23,24,25,26,27,28,29,30}-1)*LEN(Registro!$E762)+1,LEN(Registro!$E762)))&amp;"x")+1,20))),"Revisar formato")))</f>
        <v/>
      </c>
      <c r="F762" s="11" t="str">
        <f>IF(Registro!$F762="","",N(Registro!$F762))</f>
        <v/>
      </c>
      <c r="G762" s="11" t="str">
        <f t="shared" si="34"/>
        <v/>
      </c>
      <c r="H762" s="10" t="str">
        <f>IF(Registro!$G762="","",IF(ISERROR(FIND("x",LOWER(Registro!$G762))),"-",IFERROR(SUMPRODUCT(--("0"&amp;LEFT(TRIM(MID(SUBSTITUTE(SUBSTITUTE(SUBSTITUTE(SUBSTITUTE(SUBSTITUTE(LOWER(Registro!$G762),"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",LEN(Registro!$G762))),({1,2,3,4,5,6,7,8,9,10,11,12,13,14,15,16,17,18,19,20,21,22,23,24,25,26,27,28,29,30}-1)*LEN(Registro!$G762)+1,LEN(Registro!$G762))),FIND("x",TRIM(MID(SUBSTITUTE(SUBSTITUTE(SUBSTITUTE(SUBSTITUTE(SUBSTITUTE(LOWER(Registro!$G762),"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",LEN(Registro!$G762))),({1,2,3,4,5,6,7,8,9,10,11,12,13,14,15,16,17,18,19,20,21,22,23,24,25,26,27,28,29,30}-1)*LEN(Registro!$G762)+1,LEN(Registro!$G762)))&amp;"x")-1))),"Revisar formato")))</f>
        <v/>
      </c>
      <c r="I762" s="11" t="str">
        <f>IF(Registro!$G762="","",IF(ISERROR(FIND("x",LOWER(Registro!$G762))),N(Registro!$H762),IFERROR(SUMPRODUCT(--("0"&amp;LEFT(TRIM(MID(SUBSTITUTE(SUBSTITUTE(SUBSTITUTE(SUBSTITUTE(SUBSTITUTE(LOWER(Registro!$G762),"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",LEN(Registro!$G762))),({1,2,3,4,5,6,7,8,9,10,11,12,13,14,15,16,17,18,19,20,21,22,23,24,25,26,27,28,29,30}-1)*LEN(Registro!$G762)+1,LEN(Registro!$G762))),FIND("x",TRIM(MID(SUBSTITUTE(SUBSTITUTE(SUBSTITUTE(SUBSTITUTE(SUBSTITUTE(LOWER(Registro!$G762),"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",LEN(Registro!$G762))),({1,2,3,4,5,6,7,8,9,10,11,12,13,14,15,16,17,18,19,20,21,22,23,24,25,26,27,28,29,30}-1)*LEN(Registro!$G762)+1,LEN(Registro!$G762)))&amp;"x")-1)),--("0"&amp;MID(TRIM(MID(SUBSTITUTE(SUBSTITUTE(SUBSTITUTE(SUBSTITUTE(SUBSTITUTE(LOWER(Registro!$G762),"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",LEN(Registro!$G762))),({1,2,3,4,5,6,7,8,9,10,11,12,13,14,15,16,17,18,19,20,21,22,23,24,25,26,27,28,29,30}-1)*LEN(Registro!$G762)+1,LEN(Registro!$G762))),FIND("x",TRIM(MID(SUBSTITUTE(SUBSTITUTE(SUBSTITUTE(SUBSTITUTE(SUBSTITUTE(LOWER(Registro!$G762),"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",LEN(Registro!$G762))),({1,2,3,4,5,6,7,8,9,10,11,12,13,14,15,16,17,18,19,20,21,22,23,24,25,26,27,28,29,30}-1)*LEN(Registro!$G762)+1,LEN(Registro!$G762)))&amp;"x")+1,20))),"Revisar formato")))</f>
        <v/>
      </c>
      <c r="J762" s="9" t="str">
        <f>IF(AND(Registro!$E762="",Registro!$G762=""),"",IF(NOT(AND(ISNUMBER(I762),ISNUMBER(Registro!$H762))),"",IF(I762&lt;Registro!$H762,"FALTA BOLETOS",IF(I762=Registro!$H762,"CONFORME","DIFERENCIA"))))</f>
        <v/>
      </c>
      <c r="K762" s="11" t="str">
        <f>IF(Registro!$I762="","",IFERROR(SUMPRODUCT(--("0"&amp;TRIM(RIGHT(SUBSTITUTE(TRIM(MID(SUBSTITUTE(SUBSTITUTE(Registro!$I762,";",CHAR(10)),CHAR(10),REPT(" ",LEN(Registro!$I762))),({1,2,3,4,5,6,7,8,9,10,11,12,13,14,15,16,17,18,19,20,21,22,23,24,25,26,27,28,29,30}-1)*LEN(Registro!$I762)+1,LEN(Registro!$I762)))," ",REPT(" ",50)),50)))),"Revisar formato"))</f>
        <v/>
      </c>
      <c r="L762" s="11" t="str">
        <f>IF(Registro!$J762="","",IFERROR(SUMPRODUCT(--("0"&amp;TRIM(RIGHT(SUBSTITUTE(TRIM(MID(SUBSTITUTE(SUBSTITUTE(Registro!$J762,";",CHAR(10)),CHAR(10),REPT(" ",LEN(Registro!$J762))),({1,2,3,4,5,6,7,8,9,10,11,12,13,14,15,16,17,18,19,20,21,22,23,24,25,26,27,28,29,30}-1)*LEN(Registro!$J762)+1,LEN(Registro!$J762)))," ",REPT(" ",50)),50)))),"Revisar formato"))</f>
        <v/>
      </c>
      <c r="M762" s="11" t="str">
        <f>IF(AND(Registro!$H762="",Registro!$I762=""),"",IF(AND(ISTEXT(K762),K762&lt;&gt;""),"Revisar formato",N(Registro!$H762)-N(K762)))</f>
        <v/>
      </c>
      <c r="N762" s="11" t="str">
        <f t="shared" si="35"/>
        <v/>
      </c>
      <c r="O762" s="15" t="str">
        <f>IF(AND(A762=Consulta!$B$3,C762=Consulta!$H$3),B762*10000+ROW(),"")</f>
        <v/>
      </c>
    </row>
    <row r="763" spans="1:15" x14ac:dyDescent="0.25">
      <c r="A763" s="9" t="str">
        <f>IF(Registro!$A763="","",Registro!$A763)</f>
        <v/>
      </c>
      <c r="B763" s="8" t="str">
        <f>IF(Registro!$B763="","",Registro!$B763)</f>
        <v/>
      </c>
      <c r="C763" s="14" t="str">
        <f t="shared" si="33"/>
        <v/>
      </c>
      <c r="D763" s="10" t="str">
        <f>IF(Registro!$E763="","",IF(ISERROR(FIND("x",LOWER(Registro!$E763))),"-",IFERROR(SUMPRODUCT(--("0"&amp;LEFT(TRIM(MID(SUBSTITUTE(SUBSTITUTE(SUBSTITUTE(SUBSTITUTE(SUBSTITUTE(LOWER(Registro!$E763),"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",LEN(Registro!$E763))),({1,2,3,4,5,6,7,8,9,10,11,12,13,14,15,16,17,18,19,20,21,22,23,24,25,26,27,28,29,30}-1)*LEN(Registro!$E763)+1,LEN(Registro!$E763)))&amp;"x")-1))),"Revisar formato")))</f>
        <v/>
      </c>
      <c r="E763" s="11" t="str">
        <f>IF(Registro!$E763="","",IF(ISERROR(FIND("x",LOWER(Registro!$E763))),"-",IFERROR(SUMPRODUCT(--("0"&amp;LEFT(TRIM(MID(SUBSTITUTE(SUBSTITUTE(SUBSTITUTE(SUBSTITUTE(SUBSTITUTE(LOWER(Registro!$E763),"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",LEN(Registro!$E763))),({1,2,3,4,5,6,7,8,9,10,11,12,13,14,15,16,17,18,19,20,21,22,23,24,25,26,27,28,29,30}-1)*LEN(Registro!$E763)+1,LEN(Registro!$E763)))&amp;"x")-1)),--("0"&amp;MID(TRIM(MID(SUBSTITUTE(SUBSTITUTE(SUBSTITUTE(SUBSTITUTE(SUBSTITUTE(LOWER(Registro!$E763),"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",LEN(Registro!$E763))),({1,2,3,4,5,6,7,8,9,10,11,12,13,14,15,16,17,18,19,20,21,22,23,24,25,26,27,28,29,30}-1)*LEN(Registro!$E763)+1,LEN(Registro!$E763)))&amp;"x")+1,20))),"Revisar formato")))</f>
        <v/>
      </c>
      <c r="F763" s="11" t="str">
        <f>IF(Registro!$F763="","",N(Registro!$F763))</f>
        <v/>
      </c>
      <c r="G763" s="11" t="str">
        <f t="shared" si="34"/>
        <v/>
      </c>
      <c r="H763" s="10" t="str">
        <f>IF(Registro!$G763="","",IF(ISERROR(FIND("x",LOWER(Registro!$G763))),"-",IFERROR(SUMPRODUCT(--("0"&amp;LEFT(TRIM(MID(SUBSTITUTE(SUBSTITUTE(SUBSTITUTE(SUBSTITUTE(SUBSTITUTE(LOWER(Registro!$G763),"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",LEN(Registro!$G763))),({1,2,3,4,5,6,7,8,9,10,11,12,13,14,15,16,17,18,19,20,21,22,23,24,25,26,27,28,29,30}-1)*LEN(Registro!$G763)+1,LEN(Registro!$G763))),FIND("x",TRIM(MID(SUBSTITUTE(SUBSTITUTE(SUBSTITUTE(SUBSTITUTE(SUBSTITUTE(LOWER(Registro!$G763),"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",LEN(Registro!$G763))),({1,2,3,4,5,6,7,8,9,10,11,12,13,14,15,16,17,18,19,20,21,22,23,24,25,26,27,28,29,30}-1)*LEN(Registro!$G763)+1,LEN(Registro!$G763)))&amp;"x")-1))),"Revisar formato")))</f>
        <v/>
      </c>
      <c r="I763" s="11" t="str">
        <f>IF(Registro!$G763="","",IF(ISERROR(FIND("x",LOWER(Registro!$G763))),N(Registro!$H763),IFERROR(SUMPRODUCT(--("0"&amp;LEFT(TRIM(MID(SUBSTITUTE(SUBSTITUTE(SUBSTITUTE(SUBSTITUTE(SUBSTITUTE(LOWER(Registro!$G763),"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",LEN(Registro!$G763))),({1,2,3,4,5,6,7,8,9,10,11,12,13,14,15,16,17,18,19,20,21,22,23,24,25,26,27,28,29,30}-1)*LEN(Registro!$G763)+1,LEN(Registro!$G763))),FIND("x",TRIM(MID(SUBSTITUTE(SUBSTITUTE(SUBSTITUTE(SUBSTITUTE(SUBSTITUTE(LOWER(Registro!$G763),"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",LEN(Registro!$G763))),({1,2,3,4,5,6,7,8,9,10,11,12,13,14,15,16,17,18,19,20,21,22,23,24,25,26,27,28,29,30}-1)*LEN(Registro!$G763)+1,LEN(Registro!$G763)))&amp;"x")-1)),--("0"&amp;MID(TRIM(MID(SUBSTITUTE(SUBSTITUTE(SUBSTITUTE(SUBSTITUTE(SUBSTITUTE(LOWER(Registro!$G763),"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",LEN(Registro!$G763))),({1,2,3,4,5,6,7,8,9,10,11,12,13,14,15,16,17,18,19,20,21,22,23,24,25,26,27,28,29,30}-1)*LEN(Registro!$G763)+1,LEN(Registro!$G763))),FIND("x",TRIM(MID(SUBSTITUTE(SUBSTITUTE(SUBSTITUTE(SUBSTITUTE(SUBSTITUTE(LOWER(Registro!$G763),"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",LEN(Registro!$G763))),({1,2,3,4,5,6,7,8,9,10,11,12,13,14,15,16,17,18,19,20,21,22,23,24,25,26,27,28,29,30}-1)*LEN(Registro!$G763)+1,LEN(Registro!$G763)))&amp;"x")+1,20))),"Revisar formato")))</f>
        <v/>
      </c>
      <c r="J763" s="9" t="str">
        <f>IF(AND(Registro!$E763="",Registro!$G763=""),"",IF(NOT(AND(ISNUMBER(I763),ISNUMBER(Registro!$H763))),"",IF(I763&lt;Registro!$H763,"FALTA BOLETOS",IF(I763=Registro!$H763,"CONFORME","DIFERENCIA"))))</f>
        <v/>
      </c>
      <c r="K763" s="11" t="str">
        <f>IF(Registro!$I763="","",IFERROR(SUMPRODUCT(--("0"&amp;TRIM(RIGHT(SUBSTITUTE(TRIM(MID(SUBSTITUTE(SUBSTITUTE(Registro!$I763,";",CHAR(10)),CHAR(10),REPT(" ",LEN(Registro!$I763))),({1,2,3,4,5,6,7,8,9,10,11,12,13,14,15,16,17,18,19,20,21,22,23,24,25,26,27,28,29,30}-1)*LEN(Registro!$I763)+1,LEN(Registro!$I763)))," ",REPT(" ",50)),50)))),"Revisar formato"))</f>
        <v/>
      </c>
      <c r="L763" s="11" t="str">
        <f>IF(Registro!$J763="","",IFERROR(SUMPRODUCT(--("0"&amp;TRIM(RIGHT(SUBSTITUTE(TRIM(MID(SUBSTITUTE(SUBSTITUTE(Registro!$J763,";",CHAR(10)),CHAR(10),REPT(" ",LEN(Registro!$J763))),({1,2,3,4,5,6,7,8,9,10,11,12,13,14,15,16,17,18,19,20,21,22,23,24,25,26,27,28,29,30}-1)*LEN(Registro!$J763)+1,LEN(Registro!$J763)))," ",REPT(" ",50)),50)))),"Revisar formato"))</f>
        <v/>
      </c>
      <c r="M763" s="11" t="str">
        <f>IF(AND(Registro!$H763="",Registro!$I763=""),"",IF(AND(ISTEXT(K763),K763&lt;&gt;""),"Revisar formato",N(Registro!$H763)-N(K763)))</f>
        <v/>
      </c>
      <c r="N763" s="11" t="str">
        <f t="shared" si="35"/>
        <v/>
      </c>
      <c r="O763" s="15" t="str">
        <f>IF(AND(A763=Consulta!$B$3,C763=Consulta!$H$3),B763*10000+ROW(),"")</f>
        <v/>
      </c>
    </row>
    <row r="764" spans="1:15" x14ac:dyDescent="0.25">
      <c r="A764" s="9" t="str">
        <f>IF(Registro!$A764="","",Registro!$A764)</f>
        <v/>
      </c>
      <c r="B764" s="8" t="str">
        <f>IF(Registro!$B764="","",Registro!$B764)</f>
        <v/>
      </c>
      <c r="C764" s="14" t="str">
        <f t="shared" si="33"/>
        <v/>
      </c>
      <c r="D764" s="10" t="str">
        <f>IF(Registro!$E764="","",IF(ISERROR(FIND("x",LOWER(Registro!$E764))),"-",IFERROR(SUMPRODUCT(--("0"&amp;LEFT(TRIM(MID(SUBSTITUTE(SUBSTITUTE(SUBSTITUTE(SUBSTITUTE(SUBSTITUTE(LOWER(Registro!$E764),"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",LEN(Registro!$E764))),({1,2,3,4,5,6,7,8,9,10,11,12,13,14,15,16,17,18,19,20,21,22,23,24,25,26,27,28,29,30}-1)*LEN(Registro!$E764)+1,LEN(Registro!$E764)))&amp;"x")-1))),"Revisar formato")))</f>
        <v/>
      </c>
      <c r="E764" s="11" t="str">
        <f>IF(Registro!$E764="","",IF(ISERROR(FIND("x",LOWER(Registro!$E764))),"-",IFERROR(SUMPRODUCT(--("0"&amp;LEFT(TRIM(MID(SUBSTITUTE(SUBSTITUTE(SUBSTITUTE(SUBSTITUTE(SUBSTITUTE(LOWER(Registro!$E764),"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",LEN(Registro!$E764))),({1,2,3,4,5,6,7,8,9,10,11,12,13,14,15,16,17,18,19,20,21,22,23,24,25,26,27,28,29,30}-1)*LEN(Registro!$E764)+1,LEN(Registro!$E764)))&amp;"x")-1)),--("0"&amp;MID(TRIM(MID(SUBSTITUTE(SUBSTITUTE(SUBSTITUTE(SUBSTITUTE(SUBSTITUTE(LOWER(Registro!$E764),"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",LEN(Registro!$E764))),({1,2,3,4,5,6,7,8,9,10,11,12,13,14,15,16,17,18,19,20,21,22,23,24,25,26,27,28,29,30}-1)*LEN(Registro!$E764)+1,LEN(Registro!$E764)))&amp;"x")+1,20))),"Revisar formato")))</f>
        <v/>
      </c>
      <c r="F764" s="11" t="str">
        <f>IF(Registro!$F764="","",N(Registro!$F764))</f>
        <v/>
      </c>
      <c r="G764" s="11" t="str">
        <f t="shared" si="34"/>
        <v/>
      </c>
      <c r="H764" s="10" t="str">
        <f>IF(Registro!$G764="","",IF(ISERROR(FIND("x",LOWER(Registro!$G764))),"-",IFERROR(SUMPRODUCT(--("0"&amp;LEFT(TRIM(MID(SUBSTITUTE(SUBSTITUTE(SUBSTITUTE(SUBSTITUTE(SUBSTITUTE(LOWER(Registro!$G764),"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",LEN(Registro!$G764))),({1,2,3,4,5,6,7,8,9,10,11,12,13,14,15,16,17,18,19,20,21,22,23,24,25,26,27,28,29,30}-1)*LEN(Registro!$G764)+1,LEN(Registro!$G764))),FIND("x",TRIM(MID(SUBSTITUTE(SUBSTITUTE(SUBSTITUTE(SUBSTITUTE(SUBSTITUTE(LOWER(Registro!$G764),"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",LEN(Registro!$G764))),({1,2,3,4,5,6,7,8,9,10,11,12,13,14,15,16,17,18,19,20,21,22,23,24,25,26,27,28,29,30}-1)*LEN(Registro!$G764)+1,LEN(Registro!$G764)))&amp;"x")-1))),"Revisar formato")))</f>
        <v/>
      </c>
      <c r="I764" s="11" t="str">
        <f>IF(Registro!$G764="","",IF(ISERROR(FIND("x",LOWER(Registro!$G764))),N(Registro!$H764),IFERROR(SUMPRODUCT(--("0"&amp;LEFT(TRIM(MID(SUBSTITUTE(SUBSTITUTE(SUBSTITUTE(SUBSTITUTE(SUBSTITUTE(LOWER(Registro!$G764),"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",LEN(Registro!$G764))),({1,2,3,4,5,6,7,8,9,10,11,12,13,14,15,16,17,18,19,20,21,22,23,24,25,26,27,28,29,30}-1)*LEN(Registro!$G764)+1,LEN(Registro!$G764))),FIND("x",TRIM(MID(SUBSTITUTE(SUBSTITUTE(SUBSTITUTE(SUBSTITUTE(SUBSTITUTE(LOWER(Registro!$G764),"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",LEN(Registro!$G764))),({1,2,3,4,5,6,7,8,9,10,11,12,13,14,15,16,17,18,19,20,21,22,23,24,25,26,27,28,29,30}-1)*LEN(Registro!$G764)+1,LEN(Registro!$G764)))&amp;"x")-1)),--("0"&amp;MID(TRIM(MID(SUBSTITUTE(SUBSTITUTE(SUBSTITUTE(SUBSTITUTE(SUBSTITUTE(LOWER(Registro!$G764),"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",LEN(Registro!$G764))),({1,2,3,4,5,6,7,8,9,10,11,12,13,14,15,16,17,18,19,20,21,22,23,24,25,26,27,28,29,30}-1)*LEN(Registro!$G764)+1,LEN(Registro!$G764))),FIND("x",TRIM(MID(SUBSTITUTE(SUBSTITUTE(SUBSTITUTE(SUBSTITUTE(SUBSTITUTE(LOWER(Registro!$G764),"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",LEN(Registro!$G764))),({1,2,3,4,5,6,7,8,9,10,11,12,13,14,15,16,17,18,19,20,21,22,23,24,25,26,27,28,29,30}-1)*LEN(Registro!$G764)+1,LEN(Registro!$G764)))&amp;"x")+1,20))),"Revisar formato")))</f>
        <v/>
      </c>
      <c r="J764" s="9" t="str">
        <f>IF(AND(Registro!$E764="",Registro!$G764=""),"",IF(NOT(AND(ISNUMBER(I764),ISNUMBER(Registro!$H764))),"",IF(I764&lt;Registro!$H764,"FALTA BOLETOS",IF(I764=Registro!$H764,"CONFORME","DIFERENCIA"))))</f>
        <v/>
      </c>
      <c r="K764" s="11" t="str">
        <f>IF(Registro!$I764="","",IFERROR(SUMPRODUCT(--("0"&amp;TRIM(RIGHT(SUBSTITUTE(TRIM(MID(SUBSTITUTE(SUBSTITUTE(Registro!$I764,";",CHAR(10)),CHAR(10),REPT(" ",LEN(Registro!$I764))),({1,2,3,4,5,6,7,8,9,10,11,12,13,14,15,16,17,18,19,20,21,22,23,24,25,26,27,28,29,30}-1)*LEN(Registro!$I764)+1,LEN(Registro!$I764)))," ",REPT(" ",50)),50)))),"Revisar formato"))</f>
        <v/>
      </c>
      <c r="L764" s="11" t="str">
        <f>IF(Registro!$J764="","",IFERROR(SUMPRODUCT(--("0"&amp;TRIM(RIGHT(SUBSTITUTE(TRIM(MID(SUBSTITUTE(SUBSTITUTE(Registro!$J764,";",CHAR(10)),CHAR(10),REPT(" ",LEN(Registro!$J764))),({1,2,3,4,5,6,7,8,9,10,11,12,13,14,15,16,17,18,19,20,21,22,23,24,25,26,27,28,29,30}-1)*LEN(Registro!$J764)+1,LEN(Registro!$J764)))," ",REPT(" ",50)),50)))),"Revisar formato"))</f>
        <v/>
      </c>
      <c r="M764" s="11" t="str">
        <f>IF(AND(Registro!$H764="",Registro!$I764=""),"",IF(AND(ISTEXT(K764),K764&lt;&gt;""),"Revisar formato",N(Registro!$H764)-N(K764)))</f>
        <v/>
      </c>
      <c r="N764" s="11" t="str">
        <f t="shared" si="35"/>
        <v/>
      </c>
      <c r="O764" s="15" t="str">
        <f>IF(AND(A764=Consulta!$B$3,C764=Consulta!$H$3),B764*10000+ROW(),"")</f>
        <v/>
      </c>
    </row>
    <row r="765" spans="1:15" x14ac:dyDescent="0.25">
      <c r="A765" s="9" t="str">
        <f>IF(Registro!$A765="","",Registro!$A765)</f>
        <v/>
      </c>
      <c r="B765" s="8" t="str">
        <f>IF(Registro!$B765="","",Registro!$B765)</f>
        <v/>
      </c>
      <c r="C765" s="14" t="str">
        <f t="shared" si="33"/>
        <v/>
      </c>
      <c r="D765" s="10" t="str">
        <f>IF(Registro!$E765="","",IF(ISERROR(FIND("x",LOWER(Registro!$E765))),"-",IFERROR(SUMPRODUCT(--("0"&amp;LEFT(TRIM(MID(SUBSTITUTE(SUBSTITUTE(SUBSTITUTE(SUBSTITUTE(SUBSTITUTE(LOWER(Registro!$E765),"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",LEN(Registro!$E765))),({1,2,3,4,5,6,7,8,9,10,11,12,13,14,15,16,17,18,19,20,21,22,23,24,25,26,27,28,29,30}-1)*LEN(Registro!$E765)+1,LEN(Registro!$E765)))&amp;"x")-1))),"Revisar formato")))</f>
        <v/>
      </c>
      <c r="E765" s="11" t="str">
        <f>IF(Registro!$E765="","",IF(ISERROR(FIND("x",LOWER(Registro!$E765))),"-",IFERROR(SUMPRODUCT(--("0"&amp;LEFT(TRIM(MID(SUBSTITUTE(SUBSTITUTE(SUBSTITUTE(SUBSTITUTE(SUBSTITUTE(LOWER(Registro!$E765),"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",LEN(Registro!$E765))),({1,2,3,4,5,6,7,8,9,10,11,12,13,14,15,16,17,18,19,20,21,22,23,24,25,26,27,28,29,30}-1)*LEN(Registro!$E765)+1,LEN(Registro!$E765)))&amp;"x")-1)),--("0"&amp;MID(TRIM(MID(SUBSTITUTE(SUBSTITUTE(SUBSTITUTE(SUBSTITUTE(SUBSTITUTE(LOWER(Registro!$E765),"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",LEN(Registro!$E765))),({1,2,3,4,5,6,7,8,9,10,11,12,13,14,15,16,17,18,19,20,21,22,23,24,25,26,27,28,29,30}-1)*LEN(Registro!$E765)+1,LEN(Registro!$E765)))&amp;"x")+1,20))),"Revisar formato")))</f>
        <v/>
      </c>
      <c r="F765" s="11" t="str">
        <f>IF(Registro!$F765="","",N(Registro!$F765))</f>
        <v/>
      </c>
      <c r="G765" s="11" t="str">
        <f t="shared" si="34"/>
        <v/>
      </c>
      <c r="H765" s="10" t="str">
        <f>IF(Registro!$G765="","",IF(ISERROR(FIND("x",LOWER(Registro!$G765))),"-",IFERROR(SUMPRODUCT(--("0"&amp;LEFT(TRIM(MID(SUBSTITUTE(SUBSTITUTE(SUBSTITUTE(SUBSTITUTE(SUBSTITUTE(LOWER(Registro!$G765),"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",LEN(Registro!$G765))),({1,2,3,4,5,6,7,8,9,10,11,12,13,14,15,16,17,18,19,20,21,22,23,24,25,26,27,28,29,30}-1)*LEN(Registro!$G765)+1,LEN(Registro!$G765))),FIND("x",TRIM(MID(SUBSTITUTE(SUBSTITUTE(SUBSTITUTE(SUBSTITUTE(SUBSTITUTE(LOWER(Registro!$G765),"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",LEN(Registro!$G765))),({1,2,3,4,5,6,7,8,9,10,11,12,13,14,15,16,17,18,19,20,21,22,23,24,25,26,27,28,29,30}-1)*LEN(Registro!$G765)+1,LEN(Registro!$G765)))&amp;"x")-1))),"Revisar formato")))</f>
        <v/>
      </c>
      <c r="I765" s="11" t="str">
        <f>IF(Registro!$G765="","",IF(ISERROR(FIND("x",LOWER(Registro!$G765))),N(Registro!$H765),IFERROR(SUMPRODUCT(--("0"&amp;LEFT(TRIM(MID(SUBSTITUTE(SUBSTITUTE(SUBSTITUTE(SUBSTITUTE(SUBSTITUTE(LOWER(Registro!$G765),"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",LEN(Registro!$G765))),({1,2,3,4,5,6,7,8,9,10,11,12,13,14,15,16,17,18,19,20,21,22,23,24,25,26,27,28,29,30}-1)*LEN(Registro!$G765)+1,LEN(Registro!$G765))),FIND("x",TRIM(MID(SUBSTITUTE(SUBSTITUTE(SUBSTITUTE(SUBSTITUTE(SUBSTITUTE(LOWER(Registro!$G765),"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",LEN(Registro!$G765))),({1,2,3,4,5,6,7,8,9,10,11,12,13,14,15,16,17,18,19,20,21,22,23,24,25,26,27,28,29,30}-1)*LEN(Registro!$G765)+1,LEN(Registro!$G765)))&amp;"x")-1)),--("0"&amp;MID(TRIM(MID(SUBSTITUTE(SUBSTITUTE(SUBSTITUTE(SUBSTITUTE(SUBSTITUTE(LOWER(Registro!$G765),"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",LEN(Registro!$G765))),({1,2,3,4,5,6,7,8,9,10,11,12,13,14,15,16,17,18,19,20,21,22,23,24,25,26,27,28,29,30}-1)*LEN(Registro!$G765)+1,LEN(Registro!$G765))),FIND("x",TRIM(MID(SUBSTITUTE(SUBSTITUTE(SUBSTITUTE(SUBSTITUTE(SUBSTITUTE(LOWER(Registro!$G765),"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",LEN(Registro!$G765))),({1,2,3,4,5,6,7,8,9,10,11,12,13,14,15,16,17,18,19,20,21,22,23,24,25,26,27,28,29,30}-1)*LEN(Registro!$G765)+1,LEN(Registro!$G765)))&amp;"x")+1,20))),"Revisar formato")))</f>
        <v/>
      </c>
      <c r="J765" s="9" t="str">
        <f>IF(AND(Registro!$E765="",Registro!$G765=""),"",IF(NOT(AND(ISNUMBER(I765),ISNUMBER(Registro!$H765))),"",IF(I765&lt;Registro!$H765,"FALTA BOLETOS",IF(I765=Registro!$H765,"CONFORME","DIFERENCIA"))))</f>
        <v/>
      </c>
      <c r="K765" s="11" t="str">
        <f>IF(Registro!$I765="","",IFERROR(SUMPRODUCT(--("0"&amp;TRIM(RIGHT(SUBSTITUTE(TRIM(MID(SUBSTITUTE(SUBSTITUTE(Registro!$I765,";",CHAR(10)),CHAR(10),REPT(" ",LEN(Registro!$I765))),({1,2,3,4,5,6,7,8,9,10,11,12,13,14,15,16,17,18,19,20,21,22,23,24,25,26,27,28,29,30}-1)*LEN(Registro!$I765)+1,LEN(Registro!$I765)))," ",REPT(" ",50)),50)))),"Revisar formato"))</f>
        <v/>
      </c>
      <c r="L765" s="11" t="str">
        <f>IF(Registro!$J765="","",IFERROR(SUMPRODUCT(--("0"&amp;TRIM(RIGHT(SUBSTITUTE(TRIM(MID(SUBSTITUTE(SUBSTITUTE(Registro!$J765,";",CHAR(10)),CHAR(10),REPT(" ",LEN(Registro!$J765))),({1,2,3,4,5,6,7,8,9,10,11,12,13,14,15,16,17,18,19,20,21,22,23,24,25,26,27,28,29,30}-1)*LEN(Registro!$J765)+1,LEN(Registro!$J765)))," ",REPT(" ",50)),50)))),"Revisar formato"))</f>
        <v/>
      </c>
      <c r="M765" s="11" t="str">
        <f>IF(AND(Registro!$H765="",Registro!$I765=""),"",IF(AND(ISTEXT(K765),K765&lt;&gt;""),"Revisar formato",N(Registro!$H765)-N(K765)))</f>
        <v/>
      </c>
      <c r="N765" s="11" t="str">
        <f t="shared" si="35"/>
        <v/>
      </c>
      <c r="O765" s="15" t="str">
        <f>IF(AND(A765=Consulta!$B$3,C765=Consulta!$H$3),B765*10000+ROW(),"")</f>
        <v/>
      </c>
    </row>
    <row r="766" spans="1:15" x14ac:dyDescent="0.25">
      <c r="A766" s="9" t="str">
        <f>IF(Registro!$A766="","",Registro!$A766)</f>
        <v/>
      </c>
      <c r="B766" s="8" t="str">
        <f>IF(Registro!$B766="","",Registro!$B766)</f>
        <v/>
      </c>
      <c r="C766" s="14" t="str">
        <f t="shared" si="33"/>
        <v/>
      </c>
      <c r="D766" s="10" t="str">
        <f>IF(Registro!$E766="","",IF(ISERROR(FIND("x",LOWER(Registro!$E766))),"-",IFERROR(SUMPRODUCT(--("0"&amp;LEFT(TRIM(MID(SUBSTITUTE(SUBSTITUTE(SUBSTITUTE(SUBSTITUTE(SUBSTITUTE(LOWER(Registro!$E766),"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",LEN(Registro!$E766))),({1,2,3,4,5,6,7,8,9,10,11,12,13,14,15,16,17,18,19,20,21,22,23,24,25,26,27,28,29,30}-1)*LEN(Registro!$E766)+1,LEN(Registro!$E766)))&amp;"x")-1))),"Revisar formato")))</f>
        <v/>
      </c>
      <c r="E766" s="11" t="str">
        <f>IF(Registro!$E766="","",IF(ISERROR(FIND("x",LOWER(Registro!$E766))),"-",IFERROR(SUMPRODUCT(--("0"&amp;LEFT(TRIM(MID(SUBSTITUTE(SUBSTITUTE(SUBSTITUTE(SUBSTITUTE(SUBSTITUTE(LOWER(Registro!$E766),"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",LEN(Registro!$E766))),({1,2,3,4,5,6,7,8,9,10,11,12,13,14,15,16,17,18,19,20,21,22,23,24,25,26,27,28,29,30}-1)*LEN(Registro!$E766)+1,LEN(Registro!$E766)))&amp;"x")-1)),--("0"&amp;MID(TRIM(MID(SUBSTITUTE(SUBSTITUTE(SUBSTITUTE(SUBSTITUTE(SUBSTITUTE(LOWER(Registro!$E766),"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",LEN(Registro!$E766))),({1,2,3,4,5,6,7,8,9,10,11,12,13,14,15,16,17,18,19,20,21,22,23,24,25,26,27,28,29,30}-1)*LEN(Registro!$E766)+1,LEN(Registro!$E766)))&amp;"x")+1,20))),"Revisar formato")))</f>
        <v/>
      </c>
      <c r="F766" s="11" t="str">
        <f>IF(Registro!$F766="","",N(Registro!$F766))</f>
        <v/>
      </c>
      <c r="G766" s="11" t="str">
        <f t="shared" si="34"/>
        <v/>
      </c>
      <c r="H766" s="10" t="str">
        <f>IF(Registro!$G766="","",IF(ISERROR(FIND("x",LOWER(Registro!$G766))),"-",IFERROR(SUMPRODUCT(--("0"&amp;LEFT(TRIM(MID(SUBSTITUTE(SUBSTITUTE(SUBSTITUTE(SUBSTITUTE(SUBSTITUTE(LOWER(Registro!$G766),"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",LEN(Registro!$G766))),({1,2,3,4,5,6,7,8,9,10,11,12,13,14,15,16,17,18,19,20,21,22,23,24,25,26,27,28,29,30}-1)*LEN(Registro!$G766)+1,LEN(Registro!$G766))),FIND("x",TRIM(MID(SUBSTITUTE(SUBSTITUTE(SUBSTITUTE(SUBSTITUTE(SUBSTITUTE(LOWER(Registro!$G766),"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",LEN(Registro!$G766))),({1,2,3,4,5,6,7,8,9,10,11,12,13,14,15,16,17,18,19,20,21,22,23,24,25,26,27,28,29,30}-1)*LEN(Registro!$G766)+1,LEN(Registro!$G766)))&amp;"x")-1))),"Revisar formato")))</f>
        <v/>
      </c>
      <c r="I766" s="11" t="str">
        <f>IF(Registro!$G766="","",IF(ISERROR(FIND("x",LOWER(Registro!$G766))),N(Registro!$H766),IFERROR(SUMPRODUCT(--("0"&amp;LEFT(TRIM(MID(SUBSTITUTE(SUBSTITUTE(SUBSTITUTE(SUBSTITUTE(SUBSTITUTE(LOWER(Registro!$G766),"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",LEN(Registro!$G766))),({1,2,3,4,5,6,7,8,9,10,11,12,13,14,15,16,17,18,19,20,21,22,23,24,25,26,27,28,29,30}-1)*LEN(Registro!$G766)+1,LEN(Registro!$G766))),FIND("x",TRIM(MID(SUBSTITUTE(SUBSTITUTE(SUBSTITUTE(SUBSTITUTE(SUBSTITUTE(LOWER(Registro!$G766),"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",LEN(Registro!$G766))),({1,2,3,4,5,6,7,8,9,10,11,12,13,14,15,16,17,18,19,20,21,22,23,24,25,26,27,28,29,30}-1)*LEN(Registro!$G766)+1,LEN(Registro!$G766)))&amp;"x")-1)),--("0"&amp;MID(TRIM(MID(SUBSTITUTE(SUBSTITUTE(SUBSTITUTE(SUBSTITUTE(SUBSTITUTE(LOWER(Registro!$G766),"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",LEN(Registro!$G766))),({1,2,3,4,5,6,7,8,9,10,11,12,13,14,15,16,17,18,19,20,21,22,23,24,25,26,27,28,29,30}-1)*LEN(Registro!$G766)+1,LEN(Registro!$G766))),FIND("x",TRIM(MID(SUBSTITUTE(SUBSTITUTE(SUBSTITUTE(SUBSTITUTE(SUBSTITUTE(LOWER(Registro!$G766),"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",LEN(Registro!$G766))),({1,2,3,4,5,6,7,8,9,10,11,12,13,14,15,16,17,18,19,20,21,22,23,24,25,26,27,28,29,30}-1)*LEN(Registro!$G766)+1,LEN(Registro!$G766)))&amp;"x")+1,20))),"Revisar formato")))</f>
        <v/>
      </c>
      <c r="J766" s="9" t="str">
        <f>IF(AND(Registro!$E766="",Registro!$G766=""),"",IF(NOT(AND(ISNUMBER(I766),ISNUMBER(Registro!$H766))),"",IF(I766&lt;Registro!$H766,"FALTA BOLETOS",IF(I766=Registro!$H766,"CONFORME","DIFERENCIA"))))</f>
        <v/>
      </c>
      <c r="K766" s="11" t="str">
        <f>IF(Registro!$I766="","",IFERROR(SUMPRODUCT(--("0"&amp;TRIM(RIGHT(SUBSTITUTE(TRIM(MID(SUBSTITUTE(SUBSTITUTE(Registro!$I766,";",CHAR(10)),CHAR(10),REPT(" ",LEN(Registro!$I766))),({1,2,3,4,5,6,7,8,9,10,11,12,13,14,15,16,17,18,19,20,21,22,23,24,25,26,27,28,29,30}-1)*LEN(Registro!$I766)+1,LEN(Registro!$I766)))," ",REPT(" ",50)),50)))),"Revisar formato"))</f>
        <v/>
      </c>
      <c r="L766" s="11" t="str">
        <f>IF(Registro!$J766="","",IFERROR(SUMPRODUCT(--("0"&amp;TRIM(RIGHT(SUBSTITUTE(TRIM(MID(SUBSTITUTE(SUBSTITUTE(Registro!$J766,";",CHAR(10)),CHAR(10),REPT(" ",LEN(Registro!$J766))),({1,2,3,4,5,6,7,8,9,10,11,12,13,14,15,16,17,18,19,20,21,22,23,24,25,26,27,28,29,30}-1)*LEN(Registro!$J766)+1,LEN(Registro!$J766)))," ",REPT(" ",50)),50)))),"Revisar formato"))</f>
        <v/>
      </c>
      <c r="M766" s="11" t="str">
        <f>IF(AND(Registro!$H766="",Registro!$I766=""),"",IF(AND(ISTEXT(K766),K766&lt;&gt;""),"Revisar formato",N(Registro!$H766)-N(K766)))</f>
        <v/>
      </c>
      <c r="N766" s="11" t="str">
        <f t="shared" si="35"/>
        <v/>
      </c>
      <c r="O766" s="15" t="str">
        <f>IF(AND(A766=Consulta!$B$3,C766=Consulta!$H$3),B766*10000+ROW(),"")</f>
        <v/>
      </c>
    </row>
    <row r="767" spans="1:15" x14ac:dyDescent="0.25">
      <c r="A767" s="9" t="str">
        <f>IF(Registro!$A767="","",Registro!$A767)</f>
        <v/>
      </c>
      <c r="B767" s="8" t="str">
        <f>IF(Registro!$B767="","",Registro!$B767)</f>
        <v/>
      </c>
      <c r="C767" s="14" t="str">
        <f t="shared" si="33"/>
        <v/>
      </c>
      <c r="D767" s="10" t="str">
        <f>IF(Registro!$E767="","",IF(ISERROR(FIND("x",LOWER(Registro!$E767))),"-",IFERROR(SUMPRODUCT(--("0"&amp;LEFT(TRIM(MID(SUBSTITUTE(SUBSTITUTE(SUBSTITUTE(SUBSTITUTE(SUBSTITUTE(LOWER(Registro!$E767),"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",LEN(Registro!$E767))),({1,2,3,4,5,6,7,8,9,10,11,12,13,14,15,16,17,18,19,20,21,22,23,24,25,26,27,28,29,30}-1)*LEN(Registro!$E767)+1,LEN(Registro!$E767)))&amp;"x")-1))),"Revisar formato")))</f>
        <v/>
      </c>
      <c r="E767" s="11" t="str">
        <f>IF(Registro!$E767="","",IF(ISERROR(FIND("x",LOWER(Registro!$E767))),"-",IFERROR(SUMPRODUCT(--("0"&amp;LEFT(TRIM(MID(SUBSTITUTE(SUBSTITUTE(SUBSTITUTE(SUBSTITUTE(SUBSTITUTE(LOWER(Registro!$E767),"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",LEN(Registro!$E767))),({1,2,3,4,5,6,7,8,9,10,11,12,13,14,15,16,17,18,19,20,21,22,23,24,25,26,27,28,29,30}-1)*LEN(Registro!$E767)+1,LEN(Registro!$E767)))&amp;"x")-1)),--("0"&amp;MID(TRIM(MID(SUBSTITUTE(SUBSTITUTE(SUBSTITUTE(SUBSTITUTE(SUBSTITUTE(LOWER(Registro!$E767),"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",LEN(Registro!$E767))),({1,2,3,4,5,6,7,8,9,10,11,12,13,14,15,16,17,18,19,20,21,22,23,24,25,26,27,28,29,30}-1)*LEN(Registro!$E767)+1,LEN(Registro!$E767)))&amp;"x")+1,20))),"Revisar formato")))</f>
        <v/>
      </c>
      <c r="F767" s="11" t="str">
        <f>IF(Registro!$F767="","",N(Registro!$F767))</f>
        <v/>
      </c>
      <c r="G767" s="11" t="str">
        <f t="shared" si="34"/>
        <v/>
      </c>
      <c r="H767" s="10" t="str">
        <f>IF(Registro!$G767="","",IF(ISERROR(FIND("x",LOWER(Registro!$G767))),"-",IFERROR(SUMPRODUCT(--("0"&amp;LEFT(TRIM(MID(SUBSTITUTE(SUBSTITUTE(SUBSTITUTE(SUBSTITUTE(SUBSTITUTE(LOWER(Registro!$G767),"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",LEN(Registro!$G767))),({1,2,3,4,5,6,7,8,9,10,11,12,13,14,15,16,17,18,19,20,21,22,23,24,25,26,27,28,29,30}-1)*LEN(Registro!$G767)+1,LEN(Registro!$G767))),FIND("x",TRIM(MID(SUBSTITUTE(SUBSTITUTE(SUBSTITUTE(SUBSTITUTE(SUBSTITUTE(LOWER(Registro!$G767),"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",LEN(Registro!$G767))),({1,2,3,4,5,6,7,8,9,10,11,12,13,14,15,16,17,18,19,20,21,22,23,24,25,26,27,28,29,30}-1)*LEN(Registro!$G767)+1,LEN(Registro!$G767)))&amp;"x")-1))),"Revisar formato")))</f>
        <v/>
      </c>
      <c r="I767" s="11" t="str">
        <f>IF(Registro!$G767="","",IF(ISERROR(FIND("x",LOWER(Registro!$G767))),N(Registro!$H767),IFERROR(SUMPRODUCT(--("0"&amp;LEFT(TRIM(MID(SUBSTITUTE(SUBSTITUTE(SUBSTITUTE(SUBSTITUTE(SUBSTITUTE(LOWER(Registro!$G767),"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",LEN(Registro!$G767))),({1,2,3,4,5,6,7,8,9,10,11,12,13,14,15,16,17,18,19,20,21,22,23,24,25,26,27,28,29,30}-1)*LEN(Registro!$G767)+1,LEN(Registro!$G767))),FIND("x",TRIM(MID(SUBSTITUTE(SUBSTITUTE(SUBSTITUTE(SUBSTITUTE(SUBSTITUTE(LOWER(Registro!$G767),"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",LEN(Registro!$G767))),({1,2,3,4,5,6,7,8,9,10,11,12,13,14,15,16,17,18,19,20,21,22,23,24,25,26,27,28,29,30}-1)*LEN(Registro!$G767)+1,LEN(Registro!$G767)))&amp;"x")-1)),--("0"&amp;MID(TRIM(MID(SUBSTITUTE(SUBSTITUTE(SUBSTITUTE(SUBSTITUTE(SUBSTITUTE(LOWER(Registro!$G767),"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",LEN(Registro!$G767))),({1,2,3,4,5,6,7,8,9,10,11,12,13,14,15,16,17,18,19,20,21,22,23,24,25,26,27,28,29,30}-1)*LEN(Registro!$G767)+1,LEN(Registro!$G767))),FIND("x",TRIM(MID(SUBSTITUTE(SUBSTITUTE(SUBSTITUTE(SUBSTITUTE(SUBSTITUTE(LOWER(Registro!$G767),"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",LEN(Registro!$G767))),({1,2,3,4,5,6,7,8,9,10,11,12,13,14,15,16,17,18,19,20,21,22,23,24,25,26,27,28,29,30}-1)*LEN(Registro!$G767)+1,LEN(Registro!$G767)))&amp;"x")+1,20))),"Revisar formato")))</f>
        <v/>
      </c>
      <c r="J767" s="9" t="str">
        <f>IF(AND(Registro!$E767="",Registro!$G767=""),"",IF(NOT(AND(ISNUMBER(I767),ISNUMBER(Registro!$H767))),"",IF(I767&lt;Registro!$H767,"FALTA BOLETOS",IF(I767=Registro!$H767,"CONFORME","DIFERENCIA"))))</f>
        <v/>
      </c>
      <c r="K767" s="11" t="str">
        <f>IF(Registro!$I767="","",IFERROR(SUMPRODUCT(--("0"&amp;TRIM(RIGHT(SUBSTITUTE(TRIM(MID(SUBSTITUTE(SUBSTITUTE(Registro!$I767,";",CHAR(10)),CHAR(10),REPT(" ",LEN(Registro!$I767))),({1,2,3,4,5,6,7,8,9,10,11,12,13,14,15,16,17,18,19,20,21,22,23,24,25,26,27,28,29,30}-1)*LEN(Registro!$I767)+1,LEN(Registro!$I767)))," ",REPT(" ",50)),50)))),"Revisar formato"))</f>
        <v/>
      </c>
      <c r="L767" s="11" t="str">
        <f>IF(Registro!$J767="","",IFERROR(SUMPRODUCT(--("0"&amp;TRIM(RIGHT(SUBSTITUTE(TRIM(MID(SUBSTITUTE(SUBSTITUTE(Registro!$J767,";",CHAR(10)),CHAR(10),REPT(" ",LEN(Registro!$J767))),({1,2,3,4,5,6,7,8,9,10,11,12,13,14,15,16,17,18,19,20,21,22,23,24,25,26,27,28,29,30}-1)*LEN(Registro!$J767)+1,LEN(Registro!$J767)))," ",REPT(" ",50)),50)))),"Revisar formato"))</f>
        <v/>
      </c>
      <c r="M767" s="11" t="str">
        <f>IF(AND(Registro!$H767="",Registro!$I767=""),"",IF(AND(ISTEXT(K767),K767&lt;&gt;""),"Revisar formato",N(Registro!$H767)-N(K767)))</f>
        <v/>
      </c>
      <c r="N767" s="11" t="str">
        <f t="shared" si="35"/>
        <v/>
      </c>
      <c r="O767" s="15" t="str">
        <f>IF(AND(A767=Consulta!$B$3,C767=Consulta!$H$3),B767*10000+ROW(),"")</f>
        <v/>
      </c>
    </row>
    <row r="768" spans="1:15" x14ac:dyDescent="0.25">
      <c r="A768" s="9" t="str">
        <f>IF(Registro!$A768="","",Registro!$A768)</f>
        <v/>
      </c>
      <c r="B768" s="8" t="str">
        <f>IF(Registro!$B768="","",Registro!$B768)</f>
        <v/>
      </c>
      <c r="C768" s="14" t="str">
        <f t="shared" si="33"/>
        <v/>
      </c>
      <c r="D768" s="10" t="str">
        <f>IF(Registro!$E768="","",IF(ISERROR(FIND("x",LOWER(Registro!$E768))),"-",IFERROR(SUMPRODUCT(--("0"&amp;LEFT(TRIM(MID(SUBSTITUTE(SUBSTITUTE(SUBSTITUTE(SUBSTITUTE(SUBSTITUTE(LOWER(Registro!$E768),"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",LEN(Registro!$E768))),({1,2,3,4,5,6,7,8,9,10,11,12,13,14,15,16,17,18,19,20,21,22,23,24,25,26,27,28,29,30}-1)*LEN(Registro!$E768)+1,LEN(Registro!$E768)))&amp;"x")-1))),"Revisar formato")))</f>
        <v/>
      </c>
      <c r="E768" s="11" t="str">
        <f>IF(Registro!$E768="","",IF(ISERROR(FIND("x",LOWER(Registro!$E768))),"-",IFERROR(SUMPRODUCT(--("0"&amp;LEFT(TRIM(MID(SUBSTITUTE(SUBSTITUTE(SUBSTITUTE(SUBSTITUTE(SUBSTITUTE(LOWER(Registro!$E768),"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",LEN(Registro!$E768))),({1,2,3,4,5,6,7,8,9,10,11,12,13,14,15,16,17,18,19,20,21,22,23,24,25,26,27,28,29,30}-1)*LEN(Registro!$E768)+1,LEN(Registro!$E768)))&amp;"x")-1)),--("0"&amp;MID(TRIM(MID(SUBSTITUTE(SUBSTITUTE(SUBSTITUTE(SUBSTITUTE(SUBSTITUTE(LOWER(Registro!$E768),"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",LEN(Registro!$E768))),({1,2,3,4,5,6,7,8,9,10,11,12,13,14,15,16,17,18,19,20,21,22,23,24,25,26,27,28,29,30}-1)*LEN(Registro!$E768)+1,LEN(Registro!$E768)))&amp;"x")+1,20))),"Revisar formato")))</f>
        <v/>
      </c>
      <c r="F768" s="11" t="str">
        <f>IF(Registro!$F768="","",N(Registro!$F768))</f>
        <v/>
      </c>
      <c r="G768" s="11" t="str">
        <f t="shared" si="34"/>
        <v/>
      </c>
      <c r="H768" s="10" t="str">
        <f>IF(Registro!$G768="","",IF(ISERROR(FIND("x",LOWER(Registro!$G768))),"-",IFERROR(SUMPRODUCT(--("0"&amp;LEFT(TRIM(MID(SUBSTITUTE(SUBSTITUTE(SUBSTITUTE(SUBSTITUTE(SUBSTITUTE(LOWER(Registro!$G768),"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",LEN(Registro!$G768))),({1,2,3,4,5,6,7,8,9,10,11,12,13,14,15,16,17,18,19,20,21,22,23,24,25,26,27,28,29,30}-1)*LEN(Registro!$G768)+1,LEN(Registro!$G768))),FIND("x",TRIM(MID(SUBSTITUTE(SUBSTITUTE(SUBSTITUTE(SUBSTITUTE(SUBSTITUTE(LOWER(Registro!$G768),"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",LEN(Registro!$G768))),({1,2,3,4,5,6,7,8,9,10,11,12,13,14,15,16,17,18,19,20,21,22,23,24,25,26,27,28,29,30}-1)*LEN(Registro!$G768)+1,LEN(Registro!$G768)))&amp;"x")-1))),"Revisar formato")))</f>
        <v/>
      </c>
      <c r="I768" s="11" t="str">
        <f>IF(Registro!$G768="","",IF(ISERROR(FIND("x",LOWER(Registro!$G768))),N(Registro!$H768),IFERROR(SUMPRODUCT(--("0"&amp;LEFT(TRIM(MID(SUBSTITUTE(SUBSTITUTE(SUBSTITUTE(SUBSTITUTE(SUBSTITUTE(LOWER(Registro!$G768),"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",LEN(Registro!$G768))),({1,2,3,4,5,6,7,8,9,10,11,12,13,14,15,16,17,18,19,20,21,22,23,24,25,26,27,28,29,30}-1)*LEN(Registro!$G768)+1,LEN(Registro!$G768))),FIND("x",TRIM(MID(SUBSTITUTE(SUBSTITUTE(SUBSTITUTE(SUBSTITUTE(SUBSTITUTE(LOWER(Registro!$G768),"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",LEN(Registro!$G768))),({1,2,3,4,5,6,7,8,9,10,11,12,13,14,15,16,17,18,19,20,21,22,23,24,25,26,27,28,29,30}-1)*LEN(Registro!$G768)+1,LEN(Registro!$G768)))&amp;"x")-1)),--("0"&amp;MID(TRIM(MID(SUBSTITUTE(SUBSTITUTE(SUBSTITUTE(SUBSTITUTE(SUBSTITUTE(LOWER(Registro!$G768),"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",LEN(Registro!$G768))),({1,2,3,4,5,6,7,8,9,10,11,12,13,14,15,16,17,18,19,20,21,22,23,24,25,26,27,28,29,30}-1)*LEN(Registro!$G768)+1,LEN(Registro!$G768))),FIND("x",TRIM(MID(SUBSTITUTE(SUBSTITUTE(SUBSTITUTE(SUBSTITUTE(SUBSTITUTE(LOWER(Registro!$G768),"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",LEN(Registro!$G768))),({1,2,3,4,5,6,7,8,9,10,11,12,13,14,15,16,17,18,19,20,21,22,23,24,25,26,27,28,29,30}-1)*LEN(Registro!$G768)+1,LEN(Registro!$G768)))&amp;"x")+1,20))),"Revisar formato")))</f>
        <v/>
      </c>
      <c r="J768" s="9" t="str">
        <f>IF(AND(Registro!$E768="",Registro!$G768=""),"",IF(NOT(AND(ISNUMBER(I768),ISNUMBER(Registro!$H768))),"",IF(I768&lt;Registro!$H768,"FALTA BOLETOS",IF(I768=Registro!$H768,"CONFORME","DIFERENCIA"))))</f>
        <v/>
      </c>
      <c r="K768" s="11" t="str">
        <f>IF(Registro!$I768="","",IFERROR(SUMPRODUCT(--("0"&amp;TRIM(RIGHT(SUBSTITUTE(TRIM(MID(SUBSTITUTE(SUBSTITUTE(Registro!$I768,";",CHAR(10)),CHAR(10),REPT(" ",LEN(Registro!$I768))),({1,2,3,4,5,6,7,8,9,10,11,12,13,14,15,16,17,18,19,20,21,22,23,24,25,26,27,28,29,30}-1)*LEN(Registro!$I768)+1,LEN(Registro!$I768)))," ",REPT(" ",50)),50)))),"Revisar formato"))</f>
        <v/>
      </c>
      <c r="L768" s="11" t="str">
        <f>IF(Registro!$J768="","",IFERROR(SUMPRODUCT(--("0"&amp;TRIM(RIGHT(SUBSTITUTE(TRIM(MID(SUBSTITUTE(SUBSTITUTE(Registro!$J768,";",CHAR(10)),CHAR(10),REPT(" ",LEN(Registro!$J768))),({1,2,3,4,5,6,7,8,9,10,11,12,13,14,15,16,17,18,19,20,21,22,23,24,25,26,27,28,29,30}-1)*LEN(Registro!$J768)+1,LEN(Registro!$J768)))," ",REPT(" ",50)),50)))),"Revisar formato"))</f>
        <v/>
      </c>
      <c r="M768" s="11" t="str">
        <f>IF(AND(Registro!$H768="",Registro!$I768=""),"",IF(AND(ISTEXT(K768),K768&lt;&gt;""),"Revisar formato",N(Registro!$H768)-N(K768)))</f>
        <v/>
      </c>
      <c r="N768" s="11" t="str">
        <f t="shared" si="35"/>
        <v/>
      </c>
      <c r="O768" s="15" t="str">
        <f>IF(AND(A768=Consulta!$B$3,C768=Consulta!$H$3),B768*10000+ROW(),"")</f>
        <v/>
      </c>
    </row>
    <row r="769" spans="1:15" x14ac:dyDescent="0.25">
      <c r="A769" s="9" t="str">
        <f>IF(Registro!$A769="","",Registro!$A769)</f>
        <v/>
      </c>
      <c r="B769" s="8" t="str">
        <f>IF(Registro!$B769="","",Registro!$B769)</f>
        <v/>
      </c>
      <c r="C769" s="14" t="str">
        <f t="shared" si="33"/>
        <v/>
      </c>
      <c r="D769" s="10" t="str">
        <f>IF(Registro!$E769="","",IF(ISERROR(FIND("x",LOWER(Registro!$E769))),"-",IFERROR(SUMPRODUCT(--("0"&amp;LEFT(TRIM(MID(SUBSTITUTE(SUBSTITUTE(SUBSTITUTE(SUBSTITUTE(SUBSTITUTE(LOWER(Registro!$E769),"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",LEN(Registro!$E769))),({1,2,3,4,5,6,7,8,9,10,11,12,13,14,15,16,17,18,19,20,21,22,23,24,25,26,27,28,29,30}-1)*LEN(Registro!$E769)+1,LEN(Registro!$E769)))&amp;"x")-1))),"Revisar formato")))</f>
        <v/>
      </c>
      <c r="E769" s="11" t="str">
        <f>IF(Registro!$E769="","",IF(ISERROR(FIND("x",LOWER(Registro!$E769))),"-",IFERROR(SUMPRODUCT(--("0"&amp;LEFT(TRIM(MID(SUBSTITUTE(SUBSTITUTE(SUBSTITUTE(SUBSTITUTE(SUBSTITUTE(LOWER(Registro!$E769),"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",LEN(Registro!$E769))),({1,2,3,4,5,6,7,8,9,10,11,12,13,14,15,16,17,18,19,20,21,22,23,24,25,26,27,28,29,30}-1)*LEN(Registro!$E769)+1,LEN(Registro!$E769)))&amp;"x")-1)),--("0"&amp;MID(TRIM(MID(SUBSTITUTE(SUBSTITUTE(SUBSTITUTE(SUBSTITUTE(SUBSTITUTE(LOWER(Registro!$E769),"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",LEN(Registro!$E769))),({1,2,3,4,5,6,7,8,9,10,11,12,13,14,15,16,17,18,19,20,21,22,23,24,25,26,27,28,29,30}-1)*LEN(Registro!$E769)+1,LEN(Registro!$E769)))&amp;"x")+1,20))),"Revisar formato")))</f>
        <v/>
      </c>
      <c r="F769" s="11" t="str">
        <f>IF(Registro!$F769="","",N(Registro!$F769))</f>
        <v/>
      </c>
      <c r="G769" s="11" t="str">
        <f t="shared" si="34"/>
        <v/>
      </c>
      <c r="H769" s="10" t="str">
        <f>IF(Registro!$G769="","",IF(ISERROR(FIND("x",LOWER(Registro!$G769))),"-",IFERROR(SUMPRODUCT(--("0"&amp;LEFT(TRIM(MID(SUBSTITUTE(SUBSTITUTE(SUBSTITUTE(SUBSTITUTE(SUBSTITUTE(LOWER(Registro!$G769),"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",LEN(Registro!$G769))),({1,2,3,4,5,6,7,8,9,10,11,12,13,14,15,16,17,18,19,20,21,22,23,24,25,26,27,28,29,30}-1)*LEN(Registro!$G769)+1,LEN(Registro!$G769))),FIND("x",TRIM(MID(SUBSTITUTE(SUBSTITUTE(SUBSTITUTE(SUBSTITUTE(SUBSTITUTE(LOWER(Registro!$G769),"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",LEN(Registro!$G769))),({1,2,3,4,5,6,7,8,9,10,11,12,13,14,15,16,17,18,19,20,21,22,23,24,25,26,27,28,29,30}-1)*LEN(Registro!$G769)+1,LEN(Registro!$G769)))&amp;"x")-1))),"Revisar formato")))</f>
        <v/>
      </c>
      <c r="I769" s="11" t="str">
        <f>IF(Registro!$G769="","",IF(ISERROR(FIND("x",LOWER(Registro!$G769))),N(Registro!$H769),IFERROR(SUMPRODUCT(--("0"&amp;LEFT(TRIM(MID(SUBSTITUTE(SUBSTITUTE(SUBSTITUTE(SUBSTITUTE(SUBSTITUTE(LOWER(Registro!$G769),"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",LEN(Registro!$G769))),({1,2,3,4,5,6,7,8,9,10,11,12,13,14,15,16,17,18,19,20,21,22,23,24,25,26,27,28,29,30}-1)*LEN(Registro!$G769)+1,LEN(Registro!$G769))),FIND("x",TRIM(MID(SUBSTITUTE(SUBSTITUTE(SUBSTITUTE(SUBSTITUTE(SUBSTITUTE(LOWER(Registro!$G769),"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",LEN(Registro!$G769))),({1,2,3,4,5,6,7,8,9,10,11,12,13,14,15,16,17,18,19,20,21,22,23,24,25,26,27,28,29,30}-1)*LEN(Registro!$G769)+1,LEN(Registro!$G769)))&amp;"x")-1)),--("0"&amp;MID(TRIM(MID(SUBSTITUTE(SUBSTITUTE(SUBSTITUTE(SUBSTITUTE(SUBSTITUTE(LOWER(Registro!$G769),"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",LEN(Registro!$G769))),({1,2,3,4,5,6,7,8,9,10,11,12,13,14,15,16,17,18,19,20,21,22,23,24,25,26,27,28,29,30}-1)*LEN(Registro!$G769)+1,LEN(Registro!$G769))),FIND("x",TRIM(MID(SUBSTITUTE(SUBSTITUTE(SUBSTITUTE(SUBSTITUTE(SUBSTITUTE(LOWER(Registro!$G769),"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",LEN(Registro!$G769))),({1,2,3,4,5,6,7,8,9,10,11,12,13,14,15,16,17,18,19,20,21,22,23,24,25,26,27,28,29,30}-1)*LEN(Registro!$G769)+1,LEN(Registro!$G769)))&amp;"x")+1,20))),"Revisar formato")))</f>
        <v/>
      </c>
      <c r="J769" s="9" t="str">
        <f>IF(AND(Registro!$E769="",Registro!$G769=""),"",IF(NOT(AND(ISNUMBER(I769),ISNUMBER(Registro!$H769))),"",IF(I769&lt;Registro!$H769,"FALTA BOLETOS",IF(I769=Registro!$H769,"CONFORME","DIFERENCIA"))))</f>
        <v/>
      </c>
      <c r="K769" s="11" t="str">
        <f>IF(Registro!$I769="","",IFERROR(SUMPRODUCT(--("0"&amp;TRIM(RIGHT(SUBSTITUTE(TRIM(MID(SUBSTITUTE(SUBSTITUTE(Registro!$I769,";",CHAR(10)),CHAR(10),REPT(" ",LEN(Registro!$I769))),({1,2,3,4,5,6,7,8,9,10,11,12,13,14,15,16,17,18,19,20,21,22,23,24,25,26,27,28,29,30}-1)*LEN(Registro!$I769)+1,LEN(Registro!$I769)))," ",REPT(" ",50)),50)))),"Revisar formato"))</f>
        <v/>
      </c>
      <c r="L769" s="11" t="str">
        <f>IF(Registro!$J769="","",IFERROR(SUMPRODUCT(--("0"&amp;TRIM(RIGHT(SUBSTITUTE(TRIM(MID(SUBSTITUTE(SUBSTITUTE(Registro!$J769,";",CHAR(10)),CHAR(10),REPT(" ",LEN(Registro!$J769))),({1,2,3,4,5,6,7,8,9,10,11,12,13,14,15,16,17,18,19,20,21,22,23,24,25,26,27,28,29,30}-1)*LEN(Registro!$J769)+1,LEN(Registro!$J769)))," ",REPT(" ",50)),50)))),"Revisar formato"))</f>
        <v/>
      </c>
      <c r="M769" s="11" t="str">
        <f>IF(AND(Registro!$H769="",Registro!$I769=""),"",IF(AND(ISTEXT(K769),K769&lt;&gt;""),"Revisar formato",N(Registro!$H769)-N(K769)))</f>
        <v/>
      </c>
      <c r="N769" s="11" t="str">
        <f t="shared" si="35"/>
        <v/>
      </c>
      <c r="O769" s="15" t="str">
        <f>IF(AND(A769=Consulta!$B$3,C769=Consulta!$H$3),B769*10000+ROW(),"")</f>
        <v/>
      </c>
    </row>
    <row r="770" spans="1:15" x14ac:dyDescent="0.25">
      <c r="A770" s="9" t="str">
        <f>IF(Registro!$A770="","",Registro!$A770)</f>
        <v/>
      </c>
      <c r="B770" s="8" t="str">
        <f>IF(Registro!$B770="","",Registro!$B770)</f>
        <v/>
      </c>
      <c r="C770" s="14" t="str">
        <f t="shared" ref="C770:C833" si="36">IF(ISNUMBER(B770),YEAR(B770)*100+MONTH(B770),"")</f>
        <v/>
      </c>
      <c r="D770" s="10" t="str">
        <f>IF(Registro!$E770="","",IF(ISERROR(FIND("x",LOWER(Registro!$E770))),"-",IFERROR(SUMPRODUCT(--("0"&amp;LEFT(TRIM(MID(SUBSTITUTE(SUBSTITUTE(SUBSTITUTE(SUBSTITUTE(SUBSTITUTE(LOWER(Registro!$E770),"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",LEN(Registro!$E770))),({1,2,3,4,5,6,7,8,9,10,11,12,13,14,15,16,17,18,19,20,21,22,23,24,25,26,27,28,29,30}-1)*LEN(Registro!$E770)+1,LEN(Registro!$E770)))&amp;"x")-1))),"Revisar formato")))</f>
        <v/>
      </c>
      <c r="E770" s="11" t="str">
        <f>IF(Registro!$E770="","",IF(ISERROR(FIND("x",LOWER(Registro!$E770))),"-",IFERROR(SUMPRODUCT(--("0"&amp;LEFT(TRIM(MID(SUBSTITUTE(SUBSTITUTE(SUBSTITUTE(SUBSTITUTE(SUBSTITUTE(LOWER(Registro!$E770),"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",LEN(Registro!$E770))),({1,2,3,4,5,6,7,8,9,10,11,12,13,14,15,16,17,18,19,20,21,22,23,24,25,26,27,28,29,30}-1)*LEN(Registro!$E770)+1,LEN(Registro!$E770)))&amp;"x")-1)),--("0"&amp;MID(TRIM(MID(SUBSTITUTE(SUBSTITUTE(SUBSTITUTE(SUBSTITUTE(SUBSTITUTE(LOWER(Registro!$E770),"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",LEN(Registro!$E770))),({1,2,3,4,5,6,7,8,9,10,11,12,13,14,15,16,17,18,19,20,21,22,23,24,25,26,27,28,29,30}-1)*LEN(Registro!$E770)+1,LEN(Registro!$E770)))&amp;"x")+1,20))),"Revisar formato")))</f>
        <v/>
      </c>
      <c r="F770" s="11" t="str">
        <f>IF(Registro!$F770="","",N(Registro!$F770))</f>
        <v/>
      </c>
      <c r="G770" s="11" t="str">
        <f t="shared" ref="G770:G833" si="37">IF(AND(E770="",F770=""),"",IF(OR(E770="",ISNUMBER(E770)),N(E770)-N(F770),E770))</f>
        <v/>
      </c>
      <c r="H770" s="10" t="str">
        <f>IF(Registro!$G770="","",IF(ISERROR(FIND("x",LOWER(Registro!$G770))),"-",IFERROR(SUMPRODUCT(--("0"&amp;LEFT(TRIM(MID(SUBSTITUTE(SUBSTITUTE(SUBSTITUTE(SUBSTITUTE(SUBSTITUTE(LOWER(Registro!$G770),"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",LEN(Registro!$G770))),({1,2,3,4,5,6,7,8,9,10,11,12,13,14,15,16,17,18,19,20,21,22,23,24,25,26,27,28,29,30}-1)*LEN(Registro!$G770)+1,LEN(Registro!$G770))),FIND("x",TRIM(MID(SUBSTITUTE(SUBSTITUTE(SUBSTITUTE(SUBSTITUTE(SUBSTITUTE(LOWER(Registro!$G770),"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",LEN(Registro!$G770))),({1,2,3,4,5,6,7,8,9,10,11,12,13,14,15,16,17,18,19,20,21,22,23,24,25,26,27,28,29,30}-1)*LEN(Registro!$G770)+1,LEN(Registro!$G770)))&amp;"x")-1))),"Revisar formato")))</f>
        <v/>
      </c>
      <c r="I770" s="11" t="str">
        <f>IF(Registro!$G770="","",IF(ISERROR(FIND("x",LOWER(Registro!$G770))),N(Registro!$H770),IFERROR(SUMPRODUCT(--("0"&amp;LEFT(TRIM(MID(SUBSTITUTE(SUBSTITUTE(SUBSTITUTE(SUBSTITUTE(SUBSTITUTE(LOWER(Registro!$G770),"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",LEN(Registro!$G770))),({1,2,3,4,5,6,7,8,9,10,11,12,13,14,15,16,17,18,19,20,21,22,23,24,25,26,27,28,29,30}-1)*LEN(Registro!$G770)+1,LEN(Registro!$G770))),FIND("x",TRIM(MID(SUBSTITUTE(SUBSTITUTE(SUBSTITUTE(SUBSTITUTE(SUBSTITUTE(LOWER(Registro!$G770),"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",LEN(Registro!$G770))),({1,2,3,4,5,6,7,8,9,10,11,12,13,14,15,16,17,18,19,20,21,22,23,24,25,26,27,28,29,30}-1)*LEN(Registro!$G770)+1,LEN(Registro!$G770)))&amp;"x")-1)),--("0"&amp;MID(TRIM(MID(SUBSTITUTE(SUBSTITUTE(SUBSTITUTE(SUBSTITUTE(SUBSTITUTE(LOWER(Registro!$G770),"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",LEN(Registro!$G770))),({1,2,3,4,5,6,7,8,9,10,11,12,13,14,15,16,17,18,19,20,21,22,23,24,25,26,27,28,29,30}-1)*LEN(Registro!$G770)+1,LEN(Registro!$G770))),FIND("x",TRIM(MID(SUBSTITUTE(SUBSTITUTE(SUBSTITUTE(SUBSTITUTE(SUBSTITUTE(LOWER(Registro!$G770),"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",LEN(Registro!$G770))),({1,2,3,4,5,6,7,8,9,10,11,12,13,14,15,16,17,18,19,20,21,22,23,24,25,26,27,28,29,30}-1)*LEN(Registro!$G770)+1,LEN(Registro!$G770)))&amp;"x")+1,20))),"Revisar formato")))</f>
        <v/>
      </c>
      <c r="J770" s="9" t="str">
        <f>IF(AND(Registro!$E770="",Registro!$G770=""),"",IF(NOT(AND(ISNUMBER(I770),ISNUMBER(Registro!$H770))),"",IF(I770&lt;Registro!$H770,"FALTA BOLETOS",IF(I770=Registro!$H770,"CONFORME","DIFERENCIA"))))</f>
        <v/>
      </c>
      <c r="K770" s="11" t="str">
        <f>IF(Registro!$I770="","",IFERROR(SUMPRODUCT(--("0"&amp;TRIM(RIGHT(SUBSTITUTE(TRIM(MID(SUBSTITUTE(SUBSTITUTE(Registro!$I770,";",CHAR(10)),CHAR(10),REPT(" ",LEN(Registro!$I770))),({1,2,3,4,5,6,7,8,9,10,11,12,13,14,15,16,17,18,19,20,21,22,23,24,25,26,27,28,29,30}-1)*LEN(Registro!$I770)+1,LEN(Registro!$I770)))," ",REPT(" ",50)),50)))),"Revisar formato"))</f>
        <v/>
      </c>
      <c r="L770" s="11" t="str">
        <f>IF(Registro!$J770="","",IFERROR(SUMPRODUCT(--("0"&amp;TRIM(RIGHT(SUBSTITUTE(TRIM(MID(SUBSTITUTE(SUBSTITUTE(Registro!$J770,";",CHAR(10)),CHAR(10),REPT(" ",LEN(Registro!$J770))),({1,2,3,4,5,6,7,8,9,10,11,12,13,14,15,16,17,18,19,20,21,22,23,24,25,26,27,28,29,30}-1)*LEN(Registro!$J770)+1,LEN(Registro!$J770)))," ",REPT(" ",50)),50)))),"Revisar formato"))</f>
        <v/>
      </c>
      <c r="M770" s="11" t="str">
        <f>IF(AND(Registro!$H770="",Registro!$I770=""),"",IF(AND(ISTEXT(K770),K770&lt;&gt;""),"Revisar formato",N(Registro!$H770)-N(K770)))</f>
        <v/>
      </c>
      <c r="N770" s="11" t="str">
        <f t="shared" ref="N770:N833" si="38">IF(M770="","",IF(OR(M770="Revisar formato",AND(ISTEXT(L770),L770&lt;&gt;"")),"Revisar formato",M770-N(L770)))</f>
        <v/>
      </c>
      <c r="O770" s="15" t="str">
        <f>IF(AND(A770=Consulta!$B$3,C770=Consulta!$H$3),B770*10000+ROW(),"")</f>
        <v/>
      </c>
    </row>
    <row r="771" spans="1:15" x14ac:dyDescent="0.25">
      <c r="A771" s="9" t="str">
        <f>IF(Registro!$A771="","",Registro!$A771)</f>
        <v/>
      </c>
      <c r="B771" s="8" t="str">
        <f>IF(Registro!$B771="","",Registro!$B771)</f>
        <v/>
      </c>
      <c r="C771" s="14" t="str">
        <f t="shared" si="36"/>
        <v/>
      </c>
      <c r="D771" s="10" t="str">
        <f>IF(Registro!$E771="","",IF(ISERROR(FIND("x",LOWER(Registro!$E771))),"-",IFERROR(SUMPRODUCT(--("0"&amp;LEFT(TRIM(MID(SUBSTITUTE(SUBSTITUTE(SUBSTITUTE(SUBSTITUTE(SUBSTITUTE(LOWER(Registro!$E771),"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",LEN(Registro!$E771))),({1,2,3,4,5,6,7,8,9,10,11,12,13,14,15,16,17,18,19,20,21,22,23,24,25,26,27,28,29,30}-1)*LEN(Registro!$E771)+1,LEN(Registro!$E771)))&amp;"x")-1))),"Revisar formato")))</f>
        <v/>
      </c>
      <c r="E771" s="11" t="str">
        <f>IF(Registro!$E771="","",IF(ISERROR(FIND("x",LOWER(Registro!$E771))),"-",IFERROR(SUMPRODUCT(--("0"&amp;LEFT(TRIM(MID(SUBSTITUTE(SUBSTITUTE(SUBSTITUTE(SUBSTITUTE(SUBSTITUTE(LOWER(Registro!$E771),"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",LEN(Registro!$E771))),({1,2,3,4,5,6,7,8,9,10,11,12,13,14,15,16,17,18,19,20,21,22,23,24,25,26,27,28,29,30}-1)*LEN(Registro!$E771)+1,LEN(Registro!$E771)))&amp;"x")-1)),--("0"&amp;MID(TRIM(MID(SUBSTITUTE(SUBSTITUTE(SUBSTITUTE(SUBSTITUTE(SUBSTITUTE(LOWER(Registro!$E771),"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",LEN(Registro!$E771))),({1,2,3,4,5,6,7,8,9,10,11,12,13,14,15,16,17,18,19,20,21,22,23,24,25,26,27,28,29,30}-1)*LEN(Registro!$E771)+1,LEN(Registro!$E771)))&amp;"x")+1,20))),"Revisar formato")))</f>
        <v/>
      </c>
      <c r="F771" s="11" t="str">
        <f>IF(Registro!$F771="","",N(Registro!$F771))</f>
        <v/>
      </c>
      <c r="G771" s="11" t="str">
        <f t="shared" si="37"/>
        <v/>
      </c>
      <c r="H771" s="10" t="str">
        <f>IF(Registro!$G771="","",IF(ISERROR(FIND("x",LOWER(Registro!$G771))),"-",IFERROR(SUMPRODUCT(--("0"&amp;LEFT(TRIM(MID(SUBSTITUTE(SUBSTITUTE(SUBSTITUTE(SUBSTITUTE(SUBSTITUTE(LOWER(Registro!$G771),"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",LEN(Registro!$G771))),({1,2,3,4,5,6,7,8,9,10,11,12,13,14,15,16,17,18,19,20,21,22,23,24,25,26,27,28,29,30}-1)*LEN(Registro!$G771)+1,LEN(Registro!$G771))),FIND("x",TRIM(MID(SUBSTITUTE(SUBSTITUTE(SUBSTITUTE(SUBSTITUTE(SUBSTITUTE(LOWER(Registro!$G771),"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",LEN(Registro!$G771))),({1,2,3,4,5,6,7,8,9,10,11,12,13,14,15,16,17,18,19,20,21,22,23,24,25,26,27,28,29,30}-1)*LEN(Registro!$G771)+1,LEN(Registro!$G771)))&amp;"x")-1))),"Revisar formato")))</f>
        <v/>
      </c>
      <c r="I771" s="11" t="str">
        <f>IF(Registro!$G771="","",IF(ISERROR(FIND("x",LOWER(Registro!$G771))),N(Registro!$H771),IFERROR(SUMPRODUCT(--("0"&amp;LEFT(TRIM(MID(SUBSTITUTE(SUBSTITUTE(SUBSTITUTE(SUBSTITUTE(SUBSTITUTE(LOWER(Registro!$G771),"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",LEN(Registro!$G771))),({1,2,3,4,5,6,7,8,9,10,11,12,13,14,15,16,17,18,19,20,21,22,23,24,25,26,27,28,29,30}-1)*LEN(Registro!$G771)+1,LEN(Registro!$G771))),FIND("x",TRIM(MID(SUBSTITUTE(SUBSTITUTE(SUBSTITUTE(SUBSTITUTE(SUBSTITUTE(LOWER(Registro!$G771),"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",LEN(Registro!$G771))),({1,2,3,4,5,6,7,8,9,10,11,12,13,14,15,16,17,18,19,20,21,22,23,24,25,26,27,28,29,30}-1)*LEN(Registro!$G771)+1,LEN(Registro!$G771)))&amp;"x")-1)),--("0"&amp;MID(TRIM(MID(SUBSTITUTE(SUBSTITUTE(SUBSTITUTE(SUBSTITUTE(SUBSTITUTE(LOWER(Registro!$G771),"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",LEN(Registro!$G771))),({1,2,3,4,5,6,7,8,9,10,11,12,13,14,15,16,17,18,19,20,21,22,23,24,25,26,27,28,29,30}-1)*LEN(Registro!$G771)+1,LEN(Registro!$G771))),FIND("x",TRIM(MID(SUBSTITUTE(SUBSTITUTE(SUBSTITUTE(SUBSTITUTE(SUBSTITUTE(LOWER(Registro!$G771),"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",LEN(Registro!$G771))),({1,2,3,4,5,6,7,8,9,10,11,12,13,14,15,16,17,18,19,20,21,22,23,24,25,26,27,28,29,30}-1)*LEN(Registro!$G771)+1,LEN(Registro!$G771)))&amp;"x")+1,20))),"Revisar formato")))</f>
        <v/>
      </c>
      <c r="J771" s="9" t="str">
        <f>IF(AND(Registro!$E771="",Registro!$G771=""),"",IF(NOT(AND(ISNUMBER(I771),ISNUMBER(Registro!$H771))),"",IF(I771&lt;Registro!$H771,"FALTA BOLETOS",IF(I771=Registro!$H771,"CONFORME","DIFERENCIA"))))</f>
        <v/>
      </c>
      <c r="K771" s="11" t="str">
        <f>IF(Registro!$I771="","",IFERROR(SUMPRODUCT(--("0"&amp;TRIM(RIGHT(SUBSTITUTE(TRIM(MID(SUBSTITUTE(SUBSTITUTE(Registro!$I771,";",CHAR(10)),CHAR(10),REPT(" ",LEN(Registro!$I771))),({1,2,3,4,5,6,7,8,9,10,11,12,13,14,15,16,17,18,19,20,21,22,23,24,25,26,27,28,29,30}-1)*LEN(Registro!$I771)+1,LEN(Registro!$I771)))," ",REPT(" ",50)),50)))),"Revisar formato"))</f>
        <v/>
      </c>
      <c r="L771" s="11" t="str">
        <f>IF(Registro!$J771="","",IFERROR(SUMPRODUCT(--("0"&amp;TRIM(RIGHT(SUBSTITUTE(TRIM(MID(SUBSTITUTE(SUBSTITUTE(Registro!$J771,";",CHAR(10)),CHAR(10),REPT(" ",LEN(Registro!$J771))),({1,2,3,4,5,6,7,8,9,10,11,12,13,14,15,16,17,18,19,20,21,22,23,24,25,26,27,28,29,30}-1)*LEN(Registro!$J771)+1,LEN(Registro!$J771)))," ",REPT(" ",50)),50)))),"Revisar formato"))</f>
        <v/>
      </c>
      <c r="M771" s="11" t="str">
        <f>IF(AND(Registro!$H771="",Registro!$I771=""),"",IF(AND(ISTEXT(K771),K771&lt;&gt;""),"Revisar formato",N(Registro!$H771)-N(K771)))</f>
        <v/>
      </c>
      <c r="N771" s="11" t="str">
        <f t="shared" si="38"/>
        <v/>
      </c>
      <c r="O771" s="15" t="str">
        <f>IF(AND(A771=Consulta!$B$3,C771=Consulta!$H$3),B771*10000+ROW(),"")</f>
        <v/>
      </c>
    </row>
    <row r="772" spans="1:15" x14ac:dyDescent="0.25">
      <c r="A772" s="9" t="str">
        <f>IF(Registro!$A772="","",Registro!$A772)</f>
        <v/>
      </c>
      <c r="B772" s="8" t="str">
        <f>IF(Registro!$B772="","",Registro!$B772)</f>
        <v/>
      </c>
      <c r="C772" s="14" t="str">
        <f t="shared" si="36"/>
        <v/>
      </c>
      <c r="D772" s="10" t="str">
        <f>IF(Registro!$E772="","",IF(ISERROR(FIND("x",LOWER(Registro!$E772))),"-",IFERROR(SUMPRODUCT(--("0"&amp;LEFT(TRIM(MID(SUBSTITUTE(SUBSTITUTE(SUBSTITUTE(SUBSTITUTE(SUBSTITUTE(LOWER(Registro!$E772),"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",LEN(Registro!$E772))),({1,2,3,4,5,6,7,8,9,10,11,12,13,14,15,16,17,18,19,20,21,22,23,24,25,26,27,28,29,30}-1)*LEN(Registro!$E772)+1,LEN(Registro!$E772)))&amp;"x")-1))),"Revisar formato")))</f>
        <v/>
      </c>
      <c r="E772" s="11" t="str">
        <f>IF(Registro!$E772="","",IF(ISERROR(FIND("x",LOWER(Registro!$E772))),"-",IFERROR(SUMPRODUCT(--("0"&amp;LEFT(TRIM(MID(SUBSTITUTE(SUBSTITUTE(SUBSTITUTE(SUBSTITUTE(SUBSTITUTE(LOWER(Registro!$E772),"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",LEN(Registro!$E772))),({1,2,3,4,5,6,7,8,9,10,11,12,13,14,15,16,17,18,19,20,21,22,23,24,25,26,27,28,29,30}-1)*LEN(Registro!$E772)+1,LEN(Registro!$E772)))&amp;"x")-1)),--("0"&amp;MID(TRIM(MID(SUBSTITUTE(SUBSTITUTE(SUBSTITUTE(SUBSTITUTE(SUBSTITUTE(LOWER(Registro!$E772),"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",LEN(Registro!$E772))),({1,2,3,4,5,6,7,8,9,10,11,12,13,14,15,16,17,18,19,20,21,22,23,24,25,26,27,28,29,30}-1)*LEN(Registro!$E772)+1,LEN(Registro!$E772)))&amp;"x")+1,20))),"Revisar formato")))</f>
        <v/>
      </c>
      <c r="F772" s="11" t="str">
        <f>IF(Registro!$F772="","",N(Registro!$F772))</f>
        <v/>
      </c>
      <c r="G772" s="11" t="str">
        <f t="shared" si="37"/>
        <v/>
      </c>
      <c r="H772" s="10" t="str">
        <f>IF(Registro!$G772="","",IF(ISERROR(FIND("x",LOWER(Registro!$G772))),"-",IFERROR(SUMPRODUCT(--("0"&amp;LEFT(TRIM(MID(SUBSTITUTE(SUBSTITUTE(SUBSTITUTE(SUBSTITUTE(SUBSTITUTE(LOWER(Registro!$G772),"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",LEN(Registro!$G772))),({1,2,3,4,5,6,7,8,9,10,11,12,13,14,15,16,17,18,19,20,21,22,23,24,25,26,27,28,29,30}-1)*LEN(Registro!$G772)+1,LEN(Registro!$G772))),FIND("x",TRIM(MID(SUBSTITUTE(SUBSTITUTE(SUBSTITUTE(SUBSTITUTE(SUBSTITUTE(LOWER(Registro!$G772),"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",LEN(Registro!$G772))),({1,2,3,4,5,6,7,8,9,10,11,12,13,14,15,16,17,18,19,20,21,22,23,24,25,26,27,28,29,30}-1)*LEN(Registro!$G772)+1,LEN(Registro!$G772)))&amp;"x")-1))),"Revisar formato")))</f>
        <v/>
      </c>
      <c r="I772" s="11" t="str">
        <f>IF(Registro!$G772="","",IF(ISERROR(FIND("x",LOWER(Registro!$G772))),N(Registro!$H772),IFERROR(SUMPRODUCT(--("0"&amp;LEFT(TRIM(MID(SUBSTITUTE(SUBSTITUTE(SUBSTITUTE(SUBSTITUTE(SUBSTITUTE(LOWER(Registro!$G772),"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",LEN(Registro!$G772))),({1,2,3,4,5,6,7,8,9,10,11,12,13,14,15,16,17,18,19,20,21,22,23,24,25,26,27,28,29,30}-1)*LEN(Registro!$G772)+1,LEN(Registro!$G772))),FIND("x",TRIM(MID(SUBSTITUTE(SUBSTITUTE(SUBSTITUTE(SUBSTITUTE(SUBSTITUTE(LOWER(Registro!$G772),"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",LEN(Registro!$G772))),({1,2,3,4,5,6,7,8,9,10,11,12,13,14,15,16,17,18,19,20,21,22,23,24,25,26,27,28,29,30}-1)*LEN(Registro!$G772)+1,LEN(Registro!$G772)))&amp;"x")-1)),--("0"&amp;MID(TRIM(MID(SUBSTITUTE(SUBSTITUTE(SUBSTITUTE(SUBSTITUTE(SUBSTITUTE(LOWER(Registro!$G772),"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",LEN(Registro!$G772))),({1,2,3,4,5,6,7,8,9,10,11,12,13,14,15,16,17,18,19,20,21,22,23,24,25,26,27,28,29,30}-1)*LEN(Registro!$G772)+1,LEN(Registro!$G772))),FIND("x",TRIM(MID(SUBSTITUTE(SUBSTITUTE(SUBSTITUTE(SUBSTITUTE(SUBSTITUTE(LOWER(Registro!$G772),"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",LEN(Registro!$G772))),({1,2,3,4,5,6,7,8,9,10,11,12,13,14,15,16,17,18,19,20,21,22,23,24,25,26,27,28,29,30}-1)*LEN(Registro!$G772)+1,LEN(Registro!$G772)))&amp;"x")+1,20))),"Revisar formato")))</f>
        <v/>
      </c>
      <c r="J772" s="9" t="str">
        <f>IF(AND(Registro!$E772="",Registro!$G772=""),"",IF(NOT(AND(ISNUMBER(I772),ISNUMBER(Registro!$H772))),"",IF(I772&lt;Registro!$H772,"FALTA BOLETOS",IF(I772=Registro!$H772,"CONFORME","DIFERENCIA"))))</f>
        <v/>
      </c>
      <c r="K772" s="11" t="str">
        <f>IF(Registro!$I772="","",IFERROR(SUMPRODUCT(--("0"&amp;TRIM(RIGHT(SUBSTITUTE(TRIM(MID(SUBSTITUTE(SUBSTITUTE(Registro!$I772,";",CHAR(10)),CHAR(10),REPT(" ",LEN(Registro!$I772))),({1,2,3,4,5,6,7,8,9,10,11,12,13,14,15,16,17,18,19,20,21,22,23,24,25,26,27,28,29,30}-1)*LEN(Registro!$I772)+1,LEN(Registro!$I772)))," ",REPT(" ",50)),50)))),"Revisar formato"))</f>
        <v/>
      </c>
      <c r="L772" s="11" t="str">
        <f>IF(Registro!$J772="","",IFERROR(SUMPRODUCT(--("0"&amp;TRIM(RIGHT(SUBSTITUTE(TRIM(MID(SUBSTITUTE(SUBSTITUTE(Registro!$J772,";",CHAR(10)),CHAR(10),REPT(" ",LEN(Registro!$J772))),({1,2,3,4,5,6,7,8,9,10,11,12,13,14,15,16,17,18,19,20,21,22,23,24,25,26,27,28,29,30}-1)*LEN(Registro!$J772)+1,LEN(Registro!$J772)))," ",REPT(" ",50)),50)))),"Revisar formato"))</f>
        <v/>
      </c>
      <c r="M772" s="11" t="str">
        <f>IF(AND(Registro!$H772="",Registro!$I772=""),"",IF(AND(ISTEXT(K772),K772&lt;&gt;""),"Revisar formato",N(Registro!$H772)-N(K772)))</f>
        <v/>
      </c>
      <c r="N772" s="11" t="str">
        <f t="shared" si="38"/>
        <v/>
      </c>
      <c r="O772" s="15" t="str">
        <f>IF(AND(A772=Consulta!$B$3,C772=Consulta!$H$3),B772*10000+ROW(),"")</f>
        <v/>
      </c>
    </row>
    <row r="773" spans="1:15" x14ac:dyDescent="0.25">
      <c r="A773" s="9" t="str">
        <f>IF(Registro!$A773="","",Registro!$A773)</f>
        <v/>
      </c>
      <c r="B773" s="8" t="str">
        <f>IF(Registro!$B773="","",Registro!$B773)</f>
        <v/>
      </c>
      <c r="C773" s="14" t="str">
        <f t="shared" si="36"/>
        <v/>
      </c>
      <c r="D773" s="10" t="str">
        <f>IF(Registro!$E773="","",IF(ISERROR(FIND("x",LOWER(Registro!$E773))),"-",IFERROR(SUMPRODUCT(--("0"&amp;LEFT(TRIM(MID(SUBSTITUTE(SUBSTITUTE(SUBSTITUTE(SUBSTITUTE(SUBSTITUTE(LOWER(Registro!$E773),"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",LEN(Registro!$E773))),({1,2,3,4,5,6,7,8,9,10,11,12,13,14,15,16,17,18,19,20,21,22,23,24,25,26,27,28,29,30}-1)*LEN(Registro!$E773)+1,LEN(Registro!$E773)))&amp;"x")-1))),"Revisar formato")))</f>
        <v/>
      </c>
      <c r="E773" s="11" t="str">
        <f>IF(Registro!$E773="","",IF(ISERROR(FIND("x",LOWER(Registro!$E773))),"-",IFERROR(SUMPRODUCT(--("0"&amp;LEFT(TRIM(MID(SUBSTITUTE(SUBSTITUTE(SUBSTITUTE(SUBSTITUTE(SUBSTITUTE(LOWER(Registro!$E773),"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",LEN(Registro!$E773))),({1,2,3,4,5,6,7,8,9,10,11,12,13,14,15,16,17,18,19,20,21,22,23,24,25,26,27,28,29,30}-1)*LEN(Registro!$E773)+1,LEN(Registro!$E773)))&amp;"x")-1)),--("0"&amp;MID(TRIM(MID(SUBSTITUTE(SUBSTITUTE(SUBSTITUTE(SUBSTITUTE(SUBSTITUTE(LOWER(Registro!$E773),"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",LEN(Registro!$E773))),({1,2,3,4,5,6,7,8,9,10,11,12,13,14,15,16,17,18,19,20,21,22,23,24,25,26,27,28,29,30}-1)*LEN(Registro!$E773)+1,LEN(Registro!$E773)))&amp;"x")+1,20))),"Revisar formato")))</f>
        <v/>
      </c>
      <c r="F773" s="11" t="str">
        <f>IF(Registro!$F773="","",N(Registro!$F773))</f>
        <v/>
      </c>
      <c r="G773" s="11" t="str">
        <f t="shared" si="37"/>
        <v/>
      </c>
      <c r="H773" s="10" t="str">
        <f>IF(Registro!$G773="","",IF(ISERROR(FIND("x",LOWER(Registro!$G773))),"-",IFERROR(SUMPRODUCT(--("0"&amp;LEFT(TRIM(MID(SUBSTITUTE(SUBSTITUTE(SUBSTITUTE(SUBSTITUTE(SUBSTITUTE(LOWER(Registro!$G773),"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",LEN(Registro!$G773))),({1,2,3,4,5,6,7,8,9,10,11,12,13,14,15,16,17,18,19,20,21,22,23,24,25,26,27,28,29,30}-1)*LEN(Registro!$G773)+1,LEN(Registro!$G773))),FIND("x",TRIM(MID(SUBSTITUTE(SUBSTITUTE(SUBSTITUTE(SUBSTITUTE(SUBSTITUTE(LOWER(Registro!$G773),"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",LEN(Registro!$G773))),({1,2,3,4,5,6,7,8,9,10,11,12,13,14,15,16,17,18,19,20,21,22,23,24,25,26,27,28,29,30}-1)*LEN(Registro!$G773)+1,LEN(Registro!$G773)))&amp;"x")-1))),"Revisar formato")))</f>
        <v/>
      </c>
      <c r="I773" s="11" t="str">
        <f>IF(Registro!$G773="","",IF(ISERROR(FIND("x",LOWER(Registro!$G773))),N(Registro!$H773),IFERROR(SUMPRODUCT(--("0"&amp;LEFT(TRIM(MID(SUBSTITUTE(SUBSTITUTE(SUBSTITUTE(SUBSTITUTE(SUBSTITUTE(LOWER(Registro!$G773),"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",LEN(Registro!$G773))),({1,2,3,4,5,6,7,8,9,10,11,12,13,14,15,16,17,18,19,20,21,22,23,24,25,26,27,28,29,30}-1)*LEN(Registro!$G773)+1,LEN(Registro!$G773))),FIND("x",TRIM(MID(SUBSTITUTE(SUBSTITUTE(SUBSTITUTE(SUBSTITUTE(SUBSTITUTE(LOWER(Registro!$G773),"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",LEN(Registro!$G773))),({1,2,3,4,5,6,7,8,9,10,11,12,13,14,15,16,17,18,19,20,21,22,23,24,25,26,27,28,29,30}-1)*LEN(Registro!$G773)+1,LEN(Registro!$G773)))&amp;"x")-1)),--("0"&amp;MID(TRIM(MID(SUBSTITUTE(SUBSTITUTE(SUBSTITUTE(SUBSTITUTE(SUBSTITUTE(LOWER(Registro!$G773),"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",LEN(Registro!$G773))),({1,2,3,4,5,6,7,8,9,10,11,12,13,14,15,16,17,18,19,20,21,22,23,24,25,26,27,28,29,30}-1)*LEN(Registro!$G773)+1,LEN(Registro!$G773))),FIND("x",TRIM(MID(SUBSTITUTE(SUBSTITUTE(SUBSTITUTE(SUBSTITUTE(SUBSTITUTE(LOWER(Registro!$G773),"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",LEN(Registro!$G773))),({1,2,3,4,5,6,7,8,9,10,11,12,13,14,15,16,17,18,19,20,21,22,23,24,25,26,27,28,29,30}-1)*LEN(Registro!$G773)+1,LEN(Registro!$G773)))&amp;"x")+1,20))),"Revisar formato")))</f>
        <v/>
      </c>
      <c r="J773" s="9" t="str">
        <f>IF(AND(Registro!$E773="",Registro!$G773=""),"",IF(NOT(AND(ISNUMBER(I773),ISNUMBER(Registro!$H773))),"",IF(I773&lt;Registro!$H773,"FALTA BOLETOS",IF(I773=Registro!$H773,"CONFORME","DIFERENCIA"))))</f>
        <v/>
      </c>
      <c r="K773" s="11" t="str">
        <f>IF(Registro!$I773="","",IFERROR(SUMPRODUCT(--("0"&amp;TRIM(RIGHT(SUBSTITUTE(TRIM(MID(SUBSTITUTE(SUBSTITUTE(Registro!$I773,";",CHAR(10)),CHAR(10),REPT(" ",LEN(Registro!$I773))),({1,2,3,4,5,6,7,8,9,10,11,12,13,14,15,16,17,18,19,20,21,22,23,24,25,26,27,28,29,30}-1)*LEN(Registro!$I773)+1,LEN(Registro!$I773)))," ",REPT(" ",50)),50)))),"Revisar formato"))</f>
        <v/>
      </c>
      <c r="L773" s="11" t="str">
        <f>IF(Registro!$J773="","",IFERROR(SUMPRODUCT(--("0"&amp;TRIM(RIGHT(SUBSTITUTE(TRIM(MID(SUBSTITUTE(SUBSTITUTE(Registro!$J773,";",CHAR(10)),CHAR(10),REPT(" ",LEN(Registro!$J773))),({1,2,3,4,5,6,7,8,9,10,11,12,13,14,15,16,17,18,19,20,21,22,23,24,25,26,27,28,29,30}-1)*LEN(Registro!$J773)+1,LEN(Registro!$J773)))," ",REPT(" ",50)),50)))),"Revisar formato"))</f>
        <v/>
      </c>
      <c r="M773" s="11" t="str">
        <f>IF(AND(Registro!$H773="",Registro!$I773=""),"",IF(AND(ISTEXT(K773),K773&lt;&gt;""),"Revisar formato",N(Registro!$H773)-N(K773)))</f>
        <v/>
      </c>
      <c r="N773" s="11" t="str">
        <f t="shared" si="38"/>
        <v/>
      </c>
      <c r="O773" s="15" t="str">
        <f>IF(AND(A773=Consulta!$B$3,C773=Consulta!$H$3),B773*10000+ROW(),"")</f>
        <v/>
      </c>
    </row>
    <row r="774" spans="1:15" x14ac:dyDescent="0.25">
      <c r="A774" s="9" t="str">
        <f>IF(Registro!$A774="","",Registro!$A774)</f>
        <v/>
      </c>
      <c r="B774" s="8" t="str">
        <f>IF(Registro!$B774="","",Registro!$B774)</f>
        <v/>
      </c>
      <c r="C774" s="14" t="str">
        <f t="shared" si="36"/>
        <v/>
      </c>
      <c r="D774" s="10" t="str">
        <f>IF(Registro!$E774="","",IF(ISERROR(FIND("x",LOWER(Registro!$E774))),"-",IFERROR(SUMPRODUCT(--("0"&amp;LEFT(TRIM(MID(SUBSTITUTE(SUBSTITUTE(SUBSTITUTE(SUBSTITUTE(SUBSTITUTE(LOWER(Registro!$E774),"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",LEN(Registro!$E774))),({1,2,3,4,5,6,7,8,9,10,11,12,13,14,15,16,17,18,19,20,21,22,23,24,25,26,27,28,29,30}-1)*LEN(Registro!$E774)+1,LEN(Registro!$E774)))&amp;"x")-1))),"Revisar formato")))</f>
        <v/>
      </c>
      <c r="E774" s="11" t="str">
        <f>IF(Registro!$E774="","",IF(ISERROR(FIND("x",LOWER(Registro!$E774))),"-",IFERROR(SUMPRODUCT(--("0"&amp;LEFT(TRIM(MID(SUBSTITUTE(SUBSTITUTE(SUBSTITUTE(SUBSTITUTE(SUBSTITUTE(LOWER(Registro!$E774),"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",LEN(Registro!$E774))),({1,2,3,4,5,6,7,8,9,10,11,12,13,14,15,16,17,18,19,20,21,22,23,24,25,26,27,28,29,30}-1)*LEN(Registro!$E774)+1,LEN(Registro!$E774)))&amp;"x")-1)),--("0"&amp;MID(TRIM(MID(SUBSTITUTE(SUBSTITUTE(SUBSTITUTE(SUBSTITUTE(SUBSTITUTE(LOWER(Registro!$E774),"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",LEN(Registro!$E774))),({1,2,3,4,5,6,7,8,9,10,11,12,13,14,15,16,17,18,19,20,21,22,23,24,25,26,27,28,29,30}-1)*LEN(Registro!$E774)+1,LEN(Registro!$E774)))&amp;"x")+1,20))),"Revisar formato")))</f>
        <v/>
      </c>
      <c r="F774" s="11" t="str">
        <f>IF(Registro!$F774="","",N(Registro!$F774))</f>
        <v/>
      </c>
      <c r="G774" s="11" t="str">
        <f t="shared" si="37"/>
        <v/>
      </c>
      <c r="H774" s="10" t="str">
        <f>IF(Registro!$G774="","",IF(ISERROR(FIND("x",LOWER(Registro!$G774))),"-",IFERROR(SUMPRODUCT(--("0"&amp;LEFT(TRIM(MID(SUBSTITUTE(SUBSTITUTE(SUBSTITUTE(SUBSTITUTE(SUBSTITUTE(LOWER(Registro!$G774),"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",LEN(Registro!$G774))),({1,2,3,4,5,6,7,8,9,10,11,12,13,14,15,16,17,18,19,20,21,22,23,24,25,26,27,28,29,30}-1)*LEN(Registro!$G774)+1,LEN(Registro!$G774))),FIND("x",TRIM(MID(SUBSTITUTE(SUBSTITUTE(SUBSTITUTE(SUBSTITUTE(SUBSTITUTE(LOWER(Registro!$G774),"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",LEN(Registro!$G774))),({1,2,3,4,5,6,7,8,9,10,11,12,13,14,15,16,17,18,19,20,21,22,23,24,25,26,27,28,29,30}-1)*LEN(Registro!$G774)+1,LEN(Registro!$G774)))&amp;"x")-1))),"Revisar formato")))</f>
        <v/>
      </c>
      <c r="I774" s="11" t="str">
        <f>IF(Registro!$G774="","",IF(ISERROR(FIND("x",LOWER(Registro!$G774))),N(Registro!$H774),IFERROR(SUMPRODUCT(--("0"&amp;LEFT(TRIM(MID(SUBSTITUTE(SUBSTITUTE(SUBSTITUTE(SUBSTITUTE(SUBSTITUTE(LOWER(Registro!$G774),"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",LEN(Registro!$G774))),({1,2,3,4,5,6,7,8,9,10,11,12,13,14,15,16,17,18,19,20,21,22,23,24,25,26,27,28,29,30}-1)*LEN(Registro!$G774)+1,LEN(Registro!$G774))),FIND("x",TRIM(MID(SUBSTITUTE(SUBSTITUTE(SUBSTITUTE(SUBSTITUTE(SUBSTITUTE(LOWER(Registro!$G774),"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",LEN(Registro!$G774))),({1,2,3,4,5,6,7,8,9,10,11,12,13,14,15,16,17,18,19,20,21,22,23,24,25,26,27,28,29,30}-1)*LEN(Registro!$G774)+1,LEN(Registro!$G774)))&amp;"x")-1)),--("0"&amp;MID(TRIM(MID(SUBSTITUTE(SUBSTITUTE(SUBSTITUTE(SUBSTITUTE(SUBSTITUTE(LOWER(Registro!$G774),"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",LEN(Registro!$G774))),({1,2,3,4,5,6,7,8,9,10,11,12,13,14,15,16,17,18,19,20,21,22,23,24,25,26,27,28,29,30}-1)*LEN(Registro!$G774)+1,LEN(Registro!$G774))),FIND("x",TRIM(MID(SUBSTITUTE(SUBSTITUTE(SUBSTITUTE(SUBSTITUTE(SUBSTITUTE(LOWER(Registro!$G774),"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",LEN(Registro!$G774))),({1,2,3,4,5,6,7,8,9,10,11,12,13,14,15,16,17,18,19,20,21,22,23,24,25,26,27,28,29,30}-1)*LEN(Registro!$G774)+1,LEN(Registro!$G774)))&amp;"x")+1,20))),"Revisar formato")))</f>
        <v/>
      </c>
      <c r="J774" s="9" t="str">
        <f>IF(AND(Registro!$E774="",Registro!$G774=""),"",IF(NOT(AND(ISNUMBER(I774),ISNUMBER(Registro!$H774))),"",IF(I774&lt;Registro!$H774,"FALTA BOLETOS",IF(I774=Registro!$H774,"CONFORME","DIFERENCIA"))))</f>
        <v/>
      </c>
      <c r="K774" s="11" t="str">
        <f>IF(Registro!$I774="","",IFERROR(SUMPRODUCT(--("0"&amp;TRIM(RIGHT(SUBSTITUTE(TRIM(MID(SUBSTITUTE(SUBSTITUTE(Registro!$I774,";",CHAR(10)),CHAR(10),REPT(" ",LEN(Registro!$I774))),({1,2,3,4,5,6,7,8,9,10,11,12,13,14,15,16,17,18,19,20,21,22,23,24,25,26,27,28,29,30}-1)*LEN(Registro!$I774)+1,LEN(Registro!$I774)))," ",REPT(" ",50)),50)))),"Revisar formato"))</f>
        <v/>
      </c>
      <c r="L774" s="11" t="str">
        <f>IF(Registro!$J774="","",IFERROR(SUMPRODUCT(--("0"&amp;TRIM(RIGHT(SUBSTITUTE(TRIM(MID(SUBSTITUTE(SUBSTITUTE(Registro!$J774,";",CHAR(10)),CHAR(10),REPT(" ",LEN(Registro!$J774))),({1,2,3,4,5,6,7,8,9,10,11,12,13,14,15,16,17,18,19,20,21,22,23,24,25,26,27,28,29,30}-1)*LEN(Registro!$J774)+1,LEN(Registro!$J774)))," ",REPT(" ",50)),50)))),"Revisar formato"))</f>
        <v/>
      </c>
      <c r="M774" s="11" t="str">
        <f>IF(AND(Registro!$H774="",Registro!$I774=""),"",IF(AND(ISTEXT(K774),K774&lt;&gt;""),"Revisar formato",N(Registro!$H774)-N(K774)))</f>
        <v/>
      </c>
      <c r="N774" s="11" t="str">
        <f t="shared" si="38"/>
        <v/>
      </c>
      <c r="O774" s="15" t="str">
        <f>IF(AND(A774=Consulta!$B$3,C774=Consulta!$H$3),B774*10000+ROW(),"")</f>
        <v/>
      </c>
    </row>
    <row r="775" spans="1:15" x14ac:dyDescent="0.25">
      <c r="A775" s="9" t="str">
        <f>IF(Registro!$A775="","",Registro!$A775)</f>
        <v/>
      </c>
      <c r="B775" s="8" t="str">
        <f>IF(Registro!$B775="","",Registro!$B775)</f>
        <v/>
      </c>
      <c r="C775" s="14" t="str">
        <f t="shared" si="36"/>
        <v/>
      </c>
      <c r="D775" s="10" t="str">
        <f>IF(Registro!$E775="","",IF(ISERROR(FIND("x",LOWER(Registro!$E775))),"-",IFERROR(SUMPRODUCT(--("0"&amp;LEFT(TRIM(MID(SUBSTITUTE(SUBSTITUTE(SUBSTITUTE(SUBSTITUTE(SUBSTITUTE(LOWER(Registro!$E775),"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",LEN(Registro!$E775))),({1,2,3,4,5,6,7,8,9,10,11,12,13,14,15,16,17,18,19,20,21,22,23,24,25,26,27,28,29,30}-1)*LEN(Registro!$E775)+1,LEN(Registro!$E775)))&amp;"x")-1))),"Revisar formato")))</f>
        <v/>
      </c>
      <c r="E775" s="11" t="str">
        <f>IF(Registro!$E775="","",IF(ISERROR(FIND("x",LOWER(Registro!$E775))),"-",IFERROR(SUMPRODUCT(--("0"&amp;LEFT(TRIM(MID(SUBSTITUTE(SUBSTITUTE(SUBSTITUTE(SUBSTITUTE(SUBSTITUTE(LOWER(Registro!$E775),"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",LEN(Registro!$E775))),({1,2,3,4,5,6,7,8,9,10,11,12,13,14,15,16,17,18,19,20,21,22,23,24,25,26,27,28,29,30}-1)*LEN(Registro!$E775)+1,LEN(Registro!$E775)))&amp;"x")-1)),--("0"&amp;MID(TRIM(MID(SUBSTITUTE(SUBSTITUTE(SUBSTITUTE(SUBSTITUTE(SUBSTITUTE(LOWER(Registro!$E775),"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",LEN(Registro!$E775))),({1,2,3,4,5,6,7,8,9,10,11,12,13,14,15,16,17,18,19,20,21,22,23,24,25,26,27,28,29,30}-1)*LEN(Registro!$E775)+1,LEN(Registro!$E775)))&amp;"x")+1,20))),"Revisar formato")))</f>
        <v/>
      </c>
      <c r="F775" s="11" t="str">
        <f>IF(Registro!$F775="","",N(Registro!$F775))</f>
        <v/>
      </c>
      <c r="G775" s="11" t="str">
        <f t="shared" si="37"/>
        <v/>
      </c>
      <c r="H775" s="10" t="str">
        <f>IF(Registro!$G775="","",IF(ISERROR(FIND("x",LOWER(Registro!$G775))),"-",IFERROR(SUMPRODUCT(--("0"&amp;LEFT(TRIM(MID(SUBSTITUTE(SUBSTITUTE(SUBSTITUTE(SUBSTITUTE(SUBSTITUTE(LOWER(Registro!$G775),"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",LEN(Registro!$G775))),({1,2,3,4,5,6,7,8,9,10,11,12,13,14,15,16,17,18,19,20,21,22,23,24,25,26,27,28,29,30}-1)*LEN(Registro!$G775)+1,LEN(Registro!$G775))),FIND("x",TRIM(MID(SUBSTITUTE(SUBSTITUTE(SUBSTITUTE(SUBSTITUTE(SUBSTITUTE(LOWER(Registro!$G775),"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",LEN(Registro!$G775))),({1,2,3,4,5,6,7,8,9,10,11,12,13,14,15,16,17,18,19,20,21,22,23,24,25,26,27,28,29,30}-1)*LEN(Registro!$G775)+1,LEN(Registro!$G775)))&amp;"x")-1))),"Revisar formato")))</f>
        <v/>
      </c>
      <c r="I775" s="11" t="str">
        <f>IF(Registro!$G775="","",IF(ISERROR(FIND("x",LOWER(Registro!$G775))),N(Registro!$H775),IFERROR(SUMPRODUCT(--("0"&amp;LEFT(TRIM(MID(SUBSTITUTE(SUBSTITUTE(SUBSTITUTE(SUBSTITUTE(SUBSTITUTE(LOWER(Registro!$G775),"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",LEN(Registro!$G775))),({1,2,3,4,5,6,7,8,9,10,11,12,13,14,15,16,17,18,19,20,21,22,23,24,25,26,27,28,29,30}-1)*LEN(Registro!$G775)+1,LEN(Registro!$G775))),FIND("x",TRIM(MID(SUBSTITUTE(SUBSTITUTE(SUBSTITUTE(SUBSTITUTE(SUBSTITUTE(LOWER(Registro!$G775),"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",LEN(Registro!$G775))),({1,2,3,4,5,6,7,8,9,10,11,12,13,14,15,16,17,18,19,20,21,22,23,24,25,26,27,28,29,30}-1)*LEN(Registro!$G775)+1,LEN(Registro!$G775)))&amp;"x")-1)),--("0"&amp;MID(TRIM(MID(SUBSTITUTE(SUBSTITUTE(SUBSTITUTE(SUBSTITUTE(SUBSTITUTE(LOWER(Registro!$G775),"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",LEN(Registro!$G775))),({1,2,3,4,5,6,7,8,9,10,11,12,13,14,15,16,17,18,19,20,21,22,23,24,25,26,27,28,29,30}-1)*LEN(Registro!$G775)+1,LEN(Registro!$G775))),FIND("x",TRIM(MID(SUBSTITUTE(SUBSTITUTE(SUBSTITUTE(SUBSTITUTE(SUBSTITUTE(LOWER(Registro!$G775),"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",LEN(Registro!$G775))),({1,2,3,4,5,6,7,8,9,10,11,12,13,14,15,16,17,18,19,20,21,22,23,24,25,26,27,28,29,30}-1)*LEN(Registro!$G775)+1,LEN(Registro!$G775)))&amp;"x")+1,20))),"Revisar formato")))</f>
        <v/>
      </c>
      <c r="J775" s="9" t="str">
        <f>IF(AND(Registro!$E775="",Registro!$G775=""),"",IF(NOT(AND(ISNUMBER(I775),ISNUMBER(Registro!$H775))),"",IF(I775&lt;Registro!$H775,"FALTA BOLETOS",IF(I775=Registro!$H775,"CONFORME","DIFERENCIA"))))</f>
        <v/>
      </c>
      <c r="K775" s="11" t="str">
        <f>IF(Registro!$I775="","",IFERROR(SUMPRODUCT(--("0"&amp;TRIM(RIGHT(SUBSTITUTE(TRIM(MID(SUBSTITUTE(SUBSTITUTE(Registro!$I775,";",CHAR(10)),CHAR(10),REPT(" ",LEN(Registro!$I775))),({1,2,3,4,5,6,7,8,9,10,11,12,13,14,15,16,17,18,19,20,21,22,23,24,25,26,27,28,29,30}-1)*LEN(Registro!$I775)+1,LEN(Registro!$I775)))," ",REPT(" ",50)),50)))),"Revisar formato"))</f>
        <v/>
      </c>
      <c r="L775" s="11" t="str">
        <f>IF(Registro!$J775="","",IFERROR(SUMPRODUCT(--("0"&amp;TRIM(RIGHT(SUBSTITUTE(TRIM(MID(SUBSTITUTE(SUBSTITUTE(Registro!$J775,";",CHAR(10)),CHAR(10),REPT(" ",LEN(Registro!$J775))),({1,2,3,4,5,6,7,8,9,10,11,12,13,14,15,16,17,18,19,20,21,22,23,24,25,26,27,28,29,30}-1)*LEN(Registro!$J775)+1,LEN(Registro!$J775)))," ",REPT(" ",50)),50)))),"Revisar formato"))</f>
        <v/>
      </c>
      <c r="M775" s="11" t="str">
        <f>IF(AND(Registro!$H775="",Registro!$I775=""),"",IF(AND(ISTEXT(K775),K775&lt;&gt;""),"Revisar formato",N(Registro!$H775)-N(K775)))</f>
        <v/>
      </c>
      <c r="N775" s="11" t="str">
        <f t="shared" si="38"/>
        <v/>
      </c>
      <c r="O775" s="15" t="str">
        <f>IF(AND(A775=Consulta!$B$3,C775=Consulta!$H$3),B775*10000+ROW(),"")</f>
        <v/>
      </c>
    </row>
    <row r="776" spans="1:15" x14ac:dyDescent="0.25">
      <c r="A776" s="9" t="str">
        <f>IF(Registro!$A776="","",Registro!$A776)</f>
        <v/>
      </c>
      <c r="B776" s="8" t="str">
        <f>IF(Registro!$B776="","",Registro!$B776)</f>
        <v/>
      </c>
      <c r="C776" s="14" t="str">
        <f t="shared" si="36"/>
        <v/>
      </c>
      <c r="D776" s="10" t="str">
        <f>IF(Registro!$E776="","",IF(ISERROR(FIND("x",LOWER(Registro!$E776))),"-",IFERROR(SUMPRODUCT(--("0"&amp;LEFT(TRIM(MID(SUBSTITUTE(SUBSTITUTE(SUBSTITUTE(SUBSTITUTE(SUBSTITUTE(LOWER(Registro!$E776),"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",LEN(Registro!$E776))),({1,2,3,4,5,6,7,8,9,10,11,12,13,14,15,16,17,18,19,20,21,22,23,24,25,26,27,28,29,30}-1)*LEN(Registro!$E776)+1,LEN(Registro!$E776)))&amp;"x")-1))),"Revisar formato")))</f>
        <v/>
      </c>
      <c r="E776" s="11" t="str">
        <f>IF(Registro!$E776="","",IF(ISERROR(FIND("x",LOWER(Registro!$E776))),"-",IFERROR(SUMPRODUCT(--("0"&amp;LEFT(TRIM(MID(SUBSTITUTE(SUBSTITUTE(SUBSTITUTE(SUBSTITUTE(SUBSTITUTE(LOWER(Registro!$E776),"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",LEN(Registro!$E776))),({1,2,3,4,5,6,7,8,9,10,11,12,13,14,15,16,17,18,19,20,21,22,23,24,25,26,27,28,29,30}-1)*LEN(Registro!$E776)+1,LEN(Registro!$E776)))&amp;"x")-1)),--("0"&amp;MID(TRIM(MID(SUBSTITUTE(SUBSTITUTE(SUBSTITUTE(SUBSTITUTE(SUBSTITUTE(LOWER(Registro!$E776),"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",LEN(Registro!$E776))),({1,2,3,4,5,6,7,8,9,10,11,12,13,14,15,16,17,18,19,20,21,22,23,24,25,26,27,28,29,30}-1)*LEN(Registro!$E776)+1,LEN(Registro!$E776)))&amp;"x")+1,20))),"Revisar formato")))</f>
        <v/>
      </c>
      <c r="F776" s="11" t="str">
        <f>IF(Registro!$F776="","",N(Registro!$F776))</f>
        <v/>
      </c>
      <c r="G776" s="11" t="str">
        <f t="shared" si="37"/>
        <v/>
      </c>
      <c r="H776" s="10" t="str">
        <f>IF(Registro!$G776="","",IF(ISERROR(FIND("x",LOWER(Registro!$G776))),"-",IFERROR(SUMPRODUCT(--("0"&amp;LEFT(TRIM(MID(SUBSTITUTE(SUBSTITUTE(SUBSTITUTE(SUBSTITUTE(SUBSTITUTE(LOWER(Registro!$G776),"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",LEN(Registro!$G776))),({1,2,3,4,5,6,7,8,9,10,11,12,13,14,15,16,17,18,19,20,21,22,23,24,25,26,27,28,29,30}-1)*LEN(Registro!$G776)+1,LEN(Registro!$G776))),FIND("x",TRIM(MID(SUBSTITUTE(SUBSTITUTE(SUBSTITUTE(SUBSTITUTE(SUBSTITUTE(LOWER(Registro!$G776),"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",LEN(Registro!$G776))),({1,2,3,4,5,6,7,8,9,10,11,12,13,14,15,16,17,18,19,20,21,22,23,24,25,26,27,28,29,30}-1)*LEN(Registro!$G776)+1,LEN(Registro!$G776)))&amp;"x")-1))),"Revisar formato")))</f>
        <v/>
      </c>
      <c r="I776" s="11" t="str">
        <f>IF(Registro!$G776="","",IF(ISERROR(FIND("x",LOWER(Registro!$G776))),N(Registro!$H776),IFERROR(SUMPRODUCT(--("0"&amp;LEFT(TRIM(MID(SUBSTITUTE(SUBSTITUTE(SUBSTITUTE(SUBSTITUTE(SUBSTITUTE(LOWER(Registro!$G776),"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",LEN(Registro!$G776))),({1,2,3,4,5,6,7,8,9,10,11,12,13,14,15,16,17,18,19,20,21,22,23,24,25,26,27,28,29,30}-1)*LEN(Registro!$G776)+1,LEN(Registro!$G776))),FIND("x",TRIM(MID(SUBSTITUTE(SUBSTITUTE(SUBSTITUTE(SUBSTITUTE(SUBSTITUTE(LOWER(Registro!$G776),"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",LEN(Registro!$G776))),({1,2,3,4,5,6,7,8,9,10,11,12,13,14,15,16,17,18,19,20,21,22,23,24,25,26,27,28,29,30}-1)*LEN(Registro!$G776)+1,LEN(Registro!$G776)))&amp;"x")-1)),--("0"&amp;MID(TRIM(MID(SUBSTITUTE(SUBSTITUTE(SUBSTITUTE(SUBSTITUTE(SUBSTITUTE(LOWER(Registro!$G776),"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",LEN(Registro!$G776))),({1,2,3,4,5,6,7,8,9,10,11,12,13,14,15,16,17,18,19,20,21,22,23,24,25,26,27,28,29,30}-1)*LEN(Registro!$G776)+1,LEN(Registro!$G776))),FIND("x",TRIM(MID(SUBSTITUTE(SUBSTITUTE(SUBSTITUTE(SUBSTITUTE(SUBSTITUTE(LOWER(Registro!$G776),"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",LEN(Registro!$G776))),({1,2,3,4,5,6,7,8,9,10,11,12,13,14,15,16,17,18,19,20,21,22,23,24,25,26,27,28,29,30}-1)*LEN(Registro!$G776)+1,LEN(Registro!$G776)))&amp;"x")+1,20))),"Revisar formato")))</f>
        <v/>
      </c>
      <c r="J776" s="9" t="str">
        <f>IF(AND(Registro!$E776="",Registro!$G776=""),"",IF(NOT(AND(ISNUMBER(I776),ISNUMBER(Registro!$H776))),"",IF(I776&lt;Registro!$H776,"FALTA BOLETOS",IF(I776=Registro!$H776,"CONFORME","DIFERENCIA"))))</f>
        <v/>
      </c>
      <c r="K776" s="11" t="str">
        <f>IF(Registro!$I776="","",IFERROR(SUMPRODUCT(--("0"&amp;TRIM(RIGHT(SUBSTITUTE(TRIM(MID(SUBSTITUTE(SUBSTITUTE(Registro!$I776,";",CHAR(10)),CHAR(10),REPT(" ",LEN(Registro!$I776))),({1,2,3,4,5,6,7,8,9,10,11,12,13,14,15,16,17,18,19,20,21,22,23,24,25,26,27,28,29,30}-1)*LEN(Registro!$I776)+1,LEN(Registro!$I776)))," ",REPT(" ",50)),50)))),"Revisar formato"))</f>
        <v/>
      </c>
      <c r="L776" s="11" t="str">
        <f>IF(Registro!$J776="","",IFERROR(SUMPRODUCT(--("0"&amp;TRIM(RIGHT(SUBSTITUTE(TRIM(MID(SUBSTITUTE(SUBSTITUTE(Registro!$J776,";",CHAR(10)),CHAR(10),REPT(" ",LEN(Registro!$J776))),({1,2,3,4,5,6,7,8,9,10,11,12,13,14,15,16,17,18,19,20,21,22,23,24,25,26,27,28,29,30}-1)*LEN(Registro!$J776)+1,LEN(Registro!$J776)))," ",REPT(" ",50)),50)))),"Revisar formato"))</f>
        <v/>
      </c>
      <c r="M776" s="11" t="str">
        <f>IF(AND(Registro!$H776="",Registro!$I776=""),"",IF(AND(ISTEXT(K776),K776&lt;&gt;""),"Revisar formato",N(Registro!$H776)-N(K776)))</f>
        <v/>
      </c>
      <c r="N776" s="11" t="str">
        <f t="shared" si="38"/>
        <v/>
      </c>
      <c r="O776" s="15" t="str">
        <f>IF(AND(A776=Consulta!$B$3,C776=Consulta!$H$3),B776*10000+ROW(),"")</f>
        <v/>
      </c>
    </row>
    <row r="777" spans="1:15" x14ac:dyDescent="0.25">
      <c r="A777" s="9" t="str">
        <f>IF(Registro!$A777="","",Registro!$A777)</f>
        <v/>
      </c>
      <c r="B777" s="8" t="str">
        <f>IF(Registro!$B777="","",Registro!$B777)</f>
        <v/>
      </c>
      <c r="C777" s="14" t="str">
        <f t="shared" si="36"/>
        <v/>
      </c>
      <c r="D777" s="10" t="str">
        <f>IF(Registro!$E777="","",IF(ISERROR(FIND("x",LOWER(Registro!$E777))),"-",IFERROR(SUMPRODUCT(--("0"&amp;LEFT(TRIM(MID(SUBSTITUTE(SUBSTITUTE(SUBSTITUTE(SUBSTITUTE(SUBSTITUTE(LOWER(Registro!$E777),"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",LEN(Registro!$E777))),({1,2,3,4,5,6,7,8,9,10,11,12,13,14,15,16,17,18,19,20,21,22,23,24,25,26,27,28,29,30}-1)*LEN(Registro!$E777)+1,LEN(Registro!$E777)))&amp;"x")-1))),"Revisar formato")))</f>
        <v/>
      </c>
      <c r="E777" s="11" t="str">
        <f>IF(Registro!$E777="","",IF(ISERROR(FIND("x",LOWER(Registro!$E777))),"-",IFERROR(SUMPRODUCT(--("0"&amp;LEFT(TRIM(MID(SUBSTITUTE(SUBSTITUTE(SUBSTITUTE(SUBSTITUTE(SUBSTITUTE(LOWER(Registro!$E777),"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",LEN(Registro!$E777))),({1,2,3,4,5,6,7,8,9,10,11,12,13,14,15,16,17,18,19,20,21,22,23,24,25,26,27,28,29,30}-1)*LEN(Registro!$E777)+1,LEN(Registro!$E777)))&amp;"x")-1)),--("0"&amp;MID(TRIM(MID(SUBSTITUTE(SUBSTITUTE(SUBSTITUTE(SUBSTITUTE(SUBSTITUTE(LOWER(Registro!$E777),"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",LEN(Registro!$E777))),({1,2,3,4,5,6,7,8,9,10,11,12,13,14,15,16,17,18,19,20,21,22,23,24,25,26,27,28,29,30}-1)*LEN(Registro!$E777)+1,LEN(Registro!$E777)))&amp;"x")+1,20))),"Revisar formato")))</f>
        <v/>
      </c>
      <c r="F777" s="11" t="str">
        <f>IF(Registro!$F777="","",N(Registro!$F777))</f>
        <v/>
      </c>
      <c r="G777" s="11" t="str">
        <f t="shared" si="37"/>
        <v/>
      </c>
      <c r="H777" s="10" t="str">
        <f>IF(Registro!$G777="","",IF(ISERROR(FIND("x",LOWER(Registro!$G777))),"-",IFERROR(SUMPRODUCT(--("0"&amp;LEFT(TRIM(MID(SUBSTITUTE(SUBSTITUTE(SUBSTITUTE(SUBSTITUTE(SUBSTITUTE(LOWER(Registro!$G777),"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",LEN(Registro!$G777))),({1,2,3,4,5,6,7,8,9,10,11,12,13,14,15,16,17,18,19,20,21,22,23,24,25,26,27,28,29,30}-1)*LEN(Registro!$G777)+1,LEN(Registro!$G777))),FIND("x",TRIM(MID(SUBSTITUTE(SUBSTITUTE(SUBSTITUTE(SUBSTITUTE(SUBSTITUTE(LOWER(Registro!$G777),"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",LEN(Registro!$G777))),({1,2,3,4,5,6,7,8,9,10,11,12,13,14,15,16,17,18,19,20,21,22,23,24,25,26,27,28,29,30}-1)*LEN(Registro!$G777)+1,LEN(Registro!$G777)))&amp;"x")-1))),"Revisar formato")))</f>
        <v/>
      </c>
      <c r="I777" s="11" t="str">
        <f>IF(Registro!$G777="","",IF(ISERROR(FIND("x",LOWER(Registro!$G777))),N(Registro!$H777),IFERROR(SUMPRODUCT(--("0"&amp;LEFT(TRIM(MID(SUBSTITUTE(SUBSTITUTE(SUBSTITUTE(SUBSTITUTE(SUBSTITUTE(LOWER(Registro!$G777),"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",LEN(Registro!$G777))),({1,2,3,4,5,6,7,8,9,10,11,12,13,14,15,16,17,18,19,20,21,22,23,24,25,26,27,28,29,30}-1)*LEN(Registro!$G777)+1,LEN(Registro!$G777))),FIND("x",TRIM(MID(SUBSTITUTE(SUBSTITUTE(SUBSTITUTE(SUBSTITUTE(SUBSTITUTE(LOWER(Registro!$G777),"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",LEN(Registro!$G777))),({1,2,3,4,5,6,7,8,9,10,11,12,13,14,15,16,17,18,19,20,21,22,23,24,25,26,27,28,29,30}-1)*LEN(Registro!$G777)+1,LEN(Registro!$G777)))&amp;"x")-1)),--("0"&amp;MID(TRIM(MID(SUBSTITUTE(SUBSTITUTE(SUBSTITUTE(SUBSTITUTE(SUBSTITUTE(LOWER(Registro!$G777),"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",LEN(Registro!$G777))),({1,2,3,4,5,6,7,8,9,10,11,12,13,14,15,16,17,18,19,20,21,22,23,24,25,26,27,28,29,30}-1)*LEN(Registro!$G777)+1,LEN(Registro!$G777))),FIND("x",TRIM(MID(SUBSTITUTE(SUBSTITUTE(SUBSTITUTE(SUBSTITUTE(SUBSTITUTE(LOWER(Registro!$G777),"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",LEN(Registro!$G777))),({1,2,3,4,5,6,7,8,9,10,11,12,13,14,15,16,17,18,19,20,21,22,23,24,25,26,27,28,29,30}-1)*LEN(Registro!$G777)+1,LEN(Registro!$G777)))&amp;"x")+1,20))),"Revisar formato")))</f>
        <v/>
      </c>
      <c r="J777" s="9" t="str">
        <f>IF(AND(Registro!$E777="",Registro!$G777=""),"",IF(NOT(AND(ISNUMBER(I777),ISNUMBER(Registro!$H777))),"",IF(I777&lt;Registro!$H777,"FALTA BOLETOS",IF(I777=Registro!$H777,"CONFORME","DIFERENCIA"))))</f>
        <v/>
      </c>
      <c r="K777" s="11" t="str">
        <f>IF(Registro!$I777="","",IFERROR(SUMPRODUCT(--("0"&amp;TRIM(RIGHT(SUBSTITUTE(TRIM(MID(SUBSTITUTE(SUBSTITUTE(Registro!$I777,";",CHAR(10)),CHAR(10),REPT(" ",LEN(Registro!$I777))),({1,2,3,4,5,6,7,8,9,10,11,12,13,14,15,16,17,18,19,20,21,22,23,24,25,26,27,28,29,30}-1)*LEN(Registro!$I777)+1,LEN(Registro!$I777)))," ",REPT(" ",50)),50)))),"Revisar formato"))</f>
        <v/>
      </c>
      <c r="L777" s="11" t="str">
        <f>IF(Registro!$J777="","",IFERROR(SUMPRODUCT(--("0"&amp;TRIM(RIGHT(SUBSTITUTE(TRIM(MID(SUBSTITUTE(SUBSTITUTE(Registro!$J777,";",CHAR(10)),CHAR(10),REPT(" ",LEN(Registro!$J777))),({1,2,3,4,5,6,7,8,9,10,11,12,13,14,15,16,17,18,19,20,21,22,23,24,25,26,27,28,29,30}-1)*LEN(Registro!$J777)+1,LEN(Registro!$J777)))," ",REPT(" ",50)),50)))),"Revisar formato"))</f>
        <v/>
      </c>
      <c r="M777" s="11" t="str">
        <f>IF(AND(Registro!$H777="",Registro!$I777=""),"",IF(AND(ISTEXT(K777),K777&lt;&gt;""),"Revisar formato",N(Registro!$H777)-N(K777)))</f>
        <v/>
      </c>
      <c r="N777" s="11" t="str">
        <f t="shared" si="38"/>
        <v/>
      </c>
      <c r="O777" s="15" t="str">
        <f>IF(AND(A777=Consulta!$B$3,C777=Consulta!$H$3),B777*10000+ROW(),"")</f>
        <v/>
      </c>
    </row>
    <row r="778" spans="1:15" x14ac:dyDescent="0.25">
      <c r="A778" s="9" t="str">
        <f>IF(Registro!$A778="","",Registro!$A778)</f>
        <v/>
      </c>
      <c r="B778" s="8" t="str">
        <f>IF(Registro!$B778="","",Registro!$B778)</f>
        <v/>
      </c>
      <c r="C778" s="14" t="str">
        <f t="shared" si="36"/>
        <v/>
      </c>
      <c r="D778" s="10" t="str">
        <f>IF(Registro!$E778="","",IF(ISERROR(FIND("x",LOWER(Registro!$E778))),"-",IFERROR(SUMPRODUCT(--("0"&amp;LEFT(TRIM(MID(SUBSTITUTE(SUBSTITUTE(SUBSTITUTE(SUBSTITUTE(SUBSTITUTE(LOWER(Registro!$E778),"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",LEN(Registro!$E778))),({1,2,3,4,5,6,7,8,9,10,11,12,13,14,15,16,17,18,19,20,21,22,23,24,25,26,27,28,29,30}-1)*LEN(Registro!$E778)+1,LEN(Registro!$E778)))&amp;"x")-1))),"Revisar formato")))</f>
        <v/>
      </c>
      <c r="E778" s="11" t="str">
        <f>IF(Registro!$E778="","",IF(ISERROR(FIND("x",LOWER(Registro!$E778))),"-",IFERROR(SUMPRODUCT(--("0"&amp;LEFT(TRIM(MID(SUBSTITUTE(SUBSTITUTE(SUBSTITUTE(SUBSTITUTE(SUBSTITUTE(LOWER(Registro!$E778),"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",LEN(Registro!$E778))),({1,2,3,4,5,6,7,8,9,10,11,12,13,14,15,16,17,18,19,20,21,22,23,24,25,26,27,28,29,30}-1)*LEN(Registro!$E778)+1,LEN(Registro!$E778)))&amp;"x")-1)),--("0"&amp;MID(TRIM(MID(SUBSTITUTE(SUBSTITUTE(SUBSTITUTE(SUBSTITUTE(SUBSTITUTE(LOWER(Registro!$E778),"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",LEN(Registro!$E778))),({1,2,3,4,5,6,7,8,9,10,11,12,13,14,15,16,17,18,19,20,21,22,23,24,25,26,27,28,29,30}-1)*LEN(Registro!$E778)+1,LEN(Registro!$E778)))&amp;"x")+1,20))),"Revisar formato")))</f>
        <v/>
      </c>
      <c r="F778" s="11" t="str">
        <f>IF(Registro!$F778="","",N(Registro!$F778))</f>
        <v/>
      </c>
      <c r="G778" s="11" t="str">
        <f t="shared" si="37"/>
        <v/>
      </c>
      <c r="H778" s="10" t="str">
        <f>IF(Registro!$G778="","",IF(ISERROR(FIND("x",LOWER(Registro!$G778))),"-",IFERROR(SUMPRODUCT(--("0"&amp;LEFT(TRIM(MID(SUBSTITUTE(SUBSTITUTE(SUBSTITUTE(SUBSTITUTE(SUBSTITUTE(LOWER(Registro!$G778),"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",LEN(Registro!$G778))),({1,2,3,4,5,6,7,8,9,10,11,12,13,14,15,16,17,18,19,20,21,22,23,24,25,26,27,28,29,30}-1)*LEN(Registro!$G778)+1,LEN(Registro!$G778))),FIND("x",TRIM(MID(SUBSTITUTE(SUBSTITUTE(SUBSTITUTE(SUBSTITUTE(SUBSTITUTE(LOWER(Registro!$G778),"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",LEN(Registro!$G778))),({1,2,3,4,5,6,7,8,9,10,11,12,13,14,15,16,17,18,19,20,21,22,23,24,25,26,27,28,29,30}-1)*LEN(Registro!$G778)+1,LEN(Registro!$G778)))&amp;"x")-1))),"Revisar formato")))</f>
        <v/>
      </c>
      <c r="I778" s="11" t="str">
        <f>IF(Registro!$G778="","",IF(ISERROR(FIND("x",LOWER(Registro!$G778))),N(Registro!$H778),IFERROR(SUMPRODUCT(--("0"&amp;LEFT(TRIM(MID(SUBSTITUTE(SUBSTITUTE(SUBSTITUTE(SUBSTITUTE(SUBSTITUTE(LOWER(Registro!$G778),"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",LEN(Registro!$G778))),({1,2,3,4,5,6,7,8,9,10,11,12,13,14,15,16,17,18,19,20,21,22,23,24,25,26,27,28,29,30}-1)*LEN(Registro!$G778)+1,LEN(Registro!$G778))),FIND("x",TRIM(MID(SUBSTITUTE(SUBSTITUTE(SUBSTITUTE(SUBSTITUTE(SUBSTITUTE(LOWER(Registro!$G778),"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",LEN(Registro!$G778))),({1,2,3,4,5,6,7,8,9,10,11,12,13,14,15,16,17,18,19,20,21,22,23,24,25,26,27,28,29,30}-1)*LEN(Registro!$G778)+1,LEN(Registro!$G778)))&amp;"x")-1)),--("0"&amp;MID(TRIM(MID(SUBSTITUTE(SUBSTITUTE(SUBSTITUTE(SUBSTITUTE(SUBSTITUTE(LOWER(Registro!$G778),"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",LEN(Registro!$G778))),({1,2,3,4,5,6,7,8,9,10,11,12,13,14,15,16,17,18,19,20,21,22,23,24,25,26,27,28,29,30}-1)*LEN(Registro!$G778)+1,LEN(Registro!$G778))),FIND("x",TRIM(MID(SUBSTITUTE(SUBSTITUTE(SUBSTITUTE(SUBSTITUTE(SUBSTITUTE(LOWER(Registro!$G778),"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",LEN(Registro!$G778))),({1,2,3,4,5,6,7,8,9,10,11,12,13,14,15,16,17,18,19,20,21,22,23,24,25,26,27,28,29,30}-1)*LEN(Registro!$G778)+1,LEN(Registro!$G778)))&amp;"x")+1,20))),"Revisar formato")))</f>
        <v/>
      </c>
      <c r="J778" s="9" t="str">
        <f>IF(AND(Registro!$E778="",Registro!$G778=""),"",IF(NOT(AND(ISNUMBER(I778),ISNUMBER(Registro!$H778))),"",IF(I778&lt;Registro!$H778,"FALTA BOLETOS",IF(I778=Registro!$H778,"CONFORME","DIFERENCIA"))))</f>
        <v/>
      </c>
      <c r="K778" s="11" t="str">
        <f>IF(Registro!$I778="","",IFERROR(SUMPRODUCT(--("0"&amp;TRIM(RIGHT(SUBSTITUTE(TRIM(MID(SUBSTITUTE(SUBSTITUTE(Registro!$I778,";",CHAR(10)),CHAR(10),REPT(" ",LEN(Registro!$I778))),({1,2,3,4,5,6,7,8,9,10,11,12,13,14,15,16,17,18,19,20,21,22,23,24,25,26,27,28,29,30}-1)*LEN(Registro!$I778)+1,LEN(Registro!$I778)))," ",REPT(" ",50)),50)))),"Revisar formato"))</f>
        <v/>
      </c>
      <c r="L778" s="11" t="str">
        <f>IF(Registro!$J778="","",IFERROR(SUMPRODUCT(--("0"&amp;TRIM(RIGHT(SUBSTITUTE(TRIM(MID(SUBSTITUTE(SUBSTITUTE(Registro!$J778,";",CHAR(10)),CHAR(10),REPT(" ",LEN(Registro!$J778))),({1,2,3,4,5,6,7,8,9,10,11,12,13,14,15,16,17,18,19,20,21,22,23,24,25,26,27,28,29,30}-1)*LEN(Registro!$J778)+1,LEN(Registro!$J778)))," ",REPT(" ",50)),50)))),"Revisar formato"))</f>
        <v/>
      </c>
      <c r="M778" s="11" t="str">
        <f>IF(AND(Registro!$H778="",Registro!$I778=""),"",IF(AND(ISTEXT(K778),K778&lt;&gt;""),"Revisar formato",N(Registro!$H778)-N(K778)))</f>
        <v/>
      </c>
      <c r="N778" s="11" t="str">
        <f t="shared" si="38"/>
        <v/>
      </c>
      <c r="O778" s="15" t="str">
        <f>IF(AND(A778=Consulta!$B$3,C778=Consulta!$H$3),B778*10000+ROW(),"")</f>
        <v/>
      </c>
    </row>
    <row r="779" spans="1:15" x14ac:dyDescent="0.25">
      <c r="A779" s="9" t="str">
        <f>IF(Registro!$A779="","",Registro!$A779)</f>
        <v/>
      </c>
      <c r="B779" s="8" t="str">
        <f>IF(Registro!$B779="","",Registro!$B779)</f>
        <v/>
      </c>
      <c r="C779" s="14" t="str">
        <f t="shared" si="36"/>
        <v/>
      </c>
      <c r="D779" s="10" t="str">
        <f>IF(Registro!$E779="","",IF(ISERROR(FIND("x",LOWER(Registro!$E779))),"-",IFERROR(SUMPRODUCT(--("0"&amp;LEFT(TRIM(MID(SUBSTITUTE(SUBSTITUTE(SUBSTITUTE(SUBSTITUTE(SUBSTITUTE(LOWER(Registro!$E779),"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",LEN(Registro!$E779))),({1,2,3,4,5,6,7,8,9,10,11,12,13,14,15,16,17,18,19,20,21,22,23,24,25,26,27,28,29,30}-1)*LEN(Registro!$E779)+1,LEN(Registro!$E779)))&amp;"x")-1))),"Revisar formato")))</f>
        <v/>
      </c>
      <c r="E779" s="11" t="str">
        <f>IF(Registro!$E779="","",IF(ISERROR(FIND("x",LOWER(Registro!$E779))),"-",IFERROR(SUMPRODUCT(--("0"&amp;LEFT(TRIM(MID(SUBSTITUTE(SUBSTITUTE(SUBSTITUTE(SUBSTITUTE(SUBSTITUTE(LOWER(Registro!$E779),"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",LEN(Registro!$E779))),({1,2,3,4,5,6,7,8,9,10,11,12,13,14,15,16,17,18,19,20,21,22,23,24,25,26,27,28,29,30}-1)*LEN(Registro!$E779)+1,LEN(Registro!$E779)))&amp;"x")-1)),--("0"&amp;MID(TRIM(MID(SUBSTITUTE(SUBSTITUTE(SUBSTITUTE(SUBSTITUTE(SUBSTITUTE(LOWER(Registro!$E779),"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",LEN(Registro!$E779))),({1,2,3,4,5,6,7,8,9,10,11,12,13,14,15,16,17,18,19,20,21,22,23,24,25,26,27,28,29,30}-1)*LEN(Registro!$E779)+1,LEN(Registro!$E779)))&amp;"x")+1,20))),"Revisar formato")))</f>
        <v/>
      </c>
      <c r="F779" s="11" t="str">
        <f>IF(Registro!$F779="","",N(Registro!$F779))</f>
        <v/>
      </c>
      <c r="G779" s="11" t="str">
        <f t="shared" si="37"/>
        <v/>
      </c>
      <c r="H779" s="10" t="str">
        <f>IF(Registro!$G779="","",IF(ISERROR(FIND("x",LOWER(Registro!$G779))),"-",IFERROR(SUMPRODUCT(--("0"&amp;LEFT(TRIM(MID(SUBSTITUTE(SUBSTITUTE(SUBSTITUTE(SUBSTITUTE(SUBSTITUTE(LOWER(Registro!$G779),"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",LEN(Registro!$G779))),({1,2,3,4,5,6,7,8,9,10,11,12,13,14,15,16,17,18,19,20,21,22,23,24,25,26,27,28,29,30}-1)*LEN(Registro!$G779)+1,LEN(Registro!$G779))),FIND("x",TRIM(MID(SUBSTITUTE(SUBSTITUTE(SUBSTITUTE(SUBSTITUTE(SUBSTITUTE(LOWER(Registro!$G779),"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",LEN(Registro!$G779))),({1,2,3,4,5,6,7,8,9,10,11,12,13,14,15,16,17,18,19,20,21,22,23,24,25,26,27,28,29,30}-1)*LEN(Registro!$G779)+1,LEN(Registro!$G779)))&amp;"x")-1))),"Revisar formato")))</f>
        <v/>
      </c>
      <c r="I779" s="11" t="str">
        <f>IF(Registro!$G779="","",IF(ISERROR(FIND("x",LOWER(Registro!$G779))),N(Registro!$H779),IFERROR(SUMPRODUCT(--("0"&amp;LEFT(TRIM(MID(SUBSTITUTE(SUBSTITUTE(SUBSTITUTE(SUBSTITUTE(SUBSTITUTE(LOWER(Registro!$G779),"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",LEN(Registro!$G779))),({1,2,3,4,5,6,7,8,9,10,11,12,13,14,15,16,17,18,19,20,21,22,23,24,25,26,27,28,29,30}-1)*LEN(Registro!$G779)+1,LEN(Registro!$G779))),FIND("x",TRIM(MID(SUBSTITUTE(SUBSTITUTE(SUBSTITUTE(SUBSTITUTE(SUBSTITUTE(LOWER(Registro!$G779),"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",LEN(Registro!$G779))),({1,2,3,4,5,6,7,8,9,10,11,12,13,14,15,16,17,18,19,20,21,22,23,24,25,26,27,28,29,30}-1)*LEN(Registro!$G779)+1,LEN(Registro!$G779)))&amp;"x")-1)),--("0"&amp;MID(TRIM(MID(SUBSTITUTE(SUBSTITUTE(SUBSTITUTE(SUBSTITUTE(SUBSTITUTE(LOWER(Registro!$G779),"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",LEN(Registro!$G779))),({1,2,3,4,5,6,7,8,9,10,11,12,13,14,15,16,17,18,19,20,21,22,23,24,25,26,27,28,29,30}-1)*LEN(Registro!$G779)+1,LEN(Registro!$G779))),FIND("x",TRIM(MID(SUBSTITUTE(SUBSTITUTE(SUBSTITUTE(SUBSTITUTE(SUBSTITUTE(LOWER(Registro!$G779),"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",LEN(Registro!$G779))),({1,2,3,4,5,6,7,8,9,10,11,12,13,14,15,16,17,18,19,20,21,22,23,24,25,26,27,28,29,30}-1)*LEN(Registro!$G779)+1,LEN(Registro!$G779)))&amp;"x")+1,20))),"Revisar formato")))</f>
        <v/>
      </c>
      <c r="J779" s="9" t="str">
        <f>IF(AND(Registro!$E779="",Registro!$G779=""),"",IF(NOT(AND(ISNUMBER(I779),ISNUMBER(Registro!$H779))),"",IF(I779&lt;Registro!$H779,"FALTA BOLETOS",IF(I779=Registro!$H779,"CONFORME","DIFERENCIA"))))</f>
        <v/>
      </c>
      <c r="K779" s="11" t="str">
        <f>IF(Registro!$I779="","",IFERROR(SUMPRODUCT(--("0"&amp;TRIM(RIGHT(SUBSTITUTE(TRIM(MID(SUBSTITUTE(SUBSTITUTE(Registro!$I779,";",CHAR(10)),CHAR(10),REPT(" ",LEN(Registro!$I779))),({1,2,3,4,5,6,7,8,9,10,11,12,13,14,15,16,17,18,19,20,21,22,23,24,25,26,27,28,29,30}-1)*LEN(Registro!$I779)+1,LEN(Registro!$I779)))," ",REPT(" ",50)),50)))),"Revisar formato"))</f>
        <v/>
      </c>
      <c r="L779" s="11" t="str">
        <f>IF(Registro!$J779="","",IFERROR(SUMPRODUCT(--("0"&amp;TRIM(RIGHT(SUBSTITUTE(TRIM(MID(SUBSTITUTE(SUBSTITUTE(Registro!$J779,";",CHAR(10)),CHAR(10),REPT(" ",LEN(Registro!$J779))),({1,2,3,4,5,6,7,8,9,10,11,12,13,14,15,16,17,18,19,20,21,22,23,24,25,26,27,28,29,30}-1)*LEN(Registro!$J779)+1,LEN(Registro!$J779)))," ",REPT(" ",50)),50)))),"Revisar formato"))</f>
        <v/>
      </c>
      <c r="M779" s="11" t="str">
        <f>IF(AND(Registro!$H779="",Registro!$I779=""),"",IF(AND(ISTEXT(K779),K779&lt;&gt;""),"Revisar formato",N(Registro!$H779)-N(K779)))</f>
        <v/>
      </c>
      <c r="N779" s="11" t="str">
        <f t="shared" si="38"/>
        <v/>
      </c>
      <c r="O779" s="15" t="str">
        <f>IF(AND(A779=Consulta!$B$3,C779=Consulta!$H$3),B779*10000+ROW(),"")</f>
        <v/>
      </c>
    </row>
    <row r="780" spans="1:15" x14ac:dyDescent="0.25">
      <c r="A780" s="9" t="str">
        <f>IF(Registro!$A780="","",Registro!$A780)</f>
        <v/>
      </c>
      <c r="B780" s="8" t="str">
        <f>IF(Registro!$B780="","",Registro!$B780)</f>
        <v/>
      </c>
      <c r="C780" s="14" t="str">
        <f t="shared" si="36"/>
        <v/>
      </c>
      <c r="D780" s="10" t="str">
        <f>IF(Registro!$E780="","",IF(ISERROR(FIND("x",LOWER(Registro!$E780))),"-",IFERROR(SUMPRODUCT(--("0"&amp;LEFT(TRIM(MID(SUBSTITUTE(SUBSTITUTE(SUBSTITUTE(SUBSTITUTE(SUBSTITUTE(LOWER(Registro!$E780),"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",LEN(Registro!$E780))),({1,2,3,4,5,6,7,8,9,10,11,12,13,14,15,16,17,18,19,20,21,22,23,24,25,26,27,28,29,30}-1)*LEN(Registro!$E780)+1,LEN(Registro!$E780)))&amp;"x")-1))),"Revisar formato")))</f>
        <v/>
      </c>
      <c r="E780" s="11" t="str">
        <f>IF(Registro!$E780="","",IF(ISERROR(FIND("x",LOWER(Registro!$E780))),"-",IFERROR(SUMPRODUCT(--("0"&amp;LEFT(TRIM(MID(SUBSTITUTE(SUBSTITUTE(SUBSTITUTE(SUBSTITUTE(SUBSTITUTE(LOWER(Registro!$E780),"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",LEN(Registro!$E780))),({1,2,3,4,5,6,7,8,9,10,11,12,13,14,15,16,17,18,19,20,21,22,23,24,25,26,27,28,29,30}-1)*LEN(Registro!$E780)+1,LEN(Registro!$E780)))&amp;"x")-1)),--("0"&amp;MID(TRIM(MID(SUBSTITUTE(SUBSTITUTE(SUBSTITUTE(SUBSTITUTE(SUBSTITUTE(LOWER(Registro!$E780),"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",LEN(Registro!$E780))),({1,2,3,4,5,6,7,8,9,10,11,12,13,14,15,16,17,18,19,20,21,22,23,24,25,26,27,28,29,30}-1)*LEN(Registro!$E780)+1,LEN(Registro!$E780)))&amp;"x")+1,20))),"Revisar formato")))</f>
        <v/>
      </c>
      <c r="F780" s="11" t="str">
        <f>IF(Registro!$F780="","",N(Registro!$F780))</f>
        <v/>
      </c>
      <c r="G780" s="11" t="str">
        <f t="shared" si="37"/>
        <v/>
      </c>
      <c r="H780" s="10" t="str">
        <f>IF(Registro!$G780="","",IF(ISERROR(FIND("x",LOWER(Registro!$G780))),"-",IFERROR(SUMPRODUCT(--("0"&amp;LEFT(TRIM(MID(SUBSTITUTE(SUBSTITUTE(SUBSTITUTE(SUBSTITUTE(SUBSTITUTE(LOWER(Registro!$G780),"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",LEN(Registro!$G780))),({1,2,3,4,5,6,7,8,9,10,11,12,13,14,15,16,17,18,19,20,21,22,23,24,25,26,27,28,29,30}-1)*LEN(Registro!$G780)+1,LEN(Registro!$G780))),FIND("x",TRIM(MID(SUBSTITUTE(SUBSTITUTE(SUBSTITUTE(SUBSTITUTE(SUBSTITUTE(LOWER(Registro!$G780),"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",LEN(Registro!$G780))),({1,2,3,4,5,6,7,8,9,10,11,12,13,14,15,16,17,18,19,20,21,22,23,24,25,26,27,28,29,30}-1)*LEN(Registro!$G780)+1,LEN(Registro!$G780)))&amp;"x")-1))),"Revisar formato")))</f>
        <v/>
      </c>
      <c r="I780" s="11" t="str">
        <f>IF(Registro!$G780="","",IF(ISERROR(FIND("x",LOWER(Registro!$G780))),N(Registro!$H780),IFERROR(SUMPRODUCT(--("0"&amp;LEFT(TRIM(MID(SUBSTITUTE(SUBSTITUTE(SUBSTITUTE(SUBSTITUTE(SUBSTITUTE(LOWER(Registro!$G780),"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",LEN(Registro!$G780))),({1,2,3,4,5,6,7,8,9,10,11,12,13,14,15,16,17,18,19,20,21,22,23,24,25,26,27,28,29,30}-1)*LEN(Registro!$G780)+1,LEN(Registro!$G780))),FIND("x",TRIM(MID(SUBSTITUTE(SUBSTITUTE(SUBSTITUTE(SUBSTITUTE(SUBSTITUTE(LOWER(Registro!$G780),"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",LEN(Registro!$G780))),({1,2,3,4,5,6,7,8,9,10,11,12,13,14,15,16,17,18,19,20,21,22,23,24,25,26,27,28,29,30}-1)*LEN(Registro!$G780)+1,LEN(Registro!$G780)))&amp;"x")-1)),--("0"&amp;MID(TRIM(MID(SUBSTITUTE(SUBSTITUTE(SUBSTITUTE(SUBSTITUTE(SUBSTITUTE(LOWER(Registro!$G780),"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",LEN(Registro!$G780))),({1,2,3,4,5,6,7,8,9,10,11,12,13,14,15,16,17,18,19,20,21,22,23,24,25,26,27,28,29,30}-1)*LEN(Registro!$G780)+1,LEN(Registro!$G780))),FIND("x",TRIM(MID(SUBSTITUTE(SUBSTITUTE(SUBSTITUTE(SUBSTITUTE(SUBSTITUTE(LOWER(Registro!$G780),"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",LEN(Registro!$G780))),({1,2,3,4,5,6,7,8,9,10,11,12,13,14,15,16,17,18,19,20,21,22,23,24,25,26,27,28,29,30}-1)*LEN(Registro!$G780)+1,LEN(Registro!$G780)))&amp;"x")+1,20))),"Revisar formato")))</f>
        <v/>
      </c>
      <c r="J780" s="9" t="str">
        <f>IF(AND(Registro!$E780="",Registro!$G780=""),"",IF(NOT(AND(ISNUMBER(I780),ISNUMBER(Registro!$H780))),"",IF(I780&lt;Registro!$H780,"FALTA BOLETOS",IF(I780=Registro!$H780,"CONFORME","DIFERENCIA"))))</f>
        <v/>
      </c>
      <c r="K780" s="11" t="str">
        <f>IF(Registro!$I780="","",IFERROR(SUMPRODUCT(--("0"&amp;TRIM(RIGHT(SUBSTITUTE(TRIM(MID(SUBSTITUTE(SUBSTITUTE(Registro!$I780,";",CHAR(10)),CHAR(10),REPT(" ",LEN(Registro!$I780))),({1,2,3,4,5,6,7,8,9,10,11,12,13,14,15,16,17,18,19,20,21,22,23,24,25,26,27,28,29,30}-1)*LEN(Registro!$I780)+1,LEN(Registro!$I780)))," ",REPT(" ",50)),50)))),"Revisar formato"))</f>
        <v/>
      </c>
      <c r="L780" s="11" t="str">
        <f>IF(Registro!$J780="","",IFERROR(SUMPRODUCT(--("0"&amp;TRIM(RIGHT(SUBSTITUTE(TRIM(MID(SUBSTITUTE(SUBSTITUTE(Registro!$J780,";",CHAR(10)),CHAR(10),REPT(" ",LEN(Registro!$J780))),({1,2,3,4,5,6,7,8,9,10,11,12,13,14,15,16,17,18,19,20,21,22,23,24,25,26,27,28,29,30}-1)*LEN(Registro!$J780)+1,LEN(Registro!$J780)))," ",REPT(" ",50)),50)))),"Revisar formato"))</f>
        <v/>
      </c>
      <c r="M780" s="11" t="str">
        <f>IF(AND(Registro!$H780="",Registro!$I780=""),"",IF(AND(ISTEXT(K780),K780&lt;&gt;""),"Revisar formato",N(Registro!$H780)-N(K780)))</f>
        <v/>
      </c>
      <c r="N780" s="11" t="str">
        <f t="shared" si="38"/>
        <v/>
      </c>
      <c r="O780" s="15" t="str">
        <f>IF(AND(A780=Consulta!$B$3,C780=Consulta!$H$3),B780*10000+ROW(),"")</f>
        <v/>
      </c>
    </row>
    <row r="781" spans="1:15" x14ac:dyDescent="0.25">
      <c r="A781" s="9" t="str">
        <f>IF(Registro!$A781="","",Registro!$A781)</f>
        <v/>
      </c>
      <c r="B781" s="8" t="str">
        <f>IF(Registro!$B781="","",Registro!$B781)</f>
        <v/>
      </c>
      <c r="C781" s="14" t="str">
        <f t="shared" si="36"/>
        <v/>
      </c>
      <c r="D781" s="10" t="str">
        <f>IF(Registro!$E781="","",IF(ISERROR(FIND("x",LOWER(Registro!$E781))),"-",IFERROR(SUMPRODUCT(--("0"&amp;LEFT(TRIM(MID(SUBSTITUTE(SUBSTITUTE(SUBSTITUTE(SUBSTITUTE(SUBSTITUTE(LOWER(Registro!$E781),"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",LEN(Registro!$E781))),({1,2,3,4,5,6,7,8,9,10,11,12,13,14,15,16,17,18,19,20,21,22,23,24,25,26,27,28,29,30}-1)*LEN(Registro!$E781)+1,LEN(Registro!$E781)))&amp;"x")-1))),"Revisar formato")))</f>
        <v/>
      </c>
      <c r="E781" s="11" t="str">
        <f>IF(Registro!$E781="","",IF(ISERROR(FIND("x",LOWER(Registro!$E781))),"-",IFERROR(SUMPRODUCT(--("0"&amp;LEFT(TRIM(MID(SUBSTITUTE(SUBSTITUTE(SUBSTITUTE(SUBSTITUTE(SUBSTITUTE(LOWER(Registro!$E781),"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",LEN(Registro!$E781))),({1,2,3,4,5,6,7,8,9,10,11,12,13,14,15,16,17,18,19,20,21,22,23,24,25,26,27,28,29,30}-1)*LEN(Registro!$E781)+1,LEN(Registro!$E781)))&amp;"x")-1)),--("0"&amp;MID(TRIM(MID(SUBSTITUTE(SUBSTITUTE(SUBSTITUTE(SUBSTITUTE(SUBSTITUTE(LOWER(Registro!$E781),"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",LEN(Registro!$E781))),({1,2,3,4,5,6,7,8,9,10,11,12,13,14,15,16,17,18,19,20,21,22,23,24,25,26,27,28,29,30}-1)*LEN(Registro!$E781)+1,LEN(Registro!$E781)))&amp;"x")+1,20))),"Revisar formato")))</f>
        <v/>
      </c>
      <c r="F781" s="11" t="str">
        <f>IF(Registro!$F781="","",N(Registro!$F781))</f>
        <v/>
      </c>
      <c r="G781" s="11" t="str">
        <f t="shared" si="37"/>
        <v/>
      </c>
      <c r="H781" s="10" t="str">
        <f>IF(Registro!$G781="","",IF(ISERROR(FIND("x",LOWER(Registro!$G781))),"-",IFERROR(SUMPRODUCT(--("0"&amp;LEFT(TRIM(MID(SUBSTITUTE(SUBSTITUTE(SUBSTITUTE(SUBSTITUTE(SUBSTITUTE(LOWER(Registro!$G781),"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",LEN(Registro!$G781))),({1,2,3,4,5,6,7,8,9,10,11,12,13,14,15,16,17,18,19,20,21,22,23,24,25,26,27,28,29,30}-1)*LEN(Registro!$G781)+1,LEN(Registro!$G781))),FIND("x",TRIM(MID(SUBSTITUTE(SUBSTITUTE(SUBSTITUTE(SUBSTITUTE(SUBSTITUTE(LOWER(Registro!$G781),"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",LEN(Registro!$G781))),({1,2,3,4,5,6,7,8,9,10,11,12,13,14,15,16,17,18,19,20,21,22,23,24,25,26,27,28,29,30}-1)*LEN(Registro!$G781)+1,LEN(Registro!$G781)))&amp;"x")-1))),"Revisar formato")))</f>
        <v/>
      </c>
      <c r="I781" s="11" t="str">
        <f>IF(Registro!$G781="","",IF(ISERROR(FIND("x",LOWER(Registro!$G781))),N(Registro!$H781),IFERROR(SUMPRODUCT(--("0"&amp;LEFT(TRIM(MID(SUBSTITUTE(SUBSTITUTE(SUBSTITUTE(SUBSTITUTE(SUBSTITUTE(LOWER(Registro!$G781),"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",LEN(Registro!$G781))),({1,2,3,4,5,6,7,8,9,10,11,12,13,14,15,16,17,18,19,20,21,22,23,24,25,26,27,28,29,30}-1)*LEN(Registro!$G781)+1,LEN(Registro!$G781))),FIND("x",TRIM(MID(SUBSTITUTE(SUBSTITUTE(SUBSTITUTE(SUBSTITUTE(SUBSTITUTE(LOWER(Registro!$G781),"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",LEN(Registro!$G781))),({1,2,3,4,5,6,7,8,9,10,11,12,13,14,15,16,17,18,19,20,21,22,23,24,25,26,27,28,29,30}-1)*LEN(Registro!$G781)+1,LEN(Registro!$G781)))&amp;"x")-1)),--("0"&amp;MID(TRIM(MID(SUBSTITUTE(SUBSTITUTE(SUBSTITUTE(SUBSTITUTE(SUBSTITUTE(LOWER(Registro!$G781),"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",LEN(Registro!$G781))),({1,2,3,4,5,6,7,8,9,10,11,12,13,14,15,16,17,18,19,20,21,22,23,24,25,26,27,28,29,30}-1)*LEN(Registro!$G781)+1,LEN(Registro!$G781))),FIND("x",TRIM(MID(SUBSTITUTE(SUBSTITUTE(SUBSTITUTE(SUBSTITUTE(SUBSTITUTE(LOWER(Registro!$G781),"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",LEN(Registro!$G781))),({1,2,3,4,5,6,7,8,9,10,11,12,13,14,15,16,17,18,19,20,21,22,23,24,25,26,27,28,29,30}-1)*LEN(Registro!$G781)+1,LEN(Registro!$G781)))&amp;"x")+1,20))),"Revisar formato")))</f>
        <v/>
      </c>
      <c r="J781" s="9" t="str">
        <f>IF(AND(Registro!$E781="",Registro!$G781=""),"",IF(NOT(AND(ISNUMBER(I781),ISNUMBER(Registro!$H781))),"",IF(I781&lt;Registro!$H781,"FALTA BOLETOS",IF(I781=Registro!$H781,"CONFORME","DIFERENCIA"))))</f>
        <v/>
      </c>
      <c r="K781" s="11" t="str">
        <f>IF(Registro!$I781="","",IFERROR(SUMPRODUCT(--("0"&amp;TRIM(RIGHT(SUBSTITUTE(TRIM(MID(SUBSTITUTE(SUBSTITUTE(Registro!$I781,";",CHAR(10)),CHAR(10),REPT(" ",LEN(Registro!$I781))),({1,2,3,4,5,6,7,8,9,10,11,12,13,14,15,16,17,18,19,20,21,22,23,24,25,26,27,28,29,30}-1)*LEN(Registro!$I781)+1,LEN(Registro!$I781)))," ",REPT(" ",50)),50)))),"Revisar formato"))</f>
        <v/>
      </c>
      <c r="L781" s="11" t="str">
        <f>IF(Registro!$J781="","",IFERROR(SUMPRODUCT(--("0"&amp;TRIM(RIGHT(SUBSTITUTE(TRIM(MID(SUBSTITUTE(SUBSTITUTE(Registro!$J781,";",CHAR(10)),CHAR(10),REPT(" ",LEN(Registro!$J781))),({1,2,3,4,5,6,7,8,9,10,11,12,13,14,15,16,17,18,19,20,21,22,23,24,25,26,27,28,29,30}-1)*LEN(Registro!$J781)+1,LEN(Registro!$J781)))," ",REPT(" ",50)),50)))),"Revisar formato"))</f>
        <v/>
      </c>
      <c r="M781" s="11" t="str">
        <f>IF(AND(Registro!$H781="",Registro!$I781=""),"",IF(AND(ISTEXT(K781),K781&lt;&gt;""),"Revisar formato",N(Registro!$H781)-N(K781)))</f>
        <v/>
      </c>
      <c r="N781" s="11" t="str">
        <f t="shared" si="38"/>
        <v/>
      </c>
      <c r="O781" s="15" t="str">
        <f>IF(AND(A781=Consulta!$B$3,C781=Consulta!$H$3),B781*10000+ROW(),"")</f>
        <v/>
      </c>
    </row>
    <row r="782" spans="1:15" x14ac:dyDescent="0.25">
      <c r="A782" s="9" t="str">
        <f>IF(Registro!$A782="","",Registro!$A782)</f>
        <v/>
      </c>
      <c r="B782" s="8" t="str">
        <f>IF(Registro!$B782="","",Registro!$B782)</f>
        <v/>
      </c>
      <c r="C782" s="14" t="str">
        <f t="shared" si="36"/>
        <v/>
      </c>
      <c r="D782" s="10" t="str">
        <f>IF(Registro!$E782="","",IF(ISERROR(FIND("x",LOWER(Registro!$E782))),"-",IFERROR(SUMPRODUCT(--("0"&amp;LEFT(TRIM(MID(SUBSTITUTE(SUBSTITUTE(SUBSTITUTE(SUBSTITUTE(SUBSTITUTE(LOWER(Registro!$E782),"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",LEN(Registro!$E782))),({1,2,3,4,5,6,7,8,9,10,11,12,13,14,15,16,17,18,19,20,21,22,23,24,25,26,27,28,29,30}-1)*LEN(Registro!$E782)+1,LEN(Registro!$E782)))&amp;"x")-1))),"Revisar formato")))</f>
        <v/>
      </c>
      <c r="E782" s="11" t="str">
        <f>IF(Registro!$E782="","",IF(ISERROR(FIND("x",LOWER(Registro!$E782))),"-",IFERROR(SUMPRODUCT(--("0"&amp;LEFT(TRIM(MID(SUBSTITUTE(SUBSTITUTE(SUBSTITUTE(SUBSTITUTE(SUBSTITUTE(LOWER(Registro!$E782),"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",LEN(Registro!$E782))),({1,2,3,4,5,6,7,8,9,10,11,12,13,14,15,16,17,18,19,20,21,22,23,24,25,26,27,28,29,30}-1)*LEN(Registro!$E782)+1,LEN(Registro!$E782)))&amp;"x")-1)),--("0"&amp;MID(TRIM(MID(SUBSTITUTE(SUBSTITUTE(SUBSTITUTE(SUBSTITUTE(SUBSTITUTE(LOWER(Registro!$E782),"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",LEN(Registro!$E782))),({1,2,3,4,5,6,7,8,9,10,11,12,13,14,15,16,17,18,19,20,21,22,23,24,25,26,27,28,29,30}-1)*LEN(Registro!$E782)+1,LEN(Registro!$E782)))&amp;"x")+1,20))),"Revisar formato")))</f>
        <v/>
      </c>
      <c r="F782" s="11" t="str">
        <f>IF(Registro!$F782="","",N(Registro!$F782))</f>
        <v/>
      </c>
      <c r="G782" s="11" t="str">
        <f t="shared" si="37"/>
        <v/>
      </c>
      <c r="H782" s="10" t="str">
        <f>IF(Registro!$G782="","",IF(ISERROR(FIND("x",LOWER(Registro!$G782))),"-",IFERROR(SUMPRODUCT(--("0"&amp;LEFT(TRIM(MID(SUBSTITUTE(SUBSTITUTE(SUBSTITUTE(SUBSTITUTE(SUBSTITUTE(LOWER(Registro!$G782),"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",LEN(Registro!$G782))),({1,2,3,4,5,6,7,8,9,10,11,12,13,14,15,16,17,18,19,20,21,22,23,24,25,26,27,28,29,30}-1)*LEN(Registro!$G782)+1,LEN(Registro!$G782))),FIND("x",TRIM(MID(SUBSTITUTE(SUBSTITUTE(SUBSTITUTE(SUBSTITUTE(SUBSTITUTE(LOWER(Registro!$G782),"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",LEN(Registro!$G782))),({1,2,3,4,5,6,7,8,9,10,11,12,13,14,15,16,17,18,19,20,21,22,23,24,25,26,27,28,29,30}-1)*LEN(Registro!$G782)+1,LEN(Registro!$G782)))&amp;"x")-1))),"Revisar formato")))</f>
        <v/>
      </c>
      <c r="I782" s="11" t="str">
        <f>IF(Registro!$G782="","",IF(ISERROR(FIND("x",LOWER(Registro!$G782))),N(Registro!$H782),IFERROR(SUMPRODUCT(--("0"&amp;LEFT(TRIM(MID(SUBSTITUTE(SUBSTITUTE(SUBSTITUTE(SUBSTITUTE(SUBSTITUTE(LOWER(Registro!$G782),"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",LEN(Registro!$G782))),({1,2,3,4,5,6,7,8,9,10,11,12,13,14,15,16,17,18,19,20,21,22,23,24,25,26,27,28,29,30}-1)*LEN(Registro!$G782)+1,LEN(Registro!$G782))),FIND("x",TRIM(MID(SUBSTITUTE(SUBSTITUTE(SUBSTITUTE(SUBSTITUTE(SUBSTITUTE(LOWER(Registro!$G782),"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",LEN(Registro!$G782))),({1,2,3,4,5,6,7,8,9,10,11,12,13,14,15,16,17,18,19,20,21,22,23,24,25,26,27,28,29,30}-1)*LEN(Registro!$G782)+1,LEN(Registro!$G782)))&amp;"x")-1)),--("0"&amp;MID(TRIM(MID(SUBSTITUTE(SUBSTITUTE(SUBSTITUTE(SUBSTITUTE(SUBSTITUTE(LOWER(Registro!$G782),"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",LEN(Registro!$G782))),({1,2,3,4,5,6,7,8,9,10,11,12,13,14,15,16,17,18,19,20,21,22,23,24,25,26,27,28,29,30}-1)*LEN(Registro!$G782)+1,LEN(Registro!$G782))),FIND("x",TRIM(MID(SUBSTITUTE(SUBSTITUTE(SUBSTITUTE(SUBSTITUTE(SUBSTITUTE(LOWER(Registro!$G782),"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",LEN(Registro!$G782))),({1,2,3,4,5,6,7,8,9,10,11,12,13,14,15,16,17,18,19,20,21,22,23,24,25,26,27,28,29,30}-1)*LEN(Registro!$G782)+1,LEN(Registro!$G782)))&amp;"x")+1,20))),"Revisar formato")))</f>
        <v/>
      </c>
      <c r="J782" s="9" t="str">
        <f>IF(AND(Registro!$E782="",Registro!$G782=""),"",IF(NOT(AND(ISNUMBER(I782),ISNUMBER(Registro!$H782))),"",IF(I782&lt;Registro!$H782,"FALTA BOLETOS",IF(I782=Registro!$H782,"CONFORME","DIFERENCIA"))))</f>
        <v/>
      </c>
      <c r="K782" s="11" t="str">
        <f>IF(Registro!$I782="","",IFERROR(SUMPRODUCT(--("0"&amp;TRIM(RIGHT(SUBSTITUTE(TRIM(MID(SUBSTITUTE(SUBSTITUTE(Registro!$I782,";",CHAR(10)),CHAR(10),REPT(" ",LEN(Registro!$I782))),({1,2,3,4,5,6,7,8,9,10,11,12,13,14,15,16,17,18,19,20,21,22,23,24,25,26,27,28,29,30}-1)*LEN(Registro!$I782)+1,LEN(Registro!$I782)))," ",REPT(" ",50)),50)))),"Revisar formato"))</f>
        <v/>
      </c>
      <c r="L782" s="11" t="str">
        <f>IF(Registro!$J782="","",IFERROR(SUMPRODUCT(--("0"&amp;TRIM(RIGHT(SUBSTITUTE(TRIM(MID(SUBSTITUTE(SUBSTITUTE(Registro!$J782,";",CHAR(10)),CHAR(10),REPT(" ",LEN(Registro!$J782))),({1,2,3,4,5,6,7,8,9,10,11,12,13,14,15,16,17,18,19,20,21,22,23,24,25,26,27,28,29,30}-1)*LEN(Registro!$J782)+1,LEN(Registro!$J782)))," ",REPT(" ",50)),50)))),"Revisar formato"))</f>
        <v/>
      </c>
      <c r="M782" s="11" t="str">
        <f>IF(AND(Registro!$H782="",Registro!$I782=""),"",IF(AND(ISTEXT(K782),K782&lt;&gt;""),"Revisar formato",N(Registro!$H782)-N(K782)))</f>
        <v/>
      </c>
      <c r="N782" s="11" t="str">
        <f t="shared" si="38"/>
        <v/>
      </c>
      <c r="O782" s="15" t="str">
        <f>IF(AND(A782=Consulta!$B$3,C782=Consulta!$H$3),B782*10000+ROW(),"")</f>
        <v/>
      </c>
    </row>
    <row r="783" spans="1:15" x14ac:dyDescent="0.25">
      <c r="A783" s="9" t="str">
        <f>IF(Registro!$A783="","",Registro!$A783)</f>
        <v/>
      </c>
      <c r="B783" s="8" t="str">
        <f>IF(Registro!$B783="","",Registro!$B783)</f>
        <v/>
      </c>
      <c r="C783" s="14" t="str">
        <f t="shared" si="36"/>
        <v/>
      </c>
      <c r="D783" s="10" t="str">
        <f>IF(Registro!$E783="","",IF(ISERROR(FIND("x",LOWER(Registro!$E783))),"-",IFERROR(SUMPRODUCT(--("0"&amp;LEFT(TRIM(MID(SUBSTITUTE(SUBSTITUTE(SUBSTITUTE(SUBSTITUTE(SUBSTITUTE(LOWER(Registro!$E783),"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",LEN(Registro!$E783))),({1,2,3,4,5,6,7,8,9,10,11,12,13,14,15,16,17,18,19,20,21,22,23,24,25,26,27,28,29,30}-1)*LEN(Registro!$E783)+1,LEN(Registro!$E783)))&amp;"x")-1))),"Revisar formato")))</f>
        <v/>
      </c>
      <c r="E783" s="11" t="str">
        <f>IF(Registro!$E783="","",IF(ISERROR(FIND("x",LOWER(Registro!$E783))),"-",IFERROR(SUMPRODUCT(--("0"&amp;LEFT(TRIM(MID(SUBSTITUTE(SUBSTITUTE(SUBSTITUTE(SUBSTITUTE(SUBSTITUTE(LOWER(Registro!$E783),"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",LEN(Registro!$E783))),({1,2,3,4,5,6,7,8,9,10,11,12,13,14,15,16,17,18,19,20,21,22,23,24,25,26,27,28,29,30}-1)*LEN(Registro!$E783)+1,LEN(Registro!$E783)))&amp;"x")-1)),--("0"&amp;MID(TRIM(MID(SUBSTITUTE(SUBSTITUTE(SUBSTITUTE(SUBSTITUTE(SUBSTITUTE(LOWER(Registro!$E783),"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",LEN(Registro!$E783))),({1,2,3,4,5,6,7,8,9,10,11,12,13,14,15,16,17,18,19,20,21,22,23,24,25,26,27,28,29,30}-1)*LEN(Registro!$E783)+1,LEN(Registro!$E783)))&amp;"x")+1,20))),"Revisar formato")))</f>
        <v/>
      </c>
      <c r="F783" s="11" t="str">
        <f>IF(Registro!$F783="","",N(Registro!$F783))</f>
        <v/>
      </c>
      <c r="G783" s="11" t="str">
        <f t="shared" si="37"/>
        <v/>
      </c>
      <c r="H783" s="10" t="str">
        <f>IF(Registro!$G783="","",IF(ISERROR(FIND("x",LOWER(Registro!$G783))),"-",IFERROR(SUMPRODUCT(--("0"&amp;LEFT(TRIM(MID(SUBSTITUTE(SUBSTITUTE(SUBSTITUTE(SUBSTITUTE(SUBSTITUTE(LOWER(Registro!$G783),"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",LEN(Registro!$G783))),({1,2,3,4,5,6,7,8,9,10,11,12,13,14,15,16,17,18,19,20,21,22,23,24,25,26,27,28,29,30}-1)*LEN(Registro!$G783)+1,LEN(Registro!$G783))),FIND("x",TRIM(MID(SUBSTITUTE(SUBSTITUTE(SUBSTITUTE(SUBSTITUTE(SUBSTITUTE(LOWER(Registro!$G783),"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",LEN(Registro!$G783))),({1,2,3,4,5,6,7,8,9,10,11,12,13,14,15,16,17,18,19,20,21,22,23,24,25,26,27,28,29,30}-1)*LEN(Registro!$G783)+1,LEN(Registro!$G783)))&amp;"x")-1))),"Revisar formato")))</f>
        <v/>
      </c>
      <c r="I783" s="11" t="str">
        <f>IF(Registro!$G783="","",IF(ISERROR(FIND("x",LOWER(Registro!$G783))),N(Registro!$H783),IFERROR(SUMPRODUCT(--("0"&amp;LEFT(TRIM(MID(SUBSTITUTE(SUBSTITUTE(SUBSTITUTE(SUBSTITUTE(SUBSTITUTE(LOWER(Registro!$G783),"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",LEN(Registro!$G783))),({1,2,3,4,5,6,7,8,9,10,11,12,13,14,15,16,17,18,19,20,21,22,23,24,25,26,27,28,29,30}-1)*LEN(Registro!$G783)+1,LEN(Registro!$G783))),FIND("x",TRIM(MID(SUBSTITUTE(SUBSTITUTE(SUBSTITUTE(SUBSTITUTE(SUBSTITUTE(LOWER(Registro!$G783),"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",LEN(Registro!$G783))),({1,2,3,4,5,6,7,8,9,10,11,12,13,14,15,16,17,18,19,20,21,22,23,24,25,26,27,28,29,30}-1)*LEN(Registro!$G783)+1,LEN(Registro!$G783)))&amp;"x")-1)),--("0"&amp;MID(TRIM(MID(SUBSTITUTE(SUBSTITUTE(SUBSTITUTE(SUBSTITUTE(SUBSTITUTE(LOWER(Registro!$G783),"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",LEN(Registro!$G783))),({1,2,3,4,5,6,7,8,9,10,11,12,13,14,15,16,17,18,19,20,21,22,23,24,25,26,27,28,29,30}-1)*LEN(Registro!$G783)+1,LEN(Registro!$G783))),FIND("x",TRIM(MID(SUBSTITUTE(SUBSTITUTE(SUBSTITUTE(SUBSTITUTE(SUBSTITUTE(LOWER(Registro!$G783),"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",LEN(Registro!$G783))),({1,2,3,4,5,6,7,8,9,10,11,12,13,14,15,16,17,18,19,20,21,22,23,24,25,26,27,28,29,30}-1)*LEN(Registro!$G783)+1,LEN(Registro!$G783)))&amp;"x")+1,20))),"Revisar formato")))</f>
        <v/>
      </c>
      <c r="J783" s="9" t="str">
        <f>IF(AND(Registro!$E783="",Registro!$G783=""),"",IF(NOT(AND(ISNUMBER(I783),ISNUMBER(Registro!$H783))),"",IF(I783&lt;Registro!$H783,"FALTA BOLETOS",IF(I783=Registro!$H783,"CONFORME","DIFERENCIA"))))</f>
        <v/>
      </c>
      <c r="K783" s="11" t="str">
        <f>IF(Registro!$I783="","",IFERROR(SUMPRODUCT(--("0"&amp;TRIM(RIGHT(SUBSTITUTE(TRIM(MID(SUBSTITUTE(SUBSTITUTE(Registro!$I783,";",CHAR(10)),CHAR(10),REPT(" ",LEN(Registro!$I783))),({1,2,3,4,5,6,7,8,9,10,11,12,13,14,15,16,17,18,19,20,21,22,23,24,25,26,27,28,29,30}-1)*LEN(Registro!$I783)+1,LEN(Registro!$I783)))," ",REPT(" ",50)),50)))),"Revisar formato"))</f>
        <v/>
      </c>
      <c r="L783" s="11" t="str">
        <f>IF(Registro!$J783="","",IFERROR(SUMPRODUCT(--("0"&amp;TRIM(RIGHT(SUBSTITUTE(TRIM(MID(SUBSTITUTE(SUBSTITUTE(Registro!$J783,";",CHAR(10)),CHAR(10),REPT(" ",LEN(Registro!$J783))),({1,2,3,4,5,6,7,8,9,10,11,12,13,14,15,16,17,18,19,20,21,22,23,24,25,26,27,28,29,30}-1)*LEN(Registro!$J783)+1,LEN(Registro!$J783)))," ",REPT(" ",50)),50)))),"Revisar formato"))</f>
        <v/>
      </c>
      <c r="M783" s="11" t="str">
        <f>IF(AND(Registro!$H783="",Registro!$I783=""),"",IF(AND(ISTEXT(K783),K783&lt;&gt;""),"Revisar formato",N(Registro!$H783)-N(K783)))</f>
        <v/>
      </c>
      <c r="N783" s="11" t="str">
        <f t="shared" si="38"/>
        <v/>
      </c>
      <c r="O783" s="15" t="str">
        <f>IF(AND(A783=Consulta!$B$3,C783=Consulta!$H$3),B783*10000+ROW(),"")</f>
        <v/>
      </c>
    </row>
    <row r="784" spans="1:15" x14ac:dyDescent="0.25">
      <c r="A784" s="9" t="str">
        <f>IF(Registro!$A784="","",Registro!$A784)</f>
        <v/>
      </c>
      <c r="B784" s="8" t="str">
        <f>IF(Registro!$B784="","",Registro!$B784)</f>
        <v/>
      </c>
      <c r="C784" s="14" t="str">
        <f t="shared" si="36"/>
        <v/>
      </c>
      <c r="D784" s="10" t="str">
        <f>IF(Registro!$E784="","",IF(ISERROR(FIND("x",LOWER(Registro!$E784))),"-",IFERROR(SUMPRODUCT(--("0"&amp;LEFT(TRIM(MID(SUBSTITUTE(SUBSTITUTE(SUBSTITUTE(SUBSTITUTE(SUBSTITUTE(LOWER(Registro!$E784),"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",LEN(Registro!$E784))),({1,2,3,4,5,6,7,8,9,10,11,12,13,14,15,16,17,18,19,20,21,22,23,24,25,26,27,28,29,30}-1)*LEN(Registro!$E784)+1,LEN(Registro!$E784)))&amp;"x")-1))),"Revisar formato")))</f>
        <v/>
      </c>
      <c r="E784" s="11" t="str">
        <f>IF(Registro!$E784="","",IF(ISERROR(FIND("x",LOWER(Registro!$E784))),"-",IFERROR(SUMPRODUCT(--("0"&amp;LEFT(TRIM(MID(SUBSTITUTE(SUBSTITUTE(SUBSTITUTE(SUBSTITUTE(SUBSTITUTE(LOWER(Registro!$E784),"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",LEN(Registro!$E784))),({1,2,3,4,5,6,7,8,9,10,11,12,13,14,15,16,17,18,19,20,21,22,23,24,25,26,27,28,29,30}-1)*LEN(Registro!$E784)+1,LEN(Registro!$E784)))&amp;"x")-1)),--("0"&amp;MID(TRIM(MID(SUBSTITUTE(SUBSTITUTE(SUBSTITUTE(SUBSTITUTE(SUBSTITUTE(LOWER(Registro!$E784),"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",LEN(Registro!$E784))),({1,2,3,4,5,6,7,8,9,10,11,12,13,14,15,16,17,18,19,20,21,22,23,24,25,26,27,28,29,30}-1)*LEN(Registro!$E784)+1,LEN(Registro!$E784)))&amp;"x")+1,20))),"Revisar formato")))</f>
        <v/>
      </c>
      <c r="F784" s="11" t="str">
        <f>IF(Registro!$F784="","",N(Registro!$F784))</f>
        <v/>
      </c>
      <c r="G784" s="11" t="str">
        <f t="shared" si="37"/>
        <v/>
      </c>
      <c r="H784" s="10" t="str">
        <f>IF(Registro!$G784="","",IF(ISERROR(FIND("x",LOWER(Registro!$G784))),"-",IFERROR(SUMPRODUCT(--("0"&amp;LEFT(TRIM(MID(SUBSTITUTE(SUBSTITUTE(SUBSTITUTE(SUBSTITUTE(SUBSTITUTE(LOWER(Registro!$G784),"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",LEN(Registro!$G784))),({1,2,3,4,5,6,7,8,9,10,11,12,13,14,15,16,17,18,19,20,21,22,23,24,25,26,27,28,29,30}-1)*LEN(Registro!$G784)+1,LEN(Registro!$G784))),FIND("x",TRIM(MID(SUBSTITUTE(SUBSTITUTE(SUBSTITUTE(SUBSTITUTE(SUBSTITUTE(LOWER(Registro!$G784),"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",LEN(Registro!$G784))),({1,2,3,4,5,6,7,8,9,10,11,12,13,14,15,16,17,18,19,20,21,22,23,24,25,26,27,28,29,30}-1)*LEN(Registro!$G784)+1,LEN(Registro!$G784)))&amp;"x")-1))),"Revisar formato")))</f>
        <v/>
      </c>
      <c r="I784" s="11" t="str">
        <f>IF(Registro!$G784="","",IF(ISERROR(FIND("x",LOWER(Registro!$G784))),N(Registro!$H784),IFERROR(SUMPRODUCT(--("0"&amp;LEFT(TRIM(MID(SUBSTITUTE(SUBSTITUTE(SUBSTITUTE(SUBSTITUTE(SUBSTITUTE(LOWER(Registro!$G784),"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",LEN(Registro!$G784))),({1,2,3,4,5,6,7,8,9,10,11,12,13,14,15,16,17,18,19,20,21,22,23,24,25,26,27,28,29,30}-1)*LEN(Registro!$G784)+1,LEN(Registro!$G784))),FIND("x",TRIM(MID(SUBSTITUTE(SUBSTITUTE(SUBSTITUTE(SUBSTITUTE(SUBSTITUTE(LOWER(Registro!$G784),"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",LEN(Registro!$G784))),({1,2,3,4,5,6,7,8,9,10,11,12,13,14,15,16,17,18,19,20,21,22,23,24,25,26,27,28,29,30}-1)*LEN(Registro!$G784)+1,LEN(Registro!$G784)))&amp;"x")-1)),--("0"&amp;MID(TRIM(MID(SUBSTITUTE(SUBSTITUTE(SUBSTITUTE(SUBSTITUTE(SUBSTITUTE(LOWER(Registro!$G784),"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",LEN(Registro!$G784))),({1,2,3,4,5,6,7,8,9,10,11,12,13,14,15,16,17,18,19,20,21,22,23,24,25,26,27,28,29,30}-1)*LEN(Registro!$G784)+1,LEN(Registro!$G784))),FIND("x",TRIM(MID(SUBSTITUTE(SUBSTITUTE(SUBSTITUTE(SUBSTITUTE(SUBSTITUTE(LOWER(Registro!$G784),"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",LEN(Registro!$G784))),({1,2,3,4,5,6,7,8,9,10,11,12,13,14,15,16,17,18,19,20,21,22,23,24,25,26,27,28,29,30}-1)*LEN(Registro!$G784)+1,LEN(Registro!$G784)))&amp;"x")+1,20))),"Revisar formato")))</f>
        <v/>
      </c>
      <c r="J784" s="9" t="str">
        <f>IF(AND(Registro!$E784="",Registro!$G784=""),"",IF(NOT(AND(ISNUMBER(I784),ISNUMBER(Registro!$H784))),"",IF(I784&lt;Registro!$H784,"FALTA BOLETOS",IF(I784=Registro!$H784,"CONFORME","DIFERENCIA"))))</f>
        <v/>
      </c>
      <c r="K784" s="11" t="str">
        <f>IF(Registro!$I784="","",IFERROR(SUMPRODUCT(--("0"&amp;TRIM(RIGHT(SUBSTITUTE(TRIM(MID(SUBSTITUTE(SUBSTITUTE(Registro!$I784,";",CHAR(10)),CHAR(10),REPT(" ",LEN(Registro!$I784))),({1,2,3,4,5,6,7,8,9,10,11,12,13,14,15,16,17,18,19,20,21,22,23,24,25,26,27,28,29,30}-1)*LEN(Registro!$I784)+1,LEN(Registro!$I784)))," ",REPT(" ",50)),50)))),"Revisar formato"))</f>
        <v/>
      </c>
      <c r="L784" s="11" t="str">
        <f>IF(Registro!$J784="","",IFERROR(SUMPRODUCT(--("0"&amp;TRIM(RIGHT(SUBSTITUTE(TRIM(MID(SUBSTITUTE(SUBSTITUTE(Registro!$J784,";",CHAR(10)),CHAR(10),REPT(" ",LEN(Registro!$J784))),({1,2,3,4,5,6,7,8,9,10,11,12,13,14,15,16,17,18,19,20,21,22,23,24,25,26,27,28,29,30}-1)*LEN(Registro!$J784)+1,LEN(Registro!$J784)))," ",REPT(" ",50)),50)))),"Revisar formato"))</f>
        <v/>
      </c>
      <c r="M784" s="11" t="str">
        <f>IF(AND(Registro!$H784="",Registro!$I784=""),"",IF(AND(ISTEXT(K784),K784&lt;&gt;""),"Revisar formato",N(Registro!$H784)-N(K784)))</f>
        <v/>
      </c>
      <c r="N784" s="11" t="str">
        <f t="shared" si="38"/>
        <v/>
      </c>
      <c r="O784" s="15" t="str">
        <f>IF(AND(A784=Consulta!$B$3,C784=Consulta!$H$3),B784*10000+ROW(),"")</f>
        <v/>
      </c>
    </row>
    <row r="785" spans="1:15" x14ac:dyDescent="0.25">
      <c r="A785" s="9" t="str">
        <f>IF(Registro!$A785="","",Registro!$A785)</f>
        <v/>
      </c>
      <c r="B785" s="8" t="str">
        <f>IF(Registro!$B785="","",Registro!$B785)</f>
        <v/>
      </c>
      <c r="C785" s="14" t="str">
        <f t="shared" si="36"/>
        <v/>
      </c>
      <c r="D785" s="10" t="str">
        <f>IF(Registro!$E785="","",IF(ISERROR(FIND("x",LOWER(Registro!$E785))),"-",IFERROR(SUMPRODUCT(--("0"&amp;LEFT(TRIM(MID(SUBSTITUTE(SUBSTITUTE(SUBSTITUTE(SUBSTITUTE(SUBSTITUTE(LOWER(Registro!$E785),"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",LEN(Registro!$E785))),({1,2,3,4,5,6,7,8,9,10,11,12,13,14,15,16,17,18,19,20,21,22,23,24,25,26,27,28,29,30}-1)*LEN(Registro!$E785)+1,LEN(Registro!$E785)))&amp;"x")-1))),"Revisar formato")))</f>
        <v/>
      </c>
      <c r="E785" s="11" t="str">
        <f>IF(Registro!$E785="","",IF(ISERROR(FIND("x",LOWER(Registro!$E785))),"-",IFERROR(SUMPRODUCT(--("0"&amp;LEFT(TRIM(MID(SUBSTITUTE(SUBSTITUTE(SUBSTITUTE(SUBSTITUTE(SUBSTITUTE(LOWER(Registro!$E785),"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",LEN(Registro!$E785))),({1,2,3,4,5,6,7,8,9,10,11,12,13,14,15,16,17,18,19,20,21,22,23,24,25,26,27,28,29,30}-1)*LEN(Registro!$E785)+1,LEN(Registro!$E785)))&amp;"x")-1)),--("0"&amp;MID(TRIM(MID(SUBSTITUTE(SUBSTITUTE(SUBSTITUTE(SUBSTITUTE(SUBSTITUTE(LOWER(Registro!$E785),"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",LEN(Registro!$E785))),({1,2,3,4,5,6,7,8,9,10,11,12,13,14,15,16,17,18,19,20,21,22,23,24,25,26,27,28,29,30}-1)*LEN(Registro!$E785)+1,LEN(Registro!$E785)))&amp;"x")+1,20))),"Revisar formato")))</f>
        <v/>
      </c>
      <c r="F785" s="11" t="str">
        <f>IF(Registro!$F785="","",N(Registro!$F785))</f>
        <v/>
      </c>
      <c r="G785" s="11" t="str">
        <f t="shared" si="37"/>
        <v/>
      </c>
      <c r="H785" s="10" t="str">
        <f>IF(Registro!$G785="","",IF(ISERROR(FIND("x",LOWER(Registro!$G785))),"-",IFERROR(SUMPRODUCT(--("0"&amp;LEFT(TRIM(MID(SUBSTITUTE(SUBSTITUTE(SUBSTITUTE(SUBSTITUTE(SUBSTITUTE(LOWER(Registro!$G785),"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",LEN(Registro!$G785))),({1,2,3,4,5,6,7,8,9,10,11,12,13,14,15,16,17,18,19,20,21,22,23,24,25,26,27,28,29,30}-1)*LEN(Registro!$G785)+1,LEN(Registro!$G785))),FIND("x",TRIM(MID(SUBSTITUTE(SUBSTITUTE(SUBSTITUTE(SUBSTITUTE(SUBSTITUTE(LOWER(Registro!$G785),"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",LEN(Registro!$G785))),({1,2,3,4,5,6,7,8,9,10,11,12,13,14,15,16,17,18,19,20,21,22,23,24,25,26,27,28,29,30}-1)*LEN(Registro!$G785)+1,LEN(Registro!$G785)))&amp;"x")-1))),"Revisar formato")))</f>
        <v/>
      </c>
      <c r="I785" s="11" t="str">
        <f>IF(Registro!$G785="","",IF(ISERROR(FIND("x",LOWER(Registro!$G785))),N(Registro!$H785),IFERROR(SUMPRODUCT(--("0"&amp;LEFT(TRIM(MID(SUBSTITUTE(SUBSTITUTE(SUBSTITUTE(SUBSTITUTE(SUBSTITUTE(LOWER(Registro!$G785),"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",LEN(Registro!$G785))),({1,2,3,4,5,6,7,8,9,10,11,12,13,14,15,16,17,18,19,20,21,22,23,24,25,26,27,28,29,30}-1)*LEN(Registro!$G785)+1,LEN(Registro!$G785))),FIND("x",TRIM(MID(SUBSTITUTE(SUBSTITUTE(SUBSTITUTE(SUBSTITUTE(SUBSTITUTE(LOWER(Registro!$G785),"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",LEN(Registro!$G785))),({1,2,3,4,5,6,7,8,9,10,11,12,13,14,15,16,17,18,19,20,21,22,23,24,25,26,27,28,29,30}-1)*LEN(Registro!$G785)+1,LEN(Registro!$G785)))&amp;"x")-1)),--("0"&amp;MID(TRIM(MID(SUBSTITUTE(SUBSTITUTE(SUBSTITUTE(SUBSTITUTE(SUBSTITUTE(LOWER(Registro!$G785),"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",LEN(Registro!$G785))),({1,2,3,4,5,6,7,8,9,10,11,12,13,14,15,16,17,18,19,20,21,22,23,24,25,26,27,28,29,30}-1)*LEN(Registro!$G785)+1,LEN(Registro!$G785))),FIND("x",TRIM(MID(SUBSTITUTE(SUBSTITUTE(SUBSTITUTE(SUBSTITUTE(SUBSTITUTE(LOWER(Registro!$G785),"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",LEN(Registro!$G785))),({1,2,3,4,5,6,7,8,9,10,11,12,13,14,15,16,17,18,19,20,21,22,23,24,25,26,27,28,29,30}-1)*LEN(Registro!$G785)+1,LEN(Registro!$G785)))&amp;"x")+1,20))),"Revisar formato")))</f>
        <v/>
      </c>
      <c r="J785" s="9" t="str">
        <f>IF(AND(Registro!$E785="",Registro!$G785=""),"",IF(NOT(AND(ISNUMBER(I785),ISNUMBER(Registro!$H785))),"",IF(I785&lt;Registro!$H785,"FALTA BOLETOS",IF(I785=Registro!$H785,"CONFORME","DIFERENCIA"))))</f>
        <v/>
      </c>
      <c r="K785" s="11" t="str">
        <f>IF(Registro!$I785="","",IFERROR(SUMPRODUCT(--("0"&amp;TRIM(RIGHT(SUBSTITUTE(TRIM(MID(SUBSTITUTE(SUBSTITUTE(Registro!$I785,";",CHAR(10)),CHAR(10),REPT(" ",LEN(Registro!$I785))),({1,2,3,4,5,6,7,8,9,10,11,12,13,14,15,16,17,18,19,20,21,22,23,24,25,26,27,28,29,30}-1)*LEN(Registro!$I785)+1,LEN(Registro!$I785)))," ",REPT(" ",50)),50)))),"Revisar formato"))</f>
        <v/>
      </c>
      <c r="L785" s="11" t="str">
        <f>IF(Registro!$J785="","",IFERROR(SUMPRODUCT(--("0"&amp;TRIM(RIGHT(SUBSTITUTE(TRIM(MID(SUBSTITUTE(SUBSTITUTE(Registro!$J785,";",CHAR(10)),CHAR(10),REPT(" ",LEN(Registro!$J785))),({1,2,3,4,5,6,7,8,9,10,11,12,13,14,15,16,17,18,19,20,21,22,23,24,25,26,27,28,29,30}-1)*LEN(Registro!$J785)+1,LEN(Registro!$J785)))," ",REPT(" ",50)),50)))),"Revisar formato"))</f>
        <v/>
      </c>
      <c r="M785" s="11" t="str">
        <f>IF(AND(Registro!$H785="",Registro!$I785=""),"",IF(AND(ISTEXT(K785),K785&lt;&gt;""),"Revisar formato",N(Registro!$H785)-N(K785)))</f>
        <v/>
      </c>
      <c r="N785" s="11" t="str">
        <f t="shared" si="38"/>
        <v/>
      </c>
      <c r="O785" s="15" t="str">
        <f>IF(AND(A785=Consulta!$B$3,C785=Consulta!$H$3),B785*10000+ROW(),"")</f>
        <v/>
      </c>
    </row>
    <row r="786" spans="1:15" x14ac:dyDescent="0.25">
      <c r="A786" s="9" t="str">
        <f>IF(Registro!$A786="","",Registro!$A786)</f>
        <v/>
      </c>
      <c r="B786" s="8" t="str">
        <f>IF(Registro!$B786="","",Registro!$B786)</f>
        <v/>
      </c>
      <c r="C786" s="14" t="str">
        <f t="shared" si="36"/>
        <v/>
      </c>
      <c r="D786" s="10" t="str">
        <f>IF(Registro!$E786="","",IF(ISERROR(FIND("x",LOWER(Registro!$E786))),"-",IFERROR(SUMPRODUCT(--("0"&amp;LEFT(TRIM(MID(SUBSTITUTE(SUBSTITUTE(SUBSTITUTE(SUBSTITUTE(SUBSTITUTE(LOWER(Registro!$E786),"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",LEN(Registro!$E786))),({1,2,3,4,5,6,7,8,9,10,11,12,13,14,15,16,17,18,19,20,21,22,23,24,25,26,27,28,29,30}-1)*LEN(Registro!$E786)+1,LEN(Registro!$E786)))&amp;"x")-1))),"Revisar formato")))</f>
        <v/>
      </c>
      <c r="E786" s="11" t="str">
        <f>IF(Registro!$E786="","",IF(ISERROR(FIND("x",LOWER(Registro!$E786))),"-",IFERROR(SUMPRODUCT(--("0"&amp;LEFT(TRIM(MID(SUBSTITUTE(SUBSTITUTE(SUBSTITUTE(SUBSTITUTE(SUBSTITUTE(LOWER(Registro!$E786),"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",LEN(Registro!$E786))),({1,2,3,4,5,6,7,8,9,10,11,12,13,14,15,16,17,18,19,20,21,22,23,24,25,26,27,28,29,30}-1)*LEN(Registro!$E786)+1,LEN(Registro!$E786)))&amp;"x")-1)),--("0"&amp;MID(TRIM(MID(SUBSTITUTE(SUBSTITUTE(SUBSTITUTE(SUBSTITUTE(SUBSTITUTE(LOWER(Registro!$E786),"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",LEN(Registro!$E786))),({1,2,3,4,5,6,7,8,9,10,11,12,13,14,15,16,17,18,19,20,21,22,23,24,25,26,27,28,29,30}-1)*LEN(Registro!$E786)+1,LEN(Registro!$E786)))&amp;"x")+1,20))),"Revisar formato")))</f>
        <v/>
      </c>
      <c r="F786" s="11" t="str">
        <f>IF(Registro!$F786="","",N(Registro!$F786))</f>
        <v/>
      </c>
      <c r="G786" s="11" t="str">
        <f t="shared" si="37"/>
        <v/>
      </c>
      <c r="H786" s="10" t="str">
        <f>IF(Registro!$G786="","",IF(ISERROR(FIND("x",LOWER(Registro!$G786))),"-",IFERROR(SUMPRODUCT(--("0"&amp;LEFT(TRIM(MID(SUBSTITUTE(SUBSTITUTE(SUBSTITUTE(SUBSTITUTE(SUBSTITUTE(LOWER(Registro!$G786),"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",LEN(Registro!$G786))),({1,2,3,4,5,6,7,8,9,10,11,12,13,14,15,16,17,18,19,20,21,22,23,24,25,26,27,28,29,30}-1)*LEN(Registro!$G786)+1,LEN(Registro!$G786))),FIND("x",TRIM(MID(SUBSTITUTE(SUBSTITUTE(SUBSTITUTE(SUBSTITUTE(SUBSTITUTE(LOWER(Registro!$G786),"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",LEN(Registro!$G786))),({1,2,3,4,5,6,7,8,9,10,11,12,13,14,15,16,17,18,19,20,21,22,23,24,25,26,27,28,29,30}-1)*LEN(Registro!$G786)+1,LEN(Registro!$G786)))&amp;"x")-1))),"Revisar formato")))</f>
        <v/>
      </c>
      <c r="I786" s="11" t="str">
        <f>IF(Registro!$G786="","",IF(ISERROR(FIND("x",LOWER(Registro!$G786))),N(Registro!$H786),IFERROR(SUMPRODUCT(--("0"&amp;LEFT(TRIM(MID(SUBSTITUTE(SUBSTITUTE(SUBSTITUTE(SUBSTITUTE(SUBSTITUTE(LOWER(Registro!$G786),"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",LEN(Registro!$G786))),({1,2,3,4,5,6,7,8,9,10,11,12,13,14,15,16,17,18,19,20,21,22,23,24,25,26,27,28,29,30}-1)*LEN(Registro!$G786)+1,LEN(Registro!$G786))),FIND("x",TRIM(MID(SUBSTITUTE(SUBSTITUTE(SUBSTITUTE(SUBSTITUTE(SUBSTITUTE(LOWER(Registro!$G786),"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",LEN(Registro!$G786))),({1,2,3,4,5,6,7,8,9,10,11,12,13,14,15,16,17,18,19,20,21,22,23,24,25,26,27,28,29,30}-1)*LEN(Registro!$G786)+1,LEN(Registro!$G786)))&amp;"x")-1)),--("0"&amp;MID(TRIM(MID(SUBSTITUTE(SUBSTITUTE(SUBSTITUTE(SUBSTITUTE(SUBSTITUTE(LOWER(Registro!$G786),"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",LEN(Registro!$G786))),({1,2,3,4,5,6,7,8,9,10,11,12,13,14,15,16,17,18,19,20,21,22,23,24,25,26,27,28,29,30}-1)*LEN(Registro!$G786)+1,LEN(Registro!$G786))),FIND("x",TRIM(MID(SUBSTITUTE(SUBSTITUTE(SUBSTITUTE(SUBSTITUTE(SUBSTITUTE(LOWER(Registro!$G786),"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",LEN(Registro!$G786))),({1,2,3,4,5,6,7,8,9,10,11,12,13,14,15,16,17,18,19,20,21,22,23,24,25,26,27,28,29,30}-1)*LEN(Registro!$G786)+1,LEN(Registro!$G786)))&amp;"x")+1,20))),"Revisar formato")))</f>
        <v/>
      </c>
      <c r="J786" s="9" t="str">
        <f>IF(AND(Registro!$E786="",Registro!$G786=""),"",IF(NOT(AND(ISNUMBER(I786),ISNUMBER(Registro!$H786))),"",IF(I786&lt;Registro!$H786,"FALTA BOLETOS",IF(I786=Registro!$H786,"CONFORME","DIFERENCIA"))))</f>
        <v/>
      </c>
      <c r="K786" s="11" t="str">
        <f>IF(Registro!$I786="","",IFERROR(SUMPRODUCT(--("0"&amp;TRIM(RIGHT(SUBSTITUTE(TRIM(MID(SUBSTITUTE(SUBSTITUTE(Registro!$I786,";",CHAR(10)),CHAR(10),REPT(" ",LEN(Registro!$I786))),({1,2,3,4,5,6,7,8,9,10,11,12,13,14,15,16,17,18,19,20,21,22,23,24,25,26,27,28,29,30}-1)*LEN(Registro!$I786)+1,LEN(Registro!$I786)))," ",REPT(" ",50)),50)))),"Revisar formato"))</f>
        <v/>
      </c>
      <c r="L786" s="11" t="str">
        <f>IF(Registro!$J786="","",IFERROR(SUMPRODUCT(--("0"&amp;TRIM(RIGHT(SUBSTITUTE(TRIM(MID(SUBSTITUTE(SUBSTITUTE(Registro!$J786,";",CHAR(10)),CHAR(10),REPT(" ",LEN(Registro!$J786))),({1,2,3,4,5,6,7,8,9,10,11,12,13,14,15,16,17,18,19,20,21,22,23,24,25,26,27,28,29,30}-1)*LEN(Registro!$J786)+1,LEN(Registro!$J786)))," ",REPT(" ",50)),50)))),"Revisar formato"))</f>
        <v/>
      </c>
      <c r="M786" s="11" t="str">
        <f>IF(AND(Registro!$H786="",Registro!$I786=""),"",IF(AND(ISTEXT(K786),K786&lt;&gt;""),"Revisar formato",N(Registro!$H786)-N(K786)))</f>
        <v/>
      </c>
      <c r="N786" s="11" t="str">
        <f t="shared" si="38"/>
        <v/>
      </c>
      <c r="O786" s="15" t="str">
        <f>IF(AND(A786=Consulta!$B$3,C786=Consulta!$H$3),B786*10000+ROW(),"")</f>
        <v/>
      </c>
    </row>
    <row r="787" spans="1:15" x14ac:dyDescent="0.25">
      <c r="A787" s="9" t="str">
        <f>IF(Registro!$A787="","",Registro!$A787)</f>
        <v/>
      </c>
      <c r="B787" s="8" t="str">
        <f>IF(Registro!$B787="","",Registro!$B787)</f>
        <v/>
      </c>
      <c r="C787" s="14" t="str">
        <f t="shared" si="36"/>
        <v/>
      </c>
      <c r="D787" s="10" t="str">
        <f>IF(Registro!$E787="","",IF(ISERROR(FIND("x",LOWER(Registro!$E787))),"-",IFERROR(SUMPRODUCT(--("0"&amp;LEFT(TRIM(MID(SUBSTITUTE(SUBSTITUTE(SUBSTITUTE(SUBSTITUTE(SUBSTITUTE(LOWER(Registro!$E787),"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",LEN(Registro!$E787))),({1,2,3,4,5,6,7,8,9,10,11,12,13,14,15,16,17,18,19,20,21,22,23,24,25,26,27,28,29,30}-1)*LEN(Registro!$E787)+1,LEN(Registro!$E787)))&amp;"x")-1))),"Revisar formato")))</f>
        <v/>
      </c>
      <c r="E787" s="11" t="str">
        <f>IF(Registro!$E787="","",IF(ISERROR(FIND("x",LOWER(Registro!$E787))),"-",IFERROR(SUMPRODUCT(--("0"&amp;LEFT(TRIM(MID(SUBSTITUTE(SUBSTITUTE(SUBSTITUTE(SUBSTITUTE(SUBSTITUTE(LOWER(Registro!$E787),"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",LEN(Registro!$E787))),({1,2,3,4,5,6,7,8,9,10,11,12,13,14,15,16,17,18,19,20,21,22,23,24,25,26,27,28,29,30}-1)*LEN(Registro!$E787)+1,LEN(Registro!$E787)))&amp;"x")-1)),--("0"&amp;MID(TRIM(MID(SUBSTITUTE(SUBSTITUTE(SUBSTITUTE(SUBSTITUTE(SUBSTITUTE(LOWER(Registro!$E787),"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",LEN(Registro!$E787))),({1,2,3,4,5,6,7,8,9,10,11,12,13,14,15,16,17,18,19,20,21,22,23,24,25,26,27,28,29,30}-1)*LEN(Registro!$E787)+1,LEN(Registro!$E787)))&amp;"x")+1,20))),"Revisar formato")))</f>
        <v/>
      </c>
      <c r="F787" s="11" t="str">
        <f>IF(Registro!$F787="","",N(Registro!$F787))</f>
        <v/>
      </c>
      <c r="G787" s="11" t="str">
        <f t="shared" si="37"/>
        <v/>
      </c>
      <c r="H787" s="10" t="str">
        <f>IF(Registro!$G787="","",IF(ISERROR(FIND("x",LOWER(Registro!$G787))),"-",IFERROR(SUMPRODUCT(--("0"&amp;LEFT(TRIM(MID(SUBSTITUTE(SUBSTITUTE(SUBSTITUTE(SUBSTITUTE(SUBSTITUTE(LOWER(Registro!$G787),"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",LEN(Registro!$G787))),({1,2,3,4,5,6,7,8,9,10,11,12,13,14,15,16,17,18,19,20,21,22,23,24,25,26,27,28,29,30}-1)*LEN(Registro!$G787)+1,LEN(Registro!$G787))),FIND("x",TRIM(MID(SUBSTITUTE(SUBSTITUTE(SUBSTITUTE(SUBSTITUTE(SUBSTITUTE(LOWER(Registro!$G787),"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",LEN(Registro!$G787))),({1,2,3,4,5,6,7,8,9,10,11,12,13,14,15,16,17,18,19,20,21,22,23,24,25,26,27,28,29,30}-1)*LEN(Registro!$G787)+1,LEN(Registro!$G787)))&amp;"x")-1))),"Revisar formato")))</f>
        <v/>
      </c>
      <c r="I787" s="11" t="str">
        <f>IF(Registro!$G787="","",IF(ISERROR(FIND("x",LOWER(Registro!$G787))),N(Registro!$H787),IFERROR(SUMPRODUCT(--("0"&amp;LEFT(TRIM(MID(SUBSTITUTE(SUBSTITUTE(SUBSTITUTE(SUBSTITUTE(SUBSTITUTE(LOWER(Registro!$G787),"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",LEN(Registro!$G787))),({1,2,3,4,5,6,7,8,9,10,11,12,13,14,15,16,17,18,19,20,21,22,23,24,25,26,27,28,29,30}-1)*LEN(Registro!$G787)+1,LEN(Registro!$G787))),FIND("x",TRIM(MID(SUBSTITUTE(SUBSTITUTE(SUBSTITUTE(SUBSTITUTE(SUBSTITUTE(LOWER(Registro!$G787),"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",LEN(Registro!$G787))),({1,2,3,4,5,6,7,8,9,10,11,12,13,14,15,16,17,18,19,20,21,22,23,24,25,26,27,28,29,30}-1)*LEN(Registro!$G787)+1,LEN(Registro!$G787)))&amp;"x")-1)),--("0"&amp;MID(TRIM(MID(SUBSTITUTE(SUBSTITUTE(SUBSTITUTE(SUBSTITUTE(SUBSTITUTE(LOWER(Registro!$G787),"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",LEN(Registro!$G787))),({1,2,3,4,5,6,7,8,9,10,11,12,13,14,15,16,17,18,19,20,21,22,23,24,25,26,27,28,29,30}-1)*LEN(Registro!$G787)+1,LEN(Registro!$G787))),FIND("x",TRIM(MID(SUBSTITUTE(SUBSTITUTE(SUBSTITUTE(SUBSTITUTE(SUBSTITUTE(LOWER(Registro!$G787),"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",LEN(Registro!$G787))),({1,2,3,4,5,6,7,8,9,10,11,12,13,14,15,16,17,18,19,20,21,22,23,24,25,26,27,28,29,30}-1)*LEN(Registro!$G787)+1,LEN(Registro!$G787)))&amp;"x")+1,20))),"Revisar formato")))</f>
        <v/>
      </c>
      <c r="J787" s="9" t="str">
        <f>IF(AND(Registro!$E787="",Registro!$G787=""),"",IF(NOT(AND(ISNUMBER(I787),ISNUMBER(Registro!$H787))),"",IF(I787&lt;Registro!$H787,"FALTA BOLETOS",IF(I787=Registro!$H787,"CONFORME","DIFERENCIA"))))</f>
        <v/>
      </c>
      <c r="K787" s="11" t="str">
        <f>IF(Registro!$I787="","",IFERROR(SUMPRODUCT(--("0"&amp;TRIM(RIGHT(SUBSTITUTE(TRIM(MID(SUBSTITUTE(SUBSTITUTE(Registro!$I787,";",CHAR(10)),CHAR(10),REPT(" ",LEN(Registro!$I787))),({1,2,3,4,5,6,7,8,9,10,11,12,13,14,15,16,17,18,19,20,21,22,23,24,25,26,27,28,29,30}-1)*LEN(Registro!$I787)+1,LEN(Registro!$I787)))," ",REPT(" ",50)),50)))),"Revisar formato"))</f>
        <v/>
      </c>
      <c r="L787" s="11" t="str">
        <f>IF(Registro!$J787="","",IFERROR(SUMPRODUCT(--("0"&amp;TRIM(RIGHT(SUBSTITUTE(TRIM(MID(SUBSTITUTE(SUBSTITUTE(Registro!$J787,";",CHAR(10)),CHAR(10),REPT(" ",LEN(Registro!$J787))),({1,2,3,4,5,6,7,8,9,10,11,12,13,14,15,16,17,18,19,20,21,22,23,24,25,26,27,28,29,30}-1)*LEN(Registro!$J787)+1,LEN(Registro!$J787)))," ",REPT(" ",50)),50)))),"Revisar formato"))</f>
        <v/>
      </c>
      <c r="M787" s="11" t="str">
        <f>IF(AND(Registro!$H787="",Registro!$I787=""),"",IF(AND(ISTEXT(K787),K787&lt;&gt;""),"Revisar formato",N(Registro!$H787)-N(K787)))</f>
        <v/>
      </c>
      <c r="N787" s="11" t="str">
        <f t="shared" si="38"/>
        <v/>
      </c>
      <c r="O787" s="15" t="str">
        <f>IF(AND(A787=Consulta!$B$3,C787=Consulta!$H$3),B787*10000+ROW(),"")</f>
        <v/>
      </c>
    </row>
    <row r="788" spans="1:15" x14ac:dyDescent="0.25">
      <c r="A788" s="9" t="str">
        <f>IF(Registro!$A788="","",Registro!$A788)</f>
        <v/>
      </c>
      <c r="B788" s="8" t="str">
        <f>IF(Registro!$B788="","",Registro!$B788)</f>
        <v/>
      </c>
      <c r="C788" s="14" t="str">
        <f t="shared" si="36"/>
        <v/>
      </c>
      <c r="D788" s="10" t="str">
        <f>IF(Registro!$E788="","",IF(ISERROR(FIND("x",LOWER(Registro!$E788))),"-",IFERROR(SUMPRODUCT(--("0"&amp;LEFT(TRIM(MID(SUBSTITUTE(SUBSTITUTE(SUBSTITUTE(SUBSTITUTE(SUBSTITUTE(LOWER(Registro!$E788),"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",LEN(Registro!$E788))),({1,2,3,4,5,6,7,8,9,10,11,12,13,14,15,16,17,18,19,20,21,22,23,24,25,26,27,28,29,30}-1)*LEN(Registro!$E788)+1,LEN(Registro!$E788)))&amp;"x")-1))),"Revisar formato")))</f>
        <v/>
      </c>
      <c r="E788" s="11" t="str">
        <f>IF(Registro!$E788="","",IF(ISERROR(FIND("x",LOWER(Registro!$E788))),"-",IFERROR(SUMPRODUCT(--("0"&amp;LEFT(TRIM(MID(SUBSTITUTE(SUBSTITUTE(SUBSTITUTE(SUBSTITUTE(SUBSTITUTE(LOWER(Registro!$E788),"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",LEN(Registro!$E788))),({1,2,3,4,5,6,7,8,9,10,11,12,13,14,15,16,17,18,19,20,21,22,23,24,25,26,27,28,29,30}-1)*LEN(Registro!$E788)+1,LEN(Registro!$E788)))&amp;"x")-1)),--("0"&amp;MID(TRIM(MID(SUBSTITUTE(SUBSTITUTE(SUBSTITUTE(SUBSTITUTE(SUBSTITUTE(LOWER(Registro!$E788),"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",LEN(Registro!$E788))),({1,2,3,4,5,6,7,8,9,10,11,12,13,14,15,16,17,18,19,20,21,22,23,24,25,26,27,28,29,30}-1)*LEN(Registro!$E788)+1,LEN(Registro!$E788)))&amp;"x")+1,20))),"Revisar formato")))</f>
        <v/>
      </c>
      <c r="F788" s="11" t="str">
        <f>IF(Registro!$F788="","",N(Registro!$F788))</f>
        <v/>
      </c>
      <c r="G788" s="11" t="str">
        <f t="shared" si="37"/>
        <v/>
      </c>
      <c r="H788" s="10" t="str">
        <f>IF(Registro!$G788="","",IF(ISERROR(FIND("x",LOWER(Registro!$G788))),"-",IFERROR(SUMPRODUCT(--("0"&amp;LEFT(TRIM(MID(SUBSTITUTE(SUBSTITUTE(SUBSTITUTE(SUBSTITUTE(SUBSTITUTE(LOWER(Registro!$G788),"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",LEN(Registro!$G788))),({1,2,3,4,5,6,7,8,9,10,11,12,13,14,15,16,17,18,19,20,21,22,23,24,25,26,27,28,29,30}-1)*LEN(Registro!$G788)+1,LEN(Registro!$G788))),FIND("x",TRIM(MID(SUBSTITUTE(SUBSTITUTE(SUBSTITUTE(SUBSTITUTE(SUBSTITUTE(LOWER(Registro!$G788),"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",LEN(Registro!$G788))),({1,2,3,4,5,6,7,8,9,10,11,12,13,14,15,16,17,18,19,20,21,22,23,24,25,26,27,28,29,30}-1)*LEN(Registro!$G788)+1,LEN(Registro!$G788)))&amp;"x")-1))),"Revisar formato")))</f>
        <v/>
      </c>
      <c r="I788" s="11" t="str">
        <f>IF(Registro!$G788="","",IF(ISERROR(FIND("x",LOWER(Registro!$G788))),N(Registro!$H788),IFERROR(SUMPRODUCT(--("0"&amp;LEFT(TRIM(MID(SUBSTITUTE(SUBSTITUTE(SUBSTITUTE(SUBSTITUTE(SUBSTITUTE(LOWER(Registro!$G788),"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",LEN(Registro!$G788))),({1,2,3,4,5,6,7,8,9,10,11,12,13,14,15,16,17,18,19,20,21,22,23,24,25,26,27,28,29,30}-1)*LEN(Registro!$G788)+1,LEN(Registro!$G788))),FIND("x",TRIM(MID(SUBSTITUTE(SUBSTITUTE(SUBSTITUTE(SUBSTITUTE(SUBSTITUTE(LOWER(Registro!$G788),"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",LEN(Registro!$G788))),({1,2,3,4,5,6,7,8,9,10,11,12,13,14,15,16,17,18,19,20,21,22,23,24,25,26,27,28,29,30}-1)*LEN(Registro!$G788)+1,LEN(Registro!$G788)))&amp;"x")-1)),--("0"&amp;MID(TRIM(MID(SUBSTITUTE(SUBSTITUTE(SUBSTITUTE(SUBSTITUTE(SUBSTITUTE(LOWER(Registro!$G788),"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",LEN(Registro!$G788))),({1,2,3,4,5,6,7,8,9,10,11,12,13,14,15,16,17,18,19,20,21,22,23,24,25,26,27,28,29,30}-1)*LEN(Registro!$G788)+1,LEN(Registro!$G788))),FIND("x",TRIM(MID(SUBSTITUTE(SUBSTITUTE(SUBSTITUTE(SUBSTITUTE(SUBSTITUTE(LOWER(Registro!$G788),"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",LEN(Registro!$G788))),({1,2,3,4,5,6,7,8,9,10,11,12,13,14,15,16,17,18,19,20,21,22,23,24,25,26,27,28,29,30}-1)*LEN(Registro!$G788)+1,LEN(Registro!$G788)))&amp;"x")+1,20))),"Revisar formato")))</f>
        <v/>
      </c>
      <c r="J788" s="9" t="str">
        <f>IF(AND(Registro!$E788="",Registro!$G788=""),"",IF(NOT(AND(ISNUMBER(I788),ISNUMBER(Registro!$H788))),"",IF(I788&lt;Registro!$H788,"FALTA BOLETOS",IF(I788=Registro!$H788,"CONFORME","DIFERENCIA"))))</f>
        <v/>
      </c>
      <c r="K788" s="11" t="str">
        <f>IF(Registro!$I788="","",IFERROR(SUMPRODUCT(--("0"&amp;TRIM(RIGHT(SUBSTITUTE(TRIM(MID(SUBSTITUTE(SUBSTITUTE(Registro!$I788,";",CHAR(10)),CHAR(10),REPT(" ",LEN(Registro!$I788))),({1,2,3,4,5,6,7,8,9,10,11,12,13,14,15,16,17,18,19,20,21,22,23,24,25,26,27,28,29,30}-1)*LEN(Registro!$I788)+1,LEN(Registro!$I788)))," ",REPT(" ",50)),50)))),"Revisar formato"))</f>
        <v/>
      </c>
      <c r="L788" s="11" t="str">
        <f>IF(Registro!$J788="","",IFERROR(SUMPRODUCT(--("0"&amp;TRIM(RIGHT(SUBSTITUTE(TRIM(MID(SUBSTITUTE(SUBSTITUTE(Registro!$J788,";",CHAR(10)),CHAR(10),REPT(" ",LEN(Registro!$J788))),({1,2,3,4,5,6,7,8,9,10,11,12,13,14,15,16,17,18,19,20,21,22,23,24,25,26,27,28,29,30}-1)*LEN(Registro!$J788)+1,LEN(Registro!$J788)))," ",REPT(" ",50)),50)))),"Revisar formato"))</f>
        <v/>
      </c>
      <c r="M788" s="11" t="str">
        <f>IF(AND(Registro!$H788="",Registro!$I788=""),"",IF(AND(ISTEXT(K788),K788&lt;&gt;""),"Revisar formato",N(Registro!$H788)-N(K788)))</f>
        <v/>
      </c>
      <c r="N788" s="11" t="str">
        <f t="shared" si="38"/>
        <v/>
      </c>
      <c r="O788" s="15" t="str">
        <f>IF(AND(A788=Consulta!$B$3,C788=Consulta!$H$3),B788*10000+ROW(),"")</f>
        <v/>
      </c>
    </row>
    <row r="789" spans="1:15" x14ac:dyDescent="0.25">
      <c r="A789" s="9" t="str">
        <f>IF(Registro!$A789="","",Registro!$A789)</f>
        <v/>
      </c>
      <c r="B789" s="8" t="str">
        <f>IF(Registro!$B789="","",Registro!$B789)</f>
        <v/>
      </c>
      <c r="C789" s="14" t="str">
        <f t="shared" si="36"/>
        <v/>
      </c>
      <c r="D789" s="10" t="str">
        <f>IF(Registro!$E789="","",IF(ISERROR(FIND("x",LOWER(Registro!$E789))),"-",IFERROR(SUMPRODUCT(--("0"&amp;LEFT(TRIM(MID(SUBSTITUTE(SUBSTITUTE(SUBSTITUTE(SUBSTITUTE(SUBSTITUTE(LOWER(Registro!$E789),"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",LEN(Registro!$E789))),({1,2,3,4,5,6,7,8,9,10,11,12,13,14,15,16,17,18,19,20,21,22,23,24,25,26,27,28,29,30}-1)*LEN(Registro!$E789)+1,LEN(Registro!$E789)))&amp;"x")-1))),"Revisar formato")))</f>
        <v/>
      </c>
      <c r="E789" s="11" t="str">
        <f>IF(Registro!$E789="","",IF(ISERROR(FIND("x",LOWER(Registro!$E789))),"-",IFERROR(SUMPRODUCT(--("0"&amp;LEFT(TRIM(MID(SUBSTITUTE(SUBSTITUTE(SUBSTITUTE(SUBSTITUTE(SUBSTITUTE(LOWER(Registro!$E789),"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",LEN(Registro!$E789))),({1,2,3,4,5,6,7,8,9,10,11,12,13,14,15,16,17,18,19,20,21,22,23,24,25,26,27,28,29,30}-1)*LEN(Registro!$E789)+1,LEN(Registro!$E789)))&amp;"x")-1)),--("0"&amp;MID(TRIM(MID(SUBSTITUTE(SUBSTITUTE(SUBSTITUTE(SUBSTITUTE(SUBSTITUTE(LOWER(Registro!$E789),"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",LEN(Registro!$E789))),({1,2,3,4,5,6,7,8,9,10,11,12,13,14,15,16,17,18,19,20,21,22,23,24,25,26,27,28,29,30}-1)*LEN(Registro!$E789)+1,LEN(Registro!$E789)))&amp;"x")+1,20))),"Revisar formato")))</f>
        <v/>
      </c>
      <c r="F789" s="11" t="str">
        <f>IF(Registro!$F789="","",N(Registro!$F789))</f>
        <v/>
      </c>
      <c r="G789" s="11" t="str">
        <f t="shared" si="37"/>
        <v/>
      </c>
      <c r="H789" s="10" t="str">
        <f>IF(Registro!$G789="","",IF(ISERROR(FIND("x",LOWER(Registro!$G789))),"-",IFERROR(SUMPRODUCT(--("0"&amp;LEFT(TRIM(MID(SUBSTITUTE(SUBSTITUTE(SUBSTITUTE(SUBSTITUTE(SUBSTITUTE(LOWER(Registro!$G789),"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",LEN(Registro!$G789))),({1,2,3,4,5,6,7,8,9,10,11,12,13,14,15,16,17,18,19,20,21,22,23,24,25,26,27,28,29,30}-1)*LEN(Registro!$G789)+1,LEN(Registro!$G789))),FIND("x",TRIM(MID(SUBSTITUTE(SUBSTITUTE(SUBSTITUTE(SUBSTITUTE(SUBSTITUTE(LOWER(Registro!$G789),"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",LEN(Registro!$G789))),({1,2,3,4,5,6,7,8,9,10,11,12,13,14,15,16,17,18,19,20,21,22,23,24,25,26,27,28,29,30}-1)*LEN(Registro!$G789)+1,LEN(Registro!$G789)))&amp;"x")-1))),"Revisar formato")))</f>
        <v/>
      </c>
      <c r="I789" s="11" t="str">
        <f>IF(Registro!$G789="","",IF(ISERROR(FIND("x",LOWER(Registro!$G789))),N(Registro!$H789),IFERROR(SUMPRODUCT(--("0"&amp;LEFT(TRIM(MID(SUBSTITUTE(SUBSTITUTE(SUBSTITUTE(SUBSTITUTE(SUBSTITUTE(LOWER(Registro!$G789),"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",LEN(Registro!$G789))),({1,2,3,4,5,6,7,8,9,10,11,12,13,14,15,16,17,18,19,20,21,22,23,24,25,26,27,28,29,30}-1)*LEN(Registro!$G789)+1,LEN(Registro!$G789))),FIND("x",TRIM(MID(SUBSTITUTE(SUBSTITUTE(SUBSTITUTE(SUBSTITUTE(SUBSTITUTE(LOWER(Registro!$G789),"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",LEN(Registro!$G789))),({1,2,3,4,5,6,7,8,9,10,11,12,13,14,15,16,17,18,19,20,21,22,23,24,25,26,27,28,29,30}-1)*LEN(Registro!$G789)+1,LEN(Registro!$G789)))&amp;"x")-1)),--("0"&amp;MID(TRIM(MID(SUBSTITUTE(SUBSTITUTE(SUBSTITUTE(SUBSTITUTE(SUBSTITUTE(LOWER(Registro!$G789),"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",LEN(Registro!$G789))),({1,2,3,4,5,6,7,8,9,10,11,12,13,14,15,16,17,18,19,20,21,22,23,24,25,26,27,28,29,30}-1)*LEN(Registro!$G789)+1,LEN(Registro!$G789))),FIND("x",TRIM(MID(SUBSTITUTE(SUBSTITUTE(SUBSTITUTE(SUBSTITUTE(SUBSTITUTE(LOWER(Registro!$G789),"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",LEN(Registro!$G789))),({1,2,3,4,5,6,7,8,9,10,11,12,13,14,15,16,17,18,19,20,21,22,23,24,25,26,27,28,29,30}-1)*LEN(Registro!$G789)+1,LEN(Registro!$G789)))&amp;"x")+1,20))),"Revisar formato")))</f>
        <v/>
      </c>
      <c r="J789" s="9" t="str">
        <f>IF(AND(Registro!$E789="",Registro!$G789=""),"",IF(NOT(AND(ISNUMBER(I789),ISNUMBER(Registro!$H789))),"",IF(I789&lt;Registro!$H789,"FALTA BOLETOS",IF(I789=Registro!$H789,"CONFORME","DIFERENCIA"))))</f>
        <v/>
      </c>
      <c r="K789" s="11" t="str">
        <f>IF(Registro!$I789="","",IFERROR(SUMPRODUCT(--("0"&amp;TRIM(RIGHT(SUBSTITUTE(TRIM(MID(SUBSTITUTE(SUBSTITUTE(Registro!$I789,";",CHAR(10)),CHAR(10),REPT(" ",LEN(Registro!$I789))),({1,2,3,4,5,6,7,8,9,10,11,12,13,14,15,16,17,18,19,20,21,22,23,24,25,26,27,28,29,30}-1)*LEN(Registro!$I789)+1,LEN(Registro!$I789)))," ",REPT(" ",50)),50)))),"Revisar formato"))</f>
        <v/>
      </c>
      <c r="L789" s="11" t="str">
        <f>IF(Registro!$J789="","",IFERROR(SUMPRODUCT(--("0"&amp;TRIM(RIGHT(SUBSTITUTE(TRIM(MID(SUBSTITUTE(SUBSTITUTE(Registro!$J789,";",CHAR(10)),CHAR(10),REPT(" ",LEN(Registro!$J789))),({1,2,3,4,5,6,7,8,9,10,11,12,13,14,15,16,17,18,19,20,21,22,23,24,25,26,27,28,29,30}-1)*LEN(Registro!$J789)+1,LEN(Registro!$J789)))," ",REPT(" ",50)),50)))),"Revisar formato"))</f>
        <v/>
      </c>
      <c r="M789" s="11" t="str">
        <f>IF(AND(Registro!$H789="",Registro!$I789=""),"",IF(AND(ISTEXT(K789),K789&lt;&gt;""),"Revisar formato",N(Registro!$H789)-N(K789)))</f>
        <v/>
      </c>
      <c r="N789" s="11" t="str">
        <f t="shared" si="38"/>
        <v/>
      </c>
      <c r="O789" s="15" t="str">
        <f>IF(AND(A789=Consulta!$B$3,C789=Consulta!$H$3),B789*10000+ROW(),"")</f>
        <v/>
      </c>
    </row>
    <row r="790" spans="1:15" x14ac:dyDescent="0.25">
      <c r="A790" s="9" t="str">
        <f>IF(Registro!$A790="","",Registro!$A790)</f>
        <v/>
      </c>
      <c r="B790" s="8" t="str">
        <f>IF(Registro!$B790="","",Registro!$B790)</f>
        <v/>
      </c>
      <c r="C790" s="14" t="str">
        <f t="shared" si="36"/>
        <v/>
      </c>
      <c r="D790" s="10" t="str">
        <f>IF(Registro!$E790="","",IF(ISERROR(FIND("x",LOWER(Registro!$E790))),"-",IFERROR(SUMPRODUCT(--("0"&amp;LEFT(TRIM(MID(SUBSTITUTE(SUBSTITUTE(SUBSTITUTE(SUBSTITUTE(SUBSTITUTE(LOWER(Registro!$E790),"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",LEN(Registro!$E790))),({1,2,3,4,5,6,7,8,9,10,11,12,13,14,15,16,17,18,19,20,21,22,23,24,25,26,27,28,29,30}-1)*LEN(Registro!$E790)+1,LEN(Registro!$E790)))&amp;"x")-1))),"Revisar formato")))</f>
        <v/>
      </c>
      <c r="E790" s="11" t="str">
        <f>IF(Registro!$E790="","",IF(ISERROR(FIND("x",LOWER(Registro!$E790))),"-",IFERROR(SUMPRODUCT(--("0"&amp;LEFT(TRIM(MID(SUBSTITUTE(SUBSTITUTE(SUBSTITUTE(SUBSTITUTE(SUBSTITUTE(LOWER(Registro!$E790),"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",LEN(Registro!$E790))),({1,2,3,4,5,6,7,8,9,10,11,12,13,14,15,16,17,18,19,20,21,22,23,24,25,26,27,28,29,30}-1)*LEN(Registro!$E790)+1,LEN(Registro!$E790)))&amp;"x")-1)),--("0"&amp;MID(TRIM(MID(SUBSTITUTE(SUBSTITUTE(SUBSTITUTE(SUBSTITUTE(SUBSTITUTE(LOWER(Registro!$E790),"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",LEN(Registro!$E790))),({1,2,3,4,5,6,7,8,9,10,11,12,13,14,15,16,17,18,19,20,21,22,23,24,25,26,27,28,29,30}-1)*LEN(Registro!$E790)+1,LEN(Registro!$E790)))&amp;"x")+1,20))),"Revisar formato")))</f>
        <v/>
      </c>
      <c r="F790" s="11" t="str">
        <f>IF(Registro!$F790="","",N(Registro!$F790))</f>
        <v/>
      </c>
      <c r="G790" s="11" t="str">
        <f t="shared" si="37"/>
        <v/>
      </c>
      <c r="H790" s="10" t="str">
        <f>IF(Registro!$G790="","",IF(ISERROR(FIND("x",LOWER(Registro!$G790))),"-",IFERROR(SUMPRODUCT(--("0"&amp;LEFT(TRIM(MID(SUBSTITUTE(SUBSTITUTE(SUBSTITUTE(SUBSTITUTE(SUBSTITUTE(LOWER(Registro!$G790),"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",LEN(Registro!$G790))),({1,2,3,4,5,6,7,8,9,10,11,12,13,14,15,16,17,18,19,20,21,22,23,24,25,26,27,28,29,30}-1)*LEN(Registro!$G790)+1,LEN(Registro!$G790))),FIND("x",TRIM(MID(SUBSTITUTE(SUBSTITUTE(SUBSTITUTE(SUBSTITUTE(SUBSTITUTE(LOWER(Registro!$G790),"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",LEN(Registro!$G790))),({1,2,3,4,5,6,7,8,9,10,11,12,13,14,15,16,17,18,19,20,21,22,23,24,25,26,27,28,29,30}-1)*LEN(Registro!$G790)+1,LEN(Registro!$G790)))&amp;"x")-1))),"Revisar formato")))</f>
        <v/>
      </c>
      <c r="I790" s="11" t="str">
        <f>IF(Registro!$G790="","",IF(ISERROR(FIND("x",LOWER(Registro!$G790))),N(Registro!$H790),IFERROR(SUMPRODUCT(--("0"&amp;LEFT(TRIM(MID(SUBSTITUTE(SUBSTITUTE(SUBSTITUTE(SUBSTITUTE(SUBSTITUTE(LOWER(Registro!$G790),"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",LEN(Registro!$G790))),({1,2,3,4,5,6,7,8,9,10,11,12,13,14,15,16,17,18,19,20,21,22,23,24,25,26,27,28,29,30}-1)*LEN(Registro!$G790)+1,LEN(Registro!$G790))),FIND("x",TRIM(MID(SUBSTITUTE(SUBSTITUTE(SUBSTITUTE(SUBSTITUTE(SUBSTITUTE(LOWER(Registro!$G790),"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",LEN(Registro!$G790))),({1,2,3,4,5,6,7,8,9,10,11,12,13,14,15,16,17,18,19,20,21,22,23,24,25,26,27,28,29,30}-1)*LEN(Registro!$G790)+1,LEN(Registro!$G790)))&amp;"x")-1)),--("0"&amp;MID(TRIM(MID(SUBSTITUTE(SUBSTITUTE(SUBSTITUTE(SUBSTITUTE(SUBSTITUTE(LOWER(Registro!$G790),"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",LEN(Registro!$G790))),({1,2,3,4,5,6,7,8,9,10,11,12,13,14,15,16,17,18,19,20,21,22,23,24,25,26,27,28,29,30}-1)*LEN(Registro!$G790)+1,LEN(Registro!$G790))),FIND("x",TRIM(MID(SUBSTITUTE(SUBSTITUTE(SUBSTITUTE(SUBSTITUTE(SUBSTITUTE(LOWER(Registro!$G790),"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",LEN(Registro!$G790))),({1,2,3,4,5,6,7,8,9,10,11,12,13,14,15,16,17,18,19,20,21,22,23,24,25,26,27,28,29,30}-1)*LEN(Registro!$G790)+1,LEN(Registro!$G790)))&amp;"x")+1,20))),"Revisar formato")))</f>
        <v/>
      </c>
      <c r="J790" s="9" t="str">
        <f>IF(AND(Registro!$E790="",Registro!$G790=""),"",IF(NOT(AND(ISNUMBER(I790),ISNUMBER(Registro!$H790))),"",IF(I790&lt;Registro!$H790,"FALTA BOLETOS",IF(I790=Registro!$H790,"CONFORME","DIFERENCIA"))))</f>
        <v/>
      </c>
      <c r="K790" s="11" t="str">
        <f>IF(Registro!$I790="","",IFERROR(SUMPRODUCT(--("0"&amp;TRIM(RIGHT(SUBSTITUTE(TRIM(MID(SUBSTITUTE(SUBSTITUTE(Registro!$I790,";",CHAR(10)),CHAR(10),REPT(" ",LEN(Registro!$I790))),({1,2,3,4,5,6,7,8,9,10,11,12,13,14,15,16,17,18,19,20,21,22,23,24,25,26,27,28,29,30}-1)*LEN(Registro!$I790)+1,LEN(Registro!$I790)))," ",REPT(" ",50)),50)))),"Revisar formato"))</f>
        <v/>
      </c>
      <c r="L790" s="11" t="str">
        <f>IF(Registro!$J790="","",IFERROR(SUMPRODUCT(--("0"&amp;TRIM(RIGHT(SUBSTITUTE(TRIM(MID(SUBSTITUTE(SUBSTITUTE(Registro!$J790,";",CHAR(10)),CHAR(10),REPT(" ",LEN(Registro!$J790))),({1,2,3,4,5,6,7,8,9,10,11,12,13,14,15,16,17,18,19,20,21,22,23,24,25,26,27,28,29,30}-1)*LEN(Registro!$J790)+1,LEN(Registro!$J790)))," ",REPT(" ",50)),50)))),"Revisar formato"))</f>
        <v/>
      </c>
      <c r="M790" s="11" t="str">
        <f>IF(AND(Registro!$H790="",Registro!$I790=""),"",IF(AND(ISTEXT(K790),K790&lt;&gt;""),"Revisar formato",N(Registro!$H790)-N(K790)))</f>
        <v/>
      </c>
      <c r="N790" s="11" t="str">
        <f t="shared" si="38"/>
        <v/>
      </c>
      <c r="O790" s="15" t="str">
        <f>IF(AND(A790=Consulta!$B$3,C790=Consulta!$H$3),B790*10000+ROW(),"")</f>
        <v/>
      </c>
    </row>
    <row r="791" spans="1:15" x14ac:dyDescent="0.25">
      <c r="A791" s="9" t="str">
        <f>IF(Registro!$A791="","",Registro!$A791)</f>
        <v/>
      </c>
      <c r="B791" s="8" t="str">
        <f>IF(Registro!$B791="","",Registro!$B791)</f>
        <v/>
      </c>
      <c r="C791" s="14" t="str">
        <f t="shared" si="36"/>
        <v/>
      </c>
      <c r="D791" s="10" t="str">
        <f>IF(Registro!$E791="","",IF(ISERROR(FIND("x",LOWER(Registro!$E791))),"-",IFERROR(SUMPRODUCT(--("0"&amp;LEFT(TRIM(MID(SUBSTITUTE(SUBSTITUTE(SUBSTITUTE(SUBSTITUTE(SUBSTITUTE(LOWER(Registro!$E791),"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",LEN(Registro!$E791))),({1,2,3,4,5,6,7,8,9,10,11,12,13,14,15,16,17,18,19,20,21,22,23,24,25,26,27,28,29,30}-1)*LEN(Registro!$E791)+1,LEN(Registro!$E791)))&amp;"x")-1))),"Revisar formato")))</f>
        <v/>
      </c>
      <c r="E791" s="11" t="str">
        <f>IF(Registro!$E791="","",IF(ISERROR(FIND("x",LOWER(Registro!$E791))),"-",IFERROR(SUMPRODUCT(--("0"&amp;LEFT(TRIM(MID(SUBSTITUTE(SUBSTITUTE(SUBSTITUTE(SUBSTITUTE(SUBSTITUTE(LOWER(Registro!$E791),"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",LEN(Registro!$E791))),({1,2,3,4,5,6,7,8,9,10,11,12,13,14,15,16,17,18,19,20,21,22,23,24,25,26,27,28,29,30}-1)*LEN(Registro!$E791)+1,LEN(Registro!$E791)))&amp;"x")-1)),--("0"&amp;MID(TRIM(MID(SUBSTITUTE(SUBSTITUTE(SUBSTITUTE(SUBSTITUTE(SUBSTITUTE(LOWER(Registro!$E791),"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",LEN(Registro!$E791))),({1,2,3,4,5,6,7,8,9,10,11,12,13,14,15,16,17,18,19,20,21,22,23,24,25,26,27,28,29,30}-1)*LEN(Registro!$E791)+1,LEN(Registro!$E791)))&amp;"x")+1,20))),"Revisar formato")))</f>
        <v/>
      </c>
      <c r="F791" s="11" t="str">
        <f>IF(Registro!$F791="","",N(Registro!$F791))</f>
        <v/>
      </c>
      <c r="G791" s="11" t="str">
        <f t="shared" si="37"/>
        <v/>
      </c>
      <c r="H791" s="10" t="str">
        <f>IF(Registro!$G791="","",IF(ISERROR(FIND("x",LOWER(Registro!$G791))),"-",IFERROR(SUMPRODUCT(--("0"&amp;LEFT(TRIM(MID(SUBSTITUTE(SUBSTITUTE(SUBSTITUTE(SUBSTITUTE(SUBSTITUTE(LOWER(Registro!$G791),"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",LEN(Registro!$G791))),({1,2,3,4,5,6,7,8,9,10,11,12,13,14,15,16,17,18,19,20,21,22,23,24,25,26,27,28,29,30}-1)*LEN(Registro!$G791)+1,LEN(Registro!$G791))),FIND("x",TRIM(MID(SUBSTITUTE(SUBSTITUTE(SUBSTITUTE(SUBSTITUTE(SUBSTITUTE(LOWER(Registro!$G791),"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",LEN(Registro!$G791))),({1,2,3,4,5,6,7,8,9,10,11,12,13,14,15,16,17,18,19,20,21,22,23,24,25,26,27,28,29,30}-1)*LEN(Registro!$G791)+1,LEN(Registro!$G791)))&amp;"x")-1))),"Revisar formato")))</f>
        <v/>
      </c>
      <c r="I791" s="11" t="str">
        <f>IF(Registro!$G791="","",IF(ISERROR(FIND("x",LOWER(Registro!$G791))),N(Registro!$H791),IFERROR(SUMPRODUCT(--("0"&amp;LEFT(TRIM(MID(SUBSTITUTE(SUBSTITUTE(SUBSTITUTE(SUBSTITUTE(SUBSTITUTE(LOWER(Registro!$G791),"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",LEN(Registro!$G791))),({1,2,3,4,5,6,7,8,9,10,11,12,13,14,15,16,17,18,19,20,21,22,23,24,25,26,27,28,29,30}-1)*LEN(Registro!$G791)+1,LEN(Registro!$G791))),FIND("x",TRIM(MID(SUBSTITUTE(SUBSTITUTE(SUBSTITUTE(SUBSTITUTE(SUBSTITUTE(LOWER(Registro!$G791),"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",LEN(Registro!$G791))),({1,2,3,4,5,6,7,8,9,10,11,12,13,14,15,16,17,18,19,20,21,22,23,24,25,26,27,28,29,30}-1)*LEN(Registro!$G791)+1,LEN(Registro!$G791)))&amp;"x")-1)),--("0"&amp;MID(TRIM(MID(SUBSTITUTE(SUBSTITUTE(SUBSTITUTE(SUBSTITUTE(SUBSTITUTE(LOWER(Registro!$G791),"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",LEN(Registro!$G791))),({1,2,3,4,5,6,7,8,9,10,11,12,13,14,15,16,17,18,19,20,21,22,23,24,25,26,27,28,29,30}-1)*LEN(Registro!$G791)+1,LEN(Registro!$G791))),FIND("x",TRIM(MID(SUBSTITUTE(SUBSTITUTE(SUBSTITUTE(SUBSTITUTE(SUBSTITUTE(LOWER(Registro!$G791),"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",LEN(Registro!$G791))),({1,2,3,4,5,6,7,8,9,10,11,12,13,14,15,16,17,18,19,20,21,22,23,24,25,26,27,28,29,30}-1)*LEN(Registro!$G791)+1,LEN(Registro!$G791)))&amp;"x")+1,20))),"Revisar formato")))</f>
        <v/>
      </c>
      <c r="J791" s="9" t="str">
        <f>IF(AND(Registro!$E791="",Registro!$G791=""),"",IF(NOT(AND(ISNUMBER(I791),ISNUMBER(Registro!$H791))),"",IF(I791&lt;Registro!$H791,"FALTA BOLETOS",IF(I791=Registro!$H791,"CONFORME","DIFERENCIA"))))</f>
        <v/>
      </c>
      <c r="K791" s="11" t="str">
        <f>IF(Registro!$I791="","",IFERROR(SUMPRODUCT(--("0"&amp;TRIM(RIGHT(SUBSTITUTE(TRIM(MID(SUBSTITUTE(SUBSTITUTE(Registro!$I791,";",CHAR(10)),CHAR(10),REPT(" ",LEN(Registro!$I791))),({1,2,3,4,5,6,7,8,9,10,11,12,13,14,15,16,17,18,19,20,21,22,23,24,25,26,27,28,29,30}-1)*LEN(Registro!$I791)+1,LEN(Registro!$I791)))," ",REPT(" ",50)),50)))),"Revisar formato"))</f>
        <v/>
      </c>
      <c r="L791" s="11" t="str">
        <f>IF(Registro!$J791="","",IFERROR(SUMPRODUCT(--("0"&amp;TRIM(RIGHT(SUBSTITUTE(TRIM(MID(SUBSTITUTE(SUBSTITUTE(Registro!$J791,";",CHAR(10)),CHAR(10),REPT(" ",LEN(Registro!$J791))),({1,2,3,4,5,6,7,8,9,10,11,12,13,14,15,16,17,18,19,20,21,22,23,24,25,26,27,28,29,30}-1)*LEN(Registro!$J791)+1,LEN(Registro!$J791)))," ",REPT(" ",50)),50)))),"Revisar formato"))</f>
        <v/>
      </c>
      <c r="M791" s="11" t="str">
        <f>IF(AND(Registro!$H791="",Registro!$I791=""),"",IF(AND(ISTEXT(K791),K791&lt;&gt;""),"Revisar formato",N(Registro!$H791)-N(K791)))</f>
        <v/>
      </c>
      <c r="N791" s="11" t="str">
        <f t="shared" si="38"/>
        <v/>
      </c>
      <c r="O791" s="15" t="str">
        <f>IF(AND(A791=Consulta!$B$3,C791=Consulta!$H$3),B791*10000+ROW(),"")</f>
        <v/>
      </c>
    </row>
    <row r="792" spans="1:15" x14ac:dyDescent="0.25">
      <c r="A792" s="9" t="str">
        <f>IF(Registro!$A792="","",Registro!$A792)</f>
        <v/>
      </c>
      <c r="B792" s="8" t="str">
        <f>IF(Registro!$B792="","",Registro!$B792)</f>
        <v/>
      </c>
      <c r="C792" s="14" t="str">
        <f t="shared" si="36"/>
        <v/>
      </c>
      <c r="D792" s="10" t="str">
        <f>IF(Registro!$E792="","",IF(ISERROR(FIND("x",LOWER(Registro!$E792))),"-",IFERROR(SUMPRODUCT(--("0"&amp;LEFT(TRIM(MID(SUBSTITUTE(SUBSTITUTE(SUBSTITUTE(SUBSTITUTE(SUBSTITUTE(LOWER(Registro!$E792),"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",LEN(Registro!$E792))),({1,2,3,4,5,6,7,8,9,10,11,12,13,14,15,16,17,18,19,20,21,22,23,24,25,26,27,28,29,30}-1)*LEN(Registro!$E792)+1,LEN(Registro!$E792)))&amp;"x")-1))),"Revisar formato")))</f>
        <v/>
      </c>
      <c r="E792" s="11" t="str">
        <f>IF(Registro!$E792="","",IF(ISERROR(FIND("x",LOWER(Registro!$E792))),"-",IFERROR(SUMPRODUCT(--("0"&amp;LEFT(TRIM(MID(SUBSTITUTE(SUBSTITUTE(SUBSTITUTE(SUBSTITUTE(SUBSTITUTE(LOWER(Registro!$E792),"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",LEN(Registro!$E792))),({1,2,3,4,5,6,7,8,9,10,11,12,13,14,15,16,17,18,19,20,21,22,23,24,25,26,27,28,29,30}-1)*LEN(Registro!$E792)+1,LEN(Registro!$E792)))&amp;"x")-1)),--("0"&amp;MID(TRIM(MID(SUBSTITUTE(SUBSTITUTE(SUBSTITUTE(SUBSTITUTE(SUBSTITUTE(LOWER(Registro!$E792),"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",LEN(Registro!$E792))),({1,2,3,4,5,6,7,8,9,10,11,12,13,14,15,16,17,18,19,20,21,22,23,24,25,26,27,28,29,30}-1)*LEN(Registro!$E792)+1,LEN(Registro!$E792)))&amp;"x")+1,20))),"Revisar formato")))</f>
        <v/>
      </c>
      <c r="F792" s="11" t="str">
        <f>IF(Registro!$F792="","",N(Registro!$F792))</f>
        <v/>
      </c>
      <c r="G792" s="11" t="str">
        <f t="shared" si="37"/>
        <v/>
      </c>
      <c r="H792" s="10" t="str">
        <f>IF(Registro!$G792="","",IF(ISERROR(FIND("x",LOWER(Registro!$G792))),"-",IFERROR(SUMPRODUCT(--("0"&amp;LEFT(TRIM(MID(SUBSTITUTE(SUBSTITUTE(SUBSTITUTE(SUBSTITUTE(SUBSTITUTE(LOWER(Registro!$G792),"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",LEN(Registro!$G792))),({1,2,3,4,5,6,7,8,9,10,11,12,13,14,15,16,17,18,19,20,21,22,23,24,25,26,27,28,29,30}-1)*LEN(Registro!$G792)+1,LEN(Registro!$G792))),FIND("x",TRIM(MID(SUBSTITUTE(SUBSTITUTE(SUBSTITUTE(SUBSTITUTE(SUBSTITUTE(LOWER(Registro!$G792),"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",LEN(Registro!$G792))),({1,2,3,4,5,6,7,8,9,10,11,12,13,14,15,16,17,18,19,20,21,22,23,24,25,26,27,28,29,30}-1)*LEN(Registro!$G792)+1,LEN(Registro!$G792)))&amp;"x")-1))),"Revisar formato")))</f>
        <v/>
      </c>
      <c r="I792" s="11" t="str">
        <f>IF(Registro!$G792="","",IF(ISERROR(FIND("x",LOWER(Registro!$G792))),N(Registro!$H792),IFERROR(SUMPRODUCT(--("0"&amp;LEFT(TRIM(MID(SUBSTITUTE(SUBSTITUTE(SUBSTITUTE(SUBSTITUTE(SUBSTITUTE(LOWER(Registro!$G792),"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",LEN(Registro!$G792))),({1,2,3,4,5,6,7,8,9,10,11,12,13,14,15,16,17,18,19,20,21,22,23,24,25,26,27,28,29,30}-1)*LEN(Registro!$G792)+1,LEN(Registro!$G792))),FIND("x",TRIM(MID(SUBSTITUTE(SUBSTITUTE(SUBSTITUTE(SUBSTITUTE(SUBSTITUTE(LOWER(Registro!$G792),"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",LEN(Registro!$G792))),({1,2,3,4,5,6,7,8,9,10,11,12,13,14,15,16,17,18,19,20,21,22,23,24,25,26,27,28,29,30}-1)*LEN(Registro!$G792)+1,LEN(Registro!$G792)))&amp;"x")-1)),--("0"&amp;MID(TRIM(MID(SUBSTITUTE(SUBSTITUTE(SUBSTITUTE(SUBSTITUTE(SUBSTITUTE(LOWER(Registro!$G792),"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",LEN(Registro!$G792))),({1,2,3,4,5,6,7,8,9,10,11,12,13,14,15,16,17,18,19,20,21,22,23,24,25,26,27,28,29,30}-1)*LEN(Registro!$G792)+1,LEN(Registro!$G792))),FIND("x",TRIM(MID(SUBSTITUTE(SUBSTITUTE(SUBSTITUTE(SUBSTITUTE(SUBSTITUTE(LOWER(Registro!$G792),"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",LEN(Registro!$G792))),({1,2,3,4,5,6,7,8,9,10,11,12,13,14,15,16,17,18,19,20,21,22,23,24,25,26,27,28,29,30}-1)*LEN(Registro!$G792)+1,LEN(Registro!$G792)))&amp;"x")+1,20))),"Revisar formato")))</f>
        <v/>
      </c>
      <c r="J792" s="9" t="str">
        <f>IF(AND(Registro!$E792="",Registro!$G792=""),"",IF(NOT(AND(ISNUMBER(I792),ISNUMBER(Registro!$H792))),"",IF(I792&lt;Registro!$H792,"FALTA BOLETOS",IF(I792=Registro!$H792,"CONFORME","DIFERENCIA"))))</f>
        <v/>
      </c>
      <c r="K792" s="11" t="str">
        <f>IF(Registro!$I792="","",IFERROR(SUMPRODUCT(--("0"&amp;TRIM(RIGHT(SUBSTITUTE(TRIM(MID(SUBSTITUTE(SUBSTITUTE(Registro!$I792,";",CHAR(10)),CHAR(10),REPT(" ",LEN(Registro!$I792))),({1,2,3,4,5,6,7,8,9,10,11,12,13,14,15,16,17,18,19,20,21,22,23,24,25,26,27,28,29,30}-1)*LEN(Registro!$I792)+1,LEN(Registro!$I792)))," ",REPT(" ",50)),50)))),"Revisar formato"))</f>
        <v/>
      </c>
      <c r="L792" s="11" t="str">
        <f>IF(Registro!$J792="","",IFERROR(SUMPRODUCT(--("0"&amp;TRIM(RIGHT(SUBSTITUTE(TRIM(MID(SUBSTITUTE(SUBSTITUTE(Registro!$J792,";",CHAR(10)),CHAR(10),REPT(" ",LEN(Registro!$J792))),({1,2,3,4,5,6,7,8,9,10,11,12,13,14,15,16,17,18,19,20,21,22,23,24,25,26,27,28,29,30}-1)*LEN(Registro!$J792)+1,LEN(Registro!$J792)))," ",REPT(" ",50)),50)))),"Revisar formato"))</f>
        <v/>
      </c>
      <c r="M792" s="11" t="str">
        <f>IF(AND(Registro!$H792="",Registro!$I792=""),"",IF(AND(ISTEXT(K792),K792&lt;&gt;""),"Revisar formato",N(Registro!$H792)-N(K792)))</f>
        <v/>
      </c>
      <c r="N792" s="11" t="str">
        <f t="shared" si="38"/>
        <v/>
      </c>
      <c r="O792" s="15" t="str">
        <f>IF(AND(A792=Consulta!$B$3,C792=Consulta!$H$3),B792*10000+ROW(),"")</f>
        <v/>
      </c>
    </row>
    <row r="793" spans="1:15" x14ac:dyDescent="0.25">
      <c r="A793" s="9" t="str">
        <f>IF(Registro!$A793="","",Registro!$A793)</f>
        <v/>
      </c>
      <c r="B793" s="8" t="str">
        <f>IF(Registro!$B793="","",Registro!$B793)</f>
        <v/>
      </c>
      <c r="C793" s="14" t="str">
        <f t="shared" si="36"/>
        <v/>
      </c>
      <c r="D793" s="10" t="str">
        <f>IF(Registro!$E793="","",IF(ISERROR(FIND("x",LOWER(Registro!$E793))),"-",IFERROR(SUMPRODUCT(--("0"&amp;LEFT(TRIM(MID(SUBSTITUTE(SUBSTITUTE(SUBSTITUTE(SUBSTITUTE(SUBSTITUTE(LOWER(Registro!$E793),"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",LEN(Registro!$E793))),({1,2,3,4,5,6,7,8,9,10,11,12,13,14,15,16,17,18,19,20,21,22,23,24,25,26,27,28,29,30}-1)*LEN(Registro!$E793)+1,LEN(Registro!$E793)))&amp;"x")-1))),"Revisar formato")))</f>
        <v/>
      </c>
      <c r="E793" s="11" t="str">
        <f>IF(Registro!$E793="","",IF(ISERROR(FIND("x",LOWER(Registro!$E793))),"-",IFERROR(SUMPRODUCT(--("0"&amp;LEFT(TRIM(MID(SUBSTITUTE(SUBSTITUTE(SUBSTITUTE(SUBSTITUTE(SUBSTITUTE(LOWER(Registro!$E793),"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",LEN(Registro!$E793))),({1,2,3,4,5,6,7,8,9,10,11,12,13,14,15,16,17,18,19,20,21,22,23,24,25,26,27,28,29,30}-1)*LEN(Registro!$E793)+1,LEN(Registro!$E793)))&amp;"x")-1)),--("0"&amp;MID(TRIM(MID(SUBSTITUTE(SUBSTITUTE(SUBSTITUTE(SUBSTITUTE(SUBSTITUTE(LOWER(Registro!$E793),"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",LEN(Registro!$E793))),({1,2,3,4,5,6,7,8,9,10,11,12,13,14,15,16,17,18,19,20,21,22,23,24,25,26,27,28,29,30}-1)*LEN(Registro!$E793)+1,LEN(Registro!$E793)))&amp;"x")+1,20))),"Revisar formato")))</f>
        <v/>
      </c>
      <c r="F793" s="11" t="str">
        <f>IF(Registro!$F793="","",N(Registro!$F793))</f>
        <v/>
      </c>
      <c r="G793" s="11" t="str">
        <f t="shared" si="37"/>
        <v/>
      </c>
      <c r="H793" s="10" t="str">
        <f>IF(Registro!$G793="","",IF(ISERROR(FIND("x",LOWER(Registro!$G793))),"-",IFERROR(SUMPRODUCT(--("0"&amp;LEFT(TRIM(MID(SUBSTITUTE(SUBSTITUTE(SUBSTITUTE(SUBSTITUTE(SUBSTITUTE(LOWER(Registro!$G793),"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",LEN(Registro!$G793))),({1,2,3,4,5,6,7,8,9,10,11,12,13,14,15,16,17,18,19,20,21,22,23,24,25,26,27,28,29,30}-1)*LEN(Registro!$G793)+1,LEN(Registro!$G793))),FIND("x",TRIM(MID(SUBSTITUTE(SUBSTITUTE(SUBSTITUTE(SUBSTITUTE(SUBSTITUTE(LOWER(Registro!$G793),"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",LEN(Registro!$G793))),({1,2,3,4,5,6,7,8,9,10,11,12,13,14,15,16,17,18,19,20,21,22,23,24,25,26,27,28,29,30}-1)*LEN(Registro!$G793)+1,LEN(Registro!$G793)))&amp;"x")-1))),"Revisar formato")))</f>
        <v/>
      </c>
      <c r="I793" s="11" t="str">
        <f>IF(Registro!$G793="","",IF(ISERROR(FIND("x",LOWER(Registro!$G793))),N(Registro!$H793),IFERROR(SUMPRODUCT(--("0"&amp;LEFT(TRIM(MID(SUBSTITUTE(SUBSTITUTE(SUBSTITUTE(SUBSTITUTE(SUBSTITUTE(LOWER(Registro!$G793),"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",LEN(Registro!$G793))),({1,2,3,4,5,6,7,8,9,10,11,12,13,14,15,16,17,18,19,20,21,22,23,24,25,26,27,28,29,30}-1)*LEN(Registro!$G793)+1,LEN(Registro!$G793))),FIND("x",TRIM(MID(SUBSTITUTE(SUBSTITUTE(SUBSTITUTE(SUBSTITUTE(SUBSTITUTE(LOWER(Registro!$G793),"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",LEN(Registro!$G793))),({1,2,3,4,5,6,7,8,9,10,11,12,13,14,15,16,17,18,19,20,21,22,23,24,25,26,27,28,29,30}-1)*LEN(Registro!$G793)+1,LEN(Registro!$G793)))&amp;"x")-1)),--("0"&amp;MID(TRIM(MID(SUBSTITUTE(SUBSTITUTE(SUBSTITUTE(SUBSTITUTE(SUBSTITUTE(LOWER(Registro!$G793),"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",LEN(Registro!$G793))),({1,2,3,4,5,6,7,8,9,10,11,12,13,14,15,16,17,18,19,20,21,22,23,24,25,26,27,28,29,30}-1)*LEN(Registro!$G793)+1,LEN(Registro!$G793))),FIND("x",TRIM(MID(SUBSTITUTE(SUBSTITUTE(SUBSTITUTE(SUBSTITUTE(SUBSTITUTE(LOWER(Registro!$G793),"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",LEN(Registro!$G793))),({1,2,3,4,5,6,7,8,9,10,11,12,13,14,15,16,17,18,19,20,21,22,23,24,25,26,27,28,29,30}-1)*LEN(Registro!$G793)+1,LEN(Registro!$G793)))&amp;"x")+1,20))),"Revisar formato")))</f>
        <v/>
      </c>
      <c r="J793" s="9" t="str">
        <f>IF(AND(Registro!$E793="",Registro!$G793=""),"",IF(NOT(AND(ISNUMBER(I793),ISNUMBER(Registro!$H793))),"",IF(I793&lt;Registro!$H793,"FALTA BOLETOS",IF(I793=Registro!$H793,"CONFORME","DIFERENCIA"))))</f>
        <v/>
      </c>
      <c r="K793" s="11" t="str">
        <f>IF(Registro!$I793="","",IFERROR(SUMPRODUCT(--("0"&amp;TRIM(RIGHT(SUBSTITUTE(TRIM(MID(SUBSTITUTE(SUBSTITUTE(Registro!$I793,";",CHAR(10)),CHAR(10),REPT(" ",LEN(Registro!$I793))),({1,2,3,4,5,6,7,8,9,10,11,12,13,14,15,16,17,18,19,20,21,22,23,24,25,26,27,28,29,30}-1)*LEN(Registro!$I793)+1,LEN(Registro!$I793)))," ",REPT(" ",50)),50)))),"Revisar formato"))</f>
        <v/>
      </c>
      <c r="L793" s="11" t="str">
        <f>IF(Registro!$J793="","",IFERROR(SUMPRODUCT(--("0"&amp;TRIM(RIGHT(SUBSTITUTE(TRIM(MID(SUBSTITUTE(SUBSTITUTE(Registro!$J793,";",CHAR(10)),CHAR(10),REPT(" ",LEN(Registro!$J793))),({1,2,3,4,5,6,7,8,9,10,11,12,13,14,15,16,17,18,19,20,21,22,23,24,25,26,27,28,29,30}-1)*LEN(Registro!$J793)+1,LEN(Registro!$J793)))," ",REPT(" ",50)),50)))),"Revisar formato"))</f>
        <v/>
      </c>
      <c r="M793" s="11" t="str">
        <f>IF(AND(Registro!$H793="",Registro!$I793=""),"",IF(AND(ISTEXT(K793),K793&lt;&gt;""),"Revisar formato",N(Registro!$H793)-N(K793)))</f>
        <v/>
      </c>
      <c r="N793" s="11" t="str">
        <f t="shared" si="38"/>
        <v/>
      </c>
      <c r="O793" s="15" t="str">
        <f>IF(AND(A793=Consulta!$B$3,C793=Consulta!$H$3),B793*10000+ROW(),"")</f>
        <v/>
      </c>
    </row>
    <row r="794" spans="1:15" x14ac:dyDescent="0.25">
      <c r="A794" s="9" t="str">
        <f>IF(Registro!$A794="","",Registro!$A794)</f>
        <v/>
      </c>
      <c r="B794" s="8" t="str">
        <f>IF(Registro!$B794="","",Registro!$B794)</f>
        <v/>
      </c>
      <c r="C794" s="14" t="str">
        <f t="shared" si="36"/>
        <v/>
      </c>
      <c r="D794" s="10" t="str">
        <f>IF(Registro!$E794="","",IF(ISERROR(FIND("x",LOWER(Registro!$E794))),"-",IFERROR(SUMPRODUCT(--("0"&amp;LEFT(TRIM(MID(SUBSTITUTE(SUBSTITUTE(SUBSTITUTE(SUBSTITUTE(SUBSTITUTE(LOWER(Registro!$E794),"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",LEN(Registro!$E794))),({1,2,3,4,5,6,7,8,9,10,11,12,13,14,15,16,17,18,19,20,21,22,23,24,25,26,27,28,29,30}-1)*LEN(Registro!$E794)+1,LEN(Registro!$E794)))&amp;"x")-1))),"Revisar formato")))</f>
        <v/>
      </c>
      <c r="E794" s="11" t="str">
        <f>IF(Registro!$E794="","",IF(ISERROR(FIND("x",LOWER(Registro!$E794))),"-",IFERROR(SUMPRODUCT(--("0"&amp;LEFT(TRIM(MID(SUBSTITUTE(SUBSTITUTE(SUBSTITUTE(SUBSTITUTE(SUBSTITUTE(LOWER(Registro!$E794),"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",LEN(Registro!$E794))),({1,2,3,4,5,6,7,8,9,10,11,12,13,14,15,16,17,18,19,20,21,22,23,24,25,26,27,28,29,30}-1)*LEN(Registro!$E794)+1,LEN(Registro!$E794)))&amp;"x")-1)),--("0"&amp;MID(TRIM(MID(SUBSTITUTE(SUBSTITUTE(SUBSTITUTE(SUBSTITUTE(SUBSTITUTE(LOWER(Registro!$E794),"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",LEN(Registro!$E794))),({1,2,3,4,5,6,7,8,9,10,11,12,13,14,15,16,17,18,19,20,21,22,23,24,25,26,27,28,29,30}-1)*LEN(Registro!$E794)+1,LEN(Registro!$E794)))&amp;"x")+1,20))),"Revisar formato")))</f>
        <v/>
      </c>
      <c r="F794" s="11" t="str">
        <f>IF(Registro!$F794="","",N(Registro!$F794))</f>
        <v/>
      </c>
      <c r="G794" s="11" t="str">
        <f t="shared" si="37"/>
        <v/>
      </c>
      <c r="H794" s="10" t="str">
        <f>IF(Registro!$G794="","",IF(ISERROR(FIND("x",LOWER(Registro!$G794))),"-",IFERROR(SUMPRODUCT(--("0"&amp;LEFT(TRIM(MID(SUBSTITUTE(SUBSTITUTE(SUBSTITUTE(SUBSTITUTE(SUBSTITUTE(LOWER(Registro!$G794),"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",LEN(Registro!$G794))),({1,2,3,4,5,6,7,8,9,10,11,12,13,14,15,16,17,18,19,20,21,22,23,24,25,26,27,28,29,30}-1)*LEN(Registro!$G794)+1,LEN(Registro!$G794))),FIND("x",TRIM(MID(SUBSTITUTE(SUBSTITUTE(SUBSTITUTE(SUBSTITUTE(SUBSTITUTE(LOWER(Registro!$G794),"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",LEN(Registro!$G794))),({1,2,3,4,5,6,7,8,9,10,11,12,13,14,15,16,17,18,19,20,21,22,23,24,25,26,27,28,29,30}-1)*LEN(Registro!$G794)+1,LEN(Registro!$G794)))&amp;"x")-1))),"Revisar formato")))</f>
        <v/>
      </c>
      <c r="I794" s="11" t="str">
        <f>IF(Registro!$G794="","",IF(ISERROR(FIND("x",LOWER(Registro!$G794))),N(Registro!$H794),IFERROR(SUMPRODUCT(--("0"&amp;LEFT(TRIM(MID(SUBSTITUTE(SUBSTITUTE(SUBSTITUTE(SUBSTITUTE(SUBSTITUTE(LOWER(Registro!$G794),"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",LEN(Registro!$G794))),({1,2,3,4,5,6,7,8,9,10,11,12,13,14,15,16,17,18,19,20,21,22,23,24,25,26,27,28,29,30}-1)*LEN(Registro!$G794)+1,LEN(Registro!$G794))),FIND("x",TRIM(MID(SUBSTITUTE(SUBSTITUTE(SUBSTITUTE(SUBSTITUTE(SUBSTITUTE(LOWER(Registro!$G794),"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",LEN(Registro!$G794))),({1,2,3,4,5,6,7,8,9,10,11,12,13,14,15,16,17,18,19,20,21,22,23,24,25,26,27,28,29,30}-1)*LEN(Registro!$G794)+1,LEN(Registro!$G794)))&amp;"x")-1)),--("0"&amp;MID(TRIM(MID(SUBSTITUTE(SUBSTITUTE(SUBSTITUTE(SUBSTITUTE(SUBSTITUTE(LOWER(Registro!$G794),"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",LEN(Registro!$G794))),({1,2,3,4,5,6,7,8,9,10,11,12,13,14,15,16,17,18,19,20,21,22,23,24,25,26,27,28,29,30}-1)*LEN(Registro!$G794)+1,LEN(Registro!$G794))),FIND("x",TRIM(MID(SUBSTITUTE(SUBSTITUTE(SUBSTITUTE(SUBSTITUTE(SUBSTITUTE(LOWER(Registro!$G794),"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",LEN(Registro!$G794))),({1,2,3,4,5,6,7,8,9,10,11,12,13,14,15,16,17,18,19,20,21,22,23,24,25,26,27,28,29,30}-1)*LEN(Registro!$G794)+1,LEN(Registro!$G794)))&amp;"x")+1,20))),"Revisar formato")))</f>
        <v/>
      </c>
      <c r="J794" s="9" t="str">
        <f>IF(AND(Registro!$E794="",Registro!$G794=""),"",IF(NOT(AND(ISNUMBER(I794),ISNUMBER(Registro!$H794))),"",IF(I794&lt;Registro!$H794,"FALTA BOLETOS",IF(I794=Registro!$H794,"CONFORME","DIFERENCIA"))))</f>
        <v/>
      </c>
      <c r="K794" s="11" t="str">
        <f>IF(Registro!$I794="","",IFERROR(SUMPRODUCT(--("0"&amp;TRIM(RIGHT(SUBSTITUTE(TRIM(MID(SUBSTITUTE(SUBSTITUTE(Registro!$I794,";",CHAR(10)),CHAR(10),REPT(" ",LEN(Registro!$I794))),({1,2,3,4,5,6,7,8,9,10,11,12,13,14,15,16,17,18,19,20,21,22,23,24,25,26,27,28,29,30}-1)*LEN(Registro!$I794)+1,LEN(Registro!$I794)))," ",REPT(" ",50)),50)))),"Revisar formato"))</f>
        <v/>
      </c>
      <c r="L794" s="11" t="str">
        <f>IF(Registro!$J794="","",IFERROR(SUMPRODUCT(--("0"&amp;TRIM(RIGHT(SUBSTITUTE(TRIM(MID(SUBSTITUTE(SUBSTITUTE(Registro!$J794,";",CHAR(10)),CHAR(10),REPT(" ",LEN(Registro!$J794))),({1,2,3,4,5,6,7,8,9,10,11,12,13,14,15,16,17,18,19,20,21,22,23,24,25,26,27,28,29,30}-1)*LEN(Registro!$J794)+1,LEN(Registro!$J794)))," ",REPT(" ",50)),50)))),"Revisar formato"))</f>
        <v/>
      </c>
      <c r="M794" s="11" t="str">
        <f>IF(AND(Registro!$H794="",Registro!$I794=""),"",IF(AND(ISTEXT(K794),K794&lt;&gt;""),"Revisar formato",N(Registro!$H794)-N(K794)))</f>
        <v/>
      </c>
      <c r="N794" s="11" t="str">
        <f t="shared" si="38"/>
        <v/>
      </c>
      <c r="O794" s="15" t="str">
        <f>IF(AND(A794=Consulta!$B$3,C794=Consulta!$H$3),B794*10000+ROW(),"")</f>
        <v/>
      </c>
    </row>
    <row r="795" spans="1:15" x14ac:dyDescent="0.25">
      <c r="A795" s="9" t="str">
        <f>IF(Registro!$A795="","",Registro!$A795)</f>
        <v/>
      </c>
      <c r="B795" s="8" t="str">
        <f>IF(Registro!$B795="","",Registro!$B795)</f>
        <v/>
      </c>
      <c r="C795" s="14" t="str">
        <f t="shared" si="36"/>
        <v/>
      </c>
      <c r="D795" s="10" t="str">
        <f>IF(Registro!$E795="","",IF(ISERROR(FIND("x",LOWER(Registro!$E795))),"-",IFERROR(SUMPRODUCT(--("0"&amp;LEFT(TRIM(MID(SUBSTITUTE(SUBSTITUTE(SUBSTITUTE(SUBSTITUTE(SUBSTITUTE(LOWER(Registro!$E795),"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",LEN(Registro!$E795))),({1,2,3,4,5,6,7,8,9,10,11,12,13,14,15,16,17,18,19,20,21,22,23,24,25,26,27,28,29,30}-1)*LEN(Registro!$E795)+1,LEN(Registro!$E795)))&amp;"x")-1))),"Revisar formato")))</f>
        <v/>
      </c>
      <c r="E795" s="11" t="str">
        <f>IF(Registro!$E795="","",IF(ISERROR(FIND("x",LOWER(Registro!$E795))),"-",IFERROR(SUMPRODUCT(--("0"&amp;LEFT(TRIM(MID(SUBSTITUTE(SUBSTITUTE(SUBSTITUTE(SUBSTITUTE(SUBSTITUTE(LOWER(Registro!$E795),"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",LEN(Registro!$E795))),({1,2,3,4,5,6,7,8,9,10,11,12,13,14,15,16,17,18,19,20,21,22,23,24,25,26,27,28,29,30}-1)*LEN(Registro!$E795)+1,LEN(Registro!$E795)))&amp;"x")-1)),--("0"&amp;MID(TRIM(MID(SUBSTITUTE(SUBSTITUTE(SUBSTITUTE(SUBSTITUTE(SUBSTITUTE(LOWER(Registro!$E795),"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",LEN(Registro!$E795))),({1,2,3,4,5,6,7,8,9,10,11,12,13,14,15,16,17,18,19,20,21,22,23,24,25,26,27,28,29,30}-1)*LEN(Registro!$E795)+1,LEN(Registro!$E795)))&amp;"x")+1,20))),"Revisar formato")))</f>
        <v/>
      </c>
      <c r="F795" s="11" t="str">
        <f>IF(Registro!$F795="","",N(Registro!$F795))</f>
        <v/>
      </c>
      <c r="G795" s="11" t="str">
        <f t="shared" si="37"/>
        <v/>
      </c>
      <c r="H795" s="10" t="str">
        <f>IF(Registro!$G795="","",IF(ISERROR(FIND("x",LOWER(Registro!$G795))),"-",IFERROR(SUMPRODUCT(--("0"&amp;LEFT(TRIM(MID(SUBSTITUTE(SUBSTITUTE(SUBSTITUTE(SUBSTITUTE(SUBSTITUTE(LOWER(Registro!$G795),"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",LEN(Registro!$G795))),({1,2,3,4,5,6,7,8,9,10,11,12,13,14,15,16,17,18,19,20,21,22,23,24,25,26,27,28,29,30}-1)*LEN(Registro!$G795)+1,LEN(Registro!$G795))),FIND("x",TRIM(MID(SUBSTITUTE(SUBSTITUTE(SUBSTITUTE(SUBSTITUTE(SUBSTITUTE(LOWER(Registro!$G795),"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",LEN(Registro!$G795))),({1,2,3,4,5,6,7,8,9,10,11,12,13,14,15,16,17,18,19,20,21,22,23,24,25,26,27,28,29,30}-1)*LEN(Registro!$G795)+1,LEN(Registro!$G795)))&amp;"x")-1))),"Revisar formato")))</f>
        <v/>
      </c>
      <c r="I795" s="11" t="str">
        <f>IF(Registro!$G795="","",IF(ISERROR(FIND("x",LOWER(Registro!$G795))),N(Registro!$H795),IFERROR(SUMPRODUCT(--("0"&amp;LEFT(TRIM(MID(SUBSTITUTE(SUBSTITUTE(SUBSTITUTE(SUBSTITUTE(SUBSTITUTE(LOWER(Registro!$G795),"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",LEN(Registro!$G795))),({1,2,3,4,5,6,7,8,9,10,11,12,13,14,15,16,17,18,19,20,21,22,23,24,25,26,27,28,29,30}-1)*LEN(Registro!$G795)+1,LEN(Registro!$G795))),FIND("x",TRIM(MID(SUBSTITUTE(SUBSTITUTE(SUBSTITUTE(SUBSTITUTE(SUBSTITUTE(LOWER(Registro!$G795),"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",LEN(Registro!$G795))),({1,2,3,4,5,6,7,8,9,10,11,12,13,14,15,16,17,18,19,20,21,22,23,24,25,26,27,28,29,30}-1)*LEN(Registro!$G795)+1,LEN(Registro!$G795)))&amp;"x")-1)),--("0"&amp;MID(TRIM(MID(SUBSTITUTE(SUBSTITUTE(SUBSTITUTE(SUBSTITUTE(SUBSTITUTE(LOWER(Registro!$G795),"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",LEN(Registro!$G795))),({1,2,3,4,5,6,7,8,9,10,11,12,13,14,15,16,17,18,19,20,21,22,23,24,25,26,27,28,29,30}-1)*LEN(Registro!$G795)+1,LEN(Registro!$G795))),FIND("x",TRIM(MID(SUBSTITUTE(SUBSTITUTE(SUBSTITUTE(SUBSTITUTE(SUBSTITUTE(LOWER(Registro!$G795),"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",LEN(Registro!$G795))),({1,2,3,4,5,6,7,8,9,10,11,12,13,14,15,16,17,18,19,20,21,22,23,24,25,26,27,28,29,30}-1)*LEN(Registro!$G795)+1,LEN(Registro!$G795)))&amp;"x")+1,20))),"Revisar formato")))</f>
        <v/>
      </c>
      <c r="J795" s="9" t="str">
        <f>IF(AND(Registro!$E795="",Registro!$G795=""),"",IF(NOT(AND(ISNUMBER(I795),ISNUMBER(Registro!$H795))),"",IF(I795&lt;Registro!$H795,"FALTA BOLETOS",IF(I795=Registro!$H795,"CONFORME","DIFERENCIA"))))</f>
        <v/>
      </c>
      <c r="K795" s="11" t="str">
        <f>IF(Registro!$I795="","",IFERROR(SUMPRODUCT(--("0"&amp;TRIM(RIGHT(SUBSTITUTE(TRIM(MID(SUBSTITUTE(SUBSTITUTE(Registro!$I795,";",CHAR(10)),CHAR(10),REPT(" ",LEN(Registro!$I795))),({1,2,3,4,5,6,7,8,9,10,11,12,13,14,15,16,17,18,19,20,21,22,23,24,25,26,27,28,29,30}-1)*LEN(Registro!$I795)+1,LEN(Registro!$I795)))," ",REPT(" ",50)),50)))),"Revisar formato"))</f>
        <v/>
      </c>
      <c r="L795" s="11" t="str">
        <f>IF(Registro!$J795="","",IFERROR(SUMPRODUCT(--("0"&amp;TRIM(RIGHT(SUBSTITUTE(TRIM(MID(SUBSTITUTE(SUBSTITUTE(Registro!$J795,";",CHAR(10)),CHAR(10),REPT(" ",LEN(Registro!$J795))),({1,2,3,4,5,6,7,8,9,10,11,12,13,14,15,16,17,18,19,20,21,22,23,24,25,26,27,28,29,30}-1)*LEN(Registro!$J795)+1,LEN(Registro!$J795)))," ",REPT(" ",50)),50)))),"Revisar formato"))</f>
        <v/>
      </c>
      <c r="M795" s="11" t="str">
        <f>IF(AND(Registro!$H795="",Registro!$I795=""),"",IF(AND(ISTEXT(K795),K795&lt;&gt;""),"Revisar formato",N(Registro!$H795)-N(K795)))</f>
        <v/>
      </c>
      <c r="N795" s="11" t="str">
        <f t="shared" si="38"/>
        <v/>
      </c>
      <c r="O795" s="15" t="str">
        <f>IF(AND(A795=Consulta!$B$3,C795=Consulta!$H$3),B795*10000+ROW(),"")</f>
        <v/>
      </c>
    </row>
    <row r="796" spans="1:15" x14ac:dyDescent="0.25">
      <c r="A796" s="9" t="str">
        <f>IF(Registro!$A796="","",Registro!$A796)</f>
        <v/>
      </c>
      <c r="B796" s="8" t="str">
        <f>IF(Registro!$B796="","",Registro!$B796)</f>
        <v/>
      </c>
      <c r="C796" s="14" t="str">
        <f t="shared" si="36"/>
        <v/>
      </c>
      <c r="D796" s="10" t="str">
        <f>IF(Registro!$E796="","",IF(ISERROR(FIND("x",LOWER(Registro!$E796))),"-",IFERROR(SUMPRODUCT(--("0"&amp;LEFT(TRIM(MID(SUBSTITUTE(SUBSTITUTE(SUBSTITUTE(SUBSTITUTE(SUBSTITUTE(LOWER(Registro!$E796),"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",LEN(Registro!$E796))),({1,2,3,4,5,6,7,8,9,10,11,12,13,14,15,16,17,18,19,20,21,22,23,24,25,26,27,28,29,30}-1)*LEN(Registro!$E796)+1,LEN(Registro!$E796)))&amp;"x")-1))),"Revisar formato")))</f>
        <v/>
      </c>
      <c r="E796" s="11" t="str">
        <f>IF(Registro!$E796="","",IF(ISERROR(FIND("x",LOWER(Registro!$E796))),"-",IFERROR(SUMPRODUCT(--("0"&amp;LEFT(TRIM(MID(SUBSTITUTE(SUBSTITUTE(SUBSTITUTE(SUBSTITUTE(SUBSTITUTE(LOWER(Registro!$E796),"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",LEN(Registro!$E796))),({1,2,3,4,5,6,7,8,9,10,11,12,13,14,15,16,17,18,19,20,21,22,23,24,25,26,27,28,29,30}-1)*LEN(Registro!$E796)+1,LEN(Registro!$E796)))&amp;"x")-1)),--("0"&amp;MID(TRIM(MID(SUBSTITUTE(SUBSTITUTE(SUBSTITUTE(SUBSTITUTE(SUBSTITUTE(LOWER(Registro!$E796),"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",LEN(Registro!$E796))),({1,2,3,4,5,6,7,8,9,10,11,12,13,14,15,16,17,18,19,20,21,22,23,24,25,26,27,28,29,30}-1)*LEN(Registro!$E796)+1,LEN(Registro!$E796)))&amp;"x")+1,20))),"Revisar formato")))</f>
        <v/>
      </c>
      <c r="F796" s="11" t="str">
        <f>IF(Registro!$F796="","",N(Registro!$F796))</f>
        <v/>
      </c>
      <c r="G796" s="11" t="str">
        <f t="shared" si="37"/>
        <v/>
      </c>
      <c r="H796" s="10" t="str">
        <f>IF(Registro!$G796="","",IF(ISERROR(FIND("x",LOWER(Registro!$G796))),"-",IFERROR(SUMPRODUCT(--("0"&amp;LEFT(TRIM(MID(SUBSTITUTE(SUBSTITUTE(SUBSTITUTE(SUBSTITUTE(SUBSTITUTE(LOWER(Registro!$G796),"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",LEN(Registro!$G796))),({1,2,3,4,5,6,7,8,9,10,11,12,13,14,15,16,17,18,19,20,21,22,23,24,25,26,27,28,29,30}-1)*LEN(Registro!$G796)+1,LEN(Registro!$G796))),FIND("x",TRIM(MID(SUBSTITUTE(SUBSTITUTE(SUBSTITUTE(SUBSTITUTE(SUBSTITUTE(LOWER(Registro!$G796),"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",LEN(Registro!$G796))),({1,2,3,4,5,6,7,8,9,10,11,12,13,14,15,16,17,18,19,20,21,22,23,24,25,26,27,28,29,30}-1)*LEN(Registro!$G796)+1,LEN(Registro!$G796)))&amp;"x")-1))),"Revisar formato")))</f>
        <v/>
      </c>
      <c r="I796" s="11" t="str">
        <f>IF(Registro!$G796="","",IF(ISERROR(FIND("x",LOWER(Registro!$G796))),N(Registro!$H796),IFERROR(SUMPRODUCT(--("0"&amp;LEFT(TRIM(MID(SUBSTITUTE(SUBSTITUTE(SUBSTITUTE(SUBSTITUTE(SUBSTITUTE(LOWER(Registro!$G796),"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",LEN(Registro!$G796))),({1,2,3,4,5,6,7,8,9,10,11,12,13,14,15,16,17,18,19,20,21,22,23,24,25,26,27,28,29,30}-1)*LEN(Registro!$G796)+1,LEN(Registro!$G796))),FIND("x",TRIM(MID(SUBSTITUTE(SUBSTITUTE(SUBSTITUTE(SUBSTITUTE(SUBSTITUTE(LOWER(Registro!$G796),"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",LEN(Registro!$G796))),({1,2,3,4,5,6,7,8,9,10,11,12,13,14,15,16,17,18,19,20,21,22,23,24,25,26,27,28,29,30}-1)*LEN(Registro!$G796)+1,LEN(Registro!$G796)))&amp;"x")-1)),--("0"&amp;MID(TRIM(MID(SUBSTITUTE(SUBSTITUTE(SUBSTITUTE(SUBSTITUTE(SUBSTITUTE(LOWER(Registro!$G796),"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",LEN(Registro!$G796))),({1,2,3,4,5,6,7,8,9,10,11,12,13,14,15,16,17,18,19,20,21,22,23,24,25,26,27,28,29,30}-1)*LEN(Registro!$G796)+1,LEN(Registro!$G796))),FIND("x",TRIM(MID(SUBSTITUTE(SUBSTITUTE(SUBSTITUTE(SUBSTITUTE(SUBSTITUTE(LOWER(Registro!$G796),"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",LEN(Registro!$G796))),({1,2,3,4,5,6,7,8,9,10,11,12,13,14,15,16,17,18,19,20,21,22,23,24,25,26,27,28,29,30}-1)*LEN(Registro!$G796)+1,LEN(Registro!$G796)))&amp;"x")+1,20))),"Revisar formato")))</f>
        <v/>
      </c>
      <c r="J796" s="9" t="str">
        <f>IF(AND(Registro!$E796="",Registro!$G796=""),"",IF(NOT(AND(ISNUMBER(I796),ISNUMBER(Registro!$H796))),"",IF(I796&lt;Registro!$H796,"FALTA BOLETOS",IF(I796=Registro!$H796,"CONFORME","DIFERENCIA"))))</f>
        <v/>
      </c>
      <c r="K796" s="11" t="str">
        <f>IF(Registro!$I796="","",IFERROR(SUMPRODUCT(--("0"&amp;TRIM(RIGHT(SUBSTITUTE(TRIM(MID(SUBSTITUTE(SUBSTITUTE(Registro!$I796,";",CHAR(10)),CHAR(10),REPT(" ",LEN(Registro!$I796))),({1,2,3,4,5,6,7,8,9,10,11,12,13,14,15,16,17,18,19,20,21,22,23,24,25,26,27,28,29,30}-1)*LEN(Registro!$I796)+1,LEN(Registro!$I796)))," ",REPT(" ",50)),50)))),"Revisar formato"))</f>
        <v/>
      </c>
      <c r="L796" s="11" t="str">
        <f>IF(Registro!$J796="","",IFERROR(SUMPRODUCT(--("0"&amp;TRIM(RIGHT(SUBSTITUTE(TRIM(MID(SUBSTITUTE(SUBSTITUTE(Registro!$J796,";",CHAR(10)),CHAR(10),REPT(" ",LEN(Registro!$J796))),({1,2,3,4,5,6,7,8,9,10,11,12,13,14,15,16,17,18,19,20,21,22,23,24,25,26,27,28,29,30}-1)*LEN(Registro!$J796)+1,LEN(Registro!$J796)))," ",REPT(" ",50)),50)))),"Revisar formato"))</f>
        <v/>
      </c>
      <c r="M796" s="11" t="str">
        <f>IF(AND(Registro!$H796="",Registro!$I796=""),"",IF(AND(ISTEXT(K796),K796&lt;&gt;""),"Revisar formato",N(Registro!$H796)-N(K796)))</f>
        <v/>
      </c>
      <c r="N796" s="11" t="str">
        <f t="shared" si="38"/>
        <v/>
      </c>
      <c r="O796" s="15" t="str">
        <f>IF(AND(A796=Consulta!$B$3,C796=Consulta!$H$3),B796*10000+ROW(),"")</f>
        <v/>
      </c>
    </row>
    <row r="797" spans="1:15" x14ac:dyDescent="0.25">
      <c r="A797" s="9" t="str">
        <f>IF(Registro!$A797="","",Registro!$A797)</f>
        <v/>
      </c>
      <c r="B797" s="8" t="str">
        <f>IF(Registro!$B797="","",Registro!$B797)</f>
        <v/>
      </c>
      <c r="C797" s="14" t="str">
        <f t="shared" si="36"/>
        <v/>
      </c>
      <c r="D797" s="10" t="str">
        <f>IF(Registro!$E797="","",IF(ISERROR(FIND("x",LOWER(Registro!$E797))),"-",IFERROR(SUMPRODUCT(--("0"&amp;LEFT(TRIM(MID(SUBSTITUTE(SUBSTITUTE(SUBSTITUTE(SUBSTITUTE(SUBSTITUTE(LOWER(Registro!$E797),"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",LEN(Registro!$E797))),({1,2,3,4,5,6,7,8,9,10,11,12,13,14,15,16,17,18,19,20,21,22,23,24,25,26,27,28,29,30}-1)*LEN(Registro!$E797)+1,LEN(Registro!$E797)))&amp;"x")-1))),"Revisar formato")))</f>
        <v/>
      </c>
      <c r="E797" s="11" t="str">
        <f>IF(Registro!$E797="","",IF(ISERROR(FIND("x",LOWER(Registro!$E797))),"-",IFERROR(SUMPRODUCT(--("0"&amp;LEFT(TRIM(MID(SUBSTITUTE(SUBSTITUTE(SUBSTITUTE(SUBSTITUTE(SUBSTITUTE(LOWER(Registro!$E797),"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",LEN(Registro!$E797))),({1,2,3,4,5,6,7,8,9,10,11,12,13,14,15,16,17,18,19,20,21,22,23,24,25,26,27,28,29,30}-1)*LEN(Registro!$E797)+1,LEN(Registro!$E797)))&amp;"x")-1)),--("0"&amp;MID(TRIM(MID(SUBSTITUTE(SUBSTITUTE(SUBSTITUTE(SUBSTITUTE(SUBSTITUTE(LOWER(Registro!$E797),"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",LEN(Registro!$E797))),({1,2,3,4,5,6,7,8,9,10,11,12,13,14,15,16,17,18,19,20,21,22,23,24,25,26,27,28,29,30}-1)*LEN(Registro!$E797)+1,LEN(Registro!$E797)))&amp;"x")+1,20))),"Revisar formato")))</f>
        <v/>
      </c>
      <c r="F797" s="11" t="str">
        <f>IF(Registro!$F797="","",N(Registro!$F797))</f>
        <v/>
      </c>
      <c r="G797" s="11" t="str">
        <f t="shared" si="37"/>
        <v/>
      </c>
      <c r="H797" s="10" t="str">
        <f>IF(Registro!$G797="","",IF(ISERROR(FIND("x",LOWER(Registro!$G797))),"-",IFERROR(SUMPRODUCT(--("0"&amp;LEFT(TRIM(MID(SUBSTITUTE(SUBSTITUTE(SUBSTITUTE(SUBSTITUTE(SUBSTITUTE(LOWER(Registro!$G797),"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",LEN(Registro!$G797))),({1,2,3,4,5,6,7,8,9,10,11,12,13,14,15,16,17,18,19,20,21,22,23,24,25,26,27,28,29,30}-1)*LEN(Registro!$G797)+1,LEN(Registro!$G797))),FIND("x",TRIM(MID(SUBSTITUTE(SUBSTITUTE(SUBSTITUTE(SUBSTITUTE(SUBSTITUTE(LOWER(Registro!$G797),"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",LEN(Registro!$G797))),({1,2,3,4,5,6,7,8,9,10,11,12,13,14,15,16,17,18,19,20,21,22,23,24,25,26,27,28,29,30}-1)*LEN(Registro!$G797)+1,LEN(Registro!$G797)))&amp;"x")-1))),"Revisar formato")))</f>
        <v/>
      </c>
      <c r="I797" s="11" t="str">
        <f>IF(Registro!$G797="","",IF(ISERROR(FIND("x",LOWER(Registro!$G797))),N(Registro!$H797),IFERROR(SUMPRODUCT(--("0"&amp;LEFT(TRIM(MID(SUBSTITUTE(SUBSTITUTE(SUBSTITUTE(SUBSTITUTE(SUBSTITUTE(LOWER(Registro!$G797),"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",LEN(Registro!$G797))),({1,2,3,4,5,6,7,8,9,10,11,12,13,14,15,16,17,18,19,20,21,22,23,24,25,26,27,28,29,30}-1)*LEN(Registro!$G797)+1,LEN(Registro!$G797))),FIND("x",TRIM(MID(SUBSTITUTE(SUBSTITUTE(SUBSTITUTE(SUBSTITUTE(SUBSTITUTE(LOWER(Registro!$G797),"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",LEN(Registro!$G797))),({1,2,3,4,5,6,7,8,9,10,11,12,13,14,15,16,17,18,19,20,21,22,23,24,25,26,27,28,29,30}-1)*LEN(Registro!$G797)+1,LEN(Registro!$G797)))&amp;"x")-1)),--("0"&amp;MID(TRIM(MID(SUBSTITUTE(SUBSTITUTE(SUBSTITUTE(SUBSTITUTE(SUBSTITUTE(LOWER(Registro!$G797),"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",LEN(Registro!$G797))),({1,2,3,4,5,6,7,8,9,10,11,12,13,14,15,16,17,18,19,20,21,22,23,24,25,26,27,28,29,30}-1)*LEN(Registro!$G797)+1,LEN(Registro!$G797))),FIND("x",TRIM(MID(SUBSTITUTE(SUBSTITUTE(SUBSTITUTE(SUBSTITUTE(SUBSTITUTE(LOWER(Registro!$G797),"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",LEN(Registro!$G797))),({1,2,3,4,5,6,7,8,9,10,11,12,13,14,15,16,17,18,19,20,21,22,23,24,25,26,27,28,29,30}-1)*LEN(Registro!$G797)+1,LEN(Registro!$G797)))&amp;"x")+1,20))),"Revisar formato")))</f>
        <v/>
      </c>
      <c r="J797" s="9" t="str">
        <f>IF(AND(Registro!$E797="",Registro!$G797=""),"",IF(NOT(AND(ISNUMBER(I797),ISNUMBER(Registro!$H797))),"",IF(I797&lt;Registro!$H797,"FALTA BOLETOS",IF(I797=Registro!$H797,"CONFORME","DIFERENCIA"))))</f>
        <v/>
      </c>
      <c r="K797" s="11" t="str">
        <f>IF(Registro!$I797="","",IFERROR(SUMPRODUCT(--("0"&amp;TRIM(RIGHT(SUBSTITUTE(TRIM(MID(SUBSTITUTE(SUBSTITUTE(Registro!$I797,";",CHAR(10)),CHAR(10),REPT(" ",LEN(Registro!$I797))),({1,2,3,4,5,6,7,8,9,10,11,12,13,14,15,16,17,18,19,20,21,22,23,24,25,26,27,28,29,30}-1)*LEN(Registro!$I797)+1,LEN(Registro!$I797)))," ",REPT(" ",50)),50)))),"Revisar formato"))</f>
        <v/>
      </c>
      <c r="L797" s="11" t="str">
        <f>IF(Registro!$J797="","",IFERROR(SUMPRODUCT(--("0"&amp;TRIM(RIGHT(SUBSTITUTE(TRIM(MID(SUBSTITUTE(SUBSTITUTE(Registro!$J797,";",CHAR(10)),CHAR(10),REPT(" ",LEN(Registro!$J797))),({1,2,3,4,5,6,7,8,9,10,11,12,13,14,15,16,17,18,19,20,21,22,23,24,25,26,27,28,29,30}-1)*LEN(Registro!$J797)+1,LEN(Registro!$J797)))," ",REPT(" ",50)),50)))),"Revisar formato"))</f>
        <v/>
      </c>
      <c r="M797" s="11" t="str">
        <f>IF(AND(Registro!$H797="",Registro!$I797=""),"",IF(AND(ISTEXT(K797),K797&lt;&gt;""),"Revisar formato",N(Registro!$H797)-N(K797)))</f>
        <v/>
      </c>
      <c r="N797" s="11" t="str">
        <f t="shared" si="38"/>
        <v/>
      </c>
      <c r="O797" s="15" t="str">
        <f>IF(AND(A797=Consulta!$B$3,C797=Consulta!$H$3),B797*10000+ROW(),"")</f>
        <v/>
      </c>
    </row>
    <row r="798" spans="1:15" x14ac:dyDescent="0.25">
      <c r="A798" s="9" t="str">
        <f>IF(Registro!$A798="","",Registro!$A798)</f>
        <v/>
      </c>
      <c r="B798" s="8" t="str">
        <f>IF(Registro!$B798="","",Registro!$B798)</f>
        <v/>
      </c>
      <c r="C798" s="14" t="str">
        <f t="shared" si="36"/>
        <v/>
      </c>
      <c r="D798" s="10" t="str">
        <f>IF(Registro!$E798="","",IF(ISERROR(FIND("x",LOWER(Registro!$E798))),"-",IFERROR(SUMPRODUCT(--("0"&amp;LEFT(TRIM(MID(SUBSTITUTE(SUBSTITUTE(SUBSTITUTE(SUBSTITUTE(SUBSTITUTE(LOWER(Registro!$E798),"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",LEN(Registro!$E798))),({1,2,3,4,5,6,7,8,9,10,11,12,13,14,15,16,17,18,19,20,21,22,23,24,25,26,27,28,29,30}-1)*LEN(Registro!$E798)+1,LEN(Registro!$E798)))&amp;"x")-1))),"Revisar formato")))</f>
        <v/>
      </c>
      <c r="E798" s="11" t="str">
        <f>IF(Registro!$E798="","",IF(ISERROR(FIND("x",LOWER(Registro!$E798))),"-",IFERROR(SUMPRODUCT(--("0"&amp;LEFT(TRIM(MID(SUBSTITUTE(SUBSTITUTE(SUBSTITUTE(SUBSTITUTE(SUBSTITUTE(LOWER(Registro!$E798),"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",LEN(Registro!$E798))),({1,2,3,4,5,6,7,8,9,10,11,12,13,14,15,16,17,18,19,20,21,22,23,24,25,26,27,28,29,30}-1)*LEN(Registro!$E798)+1,LEN(Registro!$E798)))&amp;"x")-1)),--("0"&amp;MID(TRIM(MID(SUBSTITUTE(SUBSTITUTE(SUBSTITUTE(SUBSTITUTE(SUBSTITUTE(LOWER(Registro!$E798),"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",LEN(Registro!$E798))),({1,2,3,4,5,6,7,8,9,10,11,12,13,14,15,16,17,18,19,20,21,22,23,24,25,26,27,28,29,30}-1)*LEN(Registro!$E798)+1,LEN(Registro!$E798)))&amp;"x")+1,20))),"Revisar formato")))</f>
        <v/>
      </c>
      <c r="F798" s="11" t="str">
        <f>IF(Registro!$F798="","",N(Registro!$F798))</f>
        <v/>
      </c>
      <c r="G798" s="11" t="str">
        <f t="shared" si="37"/>
        <v/>
      </c>
      <c r="H798" s="10" t="str">
        <f>IF(Registro!$G798="","",IF(ISERROR(FIND("x",LOWER(Registro!$G798))),"-",IFERROR(SUMPRODUCT(--("0"&amp;LEFT(TRIM(MID(SUBSTITUTE(SUBSTITUTE(SUBSTITUTE(SUBSTITUTE(SUBSTITUTE(LOWER(Registro!$G798),"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",LEN(Registro!$G798))),({1,2,3,4,5,6,7,8,9,10,11,12,13,14,15,16,17,18,19,20,21,22,23,24,25,26,27,28,29,30}-1)*LEN(Registro!$G798)+1,LEN(Registro!$G798))),FIND("x",TRIM(MID(SUBSTITUTE(SUBSTITUTE(SUBSTITUTE(SUBSTITUTE(SUBSTITUTE(LOWER(Registro!$G798),"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",LEN(Registro!$G798))),({1,2,3,4,5,6,7,8,9,10,11,12,13,14,15,16,17,18,19,20,21,22,23,24,25,26,27,28,29,30}-1)*LEN(Registro!$G798)+1,LEN(Registro!$G798)))&amp;"x")-1))),"Revisar formato")))</f>
        <v/>
      </c>
      <c r="I798" s="11" t="str">
        <f>IF(Registro!$G798="","",IF(ISERROR(FIND("x",LOWER(Registro!$G798))),N(Registro!$H798),IFERROR(SUMPRODUCT(--("0"&amp;LEFT(TRIM(MID(SUBSTITUTE(SUBSTITUTE(SUBSTITUTE(SUBSTITUTE(SUBSTITUTE(LOWER(Registro!$G798),"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",LEN(Registro!$G798))),({1,2,3,4,5,6,7,8,9,10,11,12,13,14,15,16,17,18,19,20,21,22,23,24,25,26,27,28,29,30}-1)*LEN(Registro!$G798)+1,LEN(Registro!$G798))),FIND("x",TRIM(MID(SUBSTITUTE(SUBSTITUTE(SUBSTITUTE(SUBSTITUTE(SUBSTITUTE(LOWER(Registro!$G798),"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",LEN(Registro!$G798))),({1,2,3,4,5,6,7,8,9,10,11,12,13,14,15,16,17,18,19,20,21,22,23,24,25,26,27,28,29,30}-1)*LEN(Registro!$G798)+1,LEN(Registro!$G798)))&amp;"x")-1)),--("0"&amp;MID(TRIM(MID(SUBSTITUTE(SUBSTITUTE(SUBSTITUTE(SUBSTITUTE(SUBSTITUTE(LOWER(Registro!$G798),"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",LEN(Registro!$G798))),({1,2,3,4,5,6,7,8,9,10,11,12,13,14,15,16,17,18,19,20,21,22,23,24,25,26,27,28,29,30}-1)*LEN(Registro!$G798)+1,LEN(Registro!$G798))),FIND("x",TRIM(MID(SUBSTITUTE(SUBSTITUTE(SUBSTITUTE(SUBSTITUTE(SUBSTITUTE(LOWER(Registro!$G798),"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",LEN(Registro!$G798))),({1,2,3,4,5,6,7,8,9,10,11,12,13,14,15,16,17,18,19,20,21,22,23,24,25,26,27,28,29,30}-1)*LEN(Registro!$G798)+1,LEN(Registro!$G798)))&amp;"x")+1,20))),"Revisar formato")))</f>
        <v/>
      </c>
      <c r="J798" s="9" t="str">
        <f>IF(AND(Registro!$E798="",Registro!$G798=""),"",IF(NOT(AND(ISNUMBER(I798),ISNUMBER(Registro!$H798))),"",IF(I798&lt;Registro!$H798,"FALTA BOLETOS",IF(I798=Registro!$H798,"CONFORME","DIFERENCIA"))))</f>
        <v/>
      </c>
      <c r="K798" s="11" t="str">
        <f>IF(Registro!$I798="","",IFERROR(SUMPRODUCT(--("0"&amp;TRIM(RIGHT(SUBSTITUTE(TRIM(MID(SUBSTITUTE(SUBSTITUTE(Registro!$I798,";",CHAR(10)),CHAR(10),REPT(" ",LEN(Registro!$I798))),({1,2,3,4,5,6,7,8,9,10,11,12,13,14,15,16,17,18,19,20,21,22,23,24,25,26,27,28,29,30}-1)*LEN(Registro!$I798)+1,LEN(Registro!$I798)))," ",REPT(" ",50)),50)))),"Revisar formato"))</f>
        <v/>
      </c>
      <c r="L798" s="11" t="str">
        <f>IF(Registro!$J798="","",IFERROR(SUMPRODUCT(--("0"&amp;TRIM(RIGHT(SUBSTITUTE(TRIM(MID(SUBSTITUTE(SUBSTITUTE(Registro!$J798,";",CHAR(10)),CHAR(10),REPT(" ",LEN(Registro!$J798))),({1,2,3,4,5,6,7,8,9,10,11,12,13,14,15,16,17,18,19,20,21,22,23,24,25,26,27,28,29,30}-1)*LEN(Registro!$J798)+1,LEN(Registro!$J798)))," ",REPT(" ",50)),50)))),"Revisar formato"))</f>
        <v/>
      </c>
      <c r="M798" s="11" t="str">
        <f>IF(AND(Registro!$H798="",Registro!$I798=""),"",IF(AND(ISTEXT(K798),K798&lt;&gt;""),"Revisar formato",N(Registro!$H798)-N(K798)))</f>
        <v/>
      </c>
      <c r="N798" s="11" t="str">
        <f t="shared" si="38"/>
        <v/>
      </c>
      <c r="O798" s="15" t="str">
        <f>IF(AND(A798=Consulta!$B$3,C798=Consulta!$H$3),B798*10000+ROW(),"")</f>
        <v/>
      </c>
    </row>
    <row r="799" spans="1:15" x14ac:dyDescent="0.25">
      <c r="A799" s="9" t="str">
        <f>IF(Registro!$A799="","",Registro!$A799)</f>
        <v/>
      </c>
      <c r="B799" s="8" t="str">
        <f>IF(Registro!$B799="","",Registro!$B799)</f>
        <v/>
      </c>
      <c r="C799" s="14" t="str">
        <f t="shared" si="36"/>
        <v/>
      </c>
      <c r="D799" s="10" t="str">
        <f>IF(Registro!$E799="","",IF(ISERROR(FIND("x",LOWER(Registro!$E799))),"-",IFERROR(SUMPRODUCT(--("0"&amp;LEFT(TRIM(MID(SUBSTITUTE(SUBSTITUTE(SUBSTITUTE(SUBSTITUTE(SUBSTITUTE(LOWER(Registro!$E799),"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",LEN(Registro!$E799))),({1,2,3,4,5,6,7,8,9,10,11,12,13,14,15,16,17,18,19,20,21,22,23,24,25,26,27,28,29,30}-1)*LEN(Registro!$E799)+1,LEN(Registro!$E799)))&amp;"x")-1))),"Revisar formato")))</f>
        <v/>
      </c>
      <c r="E799" s="11" t="str">
        <f>IF(Registro!$E799="","",IF(ISERROR(FIND("x",LOWER(Registro!$E799))),"-",IFERROR(SUMPRODUCT(--("0"&amp;LEFT(TRIM(MID(SUBSTITUTE(SUBSTITUTE(SUBSTITUTE(SUBSTITUTE(SUBSTITUTE(LOWER(Registro!$E799),"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",LEN(Registro!$E799))),({1,2,3,4,5,6,7,8,9,10,11,12,13,14,15,16,17,18,19,20,21,22,23,24,25,26,27,28,29,30}-1)*LEN(Registro!$E799)+1,LEN(Registro!$E799)))&amp;"x")-1)),--("0"&amp;MID(TRIM(MID(SUBSTITUTE(SUBSTITUTE(SUBSTITUTE(SUBSTITUTE(SUBSTITUTE(LOWER(Registro!$E799),"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",LEN(Registro!$E799))),({1,2,3,4,5,6,7,8,9,10,11,12,13,14,15,16,17,18,19,20,21,22,23,24,25,26,27,28,29,30}-1)*LEN(Registro!$E799)+1,LEN(Registro!$E799)))&amp;"x")+1,20))),"Revisar formato")))</f>
        <v/>
      </c>
      <c r="F799" s="11" t="str">
        <f>IF(Registro!$F799="","",N(Registro!$F799))</f>
        <v/>
      </c>
      <c r="G799" s="11" t="str">
        <f t="shared" si="37"/>
        <v/>
      </c>
      <c r="H799" s="10" t="str">
        <f>IF(Registro!$G799="","",IF(ISERROR(FIND("x",LOWER(Registro!$G799))),"-",IFERROR(SUMPRODUCT(--("0"&amp;LEFT(TRIM(MID(SUBSTITUTE(SUBSTITUTE(SUBSTITUTE(SUBSTITUTE(SUBSTITUTE(LOWER(Registro!$G799),"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",LEN(Registro!$G799))),({1,2,3,4,5,6,7,8,9,10,11,12,13,14,15,16,17,18,19,20,21,22,23,24,25,26,27,28,29,30}-1)*LEN(Registro!$G799)+1,LEN(Registro!$G799))),FIND("x",TRIM(MID(SUBSTITUTE(SUBSTITUTE(SUBSTITUTE(SUBSTITUTE(SUBSTITUTE(LOWER(Registro!$G799),"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",LEN(Registro!$G799))),({1,2,3,4,5,6,7,8,9,10,11,12,13,14,15,16,17,18,19,20,21,22,23,24,25,26,27,28,29,30}-1)*LEN(Registro!$G799)+1,LEN(Registro!$G799)))&amp;"x")-1))),"Revisar formato")))</f>
        <v/>
      </c>
      <c r="I799" s="11" t="str">
        <f>IF(Registro!$G799="","",IF(ISERROR(FIND("x",LOWER(Registro!$G799))),N(Registro!$H799),IFERROR(SUMPRODUCT(--("0"&amp;LEFT(TRIM(MID(SUBSTITUTE(SUBSTITUTE(SUBSTITUTE(SUBSTITUTE(SUBSTITUTE(LOWER(Registro!$G799),"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",LEN(Registro!$G799))),({1,2,3,4,5,6,7,8,9,10,11,12,13,14,15,16,17,18,19,20,21,22,23,24,25,26,27,28,29,30}-1)*LEN(Registro!$G799)+1,LEN(Registro!$G799))),FIND("x",TRIM(MID(SUBSTITUTE(SUBSTITUTE(SUBSTITUTE(SUBSTITUTE(SUBSTITUTE(LOWER(Registro!$G799),"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",LEN(Registro!$G799))),({1,2,3,4,5,6,7,8,9,10,11,12,13,14,15,16,17,18,19,20,21,22,23,24,25,26,27,28,29,30}-1)*LEN(Registro!$G799)+1,LEN(Registro!$G799)))&amp;"x")-1)),--("0"&amp;MID(TRIM(MID(SUBSTITUTE(SUBSTITUTE(SUBSTITUTE(SUBSTITUTE(SUBSTITUTE(LOWER(Registro!$G799),"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",LEN(Registro!$G799))),({1,2,3,4,5,6,7,8,9,10,11,12,13,14,15,16,17,18,19,20,21,22,23,24,25,26,27,28,29,30}-1)*LEN(Registro!$G799)+1,LEN(Registro!$G799))),FIND("x",TRIM(MID(SUBSTITUTE(SUBSTITUTE(SUBSTITUTE(SUBSTITUTE(SUBSTITUTE(LOWER(Registro!$G799),"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",LEN(Registro!$G799))),({1,2,3,4,5,6,7,8,9,10,11,12,13,14,15,16,17,18,19,20,21,22,23,24,25,26,27,28,29,30}-1)*LEN(Registro!$G799)+1,LEN(Registro!$G799)))&amp;"x")+1,20))),"Revisar formato")))</f>
        <v/>
      </c>
      <c r="J799" s="9" t="str">
        <f>IF(AND(Registro!$E799="",Registro!$G799=""),"",IF(NOT(AND(ISNUMBER(I799),ISNUMBER(Registro!$H799))),"",IF(I799&lt;Registro!$H799,"FALTA BOLETOS",IF(I799=Registro!$H799,"CONFORME","DIFERENCIA"))))</f>
        <v/>
      </c>
      <c r="K799" s="11" t="str">
        <f>IF(Registro!$I799="","",IFERROR(SUMPRODUCT(--("0"&amp;TRIM(RIGHT(SUBSTITUTE(TRIM(MID(SUBSTITUTE(SUBSTITUTE(Registro!$I799,";",CHAR(10)),CHAR(10),REPT(" ",LEN(Registro!$I799))),({1,2,3,4,5,6,7,8,9,10,11,12,13,14,15,16,17,18,19,20,21,22,23,24,25,26,27,28,29,30}-1)*LEN(Registro!$I799)+1,LEN(Registro!$I799)))," ",REPT(" ",50)),50)))),"Revisar formato"))</f>
        <v/>
      </c>
      <c r="L799" s="11" t="str">
        <f>IF(Registro!$J799="","",IFERROR(SUMPRODUCT(--("0"&amp;TRIM(RIGHT(SUBSTITUTE(TRIM(MID(SUBSTITUTE(SUBSTITUTE(Registro!$J799,";",CHAR(10)),CHAR(10),REPT(" ",LEN(Registro!$J799))),({1,2,3,4,5,6,7,8,9,10,11,12,13,14,15,16,17,18,19,20,21,22,23,24,25,26,27,28,29,30}-1)*LEN(Registro!$J799)+1,LEN(Registro!$J799)))," ",REPT(" ",50)),50)))),"Revisar formato"))</f>
        <v/>
      </c>
      <c r="M799" s="11" t="str">
        <f>IF(AND(Registro!$H799="",Registro!$I799=""),"",IF(AND(ISTEXT(K799),K799&lt;&gt;""),"Revisar formato",N(Registro!$H799)-N(K799)))</f>
        <v/>
      </c>
      <c r="N799" s="11" t="str">
        <f t="shared" si="38"/>
        <v/>
      </c>
      <c r="O799" s="15" t="str">
        <f>IF(AND(A799=Consulta!$B$3,C799=Consulta!$H$3),B799*10000+ROW(),"")</f>
        <v/>
      </c>
    </row>
    <row r="800" spans="1:15" x14ac:dyDescent="0.25">
      <c r="A800" s="9" t="str">
        <f>IF(Registro!$A800="","",Registro!$A800)</f>
        <v/>
      </c>
      <c r="B800" s="8" t="str">
        <f>IF(Registro!$B800="","",Registro!$B800)</f>
        <v/>
      </c>
      <c r="C800" s="14" t="str">
        <f t="shared" si="36"/>
        <v/>
      </c>
      <c r="D800" s="10" t="str">
        <f>IF(Registro!$E800="","",IF(ISERROR(FIND("x",LOWER(Registro!$E800))),"-",IFERROR(SUMPRODUCT(--("0"&amp;LEFT(TRIM(MID(SUBSTITUTE(SUBSTITUTE(SUBSTITUTE(SUBSTITUTE(SUBSTITUTE(LOWER(Registro!$E800),"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",LEN(Registro!$E800))),({1,2,3,4,5,6,7,8,9,10,11,12,13,14,15,16,17,18,19,20,21,22,23,24,25,26,27,28,29,30}-1)*LEN(Registro!$E800)+1,LEN(Registro!$E800)))&amp;"x")-1))),"Revisar formato")))</f>
        <v/>
      </c>
      <c r="E800" s="11" t="str">
        <f>IF(Registro!$E800="","",IF(ISERROR(FIND("x",LOWER(Registro!$E800))),"-",IFERROR(SUMPRODUCT(--("0"&amp;LEFT(TRIM(MID(SUBSTITUTE(SUBSTITUTE(SUBSTITUTE(SUBSTITUTE(SUBSTITUTE(LOWER(Registro!$E800),"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",LEN(Registro!$E800))),({1,2,3,4,5,6,7,8,9,10,11,12,13,14,15,16,17,18,19,20,21,22,23,24,25,26,27,28,29,30}-1)*LEN(Registro!$E800)+1,LEN(Registro!$E800)))&amp;"x")-1)),--("0"&amp;MID(TRIM(MID(SUBSTITUTE(SUBSTITUTE(SUBSTITUTE(SUBSTITUTE(SUBSTITUTE(LOWER(Registro!$E800),"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",LEN(Registro!$E800))),({1,2,3,4,5,6,7,8,9,10,11,12,13,14,15,16,17,18,19,20,21,22,23,24,25,26,27,28,29,30}-1)*LEN(Registro!$E800)+1,LEN(Registro!$E800)))&amp;"x")+1,20))),"Revisar formato")))</f>
        <v/>
      </c>
      <c r="F800" s="11" t="str">
        <f>IF(Registro!$F800="","",N(Registro!$F800))</f>
        <v/>
      </c>
      <c r="G800" s="11" t="str">
        <f t="shared" si="37"/>
        <v/>
      </c>
      <c r="H800" s="10" t="str">
        <f>IF(Registro!$G800="","",IF(ISERROR(FIND("x",LOWER(Registro!$G800))),"-",IFERROR(SUMPRODUCT(--("0"&amp;LEFT(TRIM(MID(SUBSTITUTE(SUBSTITUTE(SUBSTITUTE(SUBSTITUTE(SUBSTITUTE(LOWER(Registro!$G800),"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",LEN(Registro!$G800))),({1,2,3,4,5,6,7,8,9,10,11,12,13,14,15,16,17,18,19,20,21,22,23,24,25,26,27,28,29,30}-1)*LEN(Registro!$G800)+1,LEN(Registro!$G800))),FIND("x",TRIM(MID(SUBSTITUTE(SUBSTITUTE(SUBSTITUTE(SUBSTITUTE(SUBSTITUTE(LOWER(Registro!$G800),"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",LEN(Registro!$G800))),({1,2,3,4,5,6,7,8,9,10,11,12,13,14,15,16,17,18,19,20,21,22,23,24,25,26,27,28,29,30}-1)*LEN(Registro!$G800)+1,LEN(Registro!$G800)))&amp;"x")-1))),"Revisar formato")))</f>
        <v/>
      </c>
      <c r="I800" s="11" t="str">
        <f>IF(Registro!$G800="","",IF(ISERROR(FIND("x",LOWER(Registro!$G800))),N(Registro!$H800),IFERROR(SUMPRODUCT(--("0"&amp;LEFT(TRIM(MID(SUBSTITUTE(SUBSTITUTE(SUBSTITUTE(SUBSTITUTE(SUBSTITUTE(LOWER(Registro!$G800),"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",LEN(Registro!$G800))),({1,2,3,4,5,6,7,8,9,10,11,12,13,14,15,16,17,18,19,20,21,22,23,24,25,26,27,28,29,30}-1)*LEN(Registro!$G800)+1,LEN(Registro!$G800))),FIND("x",TRIM(MID(SUBSTITUTE(SUBSTITUTE(SUBSTITUTE(SUBSTITUTE(SUBSTITUTE(LOWER(Registro!$G800),"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",LEN(Registro!$G800))),({1,2,3,4,5,6,7,8,9,10,11,12,13,14,15,16,17,18,19,20,21,22,23,24,25,26,27,28,29,30}-1)*LEN(Registro!$G800)+1,LEN(Registro!$G800)))&amp;"x")-1)),--("0"&amp;MID(TRIM(MID(SUBSTITUTE(SUBSTITUTE(SUBSTITUTE(SUBSTITUTE(SUBSTITUTE(LOWER(Registro!$G800),"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",LEN(Registro!$G800))),({1,2,3,4,5,6,7,8,9,10,11,12,13,14,15,16,17,18,19,20,21,22,23,24,25,26,27,28,29,30}-1)*LEN(Registro!$G800)+1,LEN(Registro!$G800))),FIND("x",TRIM(MID(SUBSTITUTE(SUBSTITUTE(SUBSTITUTE(SUBSTITUTE(SUBSTITUTE(LOWER(Registro!$G800),"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",LEN(Registro!$G800))),({1,2,3,4,5,6,7,8,9,10,11,12,13,14,15,16,17,18,19,20,21,22,23,24,25,26,27,28,29,30}-1)*LEN(Registro!$G800)+1,LEN(Registro!$G800)))&amp;"x")+1,20))),"Revisar formato")))</f>
        <v/>
      </c>
      <c r="J800" s="9" t="str">
        <f>IF(AND(Registro!$E800="",Registro!$G800=""),"",IF(NOT(AND(ISNUMBER(I800),ISNUMBER(Registro!$H800))),"",IF(I800&lt;Registro!$H800,"FALTA BOLETOS",IF(I800=Registro!$H800,"CONFORME","DIFERENCIA"))))</f>
        <v/>
      </c>
      <c r="K800" s="11" t="str">
        <f>IF(Registro!$I800="","",IFERROR(SUMPRODUCT(--("0"&amp;TRIM(RIGHT(SUBSTITUTE(TRIM(MID(SUBSTITUTE(SUBSTITUTE(Registro!$I800,";",CHAR(10)),CHAR(10),REPT(" ",LEN(Registro!$I800))),({1,2,3,4,5,6,7,8,9,10,11,12,13,14,15,16,17,18,19,20,21,22,23,24,25,26,27,28,29,30}-1)*LEN(Registro!$I800)+1,LEN(Registro!$I800)))," ",REPT(" ",50)),50)))),"Revisar formato"))</f>
        <v/>
      </c>
      <c r="L800" s="11" t="str">
        <f>IF(Registro!$J800="","",IFERROR(SUMPRODUCT(--("0"&amp;TRIM(RIGHT(SUBSTITUTE(TRIM(MID(SUBSTITUTE(SUBSTITUTE(Registro!$J800,";",CHAR(10)),CHAR(10),REPT(" ",LEN(Registro!$J800))),({1,2,3,4,5,6,7,8,9,10,11,12,13,14,15,16,17,18,19,20,21,22,23,24,25,26,27,28,29,30}-1)*LEN(Registro!$J800)+1,LEN(Registro!$J800)))," ",REPT(" ",50)),50)))),"Revisar formato"))</f>
        <v/>
      </c>
      <c r="M800" s="11" t="str">
        <f>IF(AND(Registro!$H800="",Registro!$I800=""),"",IF(AND(ISTEXT(K800),K800&lt;&gt;""),"Revisar formato",N(Registro!$H800)-N(K800)))</f>
        <v/>
      </c>
      <c r="N800" s="11" t="str">
        <f t="shared" si="38"/>
        <v/>
      </c>
      <c r="O800" s="15" t="str">
        <f>IF(AND(A800=Consulta!$B$3,C800=Consulta!$H$3),B800*10000+ROW(),"")</f>
        <v/>
      </c>
    </row>
    <row r="801" spans="1:15" x14ac:dyDescent="0.25">
      <c r="A801" s="9" t="str">
        <f>IF(Registro!$A801="","",Registro!$A801)</f>
        <v/>
      </c>
      <c r="B801" s="8" t="str">
        <f>IF(Registro!$B801="","",Registro!$B801)</f>
        <v/>
      </c>
      <c r="C801" s="14" t="str">
        <f t="shared" si="36"/>
        <v/>
      </c>
      <c r="D801" s="10" t="str">
        <f>IF(Registro!$E801="","",IF(ISERROR(FIND("x",LOWER(Registro!$E801))),"-",IFERROR(SUMPRODUCT(--("0"&amp;LEFT(TRIM(MID(SUBSTITUTE(SUBSTITUTE(SUBSTITUTE(SUBSTITUTE(SUBSTITUTE(LOWER(Registro!$E801),"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",LEN(Registro!$E801))),({1,2,3,4,5,6,7,8,9,10,11,12,13,14,15,16,17,18,19,20,21,22,23,24,25,26,27,28,29,30}-1)*LEN(Registro!$E801)+1,LEN(Registro!$E801)))&amp;"x")-1))),"Revisar formato")))</f>
        <v/>
      </c>
      <c r="E801" s="11" t="str">
        <f>IF(Registro!$E801="","",IF(ISERROR(FIND("x",LOWER(Registro!$E801))),"-",IFERROR(SUMPRODUCT(--("0"&amp;LEFT(TRIM(MID(SUBSTITUTE(SUBSTITUTE(SUBSTITUTE(SUBSTITUTE(SUBSTITUTE(LOWER(Registro!$E801),"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",LEN(Registro!$E801))),({1,2,3,4,5,6,7,8,9,10,11,12,13,14,15,16,17,18,19,20,21,22,23,24,25,26,27,28,29,30}-1)*LEN(Registro!$E801)+1,LEN(Registro!$E801)))&amp;"x")-1)),--("0"&amp;MID(TRIM(MID(SUBSTITUTE(SUBSTITUTE(SUBSTITUTE(SUBSTITUTE(SUBSTITUTE(LOWER(Registro!$E801),"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",LEN(Registro!$E801))),({1,2,3,4,5,6,7,8,9,10,11,12,13,14,15,16,17,18,19,20,21,22,23,24,25,26,27,28,29,30}-1)*LEN(Registro!$E801)+1,LEN(Registro!$E801)))&amp;"x")+1,20))),"Revisar formato")))</f>
        <v/>
      </c>
      <c r="F801" s="11" t="str">
        <f>IF(Registro!$F801="","",N(Registro!$F801))</f>
        <v/>
      </c>
      <c r="G801" s="11" t="str">
        <f t="shared" si="37"/>
        <v/>
      </c>
      <c r="H801" s="10" t="str">
        <f>IF(Registro!$G801="","",IF(ISERROR(FIND("x",LOWER(Registro!$G801))),"-",IFERROR(SUMPRODUCT(--("0"&amp;LEFT(TRIM(MID(SUBSTITUTE(SUBSTITUTE(SUBSTITUTE(SUBSTITUTE(SUBSTITUTE(LOWER(Registro!$G801),"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",LEN(Registro!$G801))),({1,2,3,4,5,6,7,8,9,10,11,12,13,14,15,16,17,18,19,20,21,22,23,24,25,26,27,28,29,30}-1)*LEN(Registro!$G801)+1,LEN(Registro!$G801))),FIND("x",TRIM(MID(SUBSTITUTE(SUBSTITUTE(SUBSTITUTE(SUBSTITUTE(SUBSTITUTE(LOWER(Registro!$G801),"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",LEN(Registro!$G801))),({1,2,3,4,5,6,7,8,9,10,11,12,13,14,15,16,17,18,19,20,21,22,23,24,25,26,27,28,29,30}-1)*LEN(Registro!$G801)+1,LEN(Registro!$G801)))&amp;"x")-1))),"Revisar formato")))</f>
        <v/>
      </c>
      <c r="I801" s="11" t="str">
        <f>IF(Registro!$G801="","",IF(ISERROR(FIND("x",LOWER(Registro!$G801))),N(Registro!$H801),IFERROR(SUMPRODUCT(--("0"&amp;LEFT(TRIM(MID(SUBSTITUTE(SUBSTITUTE(SUBSTITUTE(SUBSTITUTE(SUBSTITUTE(LOWER(Registro!$G801),"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",LEN(Registro!$G801))),({1,2,3,4,5,6,7,8,9,10,11,12,13,14,15,16,17,18,19,20,21,22,23,24,25,26,27,28,29,30}-1)*LEN(Registro!$G801)+1,LEN(Registro!$G801))),FIND("x",TRIM(MID(SUBSTITUTE(SUBSTITUTE(SUBSTITUTE(SUBSTITUTE(SUBSTITUTE(LOWER(Registro!$G801),"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",LEN(Registro!$G801))),({1,2,3,4,5,6,7,8,9,10,11,12,13,14,15,16,17,18,19,20,21,22,23,24,25,26,27,28,29,30}-1)*LEN(Registro!$G801)+1,LEN(Registro!$G801)))&amp;"x")-1)),--("0"&amp;MID(TRIM(MID(SUBSTITUTE(SUBSTITUTE(SUBSTITUTE(SUBSTITUTE(SUBSTITUTE(LOWER(Registro!$G801),"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",LEN(Registro!$G801))),({1,2,3,4,5,6,7,8,9,10,11,12,13,14,15,16,17,18,19,20,21,22,23,24,25,26,27,28,29,30}-1)*LEN(Registro!$G801)+1,LEN(Registro!$G801))),FIND("x",TRIM(MID(SUBSTITUTE(SUBSTITUTE(SUBSTITUTE(SUBSTITUTE(SUBSTITUTE(LOWER(Registro!$G801),"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",LEN(Registro!$G801))),({1,2,3,4,5,6,7,8,9,10,11,12,13,14,15,16,17,18,19,20,21,22,23,24,25,26,27,28,29,30}-1)*LEN(Registro!$G801)+1,LEN(Registro!$G801)))&amp;"x")+1,20))),"Revisar formato")))</f>
        <v/>
      </c>
      <c r="J801" s="9" t="str">
        <f>IF(AND(Registro!$E801="",Registro!$G801=""),"",IF(NOT(AND(ISNUMBER(I801),ISNUMBER(Registro!$H801))),"",IF(I801&lt;Registro!$H801,"FALTA BOLETOS",IF(I801=Registro!$H801,"CONFORME","DIFERENCIA"))))</f>
        <v/>
      </c>
      <c r="K801" s="11" t="str">
        <f>IF(Registro!$I801="","",IFERROR(SUMPRODUCT(--("0"&amp;TRIM(RIGHT(SUBSTITUTE(TRIM(MID(SUBSTITUTE(SUBSTITUTE(Registro!$I801,";",CHAR(10)),CHAR(10),REPT(" ",LEN(Registro!$I801))),({1,2,3,4,5,6,7,8,9,10,11,12,13,14,15,16,17,18,19,20,21,22,23,24,25,26,27,28,29,30}-1)*LEN(Registro!$I801)+1,LEN(Registro!$I801)))," ",REPT(" ",50)),50)))),"Revisar formato"))</f>
        <v/>
      </c>
      <c r="L801" s="11" t="str">
        <f>IF(Registro!$J801="","",IFERROR(SUMPRODUCT(--("0"&amp;TRIM(RIGHT(SUBSTITUTE(TRIM(MID(SUBSTITUTE(SUBSTITUTE(Registro!$J801,";",CHAR(10)),CHAR(10),REPT(" ",LEN(Registro!$J801))),({1,2,3,4,5,6,7,8,9,10,11,12,13,14,15,16,17,18,19,20,21,22,23,24,25,26,27,28,29,30}-1)*LEN(Registro!$J801)+1,LEN(Registro!$J801)))," ",REPT(" ",50)),50)))),"Revisar formato"))</f>
        <v/>
      </c>
      <c r="M801" s="11" t="str">
        <f>IF(AND(Registro!$H801="",Registro!$I801=""),"",IF(AND(ISTEXT(K801),K801&lt;&gt;""),"Revisar formato",N(Registro!$H801)-N(K801)))</f>
        <v/>
      </c>
      <c r="N801" s="11" t="str">
        <f t="shared" si="38"/>
        <v/>
      </c>
      <c r="O801" s="15" t="str">
        <f>IF(AND(A801=Consulta!$B$3,C801=Consulta!$H$3),B801*10000+ROW(),"")</f>
        <v/>
      </c>
    </row>
    <row r="802" spans="1:15" x14ac:dyDescent="0.25">
      <c r="A802" s="9" t="str">
        <f>IF(Registro!$A802="","",Registro!$A802)</f>
        <v/>
      </c>
      <c r="B802" s="8" t="str">
        <f>IF(Registro!$B802="","",Registro!$B802)</f>
        <v/>
      </c>
      <c r="C802" s="14" t="str">
        <f t="shared" si="36"/>
        <v/>
      </c>
      <c r="D802" s="10" t="str">
        <f>IF(Registro!$E802="","",IF(ISERROR(FIND("x",LOWER(Registro!$E802))),"-",IFERROR(SUMPRODUCT(--("0"&amp;LEFT(TRIM(MID(SUBSTITUTE(SUBSTITUTE(SUBSTITUTE(SUBSTITUTE(SUBSTITUTE(LOWER(Registro!$E802),"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",LEN(Registro!$E802))),({1,2,3,4,5,6,7,8,9,10,11,12,13,14,15,16,17,18,19,20,21,22,23,24,25,26,27,28,29,30}-1)*LEN(Registro!$E802)+1,LEN(Registro!$E802)))&amp;"x")-1))),"Revisar formato")))</f>
        <v/>
      </c>
      <c r="E802" s="11" t="str">
        <f>IF(Registro!$E802="","",IF(ISERROR(FIND("x",LOWER(Registro!$E802))),"-",IFERROR(SUMPRODUCT(--("0"&amp;LEFT(TRIM(MID(SUBSTITUTE(SUBSTITUTE(SUBSTITUTE(SUBSTITUTE(SUBSTITUTE(LOWER(Registro!$E802),"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",LEN(Registro!$E802))),({1,2,3,4,5,6,7,8,9,10,11,12,13,14,15,16,17,18,19,20,21,22,23,24,25,26,27,28,29,30}-1)*LEN(Registro!$E802)+1,LEN(Registro!$E802)))&amp;"x")-1)),--("0"&amp;MID(TRIM(MID(SUBSTITUTE(SUBSTITUTE(SUBSTITUTE(SUBSTITUTE(SUBSTITUTE(LOWER(Registro!$E802),"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",LEN(Registro!$E802))),({1,2,3,4,5,6,7,8,9,10,11,12,13,14,15,16,17,18,19,20,21,22,23,24,25,26,27,28,29,30}-1)*LEN(Registro!$E802)+1,LEN(Registro!$E802)))&amp;"x")+1,20))),"Revisar formato")))</f>
        <v/>
      </c>
      <c r="F802" s="11" t="str">
        <f>IF(Registro!$F802="","",N(Registro!$F802))</f>
        <v/>
      </c>
      <c r="G802" s="11" t="str">
        <f t="shared" si="37"/>
        <v/>
      </c>
      <c r="H802" s="10" t="str">
        <f>IF(Registro!$G802="","",IF(ISERROR(FIND("x",LOWER(Registro!$G802))),"-",IFERROR(SUMPRODUCT(--("0"&amp;LEFT(TRIM(MID(SUBSTITUTE(SUBSTITUTE(SUBSTITUTE(SUBSTITUTE(SUBSTITUTE(LOWER(Registro!$G802),"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",LEN(Registro!$G802))),({1,2,3,4,5,6,7,8,9,10,11,12,13,14,15,16,17,18,19,20,21,22,23,24,25,26,27,28,29,30}-1)*LEN(Registro!$G802)+1,LEN(Registro!$G802))),FIND("x",TRIM(MID(SUBSTITUTE(SUBSTITUTE(SUBSTITUTE(SUBSTITUTE(SUBSTITUTE(LOWER(Registro!$G802),"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",LEN(Registro!$G802))),({1,2,3,4,5,6,7,8,9,10,11,12,13,14,15,16,17,18,19,20,21,22,23,24,25,26,27,28,29,30}-1)*LEN(Registro!$G802)+1,LEN(Registro!$G802)))&amp;"x")-1))),"Revisar formato")))</f>
        <v/>
      </c>
      <c r="I802" s="11" t="str">
        <f>IF(Registro!$G802="","",IF(ISERROR(FIND("x",LOWER(Registro!$G802))),N(Registro!$H802),IFERROR(SUMPRODUCT(--("0"&amp;LEFT(TRIM(MID(SUBSTITUTE(SUBSTITUTE(SUBSTITUTE(SUBSTITUTE(SUBSTITUTE(LOWER(Registro!$G802),"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",LEN(Registro!$G802))),({1,2,3,4,5,6,7,8,9,10,11,12,13,14,15,16,17,18,19,20,21,22,23,24,25,26,27,28,29,30}-1)*LEN(Registro!$G802)+1,LEN(Registro!$G802))),FIND("x",TRIM(MID(SUBSTITUTE(SUBSTITUTE(SUBSTITUTE(SUBSTITUTE(SUBSTITUTE(LOWER(Registro!$G802),"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",LEN(Registro!$G802))),({1,2,3,4,5,6,7,8,9,10,11,12,13,14,15,16,17,18,19,20,21,22,23,24,25,26,27,28,29,30}-1)*LEN(Registro!$G802)+1,LEN(Registro!$G802)))&amp;"x")-1)),--("0"&amp;MID(TRIM(MID(SUBSTITUTE(SUBSTITUTE(SUBSTITUTE(SUBSTITUTE(SUBSTITUTE(LOWER(Registro!$G802),"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",LEN(Registro!$G802))),({1,2,3,4,5,6,7,8,9,10,11,12,13,14,15,16,17,18,19,20,21,22,23,24,25,26,27,28,29,30}-1)*LEN(Registro!$G802)+1,LEN(Registro!$G802))),FIND("x",TRIM(MID(SUBSTITUTE(SUBSTITUTE(SUBSTITUTE(SUBSTITUTE(SUBSTITUTE(LOWER(Registro!$G802),"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",LEN(Registro!$G802))),({1,2,3,4,5,6,7,8,9,10,11,12,13,14,15,16,17,18,19,20,21,22,23,24,25,26,27,28,29,30}-1)*LEN(Registro!$G802)+1,LEN(Registro!$G802)))&amp;"x")+1,20))),"Revisar formato")))</f>
        <v/>
      </c>
      <c r="J802" s="9" t="str">
        <f>IF(AND(Registro!$E802="",Registro!$G802=""),"",IF(NOT(AND(ISNUMBER(I802),ISNUMBER(Registro!$H802))),"",IF(I802&lt;Registro!$H802,"FALTA BOLETOS",IF(I802=Registro!$H802,"CONFORME","DIFERENCIA"))))</f>
        <v/>
      </c>
      <c r="K802" s="11" t="str">
        <f>IF(Registro!$I802="","",IFERROR(SUMPRODUCT(--("0"&amp;TRIM(RIGHT(SUBSTITUTE(TRIM(MID(SUBSTITUTE(SUBSTITUTE(Registro!$I802,";",CHAR(10)),CHAR(10),REPT(" ",LEN(Registro!$I802))),({1,2,3,4,5,6,7,8,9,10,11,12,13,14,15,16,17,18,19,20,21,22,23,24,25,26,27,28,29,30}-1)*LEN(Registro!$I802)+1,LEN(Registro!$I802)))," ",REPT(" ",50)),50)))),"Revisar formato"))</f>
        <v/>
      </c>
      <c r="L802" s="11" t="str">
        <f>IF(Registro!$J802="","",IFERROR(SUMPRODUCT(--("0"&amp;TRIM(RIGHT(SUBSTITUTE(TRIM(MID(SUBSTITUTE(SUBSTITUTE(Registro!$J802,";",CHAR(10)),CHAR(10),REPT(" ",LEN(Registro!$J802))),({1,2,3,4,5,6,7,8,9,10,11,12,13,14,15,16,17,18,19,20,21,22,23,24,25,26,27,28,29,30}-1)*LEN(Registro!$J802)+1,LEN(Registro!$J802)))," ",REPT(" ",50)),50)))),"Revisar formato"))</f>
        <v/>
      </c>
      <c r="M802" s="11" t="str">
        <f>IF(AND(Registro!$H802="",Registro!$I802=""),"",IF(AND(ISTEXT(K802),K802&lt;&gt;""),"Revisar formato",N(Registro!$H802)-N(K802)))</f>
        <v/>
      </c>
      <c r="N802" s="11" t="str">
        <f t="shared" si="38"/>
        <v/>
      </c>
      <c r="O802" s="15" t="str">
        <f>IF(AND(A802=Consulta!$B$3,C802=Consulta!$H$3),B802*10000+ROW(),"")</f>
        <v/>
      </c>
    </row>
    <row r="803" spans="1:15" x14ac:dyDescent="0.25">
      <c r="A803" s="9" t="str">
        <f>IF(Registro!$A803="","",Registro!$A803)</f>
        <v/>
      </c>
      <c r="B803" s="8" t="str">
        <f>IF(Registro!$B803="","",Registro!$B803)</f>
        <v/>
      </c>
      <c r="C803" s="14" t="str">
        <f t="shared" si="36"/>
        <v/>
      </c>
      <c r="D803" s="10" t="str">
        <f>IF(Registro!$E803="","",IF(ISERROR(FIND("x",LOWER(Registro!$E803))),"-",IFERROR(SUMPRODUCT(--("0"&amp;LEFT(TRIM(MID(SUBSTITUTE(SUBSTITUTE(SUBSTITUTE(SUBSTITUTE(SUBSTITUTE(LOWER(Registro!$E803),"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",LEN(Registro!$E803))),({1,2,3,4,5,6,7,8,9,10,11,12,13,14,15,16,17,18,19,20,21,22,23,24,25,26,27,28,29,30}-1)*LEN(Registro!$E803)+1,LEN(Registro!$E803)))&amp;"x")-1))),"Revisar formato")))</f>
        <v/>
      </c>
      <c r="E803" s="11" t="str">
        <f>IF(Registro!$E803="","",IF(ISERROR(FIND("x",LOWER(Registro!$E803))),"-",IFERROR(SUMPRODUCT(--("0"&amp;LEFT(TRIM(MID(SUBSTITUTE(SUBSTITUTE(SUBSTITUTE(SUBSTITUTE(SUBSTITUTE(LOWER(Registro!$E803),"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",LEN(Registro!$E803))),({1,2,3,4,5,6,7,8,9,10,11,12,13,14,15,16,17,18,19,20,21,22,23,24,25,26,27,28,29,30}-1)*LEN(Registro!$E803)+1,LEN(Registro!$E803)))&amp;"x")-1)),--("0"&amp;MID(TRIM(MID(SUBSTITUTE(SUBSTITUTE(SUBSTITUTE(SUBSTITUTE(SUBSTITUTE(LOWER(Registro!$E803),"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",LEN(Registro!$E803))),({1,2,3,4,5,6,7,8,9,10,11,12,13,14,15,16,17,18,19,20,21,22,23,24,25,26,27,28,29,30}-1)*LEN(Registro!$E803)+1,LEN(Registro!$E803)))&amp;"x")+1,20))),"Revisar formato")))</f>
        <v/>
      </c>
      <c r="F803" s="11" t="str">
        <f>IF(Registro!$F803="","",N(Registro!$F803))</f>
        <v/>
      </c>
      <c r="G803" s="11" t="str">
        <f t="shared" si="37"/>
        <v/>
      </c>
      <c r="H803" s="10" t="str">
        <f>IF(Registro!$G803="","",IF(ISERROR(FIND("x",LOWER(Registro!$G803))),"-",IFERROR(SUMPRODUCT(--("0"&amp;LEFT(TRIM(MID(SUBSTITUTE(SUBSTITUTE(SUBSTITUTE(SUBSTITUTE(SUBSTITUTE(LOWER(Registro!$G803),"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",LEN(Registro!$G803))),({1,2,3,4,5,6,7,8,9,10,11,12,13,14,15,16,17,18,19,20,21,22,23,24,25,26,27,28,29,30}-1)*LEN(Registro!$G803)+1,LEN(Registro!$G803))),FIND("x",TRIM(MID(SUBSTITUTE(SUBSTITUTE(SUBSTITUTE(SUBSTITUTE(SUBSTITUTE(LOWER(Registro!$G803),"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",LEN(Registro!$G803))),({1,2,3,4,5,6,7,8,9,10,11,12,13,14,15,16,17,18,19,20,21,22,23,24,25,26,27,28,29,30}-1)*LEN(Registro!$G803)+1,LEN(Registro!$G803)))&amp;"x")-1))),"Revisar formato")))</f>
        <v/>
      </c>
      <c r="I803" s="11" t="str">
        <f>IF(Registro!$G803="","",IF(ISERROR(FIND("x",LOWER(Registro!$G803))),N(Registro!$H803),IFERROR(SUMPRODUCT(--("0"&amp;LEFT(TRIM(MID(SUBSTITUTE(SUBSTITUTE(SUBSTITUTE(SUBSTITUTE(SUBSTITUTE(LOWER(Registro!$G803),"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",LEN(Registro!$G803))),({1,2,3,4,5,6,7,8,9,10,11,12,13,14,15,16,17,18,19,20,21,22,23,24,25,26,27,28,29,30}-1)*LEN(Registro!$G803)+1,LEN(Registro!$G803))),FIND("x",TRIM(MID(SUBSTITUTE(SUBSTITUTE(SUBSTITUTE(SUBSTITUTE(SUBSTITUTE(LOWER(Registro!$G803),"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",LEN(Registro!$G803))),({1,2,3,4,5,6,7,8,9,10,11,12,13,14,15,16,17,18,19,20,21,22,23,24,25,26,27,28,29,30}-1)*LEN(Registro!$G803)+1,LEN(Registro!$G803)))&amp;"x")-1)),--("0"&amp;MID(TRIM(MID(SUBSTITUTE(SUBSTITUTE(SUBSTITUTE(SUBSTITUTE(SUBSTITUTE(LOWER(Registro!$G803),"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",LEN(Registro!$G803))),({1,2,3,4,5,6,7,8,9,10,11,12,13,14,15,16,17,18,19,20,21,22,23,24,25,26,27,28,29,30}-1)*LEN(Registro!$G803)+1,LEN(Registro!$G803))),FIND("x",TRIM(MID(SUBSTITUTE(SUBSTITUTE(SUBSTITUTE(SUBSTITUTE(SUBSTITUTE(LOWER(Registro!$G803),"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",LEN(Registro!$G803))),({1,2,3,4,5,6,7,8,9,10,11,12,13,14,15,16,17,18,19,20,21,22,23,24,25,26,27,28,29,30}-1)*LEN(Registro!$G803)+1,LEN(Registro!$G803)))&amp;"x")+1,20))),"Revisar formato")))</f>
        <v/>
      </c>
      <c r="J803" s="9" t="str">
        <f>IF(AND(Registro!$E803="",Registro!$G803=""),"",IF(NOT(AND(ISNUMBER(I803),ISNUMBER(Registro!$H803))),"",IF(I803&lt;Registro!$H803,"FALTA BOLETOS",IF(I803=Registro!$H803,"CONFORME","DIFERENCIA"))))</f>
        <v/>
      </c>
      <c r="K803" s="11" t="str">
        <f>IF(Registro!$I803="","",IFERROR(SUMPRODUCT(--("0"&amp;TRIM(RIGHT(SUBSTITUTE(TRIM(MID(SUBSTITUTE(SUBSTITUTE(Registro!$I803,";",CHAR(10)),CHAR(10),REPT(" ",LEN(Registro!$I803))),({1,2,3,4,5,6,7,8,9,10,11,12,13,14,15,16,17,18,19,20,21,22,23,24,25,26,27,28,29,30}-1)*LEN(Registro!$I803)+1,LEN(Registro!$I803)))," ",REPT(" ",50)),50)))),"Revisar formato"))</f>
        <v/>
      </c>
      <c r="L803" s="11" t="str">
        <f>IF(Registro!$J803="","",IFERROR(SUMPRODUCT(--("0"&amp;TRIM(RIGHT(SUBSTITUTE(TRIM(MID(SUBSTITUTE(SUBSTITUTE(Registro!$J803,";",CHAR(10)),CHAR(10),REPT(" ",LEN(Registro!$J803))),({1,2,3,4,5,6,7,8,9,10,11,12,13,14,15,16,17,18,19,20,21,22,23,24,25,26,27,28,29,30}-1)*LEN(Registro!$J803)+1,LEN(Registro!$J803)))," ",REPT(" ",50)),50)))),"Revisar formato"))</f>
        <v/>
      </c>
      <c r="M803" s="11" t="str">
        <f>IF(AND(Registro!$H803="",Registro!$I803=""),"",IF(AND(ISTEXT(K803),K803&lt;&gt;""),"Revisar formato",N(Registro!$H803)-N(K803)))</f>
        <v/>
      </c>
      <c r="N803" s="11" t="str">
        <f t="shared" si="38"/>
        <v/>
      </c>
      <c r="O803" s="15" t="str">
        <f>IF(AND(A803=Consulta!$B$3,C803=Consulta!$H$3),B803*10000+ROW(),"")</f>
        <v/>
      </c>
    </row>
    <row r="804" spans="1:15" x14ac:dyDescent="0.25">
      <c r="A804" s="9" t="str">
        <f>IF(Registro!$A804="","",Registro!$A804)</f>
        <v/>
      </c>
      <c r="B804" s="8" t="str">
        <f>IF(Registro!$B804="","",Registro!$B804)</f>
        <v/>
      </c>
      <c r="C804" s="14" t="str">
        <f t="shared" si="36"/>
        <v/>
      </c>
      <c r="D804" s="10" t="str">
        <f>IF(Registro!$E804="","",IF(ISERROR(FIND("x",LOWER(Registro!$E804))),"-",IFERROR(SUMPRODUCT(--("0"&amp;LEFT(TRIM(MID(SUBSTITUTE(SUBSTITUTE(SUBSTITUTE(SUBSTITUTE(SUBSTITUTE(LOWER(Registro!$E804),"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",LEN(Registro!$E804))),({1,2,3,4,5,6,7,8,9,10,11,12,13,14,15,16,17,18,19,20,21,22,23,24,25,26,27,28,29,30}-1)*LEN(Registro!$E804)+1,LEN(Registro!$E804)))&amp;"x")-1))),"Revisar formato")))</f>
        <v/>
      </c>
      <c r="E804" s="11" t="str">
        <f>IF(Registro!$E804="","",IF(ISERROR(FIND("x",LOWER(Registro!$E804))),"-",IFERROR(SUMPRODUCT(--("0"&amp;LEFT(TRIM(MID(SUBSTITUTE(SUBSTITUTE(SUBSTITUTE(SUBSTITUTE(SUBSTITUTE(LOWER(Registro!$E804),"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",LEN(Registro!$E804))),({1,2,3,4,5,6,7,8,9,10,11,12,13,14,15,16,17,18,19,20,21,22,23,24,25,26,27,28,29,30}-1)*LEN(Registro!$E804)+1,LEN(Registro!$E804)))&amp;"x")-1)),--("0"&amp;MID(TRIM(MID(SUBSTITUTE(SUBSTITUTE(SUBSTITUTE(SUBSTITUTE(SUBSTITUTE(LOWER(Registro!$E804),"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",LEN(Registro!$E804))),({1,2,3,4,5,6,7,8,9,10,11,12,13,14,15,16,17,18,19,20,21,22,23,24,25,26,27,28,29,30}-1)*LEN(Registro!$E804)+1,LEN(Registro!$E804)))&amp;"x")+1,20))),"Revisar formato")))</f>
        <v/>
      </c>
      <c r="F804" s="11" t="str">
        <f>IF(Registro!$F804="","",N(Registro!$F804))</f>
        <v/>
      </c>
      <c r="G804" s="11" t="str">
        <f t="shared" si="37"/>
        <v/>
      </c>
      <c r="H804" s="10" t="str">
        <f>IF(Registro!$G804="","",IF(ISERROR(FIND("x",LOWER(Registro!$G804))),"-",IFERROR(SUMPRODUCT(--("0"&amp;LEFT(TRIM(MID(SUBSTITUTE(SUBSTITUTE(SUBSTITUTE(SUBSTITUTE(SUBSTITUTE(LOWER(Registro!$G804),"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",LEN(Registro!$G804))),({1,2,3,4,5,6,7,8,9,10,11,12,13,14,15,16,17,18,19,20,21,22,23,24,25,26,27,28,29,30}-1)*LEN(Registro!$G804)+1,LEN(Registro!$G804))),FIND("x",TRIM(MID(SUBSTITUTE(SUBSTITUTE(SUBSTITUTE(SUBSTITUTE(SUBSTITUTE(LOWER(Registro!$G804),"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",LEN(Registro!$G804))),({1,2,3,4,5,6,7,8,9,10,11,12,13,14,15,16,17,18,19,20,21,22,23,24,25,26,27,28,29,30}-1)*LEN(Registro!$G804)+1,LEN(Registro!$G804)))&amp;"x")-1))),"Revisar formato")))</f>
        <v/>
      </c>
      <c r="I804" s="11" t="str">
        <f>IF(Registro!$G804="","",IF(ISERROR(FIND("x",LOWER(Registro!$G804))),N(Registro!$H804),IFERROR(SUMPRODUCT(--("0"&amp;LEFT(TRIM(MID(SUBSTITUTE(SUBSTITUTE(SUBSTITUTE(SUBSTITUTE(SUBSTITUTE(LOWER(Registro!$G804),"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",LEN(Registro!$G804))),({1,2,3,4,5,6,7,8,9,10,11,12,13,14,15,16,17,18,19,20,21,22,23,24,25,26,27,28,29,30}-1)*LEN(Registro!$G804)+1,LEN(Registro!$G804))),FIND("x",TRIM(MID(SUBSTITUTE(SUBSTITUTE(SUBSTITUTE(SUBSTITUTE(SUBSTITUTE(LOWER(Registro!$G804),"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",LEN(Registro!$G804))),({1,2,3,4,5,6,7,8,9,10,11,12,13,14,15,16,17,18,19,20,21,22,23,24,25,26,27,28,29,30}-1)*LEN(Registro!$G804)+1,LEN(Registro!$G804)))&amp;"x")-1)),--("0"&amp;MID(TRIM(MID(SUBSTITUTE(SUBSTITUTE(SUBSTITUTE(SUBSTITUTE(SUBSTITUTE(LOWER(Registro!$G804),"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",LEN(Registro!$G804))),({1,2,3,4,5,6,7,8,9,10,11,12,13,14,15,16,17,18,19,20,21,22,23,24,25,26,27,28,29,30}-1)*LEN(Registro!$G804)+1,LEN(Registro!$G804))),FIND("x",TRIM(MID(SUBSTITUTE(SUBSTITUTE(SUBSTITUTE(SUBSTITUTE(SUBSTITUTE(LOWER(Registro!$G804),"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",LEN(Registro!$G804))),({1,2,3,4,5,6,7,8,9,10,11,12,13,14,15,16,17,18,19,20,21,22,23,24,25,26,27,28,29,30}-1)*LEN(Registro!$G804)+1,LEN(Registro!$G804)))&amp;"x")+1,20))),"Revisar formato")))</f>
        <v/>
      </c>
      <c r="J804" s="9" t="str">
        <f>IF(AND(Registro!$E804="",Registro!$G804=""),"",IF(NOT(AND(ISNUMBER(I804),ISNUMBER(Registro!$H804))),"",IF(I804&lt;Registro!$H804,"FALTA BOLETOS",IF(I804=Registro!$H804,"CONFORME","DIFERENCIA"))))</f>
        <v/>
      </c>
      <c r="K804" s="11" t="str">
        <f>IF(Registro!$I804="","",IFERROR(SUMPRODUCT(--("0"&amp;TRIM(RIGHT(SUBSTITUTE(TRIM(MID(SUBSTITUTE(SUBSTITUTE(Registro!$I804,";",CHAR(10)),CHAR(10),REPT(" ",LEN(Registro!$I804))),({1,2,3,4,5,6,7,8,9,10,11,12,13,14,15,16,17,18,19,20,21,22,23,24,25,26,27,28,29,30}-1)*LEN(Registro!$I804)+1,LEN(Registro!$I804)))," ",REPT(" ",50)),50)))),"Revisar formato"))</f>
        <v/>
      </c>
      <c r="L804" s="11" t="str">
        <f>IF(Registro!$J804="","",IFERROR(SUMPRODUCT(--("0"&amp;TRIM(RIGHT(SUBSTITUTE(TRIM(MID(SUBSTITUTE(SUBSTITUTE(Registro!$J804,";",CHAR(10)),CHAR(10),REPT(" ",LEN(Registro!$J804))),({1,2,3,4,5,6,7,8,9,10,11,12,13,14,15,16,17,18,19,20,21,22,23,24,25,26,27,28,29,30}-1)*LEN(Registro!$J804)+1,LEN(Registro!$J804)))," ",REPT(" ",50)),50)))),"Revisar formato"))</f>
        <v/>
      </c>
      <c r="M804" s="11" t="str">
        <f>IF(AND(Registro!$H804="",Registro!$I804=""),"",IF(AND(ISTEXT(K804),K804&lt;&gt;""),"Revisar formato",N(Registro!$H804)-N(K804)))</f>
        <v/>
      </c>
      <c r="N804" s="11" t="str">
        <f t="shared" si="38"/>
        <v/>
      </c>
      <c r="O804" s="15" t="str">
        <f>IF(AND(A804=Consulta!$B$3,C804=Consulta!$H$3),B804*10000+ROW(),"")</f>
        <v/>
      </c>
    </row>
    <row r="805" spans="1:15" x14ac:dyDescent="0.25">
      <c r="A805" s="9" t="str">
        <f>IF(Registro!$A805="","",Registro!$A805)</f>
        <v/>
      </c>
      <c r="B805" s="8" t="str">
        <f>IF(Registro!$B805="","",Registro!$B805)</f>
        <v/>
      </c>
      <c r="C805" s="14" t="str">
        <f t="shared" si="36"/>
        <v/>
      </c>
      <c r="D805" s="10" t="str">
        <f>IF(Registro!$E805="","",IF(ISERROR(FIND("x",LOWER(Registro!$E805))),"-",IFERROR(SUMPRODUCT(--("0"&amp;LEFT(TRIM(MID(SUBSTITUTE(SUBSTITUTE(SUBSTITUTE(SUBSTITUTE(SUBSTITUTE(LOWER(Registro!$E805),"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",LEN(Registro!$E805))),({1,2,3,4,5,6,7,8,9,10,11,12,13,14,15,16,17,18,19,20,21,22,23,24,25,26,27,28,29,30}-1)*LEN(Registro!$E805)+1,LEN(Registro!$E805)))&amp;"x")-1))),"Revisar formato")))</f>
        <v/>
      </c>
      <c r="E805" s="11" t="str">
        <f>IF(Registro!$E805="","",IF(ISERROR(FIND("x",LOWER(Registro!$E805))),"-",IFERROR(SUMPRODUCT(--("0"&amp;LEFT(TRIM(MID(SUBSTITUTE(SUBSTITUTE(SUBSTITUTE(SUBSTITUTE(SUBSTITUTE(LOWER(Registro!$E805),"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",LEN(Registro!$E805))),({1,2,3,4,5,6,7,8,9,10,11,12,13,14,15,16,17,18,19,20,21,22,23,24,25,26,27,28,29,30}-1)*LEN(Registro!$E805)+1,LEN(Registro!$E805)))&amp;"x")-1)),--("0"&amp;MID(TRIM(MID(SUBSTITUTE(SUBSTITUTE(SUBSTITUTE(SUBSTITUTE(SUBSTITUTE(LOWER(Registro!$E805),"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",LEN(Registro!$E805))),({1,2,3,4,5,6,7,8,9,10,11,12,13,14,15,16,17,18,19,20,21,22,23,24,25,26,27,28,29,30}-1)*LEN(Registro!$E805)+1,LEN(Registro!$E805)))&amp;"x")+1,20))),"Revisar formato")))</f>
        <v/>
      </c>
      <c r="F805" s="11" t="str">
        <f>IF(Registro!$F805="","",N(Registro!$F805))</f>
        <v/>
      </c>
      <c r="G805" s="11" t="str">
        <f t="shared" si="37"/>
        <v/>
      </c>
      <c r="H805" s="10" t="str">
        <f>IF(Registro!$G805="","",IF(ISERROR(FIND("x",LOWER(Registro!$G805))),"-",IFERROR(SUMPRODUCT(--("0"&amp;LEFT(TRIM(MID(SUBSTITUTE(SUBSTITUTE(SUBSTITUTE(SUBSTITUTE(SUBSTITUTE(LOWER(Registro!$G805),"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",LEN(Registro!$G805))),({1,2,3,4,5,6,7,8,9,10,11,12,13,14,15,16,17,18,19,20,21,22,23,24,25,26,27,28,29,30}-1)*LEN(Registro!$G805)+1,LEN(Registro!$G805))),FIND("x",TRIM(MID(SUBSTITUTE(SUBSTITUTE(SUBSTITUTE(SUBSTITUTE(SUBSTITUTE(LOWER(Registro!$G805),"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",LEN(Registro!$G805))),({1,2,3,4,5,6,7,8,9,10,11,12,13,14,15,16,17,18,19,20,21,22,23,24,25,26,27,28,29,30}-1)*LEN(Registro!$G805)+1,LEN(Registro!$G805)))&amp;"x")-1))),"Revisar formato")))</f>
        <v/>
      </c>
      <c r="I805" s="11" t="str">
        <f>IF(Registro!$G805="","",IF(ISERROR(FIND("x",LOWER(Registro!$G805))),N(Registro!$H805),IFERROR(SUMPRODUCT(--("0"&amp;LEFT(TRIM(MID(SUBSTITUTE(SUBSTITUTE(SUBSTITUTE(SUBSTITUTE(SUBSTITUTE(LOWER(Registro!$G805),"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",LEN(Registro!$G805))),({1,2,3,4,5,6,7,8,9,10,11,12,13,14,15,16,17,18,19,20,21,22,23,24,25,26,27,28,29,30}-1)*LEN(Registro!$G805)+1,LEN(Registro!$G805))),FIND("x",TRIM(MID(SUBSTITUTE(SUBSTITUTE(SUBSTITUTE(SUBSTITUTE(SUBSTITUTE(LOWER(Registro!$G805),"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",LEN(Registro!$G805))),({1,2,3,4,5,6,7,8,9,10,11,12,13,14,15,16,17,18,19,20,21,22,23,24,25,26,27,28,29,30}-1)*LEN(Registro!$G805)+1,LEN(Registro!$G805)))&amp;"x")-1)),--("0"&amp;MID(TRIM(MID(SUBSTITUTE(SUBSTITUTE(SUBSTITUTE(SUBSTITUTE(SUBSTITUTE(LOWER(Registro!$G805),"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",LEN(Registro!$G805))),({1,2,3,4,5,6,7,8,9,10,11,12,13,14,15,16,17,18,19,20,21,22,23,24,25,26,27,28,29,30}-1)*LEN(Registro!$G805)+1,LEN(Registro!$G805))),FIND("x",TRIM(MID(SUBSTITUTE(SUBSTITUTE(SUBSTITUTE(SUBSTITUTE(SUBSTITUTE(LOWER(Registro!$G805),"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",LEN(Registro!$G805))),({1,2,3,4,5,6,7,8,9,10,11,12,13,14,15,16,17,18,19,20,21,22,23,24,25,26,27,28,29,30}-1)*LEN(Registro!$G805)+1,LEN(Registro!$G805)))&amp;"x")+1,20))),"Revisar formato")))</f>
        <v/>
      </c>
      <c r="J805" s="9" t="str">
        <f>IF(AND(Registro!$E805="",Registro!$G805=""),"",IF(NOT(AND(ISNUMBER(I805),ISNUMBER(Registro!$H805))),"",IF(I805&lt;Registro!$H805,"FALTA BOLETOS",IF(I805=Registro!$H805,"CONFORME","DIFERENCIA"))))</f>
        <v/>
      </c>
      <c r="K805" s="11" t="str">
        <f>IF(Registro!$I805="","",IFERROR(SUMPRODUCT(--("0"&amp;TRIM(RIGHT(SUBSTITUTE(TRIM(MID(SUBSTITUTE(SUBSTITUTE(Registro!$I805,";",CHAR(10)),CHAR(10),REPT(" ",LEN(Registro!$I805))),({1,2,3,4,5,6,7,8,9,10,11,12,13,14,15,16,17,18,19,20,21,22,23,24,25,26,27,28,29,30}-1)*LEN(Registro!$I805)+1,LEN(Registro!$I805)))," ",REPT(" ",50)),50)))),"Revisar formato"))</f>
        <v/>
      </c>
      <c r="L805" s="11" t="str">
        <f>IF(Registro!$J805="","",IFERROR(SUMPRODUCT(--("0"&amp;TRIM(RIGHT(SUBSTITUTE(TRIM(MID(SUBSTITUTE(SUBSTITUTE(Registro!$J805,";",CHAR(10)),CHAR(10),REPT(" ",LEN(Registro!$J805))),({1,2,3,4,5,6,7,8,9,10,11,12,13,14,15,16,17,18,19,20,21,22,23,24,25,26,27,28,29,30}-1)*LEN(Registro!$J805)+1,LEN(Registro!$J805)))," ",REPT(" ",50)),50)))),"Revisar formato"))</f>
        <v/>
      </c>
      <c r="M805" s="11" t="str">
        <f>IF(AND(Registro!$H805="",Registro!$I805=""),"",IF(AND(ISTEXT(K805),K805&lt;&gt;""),"Revisar formato",N(Registro!$H805)-N(K805)))</f>
        <v/>
      </c>
      <c r="N805" s="11" t="str">
        <f t="shared" si="38"/>
        <v/>
      </c>
      <c r="O805" s="15" t="str">
        <f>IF(AND(A805=Consulta!$B$3,C805=Consulta!$H$3),B805*10000+ROW(),"")</f>
        <v/>
      </c>
    </row>
    <row r="806" spans="1:15" x14ac:dyDescent="0.25">
      <c r="A806" s="9" t="str">
        <f>IF(Registro!$A806="","",Registro!$A806)</f>
        <v/>
      </c>
      <c r="B806" s="8" t="str">
        <f>IF(Registro!$B806="","",Registro!$B806)</f>
        <v/>
      </c>
      <c r="C806" s="14" t="str">
        <f t="shared" si="36"/>
        <v/>
      </c>
      <c r="D806" s="10" t="str">
        <f>IF(Registro!$E806="","",IF(ISERROR(FIND("x",LOWER(Registro!$E806))),"-",IFERROR(SUMPRODUCT(--("0"&amp;LEFT(TRIM(MID(SUBSTITUTE(SUBSTITUTE(SUBSTITUTE(SUBSTITUTE(SUBSTITUTE(LOWER(Registro!$E806),"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",LEN(Registro!$E806))),({1,2,3,4,5,6,7,8,9,10,11,12,13,14,15,16,17,18,19,20,21,22,23,24,25,26,27,28,29,30}-1)*LEN(Registro!$E806)+1,LEN(Registro!$E806)))&amp;"x")-1))),"Revisar formato")))</f>
        <v/>
      </c>
      <c r="E806" s="11" t="str">
        <f>IF(Registro!$E806="","",IF(ISERROR(FIND("x",LOWER(Registro!$E806))),"-",IFERROR(SUMPRODUCT(--("0"&amp;LEFT(TRIM(MID(SUBSTITUTE(SUBSTITUTE(SUBSTITUTE(SUBSTITUTE(SUBSTITUTE(LOWER(Registro!$E806),"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",LEN(Registro!$E806))),({1,2,3,4,5,6,7,8,9,10,11,12,13,14,15,16,17,18,19,20,21,22,23,24,25,26,27,28,29,30}-1)*LEN(Registro!$E806)+1,LEN(Registro!$E806)))&amp;"x")-1)),--("0"&amp;MID(TRIM(MID(SUBSTITUTE(SUBSTITUTE(SUBSTITUTE(SUBSTITUTE(SUBSTITUTE(LOWER(Registro!$E806),"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",LEN(Registro!$E806))),({1,2,3,4,5,6,7,8,9,10,11,12,13,14,15,16,17,18,19,20,21,22,23,24,25,26,27,28,29,30}-1)*LEN(Registro!$E806)+1,LEN(Registro!$E806)))&amp;"x")+1,20))),"Revisar formato")))</f>
        <v/>
      </c>
      <c r="F806" s="11" t="str">
        <f>IF(Registro!$F806="","",N(Registro!$F806))</f>
        <v/>
      </c>
      <c r="G806" s="11" t="str">
        <f t="shared" si="37"/>
        <v/>
      </c>
      <c r="H806" s="10" t="str">
        <f>IF(Registro!$G806="","",IF(ISERROR(FIND("x",LOWER(Registro!$G806))),"-",IFERROR(SUMPRODUCT(--("0"&amp;LEFT(TRIM(MID(SUBSTITUTE(SUBSTITUTE(SUBSTITUTE(SUBSTITUTE(SUBSTITUTE(LOWER(Registro!$G806),"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",LEN(Registro!$G806))),({1,2,3,4,5,6,7,8,9,10,11,12,13,14,15,16,17,18,19,20,21,22,23,24,25,26,27,28,29,30}-1)*LEN(Registro!$G806)+1,LEN(Registro!$G806))),FIND("x",TRIM(MID(SUBSTITUTE(SUBSTITUTE(SUBSTITUTE(SUBSTITUTE(SUBSTITUTE(LOWER(Registro!$G806),"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",LEN(Registro!$G806))),({1,2,3,4,5,6,7,8,9,10,11,12,13,14,15,16,17,18,19,20,21,22,23,24,25,26,27,28,29,30}-1)*LEN(Registro!$G806)+1,LEN(Registro!$G806)))&amp;"x")-1))),"Revisar formato")))</f>
        <v/>
      </c>
      <c r="I806" s="11" t="str">
        <f>IF(Registro!$G806="","",IF(ISERROR(FIND("x",LOWER(Registro!$G806))),N(Registro!$H806),IFERROR(SUMPRODUCT(--("0"&amp;LEFT(TRIM(MID(SUBSTITUTE(SUBSTITUTE(SUBSTITUTE(SUBSTITUTE(SUBSTITUTE(LOWER(Registro!$G806),"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",LEN(Registro!$G806))),({1,2,3,4,5,6,7,8,9,10,11,12,13,14,15,16,17,18,19,20,21,22,23,24,25,26,27,28,29,30}-1)*LEN(Registro!$G806)+1,LEN(Registro!$G806))),FIND("x",TRIM(MID(SUBSTITUTE(SUBSTITUTE(SUBSTITUTE(SUBSTITUTE(SUBSTITUTE(LOWER(Registro!$G806),"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",LEN(Registro!$G806))),({1,2,3,4,5,6,7,8,9,10,11,12,13,14,15,16,17,18,19,20,21,22,23,24,25,26,27,28,29,30}-1)*LEN(Registro!$G806)+1,LEN(Registro!$G806)))&amp;"x")-1)),--("0"&amp;MID(TRIM(MID(SUBSTITUTE(SUBSTITUTE(SUBSTITUTE(SUBSTITUTE(SUBSTITUTE(LOWER(Registro!$G806),"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",LEN(Registro!$G806))),({1,2,3,4,5,6,7,8,9,10,11,12,13,14,15,16,17,18,19,20,21,22,23,24,25,26,27,28,29,30}-1)*LEN(Registro!$G806)+1,LEN(Registro!$G806))),FIND("x",TRIM(MID(SUBSTITUTE(SUBSTITUTE(SUBSTITUTE(SUBSTITUTE(SUBSTITUTE(LOWER(Registro!$G806),"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",LEN(Registro!$G806))),({1,2,3,4,5,6,7,8,9,10,11,12,13,14,15,16,17,18,19,20,21,22,23,24,25,26,27,28,29,30}-1)*LEN(Registro!$G806)+1,LEN(Registro!$G806)))&amp;"x")+1,20))),"Revisar formato")))</f>
        <v/>
      </c>
      <c r="J806" s="9" t="str">
        <f>IF(AND(Registro!$E806="",Registro!$G806=""),"",IF(NOT(AND(ISNUMBER(I806),ISNUMBER(Registro!$H806))),"",IF(I806&lt;Registro!$H806,"FALTA BOLETOS",IF(I806=Registro!$H806,"CONFORME","DIFERENCIA"))))</f>
        <v/>
      </c>
      <c r="K806" s="11" t="str">
        <f>IF(Registro!$I806="","",IFERROR(SUMPRODUCT(--("0"&amp;TRIM(RIGHT(SUBSTITUTE(TRIM(MID(SUBSTITUTE(SUBSTITUTE(Registro!$I806,";",CHAR(10)),CHAR(10),REPT(" ",LEN(Registro!$I806))),({1,2,3,4,5,6,7,8,9,10,11,12,13,14,15,16,17,18,19,20,21,22,23,24,25,26,27,28,29,30}-1)*LEN(Registro!$I806)+1,LEN(Registro!$I806)))," ",REPT(" ",50)),50)))),"Revisar formato"))</f>
        <v/>
      </c>
      <c r="L806" s="11" t="str">
        <f>IF(Registro!$J806="","",IFERROR(SUMPRODUCT(--("0"&amp;TRIM(RIGHT(SUBSTITUTE(TRIM(MID(SUBSTITUTE(SUBSTITUTE(Registro!$J806,";",CHAR(10)),CHAR(10),REPT(" ",LEN(Registro!$J806))),({1,2,3,4,5,6,7,8,9,10,11,12,13,14,15,16,17,18,19,20,21,22,23,24,25,26,27,28,29,30}-1)*LEN(Registro!$J806)+1,LEN(Registro!$J806)))," ",REPT(" ",50)),50)))),"Revisar formato"))</f>
        <v/>
      </c>
      <c r="M806" s="11" t="str">
        <f>IF(AND(Registro!$H806="",Registro!$I806=""),"",IF(AND(ISTEXT(K806),K806&lt;&gt;""),"Revisar formato",N(Registro!$H806)-N(K806)))</f>
        <v/>
      </c>
      <c r="N806" s="11" t="str">
        <f t="shared" si="38"/>
        <v/>
      </c>
      <c r="O806" s="15" t="str">
        <f>IF(AND(A806=Consulta!$B$3,C806=Consulta!$H$3),B806*10000+ROW(),"")</f>
        <v/>
      </c>
    </row>
    <row r="807" spans="1:15" x14ac:dyDescent="0.25">
      <c r="A807" s="9" t="str">
        <f>IF(Registro!$A807="","",Registro!$A807)</f>
        <v/>
      </c>
      <c r="B807" s="8" t="str">
        <f>IF(Registro!$B807="","",Registro!$B807)</f>
        <v/>
      </c>
      <c r="C807" s="14" t="str">
        <f t="shared" si="36"/>
        <v/>
      </c>
      <c r="D807" s="10" t="str">
        <f>IF(Registro!$E807="","",IF(ISERROR(FIND("x",LOWER(Registro!$E807))),"-",IFERROR(SUMPRODUCT(--("0"&amp;LEFT(TRIM(MID(SUBSTITUTE(SUBSTITUTE(SUBSTITUTE(SUBSTITUTE(SUBSTITUTE(LOWER(Registro!$E807),"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",LEN(Registro!$E807))),({1,2,3,4,5,6,7,8,9,10,11,12,13,14,15,16,17,18,19,20,21,22,23,24,25,26,27,28,29,30}-1)*LEN(Registro!$E807)+1,LEN(Registro!$E807)))&amp;"x")-1))),"Revisar formato")))</f>
        <v/>
      </c>
      <c r="E807" s="11" t="str">
        <f>IF(Registro!$E807="","",IF(ISERROR(FIND("x",LOWER(Registro!$E807))),"-",IFERROR(SUMPRODUCT(--("0"&amp;LEFT(TRIM(MID(SUBSTITUTE(SUBSTITUTE(SUBSTITUTE(SUBSTITUTE(SUBSTITUTE(LOWER(Registro!$E807),"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",LEN(Registro!$E807))),({1,2,3,4,5,6,7,8,9,10,11,12,13,14,15,16,17,18,19,20,21,22,23,24,25,26,27,28,29,30}-1)*LEN(Registro!$E807)+1,LEN(Registro!$E807)))&amp;"x")-1)),--("0"&amp;MID(TRIM(MID(SUBSTITUTE(SUBSTITUTE(SUBSTITUTE(SUBSTITUTE(SUBSTITUTE(LOWER(Registro!$E807),"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",LEN(Registro!$E807))),({1,2,3,4,5,6,7,8,9,10,11,12,13,14,15,16,17,18,19,20,21,22,23,24,25,26,27,28,29,30}-1)*LEN(Registro!$E807)+1,LEN(Registro!$E807)))&amp;"x")+1,20))),"Revisar formato")))</f>
        <v/>
      </c>
      <c r="F807" s="11" t="str">
        <f>IF(Registro!$F807="","",N(Registro!$F807))</f>
        <v/>
      </c>
      <c r="G807" s="11" t="str">
        <f t="shared" si="37"/>
        <v/>
      </c>
      <c r="H807" s="10" t="str">
        <f>IF(Registro!$G807="","",IF(ISERROR(FIND("x",LOWER(Registro!$G807))),"-",IFERROR(SUMPRODUCT(--("0"&amp;LEFT(TRIM(MID(SUBSTITUTE(SUBSTITUTE(SUBSTITUTE(SUBSTITUTE(SUBSTITUTE(LOWER(Registro!$G807),"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",LEN(Registro!$G807))),({1,2,3,4,5,6,7,8,9,10,11,12,13,14,15,16,17,18,19,20,21,22,23,24,25,26,27,28,29,30}-1)*LEN(Registro!$G807)+1,LEN(Registro!$G807))),FIND("x",TRIM(MID(SUBSTITUTE(SUBSTITUTE(SUBSTITUTE(SUBSTITUTE(SUBSTITUTE(LOWER(Registro!$G807),"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",LEN(Registro!$G807))),({1,2,3,4,5,6,7,8,9,10,11,12,13,14,15,16,17,18,19,20,21,22,23,24,25,26,27,28,29,30}-1)*LEN(Registro!$G807)+1,LEN(Registro!$G807)))&amp;"x")-1))),"Revisar formato")))</f>
        <v/>
      </c>
      <c r="I807" s="11" t="str">
        <f>IF(Registro!$G807="","",IF(ISERROR(FIND("x",LOWER(Registro!$G807))),N(Registro!$H807),IFERROR(SUMPRODUCT(--("0"&amp;LEFT(TRIM(MID(SUBSTITUTE(SUBSTITUTE(SUBSTITUTE(SUBSTITUTE(SUBSTITUTE(LOWER(Registro!$G807),"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",LEN(Registro!$G807))),({1,2,3,4,5,6,7,8,9,10,11,12,13,14,15,16,17,18,19,20,21,22,23,24,25,26,27,28,29,30}-1)*LEN(Registro!$G807)+1,LEN(Registro!$G807))),FIND("x",TRIM(MID(SUBSTITUTE(SUBSTITUTE(SUBSTITUTE(SUBSTITUTE(SUBSTITUTE(LOWER(Registro!$G807),"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",LEN(Registro!$G807))),({1,2,3,4,5,6,7,8,9,10,11,12,13,14,15,16,17,18,19,20,21,22,23,24,25,26,27,28,29,30}-1)*LEN(Registro!$G807)+1,LEN(Registro!$G807)))&amp;"x")-1)),--("0"&amp;MID(TRIM(MID(SUBSTITUTE(SUBSTITUTE(SUBSTITUTE(SUBSTITUTE(SUBSTITUTE(LOWER(Registro!$G807),"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",LEN(Registro!$G807))),({1,2,3,4,5,6,7,8,9,10,11,12,13,14,15,16,17,18,19,20,21,22,23,24,25,26,27,28,29,30}-1)*LEN(Registro!$G807)+1,LEN(Registro!$G807))),FIND("x",TRIM(MID(SUBSTITUTE(SUBSTITUTE(SUBSTITUTE(SUBSTITUTE(SUBSTITUTE(LOWER(Registro!$G807),"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",LEN(Registro!$G807))),({1,2,3,4,5,6,7,8,9,10,11,12,13,14,15,16,17,18,19,20,21,22,23,24,25,26,27,28,29,30}-1)*LEN(Registro!$G807)+1,LEN(Registro!$G807)))&amp;"x")+1,20))),"Revisar formato")))</f>
        <v/>
      </c>
      <c r="J807" s="9" t="str">
        <f>IF(AND(Registro!$E807="",Registro!$G807=""),"",IF(NOT(AND(ISNUMBER(I807),ISNUMBER(Registro!$H807))),"",IF(I807&lt;Registro!$H807,"FALTA BOLETOS",IF(I807=Registro!$H807,"CONFORME","DIFERENCIA"))))</f>
        <v/>
      </c>
      <c r="K807" s="11" t="str">
        <f>IF(Registro!$I807="","",IFERROR(SUMPRODUCT(--("0"&amp;TRIM(RIGHT(SUBSTITUTE(TRIM(MID(SUBSTITUTE(SUBSTITUTE(Registro!$I807,";",CHAR(10)),CHAR(10),REPT(" ",LEN(Registro!$I807))),({1,2,3,4,5,6,7,8,9,10,11,12,13,14,15,16,17,18,19,20,21,22,23,24,25,26,27,28,29,30}-1)*LEN(Registro!$I807)+1,LEN(Registro!$I807)))," ",REPT(" ",50)),50)))),"Revisar formato"))</f>
        <v/>
      </c>
      <c r="L807" s="11" t="str">
        <f>IF(Registro!$J807="","",IFERROR(SUMPRODUCT(--("0"&amp;TRIM(RIGHT(SUBSTITUTE(TRIM(MID(SUBSTITUTE(SUBSTITUTE(Registro!$J807,";",CHAR(10)),CHAR(10),REPT(" ",LEN(Registro!$J807))),({1,2,3,4,5,6,7,8,9,10,11,12,13,14,15,16,17,18,19,20,21,22,23,24,25,26,27,28,29,30}-1)*LEN(Registro!$J807)+1,LEN(Registro!$J807)))," ",REPT(" ",50)),50)))),"Revisar formato"))</f>
        <v/>
      </c>
      <c r="M807" s="11" t="str">
        <f>IF(AND(Registro!$H807="",Registro!$I807=""),"",IF(AND(ISTEXT(K807),K807&lt;&gt;""),"Revisar formato",N(Registro!$H807)-N(K807)))</f>
        <v/>
      </c>
      <c r="N807" s="11" t="str">
        <f t="shared" si="38"/>
        <v/>
      </c>
      <c r="O807" s="15" t="str">
        <f>IF(AND(A807=Consulta!$B$3,C807=Consulta!$H$3),B807*10000+ROW(),"")</f>
        <v/>
      </c>
    </row>
    <row r="808" spans="1:15" x14ac:dyDescent="0.25">
      <c r="A808" s="9" t="str">
        <f>IF(Registro!$A808="","",Registro!$A808)</f>
        <v/>
      </c>
      <c r="B808" s="8" t="str">
        <f>IF(Registro!$B808="","",Registro!$B808)</f>
        <v/>
      </c>
      <c r="C808" s="14" t="str">
        <f t="shared" si="36"/>
        <v/>
      </c>
      <c r="D808" s="10" t="str">
        <f>IF(Registro!$E808="","",IF(ISERROR(FIND("x",LOWER(Registro!$E808))),"-",IFERROR(SUMPRODUCT(--("0"&amp;LEFT(TRIM(MID(SUBSTITUTE(SUBSTITUTE(SUBSTITUTE(SUBSTITUTE(SUBSTITUTE(LOWER(Registro!$E808),"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",LEN(Registro!$E808))),({1,2,3,4,5,6,7,8,9,10,11,12,13,14,15,16,17,18,19,20,21,22,23,24,25,26,27,28,29,30}-1)*LEN(Registro!$E808)+1,LEN(Registro!$E808)))&amp;"x")-1))),"Revisar formato")))</f>
        <v/>
      </c>
      <c r="E808" s="11" t="str">
        <f>IF(Registro!$E808="","",IF(ISERROR(FIND("x",LOWER(Registro!$E808))),"-",IFERROR(SUMPRODUCT(--("0"&amp;LEFT(TRIM(MID(SUBSTITUTE(SUBSTITUTE(SUBSTITUTE(SUBSTITUTE(SUBSTITUTE(LOWER(Registro!$E808),"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",LEN(Registro!$E808))),({1,2,3,4,5,6,7,8,9,10,11,12,13,14,15,16,17,18,19,20,21,22,23,24,25,26,27,28,29,30}-1)*LEN(Registro!$E808)+1,LEN(Registro!$E808)))&amp;"x")-1)),--("0"&amp;MID(TRIM(MID(SUBSTITUTE(SUBSTITUTE(SUBSTITUTE(SUBSTITUTE(SUBSTITUTE(LOWER(Registro!$E808),"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",LEN(Registro!$E808))),({1,2,3,4,5,6,7,8,9,10,11,12,13,14,15,16,17,18,19,20,21,22,23,24,25,26,27,28,29,30}-1)*LEN(Registro!$E808)+1,LEN(Registro!$E808)))&amp;"x")+1,20))),"Revisar formato")))</f>
        <v/>
      </c>
      <c r="F808" s="11" t="str">
        <f>IF(Registro!$F808="","",N(Registro!$F808))</f>
        <v/>
      </c>
      <c r="G808" s="11" t="str">
        <f t="shared" si="37"/>
        <v/>
      </c>
      <c r="H808" s="10" t="str">
        <f>IF(Registro!$G808="","",IF(ISERROR(FIND("x",LOWER(Registro!$G808))),"-",IFERROR(SUMPRODUCT(--("0"&amp;LEFT(TRIM(MID(SUBSTITUTE(SUBSTITUTE(SUBSTITUTE(SUBSTITUTE(SUBSTITUTE(LOWER(Registro!$G808),"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",LEN(Registro!$G808))),({1,2,3,4,5,6,7,8,9,10,11,12,13,14,15,16,17,18,19,20,21,22,23,24,25,26,27,28,29,30}-1)*LEN(Registro!$G808)+1,LEN(Registro!$G808))),FIND("x",TRIM(MID(SUBSTITUTE(SUBSTITUTE(SUBSTITUTE(SUBSTITUTE(SUBSTITUTE(LOWER(Registro!$G808),"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",LEN(Registro!$G808))),({1,2,3,4,5,6,7,8,9,10,11,12,13,14,15,16,17,18,19,20,21,22,23,24,25,26,27,28,29,30}-1)*LEN(Registro!$G808)+1,LEN(Registro!$G808)))&amp;"x")-1))),"Revisar formato")))</f>
        <v/>
      </c>
      <c r="I808" s="11" t="str">
        <f>IF(Registro!$G808="","",IF(ISERROR(FIND("x",LOWER(Registro!$G808))),N(Registro!$H808),IFERROR(SUMPRODUCT(--("0"&amp;LEFT(TRIM(MID(SUBSTITUTE(SUBSTITUTE(SUBSTITUTE(SUBSTITUTE(SUBSTITUTE(LOWER(Registro!$G808),"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",LEN(Registro!$G808))),({1,2,3,4,5,6,7,8,9,10,11,12,13,14,15,16,17,18,19,20,21,22,23,24,25,26,27,28,29,30}-1)*LEN(Registro!$G808)+1,LEN(Registro!$G808))),FIND("x",TRIM(MID(SUBSTITUTE(SUBSTITUTE(SUBSTITUTE(SUBSTITUTE(SUBSTITUTE(LOWER(Registro!$G808),"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",LEN(Registro!$G808))),({1,2,3,4,5,6,7,8,9,10,11,12,13,14,15,16,17,18,19,20,21,22,23,24,25,26,27,28,29,30}-1)*LEN(Registro!$G808)+1,LEN(Registro!$G808)))&amp;"x")-1)),--("0"&amp;MID(TRIM(MID(SUBSTITUTE(SUBSTITUTE(SUBSTITUTE(SUBSTITUTE(SUBSTITUTE(LOWER(Registro!$G808),"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",LEN(Registro!$G808))),({1,2,3,4,5,6,7,8,9,10,11,12,13,14,15,16,17,18,19,20,21,22,23,24,25,26,27,28,29,30}-1)*LEN(Registro!$G808)+1,LEN(Registro!$G808))),FIND("x",TRIM(MID(SUBSTITUTE(SUBSTITUTE(SUBSTITUTE(SUBSTITUTE(SUBSTITUTE(LOWER(Registro!$G808),"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",LEN(Registro!$G808))),({1,2,3,4,5,6,7,8,9,10,11,12,13,14,15,16,17,18,19,20,21,22,23,24,25,26,27,28,29,30}-1)*LEN(Registro!$G808)+1,LEN(Registro!$G808)))&amp;"x")+1,20))),"Revisar formato")))</f>
        <v/>
      </c>
      <c r="J808" s="9" t="str">
        <f>IF(AND(Registro!$E808="",Registro!$G808=""),"",IF(NOT(AND(ISNUMBER(I808),ISNUMBER(Registro!$H808))),"",IF(I808&lt;Registro!$H808,"FALTA BOLETOS",IF(I808=Registro!$H808,"CONFORME","DIFERENCIA"))))</f>
        <v/>
      </c>
      <c r="K808" s="11" t="str">
        <f>IF(Registro!$I808="","",IFERROR(SUMPRODUCT(--("0"&amp;TRIM(RIGHT(SUBSTITUTE(TRIM(MID(SUBSTITUTE(SUBSTITUTE(Registro!$I808,";",CHAR(10)),CHAR(10),REPT(" ",LEN(Registro!$I808))),({1,2,3,4,5,6,7,8,9,10,11,12,13,14,15,16,17,18,19,20,21,22,23,24,25,26,27,28,29,30}-1)*LEN(Registro!$I808)+1,LEN(Registro!$I808)))," ",REPT(" ",50)),50)))),"Revisar formato"))</f>
        <v/>
      </c>
      <c r="L808" s="11" t="str">
        <f>IF(Registro!$J808="","",IFERROR(SUMPRODUCT(--("0"&amp;TRIM(RIGHT(SUBSTITUTE(TRIM(MID(SUBSTITUTE(SUBSTITUTE(Registro!$J808,";",CHAR(10)),CHAR(10),REPT(" ",LEN(Registro!$J808))),({1,2,3,4,5,6,7,8,9,10,11,12,13,14,15,16,17,18,19,20,21,22,23,24,25,26,27,28,29,30}-1)*LEN(Registro!$J808)+1,LEN(Registro!$J808)))," ",REPT(" ",50)),50)))),"Revisar formato"))</f>
        <v/>
      </c>
      <c r="M808" s="11" t="str">
        <f>IF(AND(Registro!$H808="",Registro!$I808=""),"",IF(AND(ISTEXT(K808),K808&lt;&gt;""),"Revisar formato",N(Registro!$H808)-N(K808)))</f>
        <v/>
      </c>
      <c r="N808" s="11" t="str">
        <f t="shared" si="38"/>
        <v/>
      </c>
      <c r="O808" s="15" t="str">
        <f>IF(AND(A808=Consulta!$B$3,C808=Consulta!$H$3),B808*10000+ROW(),"")</f>
        <v/>
      </c>
    </row>
    <row r="809" spans="1:15" x14ac:dyDescent="0.25">
      <c r="A809" s="9" t="str">
        <f>IF(Registro!$A809="","",Registro!$A809)</f>
        <v/>
      </c>
      <c r="B809" s="8" t="str">
        <f>IF(Registro!$B809="","",Registro!$B809)</f>
        <v/>
      </c>
      <c r="C809" s="14" t="str">
        <f t="shared" si="36"/>
        <v/>
      </c>
      <c r="D809" s="10" t="str">
        <f>IF(Registro!$E809="","",IF(ISERROR(FIND("x",LOWER(Registro!$E809))),"-",IFERROR(SUMPRODUCT(--("0"&amp;LEFT(TRIM(MID(SUBSTITUTE(SUBSTITUTE(SUBSTITUTE(SUBSTITUTE(SUBSTITUTE(LOWER(Registro!$E809),"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",LEN(Registro!$E809))),({1,2,3,4,5,6,7,8,9,10,11,12,13,14,15,16,17,18,19,20,21,22,23,24,25,26,27,28,29,30}-1)*LEN(Registro!$E809)+1,LEN(Registro!$E809)))&amp;"x")-1))),"Revisar formato")))</f>
        <v/>
      </c>
      <c r="E809" s="11" t="str">
        <f>IF(Registro!$E809="","",IF(ISERROR(FIND("x",LOWER(Registro!$E809))),"-",IFERROR(SUMPRODUCT(--("0"&amp;LEFT(TRIM(MID(SUBSTITUTE(SUBSTITUTE(SUBSTITUTE(SUBSTITUTE(SUBSTITUTE(LOWER(Registro!$E809),"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",LEN(Registro!$E809))),({1,2,3,4,5,6,7,8,9,10,11,12,13,14,15,16,17,18,19,20,21,22,23,24,25,26,27,28,29,30}-1)*LEN(Registro!$E809)+1,LEN(Registro!$E809)))&amp;"x")-1)),--("0"&amp;MID(TRIM(MID(SUBSTITUTE(SUBSTITUTE(SUBSTITUTE(SUBSTITUTE(SUBSTITUTE(LOWER(Registro!$E809),"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",LEN(Registro!$E809))),({1,2,3,4,5,6,7,8,9,10,11,12,13,14,15,16,17,18,19,20,21,22,23,24,25,26,27,28,29,30}-1)*LEN(Registro!$E809)+1,LEN(Registro!$E809)))&amp;"x")+1,20))),"Revisar formato")))</f>
        <v/>
      </c>
      <c r="F809" s="11" t="str">
        <f>IF(Registro!$F809="","",N(Registro!$F809))</f>
        <v/>
      </c>
      <c r="G809" s="11" t="str">
        <f t="shared" si="37"/>
        <v/>
      </c>
      <c r="H809" s="10" t="str">
        <f>IF(Registro!$G809="","",IF(ISERROR(FIND("x",LOWER(Registro!$G809))),"-",IFERROR(SUMPRODUCT(--("0"&amp;LEFT(TRIM(MID(SUBSTITUTE(SUBSTITUTE(SUBSTITUTE(SUBSTITUTE(SUBSTITUTE(LOWER(Registro!$G809),"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",LEN(Registro!$G809))),({1,2,3,4,5,6,7,8,9,10,11,12,13,14,15,16,17,18,19,20,21,22,23,24,25,26,27,28,29,30}-1)*LEN(Registro!$G809)+1,LEN(Registro!$G809))),FIND("x",TRIM(MID(SUBSTITUTE(SUBSTITUTE(SUBSTITUTE(SUBSTITUTE(SUBSTITUTE(LOWER(Registro!$G809),"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",LEN(Registro!$G809))),({1,2,3,4,5,6,7,8,9,10,11,12,13,14,15,16,17,18,19,20,21,22,23,24,25,26,27,28,29,30}-1)*LEN(Registro!$G809)+1,LEN(Registro!$G809)))&amp;"x")-1))),"Revisar formato")))</f>
        <v/>
      </c>
      <c r="I809" s="11" t="str">
        <f>IF(Registro!$G809="","",IF(ISERROR(FIND("x",LOWER(Registro!$G809))),N(Registro!$H809),IFERROR(SUMPRODUCT(--("0"&amp;LEFT(TRIM(MID(SUBSTITUTE(SUBSTITUTE(SUBSTITUTE(SUBSTITUTE(SUBSTITUTE(LOWER(Registro!$G809),"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",LEN(Registro!$G809))),({1,2,3,4,5,6,7,8,9,10,11,12,13,14,15,16,17,18,19,20,21,22,23,24,25,26,27,28,29,30}-1)*LEN(Registro!$G809)+1,LEN(Registro!$G809))),FIND("x",TRIM(MID(SUBSTITUTE(SUBSTITUTE(SUBSTITUTE(SUBSTITUTE(SUBSTITUTE(LOWER(Registro!$G809),"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",LEN(Registro!$G809))),({1,2,3,4,5,6,7,8,9,10,11,12,13,14,15,16,17,18,19,20,21,22,23,24,25,26,27,28,29,30}-1)*LEN(Registro!$G809)+1,LEN(Registro!$G809)))&amp;"x")-1)),--("0"&amp;MID(TRIM(MID(SUBSTITUTE(SUBSTITUTE(SUBSTITUTE(SUBSTITUTE(SUBSTITUTE(LOWER(Registro!$G809),"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",LEN(Registro!$G809))),({1,2,3,4,5,6,7,8,9,10,11,12,13,14,15,16,17,18,19,20,21,22,23,24,25,26,27,28,29,30}-1)*LEN(Registro!$G809)+1,LEN(Registro!$G809))),FIND("x",TRIM(MID(SUBSTITUTE(SUBSTITUTE(SUBSTITUTE(SUBSTITUTE(SUBSTITUTE(LOWER(Registro!$G809),"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",LEN(Registro!$G809))),({1,2,3,4,5,6,7,8,9,10,11,12,13,14,15,16,17,18,19,20,21,22,23,24,25,26,27,28,29,30}-1)*LEN(Registro!$G809)+1,LEN(Registro!$G809)))&amp;"x")+1,20))),"Revisar formato")))</f>
        <v/>
      </c>
      <c r="J809" s="9" t="str">
        <f>IF(AND(Registro!$E809="",Registro!$G809=""),"",IF(NOT(AND(ISNUMBER(I809),ISNUMBER(Registro!$H809))),"",IF(I809&lt;Registro!$H809,"FALTA BOLETOS",IF(I809=Registro!$H809,"CONFORME","DIFERENCIA"))))</f>
        <v/>
      </c>
      <c r="K809" s="11" t="str">
        <f>IF(Registro!$I809="","",IFERROR(SUMPRODUCT(--("0"&amp;TRIM(RIGHT(SUBSTITUTE(TRIM(MID(SUBSTITUTE(SUBSTITUTE(Registro!$I809,";",CHAR(10)),CHAR(10),REPT(" ",LEN(Registro!$I809))),({1,2,3,4,5,6,7,8,9,10,11,12,13,14,15,16,17,18,19,20,21,22,23,24,25,26,27,28,29,30}-1)*LEN(Registro!$I809)+1,LEN(Registro!$I809)))," ",REPT(" ",50)),50)))),"Revisar formato"))</f>
        <v/>
      </c>
      <c r="L809" s="11" t="str">
        <f>IF(Registro!$J809="","",IFERROR(SUMPRODUCT(--("0"&amp;TRIM(RIGHT(SUBSTITUTE(TRIM(MID(SUBSTITUTE(SUBSTITUTE(Registro!$J809,";",CHAR(10)),CHAR(10),REPT(" ",LEN(Registro!$J809))),({1,2,3,4,5,6,7,8,9,10,11,12,13,14,15,16,17,18,19,20,21,22,23,24,25,26,27,28,29,30}-1)*LEN(Registro!$J809)+1,LEN(Registro!$J809)))," ",REPT(" ",50)),50)))),"Revisar formato"))</f>
        <v/>
      </c>
      <c r="M809" s="11" t="str">
        <f>IF(AND(Registro!$H809="",Registro!$I809=""),"",IF(AND(ISTEXT(K809),K809&lt;&gt;""),"Revisar formato",N(Registro!$H809)-N(K809)))</f>
        <v/>
      </c>
      <c r="N809" s="11" t="str">
        <f t="shared" si="38"/>
        <v/>
      </c>
      <c r="O809" s="15" t="str">
        <f>IF(AND(A809=Consulta!$B$3,C809=Consulta!$H$3),B809*10000+ROW(),"")</f>
        <v/>
      </c>
    </row>
    <row r="810" spans="1:15" x14ac:dyDescent="0.25">
      <c r="A810" s="9" t="str">
        <f>IF(Registro!$A810="","",Registro!$A810)</f>
        <v/>
      </c>
      <c r="B810" s="8" t="str">
        <f>IF(Registro!$B810="","",Registro!$B810)</f>
        <v/>
      </c>
      <c r="C810" s="14" t="str">
        <f t="shared" si="36"/>
        <v/>
      </c>
      <c r="D810" s="10" t="str">
        <f>IF(Registro!$E810="","",IF(ISERROR(FIND("x",LOWER(Registro!$E810))),"-",IFERROR(SUMPRODUCT(--("0"&amp;LEFT(TRIM(MID(SUBSTITUTE(SUBSTITUTE(SUBSTITUTE(SUBSTITUTE(SUBSTITUTE(LOWER(Registro!$E810),"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",LEN(Registro!$E810))),({1,2,3,4,5,6,7,8,9,10,11,12,13,14,15,16,17,18,19,20,21,22,23,24,25,26,27,28,29,30}-1)*LEN(Registro!$E810)+1,LEN(Registro!$E810)))&amp;"x")-1))),"Revisar formato")))</f>
        <v/>
      </c>
      <c r="E810" s="11" t="str">
        <f>IF(Registro!$E810="","",IF(ISERROR(FIND("x",LOWER(Registro!$E810))),"-",IFERROR(SUMPRODUCT(--("0"&amp;LEFT(TRIM(MID(SUBSTITUTE(SUBSTITUTE(SUBSTITUTE(SUBSTITUTE(SUBSTITUTE(LOWER(Registro!$E810),"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",LEN(Registro!$E810))),({1,2,3,4,5,6,7,8,9,10,11,12,13,14,15,16,17,18,19,20,21,22,23,24,25,26,27,28,29,30}-1)*LEN(Registro!$E810)+1,LEN(Registro!$E810)))&amp;"x")-1)),--("0"&amp;MID(TRIM(MID(SUBSTITUTE(SUBSTITUTE(SUBSTITUTE(SUBSTITUTE(SUBSTITUTE(LOWER(Registro!$E810),"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",LEN(Registro!$E810))),({1,2,3,4,5,6,7,8,9,10,11,12,13,14,15,16,17,18,19,20,21,22,23,24,25,26,27,28,29,30}-1)*LEN(Registro!$E810)+1,LEN(Registro!$E810)))&amp;"x")+1,20))),"Revisar formato")))</f>
        <v/>
      </c>
      <c r="F810" s="11" t="str">
        <f>IF(Registro!$F810="","",N(Registro!$F810))</f>
        <v/>
      </c>
      <c r="G810" s="11" t="str">
        <f t="shared" si="37"/>
        <v/>
      </c>
      <c r="H810" s="10" t="str">
        <f>IF(Registro!$G810="","",IF(ISERROR(FIND("x",LOWER(Registro!$G810))),"-",IFERROR(SUMPRODUCT(--("0"&amp;LEFT(TRIM(MID(SUBSTITUTE(SUBSTITUTE(SUBSTITUTE(SUBSTITUTE(SUBSTITUTE(LOWER(Registro!$G810),"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",LEN(Registro!$G810))),({1,2,3,4,5,6,7,8,9,10,11,12,13,14,15,16,17,18,19,20,21,22,23,24,25,26,27,28,29,30}-1)*LEN(Registro!$G810)+1,LEN(Registro!$G810))),FIND("x",TRIM(MID(SUBSTITUTE(SUBSTITUTE(SUBSTITUTE(SUBSTITUTE(SUBSTITUTE(LOWER(Registro!$G810),"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",LEN(Registro!$G810))),({1,2,3,4,5,6,7,8,9,10,11,12,13,14,15,16,17,18,19,20,21,22,23,24,25,26,27,28,29,30}-1)*LEN(Registro!$G810)+1,LEN(Registro!$G810)))&amp;"x")-1))),"Revisar formato")))</f>
        <v/>
      </c>
      <c r="I810" s="11" t="str">
        <f>IF(Registro!$G810="","",IF(ISERROR(FIND("x",LOWER(Registro!$G810))),N(Registro!$H810),IFERROR(SUMPRODUCT(--("0"&amp;LEFT(TRIM(MID(SUBSTITUTE(SUBSTITUTE(SUBSTITUTE(SUBSTITUTE(SUBSTITUTE(LOWER(Registro!$G810),"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",LEN(Registro!$G810))),({1,2,3,4,5,6,7,8,9,10,11,12,13,14,15,16,17,18,19,20,21,22,23,24,25,26,27,28,29,30}-1)*LEN(Registro!$G810)+1,LEN(Registro!$G810))),FIND("x",TRIM(MID(SUBSTITUTE(SUBSTITUTE(SUBSTITUTE(SUBSTITUTE(SUBSTITUTE(LOWER(Registro!$G810),"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",LEN(Registro!$G810))),({1,2,3,4,5,6,7,8,9,10,11,12,13,14,15,16,17,18,19,20,21,22,23,24,25,26,27,28,29,30}-1)*LEN(Registro!$G810)+1,LEN(Registro!$G810)))&amp;"x")-1)),--("0"&amp;MID(TRIM(MID(SUBSTITUTE(SUBSTITUTE(SUBSTITUTE(SUBSTITUTE(SUBSTITUTE(LOWER(Registro!$G810),"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",LEN(Registro!$G810))),({1,2,3,4,5,6,7,8,9,10,11,12,13,14,15,16,17,18,19,20,21,22,23,24,25,26,27,28,29,30}-1)*LEN(Registro!$G810)+1,LEN(Registro!$G810))),FIND("x",TRIM(MID(SUBSTITUTE(SUBSTITUTE(SUBSTITUTE(SUBSTITUTE(SUBSTITUTE(LOWER(Registro!$G810),"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",LEN(Registro!$G810))),({1,2,3,4,5,6,7,8,9,10,11,12,13,14,15,16,17,18,19,20,21,22,23,24,25,26,27,28,29,30}-1)*LEN(Registro!$G810)+1,LEN(Registro!$G810)))&amp;"x")+1,20))),"Revisar formato")))</f>
        <v/>
      </c>
      <c r="J810" s="9" t="str">
        <f>IF(AND(Registro!$E810="",Registro!$G810=""),"",IF(NOT(AND(ISNUMBER(I810),ISNUMBER(Registro!$H810))),"",IF(I810&lt;Registro!$H810,"FALTA BOLETOS",IF(I810=Registro!$H810,"CONFORME","DIFERENCIA"))))</f>
        <v/>
      </c>
      <c r="K810" s="11" t="str">
        <f>IF(Registro!$I810="","",IFERROR(SUMPRODUCT(--("0"&amp;TRIM(RIGHT(SUBSTITUTE(TRIM(MID(SUBSTITUTE(SUBSTITUTE(Registro!$I810,";",CHAR(10)),CHAR(10),REPT(" ",LEN(Registro!$I810))),({1,2,3,4,5,6,7,8,9,10,11,12,13,14,15,16,17,18,19,20,21,22,23,24,25,26,27,28,29,30}-1)*LEN(Registro!$I810)+1,LEN(Registro!$I810)))," ",REPT(" ",50)),50)))),"Revisar formato"))</f>
        <v/>
      </c>
      <c r="L810" s="11" t="str">
        <f>IF(Registro!$J810="","",IFERROR(SUMPRODUCT(--("0"&amp;TRIM(RIGHT(SUBSTITUTE(TRIM(MID(SUBSTITUTE(SUBSTITUTE(Registro!$J810,";",CHAR(10)),CHAR(10),REPT(" ",LEN(Registro!$J810))),({1,2,3,4,5,6,7,8,9,10,11,12,13,14,15,16,17,18,19,20,21,22,23,24,25,26,27,28,29,30}-1)*LEN(Registro!$J810)+1,LEN(Registro!$J810)))," ",REPT(" ",50)),50)))),"Revisar formato"))</f>
        <v/>
      </c>
      <c r="M810" s="11" t="str">
        <f>IF(AND(Registro!$H810="",Registro!$I810=""),"",IF(AND(ISTEXT(K810),K810&lt;&gt;""),"Revisar formato",N(Registro!$H810)-N(K810)))</f>
        <v/>
      </c>
      <c r="N810" s="11" t="str">
        <f t="shared" si="38"/>
        <v/>
      </c>
      <c r="O810" s="15" t="str">
        <f>IF(AND(A810=Consulta!$B$3,C810=Consulta!$H$3),B810*10000+ROW(),"")</f>
        <v/>
      </c>
    </row>
    <row r="811" spans="1:15" x14ac:dyDescent="0.25">
      <c r="A811" s="9" t="str">
        <f>IF(Registro!$A811="","",Registro!$A811)</f>
        <v/>
      </c>
      <c r="B811" s="8" t="str">
        <f>IF(Registro!$B811="","",Registro!$B811)</f>
        <v/>
      </c>
      <c r="C811" s="14" t="str">
        <f t="shared" si="36"/>
        <v/>
      </c>
      <c r="D811" s="10" t="str">
        <f>IF(Registro!$E811="","",IF(ISERROR(FIND("x",LOWER(Registro!$E811))),"-",IFERROR(SUMPRODUCT(--("0"&amp;LEFT(TRIM(MID(SUBSTITUTE(SUBSTITUTE(SUBSTITUTE(SUBSTITUTE(SUBSTITUTE(LOWER(Registro!$E811),"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",LEN(Registro!$E811))),({1,2,3,4,5,6,7,8,9,10,11,12,13,14,15,16,17,18,19,20,21,22,23,24,25,26,27,28,29,30}-1)*LEN(Registro!$E811)+1,LEN(Registro!$E811)))&amp;"x")-1))),"Revisar formato")))</f>
        <v/>
      </c>
      <c r="E811" s="11" t="str">
        <f>IF(Registro!$E811="","",IF(ISERROR(FIND("x",LOWER(Registro!$E811))),"-",IFERROR(SUMPRODUCT(--("0"&amp;LEFT(TRIM(MID(SUBSTITUTE(SUBSTITUTE(SUBSTITUTE(SUBSTITUTE(SUBSTITUTE(LOWER(Registro!$E811),"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",LEN(Registro!$E811))),({1,2,3,4,5,6,7,8,9,10,11,12,13,14,15,16,17,18,19,20,21,22,23,24,25,26,27,28,29,30}-1)*LEN(Registro!$E811)+1,LEN(Registro!$E811)))&amp;"x")-1)),--("0"&amp;MID(TRIM(MID(SUBSTITUTE(SUBSTITUTE(SUBSTITUTE(SUBSTITUTE(SUBSTITUTE(LOWER(Registro!$E811),"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",LEN(Registro!$E811))),({1,2,3,4,5,6,7,8,9,10,11,12,13,14,15,16,17,18,19,20,21,22,23,24,25,26,27,28,29,30}-1)*LEN(Registro!$E811)+1,LEN(Registro!$E811)))&amp;"x")+1,20))),"Revisar formato")))</f>
        <v/>
      </c>
      <c r="F811" s="11" t="str">
        <f>IF(Registro!$F811="","",N(Registro!$F811))</f>
        <v/>
      </c>
      <c r="G811" s="11" t="str">
        <f t="shared" si="37"/>
        <v/>
      </c>
      <c r="H811" s="10" t="str">
        <f>IF(Registro!$G811="","",IF(ISERROR(FIND("x",LOWER(Registro!$G811))),"-",IFERROR(SUMPRODUCT(--("0"&amp;LEFT(TRIM(MID(SUBSTITUTE(SUBSTITUTE(SUBSTITUTE(SUBSTITUTE(SUBSTITUTE(LOWER(Registro!$G811),"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",LEN(Registro!$G811))),({1,2,3,4,5,6,7,8,9,10,11,12,13,14,15,16,17,18,19,20,21,22,23,24,25,26,27,28,29,30}-1)*LEN(Registro!$G811)+1,LEN(Registro!$G811))),FIND("x",TRIM(MID(SUBSTITUTE(SUBSTITUTE(SUBSTITUTE(SUBSTITUTE(SUBSTITUTE(LOWER(Registro!$G811),"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",LEN(Registro!$G811))),({1,2,3,4,5,6,7,8,9,10,11,12,13,14,15,16,17,18,19,20,21,22,23,24,25,26,27,28,29,30}-1)*LEN(Registro!$G811)+1,LEN(Registro!$G811)))&amp;"x")-1))),"Revisar formato")))</f>
        <v/>
      </c>
      <c r="I811" s="11" t="str">
        <f>IF(Registro!$G811="","",IF(ISERROR(FIND("x",LOWER(Registro!$G811))),N(Registro!$H811),IFERROR(SUMPRODUCT(--("0"&amp;LEFT(TRIM(MID(SUBSTITUTE(SUBSTITUTE(SUBSTITUTE(SUBSTITUTE(SUBSTITUTE(LOWER(Registro!$G811),"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",LEN(Registro!$G811))),({1,2,3,4,5,6,7,8,9,10,11,12,13,14,15,16,17,18,19,20,21,22,23,24,25,26,27,28,29,30}-1)*LEN(Registro!$G811)+1,LEN(Registro!$G811))),FIND("x",TRIM(MID(SUBSTITUTE(SUBSTITUTE(SUBSTITUTE(SUBSTITUTE(SUBSTITUTE(LOWER(Registro!$G811),"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",LEN(Registro!$G811))),({1,2,3,4,5,6,7,8,9,10,11,12,13,14,15,16,17,18,19,20,21,22,23,24,25,26,27,28,29,30}-1)*LEN(Registro!$G811)+1,LEN(Registro!$G811)))&amp;"x")-1)),--("0"&amp;MID(TRIM(MID(SUBSTITUTE(SUBSTITUTE(SUBSTITUTE(SUBSTITUTE(SUBSTITUTE(LOWER(Registro!$G811),"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",LEN(Registro!$G811))),({1,2,3,4,5,6,7,8,9,10,11,12,13,14,15,16,17,18,19,20,21,22,23,24,25,26,27,28,29,30}-1)*LEN(Registro!$G811)+1,LEN(Registro!$G811))),FIND("x",TRIM(MID(SUBSTITUTE(SUBSTITUTE(SUBSTITUTE(SUBSTITUTE(SUBSTITUTE(LOWER(Registro!$G811),"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",LEN(Registro!$G811))),({1,2,3,4,5,6,7,8,9,10,11,12,13,14,15,16,17,18,19,20,21,22,23,24,25,26,27,28,29,30}-1)*LEN(Registro!$G811)+1,LEN(Registro!$G811)))&amp;"x")+1,20))),"Revisar formato")))</f>
        <v/>
      </c>
      <c r="J811" s="9" t="str">
        <f>IF(AND(Registro!$E811="",Registro!$G811=""),"",IF(NOT(AND(ISNUMBER(I811),ISNUMBER(Registro!$H811))),"",IF(I811&lt;Registro!$H811,"FALTA BOLETOS",IF(I811=Registro!$H811,"CONFORME","DIFERENCIA"))))</f>
        <v/>
      </c>
      <c r="K811" s="11" t="str">
        <f>IF(Registro!$I811="","",IFERROR(SUMPRODUCT(--("0"&amp;TRIM(RIGHT(SUBSTITUTE(TRIM(MID(SUBSTITUTE(SUBSTITUTE(Registro!$I811,";",CHAR(10)),CHAR(10),REPT(" ",LEN(Registro!$I811))),({1,2,3,4,5,6,7,8,9,10,11,12,13,14,15,16,17,18,19,20,21,22,23,24,25,26,27,28,29,30}-1)*LEN(Registro!$I811)+1,LEN(Registro!$I811)))," ",REPT(" ",50)),50)))),"Revisar formato"))</f>
        <v/>
      </c>
      <c r="L811" s="11" t="str">
        <f>IF(Registro!$J811="","",IFERROR(SUMPRODUCT(--("0"&amp;TRIM(RIGHT(SUBSTITUTE(TRIM(MID(SUBSTITUTE(SUBSTITUTE(Registro!$J811,";",CHAR(10)),CHAR(10),REPT(" ",LEN(Registro!$J811))),({1,2,3,4,5,6,7,8,9,10,11,12,13,14,15,16,17,18,19,20,21,22,23,24,25,26,27,28,29,30}-1)*LEN(Registro!$J811)+1,LEN(Registro!$J811)))," ",REPT(" ",50)),50)))),"Revisar formato"))</f>
        <v/>
      </c>
      <c r="M811" s="11" t="str">
        <f>IF(AND(Registro!$H811="",Registro!$I811=""),"",IF(AND(ISTEXT(K811),K811&lt;&gt;""),"Revisar formato",N(Registro!$H811)-N(K811)))</f>
        <v/>
      </c>
      <c r="N811" s="11" t="str">
        <f t="shared" si="38"/>
        <v/>
      </c>
      <c r="O811" s="15" t="str">
        <f>IF(AND(A811=Consulta!$B$3,C811=Consulta!$H$3),B811*10000+ROW(),"")</f>
        <v/>
      </c>
    </row>
    <row r="812" spans="1:15" x14ac:dyDescent="0.25">
      <c r="A812" s="9" t="str">
        <f>IF(Registro!$A812="","",Registro!$A812)</f>
        <v/>
      </c>
      <c r="B812" s="8" t="str">
        <f>IF(Registro!$B812="","",Registro!$B812)</f>
        <v/>
      </c>
      <c r="C812" s="14" t="str">
        <f t="shared" si="36"/>
        <v/>
      </c>
      <c r="D812" s="10" t="str">
        <f>IF(Registro!$E812="","",IF(ISERROR(FIND("x",LOWER(Registro!$E812))),"-",IFERROR(SUMPRODUCT(--("0"&amp;LEFT(TRIM(MID(SUBSTITUTE(SUBSTITUTE(SUBSTITUTE(SUBSTITUTE(SUBSTITUTE(LOWER(Registro!$E812),"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",LEN(Registro!$E812))),({1,2,3,4,5,6,7,8,9,10,11,12,13,14,15,16,17,18,19,20,21,22,23,24,25,26,27,28,29,30}-1)*LEN(Registro!$E812)+1,LEN(Registro!$E812)))&amp;"x")-1))),"Revisar formato")))</f>
        <v/>
      </c>
      <c r="E812" s="11" t="str">
        <f>IF(Registro!$E812="","",IF(ISERROR(FIND("x",LOWER(Registro!$E812))),"-",IFERROR(SUMPRODUCT(--("0"&amp;LEFT(TRIM(MID(SUBSTITUTE(SUBSTITUTE(SUBSTITUTE(SUBSTITUTE(SUBSTITUTE(LOWER(Registro!$E812),"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",LEN(Registro!$E812))),({1,2,3,4,5,6,7,8,9,10,11,12,13,14,15,16,17,18,19,20,21,22,23,24,25,26,27,28,29,30}-1)*LEN(Registro!$E812)+1,LEN(Registro!$E812)))&amp;"x")-1)),--("0"&amp;MID(TRIM(MID(SUBSTITUTE(SUBSTITUTE(SUBSTITUTE(SUBSTITUTE(SUBSTITUTE(LOWER(Registro!$E812),"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",LEN(Registro!$E812))),({1,2,3,4,5,6,7,8,9,10,11,12,13,14,15,16,17,18,19,20,21,22,23,24,25,26,27,28,29,30}-1)*LEN(Registro!$E812)+1,LEN(Registro!$E812)))&amp;"x")+1,20))),"Revisar formato")))</f>
        <v/>
      </c>
      <c r="F812" s="11" t="str">
        <f>IF(Registro!$F812="","",N(Registro!$F812))</f>
        <v/>
      </c>
      <c r="G812" s="11" t="str">
        <f t="shared" si="37"/>
        <v/>
      </c>
      <c r="H812" s="10" t="str">
        <f>IF(Registro!$G812="","",IF(ISERROR(FIND("x",LOWER(Registro!$G812))),"-",IFERROR(SUMPRODUCT(--("0"&amp;LEFT(TRIM(MID(SUBSTITUTE(SUBSTITUTE(SUBSTITUTE(SUBSTITUTE(SUBSTITUTE(LOWER(Registro!$G812),"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",LEN(Registro!$G812))),({1,2,3,4,5,6,7,8,9,10,11,12,13,14,15,16,17,18,19,20,21,22,23,24,25,26,27,28,29,30}-1)*LEN(Registro!$G812)+1,LEN(Registro!$G812))),FIND("x",TRIM(MID(SUBSTITUTE(SUBSTITUTE(SUBSTITUTE(SUBSTITUTE(SUBSTITUTE(LOWER(Registro!$G812),"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",LEN(Registro!$G812))),({1,2,3,4,5,6,7,8,9,10,11,12,13,14,15,16,17,18,19,20,21,22,23,24,25,26,27,28,29,30}-1)*LEN(Registro!$G812)+1,LEN(Registro!$G812)))&amp;"x")-1))),"Revisar formato")))</f>
        <v/>
      </c>
      <c r="I812" s="11" t="str">
        <f>IF(Registro!$G812="","",IF(ISERROR(FIND("x",LOWER(Registro!$G812))),N(Registro!$H812),IFERROR(SUMPRODUCT(--("0"&amp;LEFT(TRIM(MID(SUBSTITUTE(SUBSTITUTE(SUBSTITUTE(SUBSTITUTE(SUBSTITUTE(LOWER(Registro!$G812),"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",LEN(Registro!$G812))),({1,2,3,4,5,6,7,8,9,10,11,12,13,14,15,16,17,18,19,20,21,22,23,24,25,26,27,28,29,30}-1)*LEN(Registro!$G812)+1,LEN(Registro!$G812))),FIND("x",TRIM(MID(SUBSTITUTE(SUBSTITUTE(SUBSTITUTE(SUBSTITUTE(SUBSTITUTE(LOWER(Registro!$G812),"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",LEN(Registro!$G812))),({1,2,3,4,5,6,7,8,9,10,11,12,13,14,15,16,17,18,19,20,21,22,23,24,25,26,27,28,29,30}-1)*LEN(Registro!$G812)+1,LEN(Registro!$G812)))&amp;"x")-1)),--("0"&amp;MID(TRIM(MID(SUBSTITUTE(SUBSTITUTE(SUBSTITUTE(SUBSTITUTE(SUBSTITUTE(LOWER(Registro!$G812),"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",LEN(Registro!$G812))),({1,2,3,4,5,6,7,8,9,10,11,12,13,14,15,16,17,18,19,20,21,22,23,24,25,26,27,28,29,30}-1)*LEN(Registro!$G812)+1,LEN(Registro!$G812))),FIND("x",TRIM(MID(SUBSTITUTE(SUBSTITUTE(SUBSTITUTE(SUBSTITUTE(SUBSTITUTE(LOWER(Registro!$G812),"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",LEN(Registro!$G812))),({1,2,3,4,5,6,7,8,9,10,11,12,13,14,15,16,17,18,19,20,21,22,23,24,25,26,27,28,29,30}-1)*LEN(Registro!$G812)+1,LEN(Registro!$G812)))&amp;"x")+1,20))),"Revisar formato")))</f>
        <v/>
      </c>
      <c r="J812" s="9" t="str">
        <f>IF(AND(Registro!$E812="",Registro!$G812=""),"",IF(NOT(AND(ISNUMBER(I812),ISNUMBER(Registro!$H812))),"",IF(I812&lt;Registro!$H812,"FALTA BOLETOS",IF(I812=Registro!$H812,"CONFORME","DIFERENCIA"))))</f>
        <v/>
      </c>
      <c r="K812" s="11" t="str">
        <f>IF(Registro!$I812="","",IFERROR(SUMPRODUCT(--("0"&amp;TRIM(RIGHT(SUBSTITUTE(TRIM(MID(SUBSTITUTE(SUBSTITUTE(Registro!$I812,";",CHAR(10)),CHAR(10),REPT(" ",LEN(Registro!$I812))),({1,2,3,4,5,6,7,8,9,10,11,12,13,14,15,16,17,18,19,20,21,22,23,24,25,26,27,28,29,30}-1)*LEN(Registro!$I812)+1,LEN(Registro!$I812)))," ",REPT(" ",50)),50)))),"Revisar formato"))</f>
        <v/>
      </c>
      <c r="L812" s="11" t="str">
        <f>IF(Registro!$J812="","",IFERROR(SUMPRODUCT(--("0"&amp;TRIM(RIGHT(SUBSTITUTE(TRIM(MID(SUBSTITUTE(SUBSTITUTE(Registro!$J812,";",CHAR(10)),CHAR(10),REPT(" ",LEN(Registro!$J812))),({1,2,3,4,5,6,7,8,9,10,11,12,13,14,15,16,17,18,19,20,21,22,23,24,25,26,27,28,29,30}-1)*LEN(Registro!$J812)+1,LEN(Registro!$J812)))," ",REPT(" ",50)),50)))),"Revisar formato"))</f>
        <v/>
      </c>
      <c r="M812" s="11" t="str">
        <f>IF(AND(Registro!$H812="",Registro!$I812=""),"",IF(AND(ISTEXT(K812),K812&lt;&gt;""),"Revisar formato",N(Registro!$H812)-N(K812)))</f>
        <v/>
      </c>
      <c r="N812" s="11" t="str">
        <f t="shared" si="38"/>
        <v/>
      </c>
      <c r="O812" s="15" t="str">
        <f>IF(AND(A812=Consulta!$B$3,C812=Consulta!$H$3),B812*10000+ROW(),"")</f>
        <v/>
      </c>
    </row>
    <row r="813" spans="1:15" x14ac:dyDescent="0.25">
      <c r="A813" s="9" t="str">
        <f>IF(Registro!$A813="","",Registro!$A813)</f>
        <v/>
      </c>
      <c r="B813" s="8" t="str">
        <f>IF(Registro!$B813="","",Registro!$B813)</f>
        <v/>
      </c>
      <c r="C813" s="14" t="str">
        <f t="shared" si="36"/>
        <v/>
      </c>
      <c r="D813" s="10" t="str">
        <f>IF(Registro!$E813="","",IF(ISERROR(FIND("x",LOWER(Registro!$E813))),"-",IFERROR(SUMPRODUCT(--("0"&amp;LEFT(TRIM(MID(SUBSTITUTE(SUBSTITUTE(SUBSTITUTE(SUBSTITUTE(SUBSTITUTE(LOWER(Registro!$E813),"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",LEN(Registro!$E813))),({1,2,3,4,5,6,7,8,9,10,11,12,13,14,15,16,17,18,19,20,21,22,23,24,25,26,27,28,29,30}-1)*LEN(Registro!$E813)+1,LEN(Registro!$E813)))&amp;"x")-1))),"Revisar formato")))</f>
        <v/>
      </c>
      <c r="E813" s="11" t="str">
        <f>IF(Registro!$E813="","",IF(ISERROR(FIND("x",LOWER(Registro!$E813))),"-",IFERROR(SUMPRODUCT(--("0"&amp;LEFT(TRIM(MID(SUBSTITUTE(SUBSTITUTE(SUBSTITUTE(SUBSTITUTE(SUBSTITUTE(LOWER(Registro!$E813),"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",LEN(Registro!$E813))),({1,2,3,4,5,6,7,8,9,10,11,12,13,14,15,16,17,18,19,20,21,22,23,24,25,26,27,28,29,30}-1)*LEN(Registro!$E813)+1,LEN(Registro!$E813)))&amp;"x")-1)),--("0"&amp;MID(TRIM(MID(SUBSTITUTE(SUBSTITUTE(SUBSTITUTE(SUBSTITUTE(SUBSTITUTE(LOWER(Registro!$E813),"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",LEN(Registro!$E813))),({1,2,3,4,5,6,7,8,9,10,11,12,13,14,15,16,17,18,19,20,21,22,23,24,25,26,27,28,29,30}-1)*LEN(Registro!$E813)+1,LEN(Registro!$E813)))&amp;"x")+1,20))),"Revisar formato")))</f>
        <v/>
      </c>
      <c r="F813" s="11" t="str">
        <f>IF(Registro!$F813="","",N(Registro!$F813))</f>
        <v/>
      </c>
      <c r="G813" s="11" t="str">
        <f t="shared" si="37"/>
        <v/>
      </c>
      <c r="H813" s="10" t="str">
        <f>IF(Registro!$G813="","",IF(ISERROR(FIND("x",LOWER(Registro!$G813))),"-",IFERROR(SUMPRODUCT(--("0"&amp;LEFT(TRIM(MID(SUBSTITUTE(SUBSTITUTE(SUBSTITUTE(SUBSTITUTE(SUBSTITUTE(LOWER(Registro!$G813),"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",LEN(Registro!$G813))),({1,2,3,4,5,6,7,8,9,10,11,12,13,14,15,16,17,18,19,20,21,22,23,24,25,26,27,28,29,30}-1)*LEN(Registro!$G813)+1,LEN(Registro!$G813))),FIND("x",TRIM(MID(SUBSTITUTE(SUBSTITUTE(SUBSTITUTE(SUBSTITUTE(SUBSTITUTE(LOWER(Registro!$G813),"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",LEN(Registro!$G813))),({1,2,3,4,5,6,7,8,9,10,11,12,13,14,15,16,17,18,19,20,21,22,23,24,25,26,27,28,29,30}-1)*LEN(Registro!$G813)+1,LEN(Registro!$G813)))&amp;"x")-1))),"Revisar formato")))</f>
        <v/>
      </c>
      <c r="I813" s="11" t="str">
        <f>IF(Registro!$G813="","",IF(ISERROR(FIND("x",LOWER(Registro!$G813))),N(Registro!$H813),IFERROR(SUMPRODUCT(--("0"&amp;LEFT(TRIM(MID(SUBSTITUTE(SUBSTITUTE(SUBSTITUTE(SUBSTITUTE(SUBSTITUTE(LOWER(Registro!$G813),"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",LEN(Registro!$G813))),({1,2,3,4,5,6,7,8,9,10,11,12,13,14,15,16,17,18,19,20,21,22,23,24,25,26,27,28,29,30}-1)*LEN(Registro!$G813)+1,LEN(Registro!$G813))),FIND("x",TRIM(MID(SUBSTITUTE(SUBSTITUTE(SUBSTITUTE(SUBSTITUTE(SUBSTITUTE(LOWER(Registro!$G813),"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",LEN(Registro!$G813))),({1,2,3,4,5,6,7,8,9,10,11,12,13,14,15,16,17,18,19,20,21,22,23,24,25,26,27,28,29,30}-1)*LEN(Registro!$G813)+1,LEN(Registro!$G813)))&amp;"x")-1)),--("0"&amp;MID(TRIM(MID(SUBSTITUTE(SUBSTITUTE(SUBSTITUTE(SUBSTITUTE(SUBSTITUTE(LOWER(Registro!$G813),"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",LEN(Registro!$G813))),({1,2,3,4,5,6,7,8,9,10,11,12,13,14,15,16,17,18,19,20,21,22,23,24,25,26,27,28,29,30}-1)*LEN(Registro!$G813)+1,LEN(Registro!$G813))),FIND("x",TRIM(MID(SUBSTITUTE(SUBSTITUTE(SUBSTITUTE(SUBSTITUTE(SUBSTITUTE(LOWER(Registro!$G813),"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",LEN(Registro!$G813))),({1,2,3,4,5,6,7,8,9,10,11,12,13,14,15,16,17,18,19,20,21,22,23,24,25,26,27,28,29,30}-1)*LEN(Registro!$G813)+1,LEN(Registro!$G813)))&amp;"x")+1,20))),"Revisar formato")))</f>
        <v/>
      </c>
      <c r="J813" s="9" t="str">
        <f>IF(AND(Registro!$E813="",Registro!$G813=""),"",IF(NOT(AND(ISNUMBER(I813),ISNUMBER(Registro!$H813))),"",IF(I813&lt;Registro!$H813,"FALTA BOLETOS",IF(I813=Registro!$H813,"CONFORME","DIFERENCIA"))))</f>
        <v/>
      </c>
      <c r="K813" s="11" t="str">
        <f>IF(Registro!$I813="","",IFERROR(SUMPRODUCT(--("0"&amp;TRIM(RIGHT(SUBSTITUTE(TRIM(MID(SUBSTITUTE(SUBSTITUTE(Registro!$I813,";",CHAR(10)),CHAR(10),REPT(" ",LEN(Registro!$I813))),({1,2,3,4,5,6,7,8,9,10,11,12,13,14,15,16,17,18,19,20,21,22,23,24,25,26,27,28,29,30}-1)*LEN(Registro!$I813)+1,LEN(Registro!$I813)))," ",REPT(" ",50)),50)))),"Revisar formato"))</f>
        <v/>
      </c>
      <c r="L813" s="11" t="str">
        <f>IF(Registro!$J813="","",IFERROR(SUMPRODUCT(--("0"&amp;TRIM(RIGHT(SUBSTITUTE(TRIM(MID(SUBSTITUTE(SUBSTITUTE(Registro!$J813,";",CHAR(10)),CHAR(10),REPT(" ",LEN(Registro!$J813))),({1,2,3,4,5,6,7,8,9,10,11,12,13,14,15,16,17,18,19,20,21,22,23,24,25,26,27,28,29,30}-1)*LEN(Registro!$J813)+1,LEN(Registro!$J813)))," ",REPT(" ",50)),50)))),"Revisar formato"))</f>
        <v/>
      </c>
      <c r="M813" s="11" t="str">
        <f>IF(AND(Registro!$H813="",Registro!$I813=""),"",IF(AND(ISTEXT(K813),K813&lt;&gt;""),"Revisar formato",N(Registro!$H813)-N(K813)))</f>
        <v/>
      </c>
      <c r="N813" s="11" t="str">
        <f t="shared" si="38"/>
        <v/>
      </c>
      <c r="O813" s="15" t="str">
        <f>IF(AND(A813=Consulta!$B$3,C813=Consulta!$H$3),B813*10000+ROW(),"")</f>
        <v/>
      </c>
    </row>
    <row r="814" spans="1:15" x14ac:dyDescent="0.25">
      <c r="A814" s="9" t="str">
        <f>IF(Registro!$A814="","",Registro!$A814)</f>
        <v/>
      </c>
      <c r="B814" s="8" t="str">
        <f>IF(Registro!$B814="","",Registro!$B814)</f>
        <v/>
      </c>
      <c r="C814" s="14" t="str">
        <f t="shared" si="36"/>
        <v/>
      </c>
      <c r="D814" s="10" t="str">
        <f>IF(Registro!$E814="","",IF(ISERROR(FIND("x",LOWER(Registro!$E814))),"-",IFERROR(SUMPRODUCT(--("0"&amp;LEFT(TRIM(MID(SUBSTITUTE(SUBSTITUTE(SUBSTITUTE(SUBSTITUTE(SUBSTITUTE(LOWER(Registro!$E814),"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",LEN(Registro!$E814))),({1,2,3,4,5,6,7,8,9,10,11,12,13,14,15,16,17,18,19,20,21,22,23,24,25,26,27,28,29,30}-1)*LEN(Registro!$E814)+1,LEN(Registro!$E814)))&amp;"x")-1))),"Revisar formato")))</f>
        <v/>
      </c>
      <c r="E814" s="11" t="str">
        <f>IF(Registro!$E814="","",IF(ISERROR(FIND("x",LOWER(Registro!$E814))),"-",IFERROR(SUMPRODUCT(--("0"&amp;LEFT(TRIM(MID(SUBSTITUTE(SUBSTITUTE(SUBSTITUTE(SUBSTITUTE(SUBSTITUTE(LOWER(Registro!$E814),"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",LEN(Registro!$E814))),({1,2,3,4,5,6,7,8,9,10,11,12,13,14,15,16,17,18,19,20,21,22,23,24,25,26,27,28,29,30}-1)*LEN(Registro!$E814)+1,LEN(Registro!$E814)))&amp;"x")-1)),--("0"&amp;MID(TRIM(MID(SUBSTITUTE(SUBSTITUTE(SUBSTITUTE(SUBSTITUTE(SUBSTITUTE(LOWER(Registro!$E814),"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",LEN(Registro!$E814))),({1,2,3,4,5,6,7,8,9,10,11,12,13,14,15,16,17,18,19,20,21,22,23,24,25,26,27,28,29,30}-1)*LEN(Registro!$E814)+1,LEN(Registro!$E814)))&amp;"x")+1,20))),"Revisar formato")))</f>
        <v/>
      </c>
      <c r="F814" s="11" t="str">
        <f>IF(Registro!$F814="","",N(Registro!$F814))</f>
        <v/>
      </c>
      <c r="G814" s="11" t="str">
        <f t="shared" si="37"/>
        <v/>
      </c>
      <c r="H814" s="10" t="str">
        <f>IF(Registro!$G814="","",IF(ISERROR(FIND("x",LOWER(Registro!$G814))),"-",IFERROR(SUMPRODUCT(--("0"&amp;LEFT(TRIM(MID(SUBSTITUTE(SUBSTITUTE(SUBSTITUTE(SUBSTITUTE(SUBSTITUTE(LOWER(Registro!$G814),"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",LEN(Registro!$G814))),({1,2,3,4,5,6,7,8,9,10,11,12,13,14,15,16,17,18,19,20,21,22,23,24,25,26,27,28,29,30}-1)*LEN(Registro!$G814)+1,LEN(Registro!$G814))),FIND("x",TRIM(MID(SUBSTITUTE(SUBSTITUTE(SUBSTITUTE(SUBSTITUTE(SUBSTITUTE(LOWER(Registro!$G814),"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",LEN(Registro!$G814))),({1,2,3,4,5,6,7,8,9,10,11,12,13,14,15,16,17,18,19,20,21,22,23,24,25,26,27,28,29,30}-1)*LEN(Registro!$G814)+1,LEN(Registro!$G814)))&amp;"x")-1))),"Revisar formato")))</f>
        <v/>
      </c>
      <c r="I814" s="11" t="str">
        <f>IF(Registro!$G814="","",IF(ISERROR(FIND("x",LOWER(Registro!$G814))),N(Registro!$H814),IFERROR(SUMPRODUCT(--("0"&amp;LEFT(TRIM(MID(SUBSTITUTE(SUBSTITUTE(SUBSTITUTE(SUBSTITUTE(SUBSTITUTE(LOWER(Registro!$G814),"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",LEN(Registro!$G814))),({1,2,3,4,5,6,7,8,9,10,11,12,13,14,15,16,17,18,19,20,21,22,23,24,25,26,27,28,29,30}-1)*LEN(Registro!$G814)+1,LEN(Registro!$G814))),FIND("x",TRIM(MID(SUBSTITUTE(SUBSTITUTE(SUBSTITUTE(SUBSTITUTE(SUBSTITUTE(LOWER(Registro!$G814),"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",LEN(Registro!$G814))),({1,2,3,4,5,6,7,8,9,10,11,12,13,14,15,16,17,18,19,20,21,22,23,24,25,26,27,28,29,30}-1)*LEN(Registro!$G814)+1,LEN(Registro!$G814)))&amp;"x")-1)),--("0"&amp;MID(TRIM(MID(SUBSTITUTE(SUBSTITUTE(SUBSTITUTE(SUBSTITUTE(SUBSTITUTE(LOWER(Registro!$G814),"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",LEN(Registro!$G814))),({1,2,3,4,5,6,7,8,9,10,11,12,13,14,15,16,17,18,19,20,21,22,23,24,25,26,27,28,29,30}-1)*LEN(Registro!$G814)+1,LEN(Registro!$G814))),FIND("x",TRIM(MID(SUBSTITUTE(SUBSTITUTE(SUBSTITUTE(SUBSTITUTE(SUBSTITUTE(LOWER(Registro!$G814),"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",LEN(Registro!$G814))),({1,2,3,4,5,6,7,8,9,10,11,12,13,14,15,16,17,18,19,20,21,22,23,24,25,26,27,28,29,30}-1)*LEN(Registro!$G814)+1,LEN(Registro!$G814)))&amp;"x")+1,20))),"Revisar formato")))</f>
        <v/>
      </c>
      <c r="J814" s="9" t="str">
        <f>IF(AND(Registro!$E814="",Registro!$G814=""),"",IF(NOT(AND(ISNUMBER(I814),ISNUMBER(Registro!$H814))),"",IF(I814&lt;Registro!$H814,"FALTA BOLETOS",IF(I814=Registro!$H814,"CONFORME","DIFERENCIA"))))</f>
        <v/>
      </c>
      <c r="K814" s="11" t="str">
        <f>IF(Registro!$I814="","",IFERROR(SUMPRODUCT(--("0"&amp;TRIM(RIGHT(SUBSTITUTE(TRIM(MID(SUBSTITUTE(SUBSTITUTE(Registro!$I814,";",CHAR(10)),CHAR(10),REPT(" ",LEN(Registro!$I814))),({1,2,3,4,5,6,7,8,9,10,11,12,13,14,15,16,17,18,19,20,21,22,23,24,25,26,27,28,29,30}-1)*LEN(Registro!$I814)+1,LEN(Registro!$I814)))," ",REPT(" ",50)),50)))),"Revisar formato"))</f>
        <v/>
      </c>
      <c r="L814" s="11" t="str">
        <f>IF(Registro!$J814="","",IFERROR(SUMPRODUCT(--("0"&amp;TRIM(RIGHT(SUBSTITUTE(TRIM(MID(SUBSTITUTE(SUBSTITUTE(Registro!$J814,";",CHAR(10)),CHAR(10),REPT(" ",LEN(Registro!$J814))),({1,2,3,4,5,6,7,8,9,10,11,12,13,14,15,16,17,18,19,20,21,22,23,24,25,26,27,28,29,30}-1)*LEN(Registro!$J814)+1,LEN(Registro!$J814)))," ",REPT(" ",50)),50)))),"Revisar formato"))</f>
        <v/>
      </c>
      <c r="M814" s="11" t="str">
        <f>IF(AND(Registro!$H814="",Registro!$I814=""),"",IF(AND(ISTEXT(K814),K814&lt;&gt;""),"Revisar formato",N(Registro!$H814)-N(K814)))</f>
        <v/>
      </c>
      <c r="N814" s="11" t="str">
        <f t="shared" si="38"/>
        <v/>
      </c>
      <c r="O814" s="15" t="str">
        <f>IF(AND(A814=Consulta!$B$3,C814=Consulta!$H$3),B814*10000+ROW(),"")</f>
        <v/>
      </c>
    </row>
    <row r="815" spans="1:15" x14ac:dyDescent="0.25">
      <c r="A815" s="9" t="str">
        <f>IF(Registro!$A815="","",Registro!$A815)</f>
        <v/>
      </c>
      <c r="B815" s="8" t="str">
        <f>IF(Registro!$B815="","",Registro!$B815)</f>
        <v/>
      </c>
      <c r="C815" s="14" t="str">
        <f t="shared" si="36"/>
        <v/>
      </c>
      <c r="D815" s="10" t="str">
        <f>IF(Registro!$E815="","",IF(ISERROR(FIND("x",LOWER(Registro!$E815))),"-",IFERROR(SUMPRODUCT(--("0"&amp;LEFT(TRIM(MID(SUBSTITUTE(SUBSTITUTE(SUBSTITUTE(SUBSTITUTE(SUBSTITUTE(LOWER(Registro!$E815),"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",LEN(Registro!$E815))),({1,2,3,4,5,6,7,8,9,10,11,12,13,14,15,16,17,18,19,20,21,22,23,24,25,26,27,28,29,30}-1)*LEN(Registro!$E815)+1,LEN(Registro!$E815)))&amp;"x")-1))),"Revisar formato")))</f>
        <v/>
      </c>
      <c r="E815" s="11" t="str">
        <f>IF(Registro!$E815="","",IF(ISERROR(FIND("x",LOWER(Registro!$E815))),"-",IFERROR(SUMPRODUCT(--("0"&amp;LEFT(TRIM(MID(SUBSTITUTE(SUBSTITUTE(SUBSTITUTE(SUBSTITUTE(SUBSTITUTE(LOWER(Registro!$E815),"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",LEN(Registro!$E815))),({1,2,3,4,5,6,7,8,9,10,11,12,13,14,15,16,17,18,19,20,21,22,23,24,25,26,27,28,29,30}-1)*LEN(Registro!$E815)+1,LEN(Registro!$E815)))&amp;"x")-1)),--("0"&amp;MID(TRIM(MID(SUBSTITUTE(SUBSTITUTE(SUBSTITUTE(SUBSTITUTE(SUBSTITUTE(LOWER(Registro!$E815),"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",LEN(Registro!$E815))),({1,2,3,4,5,6,7,8,9,10,11,12,13,14,15,16,17,18,19,20,21,22,23,24,25,26,27,28,29,30}-1)*LEN(Registro!$E815)+1,LEN(Registro!$E815)))&amp;"x")+1,20))),"Revisar formato")))</f>
        <v/>
      </c>
      <c r="F815" s="11" t="str">
        <f>IF(Registro!$F815="","",N(Registro!$F815))</f>
        <v/>
      </c>
      <c r="G815" s="11" t="str">
        <f t="shared" si="37"/>
        <v/>
      </c>
      <c r="H815" s="10" t="str">
        <f>IF(Registro!$G815="","",IF(ISERROR(FIND("x",LOWER(Registro!$G815))),"-",IFERROR(SUMPRODUCT(--("0"&amp;LEFT(TRIM(MID(SUBSTITUTE(SUBSTITUTE(SUBSTITUTE(SUBSTITUTE(SUBSTITUTE(LOWER(Registro!$G815),"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",LEN(Registro!$G815))),({1,2,3,4,5,6,7,8,9,10,11,12,13,14,15,16,17,18,19,20,21,22,23,24,25,26,27,28,29,30}-1)*LEN(Registro!$G815)+1,LEN(Registro!$G815))),FIND("x",TRIM(MID(SUBSTITUTE(SUBSTITUTE(SUBSTITUTE(SUBSTITUTE(SUBSTITUTE(LOWER(Registro!$G815),"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",LEN(Registro!$G815))),({1,2,3,4,5,6,7,8,9,10,11,12,13,14,15,16,17,18,19,20,21,22,23,24,25,26,27,28,29,30}-1)*LEN(Registro!$G815)+1,LEN(Registro!$G815)))&amp;"x")-1))),"Revisar formato")))</f>
        <v/>
      </c>
      <c r="I815" s="11" t="str">
        <f>IF(Registro!$G815="","",IF(ISERROR(FIND("x",LOWER(Registro!$G815))),N(Registro!$H815),IFERROR(SUMPRODUCT(--("0"&amp;LEFT(TRIM(MID(SUBSTITUTE(SUBSTITUTE(SUBSTITUTE(SUBSTITUTE(SUBSTITUTE(LOWER(Registro!$G815),"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",LEN(Registro!$G815))),({1,2,3,4,5,6,7,8,9,10,11,12,13,14,15,16,17,18,19,20,21,22,23,24,25,26,27,28,29,30}-1)*LEN(Registro!$G815)+1,LEN(Registro!$G815))),FIND("x",TRIM(MID(SUBSTITUTE(SUBSTITUTE(SUBSTITUTE(SUBSTITUTE(SUBSTITUTE(LOWER(Registro!$G815),"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",LEN(Registro!$G815))),({1,2,3,4,5,6,7,8,9,10,11,12,13,14,15,16,17,18,19,20,21,22,23,24,25,26,27,28,29,30}-1)*LEN(Registro!$G815)+1,LEN(Registro!$G815)))&amp;"x")-1)),--("0"&amp;MID(TRIM(MID(SUBSTITUTE(SUBSTITUTE(SUBSTITUTE(SUBSTITUTE(SUBSTITUTE(LOWER(Registro!$G815),"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",LEN(Registro!$G815))),({1,2,3,4,5,6,7,8,9,10,11,12,13,14,15,16,17,18,19,20,21,22,23,24,25,26,27,28,29,30}-1)*LEN(Registro!$G815)+1,LEN(Registro!$G815))),FIND("x",TRIM(MID(SUBSTITUTE(SUBSTITUTE(SUBSTITUTE(SUBSTITUTE(SUBSTITUTE(LOWER(Registro!$G815),"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",LEN(Registro!$G815))),({1,2,3,4,5,6,7,8,9,10,11,12,13,14,15,16,17,18,19,20,21,22,23,24,25,26,27,28,29,30}-1)*LEN(Registro!$G815)+1,LEN(Registro!$G815)))&amp;"x")+1,20))),"Revisar formato")))</f>
        <v/>
      </c>
      <c r="J815" s="9" t="str">
        <f>IF(AND(Registro!$E815="",Registro!$G815=""),"",IF(NOT(AND(ISNUMBER(I815),ISNUMBER(Registro!$H815))),"",IF(I815&lt;Registro!$H815,"FALTA BOLETOS",IF(I815=Registro!$H815,"CONFORME","DIFERENCIA"))))</f>
        <v/>
      </c>
      <c r="K815" s="11" t="str">
        <f>IF(Registro!$I815="","",IFERROR(SUMPRODUCT(--("0"&amp;TRIM(RIGHT(SUBSTITUTE(TRIM(MID(SUBSTITUTE(SUBSTITUTE(Registro!$I815,";",CHAR(10)),CHAR(10),REPT(" ",LEN(Registro!$I815))),({1,2,3,4,5,6,7,8,9,10,11,12,13,14,15,16,17,18,19,20,21,22,23,24,25,26,27,28,29,30}-1)*LEN(Registro!$I815)+1,LEN(Registro!$I815)))," ",REPT(" ",50)),50)))),"Revisar formato"))</f>
        <v/>
      </c>
      <c r="L815" s="11" t="str">
        <f>IF(Registro!$J815="","",IFERROR(SUMPRODUCT(--("0"&amp;TRIM(RIGHT(SUBSTITUTE(TRIM(MID(SUBSTITUTE(SUBSTITUTE(Registro!$J815,";",CHAR(10)),CHAR(10),REPT(" ",LEN(Registro!$J815))),({1,2,3,4,5,6,7,8,9,10,11,12,13,14,15,16,17,18,19,20,21,22,23,24,25,26,27,28,29,30}-1)*LEN(Registro!$J815)+1,LEN(Registro!$J815)))," ",REPT(" ",50)),50)))),"Revisar formato"))</f>
        <v/>
      </c>
      <c r="M815" s="11" t="str">
        <f>IF(AND(Registro!$H815="",Registro!$I815=""),"",IF(AND(ISTEXT(K815),K815&lt;&gt;""),"Revisar formato",N(Registro!$H815)-N(K815)))</f>
        <v/>
      </c>
      <c r="N815" s="11" t="str">
        <f t="shared" si="38"/>
        <v/>
      </c>
      <c r="O815" s="15" t="str">
        <f>IF(AND(A815=Consulta!$B$3,C815=Consulta!$H$3),B815*10000+ROW(),"")</f>
        <v/>
      </c>
    </row>
    <row r="816" spans="1:15" x14ac:dyDescent="0.25">
      <c r="A816" s="9" t="str">
        <f>IF(Registro!$A816="","",Registro!$A816)</f>
        <v/>
      </c>
      <c r="B816" s="8" t="str">
        <f>IF(Registro!$B816="","",Registro!$B816)</f>
        <v/>
      </c>
      <c r="C816" s="14" t="str">
        <f t="shared" si="36"/>
        <v/>
      </c>
      <c r="D816" s="10" t="str">
        <f>IF(Registro!$E816="","",IF(ISERROR(FIND("x",LOWER(Registro!$E816))),"-",IFERROR(SUMPRODUCT(--("0"&amp;LEFT(TRIM(MID(SUBSTITUTE(SUBSTITUTE(SUBSTITUTE(SUBSTITUTE(SUBSTITUTE(LOWER(Registro!$E816),"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",LEN(Registro!$E816))),({1,2,3,4,5,6,7,8,9,10,11,12,13,14,15,16,17,18,19,20,21,22,23,24,25,26,27,28,29,30}-1)*LEN(Registro!$E816)+1,LEN(Registro!$E816)))&amp;"x")-1))),"Revisar formato")))</f>
        <v/>
      </c>
      <c r="E816" s="11" t="str">
        <f>IF(Registro!$E816="","",IF(ISERROR(FIND("x",LOWER(Registro!$E816))),"-",IFERROR(SUMPRODUCT(--("0"&amp;LEFT(TRIM(MID(SUBSTITUTE(SUBSTITUTE(SUBSTITUTE(SUBSTITUTE(SUBSTITUTE(LOWER(Registro!$E816),"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",LEN(Registro!$E816))),({1,2,3,4,5,6,7,8,9,10,11,12,13,14,15,16,17,18,19,20,21,22,23,24,25,26,27,28,29,30}-1)*LEN(Registro!$E816)+1,LEN(Registro!$E816)))&amp;"x")-1)),--("0"&amp;MID(TRIM(MID(SUBSTITUTE(SUBSTITUTE(SUBSTITUTE(SUBSTITUTE(SUBSTITUTE(LOWER(Registro!$E816),"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",LEN(Registro!$E816))),({1,2,3,4,5,6,7,8,9,10,11,12,13,14,15,16,17,18,19,20,21,22,23,24,25,26,27,28,29,30}-1)*LEN(Registro!$E816)+1,LEN(Registro!$E816)))&amp;"x")+1,20))),"Revisar formato")))</f>
        <v/>
      </c>
      <c r="F816" s="11" t="str">
        <f>IF(Registro!$F816="","",N(Registro!$F816))</f>
        <v/>
      </c>
      <c r="G816" s="11" t="str">
        <f t="shared" si="37"/>
        <v/>
      </c>
      <c r="H816" s="10" t="str">
        <f>IF(Registro!$G816="","",IF(ISERROR(FIND("x",LOWER(Registro!$G816))),"-",IFERROR(SUMPRODUCT(--("0"&amp;LEFT(TRIM(MID(SUBSTITUTE(SUBSTITUTE(SUBSTITUTE(SUBSTITUTE(SUBSTITUTE(LOWER(Registro!$G816),"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",LEN(Registro!$G816))),({1,2,3,4,5,6,7,8,9,10,11,12,13,14,15,16,17,18,19,20,21,22,23,24,25,26,27,28,29,30}-1)*LEN(Registro!$G816)+1,LEN(Registro!$G816))),FIND("x",TRIM(MID(SUBSTITUTE(SUBSTITUTE(SUBSTITUTE(SUBSTITUTE(SUBSTITUTE(LOWER(Registro!$G816),"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",LEN(Registro!$G816))),({1,2,3,4,5,6,7,8,9,10,11,12,13,14,15,16,17,18,19,20,21,22,23,24,25,26,27,28,29,30}-1)*LEN(Registro!$G816)+1,LEN(Registro!$G816)))&amp;"x")-1))),"Revisar formato")))</f>
        <v/>
      </c>
      <c r="I816" s="11" t="str">
        <f>IF(Registro!$G816="","",IF(ISERROR(FIND("x",LOWER(Registro!$G816))),N(Registro!$H816),IFERROR(SUMPRODUCT(--("0"&amp;LEFT(TRIM(MID(SUBSTITUTE(SUBSTITUTE(SUBSTITUTE(SUBSTITUTE(SUBSTITUTE(LOWER(Registro!$G816),"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",LEN(Registro!$G816))),({1,2,3,4,5,6,7,8,9,10,11,12,13,14,15,16,17,18,19,20,21,22,23,24,25,26,27,28,29,30}-1)*LEN(Registro!$G816)+1,LEN(Registro!$G816))),FIND("x",TRIM(MID(SUBSTITUTE(SUBSTITUTE(SUBSTITUTE(SUBSTITUTE(SUBSTITUTE(LOWER(Registro!$G816),"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",LEN(Registro!$G816))),({1,2,3,4,5,6,7,8,9,10,11,12,13,14,15,16,17,18,19,20,21,22,23,24,25,26,27,28,29,30}-1)*LEN(Registro!$G816)+1,LEN(Registro!$G816)))&amp;"x")-1)),--("0"&amp;MID(TRIM(MID(SUBSTITUTE(SUBSTITUTE(SUBSTITUTE(SUBSTITUTE(SUBSTITUTE(LOWER(Registro!$G816),"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",LEN(Registro!$G816))),({1,2,3,4,5,6,7,8,9,10,11,12,13,14,15,16,17,18,19,20,21,22,23,24,25,26,27,28,29,30}-1)*LEN(Registro!$G816)+1,LEN(Registro!$G816))),FIND("x",TRIM(MID(SUBSTITUTE(SUBSTITUTE(SUBSTITUTE(SUBSTITUTE(SUBSTITUTE(LOWER(Registro!$G816),"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",LEN(Registro!$G816))),({1,2,3,4,5,6,7,8,9,10,11,12,13,14,15,16,17,18,19,20,21,22,23,24,25,26,27,28,29,30}-1)*LEN(Registro!$G816)+1,LEN(Registro!$G816)))&amp;"x")+1,20))),"Revisar formato")))</f>
        <v/>
      </c>
      <c r="J816" s="9" t="str">
        <f>IF(AND(Registro!$E816="",Registro!$G816=""),"",IF(NOT(AND(ISNUMBER(I816),ISNUMBER(Registro!$H816))),"",IF(I816&lt;Registro!$H816,"FALTA BOLETOS",IF(I816=Registro!$H816,"CONFORME","DIFERENCIA"))))</f>
        <v/>
      </c>
      <c r="K816" s="11" t="str">
        <f>IF(Registro!$I816="","",IFERROR(SUMPRODUCT(--("0"&amp;TRIM(RIGHT(SUBSTITUTE(TRIM(MID(SUBSTITUTE(SUBSTITUTE(Registro!$I816,";",CHAR(10)),CHAR(10),REPT(" ",LEN(Registro!$I816))),({1,2,3,4,5,6,7,8,9,10,11,12,13,14,15,16,17,18,19,20,21,22,23,24,25,26,27,28,29,30}-1)*LEN(Registro!$I816)+1,LEN(Registro!$I816)))," ",REPT(" ",50)),50)))),"Revisar formato"))</f>
        <v/>
      </c>
      <c r="L816" s="11" t="str">
        <f>IF(Registro!$J816="","",IFERROR(SUMPRODUCT(--("0"&amp;TRIM(RIGHT(SUBSTITUTE(TRIM(MID(SUBSTITUTE(SUBSTITUTE(Registro!$J816,";",CHAR(10)),CHAR(10),REPT(" ",LEN(Registro!$J816))),({1,2,3,4,5,6,7,8,9,10,11,12,13,14,15,16,17,18,19,20,21,22,23,24,25,26,27,28,29,30}-1)*LEN(Registro!$J816)+1,LEN(Registro!$J816)))," ",REPT(" ",50)),50)))),"Revisar formato"))</f>
        <v/>
      </c>
      <c r="M816" s="11" t="str">
        <f>IF(AND(Registro!$H816="",Registro!$I816=""),"",IF(AND(ISTEXT(K816),K816&lt;&gt;""),"Revisar formato",N(Registro!$H816)-N(K816)))</f>
        <v/>
      </c>
      <c r="N816" s="11" t="str">
        <f t="shared" si="38"/>
        <v/>
      </c>
      <c r="O816" s="15" t="str">
        <f>IF(AND(A816=Consulta!$B$3,C816=Consulta!$H$3),B816*10000+ROW(),"")</f>
        <v/>
      </c>
    </row>
    <row r="817" spans="1:15" x14ac:dyDescent="0.25">
      <c r="A817" s="9" t="str">
        <f>IF(Registro!$A817="","",Registro!$A817)</f>
        <v/>
      </c>
      <c r="B817" s="8" t="str">
        <f>IF(Registro!$B817="","",Registro!$B817)</f>
        <v/>
      </c>
      <c r="C817" s="14" t="str">
        <f t="shared" si="36"/>
        <v/>
      </c>
      <c r="D817" s="10" t="str">
        <f>IF(Registro!$E817="","",IF(ISERROR(FIND("x",LOWER(Registro!$E817))),"-",IFERROR(SUMPRODUCT(--("0"&amp;LEFT(TRIM(MID(SUBSTITUTE(SUBSTITUTE(SUBSTITUTE(SUBSTITUTE(SUBSTITUTE(LOWER(Registro!$E817),"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",LEN(Registro!$E817))),({1,2,3,4,5,6,7,8,9,10,11,12,13,14,15,16,17,18,19,20,21,22,23,24,25,26,27,28,29,30}-1)*LEN(Registro!$E817)+1,LEN(Registro!$E817)))&amp;"x")-1))),"Revisar formato")))</f>
        <v/>
      </c>
      <c r="E817" s="11" t="str">
        <f>IF(Registro!$E817="","",IF(ISERROR(FIND("x",LOWER(Registro!$E817))),"-",IFERROR(SUMPRODUCT(--("0"&amp;LEFT(TRIM(MID(SUBSTITUTE(SUBSTITUTE(SUBSTITUTE(SUBSTITUTE(SUBSTITUTE(LOWER(Registro!$E817),"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",LEN(Registro!$E817))),({1,2,3,4,5,6,7,8,9,10,11,12,13,14,15,16,17,18,19,20,21,22,23,24,25,26,27,28,29,30}-1)*LEN(Registro!$E817)+1,LEN(Registro!$E817)))&amp;"x")-1)),--("0"&amp;MID(TRIM(MID(SUBSTITUTE(SUBSTITUTE(SUBSTITUTE(SUBSTITUTE(SUBSTITUTE(LOWER(Registro!$E817),"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",LEN(Registro!$E817))),({1,2,3,4,5,6,7,8,9,10,11,12,13,14,15,16,17,18,19,20,21,22,23,24,25,26,27,28,29,30}-1)*LEN(Registro!$E817)+1,LEN(Registro!$E817)))&amp;"x")+1,20))),"Revisar formato")))</f>
        <v/>
      </c>
      <c r="F817" s="11" t="str">
        <f>IF(Registro!$F817="","",N(Registro!$F817))</f>
        <v/>
      </c>
      <c r="G817" s="11" t="str">
        <f t="shared" si="37"/>
        <v/>
      </c>
      <c r="H817" s="10" t="str">
        <f>IF(Registro!$G817="","",IF(ISERROR(FIND("x",LOWER(Registro!$G817))),"-",IFERROR(SUMPRODUCT(--("0"&amp;LEFT(TRIM(MID(SUBSTITUTE(SUBSTITUTE(SUBSTITUTE(SUBSTITUTE(SUBSTITUTE(LOWER(Registro!$G817),"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",LEN(Registro!$G817))),({1,2,3,4,5,6,7,8,9,10,11,12,13,14,15,16,17,18,19,20,21,22,23,24,25,26,27,28,29,30}-1)*LEN(Registro!$G817)+1,LEN(Registro!$G817))),FIND("x",TRIM(MID(SUBSTITUTE(SUBSTITUTE(SUBSTITUTE(SUBSTITUTE(SUBSTITUTE(LOWER(Registro!$G817),"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",LEN(Registro!$G817))),({1,2,3,4,5,6,7,8,9,10,11,12,13,14,15,16,17,18,19,20,21,22,23,24,25,26,27,28,29,30}-1)*LEN(Registro!$G817)+1,LEN(Registro!$G817)))&amp;"x")-1))),"Revisar formato")))</f>
        <v/>
      </c>
      <c r="I817" s="11" t="str">
        <f>IF(Registro!$G817="","",IF(ISERROR(FIND("x",LOWER(Registro!$G817))),N(Registro!$H817),IFERROR(SUMPRODUCT(--("0"&amp;LEFT(TRIM(MID(SUBSTITUTE(SUBSTITUTE(SUBSTITUTE(SUBSTITUTE(SUBSTITUTE(LOWER(Registro!$G817),"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",LEN(Registro!$G817))),({1,2,3,4,5,6,7,8,9,10,11,12,13,14,15,16,17,18,19,20,21,22,23,24,25,26,27,28,29,30}-1)*LEN(Registro!$G817)+1,LEN(Registro!$G817))),FIND("x",TRIM(MID(SUBSTITUTE(SUBSTITUTE(SUBSTITUTE(SUBSTITUTE(SUBSTITUTE(LOWER(Registro!$G817),"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",LEN(Registro!$G817))),({1,2,3,4,5,6,7,8,9,10,11,12,13,14,15,16,17,18,19,20,21,22,23,24,25,26,27,28,29,30}-1)*LEN(Registro!$G817)+1,LEN(Registro!$G817)))&amp;"x")-1)),--("0"&amp;MID(TRIM(MID(SUBSTITUTE(SUBSTITUTE(SUBSTITUTE(SUBSTITUTE(SUBSTITUTE(LOWER(Registro!$G817),"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",LEN(Registro!$G817))),({1,2,3,4,5,6,7,8,9,10,11,12,13,14,15,16,17,18,19,20,21,22,23,24,25,26,27,28,29,30}-1)*LEN(Registro!$G817)+1,LEN(Registro!$G817))),FIND("x",TRIM(MID(SUBSTITUTE(SUBSTITUTE(SUBSTITUTE(SUBSTITUTE(SUBSTITUTE(LOWER(Registro!$G817),"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",LEN(Registro!$G817))),({1,2,3,4,5,6,7,8,9,10,11,12,13,14,15,16,17,18,19,20,21,22,23,24,25,26,27,28,29,30}-1)*LEN(Registro!$G817)+1,LEN(Registro!$G817)))&amp;"x")+1,20))),"Revisar formato")))</f>
        <v/>
      </c>
      <c r="J817" s="9" t="str">
        <f>IF(AND(Registro!$E817="",Registro!$G817=""),"",IF(NOT(AND(ISNUMBER(I817),ISNUMBER(Registro!$H817))),"",IF(I817&lt;Registro!$H817,"FALTA BOLETOS",IF(I817=Registro!$H817,"CONFORME","DIFERENCIA"))))</f>
        <v/>
      </c>
      <c r="K817" s="11" t="str">
        <f>IF(Registro!$I817="","",IFERROR(SUMPRODUCT(--("0"&amp;TRIM(RIGHT(SUBSTITUTE(TRIM(MID(SUBSTITUTE(SUBSTITUTE(Registro!$I817,";",CHAR(10)),CHAR(10),REPT(" ",LEN(Registro!$I817))),({1,2,3,4,5,6,7,8,9,10,11,12,13,14,15,16,17,18,19,20,21,22,23,24,25,26,27,28,29,30}-1)*LEN(Registro!$I817)+1,LEN(Registro!$I817)))," ",REPT(" ",50)),50)))),"Revisar formato"))</f>
        <v/>
      </c>
      <c r="L817" s="11" t="str">
        <f>IF(Registro!$J817="","",IFERROR(SUMPRODUCT(--("0"&amp;TRIM(RIGHT(SUBSTITUTE(TRIM(MID(SUBSTITUTE(SUBSTITUTE(Registro!$J817,";",CHAR(10)),CHAR(10),REPT(" ",LEN(Registro!$J817))),({1,2,3,4,5,6,7,8,9,10,11,12,13,14,15,16,17,18,19,20,21,22,23,24,25,26,27,28,29,30}-1)*LEN(Registro!$J817)+1,LEN(Registro!$J817)))," ",REPT(" ",50)),50)))),"Revisar formato"))</f>
        <v/>
      </c>
      <c r="M817" s="11" t="str">
        <f>IF(AND(Registro!$H817="",Registro!$I817=""),"",IF(AND(ISTEXT(K817),K817&lt;&gt;""),"Revisar formato",N(Registro!$H817)-N(K817)))</f>
        <v/>
      </c>
      <c r="N817" s="11" t="str">
        <f t="shared" si="38"/>
        <v/>
      </c>
      <c r="O817" s="15" t="str">
        <f>IF(AND(A817=Consulta!$B$3,C817=Consulta!$H$3),B817*10000+ROW(),"")</f>
        <v/>
      </c>
    </row>
    <row r="818" spans="1:15" x14ac:dyDescent="0.25">
      <c r="A818" s="9" t="str">
        <f>IF(Registro!$A818="","",Registro!$A818)</f>
        <v/>
      </c>
      <c r="B818" s="8" t="str">
        <f>IF(Registro!$B818="","",Registro!$B818)</f>
        <v/>
      </c>
      <c r="C818" s="14" t="str">
        <f t="shared" si="36"/>
        <v/>
      </c>
      <c r="D818" s="10" t="str">
        <f>IF(Registro!$E818="","",IF(ISERROR(FIND("x",LOWER(Registro!$E818))),"-",IFERROR(SUMPRODUCT(--("0"&amp;LEFT(TRIM(MID(SUBSTITUTE(SUBSTITUTE(SUBSTITUTE(SUBSTITUTE(SUBSTITUTE(LOWER(Registro!$E818),"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",LEN(Registro!$E818))),({1,2,3,4,5,6,7,8,9,10,11,12,13,14,15,16,17,18,19,20,21,22,23,24,25,26,27,28,29,30}-1)*LEN(Registro!$E818)+1,LEN(Registro!$E818)))&amp;"x")-1))),"Revisar formato")))</f>
        <v/>
      </c>
      <c r="E818" s="11" t="str">
        <f>IF(Registro!$E818="","",IF(ISERROR(FIND("x",LOWER(Registro!$E818))),"-",IFERROR(SUMPRODUCT(--("0"&amp;LEFT(TRIM(MID(SUBSTITUTE(SUBSTITUTE(SUBSTITUTE(SUBSTITUTE(SUBSTITUTE(LOWER(Registro!$E818),"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",LEN(Registro!$E818))),({1,2,3,4,5,6,7,8,9,10,11,12,13,14,15,16,17,18,19,20,21,22,23,24,25,26,27,28,29,30}-1)*LEN(Registro!$E818)+1,LEN(Registro!$E818)))&amp;"x")-1)),--("0"&amp;MID(TRIM(MID(SUBSTITUTE(SUBSTITUTE(SUBSTITUTE(SUBSTITUTE(SUBSTITUTE(LOWER(Registro!$E818),"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",LEN(Registro!$E818))),({1,2,3,4,5,6,7,8,9,10,11,12,13,14,15,16,17,18,19,20,21,22,23,24,25,26,27,28,29,30}-1)*LEN(Registro!$E818)+1,LEN(Registro!$E818)))&amp;"x")+1,20))),"Revisar formato")))</f>
        <v/>
      </c>
      <c r="F818" s="11" t="str">
        <f>IF(Registro!$F818="","",N(Registro!$F818))</f>
        <v/>
      </c>
      <c r="G818" s="11" t="str">
        <f t="shared" si="37"/>
        <v/>
      </c>
      <c r="H818" s="10" t="str">
        <f>IF(Registro!$G818="","",IF(ISERROR(FIND("x",LOWER(Registro!$G818))),"-",IFERROR(SUMPRODUCT(--("0"&amp;LEFT(TRIM(MID(SUBSTITUTE(SUBSTITUTE(SUBSTITUTE(SUBSTITUTE(SUBSTITUTE(LOWER(Registro!$G818),"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",LEN(Registro!$G818))),({1,2,3,4,5,6,7,8,9,10,11,12,13,14,15,16,17,18,19,20,21,22,23,24,25,26,27,28,29,30}-1)*LEN(Registro!$G818)+1,LEN(Registro!$G818))),FIND("x",TRIM(MID(SUBSTITUTE(SUBSTITUTE(SUBSTITUTE(SUBSTITUTE(SUBSTITUTE(LOWER(Registro!$G818),"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",LEN(Registro!$G818))),({1,2,3,4,5,6,7,8,9,10,11,12,13,14,15,16,17,18,19,20,21,22,23,24,25,26,27,28,29,30}-1)*LEN(Registro!$G818)+1,LEN(Registro!$G818)))&amp;"x")-1))),"Revisar formato")))</f>
        <v/>
      </c>
      <c r="I818" s="11" t="str">
        <f>IF(Registro!$G818="","",IF(ISERROR(FIND("x",LOWER(Registro!$G818))),N(Registro!$H818),IFERROR(SUMPRODUCT(--("0"&amp;LEFT(TRIM(MID(SUBSTITUTE(SUBSTITUTE(SUBSTITUTE(SUBSTITUTE(SUBSTITUTE(LOWER(Registro!$G818),"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",LEN(Registro!$G818))),({1,2,3,4,5,6,7,8,9,10,11,12,13,14,15,16,17,18,19,20,21,22,23,24,25,26,27,28,29,30}-1)*LEN(Registro!$G818)+1,LEN(Registro!$G818))),FIND("x",TRIM(MID(SUBSTITUTE(SUBSTITUTE(SUBSTITUTE(SUBSTITUTE(SUBSTITUTE(LOWER(Registro!$G818),"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",LEN(Registro!$G818))),({1,2,3,4,5,6,7,8,9,10,11,12,13,14,15,16,17,18,19,20,21,22,23,24,25,26,27,28,29,30}-1)*LEN(Registro!$G818)+1,LEN(Registro!$G818)))&amp;"x")-1)),--("0"&amp;MID(TRIM(MID(SUBSTITUTE(SUBSTITUTE(SUBSTITUTE(SUBSTITUTE(SUBSTITUTE(LOWER(Registro!$G818),"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",LEN(Registro!$G818))),({1,2,3,4,5,6,7,8,9,10,11,12,13,14,15,16,17,18,19,20,21,22,23,24,25,26,27,28,29,30}-1)*LEN(Registro!$G818)+1,LEN(Registro!$G818))),FIND("x",TRIM(MID(SUBSTITUTE(SUBSTITUTE(SUBSTITUTE(SUBSTITUTE(SUBSTITUTE(LOWER(Registro!$G818),"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",LEN(Registro!$G818))),({1,2,3,4,5,6,7,8,9,10,11,12,13,14,15,16,17,18,19,20,21,22,23,24,25,26,27,28,29,30}-1)*LEN(Registro!$G818)+1,LEN(Registro!$G818)))&amp;"x")+1,20))),"Revisar formato")))</f>
        <v/>
      </c>
      <c r="J818" s="9" t="str">
        <f>IF(AND(Registro!$E818="",Registro!$G818=""),"",IF(NOT(AND(ISNUMBER(I818),ISNUMBER(Registro!$H818))),"",IF(I818&lt;Registro!$H818,"FALTA BOLETOS",IF(I818=Registro!$H818,"CONFORME","DIFERENCIA"))))</f>
        <v/>
      </c>
      <c r="K818" s="11" t="str">
        <f>IF(Registro!$I818="","",IFERROR(SUMPRODUCT(--("0"&amp;TRIM(RIGHT(SUBSTITUTE(TRIM(MID(SUBSTITUTE(SUBSTITUTE(Registro!$I818,";",CHAR(10)),CHAR(10),REPT(" ",LEN(Registro!$I818))),({1,2,3,4,5,6,7,8,9,10,11,12,13,14,15,16,17,18,19,20,21,22,23,24,25,26,27,28,29,30}-1)*LEN(Registro!$I818)+1,LEN(Registro!$I818)))," ",REPT(" ",50)),50)))),"Revisar formato"))</f>
        <v/>
      </c>
      <c r="L818" s="11" t="str">
        <f>IF(Registro!$J818="","",IFERROR(SUMPRODUCT(--("0"&amp;TRIM(RIGHT(SUBSTITUTE(TRIM(MID(SUBSTITUTE(SUBSTITUTE(Registro!$J818,";",CHAR(10)),CHAR(10),REPT(" ",LEN(Registro!$J818))),({1,2,3,4,5,6,7,8,9,10,11,12,13,14,15,16,17,18,19,20,21,22,23,24,25,26,27,28,29,30}-1)*LEN(Registro!$J818)+1,LEN(Registro!$J818)))," ",REPT(" ",50)),50)))),"Revisar formato"))</f>
        <v/>
      </c>
      <c r="M818" s="11" t="str">
        <f>IF(AND(Registro!$H818="",Registro!$I818=""),"",IF(AND(ISTEXT(K818),K818&lt;&gt;""),"Revisar formato",N(Registro!$H818)-N(K818)))</f>
        <v/>
      </c>
      <c r="N818" s="11" t="str">
        <f t="shared" si="38"/>
        <v/>
      </c>
      <c r="O818" s="15" t="str">
        <f>IF(AND(A818=Consulta!$B$3,C818=Consulta!$H$3),B818*10000+ROW(),"")</f>
        <v/>
      </c>
    </row>
    <row r="819" spans="1:15" x14ac:dyDescent="0.25">
      <c r="A819" s="9" t="str">
        <f>IF(Registro!$A819="","",Registro!$A819)</f>
        <v/>
      </c>
      <c r="B819" s="8" t="str">
        <f>IF(Registro!$B819="","",Registro!$B819)</f>
        <v/>
      </c>
      <c r="C819" s="14" t="str">
        <f t="shared" si="36"/>
        <v/>
      </c>
      <c r="D819" s="10" t="str">
        <f>IF(Registro!$E819="","",IF(ISERROR(FIND("x",LOWER(Registro!$E819))),"-",IFERROR(SUMPRODUCT(--("0"&amp;LEFT(TRIM(MID(SUBSTITUTE(SUBSTITUTE(SUBSTITUTE(SUBSTITUTE(SUBSTITUTE(LOWER(Registro!$E819),"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",LEN(Registro!$E819))),({1,2,3,4,5,6,7,8,9,10,11,12,13,14,15,16,17,18,19,20,21,22,23,24,25,26,27,28,29,30}-1)*LEN(Registro!$E819)+1,LEN(Registro!$E819)))&amp;"x")-1))),"Revisar formato")))</f>
        <v/>
      </c>
      <c r="E819" s="11" t="str">
        <f>IF(Registro!$E819="","",IF(ISERROR(FIND("x",LOWER(Registro!$E819))),"-",IFERROR(SUMPRODUCT(--("0"&amp;LEFT(TRIM(MID(SUBSTITUTE(SUBSTITUTE(SUBSTITUTE(SUBSTITUTE(SUBSTITUTE(LOWER(Registro!$E819),"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",LEN(Registro!$E819))),({1,2,3,4,5,6,7,8,9,10,11,12,13,14,15,16,17,18,19,20,21,22,23,24,25,26,27,28,29,30}-1)*LEN(Registro!$E819)+1,LEN(Registro!$E819)))&amp;"x")-1)),--("0"&amp;MID(TRIM(MID(SUBSTITUTE(SUBSTITUTE(SUBSTITUTE(SUBSTITUTE(SUBSTITUTE(LOWER(Registro!$E819),"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",LEN(Registro!$E819))),({1,2,3,4,5,6,7,8,9,10,11,12,13,14,15,16,17,18,19,20,21,22,23,24,25,26,27,28,29,30}-1)*LEN(Registro!$E819)+1,LEN(Registro!$E819)))&amp;"x")+1,20))),"Revisar formato")))</f>
        <v/>
      </c>
      <c r="F819" s="11" t="str">
        <f>IF(Registro!$F819="","",N(Registro!$F819))</f>
        <v/>
      </c>
      <c r="G819" s="11" t="str">
        <f t="shared" si="37"/>
        <v/>
      </c>
      <c r="H819" s="10" t="str">
        <f>IF(Registro!$G819="","",IF(ISERROR(FIND("x",LOWER(Registro!$G819))),"-",IFERROR(SUMPRODUCT(--("0"&amp;LEFT(TRIM(MID(SUBSTITUTE(SUBSTITUTE(SUBSTITUTE(SUBSTITUTE(SUBSTITUTE(LOWER(Registro!$G819),"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",LEN(Registro!$G819))),({1,2,3,4,5,6,7,8,9,10,11,12,13,14,15,16,17,18,19,20,21,22,23,24,25,26,27,28,29,30}-1)*LEN(Registro!$G819)+1,LEN(Registro!$G819))),FIND("x",TRIM(MID(SUBSTITUTE(SUBSTITUTE(SUBSTITUTE(SUBSTITUTE(SUBSTITUTE(LOWER(Registro!$G819),"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",LEN(Registro!$G819))),({1,2,3,4,5,6,7,8,9,10,11,12,13,14,15,16,17,18,19,20,21,22,23,24,25,26,27,28,29,30}-1)*LEN(Registro!$G819)+1,LEN(Registro!$G819)))&amp;"x")-1))),"Revisar formato")))</f>
        <v/>
      </c>
      <c r="I819" s="11" t="str">
        <f>IF(Registro!$G819="","",IF(ISERROR(FIND("x",LOWER(Registro!$G819))),N(Registro!$H819),IFERROR(SUMPRODUCT(--("0"&amp;LEFT(TRIM(MID(SUBSTITUTE(SUBSTITUTE(SUBSTITUTE(SUBSTITUTE(SUBSTITUTE(LOWER(Registro!$G819),"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",LEN(Registro!$G819))),({1,2,3,4,5,6,7,8,9,10,11,12,13,14,15,16,17,18,19,20,21,22,23,24,25,26,27,28,29,30}-1)*LEN(Registro!$G819)+1,LEN(Registro!$G819))),FIND("x",TRIM(MID(SUBSTITUTE(SUBSTITUTE(SUBSTITUTE(SUBSTITUTE(SUBSTITUTE(LOWER(Registro!$G819),"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",LEN(Registro!$G819))),({1,2,3,4,5,6,7,8,9,10,11,12,13,14,15,16,17,18,19,20,21,22,23,24,25,26,27,28,29,30}-1)*LEN(Registro!$G819)+1,LEN(Registro!$G819)))&amp;"x")-1)),--("0"&amp;MID(TRIM(MID(SUBSTITUTE(SUBSTITUTE(SUBSTITUTE(SUBSTITUTE(SUBSTITUTE(LOWER(Registro!$G819),"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",LEN(Registro!$G819))),({1,2,3,4,5,6,7,8,9,10,11,12,13,14,15,16,17,18,19,20,21,22,23,24,25,26,27,28,29,30}-1)*LEN(Registro!$G819)+1,LEN(Registro!$G819))),FIND("x",TRIM(MID(SUBSTITUTE(SUBSTITUTE(SUBSTITUTE(SUBSTITUTE(SUBSTITUTE(LOWER(Registro!$G819),"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",LEN(Registro!$G819))),({1,2,3,4,5,6,7,8,9,10,11,12,13,14,15,16,17,18,19,20,21,22,23,24,25,26,27,28,29,30}-1)*LEN(Registro!$G819)+1,LEN(Registro!$G819)))&amp;"x")+1,20))),"Revisar formato")))</f>
        <v/>
      </c>
      <c r="J819" s="9" t="str">
        <f>IF(AND(Registro!$E819="",Registro!$G819=""),"",IF(NOT(AND(ISNUMBER(I819),ISNUMBER(Registro!$H819))),"",IF(I819&lt;Registro!$H819,"FALTA BOLETOS",IF(I819=Registro!$H819,"CONFORME","DIFERENCIA"))))</f>
        <v/>
      </c>
      <c r="K819" s="11" t="str">
        <f>IF(Registro!$I819="","",IFERROR(SUMPRODUCT(--("0"&amp;TRIM(RIGHT(SUBSTITUTE(TRIM(MID(SUBSTITUTE(SUBSTITUTE(Registro!$I819,";",CHAR(10)),CHAR(10),REPT(" ",LEN(Registro!$I819))),({1,2,3,4,5,6,7,8,9,10,11,12,13,14,15,16,17,18,19,20,21,22,23,24,25,26,27,28,29,30}-1)*LEN(Registro!$I819)+1,LEN(Registro!$I819)))," ",REPT(" ",50)),50)))),"Revisar formato"))</f>
        <v/>
      </c>
      <c r="L819" s="11" t="str">
        <f>IF(Registro!$J819="","",IFERROR(SUMPRODUCT(--("0"&amp;TRIM(RIGHT(SUBSTITUTE(TRIM(MID(SUBSTITUTE(SUBSTITUTE(Registro!$J819,";",CHAR(10)),CHAR(10),REPT(" ",LEN(Registro!$J819))),({1,2,3,4,5,6,7,8,9,10,11,12,13,14,15,16,17,18,19,20,21,22,23,24,25,26,27,28,29,30}-1)*LEN(Registro!$J819)+1,LEN(Registro!$J819)))," ",REPT(" ",50)),50)))),"Revisar formato"))</f>
        <v/>
      </c>
      <c r="M819" s="11" t="str">
        <f>IF(AND(Registro!$H819="",Registro!$I819=""),"",IF(AND(ISTEXT(K819),K819&lt;&gt;""),"Revisar formato",N(Registro!$H819)-N(K819)))</f>
        <v/>
      </c>
      <c r="N819" s="11" t="str">
        <f t="shared" si="38"/>
        <v/>
      </c>
      <c r="O819" s="15" t="str">
        <f>IF(AND(A819=Consulta!$B$3,C819=Consulta!$H$3),B819*10000+ROW(),"")</f>
        <v/>
      </c>
    </row>
    <row r="820" spans="1:15" x14ac:dyDescent="0.25">
      <c r="A820" s="9" t="str">
        <f>IF(Registro!$A820="","",Registro!$A820)</f>
        <v/>
      </c>
      <c r="B820" s="8" t="str">
        <f>IF(Registro!$B820="","",Registro!$B820)</f>
        <v/>
      </c>
      <c r="C820" s="14" t="str">
        <f t="shared" si="36"/>
        <v/>
      </c>
      <c r="D820" s="10" t="str">
        <f>IF(Registro!$E820="","",IF(ISERROR(FIND("x",LOWER(Registro!$E820))),"-",IFERROR(SUMPRODUCT(--("0"&amp;LEFT(TRIM(MID(SUBSTITUTE(SUBSTITUTE(SUBSTITUTE(SUBSTITUTE(SUBSTITUTE(LOWER(Registro!$E820),"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",LEN(Registro!$E820))),({1,2,3,4,5,6,7,8,9,10,11,12,13,14,15,16,17,18,19,20,21,22,23,24,25,26,27,28,29,30}-1)*LEN(Registro!$E820)+1,LEN(Registro!$E820)))&amp;"x")-1))),"Revisar formato")))</f>
        <v/>
      </c>
      <c r="E820" s="11" t="str">
        <f>IF(Registro!$E820="","",IF(ISERROR(FIND("x",LOWER(Registro!$E820))),"-",IFERROR(SUMPRODUCT(--("0"&amp;LEFT(TRIM(MID(SUBSTITUTE(SUBSTITUTE(SUBSTITUTE(SUBSTITUTE(SUBSTITUTE(LOWER(Registro!$E820),"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",LEN(Registro!$E820))),({1,2,3,4,5,6,7,8,9,10,11,12,13,14,15,16,17,18,19,20,21,22,23,24,25,26,27,28,29,30}-1)*LEN(Registro!$E820)+1,LEN(Registro!$E820)))&amp;"x")-1)),--("0"&amp;MID(TRIM(MID(SUBSTITUTE(SUBSTITUTE(SUBSTITUTE(SUBSTITUTE(SUBSTITUTE(LOWER(Registro!$E820),"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",LEN(Registro!$E820))),({1,2,3,4,5,6,7,8,9,10,11,12,13,14,15,16,17,18,19,20,21,22,23,24,25,26,27,28,29,30}-1)*LEN(Registro!$E820)+1,LEN(Registro!$E820)))&amp;"x")+1,20))),"Revisar formato")))</f>
        <v/>
      </c>
      <c r="F820" s="11" t="str">
        <f>IF(Registro!$F820="","",N(Registro!$F820))</f>
        <v/>
      </c>
      <c r="G820" s="11" t="str">
        <f t="shared" si="37"/>
        <v/>
      </c>
      <c r="H820" s="10" t="str">
        <f>IF(Registro!$G820="","",IF(ISERROR(FIND("x",LOWER(Registro!$G820))),"-",IFERROR(SUMPRODUCT(--("0"&amp;LEFT(TRIM(MID(SUBSTITUTE(SUBSTITUTE(SUBSTITUTE(SUBSTITUTE(SUBSTITUTE(LOWER(Registro!$G820),"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",LEN(Registro!$G820))),({1,2,3,4,5,6,7,8,9,10,11,12,13,14,15,16,17,18,19,20,21,22,23,24,25,26,27,28,29,30}-1)*LEN(Registro!$G820)+1,LEN(Registro!$G820))),FIND("x",TRIM(MID(SUBSTITUTE(SUBSTITUTE(SUBSTITUTE(SUBSTITUTE(SUBSTITUTE(LOWER(Registro!$G820),"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",LEN(Registro!$G820))),({1,2,3,4,5,6,7,8,9,10,11,12,13,14,15,16,17,18,19,20,21,22,23,24,25,26,27,28,29,30}-1)*LEN(Registro!$G820)+1,LEN(Registro!$G820)))&amp;"x")-1))),"Revisar formato")))</f>
        <v/>
      </c>
      <c r="I820" s="11" t="str">
        <f>IF(Registro!$G820="","",IF(ISERROR(FIND("x",LOWER(Registro!$G820))),N(Registro!$H820),IFERROR(SUMPRODUCT(--("0"&amp;LEFT(TRIM(MID(SUBSTITUTE(SUBSTITUTE(SUBSTITUTE(SUBSTITUTE(SUBSTITUTE(LOWER(Registro!$G820),"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",LEN(Registro!$G820))),({1,2,3,4,5,6,7,8,9,10,11,12,13,14,15,16,17,18,19,20,21,22,23,24,25,26,27,28,29,30}-1)*LEN(Registro!$G820)+1,LEN(Registro!$G820))),FIND("x",TRIM(MID(SUBSTITUTE(SUBSTITUTE(SUBSTITUTE(SUBSTITUTE(SUBSTITUTE(LOWER(Registro!$G820),"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",LEN(Registro!$G820))),({1,2,3,4,5,6,7,8,9,10,11,12,13,14,15,16,17,18,19,20,21,22,23,24,25,26,27,28,29,30}-1)*LEN(Registro!$G820)+1,LEN(Registro!$G820)))&amp;"x")-1)),--("0"&amp;MID(TRIM(MID(SUBSTITUTE(SUBSTITUTE(SUBSTITUTE(SUBSTITUTE(SUBSTITUTE(LOWER(Registro!$G820),"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",LEN(Registro!$G820))),({1,2,3,4,5,6,7,8,9,10,11,12,13,14,15,16,17,18,19,20,21,22,23,24,25,26,27,28,29,30}-1)*LEN(Registro!$G820)+1,LEN(Registro!$G820))),FIND("x",TRIM(MID(SUBSTITUTE(SUBSTITUTE(SUBSTITUTE(SUBSTITUTE(SUBSTITUTE(LOWER(Registro!$G820),"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",LEN(Registro!$G820))),({1,2,3,4,5,6,7,8,9,10,11,12,13,14,15,16,17,18,19,20,21,22,23,24,25,26,27,28,29,30}-1)*LEN(Registro!$G820)+1,LEN(Registro!$G820)))&amp;"x")+1,20))),"Revisar formato")))</f>
        <v/>
      </c>
      <c r="J820" s="9" t="str">
        <f>IF(AND(Registro!$E820="",Registro!$G820=""),"",IF(NOT(AND(ISNUMBER(I820),ISNUMBER(Registro!$H820))),"",IF(I820&lt;Registro!$H820,"FALTA BOLETOS",IF(I820=Registro!$H820,"CONFORME","DIFERENCIA"))))</f>
        <v/>
      </c>
      <c r="K820" s="11" t="str">
        <f>IF(Registro!$I820="","",IFERROR(SUMPRODUCT(--("0"&amp;TRIM(RIGHT(SUBSTITUTE(TRIM(MID(SUBSTITUTE(SUBSTITUTE(Registro!$I820,";",CHAR(10)),CHAR(10),REPT(" ",LEN(Registro!$I820))),({1,2,3,4,5,6,7,8,9,10,11,12,13,14,15,16,17,18,19,20,21,22,23,24,25,26,27,28,29,30}-1)*LEN(Registro!$I820)+1,LEN(Registro!$I820)))," ",REPT(" ",50)),50)))),"Revisar formato"))</f>
        <v/>
      </c>
      <c r="L820" s="11" t="str">
        <f>IF(Registro!$J820="","",IFERROR(SUMPRODUCT(--("0"&amp;TRIM(RIGHT(SUBSTITUTE(TRIM(MID(SUBSTITUTE(SUBSTITUTE(Registro!$J820,";",CHAR(10)),CHAR(10),REPT(" ",LEN(Registro!$J820))),({1,2,3,4,5,6,7,8,9,10,11,12,13,14,15,16,17,18,19,20,21,22,23,24,25,26,27,28,29,30}-1)*LEN(Registro!$J820)+1,LEN(Registro!$J820)))," ",REPT(" ",50)),50)))),"Revisar formato"))</f>
        <v/>
      </c>
      <c r="M820" s="11" t="str">
        <f>IF(AND(Registro!$H820="",Registro!$I820=""),"",IF(AND(ISTEXT(K820),K820&lt;&gt;""),"Revisar formato",N(Registro!$H820)-N(K820)))</f>
        <v/>
      </c>
      <c r="N820" s="11" t="str">
        <f t="shared" si="38"/>
        <v/>
      </c>
      <c r="O820" s="15" t="str">
        <f>IF(AND(A820=Consulta!$B$3,C820=Consulta!$H$3),B820*10000+ROW(),"")</f>
        <v/>
      </c>
    </row>
    <row r="821" spans="1:15" x14ac:dyDescent="0.25">
      <c r="A821" s="9" t="str">
        <f>IF(Registro!$A821="","",Registro!$A821)</f>
        <v/>
      </c>
      <c r="B821" s="8" t="str">
        <f>IF(Registro!$B821="","",Registro!$B821)</f>
        <v/>
      </c>
      <c r="C821" s="14" t="str">
        <f t="shared" si="36"/>
        <v/>
      </c>
      <c r="D821" s="10" t="str">
        <f>IF(Registro!$E821="","",IF(ISERROR(FIND("x",LOWER(Registro!$E821))),"-",IFERROR(SUMPRODUCT(--("0"&amp;LEFT(TRIM(MID(SUBSTITUTE(SUBSTITUTE(SUBSTITUTE(SUBSTITUTE(SUBSTITUTE(LOWER(Registro!$E821),"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",LEN(Registro!$E821))),({1,2,3,4,5,6,7,8,9,10,11,12,13,14,15,16,17,18,19,20,21,22,23,24,25,26,27,28,29,30}-1)*LEN(Registro!$E821)+1,LEN(Registro!$E821)))&amp;"x")-1))),"Revisar formato")))</f>
        <v/>
      </c>
      <c r="E821" s="11" t="str">
        <f>IF(Registro!$E821="","",IF(ISERROR(FIND("x",LOWER(Registro!$E821))),"-",IFERROR(SUMPRODUCT(--("0"&amp;LEFT(TRIM(MID(SUBSTITUTE(SUBSTITUTE(SUBSTITUTE(SUBSTITUTE(SUBSTITUTE(LOWER(Registro!$E821),"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",LEN(Registro!$E821))),({1,2,3,4,5,6,7,8,9,10,11,12,13,14,15,16,17,18,19,20,21,22,23,24,25,26,27,28,29,30}-1)*LEN(Registro!$E821)+1,LEN(Registro!$E821)))&amp;"x")-1)),--("0"&amp;MID(TRIM(MID(SUBSTITUTE(SUBSTITUTE(SUBSTITUTE(SUBSTITUTE(SUBSTITUTE(LOWER(Registro!$E821),"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",LEN(Registro!$E821))),({1,2,3,4,5,6,7,8,9,10,11,12,13,14,15,16,17,18,19,20,21,22,23,24,25,26,27,28,29,30}-1)*LEN(Registro!$E821)+1,LEN(Registro!$E821)))&amp;"x")+1,20))),"Revisar formato")))</f>
        <v/>
      </c>
      <c r="F821" s="11" t="str">
        <f>IF(Registro!$F821="","",N(Registro!$F821))</f>
        <v/>
      </c>
      <c r="G821" s="11" t="str">
        <f t="shared" si="37"/>
        <v/>
      </c>
      <c r="H821" s="10" t="str">
        <f>IF(Registro!$G821="","",IF(ISERROR(FIND("x",LOWER(Registro!$G821))),"-",IFERROR(SUMPRODUCT(--("0"&amp;LEFT(TRIM(MID(SUBSTITUTE(SUBSTITUTE(SUBSTITUTE(SUBSTITUTE(SUBSTITUTE(LOWER(Registro!$G821),"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",LEN(Registro!$G821))),({1,2,3,4,5,6,7,8,9,10,11,12,13,14,15,16,17,18,19,20,21,22,23,24,25,26,27,28,29,30}-1)*LEN(Registro!$G821)+1,LEN(Registro!$G821))),FIND("x",TRIM(MID(SUBSTITUTE(SUBSTITUTE(SUBSTITUTE(SUBSTITUTE(SUBSTITUTE(LOWER(Registro!$G821),"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",LEN(Registro!$G821))),({1,2,3,4,5,6,7,8,9,10,11,12,13,14,15,16,17,18,19,20,21,22,23,24,25,26,27,28,29,30}-1)*LEN(Registro!$G821)+1,LEN(Registro!$G821)))&amp;"x")-1))),"Revisar formato")))</f>
        <v/>
      </c>
      <c r="I821" s="11" t="str">
        <f>IF(Registro!$G821="","",IF(ISERROR(FIND("x",LOWER(Registro!$G821))),N(Registro!$H821),IFERROR(SUMPRODUCT(--("0"&amp;LEFT(TRIM(MID(SUBSTITUTE(SUBSTITUTE(SUBSTITUTE(SUBSTITUTE(SUBSTITUTE(LOWER(Registro!$G821),"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",LEN(Registro!$G821))),({1,2,3,4,5,6,7,8,9,10,11,12,13,14,15,16,17,18,19,20,21,22,23,24,25,26,27,28,29,30}-1)*LEN(Registro!$G821)+1,LEN(Registro!$G821))),FIND("x",TRIM(MID(SUBSTITUTE(SUBSTITUTE(SUBSTITUTE(SUBSTITUTE(SUBSTITUTE(LOWER(Registro!$G821),"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",LEN(Registro!$G821))),({1,2,3,4,5,6,7,8,9,10,11,12,13,14,15,16,17,18,19,20,21,22,23,24,25,26,27,28,29,30}-1)*LEN(Registro!$G821)+1,LEN(Registro!$G821)))&amp;"x")-1)),--("0"&amp;MID(TRIM(MID(SUBSTITUTE(SUBSTITUTE(SUBSTITUTE(SUBSTITUTE(SUBSTITUTE(LOWER(Registro!$G821),"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",LEN(Registro!$G821))),({1,2,3,4,5,6,7,8,9,10,11,12,13,14,15,16,17,18,19,20,21,22,23,24,25,26,27,28,29,30}-1)*LEN(Registro!$G821)+1,LEN(Registro!$G821))),FIND("x",TRIM(MID(SUBSTITUTE(SUBSTITUTE(SUBSTITUTE(SUBSTITUTE(SUBSTITUTE(LOWER(Registro!$G821),"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",LEN(Registro!$G821))),({1,2,3,4,5,6,7,8,9,10,11,12,13,14,15,16,17,18,19,20,21,22,23,24,25,26,27,28,29,30}-1)*LEN(Registro!$G821)+1,LEN(Registro!$G821)))&amp;"x")+1,20))),"Revisar formato")))</f>
        <v/>
      </c>
      <c r="J821" s="9" t="str">
        <f>IF(AND(Registro!$E821="",Registro!$G821=""),"",IF(NOT(AND(ISNUMBER(I821),ISNUMBER(Registro!$H821))),"",IF(I821&lt;Registro!$H821,"FALTA BOLETOS",IF(I821=Registro!$H821,"CONFORME","DIFERENCIA"))))</f>
        <v/>
      </c>
      <c r="K821" s="11" t="str">
        <f>IF(Registro!$I821="","",IFERROR(SUMPRODUCT(--("0"&amp;TRIM(RIGHT(SUBSTITUTE(TRIM(MID(SUBSTITUTE(SUBSTITUTE(Registro!$I821,";",CHAR(10)),CHAR(10),REPT(" ",LEN(Registro!$I821))),({1,2,3,4,5,6,7,8,9,10,11,12,13,14,15,16,17,18,19,20,21,22,23,24,25,26,27,28,29,30}-1)*LEN(Registro!$I821)+1,LEN(Registro!$I821)))," ",REPT(" ",50)),50)))),"Revisar formato"))</f>
        <v/>
      </c>
      <c r="L821" s="11" t="str">
        <f>IF(Registro!$J821="","",IFERROR(SUMPRODUCT(--("0"&amp;TRIM(RIGHT(SUBSTITUTE(TRIM(MID(SUBSTITUTE(SUBSTITUTE(Registro!$J821,";",CHAR(10)),CHAR(10),REPT(" ",LEN(Registro!$J821))),({1,2,3,4,5,6,7,8,9,10,11,12,13,14,15,16,17,18,19,20,21,22,23,24,25,26,27,28,29,30}-1)*LEN(Registro!$J821)+1,LEN(Registro!$J821)))," ",REPT(" ",50)),50)))),"Revisar formato"))</f>
        <v/>
      </c>
      <c r="M821" s="11" t="str">
        <f>IF(AND(Registro!$H821="",Registro!$I821=""),"",IF(AND(ISTEXT(K821),K821&lt;&gt;""),"Revisar formato",N(Registro!$H821)-N(K821)))</f>
        <v/>
      </c>
      <c r="N821" s="11" t="str">
        <f t="shared" si="38"/>
        <v/>
      </c>
      <c r="O821" s="15" t="str">
        <f>IF(AND(A821=Consulta!$B$3,C821=Consulta!$H$3),B821*10000+ROW(),"")</f>
        <v/>
      </c>
    </row>
    <row r="822" spans="1:15" x14ac:dyDescent="0.25">
      <c r="A822" s="9" t="str">
        <f>IF(Registro!$A822="","",Registro!$A822)</f>
        <v/>
      </c>
      <c r="B822" s="8" t="str">
        <f>IF(Registro!$B822="","",Registro!$B822)</f>
        <v/>
      </c>
      <c r="C822" s="14" t="str">
        <f t="shared" si="36"/>
        <v/>
      </c>
      <c r="D822" s="10" t="str">
        <f>IF(Registro!$E822="","",IF(ISERROR(FIND("x",LOWER(Registro!$E822))),"-",IFERROR(SUMPRODUCT(--("0"&amp;LEFT(TRIM(MID(SUBSTITUTE(SUBSTITUTE(SUBSTITUTE(SUBSTITUTE(SUBSTITUTE(LOWER(Registro!$E822),"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",LEN(Registro!$E822))),({1,2,3,4,5,6,7,8,9,10,11,12,13,14,15,16,17,18,19,20,21,22,23,24,25,26,27,28,29,30}-1)*LEN(Registro!$E822)+1,LEN(Registro!$E822)))&amp;"x")-1))),"Revisar formato")))</f>
        <v/>
      </c>
      <c r="E822" s="11" t="str">
        <f>IF(Registro!$E822="","",IF(ISERROR(FIND("x",LOWER(Registro!$E822))),"-",IFERROR(SUMPRODUCT(--("0"&amp;LEFT(TRIM(MID(SUBSTITUTE(SUBSTITUTE(SUBSTITUTE(SUBSTITUTE(SUBSTITUTE(LOWER(Registro!$E822),"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",LEN(Registro!$E822))),({1,2,3,4,5,6,7,8,9,10,11,12,13,14,15,16,17,18,19,20,21,22,23,24,25,26,27,28,29,30}-1)*LEN(Registro!$E822)+1,LEN(Registro!$E822)))&amp;"x")-1)),--("0"&amp;MID(TRIM(MID(SUBSTITUTE(SUBSTITUTE(SUBSTITUTE(SUBSTITUTE(SUBSTITUTE(LOWER(Registro!$E822),"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",LEN(Registro!$E822))),({1,2,3,4,5,6,7,8,9,10,11,12,13,14,15,16,17,18,19,20,21,22,23,24,25,26,27,28,29,30}-1)*LEN(Registro!$E822)+1,LEN(Registro!$E822)))&amp;"x")+1,20))),"Revisar formato")))</f>
        <v/>
      </c>
      <c r="F822" s="11" t="str">
        <f>IF(Registro!$F822="","",N(Registro!$F822))</f>
        <v/>
      </c>
      <c r="G822" s="11" t="str">
        <f t="shared" si="37"/>
        <v/>
      </c>
      <c r="H822" s="10" t="str">
        <f>IF(Registro!$G822="","",IF(ISERROR(FIND("x",LOWER(Registro!$G822))),"-",IFERROR(SUMPRODUCT(--("0"&amp;LEFT(TRIM(MID(SUBSTITUTE(SUBSTITUTE(SUBSTITUTE(SUBSTITUTE(SUBSTITUTE(LOWER(Registro!$G822),"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",LEN(Registro!$G822))),({1,2,3,4,5,6,7,8,9,10,11,12,13,14,15,16,17,18,19,20,21,22,23,24,25,26,27,28,29,30}-1)*LEN(Registro!$G822)+1,LEN(Registro!$G822))),FIND("x",TRIM(MID(SUBSTITUTE(SUBSTITUTE(SUBSTITUTE(SUBSTITUTE(SUBSTITUTE(LOWER(Registro!$G822),"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",LEN(Registro!$G822))),({1,2,3,4,5,6,7,8,9,10,11,12,13,14,15,16,17,18,19,20,21,22,23,24,25,26,27,28,29,30}-1)*LEN(Registro!$G822)+1,LEN(Registro!$G822)))&amp;"x")-1))),"Revisar formato")))</f>
        <v/>
      </c>
      <c r="I822" s="11" t="str">
        <f>IF(Registro!$G822="","",IF(ISERROR(FIND("x",LOWER(Registro!$G822))),N(Registro!$H822),IFERROR(SUMPRODUCT(--("0"&amp;LEFT(TRIM(MID(SUBSTITUTE(SUBSTITUTE(SUBSTITUTE(SUBSTITUTE(SUBSTITUTE(LOWER(Registro!$G822),"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",LEN(Registro!$G822))),({1,2,3,4,5,6,7,8,9,10,11,12,13,14,15,16,17,18,19,20,21,22,23,24,25,26,27,28,29,30}-1)*LEN(Registro!$G822)+1,LEN(Registro!$G822))),FIND("x",TRIM(MID(SUBSTITUTE(SUBSTITUTE(SUBSTITUTE(SUBSTITUTE(SUBSTITUTE(LOWER(Registro!$G822),"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",LEN(Registro!$G822))),({1,2,3,4,5,6,7,8,9,10,11,12,13,14,15,16,17,18,19,20,21,22,23,24,25,26,27,28,29,30}-1)*LEN(Registro!$G822)+1,LEN(Registro!$G822)))&amp;"x")-1)),--("0"&amp;MID(TRIM(MID(SUBSTITUTE(SUBSTITUTE(SUBSTITUTE(SUBSTITUTE(SUBSTITUTE(LOWER(Registro!$G822),"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",LEN(Registro!$G822))),({1,2,3,4,5,6,7,8,9,10,11,12,13,14,15,16,17,18,19,20,21,22,23,24,25,26,27,28,29,30}-1)*LEN(Registro!$G822)+1,LEN(Registro!$G822))),FIND("x",TRIM(MID(SUBSTITUTE(SUBSTITUTE(SUBSTITUTE(SUBSTITUTE(SUBSTITUTE(LOWER(Registro!$G822),"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",LEN(Registro!$G822))),({1,2,3,4,5,6,7,8,9,10,11,12,13,14,15,16,17,18,19,20,21,22,23,24,25,26,27,28,29,30}-1)*LEN(Registro!$G822)+1,LEN(Registro!$G822)))&amp;"x")+1,20))),"Revisar formato")))</f>
        <v/>
      </c>
      <c r="J822" s="9" t="str">
        <f>IF(AND(Registro!$E822="",Registro!$G822=""),"",IF(NOT(AND(ISNUMBER(I822),ISNUMBER(Registro!$H822))),"",IF(I822&lt;Registro!$H822,"FALTA BOLETOS",IF(I822=Registro!$H822,"CONFORME","DIFERENCIA"))))</f>
        <v/>
      </c>
      <c r="K822" s="11" t="str">
        <f>IF(Registro!$I822="","",IFERROR(SUMPRODUCT(--("0"&amp;TRIM(RIGHT(SUBSTITUTE(TRIM(MID(SUBSTITUTE(SUBSTITUTE(Registro!$I822,";",CHAR(10)),CHAR(10),REPT(" ",LEN(Registro!$I822))),({1,2,3,4,5,6,7,8,9,10,11,12,13,14,15,16,17,18,19,20,21,22,23,24,25,26,27,28,29,30}-1)*LEN(Registro!$I822)+1,LEN(Registro!$I822)))," ",REPT(" ",50)),50)))),"Revisar formato"))</f>
        <v/>
      </c>
      <c r="L822" s="11" t="str">
        <f>IF(Registro!$J822="","",IFERROR(SUMPRODUCT(--("0"&amp;TRIM(RIGHT(SUBSTITUTE(TRIM(MID(SUBSTITUTE(SUBSTITUTE(Registro!$J822,";",CHAR(10)),CHAR(10),REPT(" ",LEN(Registro!$J822))),({1,2,3,4,5,6,7,8,9,10,11,12,13,14,15,16,17,18,19,20,21,22,23,24,25,26,27,28,29,30}-1)*LEN(Registro!$J822)+1,LEN(Registro!$J822)))," ",REPT(" ",50)),50)))),"Revisar formato"))</f>
        <v/>
      </c>
      <c r="M822" s="11" t="str">
        <f>IF(AND(Registro!$H822="",Registro!$I822=""),"",IF(AND(ISTEXT(K822),K822&lt;&gt;""),"Revisar formato",N(Registro!$H822)-N(K822)))</f>
        <v/>
      </c>
      <c r="N822" s="11" t="str">
        <f t="shared" si="38"/>
        <v/>
      </c>
      <c r="O822" s="15" t="str">
        <f>IF(AND(A822=Consulta!$B$3,C822=Consulta!$H$3),B822*10000+ROW(),"")</f>
        <v/>
      </c>
    </row>
    <row r="823" spans="1:15" x14ac:dyDescent="0.25">
      <c r="A823" s="9" t="str">
        <f>IF(Registro!$A823="","",Registro!$A823)</f>
        <v/>
      </c>
      <c r="B823" s="8" t="str">
        <f>IF(Registro!$B823="","",Registro!$B823)</f>
        <v/>
      </c>
      <c r="C823" s="14" t="str">
        <f t="shared" si="36"/>
        <v/>
      </c>
      <c r="D823" s="10" t="str">
        <f>IF(Registro!$E823="","",IF(ISERROR(FIND("x",LOWER(Registro!$E823))),"-",IFERROR(SUMPRODUCT(--("0"&amp;LEFT(TRIM(MID(SUBSTITUTE(SUBSTITUTE(SUBSTITUTE(SUBSTITUTE(SUBSTITUTE(LOWER(Registro!$E823),"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",LEN(Registro!$E823))),({1,2,3,4,5,6,7,8,9,10,11,12,13,14,15,16,17,18,19,20,21,22,23,24,25,26,27,28,29,30}-1)*LEN(Registro!$E823)+1,LEN(Registro!$E823)))&amp;"x")-1))),"Revisar formato")))</f>
        <v/>
      </c>
      <c r="E823" s="11" t="str">
        <f>IF(Registro!$E823="","",IF(ISERROR(FIND("x",LOWER(Registro!$E823))),"-",IFERROR(SUMPRODUCT(--("0"&amp;LEFT(TRIM(MID(SUBSTITUTE(SUBSTITUTE(SUBSTITUTE(SUBSTITUTE(SUBSTITUTE(LOWER(Registro!$E823),"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",LEN(Registro!$E823))),({1,2,3,4,5,6,7,8,9,10,11,12,13,14,15,16,17,18,19,20,21,22,23,24,25,26,27,28,29,30}-1)*LEN(Registro!$E823)+1,LEN(Registro!$E823)))&amp;"x")-1)),--("0"&amp;MID(TRIM(MID(SUBSTITUTE(SUBSTITUTE(SUBSTITUTE(SUBSTITUTE(SUBSTITUTE(LOWER(Registro!$E823),"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",LEN(Registro!$E823))),({1,2,3,4,5,6,7,8,9,10,11,12,13,14,15,16,17,18,19,20,21,22,23,24,25,26,27,28,29,30}-1)*LEN(Registro!$E823)+1,LEN(Registro!$E823)))&amp;"x")+1,20))),"Revisar formato")))</f>
        <v/>
      </c>
      <c r="F823" s="11" t="str">
        <f>IF(Registro!$F823="","",N(Registro!$F823))</f>
        <v/>
      </c>
      <c r="G823" s="11" t="str">
        <f t="shared" si="37"/>
        <v/>
      </c>
      <c r="H823" s="10" t="str">
        <f>IF(Registro!$G823="","",IF(ISERROR(FIND("x",LOWER(Registro!$G823))),"-",IFERROR(SUMPRODUCT(--("0"&amp;LEFT(TRIM(MID(SUBSTITUTE(SUBSTITUTE(SUBSTITUTE(SUBSTITUTE(SUBSTITUTE(LOWER(Registro!$G823),"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",LEN(Registro!$G823))),({1,2,3,4,5,6,7,8,9,10,11,12,13,14,15,16,17,18,19,20,21,22,23,24,25,26,27,28,29,30}-1)*LEN(Registro!$G823)+1,LEN(Registro!$G823))),FIND("x",TRIM(MID(SUBSTITUTE(SUBSTITUTE(SUBSTITUTE(SUBSTITUTE(SUBSTITUTE(LOWER(Registro!$G823),"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",LEN(Registro!$G823))),({1,2,3,4,5,6,7,8,9,10,11,12,13,14,15,16,17,18,19,20,21,22,23,24,25,26,27,28,29,30}-1)*LEN(Registro!$G823)+1,LEN(Registro!$G823)))&amp;"x")-1))),"Revisar formato")))</f>
        <v/>
      </c>
      <c r="I823" s="11" t="str">
        <f>IF(Registro!$G823="","",IF(ISERROR(FIND("x",LOWER(Registro!$G823))),N(Registro!$H823),IFERROR(SUMPRODUCT(--("0"&amp;LEFT(TRIM(MID(SUBSTITUTE(SUBSTITUTE(SUBSTITUTE(SUBSTITUTE(SUBSTITUTE(LOWER(Registro!$G823),"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",LEN(Registro!$G823))),({1,2,3,4,5,6,7,8,9,10,11,12,13,14,15,16,17,18,19,20,21,22,23,24,25,26,27,28,29,30}-1)*LEN(Registro!$G823)+1,LEN(Registro!$G823))),FIND("x",TRIM(MID(SUBSTITUTE(SUBSTITUTE(SUBSTITUTE(SUBSTITUTE(SUBSTITUTE(LOWER(Registro!$G823),"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",LEN(Registro!$G823))),({1,2,3,4,5,6,7,8,9,10,11,12,13,14,15,16,17,18,19,20,21,22,23,24,25,26,27,28,29,30}-1)*LEN(Registro!$G823)+1,LEN(Registro!$G823)))&amp;"x")-1)),--("0"&amp;MID(TRIM(MID(SUBSTITUTE(SUBSTITUTE(SUBSTITUTE(SUBSTITUTE(SUBSTITUTE(LOWER(Registro!$G823),"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",LEN(Registro!$G823))),({1,2,3,4,5,6,7,8,9,10,11,12,13,14,15,16,17,18,19,20,21,22,23,24,25,26,27,28,29,30}-1)*LEN(Registro!$G823)+1,LEN(Registro!$G823))),FIND("x",TRIM(MID(SUBSTITUTE(SUBSTITUTE(SUBSTITUTE(SUBSTITUTE(SUBSTITUTE(LOWER(Registro!$G823),"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",LEN(Registro!$G823))),({1,2,3,4,5,6,7,8,9,10,11,12,13,14,15,16,17,18,19,20,21,22,23,24,25,26,27,28,29,30}-1)*LEN(Registro!$G823)+1,LEN(Registro!$G823)))&amp;"x")+1,20))),"Revisar formato")))</f>
        <v/>
      </c>
      <c r="J823" s="9" t="str">
        <f>IF(AND(Registro!$E823="",Registro!$G823=""),"",IF(NOT(AND(ISNUMBER(I823),ISNUMBER(Registro!$H823))),"",IF(I823&lt;Registro!$H823,"FALTA BOLETOS",IF(I823=Registro!$H823,"CONFORME","DIFERENCIA"))))</f>
        <v/>
      </c>
      <c r="K823" s="11" t="str">
        <f>IF(Registro!$I823="","",IFERROR(SUMPRODUCT(--("0"&amp;TRIM(RIGHT(SUBSTITUTE(TRIM(MID(SUBSTITUTE(SUBSTITUTE(Registro!$I823,";",CHAR(10)),CHAR(10),REPT(" ",LEN(Registro!$I823))),({1,2,3,4,5,6,7,8,9,10,11,12,13,14,15,16,17,18,19,20,21,22,23,24,25,26,27,28,29,30}-1)*LEN(Registro!$I823)+1,LEN(Registro!$I823)))," ",REPT(" ",50)),50)))),"Revisar formato"))</f>
        <v/>
      </c>
      <c r="L823" s="11" t="str">
        <f>IF(Registro!$J823="","",IFERROR(SUMPRODUCT(--("0"&amp;TRIM(RIGHT(SUBSTITUTE(TRIM(MID(SUBSTITUTE(SUBSTITUTE(Registro!$J823,";",CHAR(10)),CHAR(10),REPT(" ",LEN(Registro!$J823))),({1,2,3,4,5,6,7,8,9,10,11,12,13,14,15,16,17,18,19,20,21,22,23,24,25,26,27,28,29,30}-1)*LEN(Registro!$J823)+1,LEN(Registro!$J823)))," ",REPT(" ",50)),50)))),"Revisar formato"))</f>
        <v/>
      </c>
      <c r="M823" s="11" t="str">
        <f>IF(AND(Registro!$H823="",Registro!$I823=""),"",IF(AND(ISTEXT(K823),K823&lt;&gt;""),"Revisar formato",N(Registro!$H823)-N(K823)))</f>
        <v/>
      </c>
      <c r="N823" s="11" t="str">
        <f t="shared" si="38"/>
        <v/>
      </c>
      <c r="O823" s="15" t="str">
        <f>IF(AND(A823=Consulta!$B$3,C823=Consulta!$H$3),B823*10000+ROW(),"")</f>
        <v/>
      </c>
    </row>
    <row r="824" spans="1:15" x14ac:dyDescent="0.25">
      <c r="A824" s="9" t="str">
        <f>IF(Registro!$A824="","",Registro!$A824)</f>
        <v/>
      </c>
      <c r="B824" s="8" t="str">
        <f>IF(Registro!$B824="","",Registro!$B824)</f>
        <v/>
      </c>
      <c r="C824" s="14" t="str">
        <f t="shared" si="36"/>
        <v/>
      </c>
      <c r="D824" s="10" t="str">
        <f>IF(Registro!$E824="","",IF(ISERROR(FIND("x",LOWER(Registro!$E824))),"-",IFERROR(SUMPRODUCT(--("0"&amp;LEFT(TRIM(MID(SUBSTITUTE(SUBSTITUTE(SUBSTITUTE(SUBSTITUTE(SUBSTITUTE(LOWER(Registro!$E824),"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",LEN(Registro!$E824))),({1,2,3,4,5,6,7,8,9,10,11,12,13,14,15,16,17,18,19,20,21,22,23,24,25,26,27,28,29,30}-1)*LEN(Registro!$E824)+1,LEN(Registro!$E824)))&amp;"x")-1))),"Revisar formato")))</f>
        <v/>
      </c>
      <c r="E824" s="11" t="str">
        <f>IF(Registro!$E824="","",IF(ISERROR(FIND("x",LOWER(Registro!$E824))),"-",IFERROR(SUMPRODUCT(--("0"&amp;LEFT(TRIM(MID(SUBSTITUTE(SUBSTITUTE(SUBSTITUTE(SUBSTITUTE(SUBSTITUTE(LOWER(Registro!$E824),"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",LEN(Registro!$E824))),({1,2,3,4,5,6,7,8,9,10,11,12,13,14,15,16,17,18,19,20,21,22,23,24,25,26,27,28,29,30}-1)*LEN(Registro!$E824)+1,LEN(Registro!$E824)))&amp;"x")-1)),--("0"&amp;MID(TRIM(MID(SUBSTITUTE(SUBSTITUTE(SUBSTITUTE(SUBSTITUTE(SUBSTITUTE(LOWER(Registro!$E824),"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",LEN(Registro!$E824))),({1,2,3,4,5,6,7,8,9,10,11,12,13,14,15,16,17,18,19,20,21,22,23,24,25,26,27,28,29,30}-1)*LEN(Registro!$E824)+1,LEN(Registro!$E824)))&amp;"x")+1,20))),"Revisar formato")))</f>
        <v/>
      </c>
      <c r="F824" s="11" t="str">
        <f>IF(Registro!$F824="","",N(Registro!$F824))</f>
        <v/>
      </c>
      <c r="G824" s="11" t="str">
        <f t="shared" si="37"/>
        <v/>
      </c>
      <c r="H824" s="10" t="str">
        <f>IF(Registro!$G824="","",IF(ISERROR(FIND("x",LOWER(Registro!$G824))),"-",IFERROR(SUMPRODUCT(--("0"&amp;LEFT(TRIM(MID(SUBSTITUTE(SUBSTITUTE(SUBSTITUTE(SUBSTITUTE(SUBSTITUTE(LOWER(Registro!$G824),"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",LEN(Registro!$G824))),({1,2,3,4,5,6,7,8,9,10,11,12,13,14,15,16,17,18,19,20,21,22,23,24,25,26,27,28,29,30}-1)*LEN(Registro!$G824)+1,LEN(Registro!$G824))),FIND("x",TRIM(MID(SUBSTITUTE(SUBSTITUTE(SUBSTITUTE(SUBSTITUTE(SUBSTITUTE(LOWER(Registro!$G824),"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",LEN(Registro!$G824))),({1,2,3,4,5,6,7,8,9,10,11,12,13,14,15,16,17,18,19,20,21,22,23,24,25,26,27,28,29,30}-1)*LEN(Registro!$G824)+1,LEN(Registro!$G824)))&amp;"x")-1))),"Revisar formato")))</f>
        <v/>
      </c>
      <c r="I824" s="11" t="str">
        <f>IF(Registro!$G824="","",IF(ISERROR(FIND("x",LOWER(Registro!$G824))),N(Registro!$H824),IFERROR(SUMPRODUCT(--("0"&amp;LEFT(TRIM(MID(SUBSTITUTE(SUBSTITUTE(SUBSTITUTE(SUBSTITUTE(SUBSTITUTE(LOWER(Registro!$G824),"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",LEN(Registro!$G824))),({1,2,3,4,5,6,7,8,9,10,11,12,13,14,15,16,17,18,19,20,21,22,23,24,25,26,27,28,29,30}-1)*LEN(Registro!$G824)+1,LEN(Registro!$G824))),FIND("x",TRIM(MID(SUBSTITUTE(SUBSTITUTE(SUBSTITUTE(SUBSTITUTE(SUBSTITUTE(LOWER(Registro!$G824),"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",LEN(Registro!$G824))),({1,2,3,4,5,6,7,8,9,10,11,12,13,14,15,16,17,18,19,20,21,22,23,24,25,26,27,28,29,30}-1)*LEN(Registro!$G824)+1,LEN(Registro!$G824)))&amp;"x")-1)),--("0"&amp;MID(TRIM(MID(SUBSTITUTE(SUBSTITUTE(SUBSTITUTE(SUBSTITUTE(SUBSTITUTE(LOWER(Registro!$G824),"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",LEN(Registro!$G824))),({1,2,3,4,5,6,7,8,9,10,11,12,13,14,15,16,17,18,19,20,21,22,23,24,25,26,27,28,29,30}-1)*LEN(Registro!$G824)+1,LEN(Registro!$G824))),FIND("x",TRIM(MID(SUBSTITUTE(SUBSTITUTE(SUBSTITUTE(SUBSTITUTE(SUBSTITUTE(LOWER(Registro!$G824),"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",LEN(Registro!$G824))),({1,2,3,4,5,6,7,8,9,10,11,12,13,14,15,16,17,18,19,20,21,22,23,24,25,26,27,28,29,30}-1)*LEN(Registro!$G824)+1,LEN(Registro!$G824)))&amp;"x")+1,20))),"Revisar formato")))</f>
        <v/>
      </c>
      <c r="J824" s="9" t="str">
        <f>IF(AND(Registro!$E824="",Registro!$G824=""),"",IF(NOT(AND(ISNUMBER(I824),ISNUMBER(Registro!$H824))),"",IF(I824&lt;Registro!$H824,"FALTA BOLETOS",IF(I824=Registro!$H824,"CONFORME","DIFERENCIA"))))</f>
        <v/>
      </c>
      <c r="K824" s="11" t="str">
        <f>IF(Registro!$I824="","",IFERROR(SUMPRODUCT(--("0"&amp;TRIM(RIGHT(SUBSTITUTE(TRIM(MID(SUBSTITUTE(SUBSTITUTE(Registro!$I824,";",CHAR(10)),CHAR(10),REPT(" ",LEN(Registro!$I824))),({1,2,3,4,5,6,7,8,9,10,11,12,13,14,15,16,17,18,19,20,21,22,23,24,25,26,27,28,29,30}-1)*LEN(Registro!$I824)+1,LEN(Registro!$I824)))," ",REPT(" ",50)),50)))),"Revisar formato"))</f>
        <v/>
      </c>
      <c r="L824" s="11" t="str">
        <f>IF(Registro!$J824="","",IFERROR(SUMPRODUCT(--("0"&amp;TRIM(RIGHT(SUBSTITUTE(TRIM(MID(SUBSTITUTE(SUBSTITUTE(Registro!$J824,";",CHAR(10)),CHAR(10),REPT(" ",LEN(Registro!$J824))),({1,2,3,4,5,6,7,8,9,10,11,12,13,14,15,16,17,18,19,20,21,22,23,24,25,26,27,28,29,30}-1)*LEN(Registro!$J824)+1,LEN(Registro!$J824)))," ",REPT(" ",50)),50)))),"Revisar formato"))</f>
        <v/>
      </c>
      <c r="M824" s="11" t="str">
        <f>IF(AND(Registro!$H824="",Registro!$I824=""),"",IF(AND(ISTEXT(K824),K824&lt;&gt;""),"Revisar formato",N(Registro!$H824)-N(K824)))</f>
        <v/>
      </c>
      <c r="N824" s="11" t="str">
        <f t="shared" si="38"/>
        <v/>
      </c>
      <c r="O824" s="15" t="str">
        <f>IF(AND(A824=Consulta!$B$3,C824=Consulta!$H$3),B824*10000+ROW(),"")</f>
        <v/>
      </c>
    </row>
    <row r="825" spans="1:15" x14ac:dyDescent="0.25">
      <c r="A825" s="9" t="str">
        <f>IF(Registro!$A825="","",Registro!$A825)</f>
        <v/>
      </c>
      <c r="B825" s="8" t="str">
        <f>IF(Registro!$B825="","",Registro!$B825)</f>
        <v/>
      </c>
      <c r="C825" s="14" t="str">
        <f t="shared" si="36"/>
        <v/>
      </c>
      <c r="D825" s="10" t="str">
        <f>IF(Registro!$E825="","",IF(ISERROR(FIND("x",LOWER(Registro!$E825))),"-",IFERROR(SUMPRODUCT(--("0"&amp;LEFT(TRIM(MID(SUBSTITUTE(SUBSTITUTE(SUBSTITUTE(SUBSTITUTE(SUBSTITUTE(LOWER(Registro!$E825),"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",LEN(Registro!$E825))),({1,2,3,4,5,6,7,8,9,10,11,12,13,14,15,16,17,18,19,20,21,22,23,24,25,26,27,28,29,30}-1)*LEN(Registro!$E825)+1,LEN(Registro!$E825)))&amp;"x")-1))),"Revisar formato")))</f>
        <v/>
      </c>
      <c r="E825" s="11" t="str">
        <f>IF(Registro!$E825="","",IF(ISERROR(FIND("x",LOWER(Registro!$E825))),"-",IFERROR(SUMPRODUCT(--("0"&amp;LEFT(TRIM(MID(SUBSTITUTE(SUBSTITUTE(SUBSTITUTE(SUBSTITUTE(SUBSTITUTE(LOWER(Registro!$E825),"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",LEN(Registro!$E825))),({1,2,3,4,5,6,7,8,9,10,11,12,13,14,15,16,17,18,19,20,21,22,23,24,25,26,27,28,29,30}-1)*LEN(Registro!$E825)+1,LEN(Registro!$E825)))&amp;"x")-1)),--("0"&amp;MID(TRIM(MID(SUBSTITUTE(SUBSTITUTE(SUBSTITUTE(SUBSTITUTE(SUBSTITUTE(LOWER(Registro!$E825),"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",LEN(Registro!$E825))),({1,2,3,4,5,6,7,8,9,10,11,12,13,14,15,16,17,18,19,20,21,22,23,24,25,26,27,28,29,30}-1)*LEN(Registro!$E825)+1,LEN(Registro!$E825)))&amp;"x")+1,20))),"Revisar formato")))</f>
        <v/>
      </c>
      <c r="F825" s="11" t="str">
        <f>IF(Registro!$F825="","",N(Registro!$F825))</f>
        <v/>
      </c>
      <c r="G825" s="11" t="str">
        <f t="shared" si="37"/>
        <v/>
      </c>
      <c r="H825" s="10" t="str">
        <f>IF(Registro!$G825="","",IF(ISERROR(FIND("x",LOWER(Registro!$G825))),"-",IFERROR(SUMPRODUCT(--("0"&amp;LEFT(TRIM(MID(SUBSTITUTE(SUBSTITUTE(SUBSTITUTE(SUBSTITUTE(SUBSTITUTE(LOWER(Registro!$G825),"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",LEN(Registro!$G825))),({1,2,3,4,5,6,7,8,9,10,11,12,13,14,15,16,17,18,19,20,21,22,23,24,25,26,27,28,29,30}-1)*LEN(Registro!$G825)+1,LEN(Registro!$G825))),FIND("x",TRIM(MID(SUBSTITUTE(SUBSTITUTE(SUBSTITUTE(SUBSTITUTE(SUBSTITUTE(LOWER(Registro!$G825),"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",LEN(Registro!$G825))),({1,2,3,4,5,6,7,8,9,10,11,12,13,14,15,16,17,18,19,20,21,22,23,24,25,26,27,28,29,30}-1)*LEN(Registro!$G825)+1,LEN(Registro!$G825)))&amp;"x")-1))),"Revisar formato")))</f>
        <v/>
      </c>
      <c r="I825" s="11" t="str">
        <f>IF(Registro!$G825="","",IF(ISERROR(FIND("x",LOWER(Registro!$G825))),N(Registro!$H825),IFERROR(SUMPRODUCT(--("0"&amp;LEFT(TRIM(MID(SUBSTITUTE(SUBSTITUTE(SUBSTITUTE(SUBSTITUTE(SUBSTITUTE(LOWER(Registro!$G825),"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",LEN(Registro!$G825))),({1,2,3,4,5,6,7,8,9,10,11,12,13,14,15,16,17,18,19,20,21,22,23,24,25,26,27,28,29,30}-1)*LEN(Registro!$G825)+1,LEN(Registro!$G825))),FIND("x",TRIM(MID(SUBSTITUTE(SUBSTITUTE(SUBSTITUTE(SUBSTITUTE(SUBSTITUTE(LOWER(Registro!$G825),"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",LEN(Registro!$G825))),({1,2,3,4,5,6,7,8,9,10,11,12,13,14,15,16,17,18,19,20,21,22,23,24,25,26,27,28,29,30}-1)*LEN(Registro!$G825)+1,LEN(Registro!$G825)))&amp;"x")-1)),--("0"&amp;MID(TRIM(MID(SUBSTITUTE(SUBSTITUTE(SUBSTITUTE(SUBSTITUTE(SUBSTITUTE(LOWER(Registro!$G825),"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",LEN(Registro!$G825))),({1,2,3,4,5,6,7,8,9,10,11,12,13,14,15,16,17,18,19,20,21,22,23,24,25,26,27,28,29,30}-1)*LEN(Registro!$G825)+1,LEN(Registro!$G825))),FIND("x",TRIM(MID(SUBSTITUTE(SUBSTITUTE(SUBSTITUTE(SUBSTITUTE(SUBSTITUTE(LOWER(Registro!$G825),"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",LEN(Registro!$G825))),({1,2,3,4,5,6,7,8,9,10,11,12,13,14,15,16,17,18,19,20,21,22,23,24,25,26,27,28,29,30}-1)*LEN(Registro!$G825)+1,LEN(Registro!$G825)))&amp;"x")+1,20))),"Revisar formato")))</f>
        <v/>
      </c>
      <c r="J825" s="9" t="str">
        <f>IF(AND(Registro!$E825="",Registro!$G825=""),"",IF(NOT(AND(ISNUMBER(I825),ISNUMBER(Registro!$H825))),"",IF(I825&lt;Registro!$H825,"FALTA BOLETOS",IF(I825=Registro!$H825,"CONFORME","DIFERENCIA"))))</f>
        <v/>
      </c>
      <c r="K825" s="11" t="str">
        <f>IF(Registro!$I825="","",IFERROR(SUMPRODUCT(--("0"&amp;TRIM(RIGHT(SUBSTITUTE(TRIM(MID(SUBSTITUTE(SUBSTITUTE(Registro!$I825,";",CHAR(10)),CHAR(10),REPT(" ",LEN(Registro!$I825))),({1,2,3,4,5,6,7,8,9,10,11,12,13,14,15,16,17,18,19,20,21,22,23,24,25,26,27,28,29,30}-1)*LEN(Registro!$I825)+1,LEN(Registro!$I825)))," ",REPT(" ",50)),50)))),"Revisar formato"))</f>
        <v/>
      </c>
      <c r="L825" s="11" t="str">
        <f>IF(Registro!$J825="","",IFERROR(SUMPRODUCT(--("0"&amp;TRIM(RIGHT(SUBSTITUTE(TRIM(MID(SUBSTITUTE(SUBSTITUTE(Registro!$J825,";",CHAR(10)),CHAR(10),REPT(" ",LEN(Registro!$J825))),({1,2,3,4,5,6,7,8,9,10,11,12,13,14,15,16,17,18,19,20,21,22,23,24,25,26,27,28,29,30}-1)*LEN(Registro!$J825)+1,LEN(Registro!$J825)))," ",REPT(" ",50)),50)))),"Revisar formato"))</f>
        <v/>
      </c>
      <c r="M825" s="11" t="str">
        <f>IF(AND(Registro!$H825="",Registro!$I825=""),"",IF(AND(ISTEXT(K825),K825&lt;&gt;""),"Revisar formato",N(Registro!$H825)-N(K825)))</f>
        <v/>
      </c>
      <c r="N825" s="11" t="str">
        <f t="shared" si="38"/>
        <v/>
      </c>
      <c r="O825" s="15" t="str">
        <f>IF(AND(A825=Consulta!$B$3,C825=Consulta!$H$3),B825*10000+ROW(),"")</f>
        <v/>
      </c>
    </row>
    <row r="826" spans="1:15" x14ac:dyDescent="0.25">
      <c r="A826" s="9" t="str">
        <f>IF(Registro!$A826="","",Registro!$A826)</f>
        <v/>
      </c>
      <c r="B826" s="8" t="str">
        <f>IF(Registro!$B826="","",Registro!$B826)</f>
        <v/>
      </c>
      <c r="C826" s="14" t="str">
        <f t="shared" si="36"/>
        <v/>
      </c>
      <c r="D826" s="10" t="str">
        <f>IF(Registro!$E826="","",IF(ISERROR(FIND("x",LOWER(Registro!$E826))),"-",IFERROR(SUMPRODUCT(--("0"&amp;LEFT(TRIM(MID(SUBSTITUTE(SUBSTITUTE(SUBSTITUTE(SUBSTITUTE(SUBSTITUTE(LOWER(Registro!$E826),"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",LEN(Registro!$E826))),({1,2,3,4,5,6,7,8,9,10,11,12,13,14,15,16,17,18,19,20,21,22,23,24,25,26,27,28,29,30}-1)*LEN(Registro!$E826)+1,LEN(Registro!$E826)))&amp;"x")-1))),"Revisar formato")))</f>
        <v/>
      </c>
      <c r="E826" s="11" t="str">
        <f>IF(Registro!$E826="","",IF(ISERROR(FIND("x",LOWER(Registro!$E826))),"-",IFERROR(SUMPRODUCT(--("0"&amp;LEFT(TRIM(MID(SUBSTITUTE(SUBSTITUTE(SUBSTITUTE(SUBSTITUTE(SUBSTITUTE(LOWER(Registro!$E826),"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",LEN(Registro!$E826))),({1,2,3,4,5,6,7,8,9,10,11,12,13,14,15,16,17,18,19,20,21,22,23,24,25,26,27,28,29,30}-1)*LEN(Registro!$E826)+1,LEN(Registro!$E826)))&amp;"x")-1)),--("0"&amp;MID(TRIM(MID(SUBSTITUTE(SUBSTITUTE(SUBSTITUTE(SUBSTITUTE(SUBSTITUTE(LOWER(Registro!$E826),"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",LEN(Registro!$E826))),({1,2,3,4,5,6,7,8,9,10,11,12,13,14,15,16,17,18,19,20,21,22,23,24,25,26,27,28,29,30}-1)*LEN(Registro!$E826)+1,LEN(Registro!$E826)))&amp;"x")+1,20))),"Revisar formato")))</f>
        <v/>
      </c>
      <c r="F826" s="11" t="str">
        <f>IF(Registro!$F826="","",N(Registro!$F826))</f>
        <v/>
      </c>
      <c r="G826" s="11" t="str">
        <f t="shared" si="37"/>
        <v/>
      </c>
      <c r="H826" s="10" t="str">
        <f>IF(Registro!$G826="","",IF(ISERROR(FIND("x",LOWER(Registro!$G826))),"-",IFERROR(SUMPRODUCT(--("0"&amp;LEFT(TRIM(MID(SUBSTITUTE(SUBSTITUTE(SUBSTITUTE(SUBSTITUTE(SUBSTITUTE(LOWER(Registro!$G826),"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",LEN(Registro!$G826))),({1,2,3,4,5,6,7,8,9,10,11,12,13,14,15,16,17,18,19,20,21,22,23,24,25,26,27,28,29,30}-1)*LEN(Registro!$G826)+1,LEN(Registro!$G826))),FIND("x",TRIM(MID(SUBSTITUTE(SUBSTITUTE(SUBSTITUTE(SUBSTITUTE(SUBSTITUTE(LOWER(Registro!$G826),"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",LEN(Registro!$G826))),({1,2,3,4,5,6,7,8,9,10,11,12,13,14,15,16,17,18,19,20,21,22,23,24,25,26,27,28,29,30}-1)*LEN(Registro!$G826)+1,LEN(Registro!$G826)))&amp;"x")-1))),"Revisar formato")))</f>
        <v/>
      </c>
      <c r="I826" s="11" t="str">
        <f>IF(Registro!$G826="","",IF(ISERROR(FIND("x",LOWER(Registro!$G826))),N(Registro!$H826),IFERROR(SUMPRODUCT(--("0"&amp;LEFT(TRIM(MID(SUBSTITUTE(SUBSTITUTE(SUBSTITUTE(SUBSTITUTE(SUBSTITUTE(LOWER(Registro!$G826),"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",LEN(Registro!$G826))),({1,2,3,4,5,6,7,8,9,10,11,12,13,14,15,16,17,18,19,20,21,22,23,24,25,26,27,28,29,30}-1)*LEN(Registro!$G826)+1,LEN(Registro!$G826))),FIND("x",TRIM(MID(SUBSTITUTE(SUBSTITUTE(SUBSTITUTE(SUBSTITUTE(SUBSTITUTE(LOWER(Registro!$G826),"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",LEN(Registro!$G826))),({1,2,3,4,5,6,7,8,9,10,11,12,13,14,15,16,17,18,19,20,21,22,23,24,25,26,27,28,29,30}-1)*LEN(Registro!$G826)+1,LEN(Registro!$G826)))&amp;"x")-1)),--("0"&amp;MID(TRIM(MID(SUBSTITUTE(SUBSTITUTE(SUBSTITUTE(SUBSTITUTE(SUBSTITUTE(LOWER(Registro!$G826),"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",LEN(Registro!$G826))),({1,2,3,4,5,6,7,8,9,10,11,12,13,14,15,16,17,18,19,20,21,22,23,24,25,26,27,28,29,30}-1)*LEN(Registro!$G826)+1,LEN(Registro!$G826))),FIND("x",TRIM(MID(SUBSTITUTE(SUBSTITUTE(SUBSTITUTE(SUBSTITUTE(SUBSTITUTE(LOWER(Registro!$G826),"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",LEN(Registro!$G826))),({1,2,3,4,5,6,7,8,9,10,11,12,13,14,15,16,17,18,19,20,21,22,23,24,25,26,27,28,29,30}-1)*LEN(Registro!$G826)+1,LEN(Registro!$G826)))&amp;"x")+1,20))),"Revisar formato")))</f>
        <v/>
      </c>
      <c r="J826" s="9" t="str">
        <f>IF(AND(Registro!$E826="",Registro!$G826=""),"",IF(NOT(AND(ISNUMBER(I826),ISNUMBER(Registro!$H826))),"",IF(I826&lt;Registro!$H826,"FALTA BOLETOS",IF(I826=Registro!$H826,"CONFORME","DIFERENCIA"))))</f>
        <v/>
      </c>
      <c r="K826" s="11" t="str">
        <f>IF(Registro!$I826="","",IFERROR(SUMPRODUCT(--("0"&amp;TRIM(RIGHT(SUBSTITUTE(TRIM(MID(SUBSTITUTE(SUBSTITUTE(Registro!$I826,";",CHAR(10)),CHAR(10),REPT(" ",LEN(Registro!$I826))),({1,2,3,4,5,6,7,8,9,10,11,12,13,14,15,16,17,18,19,20,21,22,23,24,25,26,27,28,29,30}-1)*LEN(Registro!$I826)+1,LEN(Registro!$I826)))," ",REPT(" ",50)),50)))),"Revisar formato"))</f>
        <v/>
      </c>
      <c r="L826" s="11" t="str">
        <f>IF(Registro!$J826="","",IFERROR(SUMPRODUCT(--("0"&amp;TRIM(RIGHT(SUBSTITUTE(TRIM(MID(SUBSTITUTE(SUBSTITUTE(Registro!$J826,";",CHAR(10)),CHAR(10),REPT(" ",LEN(Registro!$J826))),({1,2,3,4,5,6,7,8,9,10,11,12,13,14,15,16,17,18,19,20,21,22,23,24,25,26,27,28,29,30}-1)*LEN(Registro!$J826)+1,LEN(Registro!$J826)))," ",REPT(" ",50)),50)))),"Revisar formato"))</f>
        <v/>
      </c>
      <c r="M826" s="11" t="str">
        <f>IF(AND(Registro!$H826="",Registro!$I826=""),"",IF(AND(ISTEXT(K826),K826&lt;&gt;""),"Revisar formato",N(Registro!$H826)-N(K826)))</f>
        <v/>
      </c>
      <c r="N826" s="11" t="str">
        <f t="shared" si="38"/>
        <v/>
      </c>
      <c r="O826" s="15" t="str">
        <f>IF(AND(A826=Consulta!$B$3,C826=Consulta!$H$3),B826*10000+ROW(),"")</f>
        <v/>
      </c>
    </row>
    <row r="827" spans="1:15" x14ac:dyDescent="0.25">
      <c r="A827" s="9" t="str">
        <f>IF(Registro!$A827="","",Registro!$A827)</f>
        <v/>
      </c>
      <c r="B827" s="8" t="str">
        <f>IF(Registro!$B827="","",Registro!$B827)</f>
        <v/>
      </c>
      <c r="C827" s="14" t="str">
        <f t="shared" si="36"/>
        <v/>
      </c>
      <c r="D827" s="10" t="str">
        <f>IF(Registro!$E827="","",IF(ISERROR(FIND("x",LOWER(Registro!$E827))),"-",IFERROR(SUMPRODUCT(--("0"&amp;LEFT(TRIM(MID(SUBSTITUTE(SUBSTITUTE(SUBSTITUTE(SUBSTITUTE(SUBSTITUTE(LOWER(Registro!$E827),"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",LEN(Registro!$E827))),({1,2,3,4,5,6,7,8,9,10,11,12,13,14,15,16,17,18,19,20,21,22,23,24,25,26,27,28,29,30}-1)*LEN(Registro!$E827)+1,LEN(Registro!$E827)))&amp;"x")-1))),"Revisar formato")))</f>
        <v/>
      </c>
      <c r="E827" s="11" t="str">
        <f>IF(Registro!$E827="","",IF(ISERROR(FIND("x",LOWER(Registro!$E827))),"-",IFERROR(SUMPRODUCT(--("0"&amp;LEFT(TRIM(MID(SUBSTITUTE(SUBSTITUTE(SUBSTITUTE(SUBSTITUTE(SUBSTITUTE(LOWER(Registro!$E827),"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",LEN(Registro!$E827))),({1,2,3,4,5,6,7,8,9,10,11,12,13,14,15,16,17,18,19,20,21,22,23,24,25,26,27,28,29,30}-1)*LEN(Registro!$E827)+1,LEN(Registro!$E827)))&amp;"x")-1)),--("0"&amp;MID(TRIM(MID(SUBSTITUTE(SUBSTITUTE(SUBSTITUTE(SUBSTITUTE(SUBSTITUTE(LOWER(Registro!$E827),"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",LEN(Registro!$E827))),({1,2,3,4,5,6,7,8,9,10,11,12,13,14,15,16,17,18,19,20,21,22,23,24,25,26,27,28,29,30}-1)*LEN(Registro!$E827)+1,LEN(Registro!$E827)))&amp;"x")+1,20))),"Revisar formato")))</f>
        <v/>
      </c>
      <c r="F827" s="11" t="str">
        <f>IF(Registro!$F827="","",N(Registro!$F827))</f>
        <v/>
      </c>
      <c r="G827" s="11" t="str">
        <f t="shared" si="37"/>
        <v/>
      </c>
      <c r="H827" s="10" t="str">
        <f>IF(Registro!$G827="","",IF(ISERROR(FIND("x",LOWER(Registro!$G827))),"-",IFERROR(SUMPRODUCT(--("0"&amp;LEFT(TRIM(MID(SUBSTITUTE(SUBSTITUTE(SUBSTITUTE(SUBSTITUTE(SUBSTITUTE(LOWER(Registro!$G827),"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",LEN(Registro!$G827))),({1,2,3,4,5,6,7,8,9,10,11,12,13,14,15,16,17,18,19,20,21,22,23,24,25,26,27,28,29,30}-1)*LEN(Registro!$G827)+1,LEN(Registro!$G827))),FIND("x",TRIM(MID(SUBSTITUTE(SUBSTITUTE(SUBSTITUTE(SUBSTITUTE(SUBSTITUTE(LOWER(Registro!$G827),"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",LEN(Registro!$G827))),({1,2,3,4,5,6,7,8,9,10,11,12,13,14,15,16,17,18,19,20,21,22,23,24,25,26,27,28,29,30}-1)*LEN(Registro!$G827)+1,LEN(Registro!$G827)))&amp;"x")-1))),"Revisar formato")))</f>
        <v/>
      </c>
      <c r="I827" s="11" t="str">
        <f>IF(Registro!$G827="","",IF(ISERROR(FIND("x",LOWER(Registro!$G827))),N(Registro!$H827),IFERROR(SUMPRODUCT(--("0"&amp;LEFT(TRIM(MID(SUBSTITUTE(SUBSTITUTE(SUBSTITUTE(SUBSTITUTE(SUBSTITUTE(LOWER(Registro!$G827),"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",LEN(Registro!$G827))),({1,2,3,4,5,6,7,8,9,10,11,12,13,14,15,16,17,18,19,20,21,22,23,24,25,26,27,28,29,30}-1)*LEN(Registro!$G827)+1,LEN(Registro!$G827))),FIND("x",TRIM(MID(SUBSTITUTE(SUBSTITUTE(SUBSTITUTE(SUBSTITUTE(SUBSTITUTE(LOWER(Registro!$G827),"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",LEN(Registro!$G827))),({1,2,3,4,5,6,7,8,9,10,11,12,13,14,15,16,17,18,19,20,21,22,23,24,25,26,27,28,29,30}-1)*LEN(Registro!$G827)+1,LEN(Registro!$G827)))&amp;"x")-1)),--("0"&amp;MID(TRIM(MID(SUBSTITUTE(SUBSTITUTE(SUBSTITUTE(SUBSTITUTE(SUBSTITUTE(LOWER(Registro!$G827),"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",LEN(Registro!$G827))),({1,2,3,4,5,6,7,8,9,10,11,12,13,14,15,16,17,18,19,20,21,22,23,24,25,26,27,28,29,30}-1)*LEN(Registro!$G827)+1,LEN(Registro!$G827))),FIND("x",TRIM(MID(SUBSTITUTE(SUBSTITUTE(SUBSTITUTE(SUBSTITUTE(SUBSTITUTE(LOWER(Registro!$G827),"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",LEN(Registro!$G827))),({1,2,3,4,5,6,7,8,9,10,11,12,13,14,15,16,17,18,19,20,21,22,23,24,25,26,27,28,29,30}-1)*LEN(Registro!$G827)+1,LEN(Registro!$G827)))&amp;"x")+1,20))),"Revisar formato")))</f>
        <v/>
      </c>
      <c r="J827" s="9" t="str">
        <f>IF(AND(Registro!$E827="",Registro!$G827=""),"",IF(NOT(AND(ISNUMBER(I827),ISNUMBER(Registro!$H827))),"",IF(I827&lt;Registro!$H827,"FALTA BOLETOS",IF(I827=Registro!$H827,"CONFORME","DIFERENCIA"))))</f>
        <v/>
      </c>
      <c r="K827" s="11" t="str">
        <f>IF(Registro!$I827="","",IFERROR(SUMPRODUCT(--("0"&amp;TRIM(RIGHT(SUBSTITUTE(TRIM(MID(SUBSTITUTE(SUBSTITUTE(Registro!$I827,";",CHAR(10)),CHAR(10),REPT(" ",LEN(Registro!$I827))),({1,2,3,4,5,6,7,8,9,10,11,12,13,14,15,16,17,18,19,20,21,22,23,24,25,26,27,28,29,30}-1)*LEN(Registro!$I827)+1,LEN(Registro!$I827)))," ",REPT(" ",50)),50)))),"Revisar formato"))</f>
        <v/>
      </c>
      <c r="L827" s="11" t="str">
        <f>IF(Registro!$J827="","",IFERROR(SUMPRODUCT(--("0"&amp;TRIM(RIGHT(SUBSTITUTE(TRIM(MID(SUBSTITUTE(SUBSTITUTE(Registro!$J827,";",CHAR(10)),CHAR(10),REPT(" ",LEN(Registro!$J827))),({1,2,3,4,5,6,7,8,9,10,11,12,13,14,15,16,17,18,19,20,21,22,23,24,25,26,27,28,29,30}-1)*LEN(Registro!$J827)+1,LEN(Registro!$J827)))," ",REPT(" ",50)),50)))),"Revisar formato"))</f>
        <v/>
      </c>
      <c r="M827" s="11" t="str">
        <f>IF(AND(Registro!$H827="",Registro!$I827=""),"",IF(AND(ISTEXT(K827),K827&lt;&gt;""),"Revisar formato",N(Registro!$H827)-N(K827)))</f>
        <v/>
      </c>
      <c r="N827" s="11" t="str">
        <f t="shared" si="38"/>
        <v/>
      </c>
      <c r="O827" s="15" t="str">
        <f>IF(AND(A827=Consulta!$B$3,C827=Consulta!$H$3),B827*10000+ROW(),"")</f>
        <v/>
      </c>
    </row>
    <row r="828" spans="1:15" x14ac:dyDescent="0.25">
      <c r="A828" s="9" t="str">
        <f>IF(Registro!$A828="","",Registro!$A828)</f>
        <v/>
      </c>
      <c r="B828" s="8" t="str">
        <f>IF(Registro!$B828="","",Registro!$B828)</f>
        <v/>
      </c>
      <c r="C828" s="14" t="str">
        <f t="shared" si="36"/>
        <v/>
      </c>
      <c r="D828" s="10" t="str">
        <f>IF(Registro!$E828="","",IF(ISERROR(FIND("x",LOWER(Registro!$E828))),"-",IFERROR(SUMPRODUCT(--("0"&amp;LEFT(TRIM(MID(SUBSTITUTE(SUBSTITUTE(SUBSTITUTE(SUBSTITUTE(SUBSTITUTE(LOWER(Registro!$E828),"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",LEN(Registro!$E828))),({1,2,3,4,5,6,7,8,9,10,11,12,13,14,15,16,17,18,19,20,21,22,23,24,25,26,27,28,29,30}-1)*LEN(Registro!$E828)+1,LEN(Registro!$E828)))&amp;"x")-1))),"Revisar formato")))</f>
        <v/>
      </c>
      <c r="E828" s="11" t="str">
        <f>IF(Registro!$E828="","",IF(ISERROR(FIND("x",LOWER(Registro!$E828))),"-",IFERROR(SUMPRODUCT(--("0"&amp;LEFT(TRIM(MID(SUBSTITUTE(SUBSTITUTE(SUBSTITUTE(SUBSTITUTE(SUBSTITUTE(LOWER(Registro!$E828),"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",LEN(Registro!$E828))),({1,2,3,4,5,6,7,8,9,10,11,12,13,14,15,16,17,18,19,20,21,22,23,24,25,26,27,28,29,30}-1)*LEN(Registro!$E828)+1,LEN(Registro!$E828)))&amp;"x")-1)),--("0"&amp;MID(TRIM(MID(SUBSTITUTE(SUBSTITUTE(SUBSTITUTE(SUBSTITUTE(SUBSTITUTE(LOWER(Registro!$E828),"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",LEN(Registro!$E828))),({1,2,3,4,5,6,7,8,9,10,11,12,13,14,15,16,17,18,19,20,21,22,23,24,25,26,27,28,29,30}-1)*LEN(Registro!$E828)+1,LEN(Registro!$E828)))&amp;"x")+1,20))),"Revisar formato")))</f>
        <v/>
      </c>
      <c r="F828" s="11" t="str">
        <f>IF(Registro!$F828="","",N(Registro!$F828))</f>
        <v/>
      </c>
      <c r="G828" s="11" t="str">
        <f t="shared" si="37"/>
        <v/>
      </c>
      <c r="H828" s="10" t="str">
        <f>IF(Registro!$G828="","",IF(ISERROR(FIND("x",LOWER(Registro!$G828))),"-",IFERROR(SUMPRODUCT(--("0"&amp;LEFT(TRIM(MID(SUBSTITUTE(SUBSTITUTE(SUBSTITUTE(SUBSTITUTE(SUBSTITUTE(LOWER(Registro!$G828),"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",LEN(Registro!$G828))),({1,2,3,4,5,6,7,8,9,10,11,12,13,14,15,16,17,18,19,20,21,22,23,24,25,26,27,28,29,30}-1)*LEN(Registro!$G828)+1,LEN(Registro!$G828))),FIND("x",TRIM(MID(SUBSTITUTE(SUBSTITUTE(SUBSTITUTE(SUBSTITUTE(SUBSTITUTE(LOWER(Registro!$G828),"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",LEN(Registro!$G828))),({1,2,3,4,5,6,7,8,9,10,11,12,13,14,15,16,17,18,19,20,21,22,23,24,25,26,27,28,29,30}-1)*LEN(Registro!$G828)+1,LEN(Registro!$G828)))&amp;"x")-1))),"Revisar formato")))</f>
        <v/>
      </c>
      <c r="I828" s="11" t="str">
        <f>IF(Registro!$G828="","",IF(ISERROR(FIND("x",LOWER(Registro!$G828))),N(Registro!$H828),IFERROR(SUMPRODUCT(--("0"&amp;LEFT(TRIM(MID(SUBSTITUTE(SUBSTITUTE(SUBSTITUTE(SUBSTITUTE(SUBSTITUTE(LOWER(Registro!$G828),"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",LEN(Registro!$G828))),({1,2,3,4,5,6,7,8,9,10,11,12,13,14,15,16,17,18,19,20,21,22,23,24,25,26,27,28,29,30}-1)*LEN(Registro!$G828)+1,LEN(Registro!$G828))),FIND("x",TRIM(MID(SUBSTITUTE(SUBSTITUTE(SUBSTITUTE(SUBSTITUTE(SUBSTITUTE(LOWER(Registro!$G828),"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",LEN(Registro!$G828))),({1,2,3,4,5,6,7,8,9,10,11,12,13,14,15,16,17,18,19,20,21,22,23,24,25,26,27,28,29,30}-1)*LEN(Registro!$G828)+1,LEN(Registro!$G828)))&amp;"x")-1)),--("0"&amp;MID(TRIM(MID(SUBSTITUTE(SUBSTITUTE(SUBSTITUTE(SUBSTITUTE(SUBSTITUTE(LOWER(Registro!$G828),"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",LEN(Registro!$G828))),({1,2,3,4,5,6,7,8,9,10,11,12,13,14,15,16,17,18,19,20,21,22,23,24,25,26,27,28,29,30}-1)*LEN(Registro!$G828)+1,LEN(Registro!$G828))),FIND("x",TRIM(MID(SUBSTITUTE(SUBSTITUTE(SUBSTITUTE(SUBSTITUTE(SUBSTITUTE(LOWER(Registro!$G828),"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",LEN(Registro!$G828))),({1,2,3,4,5,6,7,8,9,10,11,12,13,14,15,16,17,18,19,20,21,22,23,24,25,26,27,28,29,30}-1)*LEN(Registro!$G828)+1,LEN(Registro!$G828)))&amp;"x")+1,20))),"Revisar formato")))</f>
        <v/>
      </c>
      <c r="J828" s="9" t="str">
        <f>IF(AND(Registro!$E828="",Registro!$G828=""),"",IF(NOT(AND(ISNUMBER(I828),ISNUMBER(Registro!$H828))),"",IF(I828&lt;Registro!$H828,"FALTA BOLETOS",IF(I828=Registro!$H828,"CONFORME","DIFERENCIA"))))</f>
        <v/>
      </c>
      <c r="K828" s="11" t="str">
        <f>IF(Registro!$I828="","",IFERROR(SUMPRODUCT(--("0"&amp;TRIM(RIGHT(SUBSTITUTE(TRIM(MID(SUBSTITUTE(SUBSTITUTE(Registro!$I828,";",CHAR(10)),CHAR(10),REPT(" ",LEN(Registro!$I828))),({1,2,3,4,5,6,7,8,9,10,11,12,13,14,15,16,17,18,19,20,21,22,23,24,25,26,27,28,29,30}-1)*LEN(Registro!$I828)+1,LEN(Registro!$I828)))," ",REPT(" ",50)),50)))),"Revisar formato"))</f>
        <v/>
      </c>
      <c r="L828" s="11" t="str">
        <f>IF(Registro!$J828="","",IFERROR(SUMPRODUCT(--("0"&amp;TRIM(RIGHT(SUBSTITUTE(TRIM(MID(SUBSTITUTE(SUBSTITUTE(Registro!$J828,";",CHAR(10)),CHAR(10),REPT(" ",LEN(Registro!$J828))),({1,2,3,4,5,6,7,8,9,10,11,12,13,14,15,16,17,18,19,20,21,22,23,24,25,26,27,28,29,30}-1)*LEN(Registro!$J828)+1,LEN(Registro!$J828)))," ",REPT(" ",50)),50)))),"Revisar formato"))</f>
        <v/>
      </c>
      <c r="M828" s="11" t="str">
        <f>IF(AND(Registro!$H828="",Registro!$I828=""),"",IF(AND(ISTEXT(K828),K828&lt;&gt;""),"Revisar formato",N(Registro!$H828)-N(K828)))</f>
        <v/>
      </c>
      <c r="N828" s="11" t="str">
        <f t="shared" si="38"/>
        <v/>
      </c>
      <c r="O828" s="15" t="str">
        <f>IF(AND(A828=Consulta!$B$3,C828=Consulta!$H$3),B828*10000+ROW(),"")</f>
        <v/>
      </c>
    </row>
    <row r="829" spans="1:15" x14ac:dyDescent="0.25">
      <c r="A829" s="9" t="str">
        <f>IF(Registro!$A829="","",Registro!$A829)</f>
        <v/>
      </c>
      <c r="B829" s="8" t="str">
        <f>IF(Registro!$B829="","",Registro!$B829)</f>
        <v/>
      </c>
      <c r="C829" s="14" t="str">
        <f t="shared" si="36"/>
        <v/>
      </c>
      <c r="D829" s="10" t="str">
        <f>IF(Registro!$E829="","",IF(ISERROR(FIND("x",LOWER(Registro!$E829))),"-",IFERROR(SUMPRODUCT(--("0"&amp;LEFT(TRIM(MID(SUBSTITUTE(SUBSTITUTE(SUBSTITUTE(SUBSTITUTE(SUBSTITUTE(LOWER(Registro!$E829),"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",LEN(Registro!$E829))),({1,2,3,4,5,6,7,8,9,10,11,12,13,14,15,16,17,18,19,20,21,22,23,24,25,26,27,28,29,30}-1)*LEN(Registro!$E829)+1,LEN(Registro!$E829)))&amp;"x")-1))),"Revisar formato")))</f>
        <v/>
      </c>
      <c r="E829" s="11" t="str">
        <f>IF(Registro!$E829="","",IF(ISERROR(FIND("x",LOWER(Registro!$E829))),"-",IFERROR(SUMPRODUCT(--("0"&amp;LEFT(TRIM(MID(SUBSTITUTE(SUBSTITUTE(SUBSTITUTE(SUBSTITUTE(SUBSTITUTE(LOWER(Registro!$E829),"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",LEN(Registro!$E829))),({1,2,3,4,5,6,7,8,9,10,11,12,13,14,15,16,17,18,19,20,21,22,23,24,25,26,27,28,29,30}-1)*LEN(Registro!$E829)+1,LEN(Registro!$E829)))&amp;"x")-1)),--("0"&amp;MID(TRIM(MID(SUBSTITUTE(SUBSTITUTE(SUBSTITUTE(SUBSTITUTE(SUBSTITUTE(LOWER(Registro!$E829),"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",LEN(Registro!$E829))),({1,2,3,4,5,6,7,8,9,10,11,12,13,14,15,16,17,18,19,20,21,22,23,24,25,26,27,28,29,30}-1)*LEN(Registro!$E829)+1,LEN(Registro!$E829)))&amp;"x")+1,20))),"Revisar formato")))</f>
        <v/>
      </c>
      <c r="F829" s="11" t="str">
        <f>IF(Registro!$F829="","",N(Registro!$F829))</f>
        <v/>
      </c>
      <c r="G829" s="11" t="str">
        <f t="shared" si="37"/>
        <v/>
      </c>
      <c r="H829" s="10" t="str">
        <f>IF(Registro!$G829="","",IF(ISERROR(FIND("x",LOWER(Registro!$G829))),"-",IFERROR(SUMPRODUCT(--("0"&amp;LEFT(TRIM(MID(SUBSTITUTE(SUBSTITUTE(SUBSTITUTE(SUBSTITUTE(SUBSTITUTE(LOWER(Registro!$G829),"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",LEN(Registro!$G829))),({1,2,3,4,5,6,7,8,9,10,11,12,13,14,15,16,17,18,19,20,21,22,23,24,25,26,27,28,29,30}-1)*LEN(Registro!$G829)+1,LEN(Registro!$G829))),FIND("x",TRIM(MID(SUBSTITUTE(SUBSTITUTE(SUBSTITUTE(SUBSTITUTE(SUBSTITUTE(LOWER(Registro!$G829),"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",LEN(Registro!$G829))),({1,2,3,4,5,6,7,8,9,10,11,12,13,14,15,16,17,18,19,20,21,22,23,24,25,26,27,28,29,30}-1)*LEN(Registro!$G829)+1,LEN(Registro!$G829)))&amp;"x")-1))),"Revisar formato")))</f>
        <v/>
      </c>
      <c r="I829" s="11" t="str">
        <f>IF(Registro!$G829="","",IF(ISERROR(FIND("x",LOWER(Registro!$G829))),N(Registro!$H829),IFERROR(SUMPRODUCT(--("0"&amp;LEFT(TRIM(MID(SUBSTITUTE(SUBSTITUTE(SUBSTITUTE(SUBSTITUTE(SUBSTITUTE(LOWER(Registro!$G829),"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",LEN(Registro!$G829))),({1,2,3,4,5,6,7,8,9,10,11,12,13,14,15,16,17,18,19,20,21,22,23,24,25,26,27,28,29,30}-1)*LEN(Registro!$G829)+1,LEN(Registro!$G829))),FIND("x",TRIM(MID(SUBSTITUTE(SUBSTITUTE(SUBSTITUTE(SUBSTITUTE(SUBSTITUTE(LOWER(Registro!$G829),"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",LEN(Registro!$G829))),({1,2,3,4,5,6,7,8,9,10,11,12,13,14,15,16,17,18,19,20,21,22,23,24,25,26,27,28,29,30}-1)*LEN(Registro!$G829)+1,LEN(Registro!$G829)))&amp;"x")-1)),--("0"&amp;MID(TRIM(MID(SUBSTITUTE(SUBSTITUTE(SUBSTITUTE(SUBSTITUTE(SUBSTITUTE(LOWER(Registro!$G829),"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",LEN(Registro!$G829))),({1,2,3,4,5,6,7,8,9,10,11,12,13,14,15,16,17,18,19,20,21,22,23,24,25,26,27,28,29,30}-1)*LEN(Registro!$G829)+1,LEN(Registro!$G829))),FIND("x",TRIM(MID(SUBSTITUTE(SUBSTITUTE(SUBSTITUTE(SUBSTITUTE(SUBSTITUTE(LOWER(Registro!$G829),"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",LEN(Registro!$G829))),({1,2,3,4,5,6,7,8,9,10,11,12,13,14,15,16,17,18,19,20,21,22,23,24,25,26,27,28,29,30}-1)*LEN(Registro!$G829)+1,LEN(Registro!$G829)))&amp;"x")+1,20))),"Revisar formato")))</f>
        <v/>
      </c>
      <c r="J829" s="9" t="str">
        <f>IF(AND(Registro!$E829="",Registro!$G829=""),"",IF(NOT(AND(ISNUMBER(I829),ISNUMBER(Registro!$H829))),"",IF(I829&lt;Registro!$H829,"FALTA BOLETOS",IF(I829=Registro!$H829,"CONFORME","DIFERENCIA"))))</f>
        <v/>
      </c>
      <c r="K829" s="11" t="str">
        <f>IF(Registro!$I829="","",IFERROR(SUMPRODUCT(--("0"&amp;TRIM(RIGHT(SUBSTITUTE(TRIM(MID(SUBSTITUTE(SUBSTITUTE(Registro!$I829,";",CHAR(10)),CHAR(10),REPT(" ",LEN(Registro!$I829))),({1,2,3,4,5,6,7,8,9,10,11,12,13,14,15,16,17,18,19,20,21,22,23,24,25,26,27,28,29,30}-1)*LEN(Registro!$I829)+1,LEN(Registro!$I829)))," ",REPT(" ",50)),50)))),"Revisar formato"))</f>
        <v/>
      </c>
      <c r="L829" s="11" t="str">
        <f>IF(Registro!$J829="","",IFERROR(SUMPRODUCT(--("0"&amp;TRIM(RIGHT(SUBSTITUTE(TRIM(MID(SUBSTITUTE(SUBSTITUTE(Registro!$J829,";",CHAR(10)),CHAR(10),REPT(" ",LEN(Registro!$J829))),({1,2,3,4,5,6,7,8,9,10,11,12,13,14,15,16,17,18,19,20,21,22,23,24,25,26,27,28,29,30}-1)*LEN(Registro!$J829)+1,LEN(Registro!$J829)))," ",REPT(" ",50)),50)))),"Revisar formato"))</f>
        <v/>
      </c>
      <c r="M829" s="11" t="str">
        <f>IF(AND(Registro!$H829="",Registro!$I829=""),"",IF(AND(ISTEXT(K829),K829&lt;&gt;""),"Revisar formato",N(Registro!$H829)-N(K829)))</f>
        <v/>
      </c>
      <c r="N829" s="11" t="str">
        <f t="shared" si="38"/>
        <v/>
      </c>
      <c r="O829" s="15" t="str">
        <f>IF(AND(A829=Consulta!$B$3,C829=Consulta!$H$3),B829*10000+ROW(),"")</f>
        <v/>
      </c>
    </row>
    <row r="830" spans="1:15" x14ac:dyDescent="0.25">
      <c r="A830" s="9" t="str">
        <f>IF(Registro!$A830="","",Registro!$A830)</f>
        <v/>
      </c>
      <c r="B830" s="8" t="str">
        <f>IF(Registro!$B830="","",Registro!$B830)</f>
        <v/>
      </c>
      <c r="C830" s="14" t="str">
        <f t="shared" si="36"/>
        <v/>
      </c>
      <c r="D830" s="10" t="str">
        <f>IF(Registro!$E830="","",IF(ISERROR(FIND("x",LOWER(Registro!$E830))),"-",IFERROR(SUMPRODUCT(--("0"&amp;LEFT(TRIM(MID(SUBSTITUTE(SUBSTITUTE(SUBSTITUTE(SUBSTITUTE(SUBSTITUTE(LOWER(Registro!$E830),"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",LEN(Registro!$E830))),({1,2,3,4,5,6,7,8,9,10,11,12,13,14,15,16,17,18,19,20,21,22,23,24,25,26,27,28,29,30}-1)*LEN(Registro!$E830)+1,LEN(Registro!$E830)))&amp;"x")-1))),"Revisar formato")))</f>
        <v/>
      </c>
      <c r="E830" s="11" t="str">
        <f>IF(Registro!$E830="","",IF(ISERROR(FIND("x",LOWER(Registro!$E830))),"-",IFERROR(SUMPRODUCT(--("0"&amp;LEFT(TRIM(MID(SUBSTITUTE(SUBSTITUTE(SUBSTITUTE(SUBSTITUTE(SUBSTITUTE(LOWER(Registro!$E830),"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",LEN(Registro!$E830))),({1,2,3,4,5,6,7,8,9,10,11,12,13,14,15,16,17,18,19,20,21,22,23,24,25,26,27,28,29,30}-1)*LEN(Registro!$E830)+1,LEN(Registro!$E830)))&amp;"x")-1)),--("0"&amp;MID(TRIM(MID(SUBSTITUTE(SUBSTITUTE(SUBSTITUTE(SUBSTITUTE(SUBSTITUTE(LOWER(Registro!$E830),"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",LEN(Registro!$E830))),({1,2,3,4,5,6,7,8,9,10,11,12,13,14,15,16,17,18,19,20,21,22,23,24,25,26,27,28,29,30}-1)*LEN(Registro!$E830)+1,LEN(Registro!$E830)))&amp;"x")+1,20))),"Revisar formato")))</f>
        <v/>
      </c>
      <c r="F830" s="11" t="str">
        <f>IF(Registro!$F830="","",N(Registro!$F830))</f>
        <v/>
      </c>
      <c r="G830" s="11" t="str">
        <f t="shared" si="37"/>
        <v/>
      </c>
      <c r="H830" s="10" t="str">
        <f>IF(Registro!$G830="","",IF(ISERROR(FIND("x",LOWER(Registro!$G830))),"-",IFERROR(SUMPRODUCT(--("0"&amp;LEFT(TRIM(MID(SUBSTITUTE(SUBSTITUTE(SUBSTITUTE(SUBSTITUTE(SUBSTITUTE(LOWER(Registro!$G830),"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",LEN(Registro!$G830))),({1,2,3,4,5,6,7,8,9,10,11,12,13,14,15,16,17,18,19,20,21,22,23,24,25,26,27,28,29,30}-1)*LEN(Registro!$G830)+1,LEN(Registro!$G830))),FIND("x",TRIM(MID(SUBSTITUTE(SUBSTITUTE(SUBSTITUTE(SUBSTITUTE(SUBSTITUTE(LOWER(Registro!$G830),"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",LEN(Registro!$G830))),({1,2,3,4,5,6,7,8,9,10,11,12,13,14,15,16,17,18,19,20,21,22,23,24,25,26,27,28,29,30}-1)*LEN(Registro!$G830)+1,LEN(Registro!$G830)))&amp;"x")-1))),"Revisar formato")))</f>
        <v/>
      </c>
      <c r="I830" s="11" t="str">
        <f>IF(Registro!$G830="","",IF(ISERROR(FIND("x",LOWER(Registro!$G830))),N(Registro!$H830),IFERROR(SUMPRODUCT(--("0"&amp;LEFT(TRIM(MID(SUBSTITUTE(SUBSTITUTE(SUBSTITUTE(SUBSTITUTE(SUBSTITUTE(LOWER(Registro!$G830),"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",LEN(Registro!$G830))),({1,2,3,4,5,6,7,8,9,10,11,12,13,14,15,16,17,18,19,20,21,22,23,24,25,26,27,28,29,30}-1)*LEN(Registro!$G830)+1,LEN(Registro!$G830))),FIND("x",TRIM(MID(SUBSTITUTE(SUBSTITUTE(SUBSTITUTE(SUBSTITUTE(SUBSTITUTE(LOWER(Registro!$G830),"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",LEN(Registro!$G830))),({1,2,3,4,5,6,7,8,9,10,11,12,13,14,15,16,17,18,19,20,21,22,23,24,25,26,27,28,29,30}-1)*LEN(Registro!$G830)+1,LEN(Registro!$G830)))&amp;"x")-1)),--("0"&amp;MID(TRIM(MID(SUBSTITUTE(SUBSTITUTE(SUBSTITUTE(SUBSTITUTE(SUBSTITUTE(LOWER(Registro!$G830),"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",LEN(Registro!$G830))),({1,2,3,4,5,6,7,8,9,10,11,12,13,14,15,16,17,18,19,20,21,22,23,24,25,26,27,28,29,30}-1)*LEN(Registro!$G830)+1,LEN(Registro!$G830))),FIND("x",TRIM(MID(SUBSTITUTE(SUBSTITUTE(SUBSTITUTE(SUBSTITUTE(SUBSTITUTE(LOWER(Registro!$G830),"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",LEN(Registro!$G830))),({1,2,3,4,5,6,7,8,9,10,11,12,13,14,15,16,17,18,19,20,21,22,23,24,25,26,27,28,29,30}-1)*LEN(Registro!$G830)+1,LEN(Registro!$G830)))&amp;"x")+1,20))),"Revisar formato")))</f>
        <v/>
      </c>
      <c r="J830" s="9" t="str">
        <f>IF(AND(Registro!$E830="",Registro!$G830=""),"",IF(NOT(AND(ISNUMBER(I830),ISNUMBER(Registro!$H830))),"",IF(I830&lt;Registro!$H830,"FALTA BOLETOS",IF(I830=Registro!$H830,"CONFORME","DIFERENCIA"))))</f>
        <v/>
      </c>
      <c r="K830" s="11" t="str">
        <f>IF(Registro!$I830="","",IFERROR(SUMPRODUCT(--("0"&amp;TRIM(RIGHT(SUBSTITUTE(TRIM(MID(SUBSTITUTE(SUBSTITUTE(Registro!$I830,";",CHAR(10)),CHAR(10),REPT(" ",LEN(Registro!$I830))),({1,2,3,4,5,6,7,8,9,10,11,12,13,14,15,16,17,18,19,20,21,22,23,24,25,26,27,28,29,30}-1)*LEN(Registro!$I830)+1,LEN(Registro!$I830)))," ",REPT(" ",50)),50)))),"Revisar formato"))</f>
        <v/>
      </c>
      <c r="L830" s="11" t="str">
        <f>IF(Registro!$J830="","",IFERROR(SUMPRODUCT(--("0"&amp;TRIM(RIGHT(SUBSTITUTE(TRIM(MID(SUBSTITUTE(SUBSTITUTE(Registro!$J830,";",CHAR(10)),CHAR(10),REPT(" ",LEN(Registro!$J830))),({1,2,3,4,5,6,7,8,9,10,11,12,13,14,15,16,17,18,19,20,21,22,23,24,25,26,27,28,29,30}-1)*LEN(Registro!$J830)+1,LEN(Registro!$J830)))," ",REPT(" ",50)),50)))),"Revisar formato"))</f>
        <v/>
      </c>
      <c r="M830" s="11" t="str">
        <f>IF(AND(Registro!$H830="",Registro!$I830=""),"",IF(AND(ISTEXT(K830),K830&lt;&gt;""),"Revisar formato",N(Registro!$H830)-N(K830)))</f>
        <v/>
      </c>
      <c r="N830" s="11" t="str">
        <f t="shared" si="38"/>
        <v/>
      </c>
      <c r="O830" s="15" t="str">
        <f>IF(AND(A830=Consulta!$B$3,C830=Consulta!$H$3),B830*10000+ROW(),"")</f>
        <v/>
      </c>
    </row>
    <row r="831" spans="1:15" x14ac:dyDescent="0.25">
      <c r="A831" s="9" t="str">
        <f>IF(Registro!$A831="","",Registro!$A831)</f>
        <v/>
      </c>
      <c r="B831" s="8" t="str">
        <f>IF(Registro!$B831="","",Registro!$B831)</f>
        <v/>
      </c>
      <c r="C831" s="14" t="str">
        <f t="shared" si="36"/>
        <v/>
      </c>
      <c r="D831" s="10" t="str">
        <f>IF(Registro!$E831="","",IF(ISERROR(FIND("x",LOWER(Registro!$E831))),"-",IFERROR(SUMPRODUCT(--("0"&amp;LEFT(TRIM(MID(SUBSTITUTE(SUBSTITUTE(SUBSTITUTE(SUBSTITUTE(SUBSTITUTE(LOWER(Registro!$E831),"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",LEN(Registro!$E831))),({1,2,3,4,5,6,7,8,9,10,11,12,13,14,15,16,17,18,19,20,21,22,23,24,25,26,27,28,29,30}-1)*LEN(Registro!$E831)+1,LEN(Registro!$E831)))&amp;"x")-1))),"Revisar formato")))</f>
        <v/>
      </c>
      <c r="E831" s="11" t="str">
        <f>IF(Registro!$E831="","",IF(ISERROR(FIND("x",LOWER(Registro!$E831))),"-",IFERROR(SUMPRODUCT(--("0"&amp;LEFT(TRIM(MID(SUBSTITUTE(SUBSTITUTE(SUBSTITUTE(SUBSTITUTE(SUBSTITUTE(LOWER(Registro!$E831),"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",LEN(Registro!$E831))),({1,2,3,4,5,6,7,8,9,10,11,12,13,14,15,16,17,18,19,20,21,22,23,24,25,26,27,28,29,30}-1)*LEN(Registro!$E831)+1,LEN(Registro!$E831)))&amp;"x")-1)),--("0"&amp;MID(TRIM(MID(SUBSTITUTE(SUBSTITUTE(SUBSTITUTE(SUBSTITUTE(SUBSTITUTE(LOWER(Registro!$E831),"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",LEN(Registro!$E831))),({1,2,3,4,5,6,7,8,9,10,11,12,13,14,15,16,17,18,19,20,21,22,23,24,25,26,27,28,29,30}-1)*LEN(Registro!$E831)+1,LEN(Registro!$E831)))&amp;"x")+1,20))),"Revisar formato")))</f>
        <v/>
      </c>
      <c r="F831" s="11" t="str">
        <f>IF(Registro!$F831="","",N(Registro!$F831))</f>
        <v/>
      </c>
      <c r="G831" s="11" t="str">
        <f t="shared" si="37"/>
        <v/>
      </c>
      <c r="H831" s="10" t="str">
        <f>IF(Registro!$G831="","",IF(ISERROR(FIND("x",LOWER(Registro!$G831))),"-",IFERROR(SUMPRODUCT(--("0"&amp;LEFT(TRIM(MID(SUBSTITUTE(SUBSTITUTE(SUBSTITUTE(SUBSTITUTE(SUBSTITUTE(LOWER(Registro!$G831),"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",LEN(Registro!$G831))),({1,2,3,4,5,6,7,8,9,10,11,12,13,14,15,16,17,18,19,20,21,22,23,24,25,26,27,28,29,30}-1)*LEN(Registro!$G831)+1,LEN(Registro!$G831))),FIND("x",TRIM(MID(SUBSTITUTE(SUBSTITUTE(SUBSTITUTE(SUBSTITUTE(SUBSTITUTE(LOWER(Registro!$G831),"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",LEN(Registro!$G831))),({1,2,3,4,5,6,7,8,9,10,11,12,13,14,15,16,17,18,19,20,21,22,23,24,25,26,27,28,29,30}-1)*LEN(Registro!$G831)+1,LEN(Registro!$G831)))&amp;"x")-1))),"Revisar formato")))</f>
        <v/>
      </c>
      <c r="I831" s="11" t="str">
        <f>IF(Registro!$G831="","",IF(ISERROR(FIND("x",LOWER(Registro!$G831))),N(Registro!$H831),IFERROR(SUMPRODUCT(--("0"&amp;LEFT(TRIM(MID(SUBSTITUTE(SUBSTITUTE(SUBSTITUTE(SUBSTITUTE(SUBSTITUTE(LOWER(Registro!$G831),"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",LEN(Registro!$G831))),({1,2,3,4,5,6,7,8,9,10,11,12,13,14,15,16,17,18,19,20,21,22,23,24,25,26,27,28,29,30}-1)*LEN(Registro!$G831)+1,LEN(Registro!$G831))),FIND("x",TRIM(MID(SUBSTITUTE(SUBSTITUTE(SUBSTITUTE(SUBSTITUTE(SUBSTITUTE(LOWER(Registro!$G831),"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",LEN(Registro!$G831))),({1,2,3,4,5,6,7,8,9,10,11,12,13,14,15,16,17,18,19,20,21,22,23,24,25,26,27,28,29,30}-1)*LEN(Registro!$G831)+1,LEN(Registro!$G831)))&amp;"x")-1)),--("0"&amp;MID(TRIM(MID(SUBSTITUTE(SUBSTITUTE(SUBSTITUTE(SUBSTITUTE(SUBSTITUTE(LOWER(Registro!$G831),"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",LEN(Registro!$G831))),({1,2,3,4,5,6,7,8,9,10,11,12,13,14,15,16,17,18,19,20,21,22,23,24,25,26,27,28,29,30}-1)*LEN(Registro!$G831)+1,LEN(Registro!$G831))),FIND("x",TRIM(MID(SUBSTITUTE(SUBSTITUTE(SUBSTITUTE(SUBSTITUTE(SUBSTITUTE(LOWER(Registro!$G831),"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",LEN(Registro!$G831))),({1,2,3,4,5,6,7,8,9,10,11,12,13,14,15,16,17,18,19,20,21,22,23,24,25,26,27,28,29,30}-1)*LEN(Registro!$G831)+1,LEN(Registro!$G831)))&amp;"x")+1,20))),"Revisar formato")))</f>
        <v/>
      </c>
      <c r="J831" s="9" t="str">
        <f>IF(AND(Registro!$E831="",Registro!$G831=""),"",IF(NOT(AND(ISNUMBER(I831),ISNUMBER(Registro!$H831))),"",IF(I831&lt;Registro!$H831,"FALTA BOLETOS",IF(I831=Registro!$H831,"CONFORME","DIFERENCIA"))))</f>
        <v/>
      </c>
      <c r="K831" s="11" t="str">
        <f>IF(Registro!$I831="","",IFERROR(SUMPRODUCT(--("0"&amp;TRIM(RIGHT(SUBSTITUTE(TRIM(MID(SUBSTITUTE(SUBSTITUTE(Registro!$I831,";",CHAR(10)),CHAR(10),REPT(" ",LEN(Registro!$I831))),({1,2,3,4,5,6,7,8,9,10,11,12,13,14,15,16,17,18,19,20,21,22,23,24,25,26,27,28,29,30}-1)*LEN(Registro!$I831)+1,LEN(Registro!$I831)))," ",REPT(" ",50)),50)))),"Revisar formato"))</f>
        <v/>
      </c>
      <c r="L831" s="11" t="str">
        <f>IF(Registro!$J831="","",IFERROR(SUMPRODUCT(--("0"&amp;TRIM(RIGHT(SUBSTITUTE(TRIM(MID(SUBSTITUTE(SUBSTITUTE(Registro!$J831,";",CHAR(10)),CHAR(10),REPT(" ",LEN(Registro!$J831))),({1,2,3,4,5,6,7,8,9,10,11,12,13,14,15,16,17,18,19,20,21,22,23,24,25,26,27,28,29,30}-1)*LEN(Registro!$J831)+1,LEN(Registro!$J831)))," ",REPT(" ",50)),50)))),"Revisar formato"))</f>
        <v/>
      </c>
      <c r="M831" s="11" t="str">
        <f>IF(AND(Registro!$H831="",Registro!$I831=""),"",IF(AND(ISTEXT(K831),K831&lt;&gt;""),"Revisar formato",N(Registro!$H831)-N(K831)))</f>
        <v/>
      </c>
      <c r="N831" s="11" t="str">
        <f t="shared" si="38"/>
        <v/>
      </c>
      <c r="O831" s="15" t="str">
        <f>IF(AND(A831=Consulta!$B$3,C831=Consulta!$H$3),B831*10000+ROW(),"")</f>
        <v/>
      </c>
    </row>
    <row r="832" spans="1:15" x14ac:dyDescent="0.25">
      <c r="A832" s="9" t="str">
        <f>IF(Registro!$A832="","",Registro!$A832)</f>
        <v/>
      </c>
      <c r="B832" s="8" t="str">
        <f>IF(Registro!$B832="","",Registro!$B832)</f>
        <v/>
      </c>
      <c r="C832" s="14" t="str">
        <f t="shared" si="36"/>
        <v/>
      </c>
      <c r="D832" s="10" t="str">
        <f>IF(Registro!$E832="","",IF(ISERROR(FIND("x",LOWER(Registro!$E832))),"-",IFERROR(SUMPRODUCT(--("0"&amp;LEFT(TRIM(MID(SUBSTITUTE(SUBSTITUTE(SUBSTITUTE(SUBSTITUTE(SUBSTITUTE(LOWER(Registro!$E832),"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",LEN(Registro!$E832))),({1,2,3,4,5,6,7,8,9,10,11,12,13,14,15,16,17,18,19,20,21,22,23,24,25,26,27,28,29,30}-1)*LEN(Registro!$E832)+1,LEN(Registro!$E832)))&amp;"x")-1))),"Revisar formato")))</f>
        <v/>
      </c>
      <c r="E832" s="11" t="str">
        <f>IF(Registro!$E832="","",IF(ISERROR(FIND("x",LOWER(Registro!$E832))),"-",IFERROR(SUMPRODUCT(--("0"&amp;LEFT(TRIM(MID(SUBSTITUTE(SUBSTITUTE(SUBSTITUTE(SUBSTITUTE(SUBSTITUTE(LOWER(Registro!$E832),"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",LEN(Registro!$E832))),({1,2,3,4,5,6,7,8,9,10,11,12,13,14,15,16,17,18,19,20,21,22,23,24,25,26,27,28,29,30}-1)*LEN(Registro!$E832)+1,LEN(Registro!$E832)))&amp;"x")-1)),--("0"&amp;MID(TRIM(MID(SUBSTITUTE(SUBSTITUTE(SUBSTITUTE(SUBSTITUTE(SUBSTITUTE(LOWER(Registro!$E832),"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",LEN(Registro!$E832))),({1,2,3,4,5,6,7,8,9,10,11,12,13,14,15,16,17,18,19,20,21,22,23,24,25,26,27,28,29,30}-1)*LEN(Registro!$E832)+1,LEN(Registro!$E832)))&amp;"x")+1,20))),"Revisar formato")))</f>
        <v/>
      </c>
      <c r="F832" s="11" t="str">
        <f>IF(Registro!$F832="","",N(Registro!$F832))</f>
        <v/>
      </c>
      <c r="G832" s="11" t="str">
        <f t="shared" si="37"/>
        <v/>
      </c>
      <c r="H832" s="10" t="str">
        <f>IF(Registro!$G832="","",IF(ISERROR(FIND("x",LOWER(Registro!$G832))),"-",IFERROR(SUMPRODUCT(--("0"&amp;LEFT(TRIM(MID(SUBSTITUTE(SUBSTITUTE(SUBSTITUTE(SUBSTITUTE(SUBSTITUTE(LOWER(Registro!$G832),"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",LEN(Registro!$G832))),({1,2,3,4,5,6,7,8,9,10,11,12,13,14,15,16,17,18,19,20,21,22,23,24,25,26,27,28,29,30}-1)*LEN(Registro!$G832)+1,LEN(Registro!$G832))),FIND("x",TRIM(MID(SUBSTITUTE(SUBSTITUTE(SUBSTITUTE(SUBSTITUTE(SUBSTITUTE(LOWER(Registro!$G832),"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",LEN(Registro!$G832))),({1,2,3,4,5,6,7,8,9,10,11,12,13,14,15,16,17,18,19,20,21,22,23,24,25,26,27,28,29,30}-1)*LEN(Registro!$G832)+1,LEN(Registro!$G832)))&amp;"x")-1))),"Revisar formato")))</f>
        <v/>
      </c>
      <c r="I832" s="11" t="str">
        <f>IF(Registro!$G832="","",IF(ISERROR(FIND("x",LOWER(Registro!$G832))),N(Registro!$H832),IFERROR(SUMPRODUCT(--("0"&amp;LEFT(TRIM(MID(SUBSTITUTE(SUBSTITUTE(SUBSTITUTE(SUBSTITUTE(SUBSTITUTE(LOWER(Registro!$G832),"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",LEN(Registro!$G832))),({1,2,3,4,5,6,7,8,9,10,11,12,13,14,15,16,17,18,19,20,21,22,23,24,25,26,27,28,29,30}-1)*LEN(Registro!$G832)+1,LEN(Registro!$G832))),FIND("x",TRIM(MID(SUBSTITUTE(SUBSTITUTE(SUBSTITUTE(SUBSTITUTE(SUBSTITUTE(LOWER(Registro!$G832),"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",LEN(Registro!$G832))),({1,2,3,4,5,6,7,8,9,10,11,12,13,14,15,16,17,18,19,20,21,22,23,24,25,26,27,28,29,30}-1)*LEN(Registro!$G832)+1,LEN(Registro!$G832)))&amp;"x")-1)),--("0"&amp;MID(TRIM(MID(SUBSTITUTE(SUBSTITUTE(SUBSTITUTE(SUBSTITUTE(SUBSTITUTE(LOWER(Registro!$G832),"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",LEN(Registro!$G832))),({1,2,3,4,5,6,7,8,9,10,11,12,13,14,15,16,17,18,19,20,21,22,23,24,25,26,27,28,29,30}-1)*LEN(Registro!$G832)+1,LEN(Registro!$G832))),FIND("x",TRIM(MID(SUBSTITUTE(SUBSTITUTE(SUBSTITUTE(SUBSTITUTE(SUBSTITUTE(LOWER(Registro!$G832),"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",LEN(Registro!$G832))),({1,2,3,4,5,6,7,8,9,10,11,12,13,14,15,16,17,18,19,20,21,22,23,24,25,26,27,28,29,30}-1)*LEN(Registro!$G832)+1,LEN(Registro!$G832)))&amp;"x")+1,20))),"Revisar formato")))</f>
        <v/>
      </c>
      <c r="J832" s="9" t="str">
        <f>IF(AND(Registro!$E832="",Registro!$G832=""),"",IF(NOT(AND(ISNUMBER(I832),ISNUMBER(Registro!$H832))),"",IF(I832&lt;Registro!$H832,"FALTA BOLETOS",IF(I832=Registro!$H832,"CONFORME","DIFERENCIA"))))</f>
        <v/>
      </c>
      <c r="K832" s="11" t="str">
        <f>IF(Registro!$I832="","",IFERROR(SUMPRODUCT(--("0"&amp;TRIM(RIGHT(SUBSTITUTE(TRIM(MID(SUBSTITUTE(SUBSTITUTE(Registro!$I832,";",CHAR(10)),CHAR(10),REPT(" ",LEN(Registro!$I832))),({1,2,3,4,5,6,7,8,9,10,11,12,13,14,15,16,17,18,19,20,21,22,23,24,25,26,27,28,29,30}-1)*LEN(Registro!$I832)+1,LEN(Registro!$I832)))," ",REPT(" ",50)),50)))),"Revisar formato"))</f>
        <v/>
      </c>
      <c r="L832" s="11" t="str">
        <f>IF(Registro!$J832="","",IFERROR(SUMPRODUCT(--("0"&amp;TRIM(RIGHT(SUBSTITUTE(TRIM(MID(SUBSTITUTE(SUBSTITUTE(Registro!$J832,";",CHAR(10)),CHAR(10),REPT(" ",LEN(Registro!$J832))),({1,2,3,4,5,6,7,8,9,10,11,12,13,14,15,16,17,18,19,20,21,22,23,24,25,26,27,28,29,30}-1)*LEN(Registro!$J832)+1,LEN(Registro!$J832)))," ",REPT(" ",50)),50)))),"Revisar formato"))</f>
        <v/>
      </c>
      <c r="M832" s="11" t="str">
        <f>IF(AND(Registro!$H832="",Registro!$I832=""),"",IF(AND(ISTEXT(K832),K832&lt;&gt;""),"Revisar formato",N(Registro!$H832)-N(K832)))</f>
        <v/>
      </c>
      <c r="N832" s="11" t="str">
        <f t="shared" si="38"/>
        <v/>
      </c>
      <c r="O832" s="15" t="str">
        <f>IF(AND(A832=Consulta!$B$3,C832=Consulta!$H$3),B832*10000+ROW(),"")</f>
        <v/>
      </c>
    </row>
    <row r="833" spans="1:15" x14ac:dyDescent="0.25">
      <c r="A833" s="9" t="str">
        <f>IF(Registro!$A833="","",Registro!$A833)</f>
        <v/>
      </c>
      <c r="B833" s="8" t="str">
        <f>IF(Registro!$B833="","",Registro!$B833)</f>
        <v/>
      </c>
      <c r="C833" s="14" t="str">
        <f t="shared" si="36"/>
        <v/>
      </c>
      <c r="D833" s="10" t="str">
        <f>IF(Registro!$E833="","",IF(ISERROR(FIND("x",LOWER(Registro!$E833))),"-",IFERROR(SUMPRODUCT(--("0"&amp;LEFT(TRIM(MID(SUBSTITUTE(SUBSTITUTE(SUBSTITUTE(SUBSTITUTE(SUBSTITUTE(LOWER(Registro!$E833),"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",LEN(Registro!$E833))),({1,2,3,4,5,6,7,8,9,10,11,12,13,14,15,16,17,18,19,20,21,22,23,24,25,26,27,28,29,30}-1)*LEN(Registro!$E833)+1,LEN(Registro!$E833)))&amp;"x")-1))),"Revisar formato")))</f>
        <v/>
      </c>
      <c r="E833" s="11" t="str">
        <f>IF(Registro!$E833="","",IF(ISERROR(FIND("x",LOWER(Registro!$E833))),"-",IFERROR(SUMPRODUCT(--("0"&amp;LEFT(TRIM(MID(SUBSTITUTE(SUBSTITUTE(SUBSTITUTE(SUBSTITUTE(SUBSTITUTE(LOWER(Registro!$E833),"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",LEN(Registro!$E833))),({1,2,3,4,5,6,7,8,9,10,11,12,13,14,15,16,17,18,19,20,21,22,23,24,25,26,27,28,29,30}-1)*LEN(Registro!$E833)+1,LEN(Registro!$E833)))&amp;"x")-1)),--("0"&amp;MID(TRIM(MID(SUBSTITUTE(SUBSTITUTE(SUBSTITUTE(SUBSTITUTE(SUBSTITUTE(LOWER(Registro!$E833),"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",LEN(Registro!$E833))),({1,2,3,4,5,6,7,8,9,10,11,12,13,14,15,16,17,18,19,20,21,22,23,24,25,26,27,28,29,30}-1)*LEN(Registro!$E833)+1,LEN(Registro!$E833)))&amp;"x")+1,20))),"Revisar formato")))</f>
        <v/>
      </c>
      <c r="F833" s="11" t="str">
        <f>IF(Registro!$F833="","",N(Registro!$F833))</f>
        <v/>
      </c>
      <c r="G833" s="11" t="str">
        <f t="shared" si="37"/>
        <v/>
      </c>
      <c r="H833" s="10" t="str">
        <f>IF(Registro!$G833="","",IF(ISERROR(FIND("x",LOWER(Registro!$G833))),"-",IFERROR(SUMPRODUCT(--("0"&amp;LEFT(TRIM(MID(SUBSTITUTE(SUBSTITUTE(SUBSTITUTE(SUBSTITUTE(SUBSTITUTE(LOWER(Registro!$G833),"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",LEN(Registro!$G833))),({1,2,3,4,5,6,7,8,9,10,11,12,13,14,15,16,17,18,19,20,21,22,23,24,25,26,27,28,29,30}-1)*LEN(Registro!$G833)+1,LEN(Registro!$G833))),FIND("x",TRIM(MID(SUBSTITUTE(SUBSTITUTE(SUBSTITUTE(SUBSTITUTE(SUBSTITUTE(LOWER(Registro!$G833),"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",LEN(Registro!$G833))),({1,2,3,4,5,6,7,8,9,10,11,12,13,14,15,16,17,18,19,20,21,22,23,24,25,26,27,28,29,30}-1)*LEN(Registro!$G833)+1,LEN(Registro!$G833)))&amp;"x")-1))),"Revisar formato")))</f>
        <v/>
      </c>
      <c r="I833" s="11" t="str">
        <f>IF(Registro!$G833="","",IF(ISERROR(FIND("x",LOWER(Registro!$G833))),N(Registro!$H833),IFERROR(SUMPRODUCT(--("0"&amp;LEFT(TRIM(MID(SUBSTITUTE(SUBSTITUTE(SUBSTITUTE(SUBSTITUTE(SUBSTITUTE(LOWER(Registro!$G833),"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",LEN(Registro!$G833))),({1,2,3,4,5,6,7,8,9,10,11,12,13,14,15,16,17,18,19,20,21,22,23,24,25,26,27,28,29,30}-1)*LEN(Registro!$G833)+1,LEN(Registro!$G833))),FIND("x",TRIM(MID(SUBSTITUTE(SUBSTITUTE(SUBSTITUTE(SUBSTITUTE(SUBSTITUTE(LOWER(Registro!$G833),"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",LEN(Registro!$G833))),({1,2,3,4,5,6,7,8,9,10,11,12,13,14,15,16,17,18,19,20,21,22,23,24,25,26,27,28,29,30}-1)*LEN(Registro!$G833)+1,LEN(Registro!$G833)))&amp;"x")-1)),--("0"&amp;MID(TRIM(MID(SUBSTITUTE(SUBSTITUTE(SUBSTITUTE(SUBSTITUTE(SUBSTITUTE(LOWER(Registro!$G833),"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",LEN(Registro!$G833))),({1,2,3,4,5,6,7,8,9,10,11,12,13,14,15,16,17,18,19,20,21,22,23,24,25,26,27,28,29,30}-1)*LEN(Registro!$G833)+1,LEN(Registro!$G833))),FIND("x",TRIM(MID(SUBSTITUTE(SUBSTITUTE(SUBSTITUTE(SUBSTITUTE(SUBSTITUTE(LOWER(Registro!$G833),"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",LEN(Registro!$G833))),({1,2,3,4,5,6,7,8,9,10,11,12,13,14,15,16,17,18,19,20,21,22,23,24,25,26,27,28,29,30}-1)*LEN(Registro!$G833)+1,LEN(Registro!$G833)))&amp;"x")+1,20))),"Revisar formato")))</f>
        <v/>
      </c>
      <c r="J833" s="9" t="str">
        <f>IF(AND(Registro!$E833="",Registro!$G833=""),"",IF(NOT(AND(ISNUMBER(I833),ISNUMBER(Registro!$H833))),"",IF(I833&lt;Registro!$H833,"FALTA BOLETOS",IF(I833=Registro!$H833,"CONFORME","DIFERENCIA"))))</f>
        <v/>
      </c>
      <c r="K833" s="11" t="str">
        <f>IF(Registro!$I833="","",IFERROR(SUMPRODUCT(--("0"&amp;TRIM(RIGHT(SUBSTITUTE(TRIM(MID(SUBSTITUTE(SUBSTITUTE(Registro!$I833,";",CHAR(10)),CHAR(10),REPT(" ",LEN(Registro!$I833))),({1,2,3,4,5,6,7,8,9,10,11,12,13,14,15,16,17,18,19,20,21,22,23,24,25,26,27,28,29,30}-1)*LEN(Registro!$I833)+1,LEN(Registro!$I833)))," ",REPT(" ",50)),50)))),"Revisar formato"))</f>
        <v/>
      </c>
      <c r="L833" s="11" t="str">
        <f>IF(Registro!$J833="","",IFERROR(SUMPRODUCT(--("0"&amp;TRIM(RIGHT(SUBSTITUTE(TRIM(MID(SUBSTITUTE(SUBSTITUTE(Registro!$J833,";",CHAR(10)),CHAR(10),REPT(" ",LEN(Registro!$J833))),({1,2,3,4,5,6,7,8,9,10,11,12,13,14,15,16,17,18,19,20,21,22,23,24,25,26,27,28,29,30}-1)*LEN(Registro!$J833)+1,LEN(Registro!$J833)))," ",REPT(" ",50)),50)))),"Revisar formato"))</f>
        <v/>
      </c>
      <c r="M833" s="11" t="str">
        <f>IF(AND(Registro!$H833="",Registro!$I833=""),"",IF(AND(ISTEXT(K833),K833&lt;&gt;""),"Revisar formato",N(Registro!$H833)-N(K833)))</f>
        <v/>
      </c>
      <c r="N833" s="11" t="str">
        <f t="shared" si="38"/>
        <v/>
      </c>
      <c r="O833" s="15" t="str">
        <f>IF(AND(A833=Consulta!$B$3,C833=Consulta!$H$3),B833*10000+ROW(),"")</f>
        <v/>
      </c>
    </row>
    <row r="834" spans="1:15" x14ac:dyDescent="0.25">
      <c r="A834" s="9" t="str">
        <f>IF(Registro!$A834="","",Registro!$A834)</f>
        <v/>
      </c>
      <c r="B834" s="8" t="str">
        <f>IF(Registro!$B834="","",Registro!$B834)</f>
        <v/>
      </c>
      <c r="C834" s="14" t="str">
        <f t="shared" ref="C834:C897" si="39">IF(ISNUMBER(B834),YEAR(B834)*100+MONTH(B834),"")</f>
        <v/>
      </c>
      <c r="D834" s="10" t="str">
        <f>IF(Registro!$E834="","",IF(ISERROR(FIND("x",LOWER(Registro!$E834))),"-",IFERROR(SUMPRODUCT(--("0"&amp;LEFT(TRIM(MID(SUBSTITUTE(SUBSTITUTE(SUBSTITUTE(SUBSTITUTE(SUBSTITUTE(LOWER(Registro!$E834),"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",LEN(Registro!$E834))),({1,2,3,4,5,6,7,8,9,10,11,12,13,14,15,16,17,18,19,20,21,22,23,24,25,26,27,28,29,30}-1)*LEN(Registro!$E834)+1,LEN(Registro!$E834)))&amp;"x")-1))),"Revisar formato")))</f>
        <v/>
      </c>
      <c r="E834" s="11" t="str">
        <f>IF(Registro!$E834="","",IF(ISERROR(FIND("x",LOWER(Registro!$E834))),"-",IFERROR(SUMPRODUCT(--("0"&amp;LEFT(TRIM(MID(SUBSTITUTE(SUBSTITUTE(SUBSTITUTE(SUBSTITUTE(SUBSTITUTE(LOWER(Registro!$E834),"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",LEN(Registro!$E834))),({1,2,3,4,5,6,7,8,9,10,11,12,13,14,15,16,17,18,19,20,21,22,23,24,25,26,27,28,29,30}-1)*LEN(Registro!$E834)+1,LEN(Registro!$E834)))&amp;"x")-1)),--("0"&amp;MID(TRIM(MID(SUBSTITUTE(SUBSTITUTE(SUBSTITUTE(SUBSTITUTE(SUBSTITUTE(LOWER(Registro!$E834),"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",LEN(Registro!$E834))),({1,2,3,4,5,6,7,8,9,10,11,12,13,14,15,16,17,18,19,20,21,22,23,24,25,26,27,28,29,30}-1)*LEN(Registro!$E834)+1,LEN(Registro!$E834)))&amp;"x")+1,20))),"Revisar formato")))</f>
        <v/>
      </c>
      <c r="F834" s="11" t="str">
        <f>IF(Registro!$F834="","",N(Registro!$F834))</f>
        <v/>
      </c>
      <c r="G834" s="11" t="str">
        <f t="shared" ref="G834:G897" si="40">IF(AND(E834="",F834=""),"",IF(OR(E834="",ISNUMBER(E834)),N(E834)-N(F834),E834))</f>
        <v/>
      </c>
      <c r="H834" s="10" t="str">
        <f>IF(Registro!$G834="","",IF(ISERROR(FIND("x",LOWER(Registro!$G834))),"-",IFERROR(SUMPRODUCT(--("0"&amp;LEFT(TRIM(MID(SUBSTITUTE(SUBSTITUTE(SUBSTITUTE(SUBSTITUTE(SUBSTITUTE(LOWER(Registro!$G834),"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",LEN(Registro!$G834))),({1,2,3,4,5,6,7,8,9,10,11,12,13,14,15,16,17,18,19,20,21,22,23,24,25,26,27,28,29,30}-1)*LEN(Registro!$G834)+1,LEN(Registro!$G834))),FIND("x",TRIM(MID(SUBSTITUTE(SUBSTITUTE(SUBSTITUTE(SUBSTITUTE(SUBSTITUTE(LOWER(Registro!$G834),"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",LEN(Registro!$G834))),({1,2,3,4,5,6,7,8,9,10,11,12,13,14,15,16,17,18,19,20,21,22,23,24,25,26,27,28,29,30}-1)*LEN(Registro!$G834)+1,LEN(Registro!$G834)))&amp;"x")-1))),"Revisar formato")))</f>
        <v/>
      </c>
      <c r="I834" s="11" t="str">
        <f>IF(Registro!$G834="","",IF(ISERROR(FIND("x",LOWER(Registro!$G834))),N(Registro!$H834),IFERROR(SUMPRODUCT(--("0"&amp;LEFT(TRIM(MID(SUBSTITUTE(SUBSTITUTE(SUBSTITUTE(SUBSTITUTE(SUBSTITUTE(LOWER(Registro!$G834),"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",LEN(Registro!$G834))),({1,2,3,4,5,6,7,8,9,10,11,12,13,14,15,16,17,18,19,20,21,22,23,24,25,26,27,28,29,30}-1)*LEN(Registro!$G834)+1,LEN(Registro!$G834))),FIND("x",TRIM(MID(SUBSTITUTE(SUBSTITUTE(SUBSTITUTE(SUBSTITUTE(SUBSTITUTE(LOWER(Registro!$G834),"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",LEN(Registro!$G834))),({1,2,3,4,5,6,7,8,9,10,11,12,13,14,15,16,17,18,19,20,21,22,23,24,25,26,27,28,29,30}-1)*LEN(Registro!$G834)+1,LEN(Registro!$G834)))&amp;"x")-1)),--("0"&amp;MID(TRIM(MID(SUBSTITUTE(SUBSTITUTE(SUBSTITUTE(SUBSTITUTE(SUBSTITUTE(LOWER(Registro!$G834),"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",LEN(Registro!$G834))),({1,2,3,4,5,6,7,8,9,10,11,12,13,14,15,16,17,18,19,20,21,22,23,24,25,26,27,28,29,30}-1)*LEN(Registro!$G834)+1,LEN(Registro!$G834))),FIND("x",TRIM(MID(SUBSTITUTE(SUBSTITUTE(SUBSTITUTE(SUBSTITUTE(SUBSTITUTE(LOWER(Registro!$G834),"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",LEN(Registro!$G834))),({1,2,3,4,5,6,7,8,9,10,11,12,13,14,15,16,17,18,19,20,21,22,23,24,25,26,27,28,29,30}-1)*LEN(Registro!$G834)+1,LEN(Registro!$G834)))&amp;"x")+1,20))),"Revisar formato")))</f>
        <v/>
      </c>
      <c r="J834" s="9" t="str">
        <f>IF(AND(Registro!$E834="",Registro!$G834=""),"",IF(NOT(AND(ISNUMBER(I834),ISNUMBER(Registro!$H834))),"",IF(I834&lt;Registro!$H834,"FALTA BOLETOS",IF(I834=Registro!$H834,"CONFORME","DIFERENCIA"))))</f>
        <v/>
      </c>
      <c r="K834" s="11" t="str">
        <f>IF(Registro!$I834="","",IFERROR(SUMPRODUCT(--("0"&amp;TRIM(RIGHT(SUBSTITUTE(TRIM(MID(SUBSTITUTE(SUBSTITUTE(Registro!$I834,";",CHAR(10)),CHAR(10),REPT(" ",LEN(Registro!$I834))),({1,2,3,4,5,6,7,8,9,10,11,12,13,14,15,16,17,18,19,20,21,22,23,24,25,26,27,28,29,30}-1)*LEN(Registro!$I834)+1,LEN(Registro!$I834)))," ",REPT(" ",50)),50)))),"Revisar formato"))</f>
        <v/>
      </c>
      <c r="L834" s="11" t="str">
        <f>IF(Registro!$J834="","",IFERROR(SUMPRODUCT(--("0"&amp;TRIM(RIGHT(SUBSTITUTE(TRIM(MID(SUBSTITUTE(SUBSTITUTE(Registro!$J834,";",CHAR(10)),CHAR(10),REPT(" ",LEN(Registro!$J834))),({1,2,3,4,5,6,7,8,9,10,11,12,13,14,15,16,17,18,19,20,21,22,23,24,25,26,27,28,29,30}-1)*LEN(Registro!$J834)+1,LEN(Registro!$J834)))," ",REPT(" ",50)),50)))),"Revisar formato"))</f>
        <v/>
      </c>
      <c r="M834" s="11" t="str">
        <f>IF(AND(Registro!$H834="",Registro!$I834=""),"",IF(AND(ISTEXT(K834),K834&lt;&gt;""),"Revisar formato",N(Registro!$H834)-N(K834)))</f>
        <v/>
      </c>
      <c r="N834" s="11" t="str">
        <f t="shared" ref="N834:N897" si="41">IF(M834="","",IF(OR(M834="Revisar formato",AND(ISTEXT(L834),L834&lt;&gt;"")),"Revisar formato",M834-N(L834)))</f>
        <v/>
      </c>
      <c r="O834" s="15" t="str">
        <f>IF(AND(A834=Consulta!$B$3,C834=Consulta!$H$3),B834*10000+ROW(),"")</f>
        <v/>
      </c>
    </row>
    <row r="835" spans="1:15" x14ac:dyDescent="0.25">
      <c r="A835" s="9" t="str">
        <f>IF(Registro!$A835="","",Registro!$A835)</f>
        <v/>
      </c>
      <c r="B835" s="8" t="str">
        <f>IF(Registro!$B835="","",Registro!$B835)</f>
        <v/>
      </c>
      <c r="C835" s="14" t="str">
        <f t="shared" si="39"/>
        <v/>
      </c>
      <c r="D835" s="10" t="str">
        <f>IF(Registro!$E835="","",IF(ISERROR(FIND("x",LOWER(Registro!$E835))),"-",IFERROR(SUMPRODUCT(--("0"&amp;LEFT(TRIM(MID(SUBSTITUTE(SUBSTITUTE(SUBSTITUTE(SUBSTITUTE(SUBSTITUTE(LOWER(Registro!$E835),"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",LEN(Registro!$E835))),({1,2,3,4,5,6,7,8,9,10,11,12,13,14,15,16,17,18,19,20,21,22,23,24,25,26,27,28,29,30}-1)*LEN(Registro!$E835)+1,LEN(Registro!$E835)))&amp;"x")-1))),"Revisar formato")))</f>
        <v/>
      </c>
      <c r="E835" s="11" t="str">
        <f>IF(Registro!$E835="","",IF(ISERROR(FIND("x",LOWER(Registro!$E835))),"-",IFERROR(SUMPRODUCT(--("0"&amp;LEFT(TRIM(MID(SUBSTITUTE(SUBSTITUTE(SUBSTITUTE(SUBSTITUTE(SUBSTITUTE(LOWER(Registro!$E835),"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",LEN(Registro!$E835))),({1,2,3,4,5,6,7,8,9,10,11,12,13,14,15,16,17,18,19,20,21,22,23,24,25,26,27,28,29,30}-1)*LEN(Registro!$E835)+1,LEN(Registro!$E835)))&amp;"x")-1)),--("0"&amp;MID(TRIM(MID(SUBSTITUTE(SUBSTITUTE(SUBSTITUTE(SUBSTITUTE(SUBSTITUTE(LOWER(Registro!$E835),"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",LEN(Registro!$E835))),({1,2,3,4,5,6,7,8,9,10,11,12,13,14,15,16,17,18,19,20,21,22,23,24,25,26,27,28,29,30}-1)*LEN(Registro!$E835)+1,LEN(Registro!$E835)))&amp;"x")+1,20))),"Revisar formato")))</f>
        <v/>
      </c>
      <c r="F835" s="11" t="str">
        <f>IF(Registro!$F835="","",N(Registro!$F835))</f>
        <v/>
      </c>
      <c r="G835" s="11" t="str">
        <f t="shared" si="40"/>
        <v/>
      </c>
      <c r="H835" s="10" t="str">
        <f>IF(Registro!$G835="","",IF(ISERROR(FIND("x",LOWER(Registro!$G835))),"-",IFERROR(SUMPRODUCT(--("0"&amp;LEFT(TRIM(MID(SUBSTITUTE(SUBSTITUTE(SUBSTITUTE(SUBSTITUTE(SUBSTITUTE(LOWER(Registro!$G835),"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",LEN(Registro!$G835))),({1,2,3,4,5,6,7,8,9,10,11,12,13,14,15,16,17,18,19,20,21,22,23,24,25,26,27,28,29,30}-1)*LEN(Registro!$G835)+1,LEN(Registro!$G835))),FIND("x",TRIM(MID(SUBSTITUTE(SUBSTITUTE(SUBSTITUTE(SUBSTITUTE(SUBSTITUTE(LOWER(Registro!$G835),"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",LEN(Registro!$G835))),({1,2,3,4,5,6,7,8,9,10,11,12,13,14,15,16,17,18,19,20,21,22,23,24,25,26,27,28,29,30}-1)*LEN(Registro!$G835)+1,LEN(Registro!$G835)))&amp;"x")-1))),"Revisar formato")))</f>
        <v/>
      </c>
      <c r="I835" s="11" t="str">
        <f>IF(Registro!$G835="","",IF(ISERROR(FIND("x",LOWER(Registro!$G835))),N(Registro!$H835),IFERROR(SUMPRODUCT(--("0"&amp;LEFT(TRIM(MID(SUBSTITUTE(SUBSTITUTE(SUBSTITUTE(SUBSTITUTE(SUBSTITUTE(LOWER(Registro!$G835),"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",LEN(Registro!$G835))),({1,2,3,4,5,6,7,8,9,10,11,12,13,14,15,16,17,18,19,20,21,22,23,24,25,26,27,28,29,30}-1)*LEN(Registro!$G835)+1,LEN(Registro!$G835))),FIND("x",TRIM(MID(SUBSTITUTE(SUBSTITUTE(SUBSTITUTE(SUBSTITUTE(SUBSTITUTE(LOWER(Registro!$G835),"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",LEN(Registro!$G835))),({1,2,3,4,5,6,7,8,9,10,11,12,13,14,15,16,17,18,19,20,21,22,23,24,25,26,27,28,29,30}-1)*LEN(Registro!$G835)+1,LEN(Registro!$G835)))&amp;"x")-1)),--("0"&amp;MID(TRIM(MID(SUBSTITUTE(SUBSTITUTE(SUBSTITUTE(SUBSTITUTE(SUBSTITUTE(LOWER(Registro!$G835),"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",LEN(Registro!$G835))),({1,2,3,4,5,6,7,8,9,10,11,12,13,14,15,16,17,18,19,20,21,22,23,24,25,26,27,28,29,30}-1)*LEN(Registro!$G835)+1,LEN(Registro!$G835))),FIND("x",TRIM(MID(SUBSTITUTE(SUBSTITUTE(SUBSTITUTE(SUBSTITUTE(SUBSTITUTE(LOWER(Registro!$G835),"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",LEN(Registro!$G835))),({1,2,3,4,5,6,7,8,9,10,11,12,13,14,15,16,17,18,19,20,21,22,23,24,25,26,27,28,29,30}-1)*LEN(Registro!$G835)+1,LEN(Registro!$G835)))&amp;"x")+1,20))),"Revisar formato")))</f>
        <v/>
      </c>
      <c r="J835" s="9" t="str">
        <f>IF(AND(Registro!$E835="",Registro!$G835=""),"",IF(NOT(AND(ISNUMBER(I835),ISNUMBER(Registro!$H835))),"",IF(I835&lt;Registro!$H835,"FALTA BOLETOS",IF(I835=Registro!$H835,"CONFORME","DIFERENCIA"))))</f>
        <v/>
      </c>
      <c r="K835" s="11" t="str">
        <f>IF(Registro!$I835="","",IFERROR(SUMPRODUCT(--("0"&amp;TRIM(RIGHT(SUBSTITUTE(TRIM(MID(SUBSTITUTE(SUBSTITUTE(Registro!$I835,";",CHAR(10)),CHAR(10),REPT(" ",LEN(Registro!$I835))),({1,2,3,4,5,6,7,8,9,10,11,12,13,14,15,16,17,18,19,20,21,22,23,24,25,26,27,28,29,30}-1)*LEN(Registro!$I835)+1,LEN(Registro!$I835)))," ",REPT(" ",50)),50)))),"Revisar formato"))</f>
        <v/>
      </c>
      <c r="L835" s="11" t="str">
        <f>IF(Registro!$J835="","",IFERROR(SUMPRODUCT(--("0"&amp;TRIM(RIGHT(SUBSTITUTE(TRIM(MID(SUBSTITUTE(SUBSTITUTE(Registro!$J835,";",CHAR(10)),CHAR(10),REPT(" ",LEN(Registro!$J835))),({1,2,3,4,5,6,7,8,9,10,11,12,13,14,15,16,17,18,19,20,21,22,23,24,25,26,27,28,29,30}-1)*LEN(Registro!$J835)+1,LEN(Registro!$J835)))," ",REPT(" ",50)),50)))),"Revisar formato"))</f>
        <v/>
      </c>
      <c r="M835" s="11" t="str">
        <f>IF(AND(Registro!$H835="",Registro!$I835=""),"",IF(AND(ISTEXT(K835),K835&lt;&gt;""),"Revisar formato",N(Registro!$H835)-N(K835)))</f>
        <v/>
      </c>
      <c r="N835" s="11" t="str">
        <f t="shared" si="41"/>
        <v/>
      </c>
      <c r="O835" s="15" t="str">
        <f>IF(AND(A835=Consulta!$B$3,C835=Consulta!$H$3),B835*10000+ROW(),"")</f>
        <v/>
      </c>
    </row>
    <row r="836" spans="1:15" x14ac:dyDescent="0.25">
      <c r="A836" s="9" t="str">
        <f>IF(Registro!$A836="","",Registro!$A836)</f>
        <v/>
      </c>
      <c r="B836" s="8" t="str">
        <f>IF(Registro!$B836="","",Registro!$B836)</f>
        <v/>
      </c>
      <c r="C836" s="14" t="str">
        <f t="shared" si="39"/>
        <v/>
      </c>
      <c r="D836" s="10" t="str">
        <f>IF(Registro!$E836="","",IF(ISERROR(FIND("x",LOWER(Registro!$E836))),"-",IFERROR(SUMPRODUCT(--("0"&amp;LEFT(TRIM(MID(SUBSTITUTE(SUBSTITUTE(SUBSTITUTE(SUBSTITUTE(SUBSTITUTE(LOWER(Registro!$E836),"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",LEN(Registro!$E836))),({1,2,3,4,5,6,7,8,9,10,11,12,13,14,15,16,17,18,19,20,21,22,23,24,25,26,27,28,29,30}-1)*LEN(Registro!$E836)+1,LEN(Registro!$E836)))&amp;"x")-1))),"Revisar formato")))</f>
        <v/>
      </c>
      <c r="E836" s="11" t="str">
        <f>IF(Registro!$E836="","",IF(ISERROR(FIND("x",LOWER(Registro!$E836))),"-",IFERROR(SUMPRODUCT(--("0"&amp;LEFT(TRIM(MID(SUBSTITUTE(SUBSTITUTE(SUBSTITUTE(SUBSTITUTE(SUBSTITUTE(LOWER(Registro!$E836),"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",LEN(Registro!$E836))),({1,2,3,4,5,6,7,8,9,10,11,12,13,14,15,16,17,18,19,20,21,22,23,24,25,26,27,28,29,30}-1)*LEN(Registro!$E836)+1,LEN(Registro!$E836)))&amp;"x")-1)),--("0"&amp;MID(TRIM(MID(SUBSTITUTE(SUBSTITUTE(SUBSTITUTE(SUBSTITUTE(SUBSTITUTE(LOWER(Registro!$E836),"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",LEN(Registro!$E836))),({1,2,3,4,5,6,7,8,9,10,11,12,13,14,15,16,17,18,19,20,21,22,23,24,25,26,27,28,29,30}-1)*LEN(Registro!$E836)+1,LEN(Registro!$E836)))&amp;"x")+1,20))),"Revisar formato")))</f>
        <v/>
      </c>
      <c r="F836" s="11" t="str">
        <f>IF(Registro!$F836="","",N(Registro!$F836))</f>
        <v/>
      </c>
      <c r="G836" s="11" t="str">
        <f t="shared" si="40"/>
        <v/>
      </c>
      <c r="H836" s="10" t="str">
        <f>IF(Registro!$G836="","",IF(ISERROR(FIND("x",LOWER(Registro!$G836))),"-",IFERROR(SUMPRODUCT(--("0"&amp;LEFT(TRIM(MID(SUBSTITUTE(SUBSTITUTE(SUBSTITUTE(SUBSTITUTE(SUBSTITUTE(LOWER(Registro!$G836),"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",LEN(Registro!$G836))),({1,2,3,4,5,6,7,8,9,10,11,12,13,14,15,16,17,18,19,20,21,22,23,24,25,26,27,28,29,30}-1)*LEN(Registro!$G836)+1,LEN(Registro!$G836))),FIND("x",TRIM(MID(SUBSTITUTE(SUBSTITUTE(SUBSTITUTE(SUBSTITUTE(SUBSTITUTE(LOWER(Registro!$G836),"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",LEN(Registro!$G836))),({1,2,3,4,5,6,7,8,9,10,11,12,13,14,15,16,17,18,19,20,21,22,23,24,25,26,27,28,29,30}-1)*LEN(Registro!$G836)+1,LEN(Registro!$G836)))&amp;"x")-1))),"Revisar formato")))</f>
        <v/>
      </c>
      <c r="I836" s="11" t="str">
        <f>IF(Registro!$G836="","",IF(ISERROR(FIND("x",LOWER(Registro!$G836))),N(Registro!$H836),IFERROR(SUMPRODUCT(--("0"&amp;LEFT(TRIM(MID(SUBSTITUTE(SUBSTITUTE(SUBSTITUTE(SUBSTITUTE(SUBSTITUTE(LOWER(Registro!$G836),"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",LEN(Registro!$G836))),({1,2,3,4,5,6,7,8,9,10,11,12,13,14,15,16,17,18,19,20,21,22,23,24,25,26,27,28,29,30}-1)*LEN(Registro!$G836)+1,LEN(Registro!$G836))),FIND("x",TRIM(MID(SUBSTITUTE(SUBSTITUTE(SUBSTITUTE(SUBSTITUTE(SUBSTITUTE(LOWER(Registro!$G836),"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",LEN(Registro!$G836))),({1,2,3,4,5,6,7,8,9,10,11,12,13,14,15,16,17,18,19,20,21,22,23,24,25,26,27,28,29,30}-1)*LEN(Registro!$G836)+1,LEN(Registro!$G836)))&amp;"x")-1)),--("0"&amp;MID(TRIM(MID(SUBSTITUTE(SUBSTITUTE(SUBSTITUTE(SUBSTITUTE(SUBSTITUTE(LOWER(Registro!$G836),"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",LEN(Registro!$G836))),({1,2,3,4,5,6,7,8,9,10,11,12,13,14,15,16,17,18,19,20,21,22,23,24,25,26,27,28,29,30}-1)*LEN(Registro!$G836)+1,LEN(Registro!$G836))),FIND("x",TRIM(MID(SUBSTITUTE(SUBSTITUTE(SUBSTITUTE(SUBSTITUTE(SUBSTITUTE(LOWER(Registro!$G836),"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",LEN(Registro!$G836))),({1,2,3,4,5,6,7,8,9,10,11,12,13,14,15,16,17,18,19,20,21,22,23,24,25,26,27,28,29,30}-1)*LEN(Registro!$G836)+1,LEN(Registro!$G836)))&amp;"x")+1,20))),"Revisar formato")))</f>
        <v/>
      </c>
      <c r="J836" s="9" t="str">
        <f>IF(AND(Registro!$E836="",Registro!$G836=""),"",IF(NOT(AND(ISNUMBER(I836),ISNUMBER(Registro!$H836))),"",IF(I836&lt;Registro!$H836,"FALTA BOLETOS",IF(I836=Registro!$H836,"CONFORME","DIFERENCIA"))))</f>
        <v/>
      </c>
      <c r="K836" s="11" t="str">
        <f>IF(Registro!$I836="","",IFERROR(SUMPRODUCT(--("0"&amp;TRIM(RIGHT(SUBSTITUTE(TRIM(MID(SUBSTITUTE(SUBSTITUTE(Registro!$I836,";",CHAR(10)),CHAR(10),REPT(" ",LEN(Registro!$I836))),({1,2,3,4,5,6,7,8,9,10,11,12,13,14,15,16,17,18,19,20,21,22,23,24,25,26,27,28,29,30}-1)*LEN(Registro!$I836)+1,LEN(Registro!$I836)))," ",REPT(" ",50)),50)))),"Revisar formato"))</f>
        <v/>
      </c>
      <c r="L836" s="11" t="str">
        <f>IF(Registro!$J836="","",IFERROR(SUMPRODUCT(--("0"&amp;TRIM(RIGHT(SUBSTITUTE(TRIM(MID(SUBSTITUTE(SUBSTITUTE(Registro!$J836,";",CHAR(10)),CHAR(10),REPT(" ",LEN(Registro!$J836))),({1,2,3,4,5,6,7,8,9,10,11,12,13,14,15,16,17,18,19,20,21,22,23,24,25,26,27,28,29,30}-1)*LEN(Registro!$J836)+1,LEN(Registro!$J836)))," ",REPT(" ",50)),50)))),"Revisar formato"))</f>
        <v/>
      </c>
      <c r="M836" s="11" t="str">
        <f>IF(AND(Registro!$H836="",Registro!$I836=""),"",IF(AND(ISTEXT(K836),K836&lt;&gt;""),"Revisar formato",N(Registro!$H836)-N(K836)))</f>
        <v/>
      </c>
      <c r="N836" s="11" t="str">
        <f t="shared" si="41"/>
        <v/>
      </c>
      <c r="O836" s="15" t="str">
        <f>IF(AND(A836=Consulta!$B$3,C836=Consulta!$H$3),B836*10000+ROW(),"")</f>
        <v/>
      </c>
    </row>
    <row r="837" spans="1:15" x14ac:dyDescent="0.25">
      <c r="A837" s="9" t="str">
        <f>IF(Registro!$A837="","",Registro!$A837)</f>
        <v/>
      </c>
      <c r="B837" s="8" t="str">
        <f>IF(Registro!$B837="","",Registro!$B837)</f>
        <v/>
      </c>
      <c r="C837" s="14" t="str">
        <f t="shared" si="39"/>
        <v/>
      </c>
      <c r="D837" s="10" t="str">
        <f>IF(Registro!$E837="","",IF(ISERROR(FIND("x",LOWER(Registro!$E837))),"-",IFERROR(SUMPRODUCT(--("0"&amp;LEFT(TRIM(MID(SUBSTITUTE(SUBSTITUTE(SUBSTITUTE(SUBSTITUTE(SUBSTITUTE(LOWER(Registro!$E837),"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",LEN(Registro!$E837))),({1,2,3,4,5,6,7,8,9,10,11,12,13,14,15,16,17,18,19,20,21,22,23,24,25,26,27,28,29,30}-1)*LEN(Registro!$E837)+1,LEN(Registro!$E837)))&amp;"x")-1))),"Revisar formato")))</f>
        <v/>
      </c>
      <c r="E837" s="11" t="str">
        <f>IF(Registro!$E837="","",IF(ISERROR(FIND("x",LOWER(Registro!$E837))),"-",IFERROR(SUMPRODUCT(--("0"&amp;LEFT(TRIM(MID(SUBSTITUTE(SUBSTITUTE(SUBSTITUTE(SUBSTITUTE(SUBSTITUTE(LOWER(Registro!$E837),"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",LEN(Registro!$E837))),({1,2,3,4,5,6,7,8,9,10,11,12,13,14,15,16,17,18,19,20,21,22,23,24,25,26,27,28,29,30}-1)*LEN(Registro!$E837)+1,LEN(Registro!$E837)))&amp;"x")-1)),--("0"&amp;MID(TRIM(MID(SUBSTITUTE(SUBSTITUTE(SUBSTITUTE(SUBSTITUTE(SUBSTITUTE(LOWER(Registro!$E837),"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",LEN(Registro!$E837))),({1,2,3,4,5,6,7,8,9,10,11,12,13,14,15,16,17,18,19,20,21,22,23,24,25,26,27,28,29,30}-1)*LEN(Registro!$E837)+1,LEN(Registro!$E837)))&amp;"x")+1,20))),"Revisar formato")))</f>
        <v/>
      </c>
      <c r="F837" s="11" t="str">
        <f>IF(Registro!$F837="","",N(Registro!$F837))</f>
        <v/>
      </c>
      <c r="G837" s="11" t="str">
        <f t="shared" si="40"/>
        <v/>
      </c>
      <c r="H837" s="10" t="str">
        <f>IF(Registro!$G837="","",IF(ISERROR(FIND("x",LOWER(Registro!$G837))),"-",IFERROR(SUMPRODUCT(--("0"&amp;LEFT(TRIM(MID(SUBSTITUTE(SUBSTITUTE(SUBSTITUTE(SUBSTITUTE(SUBSTITUTE(LOWER(Registro!$G837),"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",LEN(Registro!$G837))),({1,2,3,4,5,6,7,8,9,10,11,12,13,14,15,16,17,18,19,20,21,22,23,24,25,26,27,28,29,30}-1)*LEN(Registro!$G837)+1,LEN(Registro!$G837))),FIND("x",TRIM(MID(SUBSTITUTE(SUBSTITUTE(SUBSTITUTE(SUBSTITUTE(SUBSTITUTE(LOWER(Registro!$G837),"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",LEN(Registro!$G837))),({1,2,3,4,5,6,7,8,9,10,11,12,13,14,15,16,17,18,19,20,21,22,23,24,25,26,27,28,29,30}-1)*LEN(Registro!$G837)+1,LEN(Registro!$G837)))&amp;"x")-1))),"Revisar formato")))</f>
        <v/>
      </c>
      <c r="I837" s="11" t="str">
        <f>IF(Registro!$G837="","",IF(ISERROR(FIND("x",LOWER(Registro!$G837))),N(Registro!$H837),IFERROR(SUMPRODUCT(--("0"&amp;LEFT(TRIM(MID(SUBSTITUTE(SUBSTITUTE(SUBSTITUTE(SUBSTITUTE(SUBSTITUTE(LOWER(Registro!$G837),"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",LEN(Registro!$G837))),({1,2,3,4,5,6,7,8,9,10,11,12,13,14,15,16,17,18,19,20,21,22,23,24,25,26,27,28,29,30}-1)*LEN(Registro!$G837)+1,LEN(Registro!$G837))),FIND("x",TRIM(MID(SUBSTITUTE(SUBSTITUTE(SUBSTITUTE(SUBSTITUTE(SUBSTITUTE(LOWER(Registro!$G837),"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",LEN(Registro!$G837))),({1,2,3,4,5,6,7,8,9,10,11,12,13,14,15,16,17,18,19,20,21,22,23,24,25,26,27,28,29,30}-1)*LEN(Registro!$G837)+1,LEN(Registro!$G837)))&amp;"x")-1)),--("0"&amp;MID(TRIM(MID(SUBSTITUTE(SUBSTITUTE(SUBSTITUTE(SUBSTITUTE(SUBSTITUTE(LOWER(Registro!$G837),"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",LEN(Registro!$G837))),({1,2,3,4,5,6,7,8,9,10,11,12,13,14,15,16,17,18,19,20,21,22,23,24,25,26,27,28,29,30}-1)*LEN(Registro!$G837)+1,LEN(Registro!$G837))),FIND("x",TRIM(MID(SUBSTITUTE(SUBSTITUTE(SUBSTITUTE(SUBSTITUTE(SUBSTITUTE(LOWER(Registro!$G837),"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",LEN(Registro!$G837))),({1,2,3,4,5,6,7,8,9,10,11,12,13,14,15,16,17,18,19,20,21,22,23,24,25,26,27,28,29,30}-1)*LEN(Registro!$G837)+1,LEN(Registro!$G837)))&amp;"x")+1,20))),"Revisar formato")))</f>
        <v/>
      </c>
      <c r="J837" s="9" t="str">
        <f>IF(AND(Registro!$E837="",Registro!$G837=""),"",IF(NOT(AND(ISNUMBER(I837),ISNUMBER(Registro!$H837))),"",IF(I837&lt;Registro!$H837,"FALTA BOLETOS",IF(I837=Registro!$H837,"CONFORME","DIFERENCIA"))))</f>
        <v/>
      </c>
      <c r="K837" s="11" t="str">
        <f>IF(Registro!$I837="","",IFERROR(SUMPRODUCT(--("0"&amp;TRIM(RIGHT(SUBSTITUTE(TRIM(MID(SUBSTITUTE(SUBSTITUTE(Registro!$I837,";",CHAR(10)),CHAR(10),REPT(" ",LEN(Registro!$I837))),({1,2,3,4,5,6,7,8,9,10,11,12,13,14,15,16,17,18,19,20,21,22,23,24,25,26,27,28,29,30}-1)*LEN(Registro!$I837)+1,LEN(Registro!$I837)))," ",REPT(" ",50)),50)))),"Revisar formato"))</f>
        <v/>
      </c>
      <c r="L837" s="11" t="str">
        <f>IF(Registro!$J837="","",IFERROR(SUMPRODUCT(--("0"&amp;TRIM(RIGHT(SUBSTITUTE(TRIM(MID(SUBSTITUTE(SUBSTITUTE(Registro!$J837,";",CHAR(10)),CHAR(10),REPT(" ",LEN(Registro!$J837))),({1,2,3,4,5,6,7,8,9,10,11,12,13,14,15,16,17,18,19,20,21,22,23,24,25,26,27,28,29,30}-1)*LEN(Registro!$J837)+1,LEN(Registro!$J837)))," ",REPT(" ",50)),50)))),"Revisar formato"))</f>
        <v/>
      </c>
      <c r="M837" s="11" t="str">
        <f>IF(AND(Registro!$H837="",Registro!$I837=""),"",IF(AND(ISTEXT(K837),K837&lt;&gt;""),"Revisar formato",N(Registro!$H837)-N(K837)))</f>
        <v/>
      </c>
      <c r="N837" s="11" t="str">
        <f t="shared" si="41"/>
        <v/>
      </c>
      <c r="O837" s="15" t="str">
        <f>IF(AND(A837=Consulta!$B$3,C837=Consulta!$H$3),B837*10000+ROW(),"")</f>
        <v/>
      </c>
    </row>
    <row r="838" spans="1:15" x14ac:dyDescent="0.25">
      <c r="A838" s="9" t="str">
        <f>IF(Registro!$A838="","",Registro!$A838)</f>
        <v/>
      </c>
      <c r="B838" s="8" t="str">
        <f>IF(Registro!$B838="","",Registro!$B838)</f>
        <v/>
      </c>
      <c r="C838" s="14" t="str">
        <f t="shared" si="39"/>
        <v/>
      </c>
      <c r="D838" s="10" t="str">
        <f>IF(Registro!$E838="","",IF(ISERROR(FIND("x",LOWER(Registro!$E838))),"-",IFERROR(SUMPRODUCT(--("0"&amp;LEFT(TRIM(MID(SUBSTITUTE(SUBSTITUTE(SUBSTITUTE(SUBSTITUTE(SUBSTITUTE(LOWER(Registro!$E838),"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",LEN(Registro!$E838))),({1,2,3,4,5,6,7,8,9,10,11,12,13,14,15,16,17,18,19,20,21,22,23,24,25,26,27,28,29,30}-1)*LEN(Registro!$E838)+1,LEN(Registro!$E838)))&amp;"x")-1))),"Revisar formato")))</f>
        <v/>
      </c>
      <c r="E838" s="11" t="str">
        <f>IF(Registro!$E838="","",IF(ISERROR(FIND("x",LOWER(Registro!$E838))),"-",IFERROR(SUMPRODUCT(--("0"&amp;LEFT(TRIM(MID(SUBSTITUTE(SUBSTITUTE(SUBSTITUTE(SUBSTITUTE(SUBSTITUTE(LOWER(Registro!$E838),"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",LEN(Registro!$E838))),({1,2,3,4,5,6,7,8,9,10,11,12,13,14,15,16,17,18,19,20,21,22,23,24,25,26,27,28,29,30}-1)*LEN(Registro!$E838)+1,LEN(Registro!$E838)))&amp;"x")-1)),--("0"&amp;MID(TRIM(MID(SUBSTITUTE(SUBSTITUTE(SUBSTITUTE(SUBSTITUTE(SUBSTITUTE(LOWER(Registro!$E838),"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",LEN(Registro!$E838))),({1,2,3,4,5,6,7,8,9,10,11,12,13,14,15,16,17,18,19,20,21,22,23,24,25,26,27,28,29,30}-1)*LEN(Registro!$E838)+1,LEN(Registro!$E838)))&amp;"x")+1,20))),"Revisar formato")))</f>
        <v/>
      </c>
      <c r="F838" s="11" t="str">
        <f>IF(Registro!$F838="","",N(Registro!$F838))</f>
        <v/>
      </c>
      <c r="G838" s="11" t="str">
        <f t="shared" si="40"/>
        <v/>
      </c>
      <c r="H838" s="10" t="str">
        <f>IF(Registro!$G838="","",IF(ISERROR(FIND("x",LOWER(Registro!$G838))),"-",IFERROR(SUMPRODUCT(--("0"&amp;LEFT(TRIM(MID(SUBSTITUTE(SUBSTITUTE(SUBSTITUTE(SUBSTITUTE(SUBSTITUTE(LOWER(Registro!$G838),"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",LEN(Registro!$G838))),({1,2,3,4,5,6,7,8,9,10,11,12,13,14,15,16,17,18,19,20,21,22,23,24,25,26,27,28,29,30}-1)*LEN(Registro!$G838)+1,LEN(Registro!$G838))),FIND("x",TRIM(MID(SUBSTITUTE(SUBSTITUTE(SUBSTITUTE(SUBSTITUTE(SUBSTITUTE(LOWER(Registro!$G838),"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",LEN(Registro!$G838))),({1,2,3,4,5,6,7,8,9,10,11,12,13,14,15,16,17,18,19,20,21,22,23,24,25,26,27,28,29,30}-1)*LEN(Registro!$G838)+1,LEN(Registro!$G838)))&amp;"x")-1))),"Revisar formato")))</f>
        <v/>
      </c>
      <c r="I838" s="11" t="str">
        <f>IF(Registro!$G838="","",IF(ISERROR(FIND("x",LOWER(Registro!$G838))),N(Registro!$H838),IFERROR(SUMPRODUCT(--("0"&amp;LEFT(TRIM(MID(SUBSTITUTE(SUBSTITUTE(SUBSTITUTE(SUBSTITUTE(SUBSTITUTE(LOWER(Registro!$G838),"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",LEN(Registro!$G838))),({1,2,3,4,5,6,7,8,9,10,11,12,13,14,15,16,17,18,19,20,21,22,23,24,25,26,27,28,29,30}-1)*LEN(Registro!$G838)+1,LEN(Registro!$G838))),FIND("x",TRIM(MID(SUBSTITUTE(SUBSTITUTE(SUBSTITUTE(SUBSTITUTE(SUBSTITUTE(LOWER(Registro!$G838),"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",LEN(Registro!$G838))),({1,2,3,4,5,6,7,8,9,10,11,12,13,14,15,16,17,18,19,20,21,22,23,24,25,26,27,28,29,30}-1)*LEN(Registro!$G838)+1,LEN(Registro!$G838)))&amp;"x")-1)),--("0"&amp;MID(TRIM(MID(SUBSTITUTE(SUBSTITUTE(SUBSTITUTE(SUBSTITUTE(SUBSTITUTE(LOWER(Registro!$G838),"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",LEN(Registro!$G838))),({1,2,3,4,5,6,7,8,9,10,11,12,13,14,15,16,17,18,19,20,21,22,23,24,25,26,27,28,29,30}-1)*LEN(Registro!$G838)+1,LEN(Registro!$G838))),FIND("x",TRIM(MID(SUBSTITUTE(SUBSTITUTE(SUBSTITUTE(SUBSTITUTE(SUBSTITUTE(LOWER(Registro!$G838),"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",LEN(Registro!$G838))),({1,2,3,4,5,6,7,8,9,10,11,12,13,14,15,16,17,18,19,20,21,22,23,24,25,26,27,28,29,30}-1)*LEN(Registro!$G838)+1,LEN(Registro!$G838)))&amp;"x")+1,20))),"Revisar formato")))</f>
        <v/>
      </c>
      <c r="J838" s="9" t="str">
        <f>IF(AND(Registro!$E838="",Registro!$G838=""),"",IF(NOT(AND(ISNUMBER(I838),ISNUMBER(Registro!$H838))),"",IF(I838&lt;Registro!$H838,"FALTA BOLETOS",IF(I838=Registro!$H838,"CONFORME","DIFERENCIA"))))</f>
        <v/>
      </c>
      <c r="K838" s="11" t="str">
        <f>IF(Registro!$I838="","",IFERROR(SUMPRODUCT(--("0"&amp;TRIM(RIGHT(SUBSTITUTE(TRIM(MID(SUBSTITUTE(SUBSTITUTE(Registro!$I838,";",CHAR(10)),CHAR(10),REPT(" ",LEN(Registro!$I838))),({1,2,3,4,5,6,7,8,9,10,11,12,13,14,15,16,17,18,19,20,21,22,23,24,25,26,27,28,29,30}-1)*LEN(Registro!$I838)+1,LEN(Registro!$I838)))," ",REPT(" ",50)),50)))),"Revisar formato"))</f>
        <v/>
      </c>
      <c r="L838" s="11" t="str">
        <f>IF(Registro!$J838="","",IFERROR(SUMPRODUCT(--("0"&amp;TRIM(RIGHT(SUBSTITUTE(TRIM(MID(SUBSTITUTE(SUBSTITUTE(Registro!$J838,";",CHAR(10)),CHAR(10),REPT(" ",LEN(Registro!$J838))),({1,2,3,4,5,6,7,8,9,10,11,12,13,14,15,16,17,18,19,20,21,22,23,24,25,26,27,28,29,30}-1)*LEN(Registro!$J838)+1,LEN(Registro!$J838)))," ",REPT(" ",50)),50)))),"Revisar formato"))</f>
        <v/>
      </c>
      <c r="M838" s="11" t="str">
        <f>IF(AND(Registro!$H838="",Registro!$I838=""),"",IF(AND(ISTEXT(K838),K838&lt;&gt;""),"Revisar formato",N(Registro!$H838)-N(K838)))</f>
        <v/>
      </c>
      <c r="N838" s="11" t="str">
        <f t="shared" si="41"/>
        <v/>
      </c>
      <c r="O838" s="15" t="str">
        <f>IF(AND(A838=Consulta!$B$3,C838=Consulta!$H$3),B838*10000+ROW(),"")</f>
        <v/>
      </c>
    </row>
    <row r="839" spans="1:15" x14ac:dyDescent="0.25">
      <c r="A839" s="9" t="str">
        <f>IF(Registro!$A839="","",Registro!$A839)</f>
        <v/>
      </c>
      <c r="B839" s="8" t="str">
        <f>IF(Registro!$B839="","",Registro!$B839)</f>
        <v/>
      </c>
      <c r="C839" s="14" t="str">
        <f t="shared" si="39"/>
        <v/>
      </c>
      <c r="D839" s="10" t="str">
        <f>IF(Registro!$E839="","",IF(ISERROR(FIND("x",LOWER(Registro!$E839))),"-",IFERROR(SUMPRODUCT(--("0"&amp;LEFT(TRIM(MID(SUBSTITUTE(SUBSTITUTE(SUBSTITUTE(SUBSTITUTE(SUBSTITUTE(LOWER(Registro!$E839),"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",LEN(Registro!$E839))),({1,2,3,4,5,6,7,8,9,10,11,12,13,14,15,16,17,18,19,20,21,22,23,24,25,26,27,28,29,30}-1)*LEN(Registro!$E839)+1,LEN(Registro!$E839)))&amp;"x")-1))),"Revisar formato")))</f>
        <v/>
      </c>
      <c r="E839" s="11" t="str">
        <f>IF(Registro!$E839="","",IF(ISERROR(FIND("x",LOWER(Registro!$E839))),"-",IFERROR(SUMPRODUCT(--("0"&amp;LEFT(TRIM(MID(SUBSTITUTE(SUBSTITUTE(SUBSTITUTE(SUBSTITUTE(SUBSTITUTE(LOWER(Registro!$E839),"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",LEN(Registro!$E839))),({1,2,3,4,5,6,7,8,9,10,11,12,13,14,15,16,17,18,19,20,21,22,23,24,25,26,27,28,29,30}-1)*LEN(Registro!$E839)+1,LEN(Registro!$E839)))&amp;"x")-1)),--("0"&amp;MID(TRIM(MID(SUBSTITUTE(SUBSTITUTE(SUBSTITUTE(SUBSTITUTE(SUBSTITUTE(LOWER(Registro!$E839),"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",LEN(Registro!$E839))),({1,2,3,4,5,6,7,8,9,10,11,12,13,14,15,16,17,18,19,20,21,22,23,24,25,26,27,28,29,30}-1)*LEN(Registro!$E839)+1,LEN(Registro!$E839)))&amp;"x")+1,20))),"Revisar formato")))</f>
        <v/>
      </c>
      <c r="F839" s="11" t="str">
        <f>IF(Registro!$F839="","",N(Registro!$F839))</f>
        <v/>
      </c>
      <c r="G839" s="11" t="str">
        <f t="shared" si="40"/>
        <v/>
      </c>
      <c r="H839" s="10" t="str">
        <f>IF(Registro!$G839="","",IF(ISERROR(FIND("x",LOWER(Registro!$G839))),"-",IFERROR(SUMPRODUCT(--("0"&amp;LEFT(TRIM(MID(SUBSTITUTE(SUBSTITUTE(SUBSTITUTE(SUBSTITUTE(SUBSTITUTE(LOWER(Registro!$G839),"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",LEN(Registro!$G839))),({1,2,3,4,5,6,7,8,9,10,11,12,13,14,15,16,17,18,19,20,21,22,23,24,25,26,27,28,29,30}-1)*LEN(Registro!$G839)+1,LEN(Registro!$G839))),FIND("x",TRIM(MID(SUBSTITUTE(SUBSTITUTE(SUBSTITUTE(SUBSTITUTE(SUBSTITUTE(LOWER(Registro!$G839),"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",LEN(Registro!$G839))),({1,2,3,4,5,6,7,8,9,10,11,12,13,14,15,16,17,18,19,20,21,22,23,24,25,26,27,28,29,30}-1)*LEN(Registro!$G839)+1,LEN(Registro!$G839)))&amp;"x")-1))),"Revisar formato")))</f>
        <v/>
      </c>
      <c r="I839" s="11" t="str">
        <f>IF(Registro!$G839="","",IF(ISERROR(FIND("x",LOWER(Registro!$G839))),N(Registro!$H839),IFERROR(SUMPRODUCT(--("0"&amp;LEFT(TRIM(MID(SUBSTITUTE(SUBSTITUTE(SUBSTITUTE(SUBSTITUTE(SUBSTITUTE(LOWER(Registro!$G839),"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",LEN(Registro!$G839))),({1,2,3,4,5,6,7,8,9,10,11,12,13,14,15,16,17,18,19,20,21,22,23,24,25,26,27,28,29,30}-1)*LEN(Registro!$G839)+1,LEN(Registro!$G839))),FIND("x",TRIM(MID(SUBSTITUTE(SUBSTITUTE(SUBSTITUTE(SUBSTITUTE(SUBSTITUTE(LOWER(Registro!$G839),"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",LEN(Registro!$G839))),({1,2,3,4,5,6,7,8,9,10,11,12,13,14,15,16,17,18,19,20,21,22,23,24,25,26,27,28,29,30}-1)*LEN(Registro!$G839)+1,LEN(Registro!$G839)))&amp;"x")-1)),--("0"&amp;MID(TRIM(MID(SUBSTITUTE(SUBSTITUTE(SUBSTITUTE(SUBSTITUTE(SUBSTITUTE(LOWER(Registro!$G839),"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",LEN(Registro!$G839))),({1,2,3,4,5,6,7,8,9,10,11,12,13,14,15,16,17,18,19,20,21,22,23,24,25,26,27,28,29,30}-1)*LEN(Registro!$G839)+1,LEN(Registro!$G839))),FIND("x",TRIM(MID(SUBSTITUTE(SUBSTITUTE(SUBSTITUTE(SUBSTITUTE(SUBSTITUTE(LOWER(Registro!$G839),"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",LEN(Registro!$G839))),({1,2,3,4,5,6,7,8,9,10,11,12,13,14,15,16,17,18,19,20,21,22,23,24,25,26,27,28,29,30}-1)*LEN(Registro!$G839)+1,LEN(Registro!$G839)))&amp;"x")+1,20))),"Revisar formato")))</f>
        <v/>
      </c>
      <c r="J839" s="9" t="str">
        <f>IF(AND(Registro!$E839="",Registro!$G839=""),"",IF(NOT(AND(ISNUMBER(I839),ISNUMBER(Registro!$H839))),"",IF(I839&lt;Registro!$H839,"FALTA BOLETOS",IF(I839=Registro!$H839,"CONFORME","DIFERENCIA"))))</f>
        <v/>
      </c>
      <c r="K839" s="11" t="str">
        <f>IF(Registro!$I839="","",IFERROR(SUMPRODUCT(--("0"&amp;TRIM(RIGHT(SUBSTITUTE(TRIM(MID(SUBSTITUTE(SUBSTITUTE(Registro!$I839,";",CHAR(10)),CHAR(10),REPT(" ",LEN(Registro!$I839))),({1,2,3,4,5,6,7,8,9,10,11,12,13,14,15,16,17,18,19,20,21,22,23,24,25,26,27,28,29,30}-1)*LEN(Registro!$I839)+1,LEN(Registro!$I839)))," ",REPT(" ",50)),50)))),"Revisar formato"))</f>
        <v/>
      </c>
      <c r="L839" s="11" t="str">
        <f>IF(Registro!$J839="","",IFERROR(SUMPRODUCT(--("0"&amp;TRIM(RIGHT(SUBSTITUTE(TRIM(MID(SUBSTITUTE(SUBSTITUTE(Registro!$J839,";",CHAR(10)),CHAR(10),REPT(" ",LEN(Registro!$J839))),({1,2,3,4,5,6,7,8,9,10,11,12,13,14,15,16,17,18,19,20,21,22,23,24,25,26,27,28,29,30}-1)*LEN(Registro!$J839)+1,LEN(Registro!$J839)))," ",REPT(" ",50)),50)))),"Revisar formato"))</f>
        <v/>
      </c>
      <c r="M839" s="11" t="str">
        <f>IF(AND(Registro!$H839="",Registro!$I839=""),"",IF(AND(ISTEXT(K839),K839&lt;&gt;""),"Revisar formato",N(Registro!$H839)-N(K839)))</f>
        <v/>
      </c>
      <c r="N839" s="11" t="str">
        <f t="shared" si="41"/>
        <v/>
      </c>
      <c r="O839" s="15" t="str">
        <f>IF(AND(A839=Consulta!$B$3,C839=Consulta!$H$3),B839*10000+ROW(),"")</f>
        <v/>
      </c>
    </row>
    <row r="840" spans="1:15" x14ac:dyDescent="0.25">
      <c r="A840" s="9" t="str">
        <f>IF(Registro!$A840="","",Registro!$A840)</f>
        <v/>
      </c>
      <c r="B840" s="8" t="str">
        <f>IF(Registro!$B840="","",Registro!$B840)</f>
        <v/>
      </c>
      <c r="C840" s="14" t="str">
        <f t="shared" si="39"/>
        <v/>
      </c>
      <c r="D840" s="10" t="str">
        <f>IF(Registro!$E840="","",IF(ISERROR(FIND("x",LOWER(Registro!$E840))),"-",IFERROR(SUMPRODUCT(--("0"&amp;LEFT(TRIM(MID(SUBSTITUTE(SUBSTITUTE(SUBSTITUTE(SUBSTITUTE(SUBSTITUTE(LOWER(Registro!$E840),"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",LEN(Registro!$E840))),({1,2,3,4,5,6,7,8,9,10,11,12,13,14,15,16,17,18,19,20,21,22,23,24,25,26,27,28,29,30}-1)*LEN(Registro!$E840)+1,LEN(Registro!$E840)))&amp;"x")-1))),"Revisar formato")))</f>
        <v/>
      </c>
      <c r="E840" s="11" t="str">
        <f>IF(Registro!$E840="","",IF(ISERROR(FIND("x",LOWER(Registro!$E840))),"-",IFERROR(SUMPRODUCT(--("0"&amp;LEFT(TRIM(MID(SUBSTITUTE(SUBSTITUTE(SUBSTITUTE(SUBSTITUTE(SUBSTITUTE(LOWER(Registro!$E840),"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",LEN(Registro!$E840))),({1,2,3,4,5,6,7,8,9,10,11,12,13,14,15,16,17,18,19,20,21,22,23,24,25,26,27,28,29,30}-1)*LEN(Registro!$E840)+1,LEN(Registro!$E840)))&amp;"x")-1)),--("0"&amp;MID(TRIM(MID(SUBSTITUTE(SUBSTITUTE(SUBSTITUTE(SUBSTITUTE(SUBSTITUTE(LOWER(Registro!$E840),"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",LEN(Registro!$E840))),({1,2,3,4,5,6,7,8,9,10,11,12,13,14,15,16,17,18,19,20,21,22,23,24,25,26,27,28,29,30}-1)*LEN(Registro!$E840)+1,LEN(Registro!$E840)))&amp;"x")+1,20))),"Revisar formato")))</f>
        <v/>
      </c>
      <c r="F840" s="11" t="str">
        <f>IF(Registro!$F840="","",N(Registro!$F840))</f>
        <v/>
      </c>
      <c r="G840" s="11" t="str">
        <f t="shared" si="40"/>
        <v/>
      </c>
      <c r="H840" s="10" t="str">
        <f>IF(Registro!$G840="","",IF(ISERROR(FIND("x",LOWER(Registro!$G840))),"-",IFERROR(SUMPRODUCT(--("0"&amp;LEFT(TRIM(MID(SUBSTITUTE(SUBSTITUTE(SUBSTITUTE(SUBSTITUTE(SUBSTITUTE(LOWER(Registro!$G840),"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",LEN(Registro!$G840))),({1,2,3,4,5,6,7,8,9,10,11,12,13,14,15,16,17,18,19,20,21,22,23,24,25,26,27,28,29,30}-1)*LEN(Registro!$G840)+1,LEN(Registro!$G840))),FIND("x",TRIM(MID(SUBSTITUTE(SUBSTITUTE(SUBSTITUTE(SUBSTITUTE(SUBSTITUTE(LOWER(Registro!$G840),"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",LEN(Registro!$G840))),({1,2,3,4,5,6,7,8,9,10,11,12,13,14,15,16,17,18,19,20,21,22,23,24,25,26,27,28,29,30}-1)*LEN(Registro!$G840)+1,LEN(Registro!$G840)))&amp;"x")-1))),"Revisar formato")))</f>
        <v/>
      </c>
      <c r="I840" s="11" t="str">
        <f>IF(Registro!$G840="","",IF(ISERROR(FIND("x",LOWER(Registro!$G840))),N(Registro!$H840),IFERROR(SUMPRODUCT(--("0"&amp;LEFT(TRIM(MID(SUBSTITUTE(SUBSTITUTE(SUBSTITUTE(SUBSTITUTE(SUBSTITUTE(LOWER(Registro!$G840),"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",LEN(Registro!$G840))),({1,2,3,4,5,6,7,8,9,10,11,12,13,14,15,16,17,18,19,20,21,22,23,24,25,26,27,28,29,30}-1)*LEN(Registro!$G840)+1,LEN(Registro!$G840))),FIND("x",TRIM(MID(SUBSTITUTE(SUBSTITUTE(SUBSTITUTE(SUBSTITUTE(SUBSTITUTE(LOWER(Registro!$G840),"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",LEN(Registro!$G840))),({1,2,3,4,5,6,7,8,9,10,11,12,13,14,15,16,17,18,19,20,21,22,23,24,25,26,27,28,29,30}-1)*LEN(Registro!$G840)+1,LEN(Registro!$G840)))&amp;"x")-1)),--("0"&amp;MID(TRIM(MID(SUBSTITUTE(SUBSTITUTE(SUBSTITUTE(SUBSTITUTE(SUBSTITUTE(LOWER(Registro!$G840),"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",LEN(Registro!$G840))),({1,2,3,4,5,6,7,8,9,10,11,12,13,14,15,16,17,18,19,20,21,22,23,24,25,26,27,28,29,30}-1)*LEN(Registro!$G840)+1,LEN(Registro!$G840))),FIND("x",TRIM(MID(SUBSTITUTE(SUBSTITUTE(SUBSTITUTE(SUBSTITUTE(SUBSTITUTE(LOWER(Registro!$G840),"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",LEN(Registro!$G840))),({1,2,3,4,5,6,7,8,9,10,11,12,13,14,15,16,17,18,19,20,21,22,23,24,25,26,27,28,29,30}-1)*LEN(Registro!$G840)+1,LEN(Registro!$G840)))&amp;"x")+1,20))),"Revisar formato")))</f>
        <v/>
      </c>
      <c r="J840" s="9" t="str">
        <f>IF(AND(Registro!$E840="",Registro!$G840=""),"",IF(NOT(AND(ISNUMBER(I840),ISNUMBER(Registro!$H840))),"",IF(I840&lt;Registro!$H840,"FALTA BOLETOS",IF(I840=Registro!$H840,"CONFORME","DIFERENCIA"))))</f>
        <v/>
      </c>
      <c r="K840" s="11" t="str">
        <f>IF(Registro!$I840="","",IFERROR(SUMPRODUCT(--("0"&amp;TRIM(RIGHT(SUBSTITUTE(TRIM(MID(SUBSTITUTE(SUBSTITUTE(Registro!$I840,";",CHAR(10)),CHAR(10),REPT(" ",LEN(Registro!$I840))),({1,2,3,4,5,6,7,8,9,10,11,12,13,14,15,16,17,18,19,20,21,22,23,24,25,26,27,28,29,30}-1)*LEN(Registro!$I840)+1,LEN(Registro!$I840)))," ",REPT(" ",50)),50)))),"Revisar formato"))</f>
        <v/>
      </c>
      <c r="L840" s="11" t="str">
        <f>IF(Registro!$J840="","",IFERROR(SUMPRODUCT(--("0"&amp;TRIM(RIGHT(SUBSTITUTE(TRIM(MID(SUBSTITUTE(SUBSTITUTE(Registro!$J840,";",CHAR(10)),CHAR(10),REPT(" ",LEN(Registro!$J840))),({1,2,3,4,5,6,7,8,9,10,11,12,13,14,15,16,17,18,19,20,21,22,23,24,25,26,27,28,29,30}-1)*LEN(Registro!$J840)+1,LEN(Registro!$J840)))," ",REPT(" ",50)),50)))),"Revisar formato"))</f>
        <v/>
      </c>
      <c r="M840" s="11" t="str">
        <f>IF(AND(Registro!$H840="",Registro!$I840=""),"",IF(AND(ISTEXT(K840),K840&lt;&gt;""),"Revisar formato",N(Registro!$H840)-N(K840)))</f>
        <v/>
      </c>
      <c r="N840" s="11" t="str">
        <f t="shared" si="41"/>
        <v/>
      </c>
      <c r="O840" s="15" t="str">
        <f>IF(AND(A840=Consulta!$B$3,C840=Consulta!$H$3),B840*10000+ROW(),"")</f>
        <v/>
      </c>
    </row>
    <row r="841" spans="1:15" x14ac:dyDescent="0.25">
      <c r="A841" s="9" t="str">
        <f>IF(Registro!$A841="","",Registro!$A841)</f>
        <v/>
      </c>
      <c r="B841" s="8" t="str">
        <f>IF(Registro!$B841="","",Registro!$B841)</f>
        <v/>
      </c>
      <c r="C841" s="14" t="str">
        <f t="shared" si="39"/>
        <v/>
      </c>
      <c r="D841" s="10" t="str">
        <f>IF(Registro!$E841="","",IF(ISERROR(FIND("x",LOWER(Registro!$E841))),"-",IFERROR(SUMPRODUCT(--("0"&amp;LEFT(TRIM(MID(SUBSTITUTE(SUBSTITUTE(SUBSTITUTE(SUBSTITUTE(SUBSTITUTE(LOWER(Registro!$E841),"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",LEN(Registro!$E841))),({1,2,3,4,5,6,7,8,9,10,11,12,13,14,15,16,17,18,19,20,21,22,23,24,25,26,27,28,29,30}-1)*LEN(Registro!$E841)+1,LEN(Registro!$E841)))&amp;"x")-1))),"Revisar formato")))</f>
        <v/>
      </c>
      <c r="E841" s="11" t="str">
        <f>IF(Registro!$E841="","",IF(ISERROR(FIND("x",LOWER(Registro!$E841))),"-",IFERROR(SUMPRODUCT(--("0"&amp;LEFT(TRIM(MID(SUBSTITUTE(SUBSTITUTE(SUBSTITUTE(SUBSTITUTE(SUBSTITUTE(LOWER(Registro!$E841),"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",LEN(Registro!$E841))),({1,2,3,4,5,6,7,8,9,10,11,12,13,14,15,16,17,18,19,20,21,22,23,24,25,26,27,28,29,30}-1)*LEN(Registro!$E841)+1,LEN(Registro!$E841)))&amp;"x")-1)),--("0"&amp;MID(TRIM(MID(SUBSTITUTE(SUBSTITUTE(SUBSTITUTE(SUBSTITUTE(SUBSTITUTE(LOWER(Registro!$E841),"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",LEN(Registro!$E841))),({1,2,3,4,5,6,7,8,9,10,11,12,13,14,15,16,17,18,19,20,21,22,23,24,25,26,27,28,29,30}-1)*LEN(Registro!$E841)+1,LEN(Registro!$E841)))&amp;"x")+1,20))),"Revisar formato")))</f>
        <v/>
      </c>
      <c r="F841" s="11" t="str">
        <f>IF(Registro!$F841="","",N(Registro!$F841))</f>
        <v/>
      </c>
      <c r="G841" s="11" t="str">
        <f t="shared" si="40"/>
        <v/>
      </c>
      <c r="H841" s="10" t="str">
        <f>IF(Registro!$G841="","",IF(ISERROR(FIND("x",LOWER(Registro!$G841))),"-",IFERROR(SUMPRODUCT(--("0"&amp;LEFT(TRIM(MID(SUBSTITUTE(SUBSTITUTE(SUBSTITUTE(SUBSTITUTE(SUBSTITUTE(LOWER(Registro!$G841),"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",LEN(Registro!$G841))),({1,2,3,4,5,6,7,8,9,10,11,12,13,14,15,16,17,18,19,20,21,22,23,24,25,26,27,28,29,30}-1)*LEN(Registro!$G841)+1,LEN(Registro!$G841))),FIND("x",TRIM(MID(SUBSTITUTE(SUBSTITUTE(SUBSTITUTE(SUBSTITUTE(SUBSTITUTE(LOWER(Registro!$G841),"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",LEN(Registro!$G841))),({1,2,3,4,5,6,7,8,9,10,11,12,13,14,15,16,17,18,19,20,21,22,23,24,25,26,27,28,29,30}-1)*LEN(Registro!$G841)+1,LEN(Registro!$G841)))&amp;"x")-1))),"Revisar formato")))</f>
        <v/>
      </c>
      <c r="I841" s="11" t="str">
        <f>IF(Registro!$G841="","",IF(ISERROR(FIND("x",LOWER(Registro!$G841))),N(Registro!$H841),IFERROR(SUMPRODUCT(--("0"&amp;LEFT(TRIM(MID(SUBSTITUTE(SUBSTITUTE(SUBSTITUTE(SUBSTITUTE(SUBSTITUTE(LOWER(Registro!$G841),"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",LEN(Registro!$G841))),({1,2,3,4,5,6,7,8,9,10,11,12,13,14,15,16,17,18,19,20,21,22,23,24,25,26,27,28,29,30}-1)*LEN(Registro!$G841)+1,LEN(Registro!$G841))),FIND("x",TRIM(MID(SUBSTITUTE(SUBSTITUTE(SUBSTITUTE(SUBSTITUTE(SUBSTITUTE(LOWER(Registro!$G841),"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",LEN(Registro!$G841))),({1,2,3,4,5,6,7,8,9,10,11,12,13,14,15,16,17,18,19,20,21,22,23,24,25,26,27,28,29,30}-1)*LEN(Registro!$G841)+1,LEN(Registro!$G841)))&amp;"x")-1)),--("0"&amp;MID(TRIM(MID(SUBSTITUTE(SUBSTITUTE(SUBSTITUTE(SUBSTITUTE(SUBSTITUTE(LOWER(Registro!$G841),"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",LEN(Registro!$G841))),({1,2,3,4,5,6,7,8,9,10,11,12,13,14,15,16,17,18,19,20,21,22,23,24,25,26,27,28,29,30}-1)*LEN(Registro!$G841)+1,LEN(Registro!$G841))),FIND("x",TRIM(MID(SUBSTITUTE(SUBSTITUTE(SUBSTITUTE(SUBSTITUTE(SUBSTITUTE(LOWER(Registro!$G841),"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",LEN(Registro!$G841))),({1,2,3,4,5,6,7,8,9,10,11,12,13,14,15,16,17,18,19,20,21,22,23,24,25,26,27,28,29,30}-1)*LEN(Registro!$G841)+1,LEN(Registro!$G841)))&amp;"x")+1,20))),"Revisar formato")))</f>
        <v/>
      </c>
      <c r="J841" s="9" t="str">
        <f>IF(AND(Registro!$E841="",Registro!$G841=""),"",IF(NOT(AND(ISNUMBER(I841),ISNUMBER(Registro!$H841))),"",IF(I841&lt;Registro!$H841,"FALTA BOLETOS",IF(I841=Registro!$H841,"CONFORME","DIFERENCIA"))))</f>
        <v/>
      </c>
      <c r="K841" s="11" t="str">
        <f>IF(Registro!$I841="","",IFERROR(SUMPRODUCT(--("0"&amp;TRIM(RIGHT(SUBSTITUTE(TRIM(MID(SUBSTITUTE(SUBSTITUTE(Registro!$I841,";",CHAR(10)),CHAR(10),REPT(" ",LEN(Registro!$I841))),({1,2,3,4,5,6,7,8,9,10,11,12,13,14,15,16,17,18,19,20,21,22,23,24,25,26,27,28,29,30}-1)*LEN(Registro!$I841)+1,LEN(Registro!$I841)))," ",REPT(" ",50)),50)))),"Revisar formato"))</f>
        <v/>
      </c>
      <c r="L841" s="11" t="str">
        <f>IF(Registro!$J841="","",IFERROR(SUMPRODUCT(--("0"&amp;TRIM(RIGHT(SUBSTITUTE(TRIM(MID(SUBSTITUTE(SUBSTITUTE(Registro!$J841,";",CHAR(10)),CHAR(10),REPT(" ",LEN(Registro!$J841))),({1,2,3,4,5,6,7,8,9,10,11,12,13,14,15,16,17,18,19,20,21,22,23,24,25,26,27,28,29,30}-1)*LEN(Registro!$J841)+1,LEN(Registro!$J841)))," ",REPT(" ",50)),50)))),"Revisar formato"))</f>
        <v/>
      </c>
      <c r="M841" s="11" t="str">
        <f>IF(AND(Registro!$H841="",Registro!$I841=""),"",IF(AND(ISTEXT(K841),K841&lt;&gt;""),"Revisar formato",N(Registro!$H841)-N(K841)))</f>
        <v/>
      </c>
      <c r="N841" s="11" t="str">
        <f t="shared" si="41"/>
        <v/>
      </c>
      <c r="O841" s="15" t="str">
        <f>IF(AND(A841=Consulta!$B$3,C841=Consulta!$H$3),B841*10000+ROW(),"")</f>
        <v/>
      </c>
    </row>
    <row r="842" spans="1:15" x14ac:dyDescent="0.25">
      <c r="A842" s="9" t="str">
        <f>IF(Registro!$A842="","",Registro!$A842)</f>
        <v/>
      </c>
      <c r="B842" s="8" t="str">
        <f>IF(Registro!$B842="","",Registro!$B842)</f>
        <v/>
      </c>
      <c r="C842" s="14" t="str">
        <f t="shared" si="39"/>
        <v/>
      </c>
      <c r="D842" s="10" t="str">
        <f>IF(Registro!$E842="","",IF(ISERROR(FIND("x",LOWER(Registro!$E842))),"-",IFERROR(SUMPRODUCT(--("0"&amp;LEFT(TRIM(MID(SUBSTITUTE(SUBSTITUTE(SUBSTITUTE(SUBSTITUTE(SUBSTITUTE(LOWER(Registro!$E842),"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",LEN(Registro!$E842))),({1,2,3,4,5,6,7,8,9,10,11,12,13,14,15,16,17,18,19,20,21,22,23,24,25,26,27,28,29,30}-1)*LEN(Registro!$E842)+1,LEN(Registro!$E842)))&amp;"x")-1))),"Revisar formato")))</f>
        <v/>
      </c>
      <c r="E842" s="11" t="str">
        <f>IF(Registro!$E842="","",IF(ISERROR(FIND("x",LOWER(Registro!$E842))),"-",IFERROR(SUMPRODUCT(--("0"&amp;LEFT(TRIM(MID(SUBSTITUTE(SUBSTITUTE(SUBSTITUTE(SUBSTITUTE(SUBSTITUTE(LOWER(Registro!$E842),"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",LEN(Registro!$E842))),({1,2,3,4,5,6,7,8,9,10,11,12,13,14,15,16,17,18,19,20,21,22,23,24,25,26,27,28,29,30}-1)*LEN(Registro!$E842)+1,LEN(Registro!$E842)))&amp;"x")-1)),--("0"&amp;MID(TRIM(MID(SUBSTITUTE(SUBSTITUTE(SUBSTITUTE(SUBSTITUTE(SUBSTITUTE(LOWER(Registro!$E842),"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",LEN(Registro!$E842))),({1,2,3,4,5,6,7,8,9,10,11,12,13,14,15,16,17,18,19,20,21,22,23,24,25,26,27,28,29,30}-1)*LEN(Registro!$E842)+1,LEN(Registro!$E842)))&amp;"x")+1,20))),"Revisar formato")))</f>
        <v/>
      </c>
      <c r="F842" s="11" t="str">
        <f>IF(Registro!$F842="","",N(Registro!$F842))</f>
        <v/>
      </c>
      <c r="G842" s="11" t="str">
        <f t="shared" si="40"/>
        <v/>
      </c>
      <c r="H842" s="10" t="str">
        <f>IF(Registro!$G842="","",IF(ISERROR(FIND("x",LOWER(Registro!$G842))),"-",IFERROR(SUMPRODUCT(--("0"&amp;LEFT(TRIM(MID(SUBSTITUTE(SUBSTITUTE(SUBSTITUTE(SUBSTITUTE(SUBSTITUTE(LOWER(Registro!$G842),"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",LEN(Registro!$G842))),({1,2,3,4,5,6,7,8,9,10,11,12,13,14,15,16,17,18,19,20,21,22,23,24,25,26,27,28,29,30}-1)*LEN(Registro!$G842)+1,LEN(Registro!$G842))),FIND("x",TRIM(MID(SUBSTITUTE(SUBSTITUTE(SUBSTITUTE(SUBSTITUTE(SUBSTITUTE(LOWER(Registro!$G842),"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",LEN(Registro!$G842))),({1,2,3,4,5,6,7,8,9,10,11,12,13,14,15,16,17,18,19,20,21,22,23,24,25,26,27,28,29,30}-1)*LEN(Registro!$G842)+1,LEN(Registro!$G842)))&amp;"x")-1))),"Revisar formato")))</f>
        <v/>
      </c>
      <c r="I842" s="11" t="str">
        <f>IF(Registro!$G842="","",IF(ISERROR(FIND("x",LOWER(Registro!$G842))),N(Registro!$H842),IFERROR(SUMPRODUCT(--("0"&amp;LEFT(TRIM(MID(SUBSTITUTE(SUBSTITUTE(SUBSTITUTE(SUBSTITUTE(SUBSTITUTE(LOWER(Registro!$G842),"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",LEN(Registro!$G842))),({1,2,3,4,5,6,7,8,9,10,11,12,13,14,15,16,17,18,19,20,21,22,23,24,25,26,27,28,29,30}-1)*LEN(Registro!$G842)+1,LEN(Registro!$G842))),FIND("x",TRIM(MID(SUBSTITUTE(SUBSTITUTE(SUBSTITUTE(SUBSTITUTE(SUBSTITUTE(LOWER(Registro!$G842),"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",LEN(Registro!$G842))),({1,2,3,4,5,6,7,8,9,10,11,12,13,14,15,16,17,18,19,20,21,22,23,24,25,26,27,28,29,30}-1)*LEN(Registro!$G842)+1,LEN(Registro!$G842)))&amp;"x")-1)),--("0"&amp;MID(TRIM(MID(SUBSTITUTE(SUBSTITUTE(SUBSTITUTE(SUBSTITUTE(SUBSTITUTE(LOWER(Registro!$G842),"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",LEN(Registro!$G842))),({1,2,3,4,5,6,7,8,9,10,11,12,13,14,15,16,17,18,19,20,21,22,23,24,25,26,27,28,29,30}-1)*LEN(Registro!$G842)+1,LEN(Registro!$G842))),FIND("x",TRIM(MID(SUBSTITUTE(SUBSTITUTE(SUBSTITUTE(SUBSTITUTE(SUBSTITUTE(LOWER(Registro!$G842),"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",LEN(Registro!$G842))),({1,2,3,4,5,6,7,8,9,10,11,12,13,14,15,16,17,18,19,20,21,22,23,24,25,26,27,28,29,30}-1)*LEN(Registro!$G842)+1,LEN(Registro!$G842)))&amp;"x")+1,20))),"Revisar formato")))</f>
        <v/>
      </c>
      <c r="J842" s="9" t="str">
        <f>IF(AND(Registro!$E842="",Registro!$G842=""),"",IF(NOT(AND(ISNUMBER(I842),ISNUMBER(Registro!$H842))),"",IF(I842&lt;Registro!$H842,"FALTA BOLETOS",IF(I842=Registro!$H842,"CONFORME","DIFERENCIA"))))</f>
        <v/>
      </c>
      <c r="K842" s="11" t="str">
        <f>IF(Registro!$I842="","",IFERROR(SUMPRODUCT(--("0"&amp;TRIM(RIGHT(SUBSTITUTE(TRIM(MID(SUBSTITUTE(SUBSTITUTE(Registro!$I842,";",CHAR(10)),CHAR(10),REPT(" ",LEN(Registro!$I842))),({1,2,3,4,5,6,7,8,9,10,11,12,13,14,15,16,17,18,19,20,21,22,23,24,25,26,27,28,29,30}-1)*LEN(Registro!$I842)+1,LEN(Registro!$I842)))," ",REPT(" ",50)),50)))),"Revisar formato"))</f>
        <v/>
      </c>
      <c r="L842" s="11" t="str">
        <f>IF(Registro!$J842="","",IFERROR(SUMPRODUCT(--("0"&amp;TRIM(RIGHT(SUBSTITUTE(TRIM(MID(SUBSTITUTE(SUBSTITUTE(Registro!$J842,";",CHAR(10)),CHAR(10),REPT(" ",LEN(Registro!$J842))),({1,2,3,4,5,6,7,8,9,10,11,12,13,14,15,16,17,18,19,20,21,22,23,24,25,26,27,28,29,30}-1)*LEN(Registro!$J842)+1,LEN(Registro!$J842)))," ",REPT(" ",50)),50)))),"Revisar formato"))</f>
        <v/>
      </c>
      <c r="M842" s="11" t="str">
        <f>IF(AND(Registro!$H842="",Registro!$I842=""),"",IF(AND(ISTEXT(K842),K842&lt;&gt;""),"Revisar formato",N(Registro!$H842)-N(K842)))</f>
        <v/>
      </c>
      <c r="N842" s="11" t="str">
        <f t="shared" si="41"/>
        <v/>
      </c>
      <c r="O842" s="15" t="str">
        <f>IF(AND(A842=Consulta!$B$3,C842=Consulta!$H$3),B842*10000+ROW(),"")</f>
        <v/>
      </c>
    </row>
    <row r="843" spans="1:15" x14ac:dyDescent="0.25">
      <c r="A843" s="9" t="str">
        <f>IF(Registro!$A843="","",Registro!$A843)</f>
        <v/>
      </c>
      <c r="B843" s="8" t="str">
        <f>IF(Registro!$B843="","",Registro!$B843)</f>
        <v/>
      </c>
      <c r="C843" s="14" t="str">
        <f t="shared" si="39"/>
        <v/>
      </c>
      <c r="D843" s="10" t="str">
        <f>IF(Registro!$E843="","",IF(ISERROR(FIND("x",LOWER(Registro!$E843))),"-",IFERROR(SUMPRODUCT(--("0"&amp;LEFT(TRIM(MID(SUBSTITUTE(SUBSTITUTE(SUBSTITUTE(SUBSTITUTE(SUBSTITUTE(LOWER(Registro!$E843),"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",LEN(Registro!$E843))),({1,2,3,4,5,6,7,8,9,10,11,12,13,14,15,16,17,18,19,20,21,22,23,24,25,26,27,28,29,30}-1)*LEN(Registro!$E843)+1,LEN(Registro!$E843)))&amp;"x")-1))),"Revisar formato")))</f>
        <v/>
      </c>
      <c r="E843" s="11" t="str">
        <f>IF(Registro!$E843="","",IF(ISERROR(FIND("x",LOWER(Registro!$E843))),"-",IFERROR(SUMPRODUCT(--("0"&amp;LEFT(TRIM(MID(SUBSTITUTE(SUBSTITUTE(SUBSTITUTE(SUBSTITUTE(SUBSTITUTE(LOWER(Registro!$E843),"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",LEN(Registro!$E843))),({1,2,3,4,5,6,7,8,9,10,11,12,13,14,15,16,17,18,19,20,21,22,23,24,25,26,27,28,29,30}-1)*LEN(Registro!$E843)+1,LEN(Registro!$E843)))&amp;"x")-1)),--("0"&amp;MID(TRIM(MID(SUBSTITUTE(SUBSTITUTE(SUBSTITUTE(SUBSTITUTE(SUBSTITUTE(LOWER(Registro!$E843),"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",LEN(Registro!$E843))),({1,2,3,4,5,6,7,8,9,10,11,12,13,14,15,16,17,18,19,20,21,22,23,24,25,26,27,28,29,30}-1)*LEN(Registro!$E843)+1,LEN(Registro!$E843)))&amp;"x")+1,20))),"Revisar formato")))</f>
        <v/>
      </c>
      <c r="F843" s="11" t="str">
        <f>IF(Registro!$F843="","",N(Registro!$F843))</f>
        <v/>
      </c>
      <c r="G843" s="11" t="str">
        <f t="shared" si="40"/>
        <v/>
      </c>
      <c r="H843" s="10" t="str">
        <f>IF(Registro!$G843="","",IF(ISERROR(FIND("x",LOWER(Registro!$G843))),"-",IFERROR(SUMPRODUCT(--("0"&amp;LEFT(TRIM(MID(SUBSTITUTE(SUBSTITUTE(SUBSTITUTE(SUBSTITUTE(SUBSTITUTE(LOWER(Registro!$G843),"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",LEN(Registro!$G843))),({1,2,3,4,5,6,7,8,9,10,11,12,13,14,15,16,17,18,19,20,21,22,23,24,25,26,27,28,29,30}-1)*LEN(Registro!$G843)+1,LEN(Registro!$G843))),FIND("x",TRIM(MID(SUBSTITUTE(SUBSTITUTE(SUBSTITUTE(SUBSTITUTE(SUBSTITUTE(LOWER(Registro!$G843),"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",LEN(Registro!$G843))),({1,2,3,4,5,6,7,8,9,10,11,12,13,14,15,16,17,18,19,20,21,22,23,24,25,26,27,28,29,30}-1)*LEN(Registro!$G843)+1,LEN(Registro!$G843)))&amp;"x")-1))),"Revisar formato")))</f>
        <v/>
      </c>
      <c r="I843" s="11" t="str">
        <f>IF(Registro!$G843="","",IF(ISERROR(FIND("x",LOWER(Registro!$G843))),N(Registro!$H843),IFERROR(SUMPRODUCT(--("0"&amp;LEFT(TRIM(MID(SUBSTITUTE(SUBSTITUTE(SUBSTITUTE(SUBSTITUTE(SUBSTITUTE(LOWER(Registro!$G843),"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",LEN(Registro!$G843))),({1,2,3,4,5,6,7,8,9,10,11,12,13,14,15,16,17,18,19,20,21,22,23,24,25,26,27,28,29,30}-1)*LEN(Registro!$G843)+1,LEN(Registro!$G843))),FIND("x",TRIM(MID(SUBSTITUTE(SUBSTITUTE(SUBSTITUTE(SUBSTITUTE(SUBSTITUTE(LOWER(Registro!$G843),"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",LEN(Registro!$G843))),({1,2,3,4,5,6,7,8,9,10,11,12,13,14,15,16,17,18,19,20,21,22,23,24,25,26,27,28,29,30}-1)*LEN(Registro!$G843)+1,LEN(Registro!$G843)))&amp;"x")-1)),--("0"&amp;MID(TRIM(MID(SUBSTITUTE(SUBSTITUTE(SUBSTITUTE(SUBSTITUTE(SUBSTITUTE(LOWER(Registro!$G843),"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",LEN(Registro!$G843))),({1,2,3,4,5,6,7,8,9,10,11,12,13,14,15,16,17,18,19,20,21,22,23,24,25,26,27,28,29,30}-1)*LEN(Registro!$G843)+1,LEN(Registro!$G843))),FIND("x",TRIM(MID(SUBSTITUTE(SUBSTITUTE(SUBSTITUTE(SUBSTITUTE(SUBSTITUTE(LOWER(Registro!$G843),"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",LEN(Registro!$G843))),({1,2,3,4,5,6,7,8,9,10,11,12,13,14,15,16,17,18,19,20,21,22,23,24,25,26,27,28,29,30}-1)*LEN(Registro!$G843)+1,LEN(Registro!$G843)))&amp;"x")+1,20))),"Revisar formato")))</f>
        <v/>
      </c>
      <c r="J843" s="9" t="str">
        <f>IF(AND(Registro!$E843="",Registro!$G843=""),"",IF(NOT(AND(ISNUMBER(I843),ISNUMBER(Registro!$H843))),"",IF(I843&lt;Registro!$H843,"FALTA BOLETOS",IF(I843=Registro!$H843,"CONFORME","DIFERENCIA"))))</f>
        <v/>
      </c>
      <c r="K843" s="11" t="str">
        <f>IF(Registro!$I843="","",IFERROR(SUMPRODUCT(--("0"&amp;TRIM(RIGHT(SUBSTITUTE(TRIM(MID(SUBSTITUTE(SUBSTITUTE(Registro!$I843,";",CHAR(10)),CHAR(10),REPT(" ",LEN(Registro!$I843))),({1,2,3,4,5,6,7,8,9,10,11,12,13,14,15,16,17,18,19,20,21,22,23,24,25,26,27,28,29,30}-1)*LEN(Registro!$I843)+1,LEN(Registro!$I843)))," ",REPT(" ",50)),50)))),"Revisar formato"))</f>
        <v/>
      </c>
      <c r="L843" s="11" t="str">
        <f>IF(Registro!$J843="","",IFERROR(SUMPRODUCT(--("0"&amp;TRIM(RIGHT(SUBSTITUTE(TRIM(MID(SUBSTITUTE(SUBSTITUTE(Registro!$J843,";",CHAR(10)),CHAR(10),REPT(" ",LEN(Registro!$J843))),({1,2,3,4,5,6,7,8,9,10,11,12,13,14,15,16,17,18,19,20,21,22,23,24,25,26,27,28,29,30}-1)*LEN(Registro!$J843)+1,LEN(Registro!$J843)))," ",REPT(" ",50)),50)))),"Revisar formato"))</f>
        <v/>
      </c>
      <c r="M843" s="11" t="str">
        <f>IF(AND(Registro!$H843="",Registro!$I843=""),"",IF(AND(ISTEXT(K843),K843&lt;&gt;""),"Revisar formato",N(Registro!$H843)-N(K843)))</f>
        <v/>
      </c>
      <c r="N843" s="11" t="str">
        <f t="shared" si="41"/>
        <v/>
      </c>
      <c r="O843" s="15" t="str">
        <f>IF(AND(A843=Consulta!$B$3,C843=Consulta!$H$3),B843*10000+ROW(),"")</f>
        <v/>
      </c>
    </row>
    <row r="844" spans="1:15" x14ac:dyDescent="0.25">
      <c r="A844" s="9" t="str">
        <f>IF(Registro!$A844="","",Registro!$A844)</f>
        <v/>
      </c>
      <c r="B844" s="8" t="str">
        <f>IF(Registro!$B844="","",Registro!$B844)</f>
        <v/>
      </c>
      <c r="C844" s="14" t="str">
        <f t="shared" si="39"/>
        <v/>
      </c>
      <c r="D844" s="10" t="str">
        <f>IF(Registro!$E844="","",IF(ISERROR(FIND("x",LOWER(Registro!$E844))),"-",IFERROR(SUMPRODUCT(--("0"&amp;LEFT(TRIM(MID(SUBSTITUTE(SUBSTITUTE(SUBSTITUTE(SUBSTITUTE(SUBSTITUTE(LOWER(Registro!$E844),"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",LEN(Registro!$E844))),({1,2,3,4,5,6,7,8,9,10,11,12,13,14,15,16,17,18,19,20,21,22,23,24,25,26,27,28,29,30}-1)*LEN(Registro!$E844)+1,LEN(Registro!$E844)))&amp;"x")-1))),"Revisar formato")))</f>
        <v/>
      </c>
      <c r="E844" s="11" t="str">
        <f>IF(Registro!$E844="","",IF(ISERROR(FIND("x",LOWER(Registro!$E844))),"-",IFERROR(SUMPRODUCT(--("0"&amp;LEFT(TRIM(MID(SUBSTITUTE(SUBSTITUTE(SUBSTITUTE(SUBSTITUTE(SUBSTITUTE(LOWER(Registro!$E844),"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",LEN(Registro!$E844))),({1,2,3,4,5,6,7,8,9,10,11,12,13,14,15,16,17,18,19,20,21,22,23,24,25,26,27,28,29,30}-1)*LEN(Registro!$E844)+1,LEN(Registro!$E844)))&amp;"x")-1)),--("0"&amp;MID(TRIM(MID(SUBSTITUTE(SUBSTITUTE(SUBSTITUTE(SUBSTITUTE(SUBSTITUTE(LOWER(Registro!$E844),"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",LEN(Registro!$E844))),({1,2,3,4,5,6,7,8,9,10,11,12,13,14,15,16,17,18,19,20,21,22,23,24,25,26,27,28,29,30}-1)*LEN(Registro!$E844)+1,LEN(Registro!$E844)))&amp;"x")+1,20))),"Revisar formato")))</f>
        <v/>
      </c>
      <c r="F844" s="11" t="str">
        <f>IF(Registro!$F844="","",N(Registro!$F844))</f>
        <v/>
      </c>
      <c r="G844" s="11" t="str">
        <f t="shared" si="40"/>
        <v/>
      </c>
      <c r="H844" s="10" t="str">
        <f>IF(Registro!$G844="","",IF(ISERROR(FIND("x",LOWER(Registro!$G844))),"-",IFERROR(SUMPRODUCT(--("0"&amp;LEFT(TRIM(MID(SUBSTITUTE(SUBSTITUTE(SUBSTITUTE(SUBSTITUTE(SUBSTITUTE(LOWER(Registro!$G844),"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",LEN(Registro!$G844))),({1,2,3,4,5,6,7,8,9,10,11,12,13,14,15,16,17,18,19,20,21,22,23,24,25,26,27,28,29,30}-1)*LEN(Registro!$G844)+1,LEN(Registro!$G844))),FIND("x",TRIM(MID(SUBSTITUTE(SUBSTITUTE(SUBSTITUTE(SUBSTITUTE(SUBSTITUTE(LOWER(Registro!$G844),"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",LEN(Registro!$G844))),({1,2,3,4,5,6,7,8,9,10,11,12,13,14,15,16,17,18,19,20,21,22,23,24,25,26,27,28,29,30}-1)*LEN(Registro!$G844)+1,LEN(Registro!$G844)))&amp;"x")-1))),"Revisar formato")))</f>
        <v/>
      </c>
      <c r="I844" s="11" t="str">
        <f>IF(Registro!$G844="","",IF(ISERROR(FIND("x",LOWER(Registro!$G844))),N(Registro!$H844),IFERROR(SUMPRODUCT(--("0"&amp;LEFT(TRIM(MID(SUBSTITUTE(SUBSTITUTE(SUBSTITUTE(SUBSTITUTE(SUBSTITUTE(LOWER(Registro!$G844),"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",LEN(Registro!$G844))),({1,2,3,4,5,6,7,8,9,10,11,12,13,14,15,16,17,18,19,20,21,22,23,24,25,26,27,28,29,30}-1)*LEN(Registro!$G844)+1,LEN(Registro!$G844))),FIND("x",TRIM(MID(SUBSTITUTE(SUBSTITUTE(SUBSTITUTE(SUBSTITUTE(SUBSTITUTE(LOWER(Registro!$G844),"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",LEN(Registro!$G844))),({1,2,3,4,5,6,7,8,9,10,11,12,13,14,15,16,17,18,19,20,21,22,23,24,25,26,27,28,29,30}-1)*LEN(Registro!$G844)+1,LEN(Registro!$G844)))&amp;"x")-1)),--("0"&amp;MID(TRIM(MID(SUBSTITUTE(SUBSTITUTE(SUBSTITUTE(SUBSTITUTE(SUBSTITUTE(LOWER(Registro!$G844),"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",LEN(Registro!$G844))),({1,2,3,4,5,6,7,8,9,10,11,12,13,14,15,16,17,18,19,20,21,22,23,24,25,26,27,28,29,30}-1)*LEN(Registro!$G844)+1,LEN(Registro!$G844))),FIND("x",TRIM(MID(SUBSTITUTE(SUBSTITUTE(SUBSTITUTE(SUBSTITUTE(SUBSTITUTE(LOWER(Registro!$G844),"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",LEN(Registro!$G844))),({1,2,3,4,5,6,7,8,9,10,11,12,13,14,15,16,17,18,19,20,21,22,23,24,25,26,27,28,29,30}-1)*LEN(Registro!$G844)+1,LEN(Registro!$G844)))&amp;"x")+1,20))),"Revisar formato")))</f>
        <v/>
      </c>
      <c r="J844" s="9" t="str">
        <f>IF(AND(Registro!$E844="",Registro!$G844=""),"",IF(NOT(AND(ISNUMBER(I844),ISNUMBER(Registro!$H844))),"",IF(I844&lt;Registro!$H844,"FALTA BOLETOS",IF(I844=Registro!$H844,"CONFORME","DIFERENCIA"))))</f>
        <v/>
      </c>
      <c r="K844" s="11" t="str">
        <f>IF(Registro!$I844="","",IFERROR(SUMPRODUCT(--("0"&amp;TRIM(RIGHT(SUBSTITUTE(TRIM(MID(SUBSTITUTE(SUBSTITUTE(Registro!$I844,";",CHAR(10)),CHAR(10),REPT(" ",LEN(Registro!$I844))),({1,2,3,4,5,6,7,8,9,10,11,12,13,14,15,16,17,18,19,20,21,22,23,24,25,26,27,28,29,30}-1)*LEN(Registro!$I844)+1,LEN(Registro!$I844)))," ",REPT(" ",50)),50)))),"Revisar formato"))</f>
        <v/>
      </c>
      <c r="L844" s="11" t="str">
        <f>IF(Registro!$J844="","",IFERROR(SUMPRODUCT(--("0"&amp;TRIM(RIGHT(SUBSTITUTE(TRIM(MID(SUBSTITUTE(SUBSTITUTE(Registro!$J844,";",CHAR(10)),CHAR(10),REPT(" ",LEN(Registro!$J844))),({1,2,3,4,5,6,7,8,9,10,11,12,13,14,15,16,17,18,19,20,21,22,23,24,25,26,27,28,29,30}-1)*LEN(Registro!$J844)+1,LEN(Registro!$J844)))," ",REPT(" ",50)),50)))),"Revisar formato"))</f>
        <v/>
      </c>
      <c r="M844" s="11" t="str">
        <f>IF(AND(Registro!$H844="",Registro!$I844=""),"",IF(AND(ISTEXT(K844),K844&lt;&gt;""),"Revisar formato",N(Registro!$H844)-N(K844)))</f>
        <v/>
      </c>
      <c r="N844" s="11" t="str">
        <f t="shared" si="41"/>
        <v/>
      </c>
      <c r="O844" s="15" t="str">
        <f>IF(AND(A844=Consulta!$B$3,C844=Consulta!$H$3),B844*10000+ROW(),"")</f>
        <v/>
      </c>
    </row>
    <row r="845" spans="1:15" x14ac:dyDescent="0.25">
      <c r="A845" s="9" t="str">
        <f>IF(Registro!$A845="","",Registro!$A845)</f>
        <v/>
      </c>
      <c r="B845" s="8" t="str">
        <f>IF(Registro!$B845="","",Registro!$B845)</f>
        <v/>
      </c>
      <c r="C845" s="14" t="str">
        <f t="shared" si="39"/>
        <v/>
      </c>
      <c r="D845" s="10" t="str">
        <f>IF(Registro!$E845="","",IF(ISERROR(FIND("x",LOWER(Registro!$E845))),"-",IFERROR(SUMPRODUCT(--("0"&amp;LEFT(TRIM(MID(SUBSTITUTE(SUBSTITUTE(SUBSTITUTE(SUBSTITUTE(SUBSTITUTE(LOWER(Registro!$E845),"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",LEN(Registro!$E845))),({1,2,3,4,5,6,7,8,9,10,11,12,13,14,15,16,17,18,19,20,21,22,23,24,25,26,27,28,29,30}-1)*LEN(Registro!$E845)+1,LEN(Registro!$E845)))&amp;"x")-1))),"Revisar formato")))</f>
        <v/>
      </c>
      <c r="E845" s="11" t="str">
        <f>IF(Registro!$E845="","",IF(ISERROR(FIND("x",LOWER(Registro!$E845))),"-",IFERROR(SUMPRODUCT(--("0"&amp;LEFT(TRIM(MID(SUBSTITUTE(SUBSTITUTE(SUBSTITUTE(SUBSTITUTE(SUBSTITUTE(LOWER(Registro!$E845),"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",LEN(Registro!$E845))),({1,2,3,4,5,6,7,8,9,10,11,12,13,14,15,16,17,18,19,20,21,22,23,24,25,26,27,28,29,30}-1)*LEN(Registro!$E845)+1,LEN(Registro!$E845)))&amp;"x")-1)),--("0"&amp;MID(TRIM(MID(SUBSTITUTE(SUBSTITUTE(SUBSTITUTE(SUBSTITUTE(SUBSTITUTE(LOWER(Registro!$E845),"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",LEN(Registro!$E845))),({1,2,3,4,5,6,7,8,9,10,11,12,13,14,15,16,17,18,19,20,21,22,23,24,25,26,27,28,29,30}-1)*LEN(Registro!$E845)+1,LEN(Registro!$E845)))&amp;"x")+1,20))),"Revisar formato")))</f>
        <v/>
      </c>
      <c r="F845" s="11" t="str">
        <f>IF(Registro!$F845="","",N(Registro!$F845))</f>
        <v/>
      </c>
      <c r="G845" s="11" t="str">
        <f t="shared" si="40"/>
        <v/>
      </c>
      <c r="H845" s="10" t="str">
        <f>IF(Registro!$G845="","",IF(ISERROR(FIND("x",LOWER(Registro!$G845))),"-",IFERROR(SUMPRODUCT(--("0"&amp;LEFT(TRIM(MID(SUBSTITUTE(SUBSTITUTE(SUBSTITUTE(SUBSTITUTE(SUBSTITUTE(LOWER(Registro!$G845),"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",LEN(Registro!$G845))),({1,2,3,4,5,6,7,8,9,10,11,12,13,14,15,16,17,18,19,20,21,22,23,24,25,26,27,28,29,30}-1)*LEN(Registro!$G845)+1,LEN(Registro!$G845))),FIND("x",TRIM(MID(SUBSTITUTE(SUBSTITUTE(SUBSTITUTE(SUBSTITUTE(SUBSTITUTE(LOWER(Registro!$G845),"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",LEN(Registro!$G845))),({1,2,3,4,5,6,7,8,9,10,11,12,13,14,15,16,17,18,19,20,21,22,23,24,25,26,27,28,29,30}-1)*LEN(Registro!$G845)+1,LEN(Registro!$G845)))&amp;"x")-1))),"Revisar formato")))</f>
        <v/>
      </c>
      <c r="I845" s="11" t="str">
        <f>IF(Registro!$G845="","",IF(ISERROR(FIND("x",LOWER(Registro!$G845))),N(Registro!$H845),IFERROR(SUMPRODUCT(--("0"&amp;LEFT(TRIM(MID(SUBSTITUTE(SUBSTITUTE(SUBSTITUTE(SUBSTITUTE(SUBSTITUTE(LOWER(Registro!$G845),"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",LEN(Registro!$G845))),({1,2,3,4,5,6,7,8,9,10,11,12,13,14,15,16,17,18,19,20,21,22,23,24,25,26,27,28,29,30}-1)*LEN(Registro!$G845)+1,LEN(Registro!$G845))),FIND("x",TRIM(MID(SUBSTITUTE(SUBSTITUTE(SUBSTITUTE(SUBSTITUTE(SUBSTITUTE(LOWER(Registro!$G845),"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",LEN(Registro!$G845))),({1,2,3,4,5,6,7,8,9,10,11,12,13,14,15,16,17,18,19,20,21,22,23,24,25,26,27,28,29,30}-1)*LEN(Registro!$G845)+1,LEN(Registro!$G845)))&amp;"x")-1)),--("0"&amp;MID(TRIM(MID(SUBSTITUTE(SUBSTITUTE(SUBSTITUTE(SUBSTITUTE(SUBSTITUTE(LOWER(Registro!$G845),"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",LEN(Registro!$G845))),({1,2,3,4,5,6,7,8,9,10,11,12,13,14,15,16,17,18,19,20,21,22,23,24,25,26,27,28,29,30}-1)*LEN(Registro!$G845)+1,LEN(Registro!$G845))),FIND("x",TRIM(MID(SUBSTITUTE(SUBSTITUTE(SUBSTITUTE(SUBSTITUTE(SUBSTITUTE(LOWER(Registro!$G845),"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",LEN(Registro!$G845))),({1,2,3,4,5,6,7,8,9,10,11,12,13,14,15,16,17,18,19,20,21,22,23,24,25,26,27,28,29,30}-1)*LEN(Registro!$G845)+1,LEN(Registro!$G845)))&amp;"x")+1,20))),"Revisar formato")))</f>
        <v/>
      </c>
      <c r="J845" s="9" t="str">
        <f>IF(AND(Registro!$E845="",Registro!$G845=""),"",IF(NOT(AND(ISNUMBER(I845),ISNUMBER(Registro!$H845))),"",IF(I845&lt;Registro!$H845,"FALTA BOLETOS",IF(I845=Registro!$H845,"CONFORME","DIFERENCIA"))))</f>
        <v/>
      </c>
      <c r="K845" s="11" t="str">
        <f>IF(Registro!$I845="","",IFERROR(SUMPRODUCT(--("0"&amp;TRIM(RIGHT(SUBSTITUTE(TRIM(MID(SUBSTITUTE(SUBSTITUTE(Registro!$I845,";",CHAR(10)),CHAR(10),REPT(" ",LEN(Registro!$I845))),({1,2,3,4,5,6,7,8,9,10,11,12,13,14,15,16,17,18,19,20,21,22,23,24,25,26,27,28,29,30}-1)*LEN(Registro!$I845)+1,LEN(Registro!$I845)))," ",REPT(" ",50)),50)))),"Revisar formato"))</f>
        <v/>
      </c>
      <c r="L845" s="11" t="str">
        <f>IF(Registro!$J845="","",IFERROR(SUMPRODUCT(--("0"&amp;TRIM(RIGHT(SUBSTITUTE(TRIM(MID(SUBSTITUTE(SUBSTITUTE(Registro!$J845,";",CHAR(10)),CHAR(10),REPT(" ",LEN(Registro!$J845))),({1,2,3,4,5,6,7,8,9,10,11,12,13,14,15,16,17,18,19,20,21,22,23,24,25,26,27,28,29,30}-1)*LEN(Registro!$J845)+1,LEN(Registro!$J845)))," ",REPT(" ",50)),50)))),"Revisar formato"))</f>
        <v/>
      </c>
      <c r="M845" s="11" t="str">
        <f>IF(AND(Registro!$H845="",Registro!$I845=""),"",IF(AND(ISTEXT(K845),K845&lt;&gt;""),"Revisar formato",N(Registro!$H845)-N(K845)))</f>
        <v/>
      </c>
      <c r="N845" s="11" t="str">
        <f t="shared" si="41"/>
        <v/>
      </c>
      <c r="O845" s="15" t="str">
        <f>IF(AND(A845=Consulta!$B$3,C845=Consulta!$H$3),B845*10000+ROW(),"")</f>
        <v/>
      </c>
    </row>
    <row r="846" spans="1:15" x14ac:dyDescent="0.25">
      <c r="A846" s="9" t="str">
        <f>IF(Registro!$A846="","",Registro!$A846)</f>
        <v/>
      </c>
      <c r="B846" s="8" t="str">
        <f>IF(Registro!$B846="","",Registro!$B846)</f>
        <v/>
      </c>
      <c r="C846" s="14" t="str">
        <f t="shared" si="39"/>
        <v/>
      </c>
      <c r="D846" s="10" t="str">
        <f>IF(Registro!$E846="","",IF(ISERROR(FIND("x",LOWER(Registro!$E846))),"-",IFERROR(SUMPRODUCT(--("0"&amp;LEFT(TRIM(MID(SUBSTITUTE(SUBSTITUTE(SUBSTITUTE(SUBSTITUTE(SUBSTITUTE(LOWER(Registro!$E846),"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",LEN(Registro!$E846))),({1,2,3,4,5,6,7,8,9,10,11,12,13,14,15,16,17,18,19,20,21,22,23,24,25,26,27,28,29,30}-1)*LEN(Registro!$E846)+1,LEN(Registro!$E846)))&amp;"x")-1))),"Revisar formato")))</f>
        <v/>
      </c>
      <c r="E846" s="11" t="str">
        <f>IF(Registro!$E846="","",IF(ISERROR(FIND("x",LOWER(Registro!$E846))),"-",IFERROR(SUMPRODUCT(--("0"&amp;LEFT(TRIM(MID(SUBSTITUTE(SUBSTITUTE(SUBSTITUTE(SUBSTITUTE(SUBSTITUTE(LOWER(Registro!$E846),"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",LEN(Registro!$E846))),({1,2,3,4,5,6,7,8,9,10,11,12,13,14,15,16,17,18,19,20,21,22,23,24,25,26,27,28,29,30}-1)*LEN(Registro!$E846)+1,LEN(Registro!$E846)))&amp;"x")-1)),--("0"&amp;MID(TRIM(MID(SUBSTITUTE(SUBSTITUTE(SUBSTITUTE(SUBSTITUTE(SUBSTITUTE(LOWER(Registro!$E846),"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",LEN(Registro!$E846))),({1,2,3,4,5,6,7,8,9,10,11,12,13,14,15,16,17,18,19,20,21,22,23,24,25,26,27,28,29,30}-1)*LEN(Registro!$E846)+1,LEN(Registro!$E846)))&amp;"x")+1,20))),"Revisar formato")))</f>
        <v/>
      </c>
      <c r="F846" s="11" t="str">
        <f>IF(Registro!$F846="","",N(Registro!$F846))</f>
        <v/>
      </c>
      <c r="G846" s="11" t="str">
        <f t="shared" si="40"/>
        <v/>
      </c>
      <c r="H846" s="10" t="str">
        <f>IF(Registro!$G846="","",IF(ISERROR(FIND("x",LOWER(Registro!$G846))),"-",IFERROR(SUMPRODUCT(--("0"&amp;LEFT(TRIM(MID(SUBSTITUTE(SUBSTITUTE(SUBSTITUTE(SUBSTITUTE(SUBSTITUTE(LOWER(Registro!$G846),"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",LEN(Registro!$G846))),({1,2,3,4,5,6,7,8,9,10,11,12,13,14,15,16,17,18,19,20,21,22,23,24,25,26,27,28,29,30}-1)*LEN(Registro!$G846)+1,LEN(Registro!$G846))),FIND("x",TRIM(MID(SUBSTITUTE(SUBSTITUTE(SUBSTITUTE(SUBSTITUTE(SUBSTITUTE(LOWER(Registro!$G846),"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",LEN(Registro!$G846))),({1,2,3,4,5,6,7,8,9,10,11,12,13,14,15,16,17,18,19,20,21,22,23,24,25,26,27,28,29,30}-1)*LEN(Registro!$G846)+1,LEN(Registro!$G846)))&amp;"x")-1))),"Revisar formato")))</f>
        <v/>
      </c>
      <c r="I846" s="11" t="str">
        <f>IF(Registro!$G846="","",IF(ISERROR(FIND("x",LOWER(Registro!$G846))),N(Registro!$H846),IFERROR(SUMPRODUCT(--("0"&amp;LEFT(TRIM(MID(SUBSTITUTE(SUBSTITUTE(SUBSTITUTE(SUBSTITUTE(SUBSTITUTE(LOWER(Registro!$G846),"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",LEN(Registro!$G846))),({1,2,3,4,5,6,7,8,9,10,11,12,13,14,15,16,17,18,19,20,21,22,23,24,25,26,27,28,29,30}-1)*LEN(Registro!$G846)+1,LEN(Registro!$G846))),FIND("x",TRIM(MID(SUBSTITUTE(SUBSTITUTE(SUBSTITUTE(SUBSTITUTE(SUBSTITUTE(LOWER(Registro!$G846),"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",LEN(Registro!$G846))),({1,2,3,4,5,6,7,8,9,10,11,12,13,14,15,16,17,18,19,20,21,22,23,24,25,26,27,28,29,30}-1)*LEN(Registro!$G846)+1,LEN(Registro!$G846)))&amp;"x")-1)),--("0"&amp;MID(TRIM(MID(SUBSTITUTE(SUBSTITUTE(SUBSTITUTE(SUBSTITUTE(SUBSTITUTE(LOWER(Registro!$G846),"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",LEN(Registro!$G846))),({1,2,3,4,5,6,7,8,9,10,11,12,13,14,15,16,17,18,19,20,21,22,23,24,25,26,27,28,29,30}-1)*LEN(Registro!$G846)+1,LEN(Registro!$G846))),FIND("x",TRIM(MID(SUBSTITUTE(SUBSTITUTE(SUBSTITUTE(SUBSTITUTE(SUBSTITUTE(LOWER(Registro!$G846),"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",LEN(Registro!$G846))),({1,2,3,4,5,6,7,8,9,10,11,12,13,14,15,16,17,18,19,20,21,22,23,24,25,26,27,28,29,30}-1)*LEN(Registro!$G846)+1,LEN(Registro!$G846)))&amp;"x")+1,20))),"Revisar formato")))</f>
        <v/>
      </c>
      <c r="J846" s="9" t="str">
        <f>IF(AND(Registro!$E846="",Registro!$G846=""),"",IF(NOT(AND(ISNUMBER(I846),ISNUMBER(Registro!$H846))),"",IF(I846&lt;Registro!$H846,"FALTA BOLETOS",IF(I846=Registro!$H846,"CONFORME","DIFERENCIA"))))</f>
        <v/>
      </c>
      <c r="K846" s="11" t="str">
        <f>IF(Registro!$I846="","",IFERROR(SUMPRODUCT(--("0"&amp;TRIM(RIGHT(SUBSTITUTE(TRIM(MID(SUBSTITUTE(SUBSTITUTE(Registro!$I846,";",CHAR(10)),CHAR(10),REPT(" ",LEN(Registro!$I846))),({1,2,3,4,5,6,7,8,9,10,11,12,13,14,15,16,17,18,19,20,21,22,23,24,25,26,27,28,29,30}-1)*LEN(Registro!$I846)+1,LEN(Registro!$I846)))," ",REPT(" ",50)),50)))),"Revisar formato"))</f>
        <v/>
      </c>
      <c r="L846" s="11" t="str">
        <f>IF(Registro!$J846="","",IFERROR(SUMPRODUCT(--("0"&amp;TRIM(RIGHT(SUBSTITUTE(TRIM(MID(SUBSTITUTE(SUBSTITUTE(Registro!$J846,";",CHAR(10)),CHAR(10),REPT(" ",LEN(Registro!$J846))),({1,2,3,4,5,6,7,8,9,10,11,12,13,14,15,16,17,18,19,20,21,22,23,24,25,26,27,28,29,30}-1)*LEN(Registro!$J846)+1,LEN(Registro!$J846)))," ",REPT(" ",50)),50)))),"Revisar formato"))</f>
        <v/>
      </c>
      <c r="M846" s="11" t="str">
        <f>IF(AND(Registro!$H846="",Registro!$I846=""),"",IF(AND(ISTEXT(K846),K846&lt;&gt;""),"Revisar formato",N(Registro!$H846)-N(K846)))</f>
        <v/>
      </c>
      <c r="N846" s="11" t="str">
        <f t="shared" si="41"/>
        <v/>
      </c>
      <c r="O846" s="15" t="str">
        <f>IF(AND(A846=Consulta!$B$3,C846=Consulta!$H$3),B846*10000+ROW(),"")</f>
        <v/>
      </c>
    </row>
    <row r="847" spans="1:15" x14ac:dyDescent="0.25">
      <c r="A847" s="9" t="str">
        <f>IF(Registro!$A847="","",Registro!$A847)</f>
        <v/>
      </c>
      <c r="B847" s="8" t="str">
        <f>IF(Registro!$B847="","",Registro!$B847)</f>
        <v/>
      </c>
      <c r="C847" s="14" t="str">
        <f t="shared" si="39"/>
        <v/>
      </c>
      <c r="D847" s="10" t="str">
        <f>IF(Registro!$E847="","",IF(ISERROR(FIND("x",LOWER(Registro!$E847))),"-",IFERROR(SUMPRODUCT(--("0"&amp;LEFT(TRIM(MID(SUBSTITUTE(SUBSTITUTE(SUBSTITUTE(SUBSTITUTE(SUBSTITUTE(LOWER(Registro!$E847),"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",LEN(Registro!$E847))),({1,2,3,4,5,6,7,8,9,10,11,12,13,14,15,16,17,18,19,20,21,22,23,24,25,26,27,28,29,30}-1)*LEN(Registro!$E847)+1,LEN(Registro!$E847)))&amp;"x")-1))),"Revisar formato")))</f>
        <v/>
      </c>
      <c r="E847" s="11" t="str">
        <f>IF(Registro!$E847="","",IF(ISERROR(FIND("x",LOWER(Registro!$E847))),"-",IFERROR(SUMPRODUCT(--("0"&amp;LEFT(TRIM(MID(SUBSTITUTE(SUBSTITUTE(SUBSTITUTE(SUBSTITUTE(SUBSTITUTE(LOWER(Registro!$E847),"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",LEN(Registro!$E847))),({1,2,3,4,5,6,7,8,9,10,11,12,13,14,15,16,17,18,19,20,21,22,23,24,25,26,27,28,29,30}-1)*LEN(Registro!$E847)+1,LEN(Registro!$E847)))&amp;"x")-1)),--("0"&amp;MID(TRIM(MID(SUBSTITUTE(SUBSTITUTE(SUBSTITUTE(SUBSTITUTE(SUBSTITUTE(LOWER(Registro!$E847),"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",LEN(Registro!$E847))),({1,2,3,4,5,6,7,8,9,10,11,12,13,14,15,16,17,18,19,20,21,22,23,24,25,26,27,28,29,30}-1)*LEN(Registro!$E847)+1,LEN(Registro!$E847)))&amp;"x")+1,20))),"Revisar formato")))</f>
        <v/>
      </c>
      <c r="F847" s="11" t="str">
        <f>IF(Registro!$F847="","",N(Registro!$F847))</f>
        <v/>
      </c>
      <c r="G847" s="11" t="str">
        <f t="shared" si="40"/>
        <v/>
      </c>
      <c r="H847" s="10" t="str">
        <f>IF(Registro!$G847="","",IF(ISERROR(FIND("x",LOWER(Registro!$G847))),"-",IFERROR(SUMPRODUCT(--("0"&amp;LEFT(TRIM(MID(SUBSTITUTE(SUBSTITUTE(SUBSTITUTE(SUBSTITUTE(SUBSTITUTE(LOWER(Registro!$G847),"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",LEN(Registro!$G847))),({1,2,3,4,5,6,7,8,9,10,11,12,13,14,15,16,17,18,19,20,21,22,23,24,25,26,27,28,29,30}-1)*LEN(Registro!$G847)+1,LEN(Registro!$G847))),FIND("x",TRIM(MID(SUBSTITUTE(SUBSTITUTE(SUBSTITUTE(SUBSTITUTE(SUBSTITUTE(LOWER(Registro!$G847),"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",LEN(Registro!$G847))),({1,2,3,4,5,6,7,8,9,10,11,12,13,14,15,16,17,18,19,20,21,22,23,24,25,26,27,28,29,30}-1)*LEN(Registro!$G847)+1,LEN(Registro!$G847)))&amp;"x")-1))),"Revisar formato")))</f>
        <v/>
      </c>
      <c r="I847" s="11" t="str">
        <f>IF(Registro!$G847="","",IF(ISERROR(FIND("x",LOWER(Registro!$G847))),N(Registro!$H847),IFERROR(SUMPRODUCT(--("0"&amp;LEFT(TRIM(MID(SUBSTITUTE(SUBSTITUTE(SUBSTITUTE(SUBSTITUTE(SUBSTITUTE(LOWER(Registro!$G847),"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",LEN(Registro!$G847))),({1,2,3,4,5,6,7,8,9,10,11,12,13,14,15,16,17,18,19,20,21,22,23,24,25,26,27,28,29,30}-1)*LEN(Registro!$G847)+1,LEN(Registro!$G847))),FIND("x",TRIM(MID(SUBSTITUTE(SUBSTITUTE(SUBSTITUTE(SUBSTITUTE(SUBSTITUTE(LOWER(Registro!$G847),"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",LEN(Registro!$G847))),({1,2,3,4,5,6,7,8,9,10,11,12,13,14,15,16,17,18,19,20,21,22,23,24,25,26,27,28,29,30}-1)*LEN(Registro!$G847)+1,LEN(Registro!$G847)))&amp;"x")-1)),--("0"&amp;MID(TRIM(MID(SUBSTITUTE(SUBSTITUTE(SUBSTITUTE(SUBSTITUTE(SUBSTITUTE(LOWER(Registro!$G847),"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",LEN(Registro!$G847))),({1,2,3,4,5,6,7,8,9,10,11,12,13,14,15,16,17,18,19,20,21,22,23,24,25,26,27,28,29,30}-1)*LEN(Registro!$G847)+1,LEN(Registro!$G847))),FIND("x",TRIM(MID(SUBSTITUTE(SUBSTITUTE(SUBSTITUTE(SUBSTITUTE(SUBSTITUTE(LOWER(Registro!$G847),"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",LEN(Registro!$G847))),({1,2,3,4,5,6,7,8,9,10,11,12,13,14,15,16,17,18,19,20,21,22,23,24,25,26,27,28,29,30}-1)*LEN(Registro!$G847)+1,LEN(Registro!$G847)))&amp;"x")+1,20))),"Revisar formato")))</f>
        <v/>
      </c>
      <c r="J847" s="9" t="str">
        <f>IF(AND(Registro!$E847="",Registro!$G847=""),"",IF(NOT(AND(ISNUMBER(I847),ISNUMBER(Registro!$H847))),"",IF(I847&lt;Registro!$H847,"FALTA BOLETOS",IF(I847=Registro!$H847,"CONFORME","DIFERENCIA"))))</f>
        <v/>
      </c>
      <c r="K847" s="11" t="str">
        <f>IF(Registro!$I847="","",IFERROR(SUMPRODUCT(--("0"&amp;TRIM(RIGHT(SUBSTITUTE(TRIM(MID(SUBSTITUTE(SUBSTITUTE(Registro!$I847,";",CHAR(10)),CHAR(10),REPT(" ",LEN(Registro!$I847))),({1,2,3,4,5,6,7,8,9,10,11,12,13,14,15,16,17,18,19,20,21,22,23,24,25,26,27,28,29,30}-1)*LEN(Registro!$I847)+1,LEN(Registro!$I847)))," ",REPT(" ",50)),50)))),"Revisar formato"))</f>
        <v/>
      </c>
      <c r="L847" s="11" t="str">
        <f>IF(Registro!$J847="","",IFERROR(SUMPRODUCT(--("0"&amp;TRIM(RIGHT(SUBSTITUTE(TRIM(MID(SUBSTITUTE(SUBSTITUTE(Registro!$J847,";",CHAR(10)),CHAR(10),REPT(" ",LEN(Registro!$J847))),({1,2,3,4,5,6,7,8,9,10,11,12,13,14,15,16,17,18,19,20,21,22,23,24,25,26,27,28,29,30}-1)*LEN(Registro!$J847)+1,LEN(Registro!$J847)))," ",REPT(" ",50)),50)))),"Revisar formato"))</f>
        <v/>
      </c>
      <c r="M847" s="11" t="str">
        <f>IF(AND(Registro!$H847="",Registro!$I847=""),"",IF(AND(ISTEXT(K847),K847&lt;&gt;""),"Revisar formato",N(Registro!$H847)-N(K847)))</f>
        <v/>
      </c>
      <c r="N847" s="11" t="str">
        <f t="shared" si="41"/>
        <v/>
      </c>
      <c r="O847" s="15" t="str">
        <f>IF(AND(A847=Consulta!$B$3,C847=Consulta!$H$3),B847*10000+ROW(),"")</f>
        <v/>
      </c>
    </row>
    <row r="848" spans="1:15" x14ac:dyDescent="0.25">
      <c r="A848" s="9" t="str">
        <f>IF(Registro!$A848="","",Registro!$A848)</f>
        <v/>
      </c>
      <c r="B848" s="8" t="str">
        <f>IF(Registro!$B848="","",Registro!$B848)</f>
        <v/>
      </c>
      <c r="C848" s="14" t="str">
        <f t="shared" si="39"/>
        <v/>
      </c>
      <c r="D848" s="10" t="str">
        <f>IF(Registro!$E848="","",IF(ISERROR(FIND("x",LOWER(Registro!$E848))),"-",IFERROR(SUMPRODUCT(--("0"&amp;LEFT(TRIM(MID(SUBSTITUTE(SUBSTITUTE(SUBSTITUTE(SUBSTITUTE(SUBSTITUTE(LOWER(Registro!$E848),"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",LEN(Registro!$E848))),({1,2,3,4,5,6,7,8,9,10,11,12,13,14,15,16,17,18,19,20,21,22,23,24,25,26,27,28,29,30}-1)*LEN(Registro!$E848)+1,LEN(Registro!$E848)))&amp;"x")-1))),"Revisar formato")))</f>
        <v/>
      </c>
      <c r="E848" s="11" t="str">
        <f>IF(Registro!$E848="","",IF(ISERROR(FIND("x",LOWER(Registro!$E848))),"-",IFERROR(SUMPRODUCT(--("0"&amp;LEFT(TRIM(MID(SUBSTITUTE(SUBSTITUTE(SUBSTITUTE(SUBSTITUTE(SUBSTITUTE(LOWER(Registro!$E848),"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",LEN(Registro!$E848))),({1,2,3,4,5,6,7,8,9,10,11,12,13,14,15,16,17,18,19,20,21,22,23,24,25,26,27,28,29,30}-1)*LEN(Registro!$E848)+1,LEN(Registro!$E848)))&amp;"x")-1)),--("0"&amp;MID(TRIM(MID(SUBSTITUTE(SUBSTITUTE(SUBSTITUTE(SUBSTITUTE(SUBSTITUTE(LOWER(Registro!$E848),"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",LEN(Registro!$E848))),({1,2,3,4,5,6,7,8,9,10,11,12,13,14,15,16,17,18,19,20,21,22,23,24,25,26,27,28,29,30}-1)*LEN(Registro!$E848)+1,LEN(Registro!$E848)))&amp;"x")+1,20))),"Revisar formato")))</f>
        <v/>
      </c>
      <c r="F848" s="11" t="str">
        <f>IF(Registro!$F848="","",N(Registro!$F848))</f>
        <v/>
      </c>
      <c r="G848" s="11" t="str">
        <f t="shared" si="40"/>
        <v/>
      </c>
      <c r="H848" s="10" t="str">
        <f>IF(Registro!$G848="","",IF(ISERROR(FIND("x",LOWER(Registro!$G848))),"-",IFERROR(SUMPRODUCT(--("0"&amp;LEFT(TRIM(MID(SUBSTITUTE(SUBSTITUTE(SUBSTITUTE(SUBSTITUTE(SUBSTITUTE(LOWER(Registro!$G848),"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",LEN(Registro!$G848))),({1,2,3,4,5,6,7,8,9,10,11,12,13,14,15,16,17,18,19,20,21,22,23,24,25,26,27,28,29,30}-1)*LEN(Registro!$G848)+1,LEN(Registro!$G848))),FIND("x",TRIM(MID(SUBSTITUTE(SUBSTITUTE(SUBSTITUTE(SUBSTITUTE(SUBSTITUTE(LOWER(Registro!$G848),"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",LEN(Registro!$G848))),({1,2,3,4,5,6,7,8,9,10,11,12,13,14,15,16,17,18,19,20,21,22,23,24,25,26,27,28,29,30}-1)*LEN(Registro!$G848)+1,LEN(Registro!$G848)))&amp;"x")-1))),"Revisar formato")))</f>
        <v/>
      </c>
      <c r="I848" s="11" t="str">
        <f>IF(Registro!$G848="","",IF(ISERROR(FIND("x",LOWER(Registro!$G848))),N(Registro!$H848),IFERROR(SUMPRODUCT(--("0"&amp;LEFT(TRIM(MID(SUBSTITUTE(SUBSTITUTE(SUBSTITUTE(SUBSTITUTE(SUBSTITUTE(LOWER(Registro!$G848),"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",LEN(Registro!$G848))),({1,2,3,4,5,6,7,8,9,10,11,12,13,14,15,16,17,18,19,20,21,22,23,24,25,26,27,28,29,30}-1)*LEN(Registro!$G848)+1,LEN(Registro!$G848))),FIND("x",TRIM(MID(SUBSTITUTE(SUBSTITUTE(SUBSTITUTE(SUBSTITUTE(SUBSTITUTE(LOWER(Registro!$G848),"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",LEN(Registro!$G848))),({1,2,3,4,5,6,7,8,9,10,11,12,13,14,15,16,17,18,19,20,21,22,23,24,25,26,27,28,29,30}-1)*LEN(Registro!$G848)+1,LEN(Registro!$G848)))&amp;"x")-1)),--("0"&amp;MID(TRIM(MID(SUBSTITUTE(SUBSTITUTE(SUBSTITUTE(SUBSTITUTE(SUBSTITUTE(LOWER(Registro!$G848),"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",LEN(Registro!$G848))),({1,2,3,4,5,6,7,8,9,10,11,12,13,14,15,16,17,18,19,20,21,22,23,24,25,26,27,28,29,30}-1)*LEN(Registro!$G848)+1,LEN(Registro!$G848))),FIND("x",TRIM(MID(SUBSTITUTE(SUBSTITUTE(SUBSTITUTE(SUBSTITUTE(SUBSTITUTE(LOWER(Registro!$G848),"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",LEN(Registro!$G848))),({1,2,3,4,5,6,7,8,9,10,11,12,13,14,15,16,17,18,19,20,21,22,23,24,25,26,27,28,29,30}-1)*LEN(Registro!$G848)+1,LEN(Registro!$G848)))&amp;"x")+1,20))),"Revisar formato")))</f>
        <v/>
      </c>
      <c r="J848" s="9" t="str">
        <f>IF(AND(Registro!$E848="",Registro!$G848=""),"",IF(NOT(AND(ISNUMBER(I848),ISNUMBER(Registro!$H848))),"",IF(I848&lt;Registro!$H848,"FALTA BOLETOS",IF(I848=Registro!$H848,"CONFORME","DIFERENCIA"))))</f>
        <v/>
      </c>
      <c r="K848" s="11" t="str">
        <f>IF(Registro!$I848="","",IFERROR(SUMPRODUCT(--("0"&amp;TRIM(RIGHT(SUBSTITUTE(TRIM(MID(SUBSTITUTE(SUBSTITUTE(Registro!$I848,";",CHAR(10)),CHAR(10),REPT(" ",LEN(Registro!$I848))),({1,2,3,4,5,6,7,8,9,10,11,12,13,14,15,16,17,18,19,20,21,22,23,24,25,26,27,28,29,30}-1)*LEN(Registro!$I848)+1,LEN(Registro!$I848)))," ",REPT(" ",50)),50)))),"Revisar formato"))</f>
        <v/>
      </c>
      <c r="L848" s="11" t="str">
        <f>IF(Registro!$J848="","",IFERROR(SUMPRODUCT(--("0"&amp;TRIM(RIGHT(SUBSTITUTE(TRIM(MID(SUBSTITUTE(SUBSTITUTE(Registro!$J848,";",CHAR(10)),CHAR(10),REPT(" ",LEN(Registro!$J848))),({1,2,3,4,5,6,7,8,9,10,11,12,13,14,15,16,17,18,19,20,21,22,23,24,25,26,27,28,29,30}-1)*LEN(Registro!$J848)+1,LEN(Registro!$J848)))," ",REPT(" ",50)),50)))),"Revisar formato"))</f>
        <v/>
      </c>
      <c r="M848" s="11" t="str">
        <f>IF(AND(Registro!$H848="",Registro!$I848=""),"",IF(AND(ISTEXT(K848),K848&lt;&gt;""),"Revisar formato",N(Registro!$H848)-N(K848)))</f>
        <v/>
      </c>
      <c r="N848" s="11" t="str">
        <f t="shared" si="41"/>
        <v/>
      </c>
      <c r="O848" s="15" t="str">
        <f>IF(AND(A848=Consulta!$B$3,C848=Consulta!$H$3),B848*10000+ROW(),"")</f>
        <v/>
      </c>
    </row>
    <row r="849" spans="1:15" x14ac:dyDescent="0.25">
      <c r="A849" s="9" t="str">
        <f>IF(Registro!$A849="","",Registro!$A849)</f>
        <v/>
      </c>
      <c r="B849" s="8" t="str">
        <f>IF(Registro!$B849="","",Registro!$B849)</f>
        <v/>
      </c>
      <c r="C849" s="14" t="str">
        <f t="shared" si="39"/>
        <v/>
      </c>
      <c r="D849" s="10" t="str">
        <f>IF(Registro!$E849="","",IF(ISERROR(FIND("x",LOWER(Registro!$E849))),"-",IFERROR(SUMPRODUCT(--("0"&amp;LEFT(TRIM(MID(SUBSTITUTE(SUBSTITUTE(SUBSTITUTE(SUBSTITUTE(SUBSTITUTE(LOWER(Registro!$E849),"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",LEN(Registro!$E849))),({1,2,3,4,5,6,7,8,9,10,11,12,13,14,15,16,17,18,19,20,21,22,23,24,25,26,27,28,29,30}-1)*LEN(Registro!$E849)+1,LEN(Registro!$E849)))&amp;"x")-1))),"Revisar formato")))</f>
        <v/>
      </c>
      <c r="E849" s="11" t="str">
        <f>IF(Registro!$E849="","",IF(ISERROR(FIND("x",LOWER(Registro!$E849))),"-",IFERROR(SUMPRODUCT(--("0"&amp;LEFT(TRIM(MID(SUBSTITUTE(SUBSTITUTE(SUBSTITUTE(SUBSTITUTE(SUBSTITUTE(LOWER(Registro!$E849),"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",LEN(Registro!$E849))),({1,2,3,4,5,6,7,8,9,10,11,12,13,14,15,16,17,18,19,20,21,22,23,24,25,26,27,28,29,30}-1)*LEN(Registro!$E849)+1,LEN(Registro!$E849)))&amp;"x")-1)),--("0"&amp;MID(TRIM(MID(SUBSTITUTE(SUBSTITUTE(SUBSTITUTE(SUBSTITUTE(SUBSTITUTE(LOWER(Registro!$E849),"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",LEN(Registro!$E849))),({1,2,3,4,5,6,7,8,9,10,11,12,13,14,15,16,17,18,19,20,21,22,23,24,25,26,27,28,29,30}-1)*LEN(Registro!$E849)+1,LEN(Registro!$E849)))&amp;"x")+1,20))),"Revisar formato")))</f>
        <v/>
      </c>
      <c r="F849" s="11" t="str">
        <f>IF(Registro!$F849="","",N(Registro!$F849))</f>
        <v/>
      </c>
      <c r="G849" s="11" t="str">
        <f t="shared" si="40"/>
        <v/>
      </c>
      <c r="H849" s="10" t="str">
        <f>IF(Registro!$G849="","",IF(ISERROR(FIND("x",LOWER(Registro!$G849))),"-",IFERROR(SUMPRODUCT(--("0"&amp;LEFT(TRIM(MID(SUBSTITUTE(SUBSTITUTE(SUBSTITUTE(SUBSTITUTE(SUBSTITUTE(LOWER(Registro!$G849),"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",LEN(Registro!$G849))),({1,2,3,4,5,6,7,8,9,10,11,12,13,14,15,16,17,18,19,20,21,22,23,24,25,26,27,28,29,30}-1)*LEN(Registro!$G849)+1,LEN(Registro!$G849))),FIND("x",TRIM(MID(SUBSTITUTE(SUBSTITUTE(SUBSTITUTE(SUBSTITUTE(SUBSTITUTE(LOWER(Registro!$G849),"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",LEN(Registro!$G849))),({1,2,3,4,5,6,7,8,9,10,11,12,13,14,15,16,17,18,19,20,21,22,23,24,25,26,27,28,29,30}-1)*LEN(Registro!$G849)+1,LEN(Registro!$G849)))&amp;"x")-1))),"Revisar formato")))</f>
        <v/>
      </c>
      <c r="I849" s="11" t="str">
        <f>IF(Registro!$G849="","",IF(ISERROR(FIND("x",LOWER(Registro!$G849))),N(Registro!$H849),IFERROR(SUMPRODUCT(--("0"&amp;LEFT(TRIM(MID(SUBSTITUTE(SUBSTITUTE(SUBSTITUTE(SUBSTITUTE(SUBSTITUTE(LOWER(Registro!$G849),"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",LEN(Registro!$G849))),({1,2,3,4,5,6,7,8,9,10,11,12,13,14,15,16,17,18,19,20,21,22,23,24,25,26,27,28,29,30}-1)*LEN(Registro!$G849)+1,LEN(Registro!$G849))),FIND("x",TRIM(MID(SUBSTITUTE(SUBSTITUTE(SUBSTITUTE(SUBSTITUTE(SUBSTITUTE(LOWER(Registro!$G849),"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",LEN(Registro!$G849))),({1,2,3,4,5,6,7,8,9,10,11,12,13,14,15,16,17,18,19,20,21,22,23,24,25,26,27,28,29,30}-1)*LEN(Registro!$G849)+1,LEN(Registro!$G849)))&amp;"x")-1)),--("0"&amp;MID(TRIM(MID(SUBSTITUTE(SUBSTITUTE(SUBSTITUTE(SUBSTITUTE(SUBSTITUTE(LOWER(Registro!$G849),"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",LEN(Registro!$G849))),({1,2,3,4,5,6,7,8,9,10,11,12,13,14,15,16,17,18,19,20,21,22,23,24,25,26,27,28,29,30}-1)*LEN(Registro!$G849)+1,LEN(Registro!$G849))),FIND("x",TRIM(MID(SUBSTITUTE(SUBSTITUTE(SUBSTITUTE(SUBSTITUTE(SUBSTITUTE(LOWER(Registro!$G849),"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",LEN(Registro!$G849))),({1,2,3,4,5,6,7,8,9,10,11,12,13,14,15,16,17,18,19,20,21,22,23,24,25,26,27,28,29,30}-1)*LEN(Registro!$G849)+1,LEN(Registro!$G849)))&amp;"x")+1,20))),"Revisar formato")))</f>
        <v/>
      </c>
      <c r="J849" s="9" t="str">
        <f>IF(AND(Registro!$E849="",Registro!$G849=""),"",IF(NOT(AND(ISNUMBER(I849),ISNUMBER(Registro!$H849))),"",IF(I849&lt;Registro!$H849,"FALTA BOLETOS",IF(I849=Registro!$H849,"CONFORME","DIFERENCIA"))))</f>
        <v/>
      </c>
      <c r="K849" s="11" t="str">
        <f>IF(Registro!$I849="","",IFERROR(SUMPRODUCT(--("0"&amp;TRIM(RIGHT(SUBSTITUTE(TRIM(MID(SUBSTITUTE(SUBSTITUTE(Registro!$I849,";",CHAR(10)),CHAR(10),REPT(" ",LEN(Registro!$I849))),({1,2,3,4,5,6,7,8,9,10,11,12,13,14,15,16,17,18,19,20,21,22,23,24,25,26,27,28,29,30}-1)*LEN(Registro!$I849)+1,LEN(Registro!$I849)))," ",REPT(" ",50)),50)))),"Revisar formato"))</f>
        <v/>
      </c>
      <c r="L849" s="11" t="str">
        <f>IF(Registro!$J849="","",IFERROR(SUMPRODUCT(--("0"&amp;TRIM(RIGHT(SUBSTITUTE(TRIM(MID(SUBSTITUTE(SUBSTITUTE(Registro!$J849,";",CHAR(10)),CHAR(10),REPT(" ",LEN(Registro!$J849))),({1,2,3,4,5,6,7,8,9,10,11,12,13,14,15,16,17,18,19,20,21,22,23,24,25,26,27,28,29,30}-1)*LEN(Registro!$J849)+1,LEN(Registro!$J849)))," ",REPT(" ",50)),50)))),"Revisar formato"))</f>
        <v/>
      </c>
      <c r="M849" s="11" t="str">
        <f>IF(AND(Registro!$H849="",Registro!$I849=""),"",IF(AND(ISTEXT(K849),K849&lt;&gt;""),"Revisar formato",N(Registro!$H849)-N(K849)))</f>
        <v/>
      </c>
      <c r="N849" s="11" t="str">
        <f t="shared" si="41"/>
        <v/>
      </c>
      <c r="O849" s="15" t="str">
        <f>IF(AND(A849=Consulta!$B$3,C849=Consulta!$H$3),B849*10000+ROW(),"")</f>
        <v/>
      </c>
    </row>
    <row r="850" spans="1:15" x14ac:dyDescent="0.25">
      <c r="A850" s="9" t="str">
        <f>IF(Registro!$A850="","",Registro!$A850)</f>
        <v/>
      </c>
      <c r="B850" s="8" t="str">
        <f>IF(Registro!$B850="","",Registro!$B850)</f>
        <v/>
      </c>
      <c r="C850" s="14" t="str">
        <f t="shared" si="39"/>
        <v/>
      </c>
      <c r="D850" s="10" t="str">
        <f>IF(Registro!$E850="","",IF(ISERROR(FIND("x",LOWER(Registro!$E850))),"-",IFERROR(SUMPRODUCT(--("0"&amp;LEFT(TRIM(MID(SUBSTITUTE(SUBSTITUTE(SUBSTITUTE(SUBSTITUTE(SUBSTITUTE(LOWER(Registro!$E850),"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",LEN(Registro!$E850))),({1,2,3,4,5,6,7,8,9,10,11,12,13,14,15,16,17,18,19,20,21,22,23,24,25,26,27,28,29,30}-1)*LEN(Registro!$E850)+1,LEN(Registro!$E850)))&amp;"x")-1))),"Revisar formato")))</f>
        <v/>
      </c>
      <c r="E850" s="11" t="str">
        <f>IF(Registro!$E850="","",IF(ISERROR(FIND("x",LOWER(Registro!$E850))),"-",IFERROR(SUMPRODUCT(--("0"&amp;LEFT(TRIM(MID(SUBSTITUTE(SUBSTITUTE(SUBSTITUTE(SUBSTITUTE(SUBSTITUTE(LOWER(Registro!$E850),"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",LEN(Registro!$E850))),({1,2,3,4,5,6,7,8,9,10,11,12,13,14,15,16,17,18,19,20,21,22,23,24,25,26,27,28,29,30}-1)*LEN(Registro!$E850)+1,LEN(Registro!$E850)))&amp;"x")-1)),--("0"&amp;MID(TRIM(MID(SUBSTITUTE(SUBSTITUTE(SUBSTITUTE(SUBSTITUTE(SUBSTITUTE(LOWER(Registro!$E850),"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",LEN(Registro!$E850))),({1,2,3,4,5,6,7,8,9,10,11,12,13,14,15,16,17,18,19,20,21,22,23,24,25,26,27,28,29,30}-1)*LEN(Registro!$E850)+1,LEN(Registro!$E850)))&amp;"x")+1,20))),"Revisar formato")))</f>
        <v/>
      </c>
      <c r="F850" s="11" t="str">
        <f>IF(Registro!$F850="","",N(Registro!$F850))</f>
        <v/>
      </c>
      <c r="G850" s="11" t="str">
        <f t="shared" si="40"/>
        <v/>
      </c>
      <c r="H850" s="10" t="str">
        <f>IF(Registro!$G850="","",IF(ISERROR(FIND("x",LOWER(Registro!$G850))),"-",IFERROR(SUMPRODUCT(--("0"&amp;LEFT(TRIM(MID(SUBSTITUTE(SUBSTITUTE(SUBSTITUTE(SUBSTITUTE(SUBSTITUTE(LOWER(Registro!$G850),"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",LEN(Registro!$G850))),({1,2,3,4,5,6,7,8,9,10,11,12,13,14,15,16,17,18,19,20,21,22,23,24,25,26,27,28,29,30}-1)*LEN(Registro!$G850)+1,LEN(Registro!$G850))),FIND("x",TRIM(MID(SUBSTITUTE(SUBSTITUTE(SUBSTITUTE(SUBSTITUTE(SUBSTITUTE(LOWER(Registro!$G850),"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",LEN(Registro!$G850))),({1,2,3,4,5,6,7,8,9,10,11,12,13,14,15,16,17,18,19,20,21,22,23,24,25,26,27,28,29,30}-1)*LEN(Registro!$G850)+1,LEN(Registro!$G850)))&amp;"x")-1))),"Revisar formato")))</f>
        <v/>
      </c>
      <c r="I850" s="11" t="str">
        <f>IF(Registro!$G850="","",IF(ISERROR(FIND("x",LOWER(Registro!$G850))),N(Registro!$H850),IFERROR(SUMPRODUCT(--("0"&amp;LEFT(TRIM(MID(SUBSTITUTE(SUBSTITUTE(SUBSTITUTE(SUBSTITUTE(SUBSTITUTE(LOWER(Registro!$G850),"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",LEN(Registro!$G850))),({1,2,3,4,5,6,7,8,9,10,11,12,13,14,15,16,17,18,19,20,21,22,23,24,25,26,27,28,29,30}-1)*LEN(Registro!$G850)+1,LEN(Registro!$G850))),FIND("x",TRIM(MID(SUBSTITUTE(SUBSTITUTE(SUBSTITUTE(SUBSTITUTE(SUBSTITUTE(LOWER(Registro!$G850),"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",LEN(Registro!$G850))),({1,2,3,4,5,6,7,8,9,10,11,12,13,14,15,16,17,18,19,20,21,22,23,24,25,26,27,28,29,30}-1)*LEN(Registro!$G850)+1,LEN(Registro!$G850)))&amp;"x")-1)),--("0"&amp;MID(TRIM(MID(SUBSTITUTE(SUBSTITUTE(SUBSTITUTE(SUBSTITUTE(SUBSTITUTE(LOWER(Registro!$G850),"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",LEN(Registro!$G850))),({1,2,3,4,5,6,7,8,9,10,11,12,13,14,15,16,17,18,19,20,21,22,23,24,25,26,27,28,29,30}-1)*LEN(Registro!$G850)+1,LEN(Registro!$G850))),FIND("x",TRIM(MID(SUBSTITUTE(SUBSTITUTE(SUBSTITUTE(SUBSTITUTE(SUBSTITUTE(LOWER(Registro!$G850),"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",LEN(Registro!$G850))),({1,2,3,4,5,6,7,8,9,10,11,12,13,14,15,16,17,18,19,20,21,22,23,24,25,26,27,28,29,30}-1)*LEN(Registro!$G850)+1,LEN(Registro!$G850)))&amp;"x")+1,20))),"Revisar formato")))</f>
        <v/>
      </c>
      <c r="J850" s="9" t="str">
        <f>IF(AND(Registro!$E850="",Registro!$G850=""),"",IF(NOT(AND(ISNUMBER(I850),ISNUMBER(Registro!$H850))),"",IF(I850&lt;Registro!$H850,"FALTA BOLETOS",IF(I850=Registro!$H850,"CONFORME","DIFERENCIA"))))</f>
        <v/>
      </c>
      <c r="K850" s="11" t="str">
        <f>IF(Registro!$I850="","",IFERROR(SUMPRODUCT(--("0"&amp;TRIM(RIGHT(SUBSTITUTE(TRIM(MID(SUBSTITUTE(SUBSTITUTE(Registro!$I850,";",CHAR(10)),CHAR(10),REPT(" ",LEN(Registro!$I850))),({1,2,3,4,5,6,7,8,9,10,11,12,13,14,15,16,17,18,19,20,21,22,23,24,25,26,27,28,29,30}-1)*LEN(Registro!$I850)+1,LEN(Registro!$I850)))," ",REPT(" ",50)),50)))),"Revisar formato"))</f>
        <v/>
      </c>
      <c r="L850" s="11" t="str">
        <f>IF(Registro!$J850="","",IFERROR(SUMPRODUCT(--("0"&amp;TRIM(RIGHT(SUBSTITUTE(TRIM(MID(SUBSTITUTE(SUBSTITUTE(Registro!$J850,";",CHAR(10)),CHAR(10),REPT(" ",LEN(Registro!$J850))),({1,2,3,4,5,6,7,8,9,10,11,12,13,14,15,16,17,18,19,20,21,22,23,24,25,26,27,28,29,30}-1)*LEN(Registro!$J850)+1,LEN(Registro!$J850)))," ",REPT(" ",50)),50)))),"Revisar formato"))</f>
        <v/>
      </c>
      <c r="M850" s="11" t="str">
        <f>IF(AND(Registro!$H850="",Registro!$I850=""),"",IF(AND(ISTEXT(K850),K850&lt;&gt;""),"Revisar formato",N(Registro!$H850)-N(K850)))</f>
        <v/>
      </c>
      <c r="N850" s="11" t="str">
        <f t="shared" si="41"/>
        <v/>
      </c>
      <c r="O850" s="15" t="str">
        <f>IF(AND(A850=Consulta!$B$3,C850=Consulta!$H$3),B850*10000+ROW(),"")</f>
        <v/>
      </c>
    </row>
    <row r="851" spans="1:15" x14ac:dyDescent="0.25">
      <c r="A851" s="9" t="str">
        <f>IF(Registro!$A851="","",Registro!$A851)</f>
        <v/>
      </c>
      <c r="B851" s="8" t="str">
        <f>IF(Registro!$B851="","",Registro!$B851)</f>
        <v/>
      </c>
      <c r="C851" s="14" t="str">
        <f t="shared" si="39"/>
        <v/>
      </c>
      <c r="D851" s="10" t="str">
        <f>IF(Registro!$E851="","",IF(ISERROR(FIND("x",LOWER(Registro!$E851))),"-",IFERROR(SUMPRODUCT(--("0"&amp;LEFT(TRIM(MID(SUBSTITUTE(SUBSTITUTE(SUBSTITUTE(SUBSTITUTE(SUBSTITUTE(LOWER(Registro!$E851),"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",LEN(Registro!$E851))),({1,2,3,4,5,6,7,8,9,10,11,12,13,14,15,16,17,18,19,20,21,22,23,24,25,26,27,28,29,30}-1)*LEN(Registro!$E851)+1,LEN(Registro!$E851)))&amp;"x")-1))),"Revisar formato")))</f>
        <v/>
      </c>
      <c r="E851" s="11" t="str">
        <f>IF(Registro!$E851="","",IF(ISERROR(FIND("x",LOWER(Registro!$E851))),"-",IFERROR(SUMPRODUCT(--("0"&amp;LEFT(TRIM(MID(SUBSTITUTE(SUBSTITUTE(SUBSTITUTE(SUBSTITUTE(SUBSTITUTE(LOWER(Registro!$E851),"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",LEN(Registro!$E851))),({1,2,3,4,5,6,7,8,9,10,11,12,13,14,15,16,17,18,19,20,21,22,23,24,25,26,27,28,29,30}-1)*LEN(Registro!$E851)+1,LEN(Registro!$E851)))&amp;"x")-1)),--("0"&amp;MID(TRIM(MID(SUBSTITUTE(SUBSTITUTE(SUBSTITUTE(SUBSTITUTE(SUBSTITUTE(LOWER(Registro!$E851),"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",LEN(Registro!$E851))),({1,2,3,4,5,6,7,8,9,10,11,12,13,14,15,16,17,18,19,20,21,22,23,24,25,26,27,28,29,30}-1)*LEN(Registro!$E851)+1,LEN(Registro!$E851)))&amp;"x")+1,20))),"Revisar formato")))</f>
        <v/>
      </c>
      <c r="F851" s="11" t="str">
        <f>IF(Registro!$F851="","",N(Registro!$F851))</f>
        <v/>
      </c>
      <c r="G851" s="11" t="str">
        <f t="shared" si="40"/>
        <v/>
      </c>
      <c r="H851" s="10" t="str">
        <f>IF(Registro!$G851="","",IF(ISERROR(FIND("x",LOWER(Registro!$G851))),"-",IFERROR(SUMPRODUCT(--("0"&amp;LEFT(TRIM(MID(SUBSTITUTE(SUBSTITUTE(SUBSTITUTE(SUBSTITUTE(SUBSTITUTE(LOWER(Registro!$G851),"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",LEN(Registro!$G851))),({1,2,3,4,5,6,7,8,9,10,11,12,13,14,15,16,17,18,19,20,21,22,23,24,25,26,27,28,29,30}-1)*LEN(Registro!$G851)+1,LEN(Registro!$G851))),FIND("x",TRIM(MID(SUBSTITUTE(SUBSTITUTE(SUBSTITUTE(SUBSTITUTE(SUBSTITUTE(LOWER(Registro!$G851),"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",LEN(Registro!$G851))),({1,2,3,4,5,6,7,8,9,10,11,12,13,14,15,16,17,18,19,20,21,22,23,24,25,26,27,28,29,30}-1)*LEN(Registro!$G851)+1,LEN(Registro!$G851)))&amp;"x")-1))),"Revisar formato")))</f>
        <v/>
      </c>
      <c r="I851" s="11" t="str">
        <f>IF(Registro!$G851="","",IF(ISERROR(FIND("x",LOWER(Registro!$G851))),N(Registro!$H851),IFERROR(SUMPRODUCT(--("0"&amp;LEFT(TRIM(MID(SUBSTITUTE(SUBSTITUTE(SUBSTITUTE(SUBSTITUTE(SUBSTITUTE(LOWER(Registro!$G851),"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",LEN(Registro!$G851))),({1,2,3,4,5,6,7,8,9,10,11,12,13,14,15,16,17,18,19,20,21,22,23,24,25,26,27,28,29,30}-1)*LEN(Registro!$G851)+1,LEN(Registro!$G851))),FIND("x",TRIM(MID(SUBSTITUTE(SUBSTITUTE(SUBSTITUTE(SUBSTITUTE(SUBSTITUTE(LOWER(Registro!$G851),"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",LEN(Registro!$G851))),({1,2,3,4,5,6,7,8,9,10,11,12,13,14,15,16,17,18,19,20,21,22,23,24,25,26,27,28,29,30}-1)*LEN(Registro!$G851)+1,LEN(Registro!$G851)))&amp;"x")-1)),--("0"&amp;MID(TRIM(MID(SUBSTITUTE(SUBSTITUTE(SUBSTITUTE(SUBSTITUTE(SUBSTITUTE(LOWER(Registro!$G851),"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",LEN(Registro!$G851))),({1,2,3,4,5,6,7,8,9,10,11,12,13,14,15,16,17,18,19,20,21,22,23,24,25,26,27,28,29,30}-1)*LEN(Registro!$G851)+1,LEN(Registro!$G851))),FIND("x",TRIM(MID(SUBSTITUTE(SUBSTITUTE(SUBSTITUTE(SUBSTITUTE(SUBSTITUTE(LOWER(Registro!$G851),"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",LEN(Registro!$G851))),({1,2,3,4,5,6,7,8,9,10,11,12,13,14,15,16,17,18,19,20,21,22,23,24,25,26,27,28,29,30}-1)*LEN(Registro!$G851)+1,LEN(Registro!$G851)))&amp;"x")+1,20))),"Revisar formato")))</f>
        <v/>
      </c>
      <c r="J851" s="9" t="str">
        <f>IF(AND(Registro!$E851="",Registro!$G851=""),"",IF(NOT(AND(ISNUMBER(I851),ISNUMBER(Registro!$H851))),"",IF(I851&lt;Registro!$H851,"FALTA BOLETOS",IF(I851=Registro!$H851,"CONFORME","DIFERENCIA"))))</f>
        <v/>
      </c>
      <c r="K851" s="11" t="str">
        <f>IF(Registro!$I851="","",IFERROR(SUMPRODUCT(--("0"&amp;TRIM(RIGHT(SUBSTITUTE(TRIM(MID(SUBSTITUTE(SUBSTITUTE(Registro!$I851,";",CHAR(10)),CHAR(10),REPT(" ",LEN(Registro!$I851))),({1,2,3,4,5,6,7,8,9,10,11,12,13,14,15,16,17,18,19,20,21,22,23,24,25,26,27,28,29,30}-1)*LEN(Registro!$I851)+1,LEN(Registro!$I851)))," ",REPT(" ",50)),50)))),"Revisar formato"))</f>
        <v/>
      </c>
      <c r="L851" s="11" t="str">
        <f>IF(Registro!$J851="","",IFERROR(SUMPRODUCT(--("0"&amp;TRIM(RIGHT(SUBSTITUTE(TRIM(MID(SUBSTITUTE(SUBSTITUTE(Registro!$J851,";",CHAR(10)),CHAR(10),REPT(" ",LEN(Registro!$J851))),({1,2,3,4,5,6,7,8,9,10,11,12,13,14,15,16,17,18,19,20,21,22,23,24,25,26,27,28,29,30}-1)*LEN(Registro!$J851)+1,LEN(Registro!$J851)))," ",REPT(" ",50)),50)))),"Revisar formato"))</f>
        <v/>
      </c>
      <c r="M851" s="11" t="str">
        <f>IF(AND(Registro!$H851="",Registro!$I851=""),"",IF(AND(ISTEXT(K851),K851&lt;&gt;""),"Revisar formato",N(Registro!$H851)-N(K851)))</f>
        <v/>
      </c>
      <c r="N851" s="11" t="str">
        <f t="shared" si="41"/>
        <v/>
      </c>
      <c r="O851" s="15" t="str">
        <f>IF(AND(A851=Consulta!$B$3,C851=Consulta!$H$3),B851*10000+ROW(),"")</f>
        <v/>
      </c>
    </row>
    <row r="852" spans="1:15" x14ac:dyDescent="0.25">
      <c r="A852" s="9" t="str">
        <f>IF(Registro!$A852="","",Registro!$A852)</f>
        <v/>
      </c>
      <c r="B852" s="8" t="str">
        <f>IF(Registro!$B852="","",Registro!$B852)</f>
        <v/>
      </c>
      <c r="C852" s="14" t="str">
        <f t="shared" si="39"/>
        <v/>
      </c>
      <c r="D852" s="10" t="str">
        <f>IF(Registro!$E852="","",IF(ISERROR(FIND("x",LOWER(Registro!$E852))),"-",IFERROR(SUMPRODUCT(--("0"&amp;LEFT(TRIM(MID(SUBSTITUTE(SUBSTITUTE(SUBSTITUTE(SUBSTITUTE(SUBSTITUTE(LOWER(Registro!$E852),"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",LEN(Registro!$E852))),({1,2,3,4,5,6,7,8,9,10,11,12,13,14,15,16,17,18,19,20,21,22,23,24,25,26,27,28,29,30}-1)*LEN(Registro!$E852)+1,LEN(Registro!$E852)))&amp;"x")-1))),"Revisar formato")))</f>
        <v/>
      </c>
      <c r="E852" s="11" t="str">
        <f>IF(Registro!$E852="","",IF(ISERROR(FIND("x",LOWER(Registro!$E852))),"-",IFERROR(SUMPRODUCT(--("0"&amp;LEFT(TRIM(MID(SUBSTITUTE(SUBSTITUTE(SUBSTITUTE(SUBSTITUTE(SUBSTITUTE(LOWER(Registro!$E852),"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",LEN(Registro!$E852))),({1,2,3,4,5,6,7,8,9,10,11,12,13,14,15,16,17,18,19,20,21,22,23,24,25,26,27,28,29,30}-1)*LEN(Registro!$E852)+1,LEN(Registro!$E852)))&amp;"x")-1)),--("0"&amp;MID(TRIM(MID(SUBSTITUTE(SUBSTITUTE(SUBSTITUTE(SUBSTITUTE(SUBSTITUTE(LOWER(Registro!$E852),"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",LEN(Registro!$E852))),({1,2,3,4,5,6,7,8,9,10,11,12,13,14,15,16,17,18,19,20,21,22,23,24,25,26,27,28,29,30}-1)*LEN(Registro!$E852)+1,LEN(Registro!$E852)))&amp;"x")+1,20))),"Revisar formato")))</f>
        <v/>
      </c>
      <c r="F852" s="11" t="str">
        <f>IF(Registro!$F852="","",N(Registro!$F852))</f>
        <v/>
      </c>
      <c r="G852" s="11" t="str">
        <f t="shared" si="40"/>
        <v/>
      </c>
      <c r="H852" s="10" t="str">
        <f>IF(Registro!$G852="","",IF(ISERROR(FIND("x",LOWER(Registro!$G852))),"-",IFERROR(SUMPRODUCT(--("0"&amp;LEFT(TRIM(MID(SUBSTITUTE(SUBSTITUTE(SUBSTITUTE(SUBSTITUTE(SUBSTITUTE(LOWER(Registro!$G852),"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",LEN(Registro!$G852))),({1,2,3,4,5,6,7,8,9,10,11,12,13,14,15,16,17,18,19,20,21,22,23,24,25,26,27,28,29,30}-1)*LEN(Registro!$G852)+1,LEN(Registro!$G852))),FIND("x",TRIM(MID(SUBSTITUTE(SUBSTITUTE(SUBSTITUTE(SUBSTITUTE(SUBSTITUTE(LOWER(Registro!$G852),"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",LEN(Registro!$G852))),({1,2,3,4,5,6,7,8,9,10,11,12,13,14,15,16,17,18,19,20,21,22,23,24,25,26,27,28,29,30}-1)*LEN(Registro!$G852)+1,LEN(Registro!$G852)))&amp;"x")-1))),"Revisar formato")))</f>
        <v/>
      </c>
      <c r="I852" s="11" t="str">
        <f>IF(Registro!$G852="","",IF(ISERROR(FIND("x",LOWER(Registro!$G852))),N(Registro!$H852),IFERROR(SUMPRODUCT(--("0"&amp;LEFT(TRIM(MID(SUBSTITUTE(SUBSTITUTE(SUBSTITUTE(SUBSTITUTE(SUBSTITUTE(LOWER(Registro!$G852),"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",LEN(Registro!$G852))),({1,2,3,4,5,6,7,8,9,10,11,12,13,14,15,16,17,18,19,20,21,22,23,24,25,26,27,28,29,30}-1)*LEN(Registro!$G852)+1,LEN(Registro!$G852))),FIND("x",TRIM(MID(SUBSTITUTE(SUBSTITUTE(SUBSTITUTE(SUBSTITUTE(SUBSTITUTE(LOWER(Registro!$G852),"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",LEN(Registro!$G852))),({1,2,3,4,5,6,7,8,9,10,11,12,13,14,15,16,17,18,19,20,21,22,23,24,25,26,27,28,29,30}-1)*LEN(Registro!$G852)+1,LEN(Registro!$G852)))&amp;"x")-1)),--("0"&amp;MID(TRIM(MID(SUBSTITUTE(SUBSTITUTE(SUBSTITUTE(SUBSTITUTE(SUBSTITUTE(LOWER(Registro!$G852),"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",LEN(Registro!$G852))),({1,2,3,4,5,6,7,8,9,10,11,12,13,14,15,16,17,18,19,20,21,22,23,24,25,26,27,28,29,30}-1)*LEN(Registro!$G852)+1,LEN(Registro!$G852))),FIND("x",TRIM(MID(SUBSTITUTE(SUBSTITUTE(SUBSTITUTE(SUBSTITUTE(SUBSTITUTE(LOWER(Registro!$G852),"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",LEN(Registro!$G852))),({1,2,3,4,5,6,7,8,9,10,11,12,13,14,15,16,17,18,19,20,21,22,23,24,25,26,27,28,29,30}-1)*LEN(Registro!$G852)+1,LEN(Registro!$G852)))&amp;"x")+1,20))),"Revisar formato")))</f>
        <v/>
      </c>
      <c r="J852" s="9" t="str">
        <f>IF(AND(Registro!$E852="",Registro!$G852=""),"",IF(NOT(AND(ISNUMBER(I852),ISNUMBER(Registro!$H852))),"",IF(I852&lt;Registro!$H852,"FALTA BOLETOS",IF(I852=Registro!$H852,"CONFORME","DIFERENCIA"))))</f>
        <v/>
      </c>
      <c r="K852" s="11" t="str">
        <f>IF(Registro!$I852="","",IFERROR(SUMPRODUCT(--("0"&amp;TRIM(RIGHT(SUBSTITUTE(TRIM(MID(SUBSTITUTE(SUBSTITUTE(Registro!$I852,";",CHAR(10)),CHAR(10),REPT(" ",LEN(Registro!$I852))),({1,2,3,4,5,6,7,8,9,10,11,12,13,14,15,16,17,18,19,20,21,22,23,24,25,26,27,28,29,30}-1)*LEN(Registro!$I852)+1,LEN(Registro!$I852)))," ",REPT(" ",50)),50)))),"Revisar formato"))</f>
        <v/>
      </c>
      <c r="L852" s="11" t="str">
        <f>IF(Registro!$J852="","",IFERROR(SUMPRODUCT(--("0"&amp;TRIM(RIGHT(SUBSTITUTE(TRIM(MID(SUBSTITUTE(SUBSTITUTE(Registro!$J852,";",CHAR(10)),CHAR(10),REPT(" ",LEN(Registro!$J852))),({1,2,3,4,5,6,7,8,9,10,11,12,13,14,15,16,17,18,19,20,21,22,23,24,25,26,27,28,29,30}-1)*LEN(Registro!$J852)+1,LEN(Registro!$J852)))," ",REPT(" ",50)),50)))),"Revisar formato"))</f>
        <v/>
      </c>
      <c r="M852" s="11" t="str">
        <f>IF(AND(Registro!$H852="",Registro!$I852=""),"",IF(AND(ISTEXT(K852),K852&lt;&gt;""),"Revisar formato",N(Registro!$H852)-N(K852)))</f>
        <v/>
      </c>
      <c r="N852" s="11" t="str">
        <f t="shared" si="41"/>
        <v/>
      </c>
      <c r="O852" s="15" t="str">
        <f>IF(AND(A852=Consulta!$B$3,C852=Consulta!$H$3),B852*10000+ROW(),"")</f>
        <v/>
      </c>
    </row>
    <row r="853" spans="1:15" x14ac:dyDescent="0.25">
      <c r="A853" s="9" t="str">
        <f>IF(Registro!$A853="","",Registro!$A853)</f>
        <v/>
      </c>
      <c r="B853" s="8" t="str">
        <f>IF(Registro!$B853="","",Registro!$B853)</f>
        <v/>
      </c>
      <c r="C853" s="14" t="str">
        <f t="shared" si="39"/>
        <v/>
      </c>
      <c r="D853" s="10" t="str">
        <f>IF(Registro!$E853="","",IF(ISERROR(FIND("x",LOWER(Registro!$E853))),"-",IFERROR(SUMPRODUCT(--("0"&amp;LEFT(TRIM(MID(SUBSTITUTE(SUBSTITUTE(SUBSTITUTE(SUBSTITUTE(SUBSTITUTE(LOWER(Registro!$E853),"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",LEN(Registro!$E853))),({1,2,3,4,5,6,7,8,9,10,11,12,13,14,15,16,17,18,19,20,21,22,23,24,25,26,27,28,29,30}-1)*LEN(Registro!$E853)+1,LEN(Registro!$E853)))&amp;"x")-1))),"Revisar formato")))</f>
        <v/>
      </c>
      <c r="E853" s="11" t="str">
        <f>IF(Registro!$E853="","",IF(ISERROR(FIND("x",LOWER(Registro!$E853))),"-",IFERROR(SUMPRODUCT(--("0"&amp;LEFT(TRIM(MID(SUBSTITUTE(SUBSTITUTE(SUBSTITUTE(SUBSTITUTE(SUBSTITUTE(LOWER(Registro!$E853),"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",LEN(Registro!$E853))),({1,2,3,4,5,6,7,8,9,10,11,12,13,14,15,16,17,18,19,20,21,22,23,24,25,26,27,28,29,30}-1)*LEN(Registro!$E853)+1,LEN(Registro!$E853)))&amp;"x")-1)),--("0"&amp;MID(TRIM(MID(SUBSTITUTE(SUBSTITUTE(SUBSTITUTE(SUBSTITUTE(SUBSTITUTE(LOWER(Registro!$E853),"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",LEN(Registro!$E853))),({1,2,3,4,5,6,7,8,9,10,11,12,13,14,15,16,17,18,19,20,21,22,23,24,25,26,27,28,29,30}-1)*LEN(Registro!$E853)+1,LEN(Registro!$E853)))&amp;"x")+1,20))),"Revisar formato")))</f>
        <v/>
      </c>
      <c r="F853" s="11" t="str">
        <f>IF(Registro!$F853="","",N(Registro!$F853))</f>
        <v/>
      </c>
      <c r="G853" s="11" t="str">
        <f t="shared" si="40"/>
        <v/>
      </c>
      <c r="H853" s="10" t="str">
        <f>IF(Registro!$G853="","",IF(ISERROR(FIND("x",LOWER(Registro!$G853))),"-",IFERROR(SUMPRODUCT(--("0"&amp;LEFT(TRIM(MID(SUBSTITUTE(SUBSTITUTE(SUBSTITUTE(SUBSTITUTE(SUBSTITUTE(LOWER(Registro!$G853),"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",LEN(Registro!$G853))),({1,2,3,4,5,6,7,8,9,10,11,12,13,14,15,16,17,18,19,20,21,22,23,24,25,26,27,28,29,30}-1)*LEN(Registro!$G853)+1,LEN(Registro!$G853))),FIND("x",TRIM(MID(SUBSTITUTE(SUBSTITUTE(SUBSTITUTE(SUBSTITUTE(SUBSTITUTE(LOWER(Registro!$G853),"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",LEN(Registro!$G853))),({1,2,3,4,5,6,7,8,9,10,11,12,13,14,15,16,17,18,19,20,21,22,23,24,25,26,27,28,29,30}-1)*LEN(Registro!$G853)+1,LEN(Registro!$G853)))&amp;"x")-1))),"Revisar formato")))</f>
        <v/>
      </c>
      <c r="I853" s="11" t="str">
        <f>IF(Registro!$G853="","",IF(ISERROR(FIND("x",LOWER(Registro!$G853))),N(Registro!$H853),IFERROR(SUMPRODUCT(--("0"&amp;LEFT(TRIM(MID(SUBSTITUTE(SUBSTITUTE(SUBSTITUTE(SUBSTITUTE(SUBSTITUTE(LOWER(Registro!$G853),"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",LEN(Registro!$G853))),({1,2,3,4,5,6,7,8,9,10,11,12,13,14,15,16,17,18,19,20,21,22,23,24,25,26,27,28,29,30}-1)*LEN(Registro!$G853)+1,LEN(Registro!$G853))),FIND("x",TRIM(MID(SUBSTITUTE(SUBSTITUTE(SUBSTITUTE(SUBSTITUTE(SUBSTITUTE(LOWER(Registro!$G853),"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",LEN(Registro!$G853))),({1,2,3,4,5,6,7,8,9,10,11,12,13,14,15,16,17,18,19,20,21,22,23,24,25,26,27,28,29,30}-1)*LEN(Registro!$G853)+1,LEN(Registro!$G853)))&amp;"x")-1)),--("0"&amp;MID(TRIM(MID(SUBSTITUTE(SUBSTITUTE(SUBSTITUTE(SUBSTITUTE(SUBSTITUTE(LOWER(Registro!$G853),"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",LEN(Registro!$G853))),({1,2,3,4,5,6,7,8,9,10,11,12,13,14,15,16,17,18,19,20,21,22,23,24,25,26,27,28,29,30}-1)*LEN(Registro!$G853)+1,LEN(Registro!$G853))),FIND("x",TRIM(MID(SUBSTITUTE(SUBSTITUTE(SUBSTITUTE(SUBSTITUTE(SUBSTITUTE(LOWER(Registro!$G853),"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",LEN(Registro!$G853))),({1,2,3,4,5,6,7,8,9,10,11,12,13,14,15,16,17,18,19,20,21,22,23,24,25,26,27,28,29,30}-1)*LEN(Registro!$G853)+1,LEN(Registro!$G853)))&amp;"x")+1,20))),"Revisar formato")))</f>
        <v/>
      </c>
      <c r="J853" s="9" t="str">
        <f>IF(AND(Registro!$E853="",Registro!$G853=""),"",IF(NOT(AND(ISNUMBER(I853),ISNUMBER(Registro!$H853))),"",IF(I853&lt;Registro!$H853,"FALTA BOLETOS",IF(I853=Registro!$H853,"CONFORME","DIFERENCIA"))))</f>
        <v/>
      </c>
      <c r="K853" s="11" t="str">
        <f>IF(Registro!$I853="","",IFERROR(SUMPRODUCT(--("0"&amp;TRIM(RIGHT(SUBSTITUTE(TRIM(MID(SUBSTITUTE(SUBSTITUTE(Registro!$I853,";",CHAR(10)),CHAR(10),REPT(" ",LEN(Registro!$I853))),({1,2,3,4,5,6,7,8,9,10,11,12,13,14,15,16,17,18,19,20,21,22,23,24,25,26,27,28,29,30}-1)*LEN(Registro!$I853)+1,LEN(Registro!$I853)))," ",REPT(" ",50)),50)))),"Revisar formato"))</f>
        <v/>
      </c>
      <c r="L853" s="11" t="str">
        <f>IF(Registro!$J853="","",IFERROR(SUMPRODUCT(--("0"&amp;TRIM(RIGHT(SUBSTITUTE(TRIM(MID(SUBSTITUTE(SUBSTITUTE(Registro!$J853,";",CHAR(10)),CHAR(10),REPT(" ",LEN(Registro!$J853))),({1,2,3,4,5,6,7,8,9,10,11,12,13,14,15,16,17,18,19,20,21,22,23,24,25,26,27,28,29,30}-1)*LEN(Registro!$J853)+1,LEN(Registro!$J853)))," ",REPT(" ",50)),50)))),"Revisar formato"))</f>
        <v/>
      </c>
      <c r="M853" s="11" t="str">
        <f>IF(AND(Registro!$H853="",Registro!$I853=""),"",IF(AND(ISTEXT(K853),K853&lt;&gt;""),"Revisar formato",N(Registro!$H853)-N(K853)))</f>
        <v/>
      </c>
      <c r="N853" s="11" t="str">
        <f t="shared" si="41"/>
        <v/>
      </c>
      <c r="O853" s="15" t="str">
        <f>IF(AND(A853=Consulta!$B$3,C853=Consulta!$H$3),B853*10000+ROW(),"")</f>
        <v/>
      </c>
    </row>
    <row r="854" spans="1:15" x14ac:dyDescent="0.25">
      <c r="A854" s="9" t="str">
        <f>IF(Registro!$A854="","",Registro!$A854)</f>
        <v/>
      </c>
      <c r="B854" s="8" t="str">
        <f>IF(Registro!$B854="","",Registro!$B854)</f>
        <v/>
      </c>
      <c r="C854" s="14" t="str">
        <f t="shared" si="39"/>
        <v/>
      </c>
      <c r="D854" s="10" t="str">
        <f>IF(Registro!$E854="","",IF(ISERROR(FIND("x",LOWER(Registro!$E854))),"-",IFERROR(SUMPRODUCT(--("0"&amp;LEFT(TRIM(MID(SUBSTITUTE(SUBSTITUTE(SUBSTITUTE(SUBSTITUTE(SUBSTITUTE(LOWER(Registro!$E854),"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",LEN(Registro!$E854))),({1,2,3,4,5,6,7,8,9,10,11,12,13,14,15,16,17,18,19,20,21,22,23,24,25,26,27,28,29,30}-1)*LEN(Registro!$E854)+1,LEN(Registro!$E854)))&amp;"x")-1))),"Revisar formato")))</f>
        <v/>
      </c>
      <c r="E854" s="11" t="str">
        <f>IF(Registro!$E854="","",IF(ISERROR(FIND("x",LOWER(Registro!$E854))),"-",IFERROR(SUMPRODUCT(--("0"&amp;LEFT(TRIM(MID(SUBSTITUTE(SUBSTITUTE(SUBSTITUTE(SUBSTITUTE(SUBSTITUTE(LOWER(Registro!$E854),"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",LEN(Registro!$E854))),({1,2,3,4,5,6,7,8,9,10,11,12,13,14,15,16,17,18,19,20,21,22,23,24,25,26,27,28,29,30}-1)*LEN(Registro!$E854)+1,LEN(Registro!$E854)))&amp;"x")-1)),--("0"&amp;MID(TRIM(MID(SUBSTITUTE(SUBSTITUTE(SUBSTITUTE(SUBSTITUTE(SUBSTITUTE(LOWER(Registro!$E854),"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",LEN(Registro!$E854))),({1,2,3,4,5,6,7,8,9,10,11,12,13,14,15,16,17,18,19,20,21,22,23,24,25,26,27,28,29,30}-1)*LEN(Registro!$E854)+1,LEN(Registro!$E854)))&amp;"x")+1,20))),"Revisar formato")))</f>
        <v/>
      </c>
      <c r="F854" s="11" t="str">
        <f>IF(Registro!$F854="","",N(Registro!$F854))</f>
        <v/>
      </c>
      <c r="G854" s="11" t="str">
        <f t="shared" si="40"/>
        <v/>
      </c>
      <c r="H854" s="10" t="str">
        <f>IF(Registro!$G854="","",IF(ISERROR(FIND("x",LOWER(Registro!$G854))),"-",IFERROR(SUMPRODUCT(--("0"&amp;LEFT(TRIM(MID(SUBSTITUTE(SUBSTITUTE(SUBSTITUTE(SUBSTITUTE(SUBSTITUTE(LOWER(Registro!$G854),"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",LEN(Registro!$G854))),({1,2,3,4,5,6,7,8,9,10,11,12,13,14,15,16,17,18,19,20,21,22,23,24,25,26,27,28,29,30}-1)*LEN(Registro!$G854)+1,LEN(Registro!$G854))),FIND("x",TRIM(MID(SUBSTITUTE(SUBSTITUTE(SUBSTITUTE(SUBSTITUTE(SUBSTITUTE(LOWER(Registro!$G854),"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",LEN(Registro!$G854))),({1,2,3,4,5,6,7,8,9,10,11,12,13,14,15,16,17,18,19,20,21,22,23,24,25,26,27,28,29,30}-1)*LEN(Registro!$G854)+1,LEN(Registro!$G854)))&amp;"x")-1))),"Revisar formato")))</f>
        <v/>
      </c>
      <c r="I854" s="11" t="str">
        <f>IF(Registro!$G854="","",IF(ISERROR(FIND("x",LOWER(Registro!$G854))),N(Registro!$H854),IFERROR(SUMPRODUCT(--("0"&amp;LEFT(TRIM(MID(SUBSTITUTE(SUBSTITUTE(SUBSTITUTE(SUBSTITUTE(SUBSTITUTE(LOWER(Registro!$G854),"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",LEN(Registro!$G854))),({1,2,3,4,5,6,7,8,9,10,11,12,13,14,15,16,17,18,19,20,21,22,23,24,25,26,27,28,29,30}-1)*LEN(Registro!$G854)+1,LEN(Registro!$G854))),FIND("x",TRIM(MID(SUBSTITUTE(SUBSTITUTE(SUBSTITUTE(SUBSTITUTE(SUBSTITUTE(LOWER(Registro!$G854),"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",LEN(Registro!$G854))),({1,2,3,4,5,6,7,8,9,10,11,12,13,14,15,16,17,18,19,20,21,22,23,24,25,26,27,28,29,30}-1)*LEN(Registro!$G854)+1,LEN(Registro!$G854)))&amp;"x")-1)),--("0"&amp;MID(TRIM(MID(SUBSTITUTE(SUBSTITUTE(SUBSTITUTE(SUBSTITUTE(SUBSTITUTE(LOWER(Registro!$G854),"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",LEN(Registro!$G854))),({1,2,3,4,5,6,7,8,9,10,11,12,13,14,15,16,17,18,19,20,21,22,23,24,25,26,27,28,29,30}-1)*LEN(Registro!$G854)+1,LEN(Registro!$G854))),FIND("x",TRIM(MID(SUBSTITUTE(SUBSTITUTE(SUBSTITUTE(SUBSTITUTE(SUBSTITUTE(LOWER(Registro!$G854),"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",LEN(Registro!$G854))),({1,2,3,4,5,6,7,8,9,10,11,12,13,14,15,16,17,18,19,20,21,22,23,24,25,26,27,28,29,30}-1)*LEN(Registro!$G854)+1,LEN(Registro!$G854)))&amp;"x")+1,20))),"Revisar formato")))</f>
        <v/>
      </c>
      <c r="J854" s="9" t="str">
        <f>IF(AND(Registro!$E854="",Registro!$G854=""),"",IF(NOT(AND(ISNUMBER(I854),ISNUMBER(Registro!$H854))),"",IF(I854&lt;Registro!$H854,"FALTA BOLETOS",IF(I854=Registro!$H854,"CONFORME","DIFERENCIA"))))</f>
        <v/>
      </c>
      <c r="K854" s="11" t="str">
        <f>IF(Registro!$I854="","",IFERROR(SUMPRODUCT(--("0"&amp;TRIM(RIGHT(SUBSTITUTE(TRIM(MID(SUBSTITUTE(SUBSTITUTE(Registro!$I854,";",CHAR(10)),CHAR(10),REPT(" ",LEN(Registro!$I854))),({1,2,3,4,5,6,7,8,9,10,11,12,13,14,15,16,17,18,19,20,21,22,23,24,25,26,27,28,29,30}-1)*LEN(Registro!$I854)+1,LEN(Registro!$I854)))," ",REPT(" ",50)),50)))),"Revisar formato"))</f>
        <v/>
      </c>
      <c r="L854" s="11" t="str">
        <f>IF(Registro!$J854="","",IFERROR(SUMPRODUCT(--("0"&amp;TRIM(RIGHT(SUBSTITUTE(TRIM(MID(SUBSTITUTE(SUBSTITUTE(Registro!$J854,";",CHAR(10)),CHAR(10),REPT(" ",LEN(Registro!$J854))),({1,2,3,4,5,6,7,8,9,10,11,12,13,14,15,16,17,18,19,20,21,22,23,24,25,26,27,28,29,30}-1)*LEN(Registro!$J854)+1,LEN(Registro!$J854)))," ",REPT(" ",50)),50)))),"Revisar formato"))</f>
        <v/>
      </c>
      <c r="M854" s="11" t="str">
        <f>IF(AND(Registro!$H854="",Registro!$I854=""),"",IF(AND(ISTEXT(K854),K854&lt;&gt;""),"Revisar formato",N(Registro!$H854)-N(K854)))</f>
        <v/>
      </c>
      <c r="N854" s="11" t="str">
        <f t="shared" si="41"/>
        <v/>
      </c>
      <c r="O854" s="15" t="str">
        <f>IF(AND(A854=Consulta!$B$3,C854=Consulta!$H$3),B854*10000+ROW(),"")</f>
        <v/>
      </c>
    </row>
    <row r="855" spans="1:15" x14ac:dyDescent="0.25">
      <c r="A855" s="9" t="str">
        <f>IF(Registro!$A855="","",Registro!$A855)</f>
        <v/>
      </c>
      <c r="B855" s="8" t="str">
        <f>IF(Registro!$B855="","",Registro!$B855)</f>
        <v/>
      </c>
      <c r="C855" s="14" t="str">
        <f t="shared" si="39"/>
        <v/>
      </c>
      <c r="D855" s="10" t="str">
        <f>IF(Registro!$E855="","",IF(ISERROR(FIND("x",LOWER(Registro!$E855))),"-",IFERROR(SUMPRODUCT(--("0"&amp;LEFT(TRIM(MID(SUBSTITUTE(SUBSTITUTE(SUBSTITUTE(SUBSTITUTE(SUBSTITUTE(LOWER(Registro!$E855),"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",LEN(Registro!$E855))),({1,2,3,4,5,6,7,8,9,10,11,12,13,14,15,16,17,18,19,20,21,22,23,24,25,26,27,28,29,30}-1)*LEN(Registro!$E855)+1,LEN(Registro!$E855)))&amp;"x")-1))),"Revisar formato")))</f>
        <v/>
      </c>
      <c r="E855" s="11" t="str">
        <f>IF(Registro!$E855="","",IF(ISERROR(FIND("x",LOWER(Registro!$E855))),"-",IFERROR(SUMPRODUCT(--("0"&amp;LEFT(TRIM(MID(SUBSTITUTE(SUBSTITUTE(SUBSTITUTE(SUBSTITUTE(SUBSTITUTE(LOWER(Registro!$E855),"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",LEN(Registro!$E855))),({1,2,3,4,5,6,7,8,9,10,11,12,13,14,15,16,17,18,19,20,21,22,23,24,25,26,27,28,29,30}-1)*LEN(Registro!$E855)+1,LEN(Registro!$E855)))&amp;"x")-1)),--("0"&amp;MID(TRIM(MID(SUBSTITUTE(SUBSTITUTE(SUBSTITUTE(SUBSTITUTE(SUBSTITUTE(LOWER(Registro!$E855),"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",LEN(Registro!$E855))),({1,2,3,4,5,6,7,8,9,10,11,12,13,14,15,16,17,18,19,20,21,22,23,24,25,26,27,28,29,30}-1)*LEN(Registro!$E855)+1,LEN(Registro!$E855)))&amp;"x")+1,20))),"Revisar formato")))</f>
        <v/>
      </c>
      <c r="F855" s="11" t="str">
        <f>IF(Registro!$F855="","",N(Registro!$F855))</f>
        <v/>
      </c>
      <c r="G855" s="11" t="str">
        <f t="shared" si="40"/>
        <v/>
      </c>
      <c r="H855" s="10" t="str">
        <f>IF(Registro!$G855="","",IF(ISERROR(FIND("x",LOWER(Registro!$G855))),"-",IFERROR(SUMPRODUCT(--("0"&amp;LEFT(TRIM(MID(SUBSTITUTE(SUBSTITUTE(SUBSTITUTE(SUBSTITUTE(SUBSTITUTE(LOWER(Registro!$G855),"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",LEN(Registro!$G855))),({1,2,3,4,5,6,7,8,9,10,11,12,13,14,15,16,17,18,19,20,21,22,23,24,25,26,27,28,29,30}-1)*LEN(Registro!$G855)+1,LEN(Registro!$G855))),FIND("x",TRIM(MID(SUBSTITUTE(SUBSTITUTE(SUBSTITUTE(SUBSTITUTE(SUBSTITUTE(LOWER(Registro!$G855),"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",LEN(Registro!$G855))),({1,2,3,4,5,6,7,8,9,10,11,12,13,14,15,16,17,18,19,20,21,22,23,24,25,26,27,28,29,30}-1)*LEN(Registro!$G855)+1,LEN(Registro!$G855)))&amp;"x")-1))),"Revisar formato")))</f>
        <v/>
      </c>
      <c r="I855" s="11" t="str">
        <f>IF(Registro!$G855="","",IF(ISERROR(FIND("x",LOWER(Registro!$G855))),N(Registro!$H855),IFERROR(SUMPRODUCT(--("0"&amp;LEFT(TRIM(MID(SUBSTITUTE(SUBSTITUTE(SUBSTITUTE(SUBSTITUTE(SUBSTITUTE(LOWER(Registro!$G855),"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",LEN(Registro!$G855))),({1,2,3,4,5,6,7,8,9,10,11,12,13,14,15,16,17,18,19,20,21,22,23,24,25,26,27,28,29,30}-1)*LEN(Registro!$G855)+1,LEN(Registro!$G855))),FIND("x",TRIM(MID(SUBSTITUTE(SUBSTITUTE(SUBSTITUTE(SUBSTITUTE(SUBSTITUTE(LOWER(Registro!$G855),"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",LEN(Registro!$G855))),({1,2,3,4,5,6,7,8,9,10,11,12,13,14,15,16,17,18,19,20,21,22,23,24,25,26,27,28,29,30}-1)*LEN(Registro!$G855)+1,LEN(Registro!$G855)))&amp;"x")-1)),--("0"&amp;MID(TRIM(MID(SUBSTITUTE(SUBSTITUTE(SUBSTITUTE(SUBSTITUTE(SUBSTITUTE(LOWER(Registro!$G855),"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",LEN(Registro!$G855))),({1,2,3,4,5,6,7,8,9,10,11,12,13,14,15,16,17,18,19,20,21,22,23,24,25,26,27,28,29,30}-1)*LEN(Registro!$G855)+1,LEN(Registro!$G855))),FIND("x",TRIM(MID(SUBSTITUTE(SUBSTITUTE(SUBSTITUTE(SUBSTITUTE(SUBSTITUTE(LOWER(Registro!$G855),"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",LEN(Registro!$G855))),({1,2,3,4,5,6,7,8,9,10,11,12,13,14,15,16,17,18,19,20,21,22,23,24,25,26,27,28,29,30}-1)*LEN(Registro!$G855)+1,LEN(Registro!$G855)))&amp;"x")+1,20))),"Revisar formato")))</f>
        <v/>
      </c>
      <c r="J855" s="9" t="str">
        <f>IF(AND(Registro!$E855="",Registro!$G855=""),"",IF(NOT(AND(ISNUMBER(I855),ISNUMBER(Registro!$H855))),"",IF(I855&lt;Registro!$H855,"FALTA BOLETOS",IF(I855=Registro!$H855,"CONFORME","DIFERENCIA"))))</f>
        <v/>
      </c>
      <c r="K855" s="11" t="str">
        <f>IF(Registro!$I855="","",IFERROR(SUMPRODUCT(--("0"&amp;TRIM(RIGHT(SUBSTITUTE(TRIM(MID(SUBSTITUTE(SUBSTITUTE(Registro!$I855,";",CHAR(10)),CHAR(10),REPT(" ",LEN(Registro!$I855))),({1,2,3,4,5,6,7,8,9,10,11,12,13,14,15,16,17,18,19,20,21,22,23,24,25,26,27,28,29,30}-1)*LEN(Registro!$I855)+1,LEN(Registro!$I855)))," ",REPT(" ",50)),50)))),"Revisar formato"))</f>
        <v/>
      </c>
      <c r="L855" s="11" t="str">
        <f>IF(Registro!$J855="","",IFERROR(SUMPRODUCT(--("0"&amp;TRIM(RIGHT(SUBSTITUTE(TRIM(MID(SUBSTITUTE(SUBSTITUTE(Registro!$J855,";",CHAR(10)),CHAR(10),REPT(" ",LEN(Registro!$J855))),({1,2,3,4,5,6,7,8,9,10,11,12,13,14,15,16,17,18,19,20,21,22,23,24,25,26,27,28,29,30}-1)*LEN(Registro!$J855)+1,LEN(Registro!$J855)))," ",REPT(" ",50)),50)))),"Revisar formato"))</f>
        <v/>
      </c>
      <c r="M855" s="11" t="str">
        <f>IF(AND(Registro!$H855="",Registro!$I855=""),"",IF(AND(ISTEXT(K855),K855&lt;&gt;""),"Revisar formato",N(Registro!$H855)-N(K855)))</f>
        <v/>
      </c>
      <c r="N855" s="11" t="str">
        <f t="shared" si="41"/>
        <v/>
      </c>
      <c r="O855" s="15" t="str">
        <f>IF(AND(A855=Consulta!$B$3,C855=Consulta!$H$3),B855*10000+ROW(),"")</f>
        <v/>
      </c>
    </row>
    <row r="856" spans="1:15" x14ac:dyDescent="0.25">
      <c r="A856" s="9" t="str">
        <f>IF(Registro!$A856="","",Registro!$A856)</f>
        <v/>
      </c>
      <c r="B856" s="8" t="str">
        <f>IF(Registro!$B856="","",Registro!$B856)</f>
        <v/>
      </c>
      <c r="C856" s="14" t="str">
        <f t="shared" si="39"/>
        <v/>
      </c>
      <c r="D856" s="10" t="str">
        <f>IF(Registro!$E856="","",IF(ISERROR(FIND("x",LOWER(Registro!$E856))),"-",IFERROR(SUMPRODUCT(--("0"&amp;LEFT(TRIM(MID(SUBSTITUTE(SUBSTITUTE(SUBSTITUTE(SUBSTITUTE(SUBSTITUTE(LOWER(Registro!$E856),"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",LEN(Registro!$E856))),({1,2,3,4,5,6,7,8,9,10,11,12,13,14,15,16,17,18,19,20,21,22,23,24,25,26,27,28,29,30}-1)*LEN(Registro!$E856)+1,LEN(Registro!$E856)))&amp;"x")-1))),"Revisar formato")))</f>
        <v/>
      </c>
      <c r="E856" s="11" t="str">
        <f>IF(Registro!$E856="","",IF(ISERROR(FIND("x",LOWER(Registro!$E856))),"-",IFERROR(SUMPRODUCT(--("0"&amp;LEFT(TRIM(MID(SUBSTITUTE(SUBSTITUTE(SUBSTITUTE(SUBSTITUTE(SUBSTITUTE(LOWER(Registro!$E856),"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",LEN(Registro!$E856))),({1,2,3,4,5,6,7,8,9,10,11,12,13,14,15,16,17,18,19,20,21,22,23,24,25,26,27,28,29,30}-1)*LEN(Registro!$E856)+1,LEN(Registro!$E856)))&amp;"x")-1)),--("0"&amp;MID(TRIM(MID(SUBSTITUTE(SUBSTITUTE(SUBSTITUTE(SUBSTITUTE(SUBSTITUTE(LOWER(Registro!$E856),"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",LEN(Registro!$E856))),({1,2,3,4,5,6,7,8,9,10,11,12,13,14,15,16,17,18,19,20,21,22,23,24,25,26,27,28,29,30}-1)*LEN(Registro!$E856)+1,LEN(Registro!$E856)))&amp;"x")+1,20))),"Revisar formato")))</f>
        <v/>
      </c>
      <c r="F856" s="11" t="str">
        <f>IF(Registro!$F856="","",N(Registro!$F856))</f>
        <v/>
      </c>
      <c r="G856" s="11" t="str">
        <f t="shared" si="40"/>
        <v/>
      </c>
      <c r="H856" s="10" t="str">
        <f>IF(Registro!$G856="","",IF(ISERROR(FIND("x",LOWER(Registro!$G856))),"-",IFERROR(SUMPRODUCT(--("0"&amp;LEFT(TRIM(MID(SUBSTITUTE(SUBSTITUTE(SUBSTITUTE(SUBSTITUTE(SUBSTITUTE(LOWER(Registro!$G856),"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",LEN(Registro!$G856))),({1,2,3,4,5,6,7,8,9,10,11,12,13,14,15,16,17,18,19,20,21,22,23,24,25,26,27,28,29,30}-1)*LEN(Registro!$G856)+1,LEN(Registro!$G856))),FIND("x",TRIM(MID(SUBSTITUTE(SUBSTITUTE(SUBSTITUTE(SUBSTITUTE(SUBSTITUTE(LOWER(Registro!$G856),"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",LEN(Registro!$G856))),({1,2,3,4,5,6,7,8,9,10,11,12,13,14,15,16,17,18,19,20,21,22,23,24,25,26,27,28,29,30}-1)*LEN(Registro!$G856)+1,LEN(Registro!$G856)))&amp;"x")-1))),"Revisar formato")))</f>
        <v/>
      </c>
      <c r="I856" s="11" t="str">
        <f>IF(Registro!$G856="","",IF(ISERROR(FIND("x",LOWER(Registro!$G856))),N(Registro!$H856),IFERROR(SUMPRODUCT(--("0"&amp;LEFT(TRIM(MID(SUBSTITUTE(SUBSTITUTE(SUBSTITUTE(SUBSTITUTE(SUBSTITUTE(LOWER(Registro!$G856),"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",LEN(Registro!$G856))),({1,2,3,4,5,6,7,8,9,10,11,12,13,14,15,16,17,18,19,20,21,22,23,24,25,26,27,28,29,30}-1)*LEN(Registro!$G856)+1,LEN(Registro!$G856))),FIND("x",TRIM(MID(SUBSTITUTE(SUBSTITUTE(SUBSTITUTE(SUBSTITUTE(SUBSTITUTE(LOWER(Registro!$G856),"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",LEN(Registro!$G856))),({1,2,3,4,5,6,7,8,9,10,11,12,13,14,15,16,17,18,19,20,21,22,23,24,25,26,27,28,29,30}-1)*LEN(Registro!$G856)+1,LEN(Registro!$G856)))&amp;"x")-1)),--("0"&amp;MID(TRIM(MID(SUBSTITUTE(SUBSTITUTE(SUBSTITUTE(SUBSTITUTE(SUBSTITUTE(LOWER(Registro!$G856),"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",LEN(Registro!$G856))),({1,2,3,4,5,6,7,8,9,10,11,12,13,14,15,16,17,18,19,20,21,22,23,24,25,26,27,28,29,30}-1)*LEN(Registro!$G856)+1,LEN(Registro!$G856))),FIND("x",TRIM(MID(SUBSTITUTE(SUBSTITUTE(SUBSTITUTE(SUBSTITUTE(SUBSTITUTE(LOWER(Registro!$G856),"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",LEN(Registro!$G856))),({1,2,3,4,5,6,7,8,9,10,11,12,13,14,15,16,17,18,19,20,21,22,23,24,25,26,27,28,29,30}-1)*LEN(Registro!$G856)+1,LEN(Registro!$G856)))&amp;"x")+1,20))),"Revisar formato")))</f>
        <v/>
      </c>
      <c r="J856" s="9" t="str">
        <f>IF(AND(Registro!$E856="",Registro!$G856=""),"",IF(NOT(AND(ISNUMBER(I856),ISNUMBER(Registro!$H856))),"",IF(I856&lt;Registro!$H856,"FALTA BOLETOS",IF(I856=Registro!$H856,"CONFORME","DIFERENCIA"))))</f>
        <v/>
      </c>
      <c r="K856" s="11" t="str">
        <f>IF(Registro!$I856="","",IFERROR(SUMPRODUCT(--("0"&amp;TRIM(RIGHT(SUBSTITUTE(TRIM(MID(SUBSTITUTE(SUBSTITUTE(Registro!$I856,";",CHAR(10)),CHAR(10),REPT(" ",LEN(Registro!$I856))),({1,2,3,4,5,6,7,8,9,10,11,12,13,14,15,16,17,18,19,20,21,22,23,24,25,26,27,28,29,30}-1)*LEN(Registro!$I856)+1,LEN(Registro!$I856)))," ",REPT(" ",50)),50)))),"Revisar formato"))</f>
        <v/>
      </c>
      <c r="L856" s="11" t="str">
        <f>IF(Registro!$J856="","",IFERROR(SUMPRODUCT(--("0"&amp;TRIM(RIGHT(SUBSTITUTE(TRIM(MID(SUBSTITUTE(SUBSTITUTE(Registro!$J856,";",CHAR(10)),CHAR(10),REPT(" ",LEN(Registro!$J856))),({1,2,3,4,5,6,7,8,9,10,11,12,13,14,15,16,17,18,19,20,21,22,23,24,25,26,27,28,29,30}-1)*LEN(Registro!$J856)+1,LEN(Registro!$J856)))," ",REPT(" ",50)),50)))),"Revisar formato"))</f>
        <v/>
      </c>
      <c r="M856" s="11" t="str">
        <f>IF(AND(Registro!$H856="",Registro!$I856=""),"",IF(AND(ISTEXT(K856),K856&lt;&gt;""),"Revisar formato",N(Registro!$H856)-N(K856)))</f>
        <v/>
      </c>
      <c r="N856" s="11" t="str">
        <f t="shared" si="41"/>
        <v/>
      </c>
      <c r="O856" s="15" t="str">
        <f>IF(AND(A856=Consulta!$B$3,C856=Consulta!$H$3),B856*10000+ROW(),"")</f>
        <v/>
      </c>
    </row>
    <row r="857" spans="1:15" x14ac:dyDescent="0.25">
      <c r="A857" s="9" t="str">
        <f>IF(Registro!$A857="","",Registro!$A857)</f>
        <v/>
      </c>
      <c r="B857" s="8" t="str">
        <f>IF(Registro!$B857="","",Registro!$B857)</f>
        <v/>
      </c>
      <c r="C857" s="14" t="str">
        <f t="shared" si="39"/>
        <v/>
      </c>
      <c r="D857" s="10" t="str">
        <f>IF(Registro!$E857="","",IF(ISERROR(FIND("x",LOWER(Registro!$E857))),"-",IFERROR(SUMPRODUCT(--("0"&amp;LEFT(TRIM(MID(SUBSTITUTE(SUBSTITUTE(SUBSTITUTE(SUBSTITUTE(SUBSTITUTE(LOWER(Registro!$E857),"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",LEN(Registro!$E857))),({1,2,3,4,5,6,7,8,9,10,11,12,13,14,15,16,17,18,19,20,21,22,23,24,25,26,27,28,29,30}-1)*LEN(Registro!$E857)+1,LEN(Registro!$E857)))&amp;"x")-1))),"Revisar formato")))</f>
        <v/>
      </c>
      <c r="E857" s="11" t="str">
        <f>IF(Registro!$E857="","",IF(ISERROR(FIND("x",LOWER(Registro!$E857))),"-",IFERROR(SUMPRODUCT(--("0"&amp;LEFT(TRIM(MID(SUBSTITUTE(SUBSTITUTE(SUBSTITUTE(SUBSTITUTE(SUBSTITUTE(LOWER(Registro!$E857),"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",LEN(Registro!$E857))),({1,2,3,4,5,6,7,8,9,10,11,12,13,14,15,16,17,18,19,20,21,22,23,24,25,26,27,28,29,30}-1)*LEN(Registro!$E857)+1,LEN(Registro!$E857)))&amp;"x")-1)),--("0"&amp;MID(TRIM(MID(SUBSTITUTE(SUBSTITUTE(SUBSTITUTE(SUBSTITUTE(SUBSTITUTE(LOWER(Registro!$E857),"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",LEN(Registro!$E857))),({1,2,3,4,5,6,7,8,9,10,11,12,13,14,15,16,17,18,19,20,21,22,23,24,25,26,27,28,29,30}-1)*LEN(Registro!$E857)+1,LEN(Registro!$E857)))&amp;"x")+1,20))),"Revisar formato")))</f>
        <v/>
      </c>
      <c r="F857" s="11" t="str">
        <f>IF(Registro!$F857="","",N(Registro!$F857))</f>
        <v/>
      </c>
      <c r="G857" s="11" t="str">
        <f t="shared" si="40"/>
        <v/>
      </c>
      <c r="H857" s="10" t="str">
        <f>IF(Registro!$G857="","",IF(ISERROR(FIND("x",LOWER(Registro!$G857))),"-",IFERROR(SUMPRODUCT(--("0"&amp;LEFT(TRIM(MID(SUBSTITUTE(SUBSTITUTE(SUBSTITUTE(SUBSTITUTE(SUBSTITUTE(LOWER(Registro!$G857),"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",LEN(Registro!$G857))),({1,2,3,4,5,6,7,8,9,10,11,12,13,14,15,16,17,18,19,20,21,22,23,24,25,26,27,28,29,30}-1)*LEN(Registro!$G857)+1,LEN(Registro!$G857))),FIND("x",TRIM(MID(SUBSTITUTE(SUBSTITUTE(SUBSTITUTE(SUBSTITUTE(SUBSTITUTE(LOWER(Registro!$G857),"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",LEN(Registro!$G857))),({1,2,3,4,5,6,7,8,9,10,11,12,13,14,15,16,17,18,19,20,21,22,23,24,25,26,27,28,29,30}-1)*LEN(Registro!$G857)+1,LEN(Registro!$G857)))&amp;"x")-1))),"Revisar formato")))</f>
        <v/>
      </c>
      <c r="I857" s="11" t="str">
        <f>IF(Registro!$G857="","",IF(ISERROR(FIND("x",LOWER(Registro!$G857))),N(Registro!$H857),IFERROR(SUMPRODUCT(--("0"&amp;LEFT(TRIM(MID(SUBSTITUTE(SUBSTITUTE(SUBSTITUTE(SUBSTITUTE(SUBSTITUTE(LOWER(Registro!$G857),"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",LEN(Registro!$G857))),({1,2,3,4,5,6,7,8,9,10,11,12,13,14,15,16,17,18,19,20,21,22,23,24,25,26,27,28,29,30}-1)*LEN(Registro!$G857)+1,LEN(Registro!$G857))),FIND("x",TRIM(MID(SUBSTITUTE(SUBSTITUTE(SUBSTITUTE(SUBSTITUTE(SUBSTITUTE(LOWER(Registro!$G857),"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",LEN(Registro!$G857))),({1,2,3,4,5,6,7,8,9,10,11,12,13,14,15,16,17,18,19,20,21,22,23,24,25,26,27,28,29,30}-1)*LEN(Registro!$G857)+1,LEN(Registro!$G857)))&amp;"x")-1)),--("0"&amp;MID(TRIM(MID(SUBSTITUTE(SUBSTITUTE(SUBSTITUTE(SUBSTITUTE(SUBSTITUTE(LOWER(Registro!$G857),"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",LEN(Registro!$G857))),({1,2,3,4,5,6,7,8,9,10,11,12,13,14,15,16,17,18,19,20,21,22,23,24,25,26,27,28,29,30}-1)*LEN(Registro!$G857)+1,LEN(Registro!$G857))),FIND("x",TRIM(MID(SUBSTITUTE(SUBSTITUTE(SUBSTITUTE(SUBSTITUTE(SUBSTITUTE(LOWER(Registro!$G857),"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",LEN(Registro!$G857))),({1,2,3,4,5,6,7,8,9,10,11,12,13,14,15,16,17,18,19,20,21,22,23,24,25,26,27,28,29,30}-1)*LEN(Registro!$G857)+1,LEN(Registro!$G857)))&amp;"x")+1,20))),"Revisar formato")))</f>
        <v/>
      </c>
      <c r="J857" s="9" t="str">
        <f>IF(AND(Registro!$E857="",Registro!$G857=""),"",IF(NOT(AND(ISNUMBER(I857),ISNUMBER(Registro!$H857))),"",IF(I857&lt;Registro!$H857,"FALTA BOLETOS",IF(I857=Registro!$H857,"CONFORME","DIFERENCIA"))))</f>
        <v/>
      </c>
      <c r="K857" s="11" t="str">
        <f>IF(Registro!$I857="","",IFERROR(SUMPRODUCT(--("0"&amp;TRIM(RIGHT(SUBSTITUTE(TRIM(MID(SUBSTITUTE(SUBSTITUTE(Registro!$I857,";",CHAR(10)),CHAR(10),REPT(" ",LEN(Registro!$I857))),({1,2,3,4,5,6,7,8,9,10,11,12,13,14,15,16,17,18,19,20,21,22,23,24,25,26,27,28,29,30}-1)*LEN(Registro!$I857)+1,LEN(Registro!$I857)))," ",REPT(" ",50)),50)))),"Revisar formato"))</f>
        <v/>
      </c>
      <c r="L857" s="11" t="str">
        <f>IF(Registro!$J857="","",IFERROR(SUMPRODUCT(--("0"&amp;TRIM(RIGHT(SUBSTITUTE(TRIM(MID(SUBSTITUTE(SUBSTITUTE(Registro!$J857,";",CHAR(10)),CHAR(10),REPT(" ",LEN(Registro!$J857))),({1,2,3,4,5,6,7,8,9,10,11,12,13,14,15,16,17,18,19,20,21,22,23,24,25,26,27,28,29,30}-1)*LEN(Registro!$J857)+1,LEN(Registro!$J857)))," ",REPT(" ",50)),50)))),"Revisar formato"))</f>
        <v/>
      </c>
      <c r="M857" s="11" t="str">
        <f>IF(AND(Registro!$H857="",Registro!$I857=""),"",IF(AND(ISTEXT(K857),K857&lt;&gt;""),"Revisar formato",N(Registro!$H857)-N(K857)))</f>
        <v/>
      </c>
      <c r="N857" s="11" t="str">
        <f t="shared" si="41"/>
        <v/>
      </c>
      <c r="O857" s="15" t="str">
        <f>IF(AND(A857=Consulta!$B$3,C857=Consulta!$H$3),B857*10000+ROW(),"")</f>
        <v/>
      </c>
    </row>
    <row r="858" spans="1:15" x14ac:dyDescent="0.25">
      <c r="A858" s="9" t="str">
        <f>IF(Registro!$A858="","",Registro!$A858)</f>
        <v/>
      </c>
      <c r="B858" s="8" t="str">
        <f>IF(Registro!$B858="","",Registro!$B858)</f>
        <v/>
      </c>
      <c r="C858" s="14" t="str">
        <f t="shared" si="39"/>
        <v/>
      </c>
      <c r="D858" s="10" t="str">
        <f>IF(Registro!$E858="","",IF(ISERROR(FIND("x",LOWER(Registro!$E858))),"-",IFERROR(SUMPRODUCT(--("0"&amp;LEFT(TRIM(MID(SUBSTITUTE(SUBSTITUTE(SUBSTITUTE(SUBSTITUTE(SUBSTITUTE(LOWER(Registro!$E858),"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",LEN(Registro!$E858))),({1,2,3,4,5,6,7,8,9,10,11,12,13,14,15,16,17,18,19,20,21,22,23,24,25,26,27,28,29,30}-1)*LEN(Registro!$E858)+1,LEN(Registro!$E858)))&amp;"x")-1))),"Revisar formato")))</f>
        <v/>
      </c>
      <c r="E858" s="11" t="str">
        <f>IF(Registro!$E858="","",IF(ISERROR(FIND("x",LOWER(Registro!$E858))),"-",IFERROR(SUMPRODUCT(--("0"&amp;LEFT(TRIM(MID(SUBSTITUTE(SUBSTITUTE(SUBSTITUTE(SUBSTITUTE(SUBSTITUTE(LOWER(Registro!$E858),"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",LEN(Registro!$E858))),({1,2,3,4,5,6,7,8,9,10,11,12,13,14,15,16,17,18,19,20,21,22,23,24,25,26,27,28,29,30}-1)*LEN(Registro!$E858)+1,LEN(Registro!$E858)))&amp;"x")-1)),--("0"&amp;MID(TRIM(MID(SUBSTITUTE(SUBSTITUTE(SUBSTITUTE(SUBSTITUTE(SUBSTITUTE(LOWER(Registro!$E858),"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",LEN(Registro!$E858))),({1,2,3,4,5,6,7,8,9,10,11,12,13,14,15,16,17,18,19,20,21,22,23,24,25,26,27,28,29,30}-1)*LEN(Registro!$E858)+1,LEN(Registro!$E858)))&amp;"x")+1,20))),"Revisar formato")))</f>
        <v/>
      </c>
      <c r="F858" s="11" t="str">
        <f>IF(Registro!$F858="","",N(Registro!$F858))</f>
        <v/>
      </c>
      <c r="G858" s="11" t="str">
        <f t="shared" si="40"/>
        <v/>
      </c>
      <c r="H858" s="10" t="str">
        <f>IF(Registro!$G858="","",IF(ISERROR(FIND("x",LOWER(Registro!$G858))),"-",IFERROR(SUMPRODUCT(--("0"&amp;LEFT(TRIM(MID(SUBSTITUTE(SUBSTITUTE(SUBSTITUTE(SUBSTITUTE(SUBSTITUTE(LOWER(Registro!$G858),"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",LEN(Registro!$G858))),({1,2,3,4,5,6,7,8,9,10,11,12,13,14,15,16,17,18,19,20,21,22,23,24,25,26,27,28,29,30}-1)*LEN(Registro!$G858)+1,LEN(Registro!$G858))),FIND("x",TRIM(MID(SUBSTITUTE(SUBSTITUTE(SUBSTITUTE(SUBSTITUTE(SUBSTITUTE(LOWER(Registro!$G858),"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",LEN(Registro!$G858))),({1,2,3,4,5,6,7,8,9,10,11,12,13,14,15,16,17,18,19,20,21,22,23,24,25,26,27,28,29,30}-1)*LEN(Registro!$G858)+1,LEN(Registro!$G858)))&amp;"x")-1))),"Revisar formato")))</f>
        <v/>
      </c>
      <c r="I858" s="11" t="str">
        <f>IF(Registro!$G858="","",IF(ISERROR(FIND("x",LOWER(Registro!$G858))),N(Registro!$H858),IFERROR(SUMPRODUCT(--("0"&amp;LEFT(TRIM(MID(SUBSTITUTE(SUBSTITUTE(SUBSTITUTE(SUBSTITUTE(SUBSTITUTE(LOWER(Registro!$G858),"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",LEN(Registro!$G858))),({1,2,3,4,5,6,7,8,9,10,11,12,13,14,15,16,17,18,19,20,21,22,23,24,25,26,27,28,29,30}-1)*LEN(Registro!$G858)+1,LEN(Registro!$G858))),FIND("x",TRIM(MID(SUBSTITUTE(SUBSTITUTE(SUBSTITUTE(SUBSTITUTE(SUBSTITUTE(LOWER(Registro!$G858),"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",LEN(Registro!$G858))),({1,2,3,4,5,6,7,8,9,10,11,12,13,14,15,16,17,18,19,20,21,22,23,24,25,26,27,28,29,30}-1)*LEN(Registro!$G858)+1,LEN(Registro!$G858)))&amp;"x")-1)),--("0"&amp;MID(TRIM(MID(SUBSTITUTE(SUBSTITUTE(SUBSTITUTE(SUBSTITUTE(SUBSTITUTE(LOWER(Registro!$G858),"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",LEN(Registro!$G858))),({1,2,3,4,5,6,7,8,9,10,11,12,13,14,15,16,17,18,19,20,21,22,23,24,25,26,27,28,29,30}-1)*LEN(Registro!$G858)+1,LEN(Registro!$G858))),FIND("x",TRIM(MID(SUBSTITUTE(SUBSTITUTE(SUBSTITUTE(SUBSTITUTE(SUBSTITUTE(LOWER(Registro!$G858),"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",LEN(Registro!$G858))),({1,2,3,4,5,6,7,8,9,10,11,12,13,14,15,16,17,18,19,20,21,22,23,24,25,26,27,28,29,30}-1)*LEN(Registro!$G858)+1,LEN(Registro!$G858)))&amp;"x")+1,20))),"Revisar formato")))</f>
        <v/>
      </c>
      <c r="J858" s="9" t="str">
        <f>IF(AND(Registro!$E858="",Registro!$G858=""),"",IF(NOT(AND(ISNUMBER(I858),ISNUMBER(Registro!$H858))),"",IF(I858&lt;Registro!$H858,"FALTA BOLETOS",IF(I858=Registro!$H858,"CONFORME","DIFERENCIA"))))</f>
        <v/>
      </c>
      <c r="K858" s="11" t="str">
        <f>IF(Registro!$I858="","",IFERROR(SUMPRODUCT(--("0"&amp;TRIM(RIGHT(SUBSTITUTE(TRIM(MID(SUBSTITUTE(SUBSTITUTE(Registro!$I858,";",CHAR(10)),CHAR(10),REPT(" ",LEN(Registro!$I858))),({1,2,3,4,5,6,7,8,9,10,11,12,13,14,15,16,17,18,19,20,21,22,23,24,25,26,27,28,29,30}-1)*LEN(Registro!$I858)+1,LEN(Registro!$I858)))," ",REPT(" ",50)),50)))),"Revisar formato"))</f>
        <v/>
      </c>
      <c r="L858" s="11" t="str">
        <f>IF(Registro!$J858="","",IFERROR(SUMPRODUCT(--("0"&amp;TRIM(RIGHT(SUBSTITUTE(TRIM(MID(SUBSTITUTE(SUBSTITUTE(Registro!$J858,";",CHAR(10)),CHAR(10),REPT(" ",LEN(Registro!$J858))),({1,2,3,4,5,6,7,8,9,10,11,12,13,14,15,16,17,18,19,20,21,22,23,24,25,26,27,28,29,30}-1)*LEN(Registro!$J858)+1,LEN(Registro!$J858)))," ",REPT(" ",50)),50)))),"Revisar formato"))</f>
        <v/>
      </c>
      <c r="M858" s="11" t="str">
        <f>IF(AND(Registro!$H858="",Registro!$I858=""),"",IF(AND(ISTEXT(K858),K858&lt;&gt;""),"Revisar formato",N(Registro!$H858)-N(K858)))</f>
        <v/>
      </c>
      <c r="N858" s="11" t="str">
        <f t="shared" si="41"/>
        <v/>
      </c>
      <c r="O858" s="15" t="str">
        <f>IF(AND(A858=Consulta!$B$3,C858=Consulta!$H$3),B858*10000+ROW(),"")</f>
        <v/>
      </c>
    </row>
    <row r="859" spans="1:15" x14ac:dyDescent="0.25">
      <c r="A859" s="9" t="str">
        <f>IF(Registro!$A859="","",Registro!$A859)</f>
        <v/>
      </c>
      <c r="B859" s="8" t="str">
        <f>IF(Registro!$B859="","",Registro!$B859)</f>
        <v/>
      </c>
      <c r="C859" s="14" t="str">
        <f t="shared" si="39"/>
        <v/>
      </c>
      <c r="D859" s="10" t="str">
        <f>IF(Registro!$E859="","",IF(ISERROR(FIND("x",LOWER(Registro!$E859))),"-",IFERROR(SUMPRODUCT(--("0"&amp;LEFT(TRIM(MID(SUBSTITUTE(SUBSTITUTE(SUBSTITUTE(SUBSTITUTE(SUBSTITUTE(LOWER(Registro!$E859),"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",LEN(Registro!$E859))),({1,2,3,4,5,6,7,8,9,10,11,12,13,14,15,16,17,18,19,20,21,22,23,24,25,26,27,28,29,30}-1)*LEN(Registro!$E859)+1,LEN(Registro!$E859)))&amp;"x")-1))),"Revisar formato")))</f>
        <v/>
      </c>
      <c r="E859" s="11" t="str">
        <f>IF(Registro!$E859="","",IF(ISERROR(FIND("x",LOWER(Registro!$E859))),"-",IFERROR(SUMPRODUCT(--("0"&amp;LEFT(TRIM(MID(SUBSTITUTE(SUBSTITUTE(SUBSTITUTE(SUBSTITUTE(SUBSTITUTE(LOWER(Registro!$E859),"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",LEN(Registro!$E859))),({1,2,3,4,5,6,7,8,9,10,11,12,13,14,15,16,17,18,19,20,21,22,23,24,25,26,27,28,29,30}-1)*LEN(Registro!$E859)+1,LEN(Registro!$E859)))&amp;"x")-1)),--("0"&amp;MID(TRIM(MID(SUBSTITUTE(SUBSTITUTE(SUBSTITUTE(SUBSTITUTE(SUBSTITUTE(LOWER(Registro!$E859),"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",LEN(Registro!$E859))),({1,2,3,4,5,6,7,8,9,10,11,12,13,14,15,16,17,18,19,20,21,22,23,24,25,26,27,28,29,30}-1)*LEN(Registro!$E859)+1,LEN(Registro!$E859)))&amp;"x")+1,20))),"Revisar formato")))</f>
        <v/>
      </c>
      <c r="F859" s="11" t="str">
        <f>IF(Registro!$F859="","",N(Registro!$F859))</f>
        <v/>
      </c>
      <c r="G859" s="11" t="str">
        <f t="shared" si="40"/>
        <v/>
      </c>
      <c r="H859" s="10" t="str">
        <f>IF(Registro!$G859="","",IF(ISERROR(FIND("x",LOWER(Registro!$G859))),"-",IFERROR(SUMPRODUCT(--("0"&amp;LEFT(TRIM(MID(SUBSTITUTE(SUBSTITUTE(SUBSTITUTE(SUBSTITUTE(SUBSTITUTE(LOWER(Registro!$G859),"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",LEN(Registro!$G859))),({1,2,3,4,5,6,7,8,9,10,11,12,13,14,15,16,17,18,19,20,21,22,23,24,25,26,27,28,29,30}-1)*LEN(Registro!$G859)+1,LEN(Registro!$G859))),FIND("x",TRIM(MID(SUBSTITUTE(SUBSTITUTE(SUBSTITUTE(SUBSTITUTE(SUBSTITUTE(LOWER(Registro!$G859),"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",LEN(Registro!$G859))),({1,2,3,4,5,6,7,8,9,10,11,12,13,14,15,16,17,18,19,20,21,22,23,24,25,26,27,28,29,30}-1)*LEN(Registro!$G859)+1,LEN(Registro!$G859)))&amp;"x")-1))),"Revisar formato")))</f>
        <v/>
      </c>
      <c r="I859" s="11" t="str">
        <f>IF(Registro!$G859="","",IF(ISERROR(FIND("x",LOWER(Registro!$G859))),N(Registro!$H859),IFERROR(SUMPRODUCT(--("0"&amp;LEFT(TRIM(MID(SUBSTITUTE(SUBSTITUTE(SUBSTITUTE(SUBSTITUTE(SUBSTITUTE(LOWER(Registro!$G859),"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",LEN(Registro!$G859))),({1,2,3,4,5,6,7,8,9,10,11,12,13,14,15,16,17,18,19,20,21,22,23,24,25,26,27,28,29,30}-1)*LEN(Registro!$G859)+1,LEN(Registro!$G859))),FIND("x",TRIM(MID(SUBSTITUTE(SUBSTITUTE(SUBSTITUTE(SUBSTITUTE(SUBSTITUTE(LOWER(Registro!$G859),"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",LEN(Registro!$G859))),({1,2,3,4,5,6,7,8,9,10,11,12,13,14,15,16,17,18,19,20,21,22,23,24,25,26,27,28,29,30}-1)*LEN(Registro!$G859)+1,LEN(Registro!$G859)))&amp;"x")-1)),--("0"&amp;MID(TRIM(MID(SUBSTITUTE(SUBSTITUTE(SUBSTITUTE(SUBSTITUTE(SUBSTITUTE(LOWER(Registro!$G859),"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",LEN(Registro!$G859))),({1,2,3,4,5,6,7,8,9,10,11,12,13,14,15,16,17,18,19,20,21,22,23,24,25,26,27,28,29,30}-1)*LEN(Registro!$G859)+1,LEN(Registro!$G859))),FIND("x",TRIM(MID(SUBSTITUTE(SUBSTITUTE(SUBSTITUTE(SUBSTITUTE(SUBSTITUTE(LOWER(Registro!$G859),"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",LEN(Registro!$G859))),({1,2,3,4,5,6,7,8,9,10,11,12,13,14,15,16,17,18,19,20,21,22,23,24,25,26,27,28,29,30}-1)*LEN(Registro!$G859)+1,LEN(Registro!$G859)))&amp;"x")+1,20))),"Revisar formato")))</f>
        <v/>
      </c>
      <c r="J859" s="9" t="str">
        <f>IF(AND(Registro!$E859="",Registro!$G859=""),"",IF(NOT(AND(ISNUMBER(I859),ISNUMBER(Registro!$H859))),"",IF(I859&lt;Registro!$H859,"FALTA BOLETOS",IF(I859=Registro!$H859,"CONFORME","DIFERENCIA"))))</f>
        <v/>
      </c>
      <c r="K859" s="11" t="str">
        <f>IF(Registro!$I859="","",IFERROR(SUMPRODUCT(--("0"&amp;TRIM(RIGHT(SUBSTITUTE(TRIM(MID(SUBSTITUTE(SUBSTITUTE(Registro!$I859,";",CHAR(10)),CHAR(10),REPT(" ",LEN(Registro!$I859))),({1,2,3,4,5,6,7,8,9,10,11,12,13,14,15,16,17,18,19,20,21,22,23,24,25,26,27,28,29,30}-1)*LEN(Registro!$I859)+1,LEN(Registro!$I859)))," ",REPT(" ",50)),50)))),"Revisar formato"))</f>
        <v/>
      </c>
      <c r="L859" s="11" t="str">
        <f>IF(Registro!$J859="","",IFERROR(SUMPRODUCT(--("0"&amp;TRIM(RIGHT(SUBSTITUTE(TRIM(MID(SUBSTITUTE(SUBSTITUTE(Registro!$J859,";",CHAR(10)),CHAR(10),REPT(" ",LEN(Registro!$J859))),({1,2,3,4,5,6,7,8,9,10,11,12,13,14,15,16,17,18,19,20,21,22,23,24,25,26,27,28,29,30}-1)*LEN(Registro!$J859)+1,LEN(Registro!$J859)))," ",REPT(" ",50)),50)))),"Revisar formato"))</f>
        <v/>
      </c>
      <c r="M859" s="11" t="str">
        <f>IF(AND(Registro!$H859="",Registro!$I859=""),"",IF(AND(ISTEXT(K859),K859&lt;&gt;""),"Revisar formato",N(Registro!$H859)-N(K859)))</f>
        <v/>
      </c>
      <c r="N859" s="11" t="str">
        <f t="shared" si="41"/>
        <v/>
      </c>
      <c r="O859" s="15" t="str">
        <f>IF(AND(A859=Consulta!$B$3,C859=Consulta!$H$3),B859*10000+ROW(),"")</f>
        <v/>
      </c>
    </row>
    <row r="860" spans="1:15" x14ac:dyDescent="0.25">
      <c r="A860" s="9" t="str">
        <f>IF(Registro!$A860="","",Registro!$A860)</f>
        <v/>
      </c>
      <c r="B860" s="8" t="str">
        <f>IF(Registro!$B860="","",Registro!$B860)</f>
        <v/>
      </c>
      <c r="C860" s="14" t="str">
        <f t="shared" si="39"/>
        <v/>
      </c>
      <c r="D860" s="10" t="str">
        <f>IF(Registro!$E860="","",IF(ISERROR(FIND("x",LOWER(Registro!$E860))),"-",IFERROR(SUMPRODUCT(--("0"&amp;LEFT(TRIM(MID(SUBSTITUTE(SUBSTITUTE(SUBSTITUTE(SUBSTITUTE(SUBSTITUTE(LOWER(Registro!$E860),"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",LEN(Registro!$E860))),({1,2,3,4,5,6,7,8,9,10,11,12,13,14,15,16,17,18,19,20,21,22,23,24,25,26,27,28,29,30}-1)*LEN(Registro!$E860)+1,LEN(Registro!$E860)))&amp;"x")-1))),"Revisar formato")))</f>
        <v/>
      </c>
      <c r="E860" s="11" t="str">
        <f>IF(Registro!$E860="","",IF(ISERROR(FIND("x",LOWER(Registro!$E860))),"-",IFERROR(SUMPRODUCT(--("0"&amp;LEFT(TRIM(MID(SUBSTITUTE(SUBSTITUTE(SUBSTITUTE(SUBSTITUTE(SUBSTITUTE(LOWER(Registro!$E860),"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",LEN(Registro!$E860))),({1,2,3,4,5,6,7,8,9,10,11,12,13,14,15,16,17,18,19,20,21,22,23,24,25,26,27,28,29,30}-1)*LEN(Registro!$E860)+1,LEN(Registro!$E860)))&amp;"x")-1)),--("0"&amp;MID(TRIM(MID(SUBSTITUTE(SUBSTITUTE(SUBSTITUTE(SUBSTITUTE(SUBSTITUTE(LOWER(Registro!$E860),"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",LEN(Registro!$E860))),({1,2,3,4,5,6,7,8,9,10,11,12,13,14,15,16,17,18,19,20,21,22,23,24,25,26,27,28,29,30}-1)*LEN(Registro!$E860)+1,LEN(Registro!$E860)))&amp;"x")+1,20))),"Revisar formato")))</f>
        <v/>
      </c>
      <c r="F860" s="11" t="str">
        <f>IF(Registro!$F860="","",N(Registro!$F860))</f>
        <v/>
      </c>
      <c r="G860" s="11" t="str">
        <f t="shared" si="40"/>
        <v/>
      </c>
      <c r="H860" s="10" t="str">
        <f>IF(Registro!$G860="","",IF(ISERROR(FIND("x",LOWER(Registro!$G860))),"-",IFERROR(SUMPRODUCT(--("0"&amp;LEFT(TRIM(MID(SUBSTITUTE(SUBSTITUTE(SUBSTITUTE(SUBSTITUTE(SUBSTITUTE(LOWER(Registro!$G860),"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",LEN(Registro!$G860))),({1,2,3,4,5,6,7,8,9,10,11,12,13,14,15,16,17,18,19,20,21,22,23,24,25,26,27,28,29,30}-1)*LEN(Registro!$G860)+1,LEN(Registro!$G860))),FIND("x",TRIM(MID(SUBSTITUTE(SUBSTITUTE(SUBSTITUTE(SUBSTITUTE(SUBSTITUTE(LOWER(Registro!$G860),"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",LEN(Registro!$G860))),({1,2,3,4,5,6,7,8,9,10,11,12,13,14,15,16,17,18,19,20,21,22,23,24,25,26,27,28,29,30}-1)*LEN(Registro!$G860)+1,LEN(Registro!$G860)))&amp;"x")-1))),"Revisar formato")))</f>
        <v/>
      </c>
      <c r="I860" s="11" t="str">
        <f>IF(Registro!$G860="","",IF(ISERROR(FIND("x",LOWER(Registro!$G860))),N(Registro!$H860),IFERROR(SUMPRODUCT(--("0"&amp;LEFT(TRIM(MID(SUBSTITUTE(SUBSTITUTE(SUBSTITUTE(SUBSTITUTE(SUBSTITUTE(LOWER(Registro!$G860),"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",LEN(Registro!$G860))),({1,2,3,4,5,6,7,8,9,10,11,12,13,14,15,16,17,18,19,20,21,22,23,24,25,26,27,28,29,30}-1)*LEN(Registro!$G860)+1,LEN(Registro!$G860))),FIND("x",TRIM(MID(SUBSTITUTE(SUBSTITUTE(SUBSTITUTE(SUBSTITUTE(SUBSTITUTE(LOWER(Registro!$G860),"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",LEN(Registro!$G860))),({1,2,3,4,5,6,7,8,9,10,11,12,13,14,15,16,17,18,19,20,21,22,23,24,25,26,27,28,29,30}-1)*LEN(Registro!$G860)+1,LEN(Registro!$G860)))&amp;"x")-1)),--("0"&amp;MID(TRIM(MID(SUBSTITUTE(SUBSTITUTE(SUBSTITUTE(SUBSTITUTE(SUBSTITUTE(LOWER(Registro!$G860),"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",LEN(Registro!$G860))),({1,2,3,4,5,6,7,8,9,10,11,12,13,14,15,16,17,18,19,20,21,22,23,24,25,26,27,28,29,30}-1)*LEN(Registro!$G860)+1,LEN(Registro!$G860))),FIND("x",TRIM(MID(SUBSTITUTE(SUBSTITUTE(SUBSTITUTE(SUBSTITUTE(SUBSTITUTE(LOWER(Registro!$G860),"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",LEN(Registro!$G860))),({1,2,3,4,5,6,7,8,9,10,11,12,13,14,15,16,17,18,19,20,21,22,23,24,25,26,27,28,29,30}-1)*LEN(Registro!$G860)+1,LEN(Registro!$G860)))&amp;"x")+1,20))),"Revisar formato")))</f>
        <v/>
      </c>
      <c r="J860" s="9" t="str">
        <f>IF(AND(Registro!$E860="",Registro!$G860=""),"",IF(NOT(AND(ISNUMBER(I860),ISNUMBER(Registro!$H860))),"",IF(I860&lt;Registro!$H860,"FALTA BOLETOS",IF(I860=Registro!$H860,"CONFORME","DIFERENCIA"))))</f>
        <v/>
      </c>
      <c r="K860" s="11" t="str">
        <f>IF(Registro!$I860="","",IFERROR(SUMPRODUCT(--("0"&amp;TRIM(RIGHT(SUBSTITUTE(TRIM(MID(SUBSTITUTE(SUBSTITUTE(Registro!$I860,";",CHAR(10)),CHAR(10),REPT(" ",LEN(Registro!$I860))),({1,2,3,4,5,6,7,8,9,10,11,12,13,14,15,16,17,18,19,20,21,22,23,24,25,26,27,28,29,30}-1)*LEN(Registro!$I860)+1,LEN(Registro!$I860)))," ",REPT(" ",50)),50)))),"Revisar formato"))</f>
        <v/>
      </c>
      <c r="L860" s="11" t="str">
        <f>IF(Registro!$J860="","",IFERROR(SUMPRODUCT(--("0"&amp;TRIM(RIGHT(SUBSTITUTE(TRIM(MID(SUBSTITUTE(SUBSTITUTE(Registro!$J860,";",CHAR(10)),CHAR(10),REPT(" ",LEN(Registro!$J860))),({1,2,3,4,5,6,7,8,9,10,11,12,13,14,15,16,17,18,19,20,21,22,23,24,25,26,27,28,29,30}-1)*LEN(Registro!$J860)+1,LEN(Registro!$J860)))," ",REPT(" ",50)),50)))),"Revisar formato"))</f>
        <v/>
      </c>
      <c r="M860" s="11" t="str">
        <f>IF(AND(Registro!$H860="",Registro!$I860=""),"",IF(AND(ISTEXT(K860),K860&lt;&gt;""),"Revisar formato",N(Registro!$H860)-N(K860)))</f>
        <v/>
      </c>
      <c r="N860" s="11" t="str">
        <f t="shared" si="41"/>
        <v/>
      </c>
      <c r="O860" s="15" t="str">
        <f>IF(AND(A860=Consulta!$B$3,C860=Consulta!$H$3),B860*10000+ROW(),"")</f>
        <v/>
      </c>
    </row>
    <row r="861" spans="1:15" x14ac:dyDescent="0.25">
      <c r="A861" s="9" t="str">
        <f>IF(Registro!$A861="","",Registro!$A861)</f>
        <v/>
      </c>
      <c r="B861" s="8" t="str">
        <f>IF(Registro!$B861="","",Registro!$B861)</f>
        <v/>
      </c>
      <c r="C861" s="14" t="str">
        <f t="shared" si="39"/>
        <v/>
      </c>
      <c r="D861" s="10" t="str">
        <f>IF(Registro!$E861="","",IF(ISERROR(FIND("x",LOWER(Registro!$E861))),"-",IFERROR(SUMPRODUCT(--("0"&amp;LEFT(TRIM(MID(SUBSTITUTE(SUBSTITUTE(SUBSTITUTE(SUBSTITUTE(SUBSTITUTE(LOWER(Registro!$E861),"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",LEN(Registro!$E861))),({1,2,3,4,5,6,7,8,9,10,11,12,13,14,15,16,17,18,19,20,21,22,23,24,25,26,27,28,29,30}-1)*LEN(Registro!$E861)+1,LEN(Registro!$E861)))&amp;"x")-1))),"Revisar formato")))</f>
        <v/>
      </c>
      <c r="E861" s="11" t="str">
        <f>IF(Registro!$E861="","",IF(ISERROR(FIND("x",LOWER(Registro!$E861))),"-",IFERROR(SUMPRODUCT(--("0"&amp;LEFT(TRIM(MID(SUBSTITUTE(SUBSTITUTE(SUBSTITUTE(SUBSTITUTE(SUBSTITUTE(LOWER(Registro!$E861),"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",LEN(Registro!$E861))),({1,2,3,4,5,6,7,8,9,10,11,12,13,14,15,16,17,18,19,20,21,22,23,24,25,26,27,28,29,30}-1)*LEN(Registro!$E861)+1,LEN(Registro!$E861)))&amp;"x")-1)),--("0"&amp;MID(TRIM(MID(SUBSTITUTE(SUBSTITUTE(SUBSTITUTE(SUBSTITUTE(SUBSTITUTE(LOWER(Registro!$E861),"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",LEN(Registro!$E861))),({1,2,3,4,5,6,7,8,9,10,11,12,13,14,15,16,17,18,19,20,21,22,23,24,25,26,27,28,29,30}-1)*LEN(Registro!$E861)+1,LEN(Registro!$E861)))&amp;"x")+1,20))),"Revisar formato")))</f>
        <v/>
      </c>
      <c r="F861" s="11" t="str">
        <f>IF(Registro!$F861="","",N(Registro!$F861))</f>
        <v/>
      </c>
      <c r="G861" s="11" t="str">
        <f t="shared" si="40"/>
        <v/>
      </c>
      <c r="H861" s="10" t="str">
        <f>IF(Registro!$G861="","",IF(ISERROR(FIND("x",LOWER(Registro!$G861))),"-",IFERROR(SUMPRODUCT(--("0"&amp;LEFT(TRIM(MID(SUBSTITUTE(SUBSTITUTE(SUBSTITUTE(SUBSTITUTE(SUBSTITUTE(LOWER(Registro!$G861),"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",LEN(Registro!$G861))),({1,2,3,4,5,6,7,8,9,10,11,12,13,14,15,16,17,18,19,20,21,22,23,24,25,26,27,28,29,30}-1)*LEN(Registro!$G861)+1,LEN(Registro!$G861))),FIND("x",TRIM(MID(SUBSTITUTE(SUBSTITUTE(SUBSTITUTE(SUBSTITUTE(SUBSTITUTE(LOWER(Registro!$G861),"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",LEN(Registro!$G861))),({1,2,3,4,5,6,7,8,9,10,11,12,13,14,15,16,17,18,19,20,21,22,23,24,25,26,27,28,29,30}-1)*LEN(Registro!$G861)+1,LEN(Registro!$G861)))&amp;"x")-1))),"Revisar formato")))</f>
        <v/>
      </c>
      <c r="I861" s="11" t="str">
        <f>IF(Registro!$G861="","",IF(ISERROR(FIND("x",LOWER(Registro!$G861))),N(Registro!$H861),IFERROR(SUMPRODUCT(--("0"&amp;LEFT(TRIM(MID(SUBSTITUTE(SUBSTITUTE(SUBSTITUTE(SUBSTITUTE(SUBSTITUTE(LOWER(Registro!$G861),"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",LEN(Registro!$G861))),({1,2,3,4,5,6,7,8,9,10,11,12,13,14,15,16,17,18,19,20,21,22,23,24,25,26,27,28,29,30}-1)*LEN(Registro!$G861)+1,LEN(Registro!$G861))),FIND("x",TRIM(MID(SUBSTITUTE(SUBSTITUTE(SUBSTITUTE(SUBSTITUTE(SUBSTITUTE(LOWER(Registro!$G861),"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",LEN(Registro!$G861))),({1,2,3,4,5,6,7,8,9,10,11,12,13,14,15,16,17,18,19,20,21,22,23,24,25,26,27,28,29,30}-1)*LEN(Registro!$G861)+1,LEN(Registro!$G861)))&amp;"x")-1)),--("0"&amp;MID(TRIM(MID(SUBSTITUTE(SUBSTITUTE(SUBSTITUTE(SUBSTITUTE(SUBSTITUTE(LOWER(Registro!$G861),"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",LEN(Registro!$G861))),({1,2,3,4,5,6,7,8,9,10,11,12,13,14,15,16,17,18,19,20,21,22,23,24,25,26,27,28,29,30}-1)*LEN(Registro!$G861)+1,LEN(Registro!$G861))),FIND("x",TRIM(MID(SUBSTITUTE(SUBSTITUTE(SUBSTITUTE(SUBSTITUTE(SUBSTITUTE(LOWER(Registro!$G861),"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",LEN(Registro!$G861))),({1,2,3,4,5,6,7,8,9,10,11,12,13,14,15,16,17,18,19,20,21,22,23,24,25,26,27,28,29,30}-1)*LEN(Registro!$G861)+1,LEN(Registro!$G861)))&amp;"x")+1,20))),"Revisar formato")))</f>
        <v/>
      </c>
      <c r="J861" s="9" t="str">
        <f>IF(AND(Registro!$E861="",Registro!$G861=""),"",IF(NOT(AND(ISNUMBER(I861),ISNUMBER(Registro!$H861))),"",IF(I861&lt;Registro!$H861,"FALTA BOLETOS",IF(I861=Registro!$H861,"CONFORME","DIFERENCIA"))))</f>
        <v/>
      </c>
      <c r="K861" s="11" t="str">
        <f>IF(Registro!$I861="","",IFERROR(SUMPRODUCT(--("0"&amp;TRIM(RIGHT(SUBSTITUTE(TRIM(MID(SUBSTITUTE(SUBSTITUTE(Registro!$I861,";",CHAR(10)),CHAR(10),REPT(" ",LEN(Registro!$I861))),({1,2,3,4,5,6,7,8,9,10,11,12,13,14,15,16,17,18,19,20,21,22,23,24,25,26,27,28,29,30}-1)*LEN(Registro!$I861)+1,LEN(Registro!$I861)))," ",REPT(" ",50)),50)))),"Revisar formato"))</f>
        <v/>
      </c>
      <c r="L861" s="11" t="str">
        <f>IF(Registro!$J861="","",IFERROR(SUMPRODUCT(--("0"&amp;TRIM(RIGHT(SUBSTITUTE(TRIM(MID(SUBSTITUTE(SUBSTITUTE(Registro!$J861,";",CHAR(10)),CHAR(10),REPT(" ",LEN(Registro!$J861))),({1,2,3,4,5,6,7,8,9,10,11,12,13,14,15,16,17,18,19,20,21,22,23,24,25,26,27,28,29,30}-1)*LEN(Registro!$J861)+1,LEN(Registro!$J861)))," ",REPT(" ",50)),50)))),"Revisar formato"))</f>
        <v/>
      </c>
      <c r="M861" s="11" t="str">
        <f>IF(AND(Registro!$H861="",Registro!$I861=""),"",IF(AND(ISTEXT(K861),K861&lt;&gt;""),"Revisar formato",N(Registro!$H861)-N(K861)))</f>
        <v/>
      </c>
      <c r="N861" s="11" t="str">
        <f t="shared" si="41"/>
        <v/>
      </c>
      <c r="O861" s="15" t="str">
        <f>IF(AND(A861=Consulta!$B$3,C861=Consulta!$H$3),B861*10000+ROW(),"")</f>
        <v/>
      </c>
    </row>
    <row r="862" spans="1:15" x14ac:dyDescent="0.25">
      <c r="A862" s="9" t="str">
        <f>IF(Registro!$A862="","",Registro!$A862)</f>
        <v/>
      </c>
      <c r="B862" s="8" t="str">
        <f>IF(Registro!$B862="","",Registro!$B862)</f>
        <v/>
      </c>
      <c r="C862" s="14" t="str">
        <f t="shared" si="39"/>
        <v/>
      </c>
      <c r="D862" s="10" t="str">
        <f>IF(Registro!$E862="","",IF(ISERROR(FIND("x",LOWER(Registro!$E862))),"-",IFERROR(SUMPRODUCT(--("0"&amp;LEFT(TRIM(MID(SUBSTITUTE(SUBSTITUTE(SUBSTITUTE(SUBSTITUTE(SUBSTITUTE(LOWER(Registro!$E862),"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",LEN(Registro!$E862))),({1,2,3,4,5,6,7,8,9,10,11,12,13,14,15,16,17,18,19,20,21,22,23,24,25,26,27,28,29,30}-1)*LEN(Registro!$E862)+1,LEN(Registro!$E862)))&amp;"x")-1))),"Revisar formato")))</f>
        <v/>
      </c>
      <c r="E862" s="11" t="str">
        <f>IF(Registro!$E862="","",IF(ISERROR(FIND("x",LOWER(Registro!$E862))),"-",IFERROR(SUMPRODUCT(--("0"&amp;LEFT(TRIM(MID(SUBSTITUTE(SUBSTITUTE(SUBSTITUTE(SUBSTITUTE(SUBSTITUTE(LOWER(Registro!$E862),"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",LEN(Registro!$E862))),({1,2,3,4,5,6,7,8,9,10,11,12,13,14,15,16,17,18,19,20,21,22,23,24,25,26,27,28,29,30}-1)*LEN(Registro!$E862)+1,LEN(Registro!$E862)))&amp;"x")-1)),--("0"&amp;MID(TRIM(MID(SUBSTITUTE(SUBSTITUTE(SUBSTITUTE(SUBSTITUTE(SUBSTITUTE(LOWER(Registro!$E862),"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",LEN(Registro!$E862))),({1,2,3,4,5,6,7,8,9,10,11,12,13,14,15,16,17,18,19,20,21,22,23,24,25,26,27,28,29,30}-1)*LEN(Registro!$E862)+1,LEN(Registro!$E862)))&amp;"x")+1,20))),"Revisar formato")))</f>
        <v/>
      </c>
      <c r="F862" s="11" t="str">
        <f>IF(Registro!$F862="","",N(Registro!$F862))</f>
        <v/>
      </c>
      <c r="G862" s="11" t="str">
        <f t="shared" si="40"/>
        <v/>
      </c>
      <c r="H862" s="10" t="str">
        <f>IF(Registro!$G862="","",IF(ISERROR(FIND("x",LOWER(Registro!$G862))),"-",IFERROR(SUMPRODUCT(--("0"&amp;LEFT(TRIM(MID(SUBSTITUTE(SUBSTITUTE(SUBSTITUTE(SUBSTITUTE(SUBSTITUTE(LOWER(Registro!$G862),"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",LEN(Registro!$G862))),({1,2,3,4,5,6,7,8,9,10,11,12,13,14,15,16,17,18,19,20,21,22,23,24,25,26,27,28,29,30}-1)*LEN(Registro!$G862)+1,LEN(Registro!$G862))),FIND("x",TRIM(MID(SUBSTITUTE(SUBSTITUTE(SUBSTITUTE(SUBSTITUTE(SUBSTITUTE(LOWER(Registro!$G862),"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",LEN(Registro!$G862))),({1,2,3,4,5,6,7,8,9,10,11,12,13,14,15,16,17,18,19,20,21,22,23,24,25,26,27,28,29,30}-1)*LEN(Registro!$G862)+1,LEN(Registro!$G862)))&amp;"x")-1))),"Revisar formato")))</f>
        <v/>
      </c>
      <c r="I862" s="11" t="str">
        <f>IF(Registro!$G862="","",IF(ISERROR(FIND("x",LOWER(Registro!$G862))),N(Registro!$H862),IFERROR(SUMPRODUCT(--("0"&amp;LEFT(TRIM(MID(SUBSTITUTE(SUBSTITUTE(SUBSTITUTE(SUBSTITUTE(SUBSTITUTE(LOWER(Registro!$G862),"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",LEN(Registro!$G862))),({1,2,3,4,5,6,7,8,9,10,11,12,13,14,15,16,17,18,19,20,21,22,23,24,25,26,27,28,29,30}-1)*LEN(Registro!$G862)+1,LEN(Registro!$G862))),FIND("x",TRIM(MID(SUBSTITUTE(SUBSTITUTE(SUBSTITUTE(SUBSTITUTE(SUBSTITUTE(LOWER(Registro!$G862),"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",LEN(Registro!$G862))),({1,2,3,4,5,6,7,8,9,10,11,12,13,14,15,16,17,18,19,20,21,22,23,24,25,26,27,28,29,30}-1)*LEN(Registro!$G862)+1,LEN(Registro!$G862)))&amp;"x")-1)),--("0"&amp;MID(TRIM(MID(SUBSTITUTE(SUBSTITUTE(SUBSTITUTE(SUBSTITUTE(SUBSTITUTE(LOWER(Registro!$G862),"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",LEN(Registro!$G862))),({1,2,3,4,5,6,7,8,9,10,11,12,13,14,15,16,17,18,19,20,21,22,23,24,25,26,27,28,29,30}-1)*LEN(Registro!$G862)+1,LEN(Registro!$G862))),FIND("x",TRIM(MID(SUBSTITUTE(SUBSTITUTE(SUBSTITUTE(SUBSTITUTE(SUBSTITUTE(LOWER(Registro!$G862),"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",LEN(Registro!$G862))),({1,2,3,4,5,6,7,8,9,10,11,12,13,14,15,16,17,18,19,20,21,22,23,24,25,26,27,28,29,30}-1)*LEN(Registro!$G862)+1,LEN(Registro!$G862)))&amp;"x")+1,20))),"Revisar formato")))</f>
        <v/>
      </c>
      <c r="J862" s="9" t="str">
        <f>IF(AND(Registro!$E862="",Registro!$G862=""),"",IF(NOT(AND(ISNUMBER(I862),ISNUMBER(Registro!$H862))),"",IF(I862&lt;Registro!$H862,"FALTA BOLETOS",IF(I862=Registro!$H862,"CONFORME","DIFERENCIA"))))</f>
        <v/>
      </c>
      <c r="K862" s="11" t="str">
        <f>IF(Registro!$I862="","",IFERROR(SUMPRODUCT(--("0"&amp;TRIM(RIGHT(SUBSTITUTE(TRIM(MID(SUBSTITUTE(SUBSTITUTE(Registro!$I862,";",CHAR(10)),CHAR(10),REPT(" ",LEN(Registro!$I862))),({1,2,3,4,5,6,7,8,9,10,11,12,13,14,15,16,17,18,19,20,21,22,23,24,25,26,27,28,29,30}-1)*LEN(Registro!$I862)+1,LEN(Registro!$I862)))," ",REPT(" ",50)),50)))),"Revisar formato"))</f>
        <v/>
      </c>
      <c r="L862" s="11" t="str">
        <f>IF(Registro!$J862="","",IFERROR(SUMPRODUCT(--("0"&amp;TRIM(RIGHT(SUBSTITUTE(TRIM(MID(SUBSTITUTE(SUBSTITUTE(Registro!$J862,";",CHAR(10)),CHAR(10),REPT(" ",LEN(Registro!$J862))),({1,2,3,4,5,6,7,8,9,10,11,12,13,14,15,16,17,18,19,20,21,22,23,24,25,26,27,28,29,30}-1)*LEN(Registro!$J862)+1,LEN(Registro!$J862)))," ",REPT(" ",50)),50)))),"Revisar formato"))</f>
        <v/>
      </c>
      <c r="M862" s="11" t="str">
        <f>IF(AND(Registro!$H862="",Registro!$I862=""),"",IF(AND(ISTEXT(K862),K862&lt;&gt;""),"Revisar formato",N(Registro!$H862)-N(K862)))</f>
        <v/>
      </c>
      <c r="N862" s="11" t="str">
        <f t="shared" si="41"/>
        <v/>
      </c>
      <c r="O862" s="15" t="str">
        <f>IF(AND(A862=Consulta!$B$3,C862=Consulta!$H$3),B862*10000+ROW(),"")</f>
        <v/>
      </c>
    </row>
    <row r="863" spans="1:15" x14ac:dyDescent="0.25">
      <c r="A863" s="9" t="str">
        <f>IF(Registro!$A863="","",Registro!$A863)</f>
        <v/>
      </c>
      <c r="B863" s="8" t="str">
        <f>IF(Registro!$B863="","",Registro!$B863)</f>
        <v/>
      </c>
      <c r="C863" s="14" t="str">
        <f t="shared" si="39"/>
        <v/>
      </c>
      <c r="D863" s="10" t="str">
        <f>IF(Registro!$E863="","",IF(ISERROR(FIND("x",LOWER(Registro!$E863))),"-",IFERROR(SUMPRODUCT(--("0"&amp;LEFT(TRIM(MID(SUBSTITUTE(SUBSTITUTE(SUBSTITUTE(SUBSTITUTE(SUBSTITUTE(LOWER(Registro!$E863),"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",LEN(Registro!$E863))),({1,2,3,4,5,6,7,8,9,10,11,12,13,14,15,16,17,18,19,20,21,22,23,24,25,26,27,28,29,30}-1)*LEN(Registro!$E863)+1,LEN(Registro!$E863)))&amp;"x")-1))),"Revisar formato")))</f>
        <v/>
      </c>
      <c r="E863" s="11" t="str">
        <f>IF(Registro!$E863="","",IF(ISERROR(FIND("x",LOWER(Registro!$E863))),"-",IFERROR(SUMPRODUCT(--("0"&amp;LEFT(TRIM(MID(SUBSTITUTE(SUBSTITUTE(SUBSTITUTE(SUBSTITUTE(SUBSTITUTE(LOWER(Registro!$E863),"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",LEN(Registro!$E863))),({1,2,3,4,5,6,7,8,9,10,11,12,13,14,15,16,17,18,19,20,21,22,23,24,25,26,27,28,29,30}-1)*LEN(Registro!$E863)+1,LEN(Registro!$E863)))&amp;"x")-1)),--("0"&amp;MID(TRIM(MID(SUBSTITUTE(SUBSTITUTE(SUBSTITUTE(SUBSTITUTE(SUBSTITUTE(LOWER(Registro!$E863),"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",LEN(Registro!$E863))),({1,2,3,4,5,6,7,8,9,10,11,12,13,14,15,16,17,18,19,20,21,22,23,24,25,26,27,28,29,30}-1)*LEN(Registro!$E863)+1,LEN(Registro!$E863)))&amp;"x")+1,20))),"Revisar formato")))</f>
        <v/>
      </c>
      <c r="F863" s="11" t="str">
        <f>IF(Registro!$F863="","",N(Registro!$F863))</f>
        <v/>
      </c>
      <c r="G863" s="11" t="str">
        <f t="shared" si="40"/>
        <v/>
      </c>
      <c r="H863" s="10" t="str">
        <f>IF(Registro!$G863="","",IF(ISERROR(FIND("x",LOWER(Registro!$G863))),"-",IFERROR(SUMPRODUCT(--("0"&amp;LEFT(TRIM(MID(SUBSTITUTE(SUBSTITUTE(SUBSTITUTE(SUBSTITUTE(SUBSTITUTE(LOWER(Registro!$G863),"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",LEN(Registro!$G863))),({1,2,3,4,5,6,7,8,9,10,11,12,13,14,15,16,17,18,19,20,21,22,23,24,25,26,27,28,29,30}-1)*LEN(Registro!$G863)+1,LEN(Registro!$G863))),FIND("x",TRIM(MID(SUBSTITUTE(SUBSTITUTE(SUBSTITUTE(SUBSTITUTE(SUBSTITUTE(LOWER(Registro!$G863),"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",LEN(Registro!$G863))),({1,2,3,4,5,6,7,8,9,10,11,12,13,14,15,16,17,18,19,20,21,22,23,24,25,26,27,28,29,30}-1)*LEN(Registro!$G863)+1,LEN(Registro!$G863)))&amp;"x")-1))),"Revisar formato")))</f>
        <v/>
      </c>
      <c r="I863" s="11" t="str">
        <f>IF(Registro!$G863="","",IF(ISERROR(FIND("x",LOWER(Registro!$G863))),N(Registro!$H863),IFERROR(SUMPRODUCT(--("0"&amp;LEFT(TRIM(MID(SUBSTITUTE(SUBSTITUTE(SUBSTITUTE(SUBSTITUTE(SUBSTITUTE(LOWER(Registro!$G863),"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",LEN(Registro!$G863))),({1,2,3,4,5,6,7,8,9,10,11,12,13,14,15,16,17,18,19,20,21,22,23,24,25,26,27,28,29,30}-1)*LEN(Registro!$G863)+1,LEN(Registro!$G863))),FIND("x",TRIM(MID(SUBSTITUTE(SUBSTITUTE(SUBSTITUTE(SUBSTITUTE(SUBSTITUTE(LOWER(Registro!$G863),"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",LEN(Registro!$G863))),({1,2,3,4,5,6,7,8,9,10,11,12,13,14,15,16,17,18,19,20,21,22,23,24,25,26,27,28,29,30}-1)*LEN(Registro!$G863)+1,LEN(Registro!$G863)))&amp;"x")-1)),--("0"&amp;MID(TRIM(MID(SUBSTITUTE(SUBSTITUTE(SUBSTITUTE(SUBSTITUTE(SUBSTITUTE(LOWER(Registro!$G863),"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",LEN(Registro!$G863))),({1,2,3,4,5,6,7,8,9,10,11,12,13,14,15,16,17,18,19,20,21,22,23,24,25,26,27,28,29,30}-1)*LEN(Registro!$G863)+1,LEN(Registro!$G863))),FIND("x",TRIM(MID(SUBSTITUTE(SUBSTITUTE(SUBSTITUTE(SUBSTITUTE(SUBSTITUTE(LOWER(Registro!$G863),"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",LEN(Registro!$G863))),({1,2,3,4,5,6,7,8,9,10,11,12,13,14,15,16,17,18,19,20,21,22,23,24,25,26,27,28,29,30}-1)*LEN(Registro!$G863)+1,LEN(Registro!$G863)))&amp;"x")+1,20))),"Revisar formato")))</f>
        <v/>
      </c>
      <c r="J863" s="9" t="str">
        <f>IF(AND(Registro!$E863="",Registro!$G863=""),"",IF(NOT(AND(ISNUMBER(I863),ISNUMBER(Registro!$H863))),"",IF(I863&lt;Registro!$H863,"FALTA BOLETOS",IF(I863=Registro!$H863,"CONFORME","DIFERENCIA"))))</f>
        <v/>
      </c>
      <c r="K863" s="11" t="str">
        <f>IF(Registro!$I863="","",IFERROR(SUMPRODUCT(--("0"&amp;TRIM(RIGHT(SUBSTITUTE(TRIM(MID(SUBSTITUTE(SUBSTITUTE(Registro!$I863,";",CHAR(10)),CHAR(10),REPT(" ",LEN(Registro!$I863))),({1,2,3,4,5,6,7,8,9,10,11,12,13,14,15,16,17,18,19,20,21,22,23,24,25,26,27,28,29,30}-1)*LEN(Registro!$I863)+1,LEN(Registro!$I863)))," ",REPT(" ",50)),50)))),"Revisar formato"))</f>
        <v/>
      </c>
      <c r="L863" s="11" t="str">
        <f>IF(Registro!$J863="","",IFERROR(SUMPRODUCT(--("0"&amp;TRIM(RIGHT(SUBSTITUTE(TRIM(MID(SUBSTITUTE(SUBSTITUTE(Registro!$J863,";",CHAR(10)),CHAR(10),REPT(" ",LEN(Registro!$J863))),({1,2,3,4,5,6,7,8,9,10,11,12,13,14,15,16,17,18,19,20,21,22,23,24,25,26,27,28,29,30}-1)*LEN(Registro!$J863)+1,LEN(Registro!$J863)))," ",REPT(" ",50)),50)))),"Revisar formato"))</f>
        <v/>
      </c>
      <c r="M863" s="11" t="str">
        <f>IF(AND(Registro!$H863="",Registro!$I863=""),"",IF(AND(ISTEXT(K863),K863&lt;&gt;""),"Revisar formato",N(Registro!$H863)-N(K863)))</f>
        <v/>
      </c>
      <c r="N863" s="11" t="str">
        <f t="shared" si="41"/>
        <v/>
      </c>
      <c r="O863" s="15" t="str">
        <f>IF(AND(A863=Consulta!$B$3,C863=Consulta!$H$3),B863*10000+ROW(),"")</f>
        <v/>
      </c>
    </row>
    <row r="864" spans="1:15" x14ac:dyDescent="0.25">
      <c r="A864" s="9" t="str">
        <f>IF(Registro!$A864="","",Registro!$A864)</f>
        <v/>
      </c>
      <c r="B864" s="8" t="str">
        <f>IF(Registro!$B864="","",Registro!$B864)</f>
        <v/>
      </c>
      <c r="C864" s="14" t="str">
        <f t="shared" si="39"/>
        <v/>
      </c>
      <c r="D864" s="10" t="str">
        <f>IF(Registro!$E864="","",IF(ISERROR(FIND("x",LOWER(Registro!$E864))),"-",IFERROR(SUMPRODUCT(--("0"&amp;LEFT(TRIM(MID(SUBSTITUTE(SUBSTITUTE(SUBSTITUTE(SUBSTITUTE(SUBSTITUTE(LOWER(Registro!$E864),"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",LEN(Registro!$E864))),({1,2,3,4,5,6,7,8,9,10,11,12,13,14,15,16,17,18,19,20,21,22,23,24,25,26,27,28,29,30}-1)*LEN(Registro!$E864)+1,LEN(Registro!$E864)))&amp;"x")-1))),"Revisar formato")))</f>
        <v/>
      </c>
      <c r="E864" s="11" t="str">
        <f>IF(Registro!$E864="","",IF(ISERROR(FIND("x",LOWER(Registro!$E864))),"-",IFERROR(SUMPRODUCT(--("0"&amp;LEFT(TRIM(MID(SUBSTITUTE(SUBSTITUTE(SUBSTITUTE(SUBSTITUTE(SUBSTITUTE(LOWER(Registro!$E864),"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",LEN(Registro!$E864))),({1,2,3,4,5,6,7,8,9,10,11,12,13,14,15,16,17,18,19,20,21,22,23,24,25,26,27,28,29,30}-1)*LEN(Registro!$E864)+1,LEN(Registro!$E864)))&amp;"x")-1)),--("0"&amp;MID(TRIM(MID(SUBSTITUTE(SUBSTITUTE(SUBSTITUTE(SUBSTITUTE(SUBSTITUTE(LOWER(Registro!$E864),"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",LEN(Registro!$E864))),({1,2,3,4,5,6,7,8,9,10,11,12,13,14,15,16,17,18,19,20,21,22,23,24,25,26,27,28,29,30}-1)*LEN(Registro!$E864)+1,LEN(Registro!$E864)))&amp;"x")+1,20))),"Revisar formato")))</f>
        <v/>
      </c>
      <c r="F864" s="11" t="str">
        <f>IF(Registro!$F864="","",N(Registro!$F864))</f>
        <v/>
      </c>
      <c r="G864" s="11" t="str">
        <f t="shared" si="40"/>
        <v/>
      </c>
      <c r="H864" s="10" t="str">
        <f>IF(Registro!$G864="","",IF(ISERROR(FIND("x",LOWER(Registro!$G864))),"-",IFERROR(SUMPRODUCT(--("0"&amp;LEFT(TRIM(MID(SUBSTITUTE(SUBSTITUTE(SUBSTITUTE(SUBSTITUTE(SUBSTITUTE(LOWER(Registro!$G864),"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",LEN(Registro!$G864))),({1,2,3,4,5,6,7,8,9,10,11,12,13,14,15,16,17,18,19,20,21,22,23,24,25,26,27,28,29,30}-1)*LEN(Registro!$G864)+1,LEN(Registro!$G864))),FIND("x",TRIM(MID(SUBSTITUTE(SUBSTITUTE(SUBSTITUTE(SUBSTITUTE(SUBSTITUTE(LOWER(Registro!$G864),"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",LEN(Registro!$G864))),({1,2,3,4,5,6,7,8,9,10,11,12,13,14,15,16,17,18,19,20,21,22,23,24,25,26,27,28,29,30}-1)*LEN(Registro!$G864)+1,LEN(Registro!$G864)))&amp;"x")-1))),"Revisar formato")))</f>
        <v/>
      </c>
      <c r="I864" s="11" t="str">
        <f>IF(Registro!$G864="","",IF(ISERROR(FIND("x",LOWER(Registro!$G864))),N(Registro!$H864),IFERROR(SUMPRODUCT(--("0"&amp;LEFT(TRIM(MID(SUBSTITUTE(SUBSTITUTE(SUBSTITUTE(SUBSTITUTE(SUBSTITUTE(LOWER(Registro!$G864),"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",LEN(Registro!$G864))),({1,2,3,4,5,6,7,8,9,10,11,12,13,14,15,16,17,18,19,20,21,22,23,24,25,26,27,28,29,30}-1)*LEN(Registro!$G864)+1,LEN(Registro!$G864))),FIND("x",TRIM(MID(SUBSTITUTE(SUBSTITUTE(SUBSTITUTE(SUBSTITUTE(SUBSTITUTE(LOWER(Registro!$G864),"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",LEN(Registro!$G864))),({1,2,3,4,5,6,7,8,9,10,11,12,13,14,15,16,17,18,19,20,21,22,23,24,25,26,27,28,29,30}-1)*LEN(Registro!$G864)+1,LEN(Registro!$G864)))&amp;"x")-1)),--("0"&amp;MID(TRIM(MID(SUBSTITUTE(SUBSTITUTE(SUBSTITUTE(SUBSTITUTE(SUBSTITUTE(LOWER(Registro!$G864),"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",LEN(Registro!$G864))),({1,2,3,4,5,6,7,8,9,10,11,12,13,14,15,16,17,18,19,20,21,22,23,24,25,26,27,28,29,30}-1)*LEN(Registro!$G864)+1,LEN(Registro!$G864))),FIND("x",TRIM(MID(SUBSTITUTE(SUBSTITUTE(SUBSTITUTE(SUBSTITUTE(SUBSTITUTE(LOWER(Registro!$G864),"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",LEN(Registro!$G864))),({1,2,3,4,5,6,7,8,9,10,11,12,13,14,15,16,17,18,19,20,21,22,23,24,25,26,27,28,29,30}-1)*LEN(Registro!$G864)+1,LEN(Registro!$G864)))&amp;"x")+1,20))),"Revisar formato")))</f>
        <v/>
      </c>
      <c r="J864" s="9" t="str">
        <f>IF(AND(Registro!$E864="",Registro!$G864=""),"",IF(NOT(AND(ISNUMBER(I864),ISNUMBER(Registro!$H864))),"",IF(I864&lt;Registro!$H864,"FALTA BOLETOS",IF(I864=Registro!$H864,"CONFORME","DIFERENCIA"))))</f>
        <v/>
      </c>
      <c r="K864" s="11" t="str">
        <f>IF(Registro!$I864="","",IFERROR(SUMPRODUCT(--("0"&amp;TRIM(RIGHT(SUBSTITUTE(TRIM(MID(SUBSTITUTE(SUBSTITUTE(Registro!$I864,";",CHAR(10)),CHAR(10),REPT(" ",LEN(Registro!$I864))),({1,2,3,4,5,6,7,8,9,10,11,12,13,14,15,16,17,18,19,20,21,22,23,24,25,26,27,28,29,30}-1)*LEN(Registro!$I864)+1,LEN(Registro!$I864)))," ",REPT(" ",50)),50)))),"Revisar formato"))</f>
        <v/>
      </c>
      <c r="L864" s="11" t="str">
        <f>IF(Registro!$J864="","",IFERROR(SUMPRODUCT(--("0"&amp;TRIM(RIGHT(SUBSTITUTE(TRIM(MID(SUBSTITUTE(SUBSTITUTE(Registro!$J864,";",CHAR(10)),CHAR(10),REPT(" ",LEN(Registro!$J864))),({1,2,3,4,5,6,7,8,9,10,11,12,13,14,15,16,17,18,19,20,21,22,23,24,25,26,27,28,29,30}-1)*LEN(Registro!$J864)+1,LEN(Registro!$J864)))," ",REPT(" ",50)),50)))),"Revisar formato"))</f>
        <v/>
      </c>
      <c r="M864" s="11" t="str">
        <f>IF(AND(Registro!$H864="",Registro!$I864=""),"",IF(AND(ISTEXT(K864),K864&lt;&gt;""),"Revisar formato",N(Registro!$H864)-N(K864)))</f>
        <v/>
      </c>
      <c r="N864" s="11" t="str">
        <f t="shared" si="41"/>
        <v/>
      </c>
      <c r="O864" s="15" t="str">
        <f>IF(AND(A864=Consulta!$B$3,C864=Consulta!$H$3),B864*10000+ROW(),"")</f>
        <v/>
      </c>
    </row>
    <row r="865" spans="1:15" x14ac:dyDescent="0.25">
      <c r="A865" s="9" t="str">
        <f>IF(Registro!$A865="","",Registro!$A865)</f>
        <v/>
      </c>
      <c r="B865" s="8" t="str">
        <f>IF(Registro!$B865="","",Registro!$B865)</f>
        <v/>
      </c>
      <c r="C865" s="14" t="str">
        <f t="shared" si="39"/>
        <v/>
      </c>
      <c r="D865" s="10" t="str">
        <f>IF(Registro!$E865="","",IF(ISERROR(FIND("x",LOWER(Registro!$E865))),"-",IFERROR(SUMPRODUCT(--("0"&amp;LEFT(TRIM(MID(SUBSTITUTE(SUBSTITUTE(SUBSTITUTE(SUBSTITUTE(SUBSTITUTE(LOWER(Registro!$E865),"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",LEN(Registro!$E865))),({1,2,3,4,5,6,7,8,9,10,11,12,13,14,15,16,17,18,19,20,21,22,23,24,25,26,27,28,29,30}-1)*LEN(Registro!$E865)+1,LEN(Registro!$E865)))&amp;"x")-1))),"Revisar formato")))</f>
        <v/>
      </c>
      <c r="E865" s="11" t="str">
        <f>IF(Registro!$E865="","",IF(ISERROR(FIND("x",LOWER(Registro!$E865))),"-",IFERROR(SUMPRODUCT(--("0"&amp;LEFT(TRIM(MID(SUBSTITUTE(SUBSTITUTE(SUBSTITUTE(SUBSTITUTE(SUBSTITUTE(LOWER(Registro!$E865),"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",LEN(Registro!$E865))),({1,2,3,4,5,6,7,8,9,10,11,12,13,14,15,16,17,18,19,20,21,22,23,24,25,26,27,28,29,30}-1)*LEN(Registro!$E865)+1,LEN(Registro!$E865)))&amp;"x")-1)),--("0"&amp;MID(TRIM(MID(SUBSTITUTE(SUBSTITUTE(SUBSTITUTE(SUBSTITUTE(SUBSTITUTE(LOWER(Registro!$E865),"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",LEN(Registro!$E865))),({1,2,3,4,5,6,7,8,9,10,11,12,13,14,15,16,17,18,19,20,21,22,23,24,25,26,27,28,29,30}-1)*LEN(Registro!$E865)+1,LEN(Registro!$E865)))&amp;"x")+1,20))),"Revisar formato")))</f>
        <v/>
      </c>
      <c r="F865" s="11" t="str">
        <f>IF(Registro!$F865="","",N(Registro!$F865))</f>
        <v/>
      </c>
      <c r="G865" s="11" t="str">
        <f t="shared" si="40"/>
        <v/>
      </c>
      <c r="H865" s="10" t="str">
        <f>IF(Registro!$G865="","",IF(ISERROR(FIND("x",LOWER(Registro!$G865))),"-",IFERROR(SUMPRODUCT(--("0"&amp;LEFT(TRIM(MID(SUBSTITUTE(SUBSTITUTE(SUBSTITUTE(SUBSTITUTE(SUBSTITUTE(LOWER(Registro!$G865),"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",LEN(Registro!$G865))),({1,2,3,4,5,6,7,8,9,10,11,12,13,14,15,16,17,18,19,20,21,22,23,24,25,26,27,28,29,30}-1)*LEN(Registro!$G865)+1,LEN(Registro!$G865))),FIND("x",TRIM(MID(SUBSTITUTE(SUBSTITUTE(SUBSTITUTE(SUBSTITUTE(SUBSTITUTE(LOWER(Registro!$G865),"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",LEN(Registro!$G865))),({1,2,3,4,5,6,7,8,9,10,11,12,13,14,15,16,17,18,19,20,21,22,23,24,25,26,27,28,29,30}-1)*LEN(Registro!$G865)+1,LEN(Registro!$G865)))&amp;"x")-1))),"Revisar formato")))</f>
        <v/>
      </c>
      <c r="I865" s="11" t="str">
        <f>IF(Registro!$G865="","",IF(ISERROR(FIND("x",LOWER(Registro!$G865))),N(Registro!$H865),IFERROR(SUMPRODUCT(--("0"&amp;LEFT(TRIM(MID(SUBSTITUTE(SUBSTITUTE(SUBSTITUTE(SUBSTITUTE(SUBSTITUTE(LOWER(Registro!$G865),"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",LEN(Registro!$G865))),({1,2,3,4,5,6,7,8,9,10,11,12,13,14,15,16,17,18,19,20,21,22,23,24,25,26,27,28,29,30}-1)*LEN(Registro!$G865)+1,LEN(Registro!$G865))),FIND("x",TRIM(MID(SUBSTITUTE(SUBSTITUTE(SUBSTITUTE(SUBSTITUTE(SUBSTITUTE(LOWER(Registro!$G865),"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",LEN(Registro!$G865))),({1,2,3,4,5,6,7,8,9,10,11,12,13,14,15,16,17,18,19,20,21,22,23,24,25,26,27,28,29,30}-1)*LEN(Registro!$G865)+1,LEN(Registro!$G865)))&amp;"x")-1)),--("0"&amp;MID(TRIM(MID(SUBSTITUTE(SUBSTITUTE(SUBSTITUTE(SUBSTITUTE(SUBSTITUTE(LOWER(Registro!$G865),"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",LEN(Registro!$G865))),({1,2,3,4,5,6,7,8,9,10,11,12,13,14,15,16,17,18,19,20,21,22,23,24,25,26,27,28,29,30}-1)*LEN(Registro!$G865)+1,LEN(Registro!$G865))),FIND("x",TRIM(MID(SUBSTITUTE(SUBSTITUTE(SUBSTITUTE(SUBSTITUTE(SUBSTITUTE(LOWER(Registro!$G865),"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",LEN(Registro!$G865))),({1,2,3,4,5,6,7,8,9,10,11,12,13,14,15,16,17,18,19,20,21,22,23,24,25,26,27,28,29,30}-1)*LEN(Registro!$G865)+1,LEN(Registro!$G865)))&amp;"x")+1,20))),"Revisar formato")))</f>
        <v/>
      </c>
      <c r="J865" s="9" t="str">
        <f>IF(AND(Registro!$E865="",Registro!$G865=""),"",IF(NOT(AND(ISNUMBER(I865),ISNUMBER(Registro!$H865))),"",IF(I865&lt;Registro!$H865,"FALTA BOLETOS",IF(I865=Registro!$H865,"CONFORME","DIFERENCIA"))))</f>
        <v/>
      </c>
      <c r="K865" s="11" t="str">
        <f>IF(Registro!$I865="","",IFERROR(SUMPRODUCT(--("0"&amp;TRIM(RIGHT(SUBSTITUTE(TRIM(MID(SUBSTITUTE(SUBSTITUTE(Registro!$I865,";",CHAR(10)),CHAR(10),REPT(" ",LEN(Registro!$I865))),({1,2,3,4,5,6,7,8,9,10,11,12,13,14,15,16,17,18,19,20,21,22,23,24,25,26,27,28,29,30}-1)*LEN(Registro!$I865)+1,LEN(Registro!$I865)))," ",REPT(" ",50)),50)))),"Revisar formato"))</f>
        <v/>
      </c>
      <c r="L865" s="11" t="str">
        <f>IF(Registro!$J865="","",IFERROR(SUMPRODUCT(--("0"&amp;TRIM(RIGHT(SUBSTITUTE(TRIM(MID(SUBSTITUTE(SUBSTITUTE(Registro!$J865,";",CHAR(10)),CHAR(10),REPT(" ",LEN(Registro!$J865))),({1,2,3,4,5,6,7,8,9,10,11,12,13,14,15,16,17,18,19,20,21,22,23,24,25,26,27,28,29,30}-1)*LEN(Registro!$J865)+1,LEN(Registro!$J865)))," ",REPT(" ",50)),50)))),"Revisar formato"))</f>
        <v/>
      </c>
      <c r="M865" s="11" t="str">
        <f>IF(AND(Registro!$H865="",Registro!$I865=""),"",IF(AND(ISTEXT(K865),K865&lt;&gt;""),"Revisar formato",N(Registro!$H865)-N(K865)))</f>
        <v/>
      </c>
      <c r="N865" s="11" t="str">
        <f t="shared" si="41"/>
        <v/>
      </c>
      <c r="O865" s="15" t="str">
        <f>IF(AND(A865=Consulta!$B$3,C865=Consulta!$H$3),B865*10000+ROW(),"")</f>
        <v/>
      </c>
    </row>
    <row r="866" spans="1:15" x14ac:dyDescent="0.25">
      <c r="A866" s="9" t="str">
        <f>IF(Registro!$A866="","",Registro!$A866)</f>
        <v/>
      </c>
      <c r="B866" s="8" t="str">
        <f>IF(Registro!$B866="","",Registro!$B866)</f>
        <v/>
      </c>
      <c r="C866" s="14" t="str">
        <f t="shared" si="39"/>
        <v/>
      </c>
      <c r="D866" s="10" t="str">
        <f>IF(Registro!$E866="","",IF(ISERROR(FIND("x",LOWER(Registro!$E866))),"-",IFERROR(SUMPRODUCT(--("0"&amp;LEFT(TRIM(MID(SUBSTITUTE(SUBSTITUTE(SUBSTITUTE(SUBSTITUTE(SUBSTITUTE(LOWER(Registro!$E866),"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",LEN(Registro!$E866))),({1,2,3,4,5,6,7,8,9,10,11,12,13,14,15,16,17,18,19,20,21,22,23,24,25,26,27,28,29,30}-1)*LEN(Registro!$E866)+1,LEN(Registro!$E866)))&amp;"x")-1))),"Revisar formato")))</f>
        <v/>
      </c>
      <c r="E866" s="11" t="str">
        <f>IF(Registro!$E866="","",IF(ISERROR(FIND("x",LOWER(Registro!$E866))),"-",IFERROR(SUMPRODUCT(--("0"&amp;LEFT(TRIM(MID(SUBSTITUTE(SUBSTITUTE(SUBSTITUTE(SUBSTITUTE(SUBSTITUTE(LOWER(Registro!$E866),"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",LEN(Registro!$E866))),({1,2,3,4,5,6,7,8,9,10,11,12,13,14,15,16,17,18,19,20,21,22,23,24,25,26,27,28,29,30}-1)*LEN(Registro!$E866)+1,LEN(Registro!$E866)))&amp;"x")-1)),--("0"&amp;MID(TRIM(MID(SUBSTITUTE(SUBSTITUTE(SUBSTITUTE(SUBSTITUTE(SUBSTITUTE(LOWER(Registro!$E866),"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",LEN(Registro!$E866))),({1,2,3,4,5,6,7,8,9,10,11,12,13,14,15,16,17,18,19,20,21,22,23,24,25,26,27,28,29,30}-1)*LEN(Registro!$E866)+1,LEN(Registro!$E866)))&amp;"x")+1,20))),"Revisar formato")))</f>
        <v/>
      </c>
      <c r="F866" s="11" t="str">
        <f>IF(Registro!$F866="","",N(Registro!$F866))</f>
        <v/>
      </c>
      <c r="G866" s="11" t="str">
        <f t="shared" si="40"/>
        <v/>
      </c>
      <c r="H866" s="10" t="str">
        <f>IF(Registro!$G866="","",IF(ISERROR(FIND("x",LOWER(Registro!$G866))),"-",IFERROR(SUMPRODUCT(--("0"&amp;LEFT(TRIM(MID(SUBSTITUTE(SUBSTITUTE(SUBSTITUTE(SUBSTITUTE(SUBSTITUTE(LOWER(Registro!$G866),"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",LEN(Registro!$G866))),({1,2,3,4,5,6,7,8,9,10,11,12,13,14,15,16,17,18,19,20,21,22,23,24,25,26,27,28,29,30}-1)*LEN(Registro!$G866)+1,LEN(Registro!$G866))),FIND("x",TRIM(MID(SUBSTITUTE(SUBSTITUTE(SUBSTITUTE(SUBSTITUTE(SUBSTITUTE(LOWER(Registro!$G866),"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",LEN(Registro!$G866))),({1,2,3,4,5,6,7,8,9,10,11,12,13,14,15,16,17,18,19,20,21,22,23,24,25,26,27,28,29,30}-1)*LEN(Registro!$G866)+1,LEN(Registro!$G866)))&amp;"x")-1))),"Revisar formato")))</f>
        <v/>
      </c>
      <c r="I866" s="11" t="str">
        <f>IF(Registro!$G866="","",IF(ISERROR(FIND("x",LOWER(Registro!$G866))),N(Registro!$H866),IFERROR(SUMPRODUCT(--("0"&amp;LEFT(TRIM(MID(SUBSTITUTE(SUBSTITUTE(SUBSTITUTE(SUBSTITUTE(SUBSTITUTE(LOWER(Registro!$G866),"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",LEN(Registro!$G866))),({1,2,3,4,5,6,7,8,9,10,11,12,13,14,15,16,17,18,19,20,21,22,23,24,25,26,27,28,29,30}-1)*LEN(Registro!$G866)+1,LEN(Registro!$G866))),FIND("x",TRIM(MID(SUBSTITUTE(SUBSTITUTE(SUBSTITUTE(SUBSTITUTE(SUBSTITUTE(LOWER(Registro!$G866),"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",LEN(Registro!$G866))),({1,2,3,4,5,6,7,8,9,10,11,12,13,14,15,16,17,18,19,20,21,22,23,24,25,26,27,28,29,30}-1)*LEN(Registro!$G866)+1,LEN(Registro!$G866)))&amp;"x")-1)),--("0"&amp;MID(TRIM(MID(SUBSTITUTE(SUBSTITUTE(SUBSTITUTE(SUBSTITUTE(SUBSTITUTE(LOWER(Registro!$G866),"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",LEN(Registro!$G866))),({1,2,3,4,5,6,7,8,9,10,11,12,13,14,15,16,17,18,19,20,21,22,23,24,25,26,27,28,29,30}-1)*LEN(Registro!$G866)+1,LEN(Registro!$G866))),FIND("x",TRIM(MID(SUBSTITUTE(SUBSTITUTE(SUBSTITUTE(SUBSTITUTE(SUBSTITUTE(LOWER(Registro!$G866),"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",LEN(Registro!$G866))),({1,2,3,4,5,6,7,8,9,10,11,12,13,14,15,16,17,18,19,20,21,22,23,24,25,26,27,28,29,30}-1)*LEN(Registro!$G866)+1,LEN(Registro!$G866)))&amp;"x")+1,20))),"Revisar formato")))</f>
        <v/>
      </c>
      <c r="J866" s="9" t="str">
        <f>IF(AND(Registro!$E866="",Registro!$G866=""),"",IF(NOT(AND(ISNUMBER(I866),ISNUMBER(Registro!$H866))),"",IF(I866&lt;Registro!$H866,"FALTA BOLETOS",IF(I866=Registro!$H866,"CONFORME","DIFERENCIA"))))</f>
        <v/>
      </c>
      <c r="K866" s="11" t="str">
        <f>IF(Registro!$I866="","",IFERROR(SUMPRODUCT(--("0"&amp;TRIM(RIGHT(SUBSTITUTE(TRIM(MID(SUBSTITUTE(SUBSTITUTE(Registro!$I866,";",CHAR(10)),CHAR(10),REPT(" ",LEN(Registro!$I866))),({1,2,3,4,5,6,7,8,9,10,11,12,13,14,15,16,17,18,19,20,21,22,23,24,25,26,27,28,29,30}-1)*LEN(Registro!$I866)+1,LEN(Registro!$I866)))," ",REPT(" ",50)),50)))),"Revisar formato"))</f>
        <v/>
      </c>
      <c r="L866" s="11" t="str">
        <f>IF(Registro!$J866="","",IFERROR(SUMPRODUCT(--("0"&amp;TRIM(RIGHT(SUBSTITUTE(TRIM(MID(SUBSTITUTE(SUBSTITUTE(Registro!$J866,";",CHAR(10)),CHAR(10),REPT(" ",LEN(Registro!$J866))),({1,2,3,4,5,6,7,8,9,10,11,12,13,14,15,16,17,18,19,20,21,22,23,24,25,26,27,28,29,30}-1)*LEN(Registro!$J866)+1,LEN(Registro!$J866)))," ",REPT(" ",50)),50)))),"Revisar formato"))</f>
        <v/>
      </c>
      <c r="M866" s="11" t="str">
        <f>IF(AND(Registro!$H866="",Registro!$I866=""),"",IF(AND(ISTEXT(K866),K866&lt;&gt;""),"Revisar formato",N(Registro!$H866)-N(K866)))</f>
        <v/>
      </c>
      <c r="N866" s="11" t="str">
        <f t="shared" si="41"/>
        <v/>
      </c>
      <c r="O866" s="15" t="str">
        <f>IF(AND(A866=Consulta!$B$3,C866=Consulta!$H$3),B866*10000+ROW(),"")</f>
        <v/>
      </c>
    </row>
    <row r="867" spans="1:15" x14ac:dyDescent="0.25">
      <c r="A867" s="9" t="str">
        <f>IF(Registro!$A867="","",Registro!$A867)</f>
        <v/>
      </c>
      <c r="B867" s="8" t="str">
        <f>IF(Registro!$B867="","",Registro!$B867)</f>
        <v/>
      </c>
      <c r="C867" s="14" t="str">
        <f t="shared" si="39"/>
        <v/>
      </c>
      <c r="D867" s="10" t="str">
        <f>IF(Registro!$E867="","",IF(ISERROR(FIND("x",LOWER(Registro!$E867))),"-",IFERROR(SUMPRODUCT(--("0"&amp;LEFT(TRIM(MID(SUBSTITUTE(SUBSTITUTE(SUBSTITUTE(SUBSTITUTE(SUBSTITUTE(LOWER(Registro!$E867),"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",LEN(Registro!$E867))),({1,2,3,4,5,6,7,8,9,10,11,12,13,14,15,16,17,18,19,20,21,22,23,24,25,26,27,28,29,30}-1)*LEN(Registro!$E867)+1,LEN(Registro!$E867)))&amp;"x")-1))),"Revisar formato")))</f>
        <v/>
      </c>
      <c r="E867" s="11" t="str">
        <f>IF(Registro!$E867="","",IF(ISERROR(FIND("x",LOWER(Registro!$E867))),"-",IFERROR(SUMPRODUCT(--("0"&amp;LEFT(TRIM(MID(SUBSTITUTE(SUBSTITUTE(SUBSTITUTE(SUBSTITUTE(SUBSTITUTE(LOWER(Registro!$E867),"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",LEN(Registro!$E867))),({1,2,3,4,5,6,7,8,9,10,11,12,13,14,15,16,17,18,19,20,21,22,23,24,25,26,27,28,29,30}-1)*LEN(Registro!$E867)+1,LEN(Registro!$E867)))&amp;"x")-1)),--("0"&amp;MID(TRIM(MID(SUBSTITUTE(SUBSTITUTE(SUBSTITUTE(SUBSTITUTE(SUBSTITUTE(LOWER(Registro!$E867),"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",LEN(Registro!$E867))),({1,2,3,4,5,6,7,8,9,10,11,12,13,14,15,16,17,18,19,20,21,22,23,24,25,26,27,28,29,30}-1)*LEN(Registro!$E867)+1,LEN(Registro!$E867)))&amp;"x")+1,20))),"Revisar formato")))</f>
        <v/>
      </c>
      <c r="F867" s="11" t="str">
        <f>IF(Registro!$F867="","",N(Registro!$F867))</f>
        <v/>
      </c>
      <c r="G867" s="11" t="str">
        <f t="shared" si="40"/>
        <v/>
      </c>
      <c r="H867" s="10" t="str">
        <f>IF(Registro!$G867="","",IF(ISERROR(FIND("x",LOWER(Registro!$G867))),"-",IFERROR(SUMPRODUCT(--("0"&amp;LEFT(TRIM(MID(SUBSTITUTE(SUBSTITUTE(SUBSTITUTE(SUBSTITUTE(SUBSTITUTE(LOWER(Registro!$G867),"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",LEN(Registro!$G867))),({1,2,3,4,5,6,7,8,9,10,11,12,13,14,15,16,17,18,19,20,21,22,23,24,25,26,27,28,29,30}-1)*LEN(Registro!$G867)+1,LEN(Registro!$G867))),FIND("x",TRIM(MID(SUBSTITUTE(SUBSTITUTE(SUBSTITUTE(SUBSTITUTE(SUBSTITUTE(LOWER(Registro!$G867),"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",LEN(Registro!$G867))),({1,2,3,4,5,6,7,8,9,10,11,12,13,14,15,16,17,18,19,20,21,22,23,24,25,26,27,28,29,30}-1)*LEN(Registro!$G867)+1,LEN(Registro!$G867)))&amp;"x")-1))),"Revisar formato")))</f>
        <v/>
      </c>
      <c r="I867" s="11" t="str">
        <f>IF(Registro!$G867="","",IF(ISERROR(FIND("x",LOWER(Registro!$G867))),N(Registro!$H867),IFERROR(SUMPRODUCT(--("0"&amp;LEFT(TRIM(MID(SUBSTITUTE(SUBSTITUTE(SUBSTITUTE(SUBSTITUTE(SUBSTITUTE(LOWER(Registro!$G867),"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",LEN(Registro!$G867))),({1,2,3,4,5,6,7,8,9,10,11,12,13,14,15,16,17,18,19,20,21,22,23,24,25,26,27,28,29,30}-1)*LEN(Registro!$G867)+1,LEN(Registro!$G867))),FIND("x",TRIM(MID(SUBSTITUTE(SUBSTITUTE(SUBSTITUTE(SUBSTITUTE(SUBSTITUTE(LOWER(Registro!$G867),"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",LEN(Registro!$G867))),({1,2,3,4,5,6,7,8,9,10,11,12,13,14,15,16,17,18,19,20,21,22,23,24,25,26,27,28,29,30}-1)*LEN(Registro!$G867)+1,LEN(Registro!$G867)))&amp;"x")-1)),--("0"&amp;MID(TRIM(MID(SUBSTITUTE(SUBSTITUTE(SUBSTITUTE(SUBSTITUTE(SUBSTITUTE(LOWER(Registro!$G867),"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",LEN(Registro!$G867))),({1,2,3,4,5,6,7,8,9,10,11,12,13,14,15,16,17,18,19,20,21,22,23,24,25,26,27,28,29,30}-1)*LEN(Registro!$G867)+1,LEN(Registro!$G867))),FIND("x",TRIM(MID(SUBSTITUTE(SUBSTITUTE(SUBSTITUTE(SUBSTITUTE(SUBSTITUTE(LOWER(Registro!$G867),"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",LEN(Registro!$G867))),({1,2,3,4,5,6,7,8,9,10,11,12,13,14,15,16,17,18,19,20,21,22,23,24,25,26,27,28,29,30}-1)*LEN(Registro!$G867)+1,LEN(Registro!$G867)))&amp;"x")+1,20))),"Revisar formato")))</f>
        <v/>
      </c>
      <c r="J867" s="9" t="str">
        <f>IF(AND(Registro!$E867="",Registro!$G867=""),"",IF(NOT(AND(ISNUMBER(I867),ISNUMBER(Registro!$H867))),"",IF(I867&lt;Registro!$H867,"FALTA BOLETOS",IF(I867=Registro!$H867,"CONFORME","DIFERENCIA"))))</f>
        <v/>
      </c>
      <c r="K867" s="11" t="str">
        <f>IF(Registro!$I867="","",IFERROR(SUMPRODUCT(--("0"&amp;TRIM(RIGHT(SUBSTITUTE(TRIM(MID(SUBSTITUTE(SUBSTITUTE(Registro!$I867,";",CHAR(10)),CHAR(10),REPT(" ",LEN(Registro!$I867))),({1,2,3,4,5,6,7,8,9,10,11,12,13,14,15,16,17,18,19,20,21,22,23,24,25,26,27,28,29,30}-1)*LEN(Registro!$I867)+1,LEN(Registro!$I867)))," ",REPT(" ",50)),50)))),"Revisar formato"))</f>
        <v/>
      </c>
      <c r="L867" s="11" t="str">
        <f>IF(Registro!$J867="","",IFERROR(SUMPRODUCT(--("0"&amp;TRIM(RIGHT(SUBSTITUTE(TRIM(MID(SUBSTITUTE(SUBSTITUTE(Registro!$J867,";",CHAR(10)),CHAR(10),REPT(" ",LEN(Registro!$J867))),({1,2,3,4,5,6,7,8,9,10,11,12,13,14,15,16,17,18,19,20,21,22,23,24,25,26,27,28,29,30}-1)*LEN(Registro!$J867)+1,LEN(Registro!$J867)))," ",REPT(" ",50)),50)))),"Revisar formato"))</f>
        <v/>
      </c>
      <c r="M867" s="11" t="str">
        <f>IF(AND(Registro!$H867="",Registro!$I867=""),"",IF(AND(ISTEXT(K867),K867&lt;&gt;""),"Revisar formato",N(Registro!$H867)-N(K867)))</f>
        <v/>
      </c>
      <c r="N867" s="11" t="str">
        <f t="shared" si="41"/>
        <v/>
      </c>
      <c r="O867" s="15" t="str">
        <f>IF(AND(A867=Consulta!$B$3,C867=Consulta!$H$3),B867*10000+ROW(),"")</f>
        <v/>
      </c>
    </row>
    <row r="868" spans="1:15" x14ac:dyDescent="0.25">
      <c r="A868" s="9" t="str">
        <f>IF(Registro!$A868="","",Registro!$A868)</f>
        <v/>
      </c>
      <c r="B868" s="8" t="str">
        <f>IF(Registro!$B868="","",Registro!$B868)</f>
        <v/>
      </c>
      <c r="C868" s="14" t="str">
        <f t="shared" si="39"/>
        <v/>
      </c>
      <c r="D868" s="10" t="str">
        <f>IF(Registro!$E868="","",IF(ISERROR(FIND("x",LOWER(Registro!$E868))),"-",IFERROR(SUMPRODUCT(--("0"&amp;LEFT(TRIM(MID(SUBSTITUTE(SUBSTITUTE(SUBSTITUTE(SUBSTITUTE(SUBSTITUTE(LOWER(Registro!$E868),"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",LEN(Registro!$E868))),({1,2,3,4,5,6,7,8,9,10,11,12,13,14,15,16,17,18,19,20,21,22,23,24,25,26,27,28,29,30}-1)*LEN(Registro!$E868)+1,LEN(Registro!$E868)))&amp;"x")-1))),"Revisar formato")))</f>
        <v/>
      </c>
      <c r="E868" s="11" t="str">
        <f>IF(Registro!$E868="","",IF(ISERROR(FIND("x",LOWER(Registro!$E868))),"-",IFERROR(SUMPRODUCT(--("0"&amp;LEFT(TRIM(MID(SUBSTITUTE(SUBSTITUTE(SUBSTITUTE(SUBSTITUTE(SUBSTITUTE(LOWER(Registro!$E868),"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",LEN(Registro!$E868))),({1,2,3,4,5,6,7,8,9,10,11,12,13,14,15,16,17,18,19,20,21,22,23,24,25,26,27,28,29,30}-1)*LEN(Registro!$E868)+1,LEN(Registro!$E868)))&amp;"x")-1)),--("0"&amp;MID(TRIM(MID(SUBSTITUTE(SUBSTITUTE(SUBSTITUTE(SUBSTITUTE(SUBSTITUTE(LOWER(Registro!$E868),"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",LEN(Registro!$E868))),({1,2,3,4,5,6,7,8,9,10,11,12,13,14,15,16,17,18,19,20,21,22,23,24,25,26,27,28,29,30}-1)*LEN(Registro!$E868)+1,LEN(Registro!$E868)))&amp;"x")+1,20))),"Revisar formato")))</f>
        <v/>
      </c>
      <c r="F868" s="11" t="str">
        <f>IF(Registro!$F868="","",N(Registro!$F868))</f>
        <v/>
      </c>
      <c r="G868" s="11" t="str">
        <f t="shared" si="40"/>
        <v/>
      </c>
      <c r="H868" s="10" t="str">
        <f>IF(Registro!$G868="","",IF(ISERROR(FIND("x",LOWER(Registro!$G868))),"-",IFERROR(SUMPRODUCT(--("0"&amp;LEFT(TRIM(MID(SUBSTITUTE(SUBSTITUTE(SUBSTITUTE(SUBSTITUTE(SUBSTITUTE(LOWER(Registro!$G868),"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",LEN(Registro!$G868))),({1,2,3,4,5,6,7,8,9,10,11,12,13,14,15,16,17,18,19,20,21,22,23,24,25,26,27,28,29,30}-1)*LEN(Registro!$G868)+1,LEN(Registro!$G868))),FIND("x",TRIM(MID(SUBSTITUTE(SUBSTITUTE(SUBSTITUTE(SUBSTITUTE(SUBSTITUTE(LOWER(Registro!$G868),"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",LEN(Registro!$G868))),({1,2,3,4,5,6,7,8,9,10,11,12,13,14,15,16,17,18,19,20,21,22,23,24,25,26,27,28,29,30}-1)*LEN(Registro!$G868)+1,LEN(Registro!$G868)))&amp;"x")-1))),"Revisar formato")))</f>
        <v/>
      </c>
      <c r="I868" s="11" t="str">
        <f>IF(Registro!$G868="","",IF(ISERROR(FIND("x",LOWER(Registro!$G868))),N(Registro!$H868),IFERROR(SUMPRODUCT(--("0"&amp;LEFT(TRIM(MID(SUBSTITUTE(SUBSTITUTE(SUBSTITUTE(SUBSTITUTE(SUBSTITUTE(LOWER(Registro!$G868),"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",LEN(Registro!$G868))),({1,2,3,4,5,6,7,8,9,10,11,12,13,14,15,16,17,18,19,20,21,22,23,24,25,26,27,28,29,30}-1)*LEN(Registro!$G868)+1,LEN(Registro!$G868))),FIND("x",TRIM(MID(SUBSTITUTE(SUBSTITUTE(SUBSTITUTE(SUBSTITUTE(SUBSTITUTE(LOWER(Registro!$G868),"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",LEN(Registro!$G868))),({1,2,3,4,5,6,7,8,9,10,11,12,13,14,15,16,17,18,19,20,21,22,23,24,25,26,27,28,29,30}-1)*LEN(Registro!$G868)+1,LEN(Registro!$G868)))&amp;"x")-1)),--("0"&amp;MID(TRIM(MID(SUBSTITUTE(SUBSTITUTE(SUBSTITUTE(SUBSTITUTE(SUBSTITUTE(LOWER(Registro!$G868),"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",LEN(Registro!$G868))),({1,2,3,4,5,6,7,8,9,10,11,12,13,14,15,16,17,18,19,20,21,22,23,24,25,26,27,28,29,30}-1)*LEN(Registro!$G868)+1,LEN(Registro!$G868))),FIND("x",TRIM(MID(SUBSTITUTE(SUBSTITUTE(SUBSTITUTE(SUBSTITUTE(SUBSTITUTE(LOWER(Registro!$G868),"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",LEN(Registro!$G868))),({1,2,3,4,5,6,7,8,9,10,11,12,13,14,15,16,17,18,19,20,21,22,23,24,25,26,27,28,29,30}-1)*LEN(Registro!$G868)+1,LEN(Registro!$G868)))&amp;"x")+1,20))),"Revisar formato")))</f>
        <v/>
      </c>
      <c r="J868" s="9" t="str">
        <f>IF(AND(Registro!$E868="",Registro!$G868=""),"",IF(NOT(AND(ISNUMBER(I868),ISNUMBER(Registro!$H868))),"",IF(I868&lt;Registro!$H868,"FALTA BOLETOS",IF(I868=Registro!$H868,"CONFORME","DIFERENCIA"))))</f>
        <v/>
      </c>
      <c r="K868" s="11" t="str">
        <f>IF(Registro!$I868="","",IFERROR(SUMPRODUCT(--("0"&amp;TRIM(RIGHT(SUBSTITUTE(TRIM(MID(SUBSTITUTE(SUBSTITUTE(Registro!$I868,";",CHAR(10)),CHAR(10),REPT(" ",LEN(Registro!$I868))),({1,2,3,4,5,6,7,8,9,10,11,12,13,14,15,16,17,18,19,20,21,22,23,24,25,26,27,28,29,30}-1)*LEN(Registro!$I868)+1,LEN(Registro!$I868)))," ",REPT(" ",50)),50)))),"Revisar formato"))</f>
        <v/>
      </c>
      <c r="L868" s="11" t="str">
        <f>IF(Registro!$J868="","",IFERROR(SUMPRODUCT(--("0"&amp;TRIM(RIGHT(SUBSTITUTE(TRIM(MID(SUBSTITUTE(SUBSTITUTE(Registro!$J868,";",CHAR(10)),CHAR(10),REPT(" ",LEN(Registro!$J868))),({1,2,3,4,5,6,7,8,9,10,11,12,13,14,15,16,17,18,19,20,21,22,23,24,25,26,27,28,29,30}-1)*LEN(Registro!$J868)+1,LEN(Registro!$J868)))," ",REPT(" ",50)),50)))),"Revisar formato"))</f>
        <v/>
      </c>
      <c r="M868" s="11" t="str">
        <f>IF(AND(Registro!$H868="",Registro!$I868=""),"",IF(AND(ISTEXT(K868),K868&lt;&gt;""),"Revisar formato",N(Registro!$H868)-N(K868)))</f>
        <v/>
      </c>
      <c r="N868" s="11" t="str">
        <f t="shared" si="41"/>
        <v/>
      </c>
      <c r="O868" s="15" t="str">
        <f>IF(AND(A868=Consulta!$B$3,C868=Consulta!$H$3),B868*10000+ROW(),"")</f>
        <v/>
      </c>
    </row>
    <row r="869" spans="1:15" x14ac:dyDescent="0.25">
      <c r="A869" s="9" t="str">
        <f>IF(Registro!$A869="","",Registro!$A869)</f>
        <v/>
      </c>
      <c r="B869" s="8" t="str">
        <f>IF(Registro!$B869="","",Registro!$B869)</f>
        <v/>
      </c>
      <c r="C869" s="14" t="str">
        <f t="shared" si="39"/>
        <v/>
      </c>
      <c r="D869" s="10" t="str">
        <f>IF(Registro!$E869="","",IF(ISERROR(FIND("x",LOWER(Registro!$E869))),"-",IFERROR(SUMPRODUCT(--("0"&amp;LEFT(TRIM(MID(SUBSTITUTE(SUBSTITUTE(SUBSTITUTE(SUBSTITUTE(SUBSTITUTE(LOWER(Registro!$E869),"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",LEN(Registro!$E869))),({1,2,3,4,5,6,7,8,9,10,11,12,13,14,15,16,17,18,19,20,21,22,23,24,25,26,27,28,29,30}-1)*LEN(Registro!$E869)+1,LEN(Registro!$E869)))&amp;"x")-1))),"Revisar formato")))</f>
        <v/>
      </c>
      <c r="E869" s="11" t="str">
        <f>IF(Registro!$E869="","",IF(ISERROR(FIND("x",LOWER(Registro!$E869))),"-",IFERROR(SUMPRODUCT(--("0"&amp;LEFT(TRIM(MID(SUBSTITUTE(SUBSTITUTE(SUBSTITUTE(SUBSTITUTE(SUBSTITUTE(LOWER(Registro!$E869),"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",LEN(Registro!$E869))),({1,2,3,4,5,6,7,8,9,10,11,12,13,14,15,16,17,18,19,20,21,22,23,24,25,26,27,28,29,30}-1)*LEN(Registro!$E869)+1,LEN(Registro!$E869)))&amp;"x")-1)),--("0"&amp;MID(TRIM(MID(SUBSTITUTE(SUBSTITUTE(SUBSTITUTE(SUBSTITUTE(SUBSTITUTE(LOWER(Registro!$E869),"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",LEN(Registro!$E869))),({1,2,3,4,5,6,7,8,9,10,11,12,13,14,15,16,17,18,19,20,21,22,23,24,25,26,27,28,29,30}-1)*LEN(Registro!$E869)+1,LEN(Registro!$E869)))&amp;"x")+1,20))),"Revisar formato")))</f>
        <v/>
      </c>
      <c r="F869" s="11" t="str">
        <f>IF(Registro!$F869="","",N(Registro!$F869))</f>
        <v/>
      </c>
      <c r="G869" s="11" t="str">
        <f t="shared" si="40"/>
        <v/>
      </c>
      <c r="H869" s="10" t="str">
        <f>IF(Registro!$G869="","",IF(ISERROR(FIND("x",LOWER(Registro!$G869))),"-",IFERROR(SUMPRODUCT(--("0"&amp;LEFT(TRIM(MID(SUBSTITUTE(SUBSTITUTE(SUBSTITUTE(SUBSTITUTE(SUBSTITUTE(LOWER(Registro!$G869),"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",LEN(Registro!$G869))),({1,2,3,4,5,6,7,8,9,10,11,12,13,14,15,16,17,18,19,20,21,22,23,24,25,26,27,28,29,30}-1)*LEN(Registro!$G869)+1,LEN(Registro!$G869))),FIND("x",TRIM(MID(SUBSTITUTE(SUBSTITUTE(SUBSTITUTE(SUBSTITUTE(SUBSTITUTE(LOWER(Registro!$G869),"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",LEN(Registro!$G869))),({1,2,3,4,5,6,7,8,9,10,11,12,13,14,15,16,17,18,19,20,21,22,23,24,25,26,27,28,29,30}-1)*LEN(Registro!$G869)+1,LEN(Registro!$G869)))&amp;"x")-1))),"Revisar formato")))</f>
        <v/>
      </c>
      <c r="I869" s="11" t="str">
        <f>IF(Registro!$G869="","",IF(ISERROR(FIND("x",LOWER(Registro!$G869))),N(Registro!$H869),IFERROR(SUMPRODUCT(--("0"&amp;LEFT(TRIM(MID(SUBSTITUTE(SUBSTITUTE(SUBSTITUTE(SUBSTITUTE(SUBSTITUTE(LOWER(Registro!$G869),"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",LEN(Registro!$G869))),({1,2,3,4,5,6,7,8,9,10,11,12,13,14,15,16,17,18,19,20,21,22,23,24,25,26,27,28,29,30}-1)*LEN(Registro!$G869)+1,LEN(Registro!$G869))),FIND("x",TRIM(MID(SUBSTITUTE(SUBSTITUTE(SUBSTITUTE(SUBSTITUTE(SUBSTITUTE(LOWER(Registro!$G869),"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",LEN(Registro!$G869))),({1,2,3,4,5,6,7,8,9,10,11,12,13,14,15,16,17,18,19,20,21,22,23,24,25,26,27,28,29,30}-1)*LEN(Registro!$G869)+1,LEN(Registro!$G869)))&amp;"x")-1)),--("0"&amp;MID(TRIM(MID(SUBSTITUTE(SUBSTITUTE(SUBSTITUTE(SUBSTITUTE(SUBSTITUTE(LOWER(Registro!$G869),"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",LEN(Registro!$G869))),({1,2,3,4,5,6,7,8,9,10,11,12,13,14,15,16,17,18,19,20,21,22,23,24,25,26,27,28,29,30}-1)*LEN(Registro!$G869)+1,LEN(Registro!$G869))),FIND("x",TRIM(MID(SUBSTITUTE(SUBSTITUTE(SUBSTITUTE(SUBSTITUTE(SUBSTITUTE(LOWER(Registro!$G869),"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",LEN(Registro!$G869))),({1,2,3,4,5,6,7,8,9,10,11,12,13,14,15,16,17,18,19,20,21,22,23,24,25,26,27,28,29,30}-1)*LEN(Registro!$G869)+1,LEN(Registro!$G869)))&amp;"x")+1,20))),"Revisar formato")))</f>
        <v/>
      </c>
      <c r="J869" s="9" t="str">
        <f>IF(AND(Registro!$E869="",Registro!$G869=""),"",IF(NOT(AND(ISNUMBER(I869),ISNUMBER(Registro!$H869))),"",IF(I869&lt;Registro!$H869,"FALTA BOLETOS",IF(I869=Registro!$H869,"CONFORME","DIFERENCIA"))))</f>
        <v/>
      </c>
      <c r="K869" s="11" t="str">
        <f>IF(Registro!$I869="","",IFERROR(SUMPRODUCT(--("0"&amp;TRIM(RIGHT(SUBSTITUTE(TRIM(MID(SUBSTITUTE(SUBSTITUTE(Registro!$I869,";",CHAR(10)),CHAR(10),REPT(" ",LEN(Registro!$I869))),({1,2,3,4,5,6,7,8,9,10,11,12,13,14,15,16,17,18,19,20,21,22,23,24,25,26,27,28,29,30}-1)*LEN(Registro!$I869)+1,LEN(Registro!$I869)))," ",REPT(" ",50)),50)))),"Revisar formato"))</f>
        <v/>
      </c>
      <c r="L869" s="11" t="str">
        <f>IF(Registro!$J869="","",IFERROR(SUMPRODUCT(--("0"&amp;TRIM(RIGHT(SUBSTITUTE(TRIM(MID(SUBSTITUTE(SUBSTITUTE(Registro!$J869,";",CHAR(10)),CHAR(10),REPT(" ",LEN(Registro!$J869))),({1,2,3,4,5,6,7,8,9,10,11,12,13,14,15,16,17,18,19,20,21,22,23,24,25,26,27,28,29,30}-1)*LEN(Registro!$J869)+1,LEN(Registro!$J869)))," ",REPT(" ",50)),50)))),"Revisar formato"))</f>
        <v/>
      </c>
      <c r="M869" s="11" t="str">
        <f>IF(AND(Registro!$H869="",Registro!$I869=""),"",IF(AND(ISTEXT(K869),K869&lt;&gt;""),"Revisar formato",N(Registro!$H869)-N(K869)))</f>
        <v/>
      </c>
      <c r="N869" s="11" t="str">
        <f t="shared" si="41"/>
        <v/>
      </c>
      <c r="O869" s="15" t="str">
        <f>IF(AND(A869=Consulta!$B$3,C869=Consulta!$H$3),B869*10000+ROW(),"")</f>
        <v/>
      </c>
    </row>
    <row r="870" spans="1:15" x14ac:dyDescent="0.25">
      <c r="A870" s="9" t="str">
        <f>IF(Registro!$A870="","",Registro!$A870)</f>
        <v/>
      </c>
      <c r="B870" s="8" t="str">
        <f>IF(Registro!$B870="","",Registro!$B870)</f>
        <v/>
      </c>
      <c r="C870" s="14" t="str">
        <f t="shared" si="39"/>
        <v/>
      </c>
      <c r="D870" s="10" t="str">
        <f>IF(Registro!$E870="","",IF(ISERROR(FIND("x",LOWER(Registro!$E870))),"-",IFERROR(SUMPRODUCT(--("0"&amp;LEFT(TRIM(MID(SUBSTITUTE(SUBSTITUTE(SUBSTITUTE(SUBSTITUTE(SUBSTITUTE(LOWER(Registro!$E870),"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",LEN(Registro!$E870))),({1,2,3,4,5,6,7,8,9,10,11,12,13,14,15,16,17,18,19,20,21,22,23,24,25,26,27,28,29,30}-1)*LEN(Registro!$E870)+1,LEN(Registro!$E870)))&amp;"x")-1))),"Revisar formato")))</f>
        <v/>
      </c>
      <c r="E870" s="11" t="str">
        <f>IF(Registro!$E870="","",IF(ISERROR(FIND("x",LOWER(Registro!$E870))),"-",IFERROR(SUMPRODUCT(--("0"&amp;LEFT(TRIM(MID(SUBSTITUTE(SUBSTITUTE(SUBSTITUTE(SUBSTITUTE(SUBSTITUTE(LOWER(Registro!$E870),"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",LEN(Registro!$E870))),({1,2,3,4,5,6,7,8,9,10,11,12,13,14,15,16,17,18,19,20,21,22,23,24,25,26,27,28,29,30}-1)*LEN(Registro!$E870)+1,LEN(Registro!$E870)))&amp;"x")-1)),--("0"&amp;MID(TRIM(MID(SUBSTITUTE(SUBSTITUTE(SUBSTITUTE(SUBSTITUTE(SUBSTITUTE(LOWER(Registro!$E870),"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",LEN(Registro!$E870))),({1,2,3,4,5,6,7,8,9,10,11,12,13,14,15,16,17,18,19,20,21,22,23,24,25,26,27,28,29,30}-1)*LEN(Registro!$E870)+1,LEN(Registro!$E870)))&amp;"x")+1,20))),"Revisar formato")))</f>
        <v/>
      </c>
      <c r="F870" s="11" t="str">
        <f>IF(Registro!$F870="","",N(Registro!$F870))</f>
        <v/>
      </c>
      <c r="G870" s="11" t="str">
        <f t="shared" si="40"/>
        <v/>
      </c>
      <c r="H870" s="10" t="str">
        <f>IF(Registro!$G870="","",IF(ISERROR(FIND("x",LOWER(Registro!$G870))),"-",IFERROR(SUMPRODUCT(--("0"&amp;LEFT(TRIM(MID(SUBSTITUTE(SUBSTITUTE(SUBSTITUTE(SUBSTITUTE(SUBSTITUTE(LOWER(Registro!$G870),"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",LEN(Registro!$G870))),({1,2,3,4,5,6,7,8,9,10,11,12,13,14,15,16,17,18,19,20,21,22,23,24,25,26,27,28,29,30}-1)*LEN(Registro!$G870)+1,LEN(Registro!$G870))),FIND("x",TRIM(MID(SUBSTITUTE(SUBSTITUTE(SUBSTITUTE(SUBSTITUTE(SUBSTITUTE(LOWER(Registro!$G870),"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",LEN(Registro!$G870))),({1,2,3,4,5,6,7,8,9,10,11,12,13,14,15,16,17,18,19,20,21,22,23,24,25,26,27,28,29,30}-1)*LEN(Registro!$G870)+1,LEN(Registro!$G870)))&amp;"x")-1))),"Revisar formato")))</f>
        <v/>
      </c>
      <c r="I870" s="11" t="str">
        <f>IF(Registro!$G870="","",IF(ISERROR(FIND("x",LOWER(Registro!$G870))),N(Registro!$H870),IFERROR(SUMPRODUCT(--("0"&amp;LEFT(TRIM(MID(SUBSTITUTE(SUBSTITUTE(SUBSTITUTE(SUBSTITUTE(SUBSTITUTE(LOWER(Registro!$G870),"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",LEN(Registro!$G870))),({1,2,3,4,5,6,7,8,9,10,11,12,13,14,15,16,17,18,19,20,21,22,23,24,25,26,27,28,29,30}-1)*LEN(Registro!$G870)+1,LEN(Registro!$G870))),FIND("x",TRIM(MID(SUBSTITUTE(SUBSTITUTE(SUBSTITUTE(SUBSTITUTE(SUBSTITUTE(LOWER(Registro!$G870),"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",LEN(Registro!$G870))),({1,2,3,4,5,6,7,8,9,10,11,12,13,14,15,16,17,18,19,20,21,22,23,24,25,26,27,28,29,30}-1)*LEN(Registro!$G870)+1,LEN(Registro!$G870)))&amp;"x")-1)),--("0"&amp;MID(TRIM(MID(SUBSTITUTE(SUBSTITUTE(SUBSTITUTE(SUBSTITUTE(SUBSTITUTE(LOWER(Registro!$G870),"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",LEN(Registro!$G870))),({1,2,3,4,5,6,7,8,9,10,11,12,13,14,15,16,17,18,19,20,21,22,23,24,25,26,27,28,29,30}-1)*LEN(Registro!$G870)+1,LEN(Registro!$G870))),FIND("x",TRIM(MID(SUBSTITUTE(SUBSTITUTE(SUBSTITUTE(SUBSTITUTE(SUBSTITUTE(LOWER(Registro!$G870),"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",LEN(Registro!$G870))),({1,2,3,4,5,6,7,8,9,10,11,12,13,14,15,16,17,18,19,20,21,22,23,24,25,26,27,28,29,30}-1)*LEN(Registro!$G870)+1,LEN(Registro!$G870)))&amp;"x")+1,20))),"Revisar formato")))</f>
        <v/>
      </c>
      <c r="J870" s="9" t="str">
        <f>IF(AND(Registro!$E870="",Registro!$G870=""),"",IF(NOT(AND(ISNUMBER(I870),ISNUMBER(Registro!$H870))),"",IF(I870&lt;Registro!$H870,"FALTA BOLETOS",IF(I870=Registro!$H870,"CONFORME","DIFERENCIA"))))</f>
        <v/>
      </c>
      <c r="K870" s="11" t="str">
        <f>IF(Registro!$I870="","",IFERROR(SUMPRODUCT(--("0"&amp;TRIM(RIGHT(SUBSTITUTE(TRIM(MID(SUBSTITUTE(SUBSTITUTE(Registro!$I870,";",CHAR(10)),CHAR(10),REPT(" ",LEN(Registro!$I870))),({1,2,3,4,5,6,7,8,9,10,11,12,13,14,15,16,17,18,19,20,21,22,23,24,25,26,27,28,29,30}-1)*LEN(Registro!$I870)+1,LEN(Registro!$I870)))," ",REPT(" ",50)),50)))),"Revisar formato"))</f>
        <v/>
      </c>
      <c r="L870" s="11" t="str">
        <f>IF(Registro!$J870="","",IFERROR(SUMPRODUCT(--("0"&amp;TRIM(RIGHT(SUBSTITUTE(TRIM(MID(SUBSTITUTE(SUBSTITUTE(Registro!$J870,";",CHAR(10)),CHAR(10),REPT(" ",LEN(Registro!$J870))),({1,2,3,4,5,6,7,8,9,10,11,12,13,14,15,16,17,18,19,20,21,22,23,24,25,26,27,28,29,30}-1)*LEN(Registro!$J870)+1,LEN(Registro!$J870)))," ",REPT(" ",50)),50)))),"Revisar formato"))</f>
        <v/>
      </c>
      <c r="M870" s="11" t="str">
        <f>IF(AND(Registro!$H870="",Registro!$I870=""),"",IF(AND(ISTEXT(K870),K870&lt;&gt;""),"Revisar formato",N(Registro!$H870)-N(K870)))</f>
        <v/>
      </c>
      <c r="N870" s="11" t="str">
        <f t="shared" si="41"/>
        <v/>
      </c>
      <c r="O870" s="15" t="str">
        <f>IF(AND(A870=Consulta!$B$3,C870=Consulta!$H$3),B870*10000+ROW(),"")</f>
        <v/>
      </c>
    </row>
    <row r="871" spans="1:15" x14ac:dyDescent="0.25">
      <c r="A871" s="9" t="str">
        <f>IF(Registro!$A871="","",Registro!$A871)</f>
        <v/>
      </c>
      <c r="B871" s="8" t="str">
        <f>IF(Registro!$B871="","",Registro!$B871)</f>
        <v/>
      </c>
      <c r="C871" s="14" t="str">
        <f t="shared" si="39"/>
        <v/>
      </c>
      <c r="D871" s="10" t="str">
        <f>IF(Registro!$E871="","",IF(ISERROR(FIND("x",LOWER(Registro!$E871))),"-",IFERROR(SUMPRODUCT(--("0"&amp;LEFT(TRIM(MID(SUBSTITUTE(SUBSTITUTE(SUBSTITUTE(SUBSTITUTE(SUBSTITUTE(LOWER(Registro!$E871),"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",LEN(Registro!$E871))),({1,2,3,4,5,6,7,8,9,10,11,12,13,14,15,16,17,18,19,20,21,22,23,24,25,26,27,28,29,30}-1)*LEN(Registro!$E871)+1,LEN(Registro!$E871)))&amp;"x")-1))),"Revisar formato")))</f>
        <v/>
      </c>
      <c r="E871" s="11" t="str">
        <f>IF(Registro!$E871="","",IF(ISERROR(FIND("x",LOWER(Registro!$E871))),"-",IFERROR(SUMPRODUCT(--("0"&amp;LEFT(TRIM(MID(SUBSTITUTE(SUBSTITUTE(SUBSTITUTE(SUBSTITUTE(SUBSTITUTE(LOWER(Registro!$E871),"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",LEN(Registro!$E871))),({1,2,3,4,5,6,7,8,9,10,11,12,13,14,15,16,17,18,19,20,21,22,23,24,25,26,27,28,29,30}-1)*LEN(Registro!$E871)+1,LEN(Registro!$E871)))&amp;"x")-1)),--("0"&amp;MID(TRIM(MID(SUBSTITUTE(SUBSTITUTE(SUBSTITUTE(SUBSTITUTE(SUBSTITUTE(LOWER(Registro!$E871),"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",LEN(Registro!$E871))),({1,2,3,4,5,6,7,8,9,10,11,12,13,14,15,16,17,18,19,20,21,22,23,24,25,26,27,28,29,30}-1)*LEN(Registro!$E871)+1,LEN(Registro!$E871)))&amp;"x")+1,20))),"Revisar formato")))</f>
        <v/>
      </c>
      <c r="F871" s="11" t="str">
        <f>IF(Registro!$F871="","",N(Registro!$F871))</f>
        <v/>
      </c>
      <c r="G871" s="11" t="str">
        <f t="shared" si="40"/>
        <v/>
      </c>
      <c r="H871" s="10" t="str">
        <f>IF(Registro!$G871="","",IF(ISERROR(FIND("x",LOWER(Registro!$G871))),"-",IFERROR(SUMPRODUCT(--("0"&amp;LEFT(TRIM(MID(SUBSTITUTE(SUBSTITUTE(SUBSTITUTE(SUBSTITUTE(SUBSTITUTE(LOWER(Registro!$G871),"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",LEN(Registro!$G871))),({1,2,3,4,5,6,7,8,9,10,11,12,13,14,15,16,17,18,19,20,21,22,23,24,25,26,27,28,29,30}-1)*LEN(Registro!$G871)+1,LEN(Registro!$G871))),FIND("x",TRIM(MID(SUBSTITUTE(SUBSTITUTE(SUBSTITUTE(SUBSTITUTE(SUBSTITUTE(LOWER(Registro!$G871),"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",LEN(Registro!$G871))),({1,2,3,4,5,6,7,8,9,10,11,12,13,14,15,16,17,18,19,20,21,22,23,24,25,26,27,28,29,30}-1)*LEN(Registro!$G871)+1,LEN(Registro!$G871)))&amp;"x")-1))),"Revisar formato")))</f>
        <v/>
      </c>
      <c r="I871" s="11" t="str">
        <f>IF(Registro!$G871="","",IF(ISERROR(FIND("x",LOWER(Registro!$G871))),N(Registro!$H871),IFERROR(SUMPRODUCT(--("0"&amp;LEFT(TRIM(MID(SUBSTITUTE(SUBSTITUTE(SUBSTITUTE(SUBSTITUTE(SUBSTITUTE(LOWER(Registro!$G871),"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",LEN(Registro!$G871))),({1,2,3,4,5,6,7,8,9,10,11,12,13,14,15,16,17,18,19,20,21,22,23,24,25,26,27,28,29,30}-1)*LEN(Registro!$G871)+1,LEN(Registro!$G871))),FIND("x",TRIM(MID(SUBSTITUTE(SUBSTITUTE(SUBSTITUTE(SUBSTITUTE(SUBSTITUTE(LOWER(Registro!$G871),"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",LEN(Registro!$G871))),({1,2,3,4,5,6,7,8,9,10,11,12,13,14,15,16,17,18,19,20,21,22,23,24,25,26,27,28,29,30}-1)*LEN(Registro!$G871)+1,LEN(Registro!$G871)))&amp;"x")-1)),--("0"&amp;MID(TRIM(MID(SUBSTITUTE(SUBSTITUTE(SUBSTITUTE(SUBSTITUTE(SUBSTITUTE(LOWER(Registro!$G871),"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",LEN(Registro!$G871))),({1,2,3,4,5,6,7,8,9,10,11,12,13,14,15,16,17,18,19,20,21,22,23,24,25,26,27,28,29,30}-1)*LEN(Registro!$G871)+1,LEN(Registro!$G871))),FIND("x",TRIM(MID(SUBSTITUTE(SUBSTITUTE(SUBSTITUTE(SUBSTITUTE(SUBSTITUTE(LOWER(Registro!$G871),"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",LEN(Registro!$G871))),({1,2,3,4,5,6,7,8,9,10,11,12,13,14,15,16,17,18,19,20,21,22,23,24,25,26,27,28,29,30}-1)*LEN(Registro!$G871)+1,LEN(Registro!$G871)))&amp;"x")+1,20))),"Revisar formato")))</f>
        <v/>
      </c>
      <c r="J871" s="9" t="str">
        <f>IF(AND(Registro!$E871="",Registro!$G871=""),"",IF(NOT(AND(ISNUMBER(I871),ISNUMBER(Registro!$H871))),"",IF(I871&lt;Registro!$H871,"FALTA BOLETOS",IF(I871=Registro!$H871,"CONFORME","DIFERENCIA"))))</f>
        <v/>
      </c>
      <c r="K871" s="11" t="str">
        <f>IF(Registro!$I871="","",IFERROR(SUMPRODUCT(--("0"&amp;TRIM(RIGHT(SUBSTITUTE(TRIM(MID(SUBSTITUTE(SUBSTITUTE(Registro!$I871,";",CHAR(10)),CHAR(10),REPT(" ",LEN(Registro!$I871))),({1,2,3,4,5,6,7,8,9,10,11,12,13,14,15,16,17,18,19,20,21,22,23,24,25,26,27,28,29,30}-1)*LEN(Registro!$I871)+1,LEN(Registro!$I871)))," ",REPT(" ",50)),50)))),"Revisar formato"))</f>
        <v/>
      </c>
      <c r="L871" s="11" t="str">
        <f>IF(Registro!$J871="","",IFERROR(SUMPRODUCT(--("0"&amp;TRIM(RIGHT(SUBSTITUTE(TRIM(MID(SUBSTITUTE(SUBSTITUTE(Registro!$J871,";",CHAR(10)),CHAR(10),REPT(" ",LEN(Registro!$J871))),({1,2,3,4,5,6,7,8,9,10,11,12,13,14,15,16,17,18,19,20,21,22,23,24,25,26,27,28,29,30}-1)*LEN(Registro!$J871)+1,LEN(Registro!$J871)))," ",REPT(" ",50)),50)))),"Revisar formato"))</f>
        <v/>
      </c>
      <c r="M871" s="11" t="str">
        <f>IF(AND(Registro!$H871="",Registro!$I871=""),"",IF(AND(ISTEXT(K871),K871&lt;&gt;""),"Revisar formato",N(Registro!$H871)-N(K871)))</f>
        <v/>
      </c>
      <c r="N871" s="11" t="str">
        <f t="shared" si="41"/>
        <v/>
      </c>
      <c r="O871" s="15" t="str">
        <f>IF(AND(A871=Consulta!$B$3,C871=Consulta!$H$3),B871*10000+ROW(),"")</f>
        <v/>
      </c>
    </row>
    <row r="872" spans="1:15" x14ac:dyDescent="0.25">
      <c r="A872" s="9" t="str">
        <f>IF(Registro!$A872="","",Registro!$A872)</f>
        <v/>
      </c>
      <c r="B872" s="8" t="str">
        <f>IF(Registro!$B872="","",Registro!$B872)</f>
        <v/>
      </c>
      <c r="C872" s="14" t="str">
        <f t="shared" si="39"/>
        <v/>
      </c>
      <c r="D872" s="10" t="str">
        <f>IF(Registro!$E872="","",IF(ISERROR(FIND("x",LOWER(Registro!$E872))),"-",IFERROR(SUMPRODUCT(--("0"&amp;LEFT(TRIM(MID(SUBSTITUTE(SUBSTITUTE(SUBSTITUTE(SUBSTITUTE(SUBSTITUTE(LOWER(Registro!$E872),"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",LEN(Registro!$E872))),({1,2,3,4,5,6,7,8,9,10,11,12,13,14,15,16,17,18,19,20,21,22,23,24,25,26,27,28,29,30}-1)*LEN(Registro!$E872)+1,LEN(Registro!$E872)))&amp;"x")-1))),"Revisar formato")))</f>
        <v/>
      </c>
      <c r="E872" s="11" t="str">
        <f>IF(Registro!$E872="","",IF(ISERROR(FIND("x",LOWER(Registro!$E872))),"-",IFERROR(SUMPRODUCT(--("0"&amp;LEFT(TRIM(MID(SUBSTITUTE(SUBSTITUTE(SUBSTITUTE(SUBSTITUTE(SUBSTITUTE(LOWER(Registro!$E872),"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",LEN(Registro!$E872))),({1,2,3,4,5,6,7,8,9,10,11,12,13,14,15,16,17,18,19,20,21,22,23,24,25,26,27,28,29,30}-1)*LEN(Registro!$E872)+1,LEN(Registro!$E872)))&amp;"x")-1)),--("0"&amp;MID(TRIM(MID(SUBSTITUTE(SUBSTITUTE(SUBSTITUTE(SUBSTITUTE(SUBSTITUTE(LOWER(Registro!$E872),"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",LEN(Registro!$E872))),({1,2,3,4,5,6,7,8,9,10,11,12,13,14,15,16,17,18,19,20,21,22,23,24,25,26,27,28,29,30}-1)*LEN(Registro!$E872)+1,LEN(Registro!$E872)))&amp;"x")+1,20))),"Revisar formato")))</f>
        <v/>
      </c>
      <c r="F872" s="11" t="str">
        <f>IF(Registro!$F872="","",N(Registro!$F872))</f>
        <v/>
      </c>
      <c r="G872" s="11" t="str">
        <f t="shared" si="40"/>
        <v/>
      </c>
      <c r="H872" s="10" t="str">
        <f>IF(Registro!$G872="","",IF(ISERROR(FIND("x",LOWER(Registro!$G872))),"-",IFERROR(SUMPRODUCT(--("0"&amp;LEFT(TRIM(MID(SUBSTITUTE(SUBSTITUTE(SUBSTITUTE(SUBSTITUTE(SUBSTITUTE(LOWER(Registro!$G872),"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",LEN(Registro!$G872))),({1,2,3,4,5,6,7,8,9,10,11,12,13,14,15,16,17,18,19,20,21,22,23,24,25,26,27,28,29,30}-1)*LEN(Registro!$G872)+1,LEN(Registro!$G872))),FIND("x",TRIM(MID(SUBSTITUTE(SUBSTITUTE(SUBSTITUTE(SUBSTITUTE(SUBSTITUTE(LOWER(Registro!$G872),"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",LEN(Registro!$G872))),({1,2,3,4,5,6,7,8,9,10,11,12,13,14,15,16,17,18,19,20,21,22,23,24,25,26,27,28,29,30}-1)*LEN(Registro!$G872)+1,LEN(Registro!$G872)))&amp;"x")-1))),"Revisar formato")))</f>
        <v/>
      </c>
      <c r="I872" s="11" t="str">
        <f>IF(Registro!$G872="","",IF(ISERROR(FIND("x",LOWER(Registro!$G872))),N(Registro!$H872),IFERROR(SUMPRODUCT(--("0"&amp;LEFT(TRIM(MID(SUBSTITUTE(SUBSTITUTE(SUBSTITUTE(SUBSTITUTE(SUBSTITUTE(LOWER(Registro!$G872),"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",LEN(Registro!$G872))),({1,2,3,4,5,6,7,8,9,10,11,12,13,14,15,16,17,18,19,20,21,22,23,24,25,26,27,28,29,30}-1)*LEN(Registro!$G872)+1,LEN(Registro!$G872))),FIND("x",TRIM(MID(SUBSTITUTE(SUBSTITUTE(SUBSTITUTE(SUBSTITUTE(SUBSTITUTE(LOWER(Registro!$G872),"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",LEN(Registro!$G872))),({1,2,3,4,5,6,7,8,9,10,11,12,13,14,15,16,17,18,19,20,21,22,23,24,25,26,27,28,29,30}-1)*LEN(Registro!$G872)+1,LEN(Registro!$G872)))&amp;"x")-1)),--("0"&amp;MID(TRIM(MID(SUBSTITUTE(SUBSTITUTE(SUBSTITUTE(SUBSTITUTE(SUBSTITUTE(LOWER(Registro!$G872),"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",LEN(Registro!$G872))),({1,2,3,4,5,6,7,8,9,10,11,12,13,14,15,16,17,18,19,20,21,22,23,24,25,26,27,28,29,30}-1)*LEN(Registro!$G872)+1,LEN(Registro!$G872))),FIND("x",TRIM(MID(SUBSTITUTE(SUBSTITUTE(SUBSTITUTE(SUBSTITUTE(SUBSTITUTE(LOWER(Registro!$G872),"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",LEN(Registro!$G872))),({1,2,3,4,5,6,7,8,9,10,11,12,13,14,15,16,17,18,19,20,21,22,23,24,25,26,27,28,29,30}-1)*LEN(Registro!$G872)+1,LEN(Registro!$G872)))&amp;"x")+1,20))),"Revisar formato")))</f>
        <v/>
      </c>
      <c r="J872" s="9" t="str">
        <f>IF(AND(Registro!$E872="",Registro!$G872=""),"",IF(NOT(AND(ISNUMBER(I872),ISNUMBER(Registro!$H872))),"",IF(I872&lt;Registro!$H872,"FALTA BOLETOS",IF(I872=Registro!$H872,"CONFORME","DIFERENCIA"))))</f>
        <v/>
      </c>
      <c r="K872" s="11" t="str">
        <f>IF(Registro!$I872="","",IFERROR(SUMPRODUCT(--("0"&amp;TRIM(RIGHT(SUBSTITUTE(TRIM(MID(SUBSTITUTE(SUBSTITUTE(Registro!$I872,";",CHAR(10)),CHAR(10),REPT(" ",LEN(Registro!$I872))),({1,2,3,4,5,6,7,8,9,10,11,12,13,14,15,16,17,18,19,20,21,22,23,24,25,26,27,28,29,30}-1)*LEN(Registro!$I872)+1,LEN(Registro!$I872)))," ",REPT(" ",50)),50)))),"Revisar formato"))</f>
        <v/>
      </c>
      <c r="L872" s="11" t="str">
        <f>IF(Registro!$J872="","",IFERROR(SUMPRODUCT(--("0"&amp;TRIM(RIGHT(SUBSTITUTE(TRIM(MID(SUBSTITUTE(SUBSTITUTE(Registro!$J872,";",CHAR(10)),CHAR(10),REPT(" ",LEN(Registro!$J872))),({1,2,3,4,5,6,7,8,9,10,11,12,13,14,15,16,17,18,19,20,21,22,23,24,25,26,27,28,29,30}-1)*LEN(Registro!$J872)+1,LEN(Registro!$J872)))," ",REPT(" ",50)),50)))),"Revisar formato"))</f>
        <v/>
      </c>
      <c r="M872" s="11" t="str">
        <f>IF(AND(Registro!$H872="",Registro!$I872=""),"",IF(AND(ISTEXT(K872),K872&lt;&gt;""),"Revisar formato",N(Registro!$H872)-N(K872)))</f>
        <v/>
      </c>
      <c r="N872" s="11" t="str">
        <f t="shared" si="41"/>
        <v/>
      </c>
      <c r="O872" s="15" t="str">
        <f>IF(AND(A872=Consulta!$B$3,C872=Consulta!$H$3),B872*10000+ROW(),"")</f>
        <v/>
      </c>
    </row>
    <row r="873" spans="1:15" x14ac:dyDescent="0.25">
      <c r="A873" s="9" t="str">
        <f>IF(Registro!$A873="","",Registro!$A873)</f>
        <v/>
      </c>
      <c r="B873" s="8" t="str">
        <f>IF(Registro!$B873="","",Registro!$B873)</f>
        <v/>
      </c>
      <c r="C873" s="14" t="str">
        <f t="shared" si="39"/>
        <v/>
      </c>
      <c r="D873" s="10" t="str">
        <f>IF(Registro!$E873="","",IF(ISERROR(FIND("x",LOWER(Registro!$E873))),"-",IFERROR(SUMPRODUCT(--("0"&amp;LEFT(TRIM(MID(SUBSTITUTE(SUBSTITUTE(SUBSTITUTE(SUBSTITUTE(SUBSTITUTE(LOWER(Registro!$E873),"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",LEN(Registro!$E873))),({1,2,3,4,5,6,7,8,9,10,11,12,13,14,15,16,17,18,19,20,21,22,23,24,25,26,27,28,29,30}-1)*LEN(Registro!$E873)+1,LEN(Registro!$E873)))&amp;"x")-1))),"Revisar formato")))</f>
        <v/>
      </c>
      <c r="E873" s="11" t="str">
        <f>IF(Registro!$E873="","",IF(ISERROR(FIND("x",LOWER(Registro!$E873))),"-",IFERROR(SUMPRODUCT(--("0"&amp;LEFT(TRIM(MID(SUBSTITUTE(SUBSTITUTE(SUBSTITUTE(SUBSTITUTE(SUBSTITUTE(LOWER(Registro!$E873),"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",LEN(Registro!$E873))),({1,2,3,4,5,6,7,8,9,10,11,12,13,14,15,16,17,18,19,20,21,22,23,24,25,26,27,28,29,30}-1)*LEN(Registro!$E873)+1,LEN(Registro!$E873)))&amp;"x")-1)),--("0"&amp;MID(TRIM(MID(SUBSTITUTE(SUBSTITUTE(SUBSTITUTE(SUBSTITUTE(SUBSTITUTE(LOWER(Registro!$E873),"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",LEN(Registro!$E873))),({1,2,3,4,5,6,7,8,9,10,11,12,13,14,15,16,17,18,19,20,21,22,23,24,25,26,27,28,29,30}-1)*LEN(Registro!$E873)+1,LEN(Registro!$E873)))&amp;"x")+1,20))),"Revisar formato")))</f>
        <v/>
      </c>
      <c r="F873" s="11" t="str">
        <f>IF(Registro!$F873="","",N(Registro!$F873))</f>
        <v/>
      </c>
      <c r="G873" s="11" t="str">
        <f t="shared" si="40"/>
        <v/>
      </c>
      <c r="H873" s="10" t="str">
        <f>IF(Registro!$G873="","",IF(ISERROR(FIND("x",LOWER(Registro!$G873))),"-",IFERROR(SUMPRODUCT(--("0"&amp;LEFT(TRIM(MID(SUBSTITUTE(SUBSTITUTE(SUBSTITUTE(SUBSTITUTE(SUBSTITUTE(LOWER(Registro!$G873),"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",LEN(Registro!$G873))),({1,2,3,4,5,6,7,8,9,10,11,12,13,14,15,16,17,18,19,20,21,22,23,24,25,26,27,28,29,30}-1)*LEN(Registro!$G873)+1,LEN(Registro!$G873))),FIND("x",TRIM(MID(SUBSTITUTE(SUBSTITUTE(SUBSTITUTE(SUBSTITUTE(SUBSTITUTE(LOWER(Registro!$G873),"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",LEN(Registro!$G873))),({1,2,3,4,5,6,7,8,9,10,11,12,13,14,15,16,17,18,19,20,21,22,23,24,25,26,27,28,29,30}-1)*LEN(Registro!$G873)+1,LEN(Registro!$G873)))&amp;"x")-1))),"Revisar formato")))</f>
        <v/>
      </c>
      <c r="I873" s="11" t="str">
        <f>IF(Registro!$G873="","",IF(ISERROR(FIND("x",LOWER(Registro!$G873))),N(Registro!$H873),IFERROR(SUMPRODUCT(--("0"&amp;LEFT(TRIM(MID(SUBSTITUTE(SUBSTITUTE(SUBSTITUTE(SUBSTITUTE(SUBSTITUTE(LOWER(Registro!$G873),"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",LEN(Registro!$G873))),({1,2,3,4,5,6,7,8,9,10,11,12,13,14,15,16,17,18,19,20,21,22,23,24,25,26,27,28,29,30}-1)*LEN(Registro!$G873)+1,LEN(Registro!$G873))),FIND("x",TRIM(MID(SUBSTITUTE(SUBSTITUTE(SUBSTITUTE(SUBSTITUTE(SUBSTITUTE(LOWER(Registro!$G873),"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",LEN(Registro!$G873))),({1,2,3,4,5,6,7,8,9,10,11,12,13,14,15,16,17,18,19,20,21,22,23,24,25,26,27,28,29,30}-1)*LEN(Registro!$G873)+1,LEN(Registro!$G873)))&amp;"x")-1)),--("0"&amp;MID(TRIM(MID(SUBSTITUTE(SUBSTITUTE(SUBSTITUTE(SUBSTITUTE(SUBSTITUTE(LOWER(Registro!$G873),"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",LEN(Registro!$G873))),({1,2,3,4,5,6,7,8,9,10,11,12,13,14,15,16,17,18,19,20,21,22,23,24,25,26,27,28,29,30}-1)*LEN(Registro!$G873)+1,LEN(Registro!$G873))),FIND("x",TRIM(MID(SUBSTITUTE(SUBSTITUTE(SUBSTITUTE(SUBSTITUTE(SUBSTITUTE(LOWER(Registro!$G873),"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",LEN(Registro!$G873))),({1,2,3,4,5,6,7,8,9,10,11,12,13,14,15,16,17,18,19,20,21,22,23,24,25,26,27,28,29,30}-1)*LEN(Registro!$G873)+1,LEN(Registro!$G873)))&amp;"x")+1,20))),"Revisar formato")))</f>
        <v/>
      </c>
      <c r="J873" s="9" t="str">
        <f>IF(AND(Registro!$E873="",Registro!$G873=""),"",IF(NOT(AND(ISNUMBER(I873),ISNUMBER(Registro!$H873))),"",IF(I873&lt;Registro!$H873,"FALTA BOLETOS",IF(I873=Registro!$H873,"CONFORME","DIFERENCIA"))))</f>
        <v/>
      </c>
      <c r="K873" s="11" t="str">
        <f>IF(Registro!$I873="","",IFERROR(SUMPRODUCT(--("0"&amp;TRIM(RIGHT(SUBSTITUTE(TRIM(MID(SUBSTITUTE(SUBSTITUTE(Registro!$I873,";",CHAR(10)),CHAR(10),REPT(" ",LEN(Registro!$I873))),({1,2,3,4,5,6,7,8,9,10,11,12,13,14,15,16,17,18,19,20,21,22,23,24,25,26,27,28,29,30}-1)*LEN(Registro!$I873)+1,LEN(Registro!$I873)))," ",REPT(" ",50)),50)))),"Revisar formato"))</f>
        <v/>
      </c>
      <c r="L873" s="11" t="str">
        <f>IF(Registro!$J873="","",IFERROR(SUMPRODUCT(--("0"&amp;TRIM(RIGHT(SUBSTITUTE(TRIM(MID(SUBSTITUTE(SUBSTITUTE(Registro!$J873,";",CHAR(10)),CHAR(10),REPT(" ",LEN(Registro!$J873))),({1,2,3,4,5,6,7,8,9,10,11,12,13,14,15,16,17,18,19,20,21,22,23,24,25,26,27,28,29,30}-1)*LEN(Registro!$J873)+1,LEN(Registro!$J873)))," ",REPT(" ",50)),50)))),"Revisar formato"))</f>
        <v/>
      </c>
      <c r="M873" s="11" t="str">
        <f>IF(AND(Registro!$H873="",Registro!$I873=""),"",IF(AND(ISTEXT(K873),K873&lt;&gt;""),"Revisar formato",N(Registro!$H873)-N(K873)))</f>
        <v/>
      </c>
      <c r="N873" s="11" t="str">
        <f t="shared" si="41"/>
        <v/>
      </c>
      <c r="O873" s="15" t="str">
        <f>IF(AND(A873=Consulta!$B$3,C873=Consulta!$H$3),B873*10000+ROW(),"")</f>
        <v/>
      </c>
    </row>
    <row r="874" spans="1:15" x14ac:dyDescent="0.25">
      <c r="A874" s="9" t="str">
        <f>IF(Registro!$A874="","",Registro!$A874)</f>
        <v/>
      </c>
      <c r="B874" s="8" t="str">
        <f>IF(Registro!$B874="","",Registro!$B874)</f>
        <v/>
      </c>
      <c r="C874" s="14" t="str">
        <f t="shared" si="39"/>
        <v/>
      </c>
      <c r="D874" s="10" t="str">
        <f>IF(Registro!$E874="","",IF(ISERROR(FIND("x",LOWER(Registro!$E874))),"-",IFERROR(SUMPRODUCT(--("0"&amp;LEFT(TRIM(MID(SUBSTITUTE(SUBSTITUTE(SUBSTITUTE(SUBSTITUTE(SUBSTITUTE(LOWER(Registro!$E874),"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",LEN(Registro!$E874))),({1,2,3,4,5,6,7,8,9,10,11,12,13,14,15,16,17,18,19,20,21,22,23,24,25,26,27,28,29,30}-1)*LEN(Registro!$E874)+1,LEN(Registro!$E874)))&amp;"x")-1))),"Revisar formato")))</f>
        <v/>
      </c>
      <c r="E874" s="11" t="str">
        <f>IF(Registro!$E874="","",IF(ISERROR(FIND("x",LOWER(Registro!$E874))),"-",IFERROR(SUMPRODUCT(--("0"&amp;LEFT(TRIM(MID(SUBSTITUTE(SUBSTITUTE(SUBSTITUTE(SUBSTITUTE(SUBSTITUTE(LOWER(Registro!$E874),"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",LEN(Registro!$E874))),({1,2,3,4,5,6,7,8,9,10,11,12,13,14,15,16,17,18,19,20,21,22,23,24,25,26,27,28,29,30}-1)*LEN(Registro!$E874)+1,LEN(Registro!$E874)))&amp;"x")-1)),--("0"&amp;MID(TRIM(MID(SUBSTITUTE(SUBSTITUTE(SUBSTITUTE(SUBSTITUTE(SUBSTITUTE(LOWER(Registro!$E874),"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",LEN(Registro!$E874))),({1,2,3,4,5,6,7,8,9,10,11,12,13,14,15,16,17,18,19,20,21,22,23,24,25,26,27,28,29,30}-1)*LEN(Registro!$E874)+1,LEN(Registro!$E874)))&amp;"x")+1,20))),"Revisar formato")))</f>
        <v/>
      </c>
      <c r="F874" s="11" t="str">
        <f>IF(Registro!$F874="","",N(Registro!$F874))</f>
        <v/>
      </c>
      <c r="G874" s="11" t="str">
        <f t="shared" si="40"/>
        <v/>
      </c>
      <c r="H874" s="10" t="str">
        <f>IF(Registro!$G874="","",IF(ISERROR(FIND("x",LOWER(Registro!$G874))),"-",IFERROR(SUMPRODUCT(--("0"&amp;LEFT(TRIM(MID(SUBSTITUTE(SUBSTITUTE(SUBSTITUTE(SUBSTITUTE(SUBSTITUTE(LOWER(Registro!$G874),"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",LEN(Registro!$G874))),({1,2,3,4,5,6,7,8,9,10,11,12,13,14,15,16,17,18,19,20,21,22,23,24,25,26,27,28,29,30}-1)*LEN(Registro!$G874)+1,LEN(Registro!$G874))),FIND("x",TRIM(MID(SUBSTITUTE(SUBSTITUTE(SUBSTITUTE(SUBSTITUTE(SUBSTITUTE(LOWER(Registro!$G874),"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",LEN(Registro!$G874))),({1,2,3,4,5,6,7,8,9,10,11,12,13,14,15,16,17,18,19,20,21,22,23,24,25,26,27,28,29,30}-1)*LEN(Registro!$G874)+1,LEN(Registro!$G874)))&amp;"x")-1))),"Revisar formato")))</f>
        <v/>
      </c>
      <c r="I874" s="11" t="str">
        <f>IF(Registro!$G874="","",IF(ISERROR(FIND("x",LOWER(Registro!$G874))),N(Registro!$H874),IFERROR(SUMPRODUCT(--("0"&amp;LEFT(TRIM(MID(SUBSTITUTE(SUBSTITUTE(SUBSTITUTE(SUBSTITUTE(SUBSTITUTE(LOWER(Registro!$G874),"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",LEN(Registro!$G874))),({1,2,3,4,5,6,7,8,9,10,11,12,13,14,15,16,17,18,19,20,21,22,23,24,25,26,27,28,29,30}-1)*LEN(Registro!$G874)+1,LEN(Registro!$G874))),FIND("x",TRIM(MID(SUBSTITUTE(SUBSTITUTE(SUBSTITUTE(SUBSTITUTE(SUBSTITUTE(LOWER(Registro!$G874),"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",LEN(Registro!$G874))),({1,2,3,4,5,6,7,8,9,10,11,12,13,14,15,16,17,18,19,20,21,22,23,24,25,26,27,28,29,30}-1)*LEN(Registro!$G874)+1,LEN(Registro!$G874)))&amp;"x")-1)),--("0"&amp;MID(TRIM(MID(SUBSTITUTE(SUBSTITUTE(SUBSTITUTE(SUBSTITUTE(SUBSTITUTE(LOWER(Registro!$G874),"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",LEN(Registro!$G874))),({1,2,3,4,5,6,7,8,9,10,11,12,13,14,15,16,17,18,19,20,21,22,23,24,25,26,27,28,29,30}-1)*LEN(Registro!$G874)+1,LEN(Registro!$G874))),FIND("x",TRIM(MID(SUBSTITUTE(SUBSTITUTE(SUBSTITUTE(SUBSTITUTE(SUBSTITUTE(LOWER(Registro!$G874),"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",LEN(Registro!$G874))),({1,2,3,4,5,6,7,8,9,10,11,12,13,14,15,16,17,18,19,20,21,22,23,24,25,26,27,28,29,30}-1)*LEN(Registro!$G874)+1,LEN(Registro!$G874)))&amp;"x")+1,20))),"Revisar formato")))</f>
        <v/>
      </c>
      <c r="J874" s="9" t="str">
        <f>IF(AND(Registro!$E874="",Registro!$G874=""),"",IF(NOT(AND(ISNUMBER(I874),ISNUMBER(Registro!$H874))),"",IF(I874&lt;Registro!$H874,"FALTA BOLETOS",IF(I874=Registro!$H874,"CONFORME","DIFERENCIA"))))</f>
        <v/>
      </c>
      <c r="K874" s="11" t="str">
        <f>IF(Registro!$I874="","",IFERROR(SUMPRODUCT(--("0"&amp;TRIM(RIGHT(SUBSTITUTE(TRIM(MID(SUBSTITUTE(SUBSTITUTE(Registro!$I874,";",CHAR(10)),CHAR(10),REPT(" ",LEN(Registro!$I874))),({1,2,3,4,5,6,7,8,9,10,11,12,13,14,15,16,17,18,19,20,21,22,23,24,25,26,27,28,29,30}-1)*LEN(Registro!$I874)+1,LEN(Registro!$I874)))," ",REPT(" ",50)),50)))),"Revisar formato"))</f>
        <v/>
      </c>
      <c r="L874" s="11" t="str">
        <f>IF(Registro!$J874="","",IFERROR(SUMPRODUCT(--("0"&amp;TRIM(RIGHT(SUBSTITUTE(TRIM(MID(SUBSTITUTE(SUBSTITUTE(Registro!$J874,";",CHAR(10)),CHAR(10),REPT(" ",LEN(Registro!$J874))),({1,2,3,4,5,6,7,8,9,10,11,12,13,14,15,16,17,18,19,20,21,22,23,24,25,26,27,28,29,30}-1)*LEN(Registro!$J874)+1,LEN(Registro!$J874)))," ",REPT(" ",50)),50)))),"Revisar formato"))</f>
        <v/>
      </c>
      <c r="M874" s="11" t="str">
        <f>IF(AND(Registro!$H874="",Registro!$I874=""),"",IF(AND(ISTEXT(K874),K874&lt;&gt;""),"Revisar formato",N(Registro!$H874)-N(K874)))</f>
        <v/>
      </c>
      <c r="N874" s="11" t="str">
        <f t="shared" si="41"/>
        <v/>
      </c>
      <c r="O874" s="15" t="str">
        <f>IF(AND(A874=Consulta!$B$3,C874=Consulta!$H$3),B874*10000+ROW(),"")</f>
        <v/>
      </c>
    </row>
    <row r="875" spans="1:15" x14ac:dyDescent="0.25">
      <c r="A875" s="9" t="str">
        <f>IF(Registro!$A875="","",Registro!$A875)</f>
        <v/>
      </c>
      <c r="B875" s="8" t="str">
        <f>IF(Registro!$B875="","",Registro!$B875)</f>
        <v/>
      </c>
      <c r="C875" s="14" t="str">
        <f t="shared" si="39"/>
        <v/>
      </c>
      <c r="D875" s="10" t="str">
        <f>IF(Registro!$E875="","",IF(ISERROR(FIND("x",LOWER(Registro!$E875))),"-",IFERROR(SUMPRODUCT(--("0"&amp;LEFT(TRIM(MID(SUBSTITUTE(SUBSTITUTE(SUBSTITUTE(SUBSTITUTE(SUBSTITUTE(LOWER(Registro!$E875),"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",LEN(Registro!$E875))),({1,2,3,4,5,6,7,8,9,10,11,12,13,14,15,16,17,18,19,20,21,22,23,24,25,26,27,28,29,30}-1)*LEN(Registro!$E875)+1,LEN(Registro!$E875)))&amp;"x")-1))),"Revisar formato")))</f>
        <v/>
      </c>
      <c r="E875" s="11" t="str">
        <f>IF(Registro!$E875="","",IF(ISERROR(FIND("x",LOWER(Registro!$E875))),"-",IFERROR(SUMPRODUCT(--("0"&amp;LEFT(TRIM(MID(SUBSTITUTE(SUBSTITUTE(SUBSTITUTE(SUBSTITUTE(SUBSTITUTE(LOWER(Registro!$E875),"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",LEN(Registro!$E875))),({1,2,3,4,5,6,7,8,9,10,11,12,13,14,15,16,17,18,19,20,21,22,23,24,25,26,27,28,29,30}-1)*LEN(Registro!$E875)+1,LEN(Registro!$E875)))&amp;"x")-1)),--("0"&amp;MID(TRIM(MID(SUBSTITUTE(SUBSTITUTE(SUBSTITUTE(SUBSTITUTE(SUBSTITUTE(LOWER(Registro!$E875),"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",LEN(Registro!$E875))),({1,2,3,4,5,6,7,8,9,10,11,12,13,14,15,16,17,18,19,20,21,22,23,24,25,26,27,28,29,30}-1)*LEN(Registro!$E875)+1,LEN(Registro!$E875)))&amp;"x")+1,20))),"Revisar formato")))</f>
        <v/>
      </c>
      <c r="F875" s="11" t="str">
        <f>IF(Registro!$F875="","",N(Registro!$F875))</f>
        <v/>
      </c>
      <c r="G875" s="11" t="str">
        <f t="shared" si="40"/>
        <v/>
      </c>
      <c r="H875" s="10" t="str">
        <f>IF(Registro!$G875="","",IF(ISERROR(FIND("x",LOWER(Registro!$G875))),"-",IFERROR(SUMPRODUCT(--("0"&amp;LEFT(TRIM(MID(SUBSTITUTE(SUBSTITUTE(SUBSTITUTE(SUBSTITUTE(SUBSTITUTE(LOWER(Registro!$G875),"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",LEN(Registro!$G875))),({1,2,3,4,5,6,7,8,9,10,11,12,13,14,15,16,17,18,19,20,21,22,23,24,25,26,27,28,29,30}-1)*LEN(Registro!$G875)+1,LEN(Registro!$G875))),FIND("x",TRIM(MID(SUBSTITUTE(SUBSTITUTE(SUBSTITUTE(SUBSTITUTE(SUBSTITUTE(LOWER(Registro!$G875),"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",LEN(Registro!$G875))),({1,2,3,4,5,6,7,8,9,10,11,12,13,14,15,16,17,18,19,20,21,22,23,24,25,26,27,28,29,30}-1)*LEN(Registro!$G875)+1,LEN(Registro!$G875)))&amp;"x")-1))),"Revisar formato")))</f>
        <v/>
      </c>
      <c r="I875" s="11" t="str">
        <f>IF(Registro!$G875="","",IF(ISERROR(FIND("x",LOWER(Registro!$G875))),N(Registro!$H875),IFERROR(SUMPRODUCT(--("0"&amp;LEFT(TRIM(MID(SUBSTITUTE(SUBSTITUTE(SUBSTITUTE(SUBSTITUTE(SUBSTITUTE(LOWER(Registro!$G875),"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",LEN(Registro!$G875))),({1,2,3,4,5,6,7,8,9,10,11,12,13,14,15,16,17,18,19,20,21,22,23,24,25,26,27,28,29,30}-1)*LEN(Registro!$G875)+1,LEN(Registro!$G875))),FIND("x",TRIM(MID(SUBSTITUTE(SUBSTITUTE(SUBSTITUTE(SUBSTITUTE(SUBSTITUTE(LOWER(Registro!$G875),"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",LEN(Registro!$G875))),({1,2,3,4,5,6,7,8,9,10,11,12,13,14,15,16,17,18,19,20,21,22,23,24,25,26,27,28,29,30}-1)*LEN(Registro!$G875)+1,LEN(Registro!$G875)))&amp;"x")-1)),--("0"&amp;MID(TRIM(MID(SUBSTITUTE(SUBSTITUTE(SUBSTITUTE(SUBSTITUTE(SUBSTITUTE(LOWER(Registro!$G875),"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",LEN(Registro!$G875))),({1,2,3,4,5,6,7,8,9,10,11,12,13,14,15,16,17,18,19,20,21,22,23,24,25,26,27,28,29,30}-1)*LEN(Registro!$G875)+1,LEN(Registro!$G875))),FIND("x",TRIM(MID(SUBSTITUTE(SUBSTITUTE(SUBSTITUTE(SUBSTITUTE(SUBSTITUTE(LOWER(Registro!$G875),"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",LEN(Registro!$G875))),({1,2,3,4,5,6,7,8,9,10,11,12,13,14,15,16,17,18,19,20,21,22,23,24,25,26,27,28,29,30}-1)*LEN(Registro!$G875)+1,LEN(Registro!$G875)))&amp;"x")+1,20))),"Revisar formato")))</f>
        <v/>
      </c>
      <c r="J875" s="9" t="str">
        <f>IF(AND(Registro!$E875="",Registro!$G875=""),"",IF(NOT(AND(ISNUMBER(I875),ISNUMBER(Registro!$H875))),"",IF(I875&lt;Registro!$H875,"FALTA BOLETOS",IF(I875=Registro!$H875,"CONFORME","DIFERENCIA"))))</f>
        <v/>
      </c>
      <c r="K875" s="11" t="str">
        <f>IF(Registro!$I875="","",IFERROR(SUMPRODUCT(--("0"&amp;TRIM(RIGHT(SUBSTITUTE(TRIM(MID(SUBSTITUTE(SUBSTITUTE(Registro!$I875,";",CHAR(10)),CHAR(10),REPT(" ",LEN(Registro!$I875))),({1,2,3,4,5,6,7,8,9,10,11,12,13,14,15,16,17,18,19,20,21,22,23,24,25,26,27,28,29,30}-1)*LEN(Registro!$I875)+1,LEN(Registro!$I875)))," ",REPT(" ",50)),50)))),"Revisar formato"))</f>
        <v/>
      </c>
      <c r="L875" s="11" t="str">
        <f>IF(Registro!$J875="","",IFERROR(SUMPRODUCT(--("0"&amp;TRIM(RIGHT(SUBSTITUTE(TRIM(MID(SUBSTITUTE(SUBSTITUTE(Registro!$J875,";",CHAR(10)),CHAR(10),REPT(" ",LEN(Registro!$J875))),({1,2,3,4,5,6,7,8,9,10,11,12,13,14,15,16,17,18,19,20,21,22,23,24,25,26,27,28,29,30}-1)*LEN(Registro!$J875)+1,LEN(Registro!$J875)))," ",REPT(" ",50)),50)))),"Revisar formato"))</f>
        <v/>
      </c>
      <c r="M875" s="11" t="str">
        <f>IF(AND(Registro!$H875="",Registro!$I875=""),"",IF(AND(ISTEXT(K875),K875&lt;&gt;""),"Revisar formato",N(Registro!$H875)-N(K875)))</f>
        <v/>
      </c>
      <c r="N875" s="11" t="str">
        <f t="shared" si="41"/>
        <v/>
      </c>
      <c r="O875" s="15" t="str">
        <f>IF(AND(A875=Consulta!$B$3,C875=Consulta!$H$3),B875*10000+ROW(),"")</f>
        <v/>
      </c>
    </row>
    <row r="876" spans="1:15" x14ac:dyDescent="0.25">
      <c r="A876" s="9" t="str">
        <f>IF(Registro!$A876="","",Registro!$A876)</f>
        <v/>
      </c>
      <c r="B876" s="8" t="str">
        <f>IF(Registro!$B876="","",Registro!$B876)</f>
        <v/>
      </c>
      <c r="C876" s="14" t="str">
        <f t="shared" si="39"/>
        <v/>
      </c>
      <c r="D876" s="10" t="str">
        <f>IF(Registro!$E876="","",IF(ISERROR(FIND("x",LOWER(Registro!$E876))),"-",IFERROR(SUMPRODUCT(--("0"&amp;LEFT(TRIM(MID(SUBSTITUTE(SUBSTITUTE(SUBSTITUTE(SUBSTITUTE(SUBSTITUTE(LOWER(Registro!$E876),"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",LEN(Registro!$E876))),({1,2,3,4,5,6,7,8,9,10,11,12,13,14,15,16,17,18,19,20,21,22,23,24,25,26,27,28,29,30}-1)*LEN(Registro!$E876)+1,LEN(Registro!$E876)))&amp;"x")-1))),"Revisar formato")))</f>
        <v/>
      </c>
      <c r="E876" s="11" t="str">
        <f>IF(Registro!$E876="","",IF(ISERROR(FIND("x",LOWER(Registro!$E876))),"-",IFERROR(SUMPRODUCT(--("0"&amp;LEFT(TRIM(MID(SUBSTITUTE(SUBSTITUTE(SUBSTITUTE(SUBSTITUTE(SUBSTITUTE(LOWER(Registro!$E876),"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",LEN(Registro!$E876))),({1,2,3,4,5,6,7,8,9,10,11,12,13,14,15,16,17,18,19,20,21,22,23,24,25,26,27,28,29,30}-1)*LEN(Registro!$E876)+1,LEN(Registro!$E876)))&amp;"x")-1)),--("0"&amp;MID(TRIM(MID(SUBSTITUTE(SUBSTITUTE(SUBSTITUTE(SUBSTITUTE(SUBSTITUTE(LOWER(Registro!$E876),"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",LEN(Registro!$E876))),({1,2,3,4,5,6,7,8,9,10,11,12,13,14,15,16,17,18,19,20,21,22,23,24,25,26,27,28,29,30}-1)*LEN(Registro!$E876)+1,LEN(Registro!$E876)))&amp;"x")+1,20))),"Revisar formato")))</f>
        <v/>
      </c>
      <c r="F876" s="11" t="str">
        <f>IF(Registro!$F876="","",N(Registro!$F876))</f>
        <v/>
      </c>
      <c r="G876" s="11" t="str">
        <f t="shared" si="40"/>
        <v/>
      </c>
      <c r="H876" s="10" t="str">
        <f>IF(Registro!$G876="","",IF(ISERROR(FIND("x",LOWER(Registro!$G876))),"-",IFERROR(SUMPRODUCT(--("0"&amp;LEFT(TRIM(MID(SUBSTITUTE(SUBSTITUTE(SUBSTITUTE(SUBSTITUTE(SUBSTITUTE(LOWER(Registro!$G876),"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",LEN(Registro!$G876))),({1,2,3,4,5,6,7,8,9,10,11,12,13,14,15,16,17,18,19,20,21,22,23,24,25,26,27,28,29,30}-1)*LEN(Registro!$G876)+1,LEN(Registro!$G876))),FIND("x",TRIM(MID(SUBSTITUTE(SUBSTITUTE(SUBSTITUTE(SUBSTITUTE(SUBSTITUTE(LOWER(Registro!$G876),"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",LEN(Registro!$G876))),({1,2,3,4,5,6,7,8,9,10,11,12,13,14,15,16,17,18,19,20,21,22,23,24,25,26,27,28,29,30}-1)*LEN(Registro!$G876)+1,LEN(Registro!$G876)))&amp;"x")-1))),"Revisar formato")))</f>
        <v/>
      </c>
      <c r="I876" s="11" t="str">
        <f>IF(Registro!$G876="","",IF(ISERROR(FIND("x",LOWER(Registro!$G876))),N(Registro!$H876),IFERROR(SUMPRODUCT(--("0"&amp;LEFT(TRIM(MID(SUBSTITUTE(SUBSTITUTE(SUBSTITUTE(SUBSTITUTE(SUBSTITUTE(LOWER(Registro!$G876),"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",LEN(Registro!$G876))),({1,2,3,4,5,6,7,8,9,10,11,12,13,14,15,16,17,18,19,20,21,22,23,24,25,26,27,28,29,30}-1)*LEN(Registro!$G876)+1,LEN(Registro!$G876))),FIND("x",TRIM(MID(SUBSTITUTE(SUBSTITUTE(SUBSTITUTE(SUBSTITUTE(SUBSTITUTE(LOWER(Registro!$G876),"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",LEN(Registro!$G876))),({1,2,3,4,5,6,7,8,9,10,11,12,13,14,15,16,17,18,19,20,21,22,23,24,25,26,27,28,29,30}-1)*LEN(Registro!$G876)+1,LEN(Registro!$G876)))&amp;"x")-1)),--("0"&amp;MID(TRIM(MID(SUBSTITUTE(SUBSTITUTE(SUBSTITUTE(SUBSTITUTE(SUBSTITUTE(LOWER(Registro!$G876),"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",LEN(Registro!$G876))),({1,2,3,4,5,6,7,8,9,10,11,12,13,14,15,16,17,18,19,20,21,22,23,24,25,26,27,28,29,30}-1)*LEN(Registro!$G876)+1,LEN(Registro!$G876))),FIND("x",TRIM(MID(SUBSTITUTE(SUBSTITUTE(SUBSTITUTE(SUBSTITUTE(SUBSTITUTE(LOWER(Registro!$G876),"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",LEN(Registro!$G876))),({1,2,3,4,5,6,7,8,9,10,11,12,13,14,15,16,17,18,19,20,21,22,23,24,25,26,27,28,29,30}-1)*LEN(Registro!$G876)+1,LEN(Registro!$G876)))&amp;"x")+1,20))),"Revisar formato")))</f>
        <v/>
      </c>
      <c r="J876" s="9" t="str">
        <f>IF(AND(Registro!$E876="",Registro!$G876=""),"",IF(NOT(AND(ISNUMBER(I876),ISNUMBER(Registro!$H876))),"",IF(I876&lt;Registro!$H876,"FALTA BOLETOS",IF(I876=Registro!$H876,"CONFORME","DIFERENCIA"))))</f>
        <v/>
      </c>
      <c r="K876" s="11" t="str">
        <f>IF(Registro!$I876="","",IFERROR(SUMPRODUCT(--("0"&amp;TRIM(RIGHT(SUBSTITUTE(TRIM(MID(SUBSTITUTE(SUBSTITUTE(Registro!$I876,";",CHAR(10)),CHAR(10),REPT(" ",LEN(Registro!$I876))),({1,2,3,4,5,6,7,8,9,10,11,12,13,14,15,16,17,18,19,20,21,22,23,24,25,26,27,28,29,30}-1)*LEN(Registro!$I876)+1,LEN(Registro!$I876)))," ",REPT(" ",50)),50)))),"Revisar formato"))</f>
        <v/>
      </c>
      <c r="L876" s="11" t="str">
        <f>IF(Registro!$J876="","",IFERROR(SUMPRODUCT(--("0"&amp;TRIM(RIGHT(SUBSTITUTE(TRIM(MID(SUBSTITUTE(SUBSTITUTE(Registro!$J876,";",CHAR(10)),CHAR(10),REPT(" ",LEN(Registro!$J876))),({1,2,3,4,5,6,7,8,9,10,11,12,13,14,15,16,17,18,19,20,21,22,23,24,25,26,27,28,29,30}-1)*LEN(Registro!$J876)+1,LEN(Registro!$J876)))," ",REPT(" ",50)),50)))),"Revisar formato"))</f>
        <v/>
      </c>
      <c r="M876" s="11" t="str">
        <f>IF(AND(Registro!$H876="",Registro!$I876=""),"",IF(AND(ISTEXT(K876),K876&lt;&gt;""),"Revisar formato",N(Registro!$H876)-N(K876)))</f>
        <v/>
      </c>
      <c r="N876" s="11" t="str">
        <f t="shared" si="41"/>
        <v/>
      </c>
      <c r="O876" s="15" t="str">
        <f>IF(AND(A876=Consulta!$B$3,C876=Consulta!$H$3),B876*10000+ROW(),"")</f>
        <v/>
      </c>
    </row>
    <row r="877" spans="1:15" x14ac:dyDescent="0.25">
      <c r="A877" s="9" t="str">
        <f>IF(Registro!$A877="","",Registro!$A877)</f>
        <v/>
      </c>
      <c r="B877" s="8" t="str">
        <f>IF(Registro!$B877="","",Registro!$B877)</f>
        <v/>
      </c>
      <c r="C877" s="14" t="str">
        <f t="shared" si="39"/>
        <v/>
      </c>
      <c r="D877" s="10" t="str">
        <f>IF(Registro!$E877="","",IF(ISERROR(FIND("x",LOWER(Registro!$E877))),"-",IFERROR(SUMPRODUCT(--("0"&amp;LEFT(TRIM(MID(SUBSTITUTE(SUBSTITUTE(SUBSTITUTE(SUBSTITUTE(SUBSTITUTE(LOWER(Registro!$E877),"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",LEN(Registro!$E877))),({1,2,3,4,5,6,7,8,9,10,11,12,13,14,15,16,17,18,19,20,21,22,23,24,25,26,27,28,29,30}-1)*LEN(Registro!$E877)+1,LEN(Registro!$E877)))&amp;"x")-1))),"Revisar formato")))</f>
        <v/>
      </c>
      <c r="E877" s="11" t="str">
        <f>IF(Registro!$E877="","",IF(ISERROR(FIND("x",LOWER(Registro!$E877))),"-",IFERROR(SUMPRODUCT(--("0"&amp;LEFT(TRIM(MID(SUBSTITUTE(SUBSTITUTE(SUBSTITUTE(SUBSTITUTE(SUBSTITUTE(LOWER(Registro!$E877),"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",LEN(Registro!$E877))),({1,2,3,4,5,6,7,8,9,10,11,12,13,14,15,16,17,18,19,20,21,22,23,24,25,26,27,28,29,30}-1)*LEN(Registro!$E877)+1,LEN(Registro!$E877)))&amp;"x")-1)),--("0"&amp;MID(TRIM(MID(SUBSTITUTE(SUBSTITUTE(SUBSTITUTE(SUBSTITUTE(SUBSTITUTE(LOWER(Registro!$E877),"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",LEN(Registro!$E877))),({1,2,3,4,5,6,7,8,9,10,11,12,13,14,15,16,17,18,19,20,21,22,23,24,25,26,27,28,29,30}-1)*LEN(Registro!$E877)+1,LEN(Registro!$E877)))&amp;"x")+1,20))),"Revisar formato")))</f>
        <v/>
      </c>
      <c r="F877" s="11" t="str">
        <f>IF(Registro!$F877="","",N(Registro!$F877))</f>
        <v/>
      </c>
      <c r="G877" s="11" t="str">
        <f t="shared" si="40"/>
        <v/>
      </c>
      <c r="H877" s="10" t="str">
        <f>IF(Registro!$G877="","",IF(ISERROR(FIND("x",LOWER(Registro!$G877))),"-",IFERROR(SUMPRODUCT(--("0"&amp;LEFT(TRIM(MID(SUBSTITUTE(SUBSTITUTE(SUBSTITUTE(SUBSTITUTE(SUBSTITUTE(LOWER(Registro!$G877),"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",LEN(Registro!$G877))),({1,2,3,4,5,6,7,8,9,10,11,12,13,14,15,16,17,18,19,20,21,22,23,24,25,26,27,28,29,30}-1)*LEN(Registro!$G877)+1,LEN(Registro!$G877))),FIND("x",TRIM(MID(SUBSTITUTE(SUBSTITUTE(SUBSTITUTE(SUBSTITUTE(SUBSTITUTE(LOWER(Registro!$G877),"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",LEN(Registro!$G877))),({1,2,3,4,5,6,7,8,9,10,11,12,13,14,15,16,17,18,19,20,21,22,23,24,25,26,27,28,29,30}-1)*LEN(Registro!$G877)+1,LEN(Registro!$G877)))&amp;"x")-1))),"Revisar formato")))</f>
        <v/>
      </c>
      <c r="I877" s="11" t="str">
        <f>IF(Registro!$G877="","",IF(ISERROR(FIND("x",LOWER(Registro!$G877))),N(Registro!$H877),IFERROR(SUMPRODUCT(--("0"&amp;LEFT(TRIM(MID(SUBSTITUTE(SUBSTITUTE(SUBSTITUTE(SUBSTITUTE(SUBSTITUTE(LOWER(Registro!$G877),"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",LEN(Registro!$G877))),({1,2,3,4,5,6,7,8,9,10,11,12,13,14,15,16,17,18,19,20,21,22,23,24,25,26,27,28,29,30}-1)*LEN(Registro!$G877)+1,LEN(Registro!$G877))),FIND("x",TRIM(MID(SUBSTITUTE(SUBSTITUTE(SUBSTITUTE(SUBSTITUTE(SUBSTITUTE(LOWER(Registro!$G877),"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",LEN(Registro!$G877))),({1,2,3,4,5,6,7,8,9,10,11,12,13,14,15,16,17,18,19,20,21,22,23,24,25,26,27,28,29,30}-1)*LEN(Registro!$G877)+1,LEN(Registro!$G877)))&amp;"x")-1)),--("0"&amp;MID(TRIM(MID(SUBSTITUTE(SUBSTITUTE(SUBSTITUTE(SUBSTITUTE(SUBSTITUTE(LOWER(Registro!$G877),"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",LEN(Registro!$G877))),({1,2,3,4,5,6,7,8,9,10,11,12,13,14,15,16,17,18,19,20,21,22,23,24,25,26,27,28,29,30}-1)*LEN(Registro!$G877)+1,LEN(Registro!$G877))),FIND("x",TRIM(MID(SUBSTITUTE(SUBSTITUTE(SUBSTITUTE(SUBSTITUTE(SUBSTITUTE(LOWER(Registro!$G877),"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",LEN(Registro!$G877))),({1,2,3,4,5,6,7,8,9,10,11,12,13,14,15,16,17,18,19,20,21,22,23,24,25,26,27,28,29,30}-1)*LEN(Registro!$G877)+1,LEN(Registro!$G877)))&amp;"x")+1,20))),"Revisar formato")))</f>
        <v/>
      </c>
      <c r="J877" s="9" t="str">
        <f>IF(AND(Registro!$E877="",Registro!$G877=""),"",IF(NOT(AND(ISNUMBER(I877),ISNUMBER(Registro!$H877))),"",IF(I877&lt;Registro!$H877,"FALTA BOLETOS",IF(I877=Registro!$H877,"CONFORME","DIFERENCIA"))))</f>
        <v/>
      </c>
      <c r="K877" s="11" t="str">
        <f>IF(Registro!$I877="","",IFERROR(SUMPRODUCT(--("0"&amp;TRIM(RIGHT(SUBSTITUTE(TRIM(MID(SUBSTITUTE(SUBSTITUTE(Registro!$I877,";",CHAR(10)),CHAR(10),REPT(" ",LEN(Registro!$I877))),({1,2,3,4,5,6,7,8,9,10,11,12,13,14,15,16,17,18,19,20,21,22,23,24,25,26,27,28,29,30}-1)*LEN(Registro!$I877)+1,LEN(Registro!$I877)))," ",REPT(" ",50)),50)))),"Revisar formato"))</f>
        <v/>
      </c>
      <c r="L877" s="11" t="str">
        <f>IF(Registro!$J877="","",IFERROR(SUMPRODUCT(--("0"&amp;TRIM(RIGHT(SUBSTITUTE(TRIM(MID(SUBSTITUTE(SUBSTITUTE(Registro!$J877,";",CHAR(10)),CHAR(10),REPT(" ",LEN(Registro!$J877))),({1,2,3,4,5,6,7,8,9,10,11,12,13,14,15,16,17,18,19,20,21,22,23,24,25,26,27,28,29,30}-1)*LEN(Registro!$J877)+1,LEN(Registro!$J877)))," ",REPT(" ",50)),50)))),"Revisar formato"))</f>
        <v/>
      </c>
      <c r="M877" s="11" t="str">
        <f>IF(AND(Registro!$H877="",Registro!$I877=""),"",IF(AND(ISTEXT(K877),K877&lt;&gt;""),"Revisar formato",N(Registro!$H877)-N(K877)))</f>
        <v/>
      </c>
      <c r="N877" s="11" t="str">
        <f t="shared" si="41"/>
        <v/>
      </c>
      <c r="O877" s="15" t="str">
        <f>IF(AND(A877=Consulta!$B$3,C877=Consulta!$H$3),B877*10000+ROW(),"")</f>
        <v/>
      </c>
    </row>
    <row r="878" spans="1:15" x14ac:dyDescent="0.25">
      <c r="A878" s="9" t="str">
        <f>IF(Registro!$A878="","",Registro!$A878)</f>
        <v/>
      </c>
      <c r="B878" s="8" t="str">
        <f>IF(Registro!$B878="","",Registro!$B878)</f>
        <v/>
      </c>
      <c r="C878" s="14" t="str">
        <f t="shared" si="39"/>
        <v/>
      </c>
      <c r="D878" s="10" t="str">
        <f>IF(Registro!$E878="","",IF(ISERROR(FIND("x",LOWER(Registro!$E878))),"-",IFERROR(SUMPRODUCT(--("0"&amp;LEFT(TRIM(MID(SUBSTITUTE(SUBSTITUTE(SUBSTITUTE(SUBSTITUTE(SUBSTITUTE(LOWER(Registro!$E878),"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",LEN(Registro!$E878))),({1,2,3,4,5,6,7,8,9,10,11,12,13,14,15,16,17,18,19,20,21,22,23,24,25,26,27,28,29,30}-1)*LEN(Registro!$E878)+1,LEN(Registro!$E878)))&amp;"x")-1))),"Revisar formato")))</f>
        <v/>
      </c>
      <c r="E878" s="11" t="str">
        <f>IF(Registro!$E878="","",IF(ISERROR(FIND("x",LOWER(Registro!$E878))),"-",IFERROR(SUMPRODUCT(--("0"&amp;LEFT(TRIM(MID(SUBSTITUTE(SUBSTITUTE(SUBSTITUTE(SUBSTITUTE(SUBSTITUTE(LOWER(Registro!$E878),"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",LEN(Registro!$E878))),({1,2,3,4,5,6,7,8,9,10,11,12,13,14,15,16,17,18,19,20,21,22,23,24,25,26,27,28,29,30}-1)*LEN(Registro!$E878)+1,LEN(Registro!$E878)))&amp;"x")-1)),--("0"&amp;MID(TRIM(MID(SUBSTITUTE(SUBSTITUTE(SUBSTITUTE(SUBSTITUTE(SUBSTITUTE(LOWER(Registro!$E878),"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",LEN(Registro!$E878))),({1,2,3,4,5,6,7,8,9,10,11,12,13,14,15,16,17,18,19,20,21,22,23,24,25,26,27,28,29,30}-1)*LEN(Registro!$E878)+1,LEN(Registro!$E878)))&amp;"x")+1,20))),"Revisar formato")))</f>
        <v/>
      </c>
      <c r="F878" s="11" t="str">
        <f>IF(Registro!$F878="","",N(Registro!$F878))</f>
        <v/>
      </c>
      <c r="G878" s="11" t="str">
        <f t="shared" si="40"/>
        <v/>
      </c>
      <c r="H878" s="10" t="str">
        <f>IF(Registro!$G878="","",IF(ISERROR(FIND("x",LOWER(Registro!$G878))),"-",IFERROR(SUMPRODUCT(--("0"&amp;LEFT(TRIM(MID(SUBSTITUTE(SUBSTITUTE(SUBSTITUTE(SUBSTITUTE(SUBSTITUTE(LOWER(Registro!$G878),"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",LEN(Registro!$G878))),({1,2,3,4,5,6,7,8,9,10,11,12,13,14,15,16,17,18,19,20,21,22,23,24,25,26,27,28,29,30}-1)*LEN(Registro!$G878)+1,LEN(Registro!$G878))),FIND("x",TRIM(MID(SUBSTITUTE(SUBSTITUTE(SUBSTITUTE(SUBSTITUTE(SUBSTITUTE(LOWER(Registro!$G878),"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",LEN(Registro!$G878))),({1,2,3,4,5,6,7,8,9,10,11,12,13,14,15,16,17,18,19,20,21,22,23,24,25,26,27,28,29,30}-1)*LEN(Registro!$G878)+1,LEN(Registro!$G878)))&amp;"x")-1))),"Revisar formato")))</f>
        <v/>
      </c>
      <c r="I878" s="11" t="str">
        <f>IF(Registro!$G878="","",IF(ISERROR(FIND("x",LOWER(Registro!$G878))),N(Registro!$H878),IFERROR(SUMPRODUCT(--("0"&amp;LEFT(TRIM(MID(SUBSTITUTE(SUBSTITUTE(SUBSTITUTE(SUBSTITUTE(SUBSTITUTE(LOWER(Registro!$G878),"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",LEN(Registro!$G878))),({1,2,3,4,5,6,7,8,9,10,11,12,13,14,15,16,17,18,19,20,21,22,23,24,25,26,27,28,29,30}-1)*LEN(Registro!$G878)+1,LEN(Registro!$G878))),FIND("x",TRIM(MID(SUBSTITUTE(SUBSTITUTE(SUBSTITUTE(SUBSTITUTE(SUBSTITUTE(LOWER(Registro!$G878),"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",LEN(Registro!$G878))),({1,2,3,4,5,6,7,8,9,10,11,12,13,14,15,16,17,18,19,20,21,22,23,24,25,26,27,28,29,30}-1)*LEN(Registro!$G878)+1,LEN(Registro!$G878)))&amp;"x")-1)),--("0"&amp;MID(TRIM(MID(SUBSTITUTE(SUBSTITUTE(SUBSTITUTE(SUBSTITUTE(SUBSTITUTE(LOWER(Registro!$G878),"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",LEN(Registro!$G878))),({1,2,3,4,5,6,7,8,9,10,11,12,13,14,15,16,17,18,19,20,21,22,23,24,25,26,27,28,29,30}-1)*LEN(Registro!$G878)+1,LEN(Registro!$G878))),FIND("x",TRIM(MID(SUBSTITUTE(SUBSTITUTE(SUBSTITUTE(SUBSTITUTE(SUBSTITUTE(LOWER(Registro!$G878),"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",LEN(Registro!$G878))),({1,2,3,4,5,6,7,8,9,10,11,12,13,14,15,16,17,18,19,20,21,22,23,24,25,26,27,28,29,30}-1)*LEN(Registro!$G878)+1,LEN(Registro!$G878)))&amp;"x")+1,20))),"Revisar formato")))</f>
        <v/>
      </c>
      <c r="J878" s="9" t="str">
        <f>IF(AND(Registro!$E878="",Registro!$G878=""),"",IF(NOT(AND(ISNUMBER(I878),ISNUMBER(Registro!$H878))),"",IF(I878&lt;Registro!$H878,"FALTA BOLETOS",IF(I878=Registro!$H878,"CONFORME","DIFERENCIA"))))</f>
        <v/>
      </c>
      <c r="K878" s="11" t="str">
        <f>IF(Registro!$I878="","",IFERROR(SUMPRODUCT(--("0"&amp;TRIM(RIGHT(SUBSTITUTE(TRIM(MID(SUBSTITUTE(SUBSTITUTE(Registro!$I878,";",CHAR(10)),CHAR(10),REPT(" ",LEN(Registro!$I878))),({1,2,3,4,5,6,7,8,9,10,11,12,13,14,15,16,17,18,19,20,21,22,23,24,25,26,27,28,29,30}-1)*LEN(Registro!$I878)+1,LEN(Registro!$I878)))," ",REPT(" ",50)),50)))),"Revisar formato"))</f>
        <v/>
      </c>
      <c r="L878" s="11" t="str">
        <f>IF(Registro!$J878="","",IFERROR(SUMPRODUCT(--("0"&amp;TRIM(RIGHT(SUBSTITUTE(TRIM(MID(SUBSTITUTE(SUBSTITUTE(Registro!$J878,";",CHAR(10)),CHAR(10),REPT(" ",LEN(Registro!$J878))),({1,2,3,4,5,6,7,8,9,10,11,12,13,14,15,16,17,18,19,20,21,22,23,24,25,26,27,28,29,30}-1)*LEN(Registro!$J878)+1,LEN(Registro!$J878)))," ",REPT(" ",50)),50)))),"Revisar formato"))</f>
        <v/>
      </c>
      <c r="M878" s="11" t="str">
        <f>IF(AND(Registro!$H878="",Registro!$I878=""),"",IF(AND(ISTEXT(K878),K878&lt;&gt;""),"Revisar formato",N(Registro!$H878)-N(K878)))</f>
        <v/>
      </c>
      <c r="N878" s="11" t="str">
        <f t="shared" si="41"/>
        <v/>
      </c>
      <c r="O878" s="15" t="str">
        <f>IF(AND(A878=Consulta!$B$3,C878=Consulta!$H$3),B878*10000+ROW(),"")</f>
        <v/>
      </c>
    </row>
    <row r="879" spans="1:15" x14ac:dyDescent="0.25">
      <c r="A879" s="9" t="str">
        <f>IF(Registro!$A879="","",Registro!$A879)</f>
        <v/>
      </c>
      <c r="B879" s="8" t="str">
        <f>IF(Registro!$B879="","",Registro!$B879)</f>
        <v/>
      </c>
      <c r="C879" s="14" t="str">
        <f t="shared" si="39"/>
        <v/>
      </c>
      <c r="D879" s="10" t="str">
        <f>IF(Registro!$E879="","",IF(ISERROR(FIND("x",LOWER(Registro!$E879))),"-",IFERROR(SUMPRODUCT(--("0"&amp;LEFT(TRIM(MID(SUBSTITUTE(SUBSTITUTE(SUBSTITUTE(SUBSTITUTE(SUBSTITUTE(LOWER(Registro!$E879),"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",LEN(Registro!$E879))),({1,2,3,4,5,6,7,8,9,10,11,12,13,14,15,16,17,18,19,20,21,22,23,24,25,26,27,28,29,30}-1)*LEN(Registro!$E879)+1,LEN(Registro!$E879)))&amp;"x")-1))),"Revisar formato")))</f>
        <v/>
      </c>
      <c r="E879" s="11" t="str">
        <f>IF(Registro!$E879="","",IF(ISERROR(FIND("x",LOWER(Registro!$E879))),"-",IFERROR(SUMPRODUCT(--("0"&amp;LEFT(TRIM(MID(SUBSTITUTE(SUBSTITUTE(SUBSTITUTE(SUBSTITUTE(SUBSTITUTE(LOWER(Registro!$E879),"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",LEN(Registro!$E879))),({1,2,3,4,5,6,7,8,9,10,11,12,13,14,15,16,17,18,19,20,21,22,23,24,25,26,27,28,29,30}-1)*LEN(Registro!$E879)+1,LEN(Registro!$E879)))&amp;"x")-1)),--("0"&amp;MID(TRIM(MID(SUBSTITUTE(SUBSTITUTE(SUBSTITUTE(SUBSTITUTE(SUBSTITUTE(LOWER(Registro!$E879),"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",LEN(Registro!$E879))),({1,2,3,4,5,6,7,8,9,10,11,12,13,14,15,16,17,18,19,20,21,22,23,24,25,26,27,28,29,30}-1)*LEN(Registro!$E879)+1,LEN(Registro!$E879)))&amp;"x")+1,20))),"Revisar formato")))</f>
        <v/>
      </c>
      <c r="F879" s="11" t="str">
        <f>IF(Registro!$F879="","",N(Registro!$F879))</f>
        <v/>
      </c>
      <c r="G879" s="11" t="str">
        <f t="shared" si="40"/>
        <v/>
      </c>
      <c r="H879" s="10" t="str">
        <f>IF(Registro!$G879="","",IF(ISERROR(FIND("x",LOWER(Registro!$G879))),"-",IFERROR(SUMPRODUCT(--("0"&amp;LEFT(TRIM(MID(SUBSTITUTE(SUBSTITUTE(SUBSTITUTE(SUBSTITUTE(SUBSTITUTE(LOWER(Registro!$G879),"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",LEN(Registro!$G879))),({1,2,3,4,5,6,7,8,9,10,11,12,13,14,15,16,17,18,19,20,21,22,23,24,25,26,27,28,29,30}-1)*LEN(Registro!$G879)+1,LEN(Registro!$G879))),FIND("x",TRIM(MID(SUBSTITUTE(SUBSTITUTE(SUBSTITUTE(SUBSTITUTE(SUBSTITUTE(LOWER(Registro!$G879),"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",LEN(Registro!$G879))),({1,2,3,4,5,6,7,8,9,10,11,12,13,14,15,16,17,18,19,20,21,22,23,24,25,26,27,28,29,30}-1)*LEN(Registro!$G879)+1,LEN(Registro!$G879)))&amp;"x")-1))),"Revisar formato")))</f>
        <v/>
      </c>
      <c r="I879" s="11" t="str">
        <f>IF(Registro!$G879="","",IF(ISERROR(FIND("x",LOWER(Registro!$G879))),N(Registro!$H879),IFERROR(SUMPRODUCT(--("0"&amp;LEFT(TRIM(MID(SUBSTITUTE(SUBSTITUTE(SUBSTITUTE(SUBSTITUTE(SUBSTITUTE(LOWER(Registro!$G879),"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",LEN(Registro!$G879))),({1,2,3,4,5,6,7,8,9,10,11,12,13,14,15,16,17,18,19,20,21,22,23,24,25,26,27,28,29,30}-1)*LEN(Registro!$G879)+1,LEN(Registro!$G879))),FIND("x",TRIM(MID(SUBSTITUTE(SUBSTITUTE(SUBSTITUTE(SUBSTITUTE(SUBSTITUTE(LOWER(Registro!$G879),"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",LEN(Registro!$G879))),({1,2,3,4,5,6,7,8,9,10,11,12,13,14,15,16,17,18,19,20,21,22,23,24,25,26,27,28,29,30}-1)*LEN(Registro!$G879)+1,LEN(Registro!$G879)))&amp;"x")-1)),--("0"&amp;MID(TRIM(MID(SUBSTITUTE(SUBSTITUTE(SUBSTITUTE(SUBSTITUTE(SUBSTITUTE(LOWER(Registro!$G879),"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",LEN(Registro!$G879))),({1,2,3,4,5,6,7,8,9,10,11,12,13,14,15,16,17,18,19,20,21,22,23,24,25,26,27,28,29,30}-1)*LEN(Registro!$G879)+1,LEN(Registro!$G879))),FIND("x",TRIM(MID(SUBSTITUTE(SUBSTITUTE(SUBSTITUTE(SUBSTITUTE(SUBSTITUTE(LOWER(Registro!$G879),"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",LEN(Registro!$G879))),({1,2,3,4,5,6,7,8,9,10,11,12,13,14,15,16,17,18,19,20,21,22,23,24,25,26,27,28,29,30}-1)*LEN(Registro!$G879)+1,LEN(Registro!$G879)))&amp;"x")+1,20))),"Revisar formato")))</f>
        <v/>
      </c>
      <c r="J879" s="9" t="str">
        <f>IF(AND(Registro!$E879="",Registro!$G879=""),"",IF(NOT(AND(ISNUMBER(I879),ISNUMBER(Registro!$H879))),"",IF(I879&lt;Registro!$H879,"FALTA BOLETOS",IF(I879=Registro!$H879,"CONFORME","DIFERENCIA"))))</f>
        <v/>
      </c>
      <c r="K879" s="11" t="str">
        <f>IF(Registro!$I879="","",IFERROR(SUMPRODUCT(--("0"&amp;TRIM(RIGHT(SUBSTITUTE(TRIM(MID(SUBSTITUTE(SUBSTITUTE(Registro!$I879,";",CHAR(10)),CHAR(10),REPT(" ",LEN(Registro!$I879))),({1,2,3,4,5,6,7,8,9,10,11,12,13,14,15,16,17,18,19,20,21,22,23,24,25,26,27,28,29,30}-1)*LEN(Registro!$I879)+1,LEN(Registro!$I879)))," ",REPT(" ",50)),50)))),"Revisar formato"))</f>
        <v/>
      </c>
      <c r="L879" s="11" t="str">
        <f>IF(Registro!$J879="","",IFERROR(SUMPRODUCT(--("0"&amp;TRIM(RIGHT(SUBSTITUTE(TRIM(MID(SUBSTITUTE(SUBSTITUTE(Registro!$J879,";",CHAR(10)),CHAR(10),REPT(" ",LEN(Registro!$J879))),({1,2,3,4,5,6,7,8,9,10,11,12,13,14,15,16,17,18,19,20,21,22,23,24,25,26,27,28,29,30}-1)*LEN(Registro!$J879)+1,LEN(Registro!$J879)))," ",REPT(" ",50)),50)))),"Revisar formato"))</f>
        <v/>
      </c>
      <c r="M879" s="11" t="str">
        <f>IF(AND(Registro!$H879="",Registro!$I879=""),"",IF(AND(ISTEXT(K879),K879&lt;&gt;""),"Revisar formato",N(Registro!$H879)-N(K879)))</f>
        <v/>
      </c>
      <c r="N879" s="11" t="str">
        <f t="shared" si="41"/>
        <v/>
      </c>
      <c r="O879" s="15" t="str">
        <f>IF(AND(A879=Consulta!$B$3,C879=Consulta!$H$3),B879*10000+ROW(),"")</f>
        <v/>
      </c>
    </row>
    <row r="880" spans="1:15" x14ac:dyDescent="0.25">
      <c r="A880" s="9" t="str">
        <f>IF(Registro!$A880="","",Registro!$A880)</f>
        <v/>
      </c>
      <c r="B880" s="8" t="str">
        <f>IF(Registro!$B880="","",Registro!$B880)</f>
        <v/>
      </c>
      <c r="C880" s="14" t="str">
        <f t="shared" si="39"/>
        <v/>
      </c>
      <c r="D880" s="10" t="str">
        <f>IF(Registro!$E880="","",IF(ISERROR(FIND("x",LOWER(Registro!$E880))),"-",IFERROR(SUMPRODUCT(--("0"&amp;LEFT(TRIM(MID(SUBSTITUTE(SUBSTITUTE(SUBSTITUTE(SUBSTITUTE(SUBSTITUTE(LOWER(Registro!$E880),"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",LEN(Registro!$E880))),({1,2,3,4,5,6,7,8,9,10,11,12,13,14,15,16,17,18,19,20,21,22,23,24,25,26,27,28,29,30}-1)*LEN(Registro!$E880)+1,LEN(Registro!$E880)))&amp;"x")-1))),"Revisar formato")))</f>
        <v/>
      </c>
      <c r="E880" s="11" t="str">
        <f>IF(Registro!$E880="","",IF(ISERROR(FIND("x",LOWER(Registro!$E880))),"-",IFERROR(SUMPRODUCT(--("0"&amp;LEFT(TRIM(MID(SUBSTITUTE(SUBSTITUTE(SUBSTITUTE(SUBSTITUTE(SUBSTITUTE(LOWER(Registro!$E880),"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",LEN(Registro!$E880))),({1,2,3,4,5,6,7,8,9,10,11,12,13,14,15,16,17,18,19,20,21,22,23,24,25,26,27,28,29,30}-1)*LEN(Registro!$E880)+1,LEN(Registro!$E880)))&amp;"x")-1)),--("0"&amp;MID(TRIM(MID(SUBSTITUTE(SUBSTITUTE(SUBSTITUTE(SUBSTITUTE(SUBSTITUTE(LOWER(Registro!$E880),"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",LEN(Registro!$E880))),({1,2,3,4,5,6,7,8,9,10,11,12,13,14,15,16,17,18,19,20,21,22,23,24,25,26,27,28,29,30}-1)*LEN(Registro!$E880)+1,LEN(Registro!$E880)))&amp;"x")+1,20))),"Revisar formato")))</f>
        <v/>
      </c>
      <c r="F880" s="11" t="str">
        <f>IF(Registro!$F880="","",N(Registro!$F880))</f>
        <v/>
      </c>
      <c r="G880" s="11" t="str">
        <f t="shared" si="40"/>
        <v/>
      </c>
      <c r="H880" s="10" t="str">
        <f>IF(Registro!$G880="","",IF(ISERROR(FIND("x",LOWER(Registro!$G880))),"-",IFERROR(SUMPRODUCT(--("0"&amp;LEFT(TRIM(MID(SUBSTITUTE(SUBSTITUTE(SUBSTITUTE(SUBSTITUTE(SUBSTITUTE(LOWER(Registro!$G880),"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",LEN(Registro!$G880))),({1,2,3,4,5,6,7,8,9,10,11,12,13,14,15,16,17,18,19,20,21,22,23,24,25,26,27,28,29,30}-1)*LEN(Registro!$G880)+1,LEN(Registro!$G880))),FIND("x",TRIM(MID(SUBSTITUTE(SUBSTITUTE(SUBSTITUTE(SUBSTITUTE(SUBSTITUTE(LOWER(Registro!$G880),"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",LEN(Registro!$G880))),({1,2,3,4,5,6,7,8,9,10,11,12,13,14,15,16,17,18,19,20,21,22,23,24,25,26,27,28,29,30}-1)*LEN(Registro!$G880)+1,LEN(Registro!$G880)))&amp;"x")-1))),"Revisar formato")))</f>
        <v/>
      </c>
      <c r="I880" s="11" t="str">
        <f>IF(Registro!$G880="","",IF(ISERROR(FIND("x",LOWER(Registro!$G880))),N(Registro!$H880),IFERROR(SUMPRODUCT(--("0"&amp;LEFT(TRIM(MID(SUBSTITUTE(SUBSTITUTE(SUBSTITUTE(SUBSTITUTE(SUBSTITUTE(LOWER(Registro!$G880),"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",LEN(Registro!$G880))),({1,2,3,4,5,6,7,8,9,10,11,12,13,14,15,16,17,18,19,20,21,22,23,24,25,26,27,28,29,30}-1)*LEN(Registro!$G880)+1,LEN(Registro!$G880))),FIND("x",TRIM(MID(SUBSTITUTE(SUBSTITUTE(SUBSTITUTE(SUBSTITUTE(SUBSTITUTE(LOWER(Registro!$G880),"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",LEN(Registro!$G880))),({1,2,3,4,5,6,7,8,9,10,11,12,13,14,15,16,17,18,19,20,21,22,23,24,25,26,27,28,29,30}-1)*LEN(Registro!$G880)+1,LEN(Registro!$G880)))&amp;"x")-1)),--("0"&amp;MID(TRIM(MID(SUBSTITUTE(SUBSTITUTE(SUBSTITUTE(SUBSTITUTE(SUBSTITUTE(LOWER(Registro!$G880),"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",LEN(Registro!$G880))),({1,2,3,4,5,6,7,8,9,10,11,12,13,14,15,16,17,18,19,20,21,22,23,24,25,26,27,28,29,30}-1)*LEN(Registro!$G880)+1,LEN(Registro!$G880))),FIND("x",TRIM(MID(SUBSTITUTE(SUBSTITUTE(SUBSTITUTE(SUBSTITUTE(SUBSTITUTE(LOWER(Registro!$G880),"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",LEN(Registro!$G880))),({1,2,3,4,5,6,7,8,9,10,11,12,13,14,15,16,17,18,19,20,21,22,23,24,25,26,27,28,29,30}-1)*LEN(Registro!$G880)+1,LEN(Registro!$G880)))&amp;"x")+1,20))),"Revisar formato")))</f>
        <v/>
      </c>
      <c r="J880" s="9" t="str">
        <f>IF(AND(Registro!$E880="",Registro!$G880=""),"",IF(NOT(AND(ISNUMBER(I880),ISNUMBER(Registro!$H880))),"",IF(I880&lt;Registro!$H880,"FALTA BOLETOS",IF(I880=Registro!$H880,"CONFORME","DIFERENCIA"))))</f>
        <v/>
      </c>
      <c r="K880" s="11" t="str">
        <f>IF(Registro!$I880="","",IFERROR(SUMPRODUCT(--("0"&amp;TRIM(RIGHT(SUBSTITUTE(TRIM(MID(SUBSTITUTE(SUBSTITUTE(Registro!$I880,";",CHAR(10)),CHAR(10),REPT(" ",LEN(Registro!$I880))),({1,2,3,4,5,6,7,8,9,10,11,12,13,14,15,16,17,18,19,20,21,22,23,24,25,26,27,28,29,30}-1)*LEN(Registro!$I880)+1,LEN(Registro!$I880)))," ",REPT(" ",50)),50)))),"Revisar formato"))</f>
        <v/>
      </c>
      <c r="L880" s="11" t="str">
        <f>IF(Registro!$J880="","",IFERROR(SUMPRODUCT(--("0"&amp;TRIM(RIGHT(SUBSTITUTE(TRIM(MID(SUBSTITUTE(SUBSTITUTE(Registro!$J880,";",CHAR(10)),CHAR(10),REPT(" ",LEN(Registro!$J880))),({1,2,3,4,5,6,7,8,9,10,11,12,13,14,15,16,17,18,19,20,21,22,23,24,25,26,27,28,29,30}-1)*LEN(Registro!$J880)+1,LEN(Registro!$J880)))," ",REPT(" ",50)),50)))),"Revisar formato"))</f>
        <v/>
      </c>
      <c r="M880" s="11" t="str">
        <f>IF(AND(Registro!$H880="",Registro!$I880=""),"",IF(AND(ISTEXT(K880),K880&lt;&gt;""),"Revisar formato",N(Registro!$H880)-N(K880)))</f>
        <v/>
      </c>
      <c r="N880" s="11" t="str">
        <f t="shared" si="41"/>
        <v/>
      </c>
      <c r="O880" s="15" t="str">
        <f>IF(AND(A880=Consulta!$B$3,C880=Consulta!$H$3),B880*10000+ROW(),"")</f>
        <v/>
      </c>
    </row>
    <row r="881" spans="1:15" x14ac:dyDescent="0.25">
      <c r="A881" s="9" t="str">
        <f>IF(Registro!$A881="","",Registro!$A881)</f>
        <v/>
      </c>
      <c r="B881" s="8" t="str">
        <f>IF(Registro!$B881="","",Registro!$B881)</f>
        <v/>
      </c>
      <c r="C881" s="14" t="str">
        <f t="shared" si="39"/>
        <v/>
      </c>
      <c r="D881" s="10" t="str">
        <f>IF(Registro!$E881="","",IF(ISERROR(FIND("x",LOWER(Registro!$E881))),"-",IFERROR(SUMPRODUCT(--("0"&amp;LEFT(TRIM(MID(SUBSTITUTE(SUBSTITUTE(SUBSTITUTE(SUBSTITUTE(SUBSTITUTE(LOWER(Registro!$E881),"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",LEN(Registro!$E881))),({1,2,3,4,5,6,7,8,9,10,11,12,13,14,15,16,17,18,19,20,21,22,23,24,25,26,27,28,29,30}-1)*LEN(Registro!$E881)+1,LEN(Registro!$E881)))&amp;"x")-1))),"Revisar formato")))</f>
        <v/>
      </c>
      <c r="E881" s="11" t="str">
        <f>IF(Registro!$E881="","",IF(ISERROR(FIND("x",LOWER(Registro!$E881))),"-",IFERROR(SUMPRODUCT(--("0"&amp;LEFT(TRIM(MID(SUBSTITUTE(SUBSTITUTE(SUBSTITUTE(SUBSTITUTE(SUBSTITUTE(LOWER(Registro!$E881),"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",LEN(Registro!$E881))),({1,2,3,4,5,6,7,8,9,10,11,12,13,14,15,16,17,18,19,20,21,22,23,24,25,26,27,28,29,30}-1)*LEN(Registro!$E881)+1,LEN(Registro!$E881)))&amp;"x")-1)),--("0"&amp;MID(TRIM(MID(SUBSTITUTE(SUBSTITUTE(SUBSTITUTE(SUBSTITUTE(SUBSTITUTE(LOWER(Registro!$E881),"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",LEN(Registro!$E881))),({1,2,3,4,5,6,7,8,9,10,11,12,13,14,15,16,17,18,19,20,21,22,23,24,25,26,27,28,29,30}-1)*LEN(Registro!$E881)+1,LEN(Registro!$E881)))&amp;"x")+1,20))),"Revisar formato")))</f>
        <v/>
      </c>
      <c r="F881" s="11" t="str">
        <f>IF(Registro!$F881="","",N(Registro!$F881))</f>
        <v/>
      </c>
      <c r="G881" s="11" t="str">
        <f t="shared" si="40"/>
        <v/>
      </c>
      <c r="H881" s="10" t="str">
        <f>IF(Registro!$G881="","",IF(ISERROR(FIND("x",LOWER(Registro!$G881))),"-",IFERROR(SUMPRODUCT(--("0"&amp;LEFT(TRIM(MID(SUBSTITUTE(SUBSTITUTE(SUBSTITUTE(SUBSTITUTE(SUBSTITUTE(LOWER(Registro!$G881),"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",LEN(Registro!$G881))),({1,2,3,4,5,6,7,8,9,10,11,12,13,14,15,16,17,18,19,20,21,22,23,24,25,26,27,28,29,30}-1)*LEN(Registro!$G881)+1,LEN(Registro!$G881))),FIND("x",TRIM(MID(SUBSTITUTE(SUBSTITUTE(SUBSTITUTE(SUBSTITUTE(SUBSTITUTE(LOWER(Registro!$G881),"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",LEN(Registro!$G881))),({1,2,3,4,5,6,7,8,9,10,11,12,13,14,15,16,17,18,19,20,21,22,23,24,25,26,27,28,29,30}-1)*LEN(Registro!$G881)+1,LEN(Registro!$G881)))&amp;"x")-1))),"Revisar formato")))</f>
        <v/>
      </c>
      <c r="I881" s="11" t="str">
        <f>IF(Registro!$G881="","",IF(ISERROR(FIND("x",LOWER(Registro!$G881))),N(Registro!$H881),IFERROR(SUMPRODUCT(--("0"&amp;LEFT(TRIM(MID(SUBSTITUTE(SUBSTITUTE(SUBSTITUTE(SUBSTITUTE(SUBSTITUTE(LOWER(Registro!$G881),"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",LEN(Registro!$G881))),({1,2,3,4,5,6,7,8,9,10,11,12,13,14,15,16,17,18,19,20,21,22,23,24,25,26,27,28,29,30}-1)*LEN(Registro!$G881)+1,LEN(Registro!$G881))),FIND("x",TRIM(MID(SUBSTITUTE(SUBSTITUTE(SUBSTITUTE(SUBSTITUTE(SUBSTITUTE(LOWER(Registro!$G881),"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",LEN(Registro!$G881))),({1,2,3,4,5,6,7,8,9,10,11,12,13,14,15,16,17,18,19,20,21,22,23,24,25,26,27,28,29,30}-1)*LEN(Registro!$G881)+1,LEN(Registro!$G881)))&amp;"x")-1)),--("0"&amp;MID(TRIM(MID(SUBSTITUTE(SUBSTITUTE(SUBSTITUTE(SUBSTITUTE(SUBSTITUTE(LOWER(Registro!$G881),"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",LEN(Registro!$G881))),({1,2,3,4,5,6,7,8,9,10,11,12,13,14,15,16,17,18,19,20,21,22,23,24,25,26,27,28,29,30}-1)*LEN(Registro!$G881)+1,LEN(Registro!$G881))),FIND("x",TRIM(MID(SUBSTITUTE(SUBSTITUTE(SUBSTITUTE(SUBSTITUTE(SUBSTITUTE(LOWER(Registro!$G881),"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",LEN(Registro!$G881))),({1,2,3,4,5,6,7,8,9,10,11,12,13,14,15,16,17,18,19,20,21,22,23,24,25,26,27,28,29,30}-1)*LEN(Registro!$G881)+1,LEN(Registro!$G881)))&amp;"x")+1,20))),"Revisar formato")))</f>
        <v/>
      </c>
      <c r="J881" s="9" t="str">
        <f>IF(AND(Registro!$E881="",Registro!$G881=""),"",IF(NOT(AND(ISNUMBER(I881),ISNUMBER(Registro!$H881))),"",IF(I881&lt;Registro!$H881,"FALTA BOLETOS",IF(I881=Registro!$H881,"CONFORME","DIFERENCIA"))))</f>
        <v/>
      </c>
      <c r="K881" s="11" t="str">
        <f>IF(Registro!$I881="","",IFERROR(SUMPRODUCT(--("0"&amp;TRIM(RIGHT(SUBSTITUTE(TRIM(MID(SUBSTITUTE(SUBSTITUTE(Registro!$I881,";",CHAR(10)),CHAR(10),REPT(" ",LEN(Registro!$I881))),({1,2,3,4,5,6,7,8,9,10,11,12,13,14,15,16,17,18,19,20,21,22,23,24,25,26,27,28,29,30}-1)*LEN(Registro!$I881)+1,LEN(Registro!$I881)))," ",REPT(" ",50)),50)))),"Revisar formato"))</f>
        <v/>
      </c>
      <c r="L881" s="11" t="str">
        <f>IF(Registro!$J881="","",IFERROR(SUMPRODUCT(--("0"&amp;TRIM(RIGHT(SUBSTITUTE(TRIM(MID(SUBSTITUTE(SUBSTITUTE(Registro!$J881,";",CHAR(10)),CHAR(10),REPT(" ",LEN(Registro!$J881))),({1,2,3,4,5,6,7,8,9,10,11,12,13,14,15,16,17,18,19,20,21,22,23,24,25,26,27,28,29,30}-1)*LEN(Registro!$J881)+1,LEN(Registro!$J881)))," ",REPT(" ",50)),50)))),"Revisar formato"))</f>
        <v/>
      </c>
      <c r="M881" s="11" t="str">
        <f>IF(AND(Registro!$H881="",Registro!$I881=""),"",IF(AND(ISTEXT(K881),K881&lt;&gt;""),"Revisar formato",N(Registro!$H881)-N(K881)))</f>
        <v/>
      </c>
      <c r="N881" s="11" t="str">
        <f t="shared" si="41"/>
        <v/>
      </c>
      <c r="O881" s="15" t="str">
        <f>IF(AND(A881=Consulta!$B$3,C881=Consulta!$H$3),B881*10000+ROW(),"")</f>
        <v/>
      </c>
    </row>
    <row r="882" spans="1:15" x14ac:dyDescent="0.25">
      <c r="A882" s="9" t="str">
        <f>IF(Registro!$A882="","",Registro!$A882)</f>
        <v/>
      </c>
      <c r="B882" s="8" t="str">
        <f>IF(Registro!$B882="","",Registro!$B882)</f>
        <v/>
      </c>
      <c r="C882" s="14" t="str">
        <f t="shared" si="39"/>
        <v/>
      </c>
      <c r="D882" s="10" t="str">
        <f>IF(Registro!$E882="","",IF(ISERROR(FIND("x",LOWER(Registro!$E882))),"-",IFERROR(SUMPRODUCT(--("0"&amp;LEFT(TRIM(MID(SUBSTITUTE(SUBSTITUTE(SUBSTITUTE(SUBSTITUTE(SUBSTITUTE(LOWER(Registro!$E882),"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",LEN(Registro!$E882))),({1,2,3,4,5,6,7,8,9,10,11,12,13,14,15,16,17,18,19,20,21,22,23,24,25,26,27,28,29,30}-1)*LEN(Registro!$E882)+1,LEN(Registro!$E882)))&amp;"x")-1))),"Revisar formato")))</f>
        <v/>
      </c>
      <c r="E882" s="11" t="str">
        <f>IF(Registro!$E882="","",IF(ISERROR(FIND("x",LOWER(Registro!$E882))),"-",IFERROR(SUMPRODUCT(--("0"&amp;LEFT(TRIM(MID(SUBSTITUTE(SUBSTITUTE(SUBSTITUTE(SUBSTITUTE(SUBSTITUTE(LOWER(Registro!$E882),"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",LEN(Registro!$E882))),({1,2,3,4,5,6,7,8,9,10,11,12,13,14,15,16,17,18,19,20,21,22,23,24,25,26,27,28,29,30}-1)*LEN(Registro!$E882)+1,LEN(Registro!$E882)))&amp;"x")-1)),--("0"&amp;MID(TRIM(MID(SUBSTITUTE(SUBSTITUTE(SUBSTITUTE(SUBSTITUTE(SUBSTITUTE(LOWER(Registro!$E882),"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",LEN(Registro!$E882))),({1,2,3,4,5,6,7,8,9,10,11,12,13,14,15,16,17,18,19,20,21,22,23,24,25,26,27,28,29,30}-1)*LEN(Registro!$E882)+1,LEN(Registro!$E882)))&amp;"x")+1,20))),"Revisar formato")))</f>
        <v/>
      </c>
      <c r="F882" s="11" t="str">
        <f>IF(Registro!$F882="","",N(Registro!$F882))</f>
        <v/>
      </c>
      <c r="G882" s="11" t="str">
        <f t="shared" si="40"/>
        <v/>
      </c>
      <c r="H882" s="10" t="str">
        <f>IF(Registro!$G882="","",IF(ISERROR(FIND("x",LOWER(Registro!$G882))),"-",IFERROR(SUMPRODUCT(--("0"&amp;LEFT(TRIM(MID(SUBSTITUTE(SUBSTITUTE(SUBSTITUTE(SUBSTITUTE(SUBSTITUTE(LOWER(Registro!$G882),"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",LEN(Registro!$G882))),({1,2,3,4,5,6,7,8,9,10,11,12,13,14,15,16,17,18,19,20,21,22,23,24,25,26,27,28,29,30}-1)*LEN(Registro!$G882)+1,LEN(Registro!$G882))),FIND("x",TRIM(MID(SUBSTITUTE(SUBSTITUTE(SUBSTITUTE(SUBSTITUTE(SUBSTITUTE(LOWER(Registro!$G882),"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",LEN(Registro!$G882))),({1,2,3,4,5,6,7,8,9,10,11,12,13,14,15,16,17,18,19,20,21,22,23,24,25,26,27,28,29,30}-1)*LEN(Registro!$G882)+1,LEN(Registro!$G882)))&amp;"x")-1))),"Revisar formato")))</f>
        <v/>
      </c>
      <c r="I882" s="11" t="str">
        <f>IF(Registro!$G882="","",IF(ISERROR(FIND("x",LOWER(Registro!$G882))),N(Registro!$H882),IFERROR(SUMPRODUCT(--("0"&amp;LEFT(TRIM(MID(SUBSTITUTE(SUBSTITUTE(SUBSTITUTE(SUBSTITUTE(SUBSTITUTE(LOWER(Registro!$G882),"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",LEN(Registro!$G882))),({1,2,3,4,5,6,7,8,9,10,11,12,13,14,15,16,17,18,19,20,21,22,23,24,25,26,27,28,29,30}-1)*LEN(Registro!$G882)+1,LEN(Registro!$G882))),FIND("x",TRIM(MID(SUBSTITUTE(SUBSTITUTE(SUBSTITUTE(SUBSTITUTE(SUBSTITUTE(LOWER(Registro!$G882),"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",LEN(Registro!$G882))),({1,2,3,4,5,6,7,8,9,10,11,12,13,14,15,16,17,18,19,20,21,22,23,24,25,26,27,28,29,30}-1)*LEN(Registro!$G882)+1,LEN(Registro!$G882)))&amp;"x")-1)),--("0"&amp;MID(TRIM(MID(SUBSTITUTE(SUBSTITUTE(SUBSTITUTE(SUBSTITUTE(SUBSTITUTE(LOWER(Registro!$G882),"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",LEN(Registro!$G882))),({1,2,3,4,5,6,7,8,9,10,11,12,13,14,15,16,17,18,19,20,21,22,23,24,25,26,27,28,29,30}-1)*LEN(Registro!$G882)+1,LEN(Registro!$G882))),FIND("x",TRIM(MID(SUBSTITUTE(SUBSTITUTE(SUBSTITUTE(SUBSTITUTE(SUBSTITUTE(LOWER(Registro!$G882),"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",LEN(Registro!$G882))),({1,2,3,4,5,6,7,8,9,10,11,12,13,14,15,16,17,18,19,20,21,22,23,24,25,26,27,28,29,30}-1)*LEN(Registro!$G882)+1,LEN(Registro!$G882)))&amp;"x")+1,20))),"Revisar formato")))</f>
        <v/>
      </c>
      <c r="J882" s="9" t="str">
        <f>IF(AND(Registro!$E882="",Registro!$G882=""),"",IF(NOT(AND(ISNUMBER(I882),ISNUMBER(Registro!$H882))),"",IF(I882&lt;Registro!$H882,"FALTA BOLETOS",IF(I882=Registro!$H882,"CONFORME","DIFERENCIA"))))</f>
        <v/>
      </c>
      <c r="K882" s="11" t="str">
        <f>IF(Registro!$I882="","",IFERROR(SUMPRODUCT(--("0"&amp;TRIM(RIGHT(SUBSTITUTE(TRIM(MID(SUBSTITUTE(SUBSTITUTE(Registro!$I882,";",CHAR(10)),CHAR(10),REPT(" ",LEN(Registro!$I882))),({1,2,3,4,5,6,7,8,9,10,11,12,13,14,15,16,17,18,19,20,21,22,23,24,25,26,27,28,29,30}-1)*LEN(Registro!$I882)+1,LEN(Registro!$I882)))," ",REPT(" ",50)),50)))),"Revisar formato"))</f>
        <v/>
      </c>
      <c r="L882" s="11" t="str">
        <f>IF(Registro!$J882="","",IFERROR(SUMPRODUCT(--("0"&amp;TRIM(RIGHT(SUBSTITUTE(TRIM(MID(SUBSTITUTE(SUBSTITUTE(Registro!$J882,";",CHAR(10)),CHAR(10),REPT(" ",LEN(Registro!$J882))),({1,2,3,4,5,6,7,8,9,10,11,12,13,14,15,16,17,18,19,20,21,22,23,24,25,26,27,28,29,30}-1)*LEN(Registro!$J882)+1,LEN(Registro!$J882)))," ",REPT(" ",50)),50)))),"Revisar formato"))</f>
        <v/>
      </c>
      <c r="M882" s="11" t="str">
        <f>IF(AND(Registro!$H882="",Registro!$I882=""),"",IF(AND(ISTEXT(K882),K882&lt;&gt;""),"Revisar formato",N(Registro!$H882)-N(K882)))</f>
        <v/>
      </c>
      <c r="N882" s="11" t="str">
        <f t="shared" si="41"/>
        <v/>
      </c>
      <c r="O882" s="15" t="str">
        <f>IF(AND(A882=Consulta!$B$3,C882=Consulta!$H$3),B882*10000+ROW(),"")</f>
        <v/>
      </c>
    </row>
    <row r="883" spans="1:15" x14ac:dyDescent="0.25">
      <c r="A883" s="9" t="str">
        <f>IF(Registro!$A883="","",Registro!$A883)</f>
        <v/>
      </c>
      <c r="B883" s="8" t="str">
        <f>IF(Registro!$B883="","",Registro!$B883)</f>
        <v/>
      </c>
      <c r="C883" s="14" t="str">
        <f t="shared" si="39"/>
        <v/>
      </c>
      <c r="D883" s="10" t="str">
        <f>IF(Registro!$E883="","",IF(ISERROR(FIND("x",LOWER(Registro!$E883))),"-",IFERROR(SUMPRODUCT(--("0"&amp;LEFT(TRIM(MID(SUBSTITUTE(SUBSTITUTE(SUBSTITUTE(SUBSTITUTE(SUBSTITUTE(LOWER(Registro!$E883),"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",LEN(Registro!$E883))),({1,2,3,4,5,6,7,8,9,10,11,12,13,14,15,16,17,18,19,20,21,22,23,24,25,26,27,28,29,30}-1)*LEN(Registro!$E883)+1,LEN(Registro!$E883)))&amp;"x")-1))),"Revisar formato")))</f>
        <v/>
      </c>
      <c r="E883" s="11" t="str">
        <f>IF(Registro!$E883="","",IF(ISERROR(FIND("x",LOWER(Registro!$E883))),"-",IFERROR(SUMPRODUCT(--("0"&amp;LEFT(TRIM(MID(SUBSTITUTE(SUBSTITUTE(SUBSTITUTE(SUBSTITUTE(SUBSTITUTE(LOWER(Registro!$E883),"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",LEN(Registro!$E883))),({1,2,3,4,5,6,7,8,9,10,11,12,13,14,15,16,17,18,19,20,21,22,23,24,25,26,27,28,29,30}-1)*LEN(Registro!$E883)+1,LEN(Registro!$E883)))&amp;"x")-1)),--("0"&amp;MID(TRIM(MID(SUBSTITUTE(SUBSTITUTE(SUBSTITUTE(SUBSTITUTE(SUBSTITUTE(LOWER(Registro!$E883),"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",LEN(Registro!$E883))),({1,2,3,4,5,6,7,8,9,10,11,12,13,14,15,16,17,18,19,20,21,22,23,24,25,26,27,28,29,30}-1)*LEN(Registro!$E883)+1,LEN(Registro!$E883)))&amp;"x")+1,20))),"Revisar formato")))</f>
        <v/>
      </c>
      <c r="F883" s="11" t="str">
        <f>IF(Registro!$F883="","",N(Registro!$F883))</f>
        <v/>
      </c>
      <c r="G883" s="11" t="str">
        <f t="shared" si="40"/>
        <v/>
      </c>
      <c r="H883" s="10" t="str">
        <f>IF(Registro!$G883="","",IF(ISERROR(FIND("x",LOWER(Registro!$G883))),"-",IFERROR(SUMPRODUCT(--("0"&amp;LEFT(TRIM(MID(SUBSTITUTE(SUBSTITUTE(SUBSTITUTE(SUBSTITUTE(SUBSTITUTE(LOWER(Registro!$G883),"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",LEN(Registro!$G883))),({1,2,3,4,5,6,7,8,9,10,11,12,13,14,15,16,17,18,19,20,21,22,23,24,25,26,27,28,29,30}-1)*LEN(Registro!$G883)+1,LEN(Registro!$G883))),FIND("x",TRIM(MID(SUBSTITUTE(SUBSTITUTE(SUBSTITUTE(SUBSTITUTE(SUBSTITUTE(LOWER(Registro!$G883),"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",LEN(Registro!$G883))),({1,2,3,4,5,6,7,8,9,10,11,12,13,14,15,16,17,18,19,20,21,22,23,24,25,26,27,28,29,30}-1)*LEN(Registro!$G883)+1,LEN(Registro!$G883)))&amp;"x")-1))),"Revisar formato")))</f>
        <v/>
      </c>
      <c r="I883" s="11" t="str">
        <f>IF(Registro!$G883="","",IF(ISERROR(FIND("x",LOWER(Registro!$G883))),N(Registro!$H883),IFERROR(SUMPRODUCT(--("0"&amp;LEFT(TRIM(MID(SUBSTITUTE(SUBSTITUTE(SUBSTITUTE(SUBSTITUTE(SUBSTITUTE(LOWER(Registro!$G883),"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",LEN(Registro!$G883))),({1,2,3,4,5,6,7,8,9,10,11,12,13,14,15,16,17,18,19,20,21,22,23,24,25,26,27,28,29,30}-1)*LEN(Registro!$G883)+1,LEN(Registro!$G883))),FIND("x",TRIM(MID(SUBSTITUTE(SUBSTITUTE(SUBSTITUTE(SUBSTITUTE(SUBSTITUTE(LOWER(Registro!$G883),"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",LEN(Registro!$G883))),({1,2,3,4,5,6,7,8,9,10,11,12,13,14,15,16,17,18,19,20,21,22,23,24,25,26,27,28,29,30}-1)*LEN(Registro!$G883)+1,LEN(Registro!$G883)))&amp;"x")-1)),--("0"&amp;MID(TRIM(MID(SUBSTITUTE(SUBSTITUTE(SUBSTITUTE(SUBSTITUTE(SUBSTITUTE(LOWER(Registro!$G883),"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",LEN(Registro!$G883))),({1,2,3,4,5,6,7,8,9,10,11,12,13,14,15,16,17,18,19,20,21,22,23,24,25,26,27,28,29,30}-1)*LEN(Registro!$G883)+1,LEN(Registro!$G883))),FIND("x",TRIM(MID(SUBSTITUTE(SUBSTITUTE(SUBSTITUTE(SUBSTITUTE(SUBSTITUTE(LOWER(Registro!$G883),"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",LEN(Registro!$G883))),({1,2,3,4,5,6,7,8,9,10,11,12,13,14,15,16,17,18,19,20,21,22,23,24,25,26,27,28,29,30}-1)*LEN(Registro!$G883)+1,LEN(Registro!$G883)))&amp;"x")+1,20))),"Revisar formato")))</f>
        <v/>
      </c>
      <c r="J883" s="9" t="str">
        <f>IF(AND(Registro!$E883="",Registro!$G883=""),"",IF(NOT(AND(ISNUMBER(I883),ISNUMBER(Registro!$H883))),"",IF(I883&lt;Registro!$H883,"FALTA BOLETOS",IF(I883=Registro!$H883,"CONFORME","DIFERENCIA"))))</f>
        <v/>
      </c>
      <c r="K883" s="11" t="str">
        <f>IF(Registro!$I883="","",IFERROR(SUMPRODUCT(--("0"&amp;TRIM(RIGHT(SUBSTITUTE(TRIM(MID(SUBSTITUTE(SUBSTITUTE(Registro!$I883,";",CHAR(10)),CHAR(10),REPT(" ",LEN(Registro!$I883))),({1,2,3,4,5,6,7,8,9,10,11,12,13,14,15,16,17,18,19,20,21,22,23,24,25,26,27,28,29,30}-1)*LEN(Registro!$I883)+1,LEN(Registro!$I883)))," ",REPT(" ",50)),50)))),"Revisar formato"))</f>
        <v/>
      </c>
      <c r="L883" s="11" t="str">
        <f>IF(Registro!$J883="","",IFERROR(SUMPRODUCT(--("0"&amp;TRIM(RIGHT(SUBSTITUTE(TRIM(MID(SUBSTITUTE(SUBSTITUTE(Registro!$J883,";",CHAR(10)),CHAR(10),REPT(" ",LEN(Registro!$J883))),({1,2,3,4,5,6,7,8,9,10,11,12,13,14,15,16,17,18,19,20,21,22,23,24,25,26,27,28,29,30}-1)*LEN(Registro!$J883)+1,LEN(Registro!$J883)))," ",REPT(" ",50)),50)))),"Revisar formato"))</f>
        <v/>
      </c>
      <c r="M883" s="11" t="str">
        <f>IF(AND(Registro!$H883="",Registro!$I883=""),"",IF(AND(ISTEXT(K883),K883&lt;&gt;""),"Revisar formato",N(Registro!$H883)-N(K883)))</f>
        <v/>
      </c>
      <c r="N883" s="11" t="str">
        <f t="shared" si="41"/>
        <v/>
      </c>
      <c r="O883" s="15" t="str">
        <f>IF(AND(A883=Consulta!$B$3,C883=Consulta!$H$3),B883*10000+ROW(),"")</f>
        <v/>
      </c>
    </row>
    <row r="884" spans="1:15" x14ac:dyDescent="0.25">
      <c r="A884" s="9" t="str">
        <f>IF(Registro!$A884="","",Registro!$A884)</f>
        <v/>
      </c>
      <c r="B884" s="8" t="str">
        <f>IF(Registro!$B884="","",Registro!$B884)</f>
        <v/>
      </c>
      <c r="C884" s="14" t="str">
        <f t="shared" si="39"/>
        <v/>
      </c>
      <c r="D884" s="10" t="str">
        <f>IF(Registro!$E884="","",IF(ISERROR(FIND("x",LOWER(Registro!$E884))),"-",IFERROR(SUMPRODUCT(--("0"&amp;LEFT(TRIM(MID(SUBSTITUTE(SUBSTITUTE(SUBSTITUTE(SUBSTITUTE(SUBSTITUTE(LOWER(Registro!$E884),"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",LEN(Registro!$E884))),({1,2,3,4,5,6,7,8,9,10,11,12,13,14,15,16,17,18,19,20,21,22,23,24,25,26,27,28,29,30}-1)*LEN(Registro!$E884)+1,LEN(Registro!$E884)))&amp;"x")-1))),"Revisar formato")))</f>
        <v/>
      </c>
      <c r="E884" s="11" t="str">
        <f>IF(Registro!$E884="","",IF(ISERROR(FIND("x",LOWER(Registro!$E884))),"-",IFERROR(SUMPRODUCT(--("0"&amp;LEFT(TRIM(MID(SUBSTITUTE(SUBSTITUTE(SUBSTITUTE(SUBSTITUTE(SUBSTITUTE(LOWER(Registro!$E884),"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",LEN(Registro!$E884))),({1,2,3,4,5,6,7,8,9,10,11,12,13,14,15,16,17,18,19,20,21,22,23,24,25,26,27,28,29,30}-1)*LEN(Registro!$E884)+1,LEN(Registro!$E884)))&amp;"x")-1)),--("0"&amp;MID(TRIM(MID(SUBSTITUTE(SUBSTITUTE(SUBSTITUTE(SUBSTITUTE(SUBSTITUTE(LOWER(Registro!$E884),"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",LEN(Registro!$E884))),({1,2,3,4,5,6,7,8,9,10,11,12,13,14,15,16,17,18,19,20,21,22,23,24,25,26,27,28,29,30}-1)*LEN(Registro!$E884)+1,LEN(Registro!$E884)))&amp;"x")+1,20))),"Revisar formato")))</f>
        <v/>
      </c>
      <c r="F884" s="11" t="str">
        <f>IF(Registro!$F884="","",N(Registro!$F884))</f>
        <v/>
      </c>
      <c r="G884" s="11" t="str">
        <f t="shared" si="40"/>
        <v/>
      </c>
      <c r="H884" s="10" t="str">
        <f>IF(Registro!$G884="","",IF(ISERROR(FIND("x",LOWER(Registro!$G884))),"-",IFERROR(SUMPRODUCT(--("0"&amp;LEFT(TRIM(MID(SUBSTITUTE(SUBSTITUTE(SUBSTITUTE(SUBSTITUTE(SUBSTITUTE(LOWER(Registro!$G884),"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",LEN(Registro!$G884))),({1,2,3,4,5,6,7,8,9,10,11,12,13,14,15,16,17,18,19,20,21,22,23,24,25,26,27,28,29,30}-1)*LEN(Registro!$G884)+1,LEN(Registro!$G884))),FIND("x",TRIM(MID(SUBSTITUTE(SUBSTITUTE(SUBSTITUTE(SUBSTITUTE(SUBSTITUTE(LOWER(Registro!$G884),"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",LEN(Registro!$G884))),({1,2,3,4,5,6,7,8,9,10,11,12,13,14,15,16,17,18,19,20,21,22,23,24,25,26,27,28,29,30}-1)*LEN(Registro!$G884)+1,LEN(Registro!$G884)))&amp;"x")-1))),"Revisar formato")))</f>
        <v/>
      </c>
      <c r="I884" s="11" t="str">
        <f>IF(Registro!$G884="","",IF(ISERROR(FIND("x",LOWER(Registro!$G884))),N(Registro!$H884),IFERROR(SUMPRODUCT(--("0"&amp;LEFT(TRIM(MID(SUBSTITUTE(SUBSTITUTE(SUBSTITUTE(SUBSTITUTE(SUBSTITUTE(LOWER(Registro!$G884),"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",LEN(Registro!$G884))),({1,2,3,4,5,6,7,8,9,10,11,12,13,14,15,16,17,18,19,20,21,22,23,24,25,26,27,28,29,30}-1)*LEN(Registro!$G884)+1,LEN(Registro!$G884))),FIND("x",TRIM(MID(SUBSTITUTE(SUBSTITUTE(SUBSTITUTE(SUBSTITUTE(SUBSTITUTE(LOWER(Registro!$G884),"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",LEN(Registro!$G884))),({1,2,3,4,5,6,7,8,9,10,11,12,13,14,15,16,17,18,19,20,21,22,23,24,25,26,27,28,29,30}-1)*LEN(Registro!$G884)+1,LEN(Registro!$G884)))&amp;"x")-1)),--("0"&amp;MID(TRIM(MID(SUBSTITUTE(SUBSTITUTE(SUBSTITUTE(SUBSTITUTE(SUBSTITUTE(LOWER(Registro!$G884),"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",LEN(Registro!$G884))),({1,2,3,4,5,6,7,8,9,10,11,12,13,14,15,16,17,18,19,20,21,22,23,24,25,26,27,28,29,30}-1)*LEN(Registro!$G884)+1,LEN(Registro!$G884))),FIND("x",TRIM(MID(SUBSTITUTE(SUBSTITUTE(SUBSTITUTE(SUBSTITUTE(SUBSTITUTE(LOWER(Registro!$G884),"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",LEN(Registro!$G884))),({1,2,3,4,5,6,7,8,9,10,11,12,13,14,15,16,17,18,19,20,21,22,23,24,25,26,27,28,29,30}-1)*LEN(Registro!$G884)+1,LEN(Registro!$G884)))&amp;"x")+1,20))),"Revisar formato")))</f>
        <v/>
      </c>
      <c r="J884" s="9" t="str">
        <f>IF(AND(Registro!$E884="",Registro!$G884=""),"",IF(NOT(AND(ISNUMBER(I884),ISNUMBER(Registro!$H884))),"",IF(I884&lt;Registro!$H884,"FALTA BOLETOS",IF(I884=Registro!$H884,"CONFORME","DIFERENCIA"))))</f>
        <v/>
      </c>
      <c r="K884" s="11" t="str">
        <f>IF(Registro!$I884="","",IFERROR(SUMPRODUCT(--("0"&amp;TRIM(RIGHT(SUBSTITUTE(TRIM(MID(SUBSTITUTE(SUBSTITUTE(Registro!$I884,";",CHAR(10)),CHAR(10),REPT(" ",LEN(Registro!$I884))),({1,2,3,4,5,6,7,8,9,10,11,12,13,14,15,16,17,18,19,20,21,22,23,24,25,26,27,28,29,30}-1)*LEN(Registro!$I884)+1,LEN(Registro!$I884)))," ",REPT(" ",50)),50)))),"Revisar formato"))</f>
        <v/>
      </c>
      <c r="L884" s="11" t="str">
        <f>IF(Registro!$J884="","",IFERROR(SUMPRODUCT(--("0"&amp;TRIM(RIGHT(SUBSTITUTE(TRIM(MID(SUBSTITUTE(SUBSTITUTE(Registro!$J884,";",CHAR(10)),CHAR(10),REPT(" ",LEN(Registro!$J884))),({1,2,3,4,5,6,7,8,9,10,11,12,13,14,15,16,17,18,19,20,21,22,23,24,25,26,27,28,29,30}-1)*LEN(Registro!$J884)+1,LEN(Registro!$J884)))," ",REPT(" ",50)),50)))),"Revisar formato"))</f>
        <v/>
      </c>
      <c r="M884" s="11" t="str">
        <f>IF(AND(Registro!$H884="",Registro!$I884=""),"",IF(AND(ISTEXT(K884),K884&lt;&gt;""),"Revisar formato",N(Registro!$H884)-N(K884)))</f>
        <v/>
      </c>
      <c r="N884" s="11" t="str">
        <f t="shared" si="41"/>
        <v/>
      </c>
      <c r="O884" s="15" t="str">
        <f>IF(AND(A884=Consulta!$B$3,C884=Consulta!$H$3),B884*10000+ROW(),"")</f>
        <v/>
      </c>
    </row>
    <row r="885" spans="1:15" x14ac:dyDescent="0.25">
      <c r="A885" s="9" t="str">
        <f>IF(Registro!$A885="","",Registro!$A885)</f>
        <v/>
      </c>
      <c r="B885" s="8" t="str">
        <f>IF(Registro!$B885="","",Registro!$B885)</f>
        <v/>
      </c>
      <c r="C885" s="14" t="str">
        <f t="shared" si="39"/>
        <v/>
      </c>
      <c r="D885" s="10" t="str">
        <f>IF(Registro!$E885="","",IF(ISERROR(FIND("x",LOWER(Registro!$E885))),"-",IFERROR(SUMPRODUCT(--("0"&amp;LEFT(TRIM(MID(SUBSTITUTE(SUBSTITUTE(SUBSTITUTE(SUBSTITUTE(SUBSTITUTE(LOWER(Registro!$E885),"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",LEN(Registro!$E885))),({1,2,3,4,5,6,7,8,9,10,11,12,13,14,15,16,17,18,19,20,21,22,23,24,25,26,27,28,29,30}-1)*LEN(Registro!$E885)+1,LEN(Registro!$E885)))&amp;"x")-1))),"Revisar formato")))</f>
        <v/>
      </c>
      <c r="E885" s="11" t="str">
        <f>IF(Registro!$E885="","",IF(ISERROR(FIND("x",LOWER(Registro!$E885))),"-",IFERROR(SUMPRODUCT(--("0"&amp;LEFT(TRIM(MID(SUBSTITUTE(SUBSTITUTE(SUBSTITUTE(SUBSTITUTE(SUBSTITUTE(LOWER(Registro!$E885),"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",LEN(Registro!$E885))),({1,2,3,4,5,6,7,8,9,10,11,12,13,14,15,16,17,18,19,20,21,22,23,24,25,26,27,28,29,30}-1)*LEN(Registro!$E885)+1,LEN(Registro!$E885)))&amp;"x")-1)),--("0"&amp;MID(TRIM(MID(SUBSTITUTE(SUBSTITUTE(SUBSTITUTE(SUBSTITUTE(SUBSTITUTE(LOWER(Registro!$E885),"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",LEN(Registro!$E885))),({1,2,3,4,5,6,7,8,9,10,11,12,13,14,15,16,17,18,19,20,21,22,23,24,25,26,27,28,29,30}-1)*LEN(Registro!$E885)+1,LEN(Registro!$E885)))&amp;"x")+1,20))),"Revisar formato")))</f>
        <v/>
      </c>
      <c r="F885" s="11" t="str">
        <f>IF(Registro!$F885="","",N(Registro!$F885))</f>
        <v/>
      </c>
      <c r="G885" s="11" t="str">
        <f t="shared" si="40"/>
        <v/>
      </c>
      <c r="H885" s="10" t="str">
        <f>IF(Registro!$G885="","",IF(ISERROR(FIND("x",LOWER(Registro!$G885))),"-",IFERROR(SUMPRODUCT(--("0"&amp;LEFT(TRIM(MID(SUBSTITUTE(SUBSTITUTE(SUBSTITUTE(SUBSTITUTE(SUBSTITUTE(LOWER(Registro!$G885),"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",LEN(Registro!$G885))),({1,2,3,4,5,6,7,8,9,10,11,12,13,14,15,16,17,18,19,20,21,22,23,24,25,26,27,28,29,30}-1)*LEN(Registro!$G885)+1,LEN(Registro!$G885))),FIND("x",TRIM(MID(SUBSTITUTE(SUBSTITUTE(SUBSTITUTE(SUBSTITUTE(SUBSTITUTE(LOWER(Registro!$G885),"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",LEN(Registro!$G885))),({1,2,3,4,5,6,7,8,9,10,11,12,13,14,15,16,17,18,19,20,21,22,23,24,25,26,27,28,29,30}-1)*LEN(Registro!$G885)+1,LEN(Registro!$G885)))&amp;"x")-1))),"Revisar formato")))</f>
        <v/>
      </c>
      <c r="I885" s="11" t="str">
        <f>IF(Registro!$G885="","",IF(ISERROR(FIND("x",LOWER(Registro!$G885))),N(Registro!$H885),IFERROR(SUMPRODUCT(--("0"&amp;LEFT(TRIM(MID(SUBSTITUTE(SUBSTITUTE(SUBSTITUTE(SUBSTITUTE(SUBSTITUTE(LOWER(Registro!$G885),"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",LEN(Registro!$G885))),({1,2,3,4,5,6,7,8,9,10,11,12,13,14,15,16,17,18,19,20,21,22,23,24,25,26,27,28,29,30}-1)*LEN(Registro!$G885)+1,LEN(Registro!$G885))),FIND("x",TRIM(MID(SUBSTITUTE(SUBSTITUTE(SUBSTITUTE(SUBSTITUTE(SUBSTITUTE(LOWER(Registro!$G885),"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",LEN(Registro!$G885))),({1,2,3,4,5,6,7,8,9,10,11,12,13,14,15,16,17,18,19,20,21,22,23,24,25,26,27,28,29,30}-1)*LEN(Registro!$G885)+1,LEN(Registro!$G885)))&amp;"x")-1)),--("0"&amp;MID(TRIM(MID(SUBSTITUTE(SUBSTITUTE(SUBSTITUTE(SUBSTITUTE(SUBSTITUTE(LOWER(Registro!$G885),"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",LEN(Registro!$G885))),({1,2,3,4,5,6,7,8,9,10,11,12,13,14,15,16,17,18,19,20,21,22,23,24,25,26,27,28,29,30}-1)*LEN(Registro!$G885)+1,LEN(Registro!$G885))),FIND("x",TRIM(MID(SUBSTITUTE(SUBSTITUTE(SUBSTITUTE(SUBSTITUTE(SUBSTITUTE(LOWER(Registro!$G885),"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",LEN(Registro!$G885))),({1,2,3,4,5,6,7,8,9,10,11,12,13,14,15,16,17,18,19,20,21,22,23,24,25,26,27,28,29,30}-1)*LEN(Registro!$G885)+1,LEN(Registro!$G885)))&amp;"x")+1,20))),"Revisar formato")))</f>
        <v/>
      </c>
      <c r="J885" s="9" t="str">
        <f>IF(AND(Registro!$E885="",Registro!$G885=""),"",IF(NOT(AND(ISNUMBER(I885),ISNUMBER(Registro!$H885))),"",IF(I885&lt;Registro!$H885,"FALTA BOLETOS",IF(I885=Registro!$H885,"CONFORME","DIFERENCIA"))))</f>
        <v/>
      </c>
      <c r="K885" s="11" t="str">
        <f>IF(Registro!$I885="","",IFERROR(SUMPRODUCT(--("0"&amp;TRIM(RIGHT(SUBSTITUTE(TRIM(MID(SUBSTITUTE(SUBSTITUTE(Registro!$I885,";",CHAR(10)),CHAR(10),REPT(" ",LEN(Registro!$I885))),({1,2,3,4,5,6,7,8,9,10,11,12,13,14,15,16,17,18,19,20,21,22,23,24,25,26,27,28,29,30}-1)*LEN(Registro!$I885)+1,LEN(Registro!$I885)))," ",REPT(" ",50)),50)))),"Revisar formato"))</f>
        <v/>
      </c>
      <c r="L885" s="11" t="str">
        <f>IF(Registro!$J885="","",IFERROR(SUMPRODUCT(--("0"&amp;TRIM(RIGHT(SUBSTITUTE(TRIM(MID(SUBSTITUTE(SUBSTITUTE(Registro!$J885,";",CHAR(10)),CHAR(10),REPT(" ",LEN(Registro!$J885))),({1,2,3,4,5,6,7,8,9,10,11,12,13,14,15,16,17,18,19,20,21,22,23,24,25,26,27,28,29,30}-1)*LEN(Registro!$J885)+1,LEN(Registro!$J885)))," ",REPT(" ",50)),50)))),"Revisar formato"))</f>
        <v/>
      </c>
      <c r="M885" s="11" t="str">
        <f>IF(AND(Registro!$H885="",Registro!$I885=""),"",IF(AND(ISTEXT(K885),K885&lt;&gt;""),"Revisar formato",N(Registro!$H885)-N(K885)))</f>
        <v/>
      </c>
      <c r="N885" s="11" t="str">
        <f t="shared" si="41"/>
        <v/>
      </c>
      <c r="O885" s="15" t="str">
        <f>IF(AND(A885=Consulta!$B$3,C885=Consulta!$H$3),B885*10000+ROW(),"")</f>
        <v/>
      </c>
    </row>
    <row r="886" spans="1:15" x14ac:dyDescent="0.25">
      <c r="A886" s="9" t="str">
        <f>IF(Registro!$A886="","",Registro!$A886)</f>
        <v/>
      </c>
      <c r="B886" s="8" t="str">
        <f>IF(Registro!$B886="","",Registro!$B886)</f>
        <v/>
      </c>
      <c r="C886" s="14" t="str">
        <f t="shared" si="39"/>
        <v/>
      </c>
      <c r="D886" s="10" t="str">
        <f>IF(Registro!$E886="","",IF(ISERROR(FIND("x",LOWER(Registro!$E886))),"-",IFERROR(SUMPRODUCT(--("0"&amp;LEFT(TRIM(MID(SUBSTITUTE(SUBSTITUTE(SUBSTITUTE(SUBSTITUTE(SUBSTITUTE(LOWER(Registro!$E886),"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",LEN(Registro!$E886))),({1,2,3,4,5,6,7,8,9,10,11,12,13,14,15,16,17,18,19,20,21,22,23,24,25,26,27,28,29,30}-1)*LEN(Registro!$E886)+1,LEN(Registro!$E886)))&amp;"x")-1))),"Revisar formato")))</f>
        <v/>
      </c>
      <c r="E886" s="11" t="str">
        <f>IF(Registro!$E886="","",IF(ISERROR(FIND("x",LOWER(Registro!$E886))),"-",IFERROR(SUMPRODUCT(--("0"&amp;LEFT(TRIM(MID(SUBSTITUTE(SUBSTITUTE(SUBSTITUTE(SUBSTITUTE(SUBSTITUTE(LOWER(Registro!$E886),"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",LEN(Registro!$E886))),({1,2,3,4,5,6,7,8,9,10,11,12,13,14,15,16,17,18,19,20,21,22,23,24,25,26,27,28,29,30}-1)*LEN(Registro!$E886)+1,LEN(Registro!$E886)))&amp;"x")-1)),--("0"&amp;MID(TRIM(MID(SUBSTITUTE(SUBSTITUTE(SUBSTITUTE(SUBSTITUTE(SUBSTITUTE(LOWER(Registro!$E886),"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",LEN(Registro!$E886))),({1,2,3,4,5,6,7,8,9,10,11,12,13,14,15,16,17,18,19,20,21,22,23,24,25,26,27,28,29,30}-1)*LEN(Registro!$E886)+1,LEN(Registro!$E886)))&amp;"x")+1,20))),"Revisar formato")))</f>
        <v/>
      </c>
      <c r="F886" s="11" t="str">
        <f>IF(Registro!$F886="","",N(Registro!$F886))</f>
        <v/>
      </c>
      <c r="G886" s="11" t="str">
        <f t="shared" si="40"/>
        <v/>
      </c>
      <c r="H886" s="10" t="str">
        <f>IF(Registro!$G886="","",IF(ISERROR(FIND("x",LOWER(Registro!$G886))),"-",IFERROR(SUMPRODUCT(--("0"&amp;LEFT(TRIM(MID(SUBSTITUTE(SUBSTITUTE(SUBSTITUTE(SUBSTITUTE(SUBSTITUTE(LOWER(Registro!$G886),"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",LEN(Registro!$G886))),({1,2,3,4,5,6,7,8,9,10,11,12,13,14,15,16,17,18,19,20,21,22,23,24,25,26,27,28,29,30}-1)*LEN(Registro!$G886)+1,LEN(Registro!$G886))),FIND("x",TRIM(MID(SUBSTITUTE(SUBSTITUTE(SUBSTITUTE(SUBSTITUTE(SUBSTITUTE(LOWER(Registro!$G886),"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",LEN(Registro!$G886))),({1,2,3,4,5,6,7,8,9,10,11,12,13,14,15,16,17,18,19,20,21,22,23,24,25,26,27,28,29,30}-1)*LEN(Registro!$G886)+1,LEN(Registro!$G886)))&amp;"x")-1))),"Revisar formato")))</f>
        <v/>
      </c>
      <c r="I886" s="11" t="str">
        <f>IF(Registro!$G886="","",IF(ISERROR(FIND("x",LOWER(Registro!$G886))),N(Registro!$H886),IFERROR(SUMPRODUCT(--("0"&amp;LEFT(TRIM(MID(SUBSTITUTE(SUBSTITUTE(SUBSTITUTE(SUBSTITUTE(SUBSTITUTE(LOWER(Registro!$G886),"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",LEN(Registro!$G886))),({1,2,3,4,5,6,7,8,9,10,11,12,13,14,15,16,17,18,19,20,21,22,23,24,25,26,27,28,29,30}-1)*LEN(Registro!$G886)+1,LEN(Registro!$G886))),FIND("x",TRIM(MID(SUBSTITUTE(SUBSTITUTE(SUBSTITUTE(SUBSTITUTE(SUBSTITUTE(LOWER(Registro!$G886),"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",LEN(Registro!$G886))),({1,2,3,4,5,6,7,8,9,10,11,12,13,14,15,16,17,18,19,20,21,22,23,24,25,26,27,28,29,30}-1)*LEN(Registro!$G886)+1,LEN(Registro!$G886)))&amp;"x")-1)),--("0"&amp;MID(TRIM(MID(SUBSTITUTE(SUBSTITUTE(SUBSTITUTE(SUBSTITUTE(SUBSTITUTE(LOWER(Registro!$G886),"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",LEN(Registro!$G886))),({1,2,3,4,5,6,7,8,9,10,11,12,13,14,15,16,17,18,19,20,21,22,23,24,25,26,27,28,29,30}-1)*LEN(Registro!$G886)+1,LEN(Registro!$G886))),FIND("x",TRIM(MID(SUBSTITUTE(SUBSTITUTE(SUBSTITUTE(SUBSTITUTE(SUBSTITUTE(LOWER(Registro!$G886),"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",LEN(Registro!$G886))),({1,2,3,4,5,6,7,8,9,10,11,12,13,14,15,16,17,18,19,20,21,22,23,24,25,26,27,28,29,30}-1)*LEN(Registro!$G886)+1,LEN(Registro!$G886)))&amp;"x")+1,20))),"Revisar formato")))</f>
        <v/>
      </c>
      <c r="J886" s="9" t="str">
        <f>IF(AND(Registro!$E886="",Registro!$G886=""),"",IF(NOT(AND(ISNUMBER(I886),ISNUMBER(Registro!$H886))),"",IF(I886&lt;Registro!$H886,"FALTA BOLETOS",IF(I886=Registro!$H886,"CONFORME","DIFERENCIA"))))</f>
        <v/>
      </c>
      <c r="K886" s="11" t="str">
        <f>IF(Registro!$I886="","",IFERROR(SUMPRODUCT(--("0"&amp;TRIM(RIGHT(SUBSTITUTE(TRIM(MID(SUBSTITUTE(SUBSTITUTE(Registro!$I886,";",CHAR(10)),CHAR(10),REPT(" ",LEN(Registro!$I886))),({1,2,3,4,5,6,7,8,9,10,11,12,13,14,15,16,17,18,19,20,21,22,23,24,25,26,27,28,29,30}-1)*LEN(Registro!$I886)+1,LEN(Registro!$I886)))," ",REPT(" ",50)),50)))),"Revisar formato"))</f>
        <v/>
      </c>
      <c r="L886" s="11" t="str">
        <f>IF(Registro!$J886="","",IFERROR(SUMPRODUCT(--("0"&amp;TRIM(RIGHT(SUBSTITUTE(TRIM(MID(SUBSTITUTE(SUBSTITUTE(Registro!$J886,";",CHAR(10)),CHAR(10),REPT(" ",LEN(Registro!$J886))),({1,2,3,4,5,6,7,8,9,10,11,12,13,14,15,16,17,18,19,20,21,22,23,24,25,26,27,28,29,30}-1)*LEN(Registro!$J886)+1,LEN(Registro!$J886)))," ",REPT(" ",50)),50)))),"Revisar formato"))</f>
        <v/>
      </c>
      <c r="M886" s="11" t="str">
        <f>IF(AND(Registro!$H886="",Registro!$I886=""),"",IF(AND(ISTEXT(K886),K886&lt;&gt;""),"Revisar formato",N(Registro!$H886)-N(K886)))</f>
        <v/>
      </c>
      <c r="N886" s="11" t="str">
        <f t="shared" si="41"/>
        <v/>
      </c>
      <c r="O886" s="15" t="str">
        <f>IF(AND(A886=Consulta!$B$3,C886=Consulta!$H$3),B886*10000+ROW(),"")</f>
        <v/>
      </c>
    </row>
    <row r="887" spans="1:15" x14ac:dyDescent="0.25">
      <c r="A887" s="9" t="str">
        <f>IF(Registro!$A887="","",Registro!$A887)</f>
        <v/>
      </c>
      <c r="B887" s="8" t="str">
        <f>IF(Registro!$B887="","",Registro!$B887)</f>
        <v/>
      </c>
      <c r="C887" s="14" t="str">
        <f t="shared" si="39"/>
        <v/>
      </c>
      <c r="D887" s="10" t="str">
        <f>IF(Registro!$E887="","",IF(ISERROR(FIND("x",LOWER(Registro!$E887))),"-",IFERROR(SUMPRODUCT(--("0"&amp;LEFT(TRIM(MID(SUBSTITUTE(SUBSTITUTE(SUBSTITUTE(SUBSTITUTE(SUBSTITUTE(LOWER(Registro!$E887),"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",LEN(Registro!$E887))),({1,2,3,4,5,6,7,8,9,10,11,12,13,14,15,16,17,18,19,20,21,22,23,24,25,26,27,28,29,30}-1)*LEN(Registro!$E887)+1,LEN(Registro!$E887)))&amp;"x")-1))),"Revisar formato")))</f>
        <v/>
      </c>
      <c r="E887" s="11" t="str">
        <f>IF(Registro!$E887="","",IF(ISERROR(FIND("x",LOWER(Registro!$E887))),"-",IFERROR(SUMPRODUCT(--("0"&amp;LEFT(TRIM(MID(SUBSTITUTE(SUBSTITUTE(SUBSTITUTE(SUBSTITUTE(SUBSTITUTE(LOWER(Registro!$E887),"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",LEN(Registro!$E887))),({1,2,3,4,5,6,7,8,9,10,11,12,13,14,15,16,17,18,19,20,21,22,23,24,25,26,27,28,29,30}-1)*LEN(Registro!$E887)+1,LEN(Registro!$E887)))&amp;"x")-1)),--("0"&amp;MID(TRIM(MID(SUBSTITUTE(SUBSTITUTE(SUBSTITUTE(SUBSTITUTE(SUBSTITUTE(LOWER(Registro!$E887),"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",LEN(Registro!$E887))),({1,2,3,4,5,6,7,8,9,10,11,12,13,14,15,16,17,18,19,20,21,22,23,24,25,26,27,28,29,30}-1)*LEN(Registro!$E887)+1,LEN(Registro!$E887)))&amp;"x")+1,20))),"Revisar formato")))</f>
        <v/>
      </c>
      <c r="F887" s="11" t="str">
        <f>IF(Registro!$F887="","",N(Registro!$F887))</f>
        <v/>
      </c>
      <c r="G887" s="11" t="str">
        <f t="shared" si="40"/>
        <v/>
      </c>
      <c r="H887" s="10" t="str">
        <f>IF(Registro!$G887="","",IF(ISERROR(FIND("x",LOWER(Registro!$G887))),"-",IFERROR(SUMPRODUCT(--("0"&amp;LEFT(TRIM(MID(SUBSTITUTE(SUBSTITUTE(SUBSTITUTE(SUBSTITUTE(SUBSTITUTE(LOWER(Registro!$G887),"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",LEN(Registro!$G887))),({1,2,3,4,5,6,7,8,9,10,11,12,13,14,15,16,17,18,19,20,21,22,23,24,25,26,27,28,29,30}-1)*LEN(Registro!$G887)+1,LEN(Registro!$G887))),FIND("x",TRIM(MID(SUBSTITUTE(SUBSTITUTE(SUBSTITUTE(SUBSTITUTE(SUBSTITUTE(LOWER(Registro!$G887),"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",LEN(Registro!$G887))),({1,2,3,4,5,6,7,8,9,10,11,12,13,14,15,16,17,18,19,20,21,22,23,24,25,26,27,28,29,30}-1)*LEN(Registro!$G887)+1,LEN(Registro!$G887)))&amp;"x")-1))),"Revisar formato")))</f>
        <v/>
      </c>
      <c r="I887" s="11" t="str">
        <f>IF(Registro!$G887="","",IF(ISERROR(FIND("x",LOWER(Registro!$G887))),N(Registro!$H887),IFERROR(SUMPRODUCT(--("0"&amp;LEFT(TRIM(MID(SUBSTITUTE(SUBSTITUTE(SUBSTITUTE(SUBSTITUTE(SUBSTITUTE(LOWER(Registro!$G887),"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",LEN(Registro!$G887))),({1,2,3,4,5,6,7,8,9,10,11,12,13,14,15,16,17,18,19,20,21,22,23,24,25,26,27,28,29,30}-1)*LEN(Registro!$G887)+1,LEN(Registro!$G887))),FIND("x",TRIM(MID(SUBSTITUTE(SUBSTITUTE(SUBSTITUTE(SUBSTITUTE(SUBSTITUTE(LOWER(Registro!$G887),"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",LEN(Registro!$G887))),({1,2,3,4,5,6,7,8,9,10,11,12,13,14,15,16,17,18,19,20,21,22,23,24,25,26,27,28,29,30}-1)*LEN(Registro!$G887)+1,LEN(Registro!$G887)))&amp;"x")-1)),--("0"&amp;MID(TRIM(MID(SUBSTITUTE(SUBSTITUTE(SUBSTITUTE(SUBSTITUTE(SUBSTITUTE(LOWER(Registro!$G887),"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",LEN(Registro!$G887))),({1,2,3,4,5,6,7,8,9,10,11,12,13,14,15,16,17,18,19,20,21,22,23,24,25,26,27,28,29,30}-1)*LEN(Registro!$G887)+1,LEN(Registro!$G887))),FIND("x",TRIM(MID(SUBSTITUTE(SUBSTITUTE(SUBSTITUTE(SUBSTITUTE(SUBSTITUTE(LOWER(Registro!$G887),"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",LEN(Registro!$G887))),({1,2,3,4,5,6,7,8,9,10,11,12,13,14,15,16,17,18,19,20,21,22,23,24,25,26,27,28,29,30}-1)*LEN(Registro!$G887)+1,LEN(Registro!$G887)))&amp;"x")+1,20))),"Revisar formato")))</f>
        <v/>
      </c>
      <c r="J887" s="9" t="str">
        <f>IF(AND(Registro!$E887="",Registro!$G887=""),"",IF(NOT(AND(ISNUMBER(I887),ISNUMBER(Registro!$H887))),"",IF(I887&lt;Registro!$H887,"FALTA BOLETOS",IF(I887=Registro!$H887,"CONFORME","DIFERENCIA"))))</f>
        <v/>
      </c>
      <c r="K887" s="11" t="str">
        <f>IF(Registro!$I887="","",IFERROR(SUMPRODUCT(--("0"&amp;TRIM(RIGHT(SUBSTITUTE(TRIM(MID(SUBSTITUTE(SUBSTITUTE(Registro!$I887,";",CHAR(10)),CHAR(10),REPT(" ",LEN(Registro!$I887))),({1,2,3,4,5,6,7,8,9,10,11,12,13,14,15,16,17,18,19,20,21,22,23,24,25,26,27,28,29,30}-1)*LEN(Registro!$I887)+1,LEN(Registro!$I887)))," ",REPT(" ",50)),50)))),"Revisar formato"))</f>
        <v/>
      </c>
      <c r="L887" s="11" t="str">
        <f>IF(Registro!$J887="","",IFERROR(SUMPRODUCT(--("0"&amp;TRIM(RIGHT(SUBSTITUTE(TRIM(MID(SUBSTITUTE(SUBSTITUTE(Registro!$J887,";",CHAR(10)),CHAR(10),REPT(" ",LEN(Registro!$J887))),({1,2,3,4,5,6,7,8,9,10,11,12,13,14,15,16,17,18,19,20,21,22,23,24,25,26,27,28,29,30}-1)*LEN(Registro!$J887)+1,LEN(Registro!$J887)))," ",REPT(" ",50)),50)))),"Revisar formato"))</f>
        <v/>
      </c>
      <c r="M887" s="11" t="str">
        <f>IF(AND(Registro!$H887="",Registro!$I887=""),"",IF(AND(ISTEXT(K887),K887&lt;&gt;""),"Revisar formato",N(Registro!$H887)-N(K887)))</f>
        <v/>
      </c>
      <c r="N887" s="11" t="str">
        <f t="shared" si="41"/>
        <v/>
      </c>
      <c r="O887" s="15" t="str">
        <f>IF(AND(A887=Consulta!$B$3,C887=Consulta!$H$3),B887*10000+ROW(),"")</f>
        <v/>
      </c>
    </row>
    <row r="888" spans="1:15" x14ac:dyDescent="0.25">
      <c r="A888" s="9" t="str">
        <f>IF(Registro!$A888="","",Registro!$A888)</f>
        <v/>
      </c>
      <c r="B888" s="8" t="str">
        <f>IF(Registro!$B888="","",Registro!$B888)</f>
        <v/>
      </c>
      <c r="C888" s="14" t="str">
        <f t="shared" si="39"/>
        <v/>
      </c>
      <c r="D888" s="10" t="str">
        <f>IF(Registro!$E888="","",IF(ISERROR(FIND("x",LOWER(Registro!$E888))),"-",IFERROR(SUMPRODUCT(--("0"&amp;LEFT(TRIM(MID(SUBSTITUTE(SUBSTITUTE(SUBSTITUTE(SUBSTITUTE(SUBSTITUTE(LOWER(Registro!$E888),"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",LEN(Registro!$E888))),({1,2,3,4,5,6,7,8,9,10,11,12,13,14,15,16,17,18,19,20,21,22,23,24,25,26,27,28,29,30}-1)*LEN(Registro!$E888)+1,LEN(Registro!$E888)))&amp;"x")-1))),"Revisar formato")))</f>
        <v/>
      </c>
      <c r="E888" s="11" t="str">
        <f>IF(Registro!$E888="","",IF(ISERROR(FIND("x",LOWER(Registro!$E888))),"-",IFERROR(SUMPRODUCT(--("0"&amp;LEFT(TRIM(MID(SUBSTITUTE(SUBSTITUTE(SUBSTITUTE(SUBSTITUTE(SUBSTITUTE(LOWER(Registro!$E888),"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",LEN(Registro!$E888))),({1,2,3,4,5,6,7,8,9,10,11,12,13,14,15,16,17,18,19,20,21,22,23,24,25,26,27,28,29,30}-1)*LEN(Registro!$E888)+1,LEN(Registro!$E888)))&amp;"x")-1)),--("0"&amp;MID(TRIM(MID(SUBSTITUTE(SUBSTITUTE(SUBSTITUTE(SUBSTITUTE(SUBSTITUTE(LOWER(Registro!$E888),"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",LEN(Registro!$E888))),({1,2,3,4,5,6,7,8,9,10,11,12,13,14,15,16,17,18,19,20,21,22,23,24,25,26,27,28,29,30}-1)*LEN(Registro!$E888)+1,LEN(Registro!$E888)))&amp;"x")+1,20))),"Revisar formato")))</f>
        <v/>
      </c>
      <c r="F888" s="11" t="str">
        <f>IF(Registro!$F888="","",N(Registro!$F888))</f>
        <v/>
      </c>
      <c r="G888" s="11" t="str">
        <f t="shared" si="40"/>
        <v/>
      </c>
      <c r="H888" s="10" t="str">
        <f>IF(Registro!$G888="","",IF(ISERROR(FIND("x",LOWER(Registro!$G888))),"-",IFERROR(SUMPRODUCT(--("0"&amp;LEFT(TRIM(MID(SUBSTITUTE(SUBSTITUTE(SUBSTITUTE(SUBSTITUTE(SUBSTITUTE(LOWER(Registro!$G888),"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",LEN(Registro!$G888))),({1,2,3,4,5,6,7,8,9,10,11,12,13,14,15,16,17,18,19,20,21,22,23,24,25,26,27,28,29,30}-1)*LEN(Registro!$G888)+1,LEN(Registro!$G888))),FIND("x",TRIM(MID(SUBSTITUTE(SUBSTITUTE(SUBSTITUTE(SUBSTITUTE(SUBSTITUTE(LOWER(Registro!$G888),"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",LEN(Registro!$G888))),({1,2,3,4,5,6,7,8,9,10,11,12,13,14,15,16,17,18,19,20,21,22,23,24,25,26,27,28,29,30}-1)*LEN(Registro!$G888)+1,LEN(Registro!$G888)))&amp;"x")-1))),"Revisar formato")))</f>
        <v/>
      </c>
      <c r="I888" s="11" t="str">
        <f>IF(Registro!$G888="","",IF(ISERROR(FIND("x",LOWER(Registro!$G888))),N(Registro!$H888),IFERROR(SUMPRODUCT(--("0"&amp;LEFT(TRIM(MID(SUBSTITUTE(SUBSTITUTE(SUBSTITUTE(SUBSTITUTE(SUBSTITUTE(LOWER(Registro!$G888),"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",LEN(Registro!$G888))),({1,2,3,4,5,6,7,8,9,10,11,12,13,14,15,16,17,18,19,20,21,22,23,24,25,26,27,28,29,30}-1)*LEN(Registro!$G888)+1,LEN(Registro!$G888))),FIND("x",TRIM(MID(SUBSTITUTE(SUBSTITUTE(SUBSTITUTE(SUBSTITUTE(SUBSTITUTE(LOWER(Registro!$G888),"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",LEN(Registro!$G888))),({1,2,3,4,5,6,7,8,9,10,11,12,13,14,15,16,17,18,19,20,21,22,23,24,25,26,27,28,29,30}-1)*LEN(Registro!$G888)+1,LEN(Registro!$G888)))&amp;"x")-1)),--("0"&amp;MID(TRIM(MID(SUBSTITUTE(SUBSTITUTE(SUBSTITUTE(SUBSTITUTE(SUBSTITUTE(LOWER(Registro!$G888),"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",LEN(Registro!$G888))),({1,2,3,4,5,6,7,8,9,10,11,12,13,14,15,16,17,18,19,20,21,22,23,24,25,26,27,28,29,30}-1)*LEN(Registro!$G888)+1,LEN(Registro!$G888))),FIND("x",TRIM(MID(SUBSTITUTE(SUBSTITUTE(SUBSTITUTE(SUBSTITUTE(SUBSTITUTE(LOWER(Registro!$G888),"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",LEN(Registro!$G888))),({1,2,3,4,5,6,7,8,9,10,11,12,13,14,15,16,17,18,19,20,21,22,23,24,25,26,27,28,29,30}-1)*LEN(Registro!$G888)+1,LEN(Registro!$G888)))&amp;"x")+1,20))),"Revisar formato")))</f>
        <v/>
      </c>
      <c r="J888" s="9" t="str">
        <f>IF(AND(Registro!$E888="",Registro!$G888=""),"",IF(NOT(AND(ISNUMBER(I888),ISNUMBER(Registro!$H888))),"",IF(I888&lt;Registro!$H888,"FALTA BOLETOS",IF(I888=Registro!$H888,"CONFORME","DIFERENCIA"))))</f>
        <v/>
      </c>
      <c r="K888" s="11" t="str">
        <f>IF(Registro!$I888="","",IFERROR(SUMPRODUCT(--("0"&amp;TRIM(RIGHT(SUBSTITUTE(TRIM(MID(SUBSTITUTE(SUBSTITUTE(Registro!$I888,";",CHAR(10)),CHAR(10),REPT(" ",LEN(Registro!$I888))),({1,2,3,4,5,6,7,8,9,10,11,12,13,14,15,16,17,18,19,20,21,22,23,24,25,26,27,28,29,30}-1)*LEN(Registro!$I888)+1,LEN(Registro!$I888)))," ",REPT(" ",50)),50)))),"Revisar formato"))</f>
        <v/>
      </c>
      <c r="L888" s="11" t="str">
        <f>IF(Registro!$J888="","",IFERROR(SUMPRODUCT(--("0"&amp;TRIM(RIGHT(SUBSTITUTE(TRIM(MID(SUBSTITUTE(SUBSTITUTE(Registro!$J888,";",CHAR(10)),CHAR(10),REPT(" ",LEN(Registro!$J888))),({1,2,3,4,5,6,7,8,9,10,11,12,13,14,15,16,17,18,19,20,21,22,23,24,25,26,27,28,29,30}-1)*LEN(Registro!$J888)+1,LEN(Registro!$J888)))," ",REPT(" ",50)),50)))),"Revisar formato"))</f>
        <v/>
      </c>
      <c r="M888" s="11" t="str">
        <f>IF(AND(Registro!$H888="",Registro!$I888=""),"",IF(AND(ISTEXT(K888),K888&lt;&gt;""),"Revisar formato",N(Registro!$H888)-N(K888)))</f>
        <v/>
      </c>
      <c r="N888" s="11" t="str">
        <f t="shared" si="41"/>
        <v/>
      </c>
      <c r="O888" s="15" t="str">
        <f>IF(AND(A888=Consulta!$B$3,C888=Consulta!$H$3),B888*10000+ROW(),"")</f>
        <v/>
      </c>
    </row>
    <row r="889" spans="1:15" x14ac:dyDescent="0.25">
      <c r="A889" s="9" t="str">
        <f>IF(Registro!$A889="","",Registro!$A889)</f>
        <v/>
      </c>
      <c r="B889" s="8" t="str">
        <f>IF(Registro!$B889="","",Registro!$B889)</f>
        <v/>
      </c>
      <c r="C889" s="14" t="str">
        <f t="shared" si="39"/>
        <v/>
      </c>
      <c r="D889" s="10" t="str">
        <f>IF(Registro!$E889="","",IF(ISERROR(FIND("x",LOWER(Registro!$E889))),"-",IFERROR(SUMPRODUCT(--("0"&amp;LEFT(TRIM(MID(SUBSTITUTE(SUBSTITUTE(SUBSTITUTE(SUBSTITUTE(SUBSTITUTE(LOWER(Registro!$E889),"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",LEN(Registro!$E889))),({1,2,3,4,5,6,7,8,9,10,11,12,13,14,15,16,17,18,19,20,21,22,23,24,25,26,27,28,29,30}-1)*LEN(Registro!$E889)+1,LEN(Registro!$E889)))&amp;"x")-1))),"Revisar formato")))</f>
        <v/>
      </c>
      <c r="E889" s="11" t="str">
        <f>IF(Registro!$E889="","",IF(ISERROR(FIND("x",LOWER(Registro!$E889))),"-",IFERROR(SUMPRODUCT(--("0"&amp;LEFT(TRIM(MID(SUBSTITUTE(SUBSTITUTE(SUBSTITUTE(SUBSTITUTE(SUBSTITUTE(LOWER(Registro!$E889),"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",LEN(Registro!$E889))),({1,2,3,4,5,6,7,8,9,10,11,12,13,14,15,16,17,18,19,20,21,22,23,24,25,26,27,28,29,30}-1)*LEN(Registro!$E889)+1,LEN(Registro!$E889)))&amp;"x")-1)),--("0"&amp;MID(TRIM(MID(SUBSTITUTE(SUBSTITUTE(SUBSTITUTE(SUBSTITUTE(SUBSTITUTE(LOWER(Registro!$E889),"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",LEN(Registro!$E889))),({1,2,3,4,5,6,7,8,9,10,11,12,13,14,15,16,17,18,19,20,21,22,23,24,25,26,27,28,29,30}-1)*LEN(Registro!$E889)+1,LEN(Registro!$E889)))&amp;"x")+1,20))),"Revisar formato")))</f>
        <v/>
      </c>
      <c r="F889" s="11" t="str">
        <f>IF(Registro!$F889="","",N(Registro!$F889))</f>
        <v/>
      </c>
      <c r="G889" s="11" t="str">
        <f t="shared" si="40"/>
        <v/>
      </c>
      <c r="H889" s="10" t="str">
        <f>IF(Registro!$G889="","",IF(ISERROR(FIND("x",LOWER(Registro!$G889))),"-",IFERROR(SUMPRODUCT(--("0"&amp;LEFT(TRIM(MID(SUBSTITUTE(SUBSTITUTE(SUBSTITUTE(SUBSTITUTE(SUBSTITUTE(LOWER(Registro!$G889),"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",LEN(Registro!$G889))),({1,2,3,4,5,6,7,8,9,10,11,12,13,14,15,16,17,18,19,20,21,22,23,24,25,26,27,28,29,30}-1)*LEN(Registro!$G889)+1,LEN(Registro!$G889))),FIND("x",TRIM(MID(SUBSTITUTE(SUBSTITUTE(SUBSTITUTE(SUBSTITUTE(SUBSTITUTE(LOWER(Registro!$G889),"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",LEN(Registro!$G889))),({1,2,3,4,5,6,7,8,9,10,11,12,13,14,15,16,17,18,19,20,21,22,23,24,25,26,27,28,29,30}-1)*LEN(Registro!$G889)+1,LEN(Registro!$G889)))&amp;"x")-1))),"Revisar formato")))</f>
        <v/>
      </c>
      <c r="I889" s="11" t="str">
        <f>IF(Registro!$G889="","",IF(ISERROR(FIND("x",LOWER(Registro!$G889))),N(Registro!$H889),IFERROR(SUMPRODUCT(--("0"&amp;LEFT(TRIM(MID(SUBSTITUTE(SUBSTITUTE(SUBSTITUTE(SUBSTITUTE(SUBSTITUTE(LOWER(Registro!$G889),"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",LEN(Registro!$G889))),({1,2,3,4,5,6,7,8,9,10,11,12,13,14,15,16,17,18,19,20,21,22,23,24,25,26,27,28,29,30}-1)*LEN(Registro!$G889)+1,LEN(Registro!$G889))),FIND("x",TRIM(MID(SUBSTITUTE(SUBSTITUTE(SUBSTITUTE(SUBSTITUTE(SUBSTITUTE(LOWER(Registro!$G889),"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",LEN(Registro!$G889))),({1,2,3,4,5,6,7,8,9,10,11,12,13,14,15,16,17,18,19,20,21,22,23,24,25,26,27,28,29,30}-1)*LEN(Registro!$G889)+1,LEN(Registro!$G889)))&amp;"x")-1)),--("0"&amp;MID(TRIM(MID(SUBSTITUTE(SUBSTITUTE(SUBSTITUTE(SUBSTITUTE(SUBSTITUTE(LOWER(Registro!$G889),"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",LEN(Registro!$G889))),({1,2,3,4,5,6,7,8,9,10,11,12,13,14,15,16,17,18,19,20,21,22,23,24,25,26,27,28,29,30}-1)*LEN(Registro!$G889)+1,LEN(Registro!$G889))),FIND("x",TRIM(MID(SUBSTITUTE(SUBSTITUTE(SUBSTITUTE(SUBSTITUTE(SUBSTITUTE(LOWER(Registro!$G889),"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",LEN(Registro!$G889))),({1,2,3,4,5,6,7,8,9,10,11,12,13,14,15,16,17,18,19,20,21,22,23,24,25,26,27,28,29,30}-1)*LEN(Registro!$G889)+1,LEN(Registro!$G889)))&amp;"x")+1,20))),"Revisar formato")))</f>
        <v/>
      </c>
      <c r="J889" s="9" t="str">
        <f>IF(AND(Registro!$E889="",Registro!$G889=""),"",IF(NOT(AND(ISNUMBER(I889),ISNUMBER(Registro!$H889))),"",IF(I889&lt;Registro!$H889,"FALTA BOLETOS",IF(I889=Registro!$H889,"CONFORME","DIFERENCIA"))))</f>
        <v/>
      </c>
      <c r="K889" s="11" t="str">
        <f>IF(Registro!$I889="","",IFERROR(SUMPRODUCT(--("0"&amp;TRIM(RIGHT(SUBSTITUTE(TRIM(MID(SUBSTITUTE(SUBSTITUTE(Registro!$I889,";",CHAR(10)),CHAR(10),REPT(" ",LEN(Registro!$I889))),({1,2,3,4,5,6,7,8,9,10,11,12,13,14,15,16,17,18,19,20,21,22,23,24,25,26,27,28,29,30}-1)*LEN(Registro!$I889)+1,LEN(Registro!$I889)))," ",REPT(" ",50)),50)))),"Revisar formato"))</f>
        <v/>
      </c>
      <c r="L889" s="11" t="str">
        <f>IF(Registro!$J889="","",IFERROR(SUMPRODUCT(--("0"&amp;TRIM(RIGHT(SUBSTITUTE(TRIM(MID(SUBSTITUTE(SUBSTITUTE(Registro!$J889,";",CHAR(10)),CHAR(10),REPT(" ",LEN(Registro!$J889))),({1,2,3,4,5,6,7,8,9,10,11,12,13,14,15,16,17,18,19,20,21,22,23,24,25,26,27,28,29,30}-1)*LEN(Registro!$J889)+1,LEN(Registro!$J889)))," ",REPT(" ",50)),50)))),"Revisar formato"))</f>
        <v/>
      </c>
      <c r="M889" s="11" t="str">
        <f>IF(AND(Registro!$H889="",Registro!$I889=""),"",IF(AND(ISTEXT(K889),K889&lt;&gt;""),"Revisar formato",N(Registro!$H889)-N(K889)))</f>
        <v/>
      </c>
      <c r="N889" s="11" t="str">
        <f t="shared" si="41"/>
        <v/>
      </c>
      <c r="O889" s="15" t="str">
        <f>IF(AND(A889=Consulta!$B$3,C889=Consulta!$H$3),B889*10000+ROW(),"")</f>
        <v/>
      </c>
    </row>
    <row r="890" spans="1:15" x14ac:dyDescent="0.25">
      <c r="A890" s="9" t="str">
        <f>IF(Registro!$A890="","",Registro!$A890)</f>
        <v/>
      </c>
      <c r="B890" s="8" t="str">
        <f>IF(Registro!$B890="","",Registro!$B890)</f>
        <v/>
      </c>
      <c r="C890" s="14" t="str">
        <f t="shared" si="39"/>
        <v/>
      </c>
      <c r="D890" s="10" t="str">
        <f>IF(Registro!$E890="","",IF(ISERROR(FIND("x",LOWER(Registro!$E890))),"-",IFERROR(SUMPRODUCT(--("0"&amp;LEFT(TRIM(MID(SUBSTITUTE(SUBSTITUTE(SUBSTITUTE(SUBSTITUTE(SUBSTITUTE(LOWER(Registro!$E890),"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",LEN(Registro!$E890))),({1,2,3,4,5,6,7,8,9,10,11,12,13,14,15,16,17,18,19,20,21,22,23,24,25,26,27,28,29,30}-1)*LEN(Registro!$E890)+1,LEN(Registro!$E890)))&amp;"x")-1))),"Revisar formato")))</f>
        <v/>
      </c>
      <c r="E890" s="11" t="str">
        <f>IF(Registro!$E890="","",IF(ISERROR(FIND("x",LOWER(Registro!$E890))),"-",IFERROR(SUMPRODUCT(--("0"&amp;LEFT(TRIM(MID(SUBSTITUTE(SUBSTITUTE(SUBSTITUTE(SUBSTITUTE(SUBSTITUTE(LOWER(Registro!$E890),"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",LEN(Registro!$E890))),({1,2,3,4,5,6,7,8,9,10,11,12,13,14,15,16,17,18,19,20,21,22,23,24,25,26,27,28,29,30}-1)*LEN(Registro!$E890)+1,LEN(Registro!$E890)))&amp;"x")-1)),--("0"&amp;MID(TRIM(MID(SUBSTITUTE(SUBSTITUTE(SUBSTITUTE(SUBSTITUTE(SUBSTITUTE(LOWER(Registro!$E890),"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",LEN(Registro!$E890))),({1,2,3,4,5,6,7,8,9,10,11,12,13,14,15,16,17,18,19,20,21,22,23,24,25,26,27,28,29,30}-1)*LEN(Registro!$E890)+1,LEN(Registro!$E890)))&amp;"x")+1,20))),"Revisar formato")))</f>
        <v/>
      </c>
      <c r="F890" s="11" t="str">
        <f>IF(Registro!$F890="","",N(Registro!$F890))</f>
        <v/>
      </c>
      <c r="G890" s="11" t="str">
        <f t="shared" si="40"/>
        <v/>
      </c>
      <c r="H890" s="10" t="str">
        <f>IF(Registro!$G890="","",IF(ISERROR(FIND("x",LOWER(Registro!$G890))),"-",IFERROR(SUMPRODUCT(--("0"&amp;LEFT(TRIM(MID(SUBSTITUTE(SUBSTITUTE(SUBSTITUTE(SUBSTITUTE(SUBSTITUTE(LOWER(Registro!$G890),"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",LEN(Registro!$G890))),({1,2,3,4,5,6,7,8,9,10,11,12,13,14,15,16,17,18,19,20,21,22,23,24,25,26,27,28,29,30}-1)*LEN(Registro!$G890)+1,LEN(Registro!$G890))),FIND("x",TRIM(MID(SUBSTITUTE(SUBSTITUTE(SUBSTITUTE(SUBSTITUTE(SUBSTITUTE(LOWER(Registro!$G890),"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",LEN(Registro!$G890))),({1,2,3,4,5,6,7,8,9,10,11,12,13,14,15,16,17,18,19,20,21,22,23,24,25,26,27,28,29,30}-1)*LEN(Registro!$G890)+1,LEN(Registro!$G890)))&amp;"x")-1))),"Revisar formato")))</f>
        <v/>
      </c>
      <c r="I890" s="11" t="str">
        <f>IF(Registro!$G890="","",IF(ISERROR(FIND("x",LOWER(Registro!$G890))),N(Registro!$H890),IFERROR(SUMPRODUCT(--("0"&amp;LEFT(TRIM(MID(SUBSTITUTE(SUBSTITUTE(SUBSTITUTE(SUBSTITUTE(SUBSTITUTE(LOWER(Registro!$G890),"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",LEN(Registro!$G890))),({1,2,3,4,5,6,7,8,9,10,11,12,13,14,15,16,17,18,19,20,21,22,23,24,25,26,27,28,29,30}-1)*LEN(Registro!$G890)+1,LEN(Registro!$G890))),FIND("x",TRIM(MID(SUBSTITUTE(SUBSTITUTE(SUBSTITUTE(SUBSTITUTE(SUBSTITUTE(LOWER(Registro!$G890),"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",LEN(Registro!$G890))),({1,2,3,4,5,6,7,8,9,10,11,12,13,14,15,16,17,18,19,20,21,22,23,24,25,26,27,28,29,30}-1)*LEN(Registro!$G890)+1,LEN(Registro!$G890)))&amp;"x")-1)),--("0"&amp;MID(TRIM(MID(SUBSTITUTE(SUBSTITUTE(SUBSTITUTE(SUBSTITUTE(SUBSTITUTE(LOWER(Registro!$G890),"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",LEN(Registro!$G890))),({1,2,3,4,5,6,7,8,9,10,11,12,13,14,15,16,17,18,19,20,21,22,23,24,25,26,27,28,29,30}-1)*LEN(Registro!$G890)+1,LEN(Registro!$G890))),FIND("x",TRIM(MID(SUBSTITUTE(SUBSTITUTE(SUBSTITUTE(SUBSTITUTE(SUBSTITUTE(LOWER(Registro!$G890),"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",LEN(Registro!$G890))),({1,2,3,4,5,6,7,8,9,10,11,12,13,14,15,16,17,18,19,20,21,22,23,24,25,26,27,28,29,30}-1)*LEN(Registro!$G890)+1,LEN(Registro!$G890)))&amp;"x")+1,20))),"Revisar formato")))</f>
        <v/>
      </c>
      <c r="J890" s="9" t="str">
        <f>IF(AND(Registro!$E890="",Registro!$G890=""),"",IF(NOT(AND(ISNUMBER(I890),ISNUMBER(Registro!$H890))),"",IF(I890&lt;Registro!$H890,"FALTA BOLETOS",IF(I890=Registro!$H890,"CONFORME","DIFERENCIA"))))</f>
        <v/>
      </c>
      <c r="K890" s="11" t="str">
        <f>IF(Registro!$I890="","",IFERROR(SUMPRODUCT(--("0"&amp;TRIM(RIGHT(SUBSTITUTE(TRIM(MID(SUBSTITUTE(SUBSTITUTE(Registro!$I890,";",CHAR(10)),CHAR(10),REPT(" ",LEN(Registro!$I890))),({1,2,3,4,5,6,7,8,9,10,11,12,13,14,15,16,17,18,19,20,21,22,23,24,25,26,27,28,29,30}-1)*LEN(Registro!$I890)+1,LEN(Registro!$I890)))," ",REPT(" ",50)),50)))),"Revisar formato"))</f>
        <v/>
      </c>
      <c r="L890" s="11" t="str">
        <f>IF(Registro!$J890="","",IFERROR(SUMPRODUCT(--("0"&amp;TRIM(RIGHT(SUBSTITUTE(TRIM(MID(SUBSTITUTE(SUBSTITUTE(Registro!$J890,";",CHAR(10)),CHAR(10),REPT(" ",LEN(Registro!$J890))),({1,2,3,4,5,6,7,8,9,10,11,12,13,14,15,16,17,18,19,20,21,22,23,24,25,26,27,28,29,30}-1)*LEN(Registro!$J890)+1,LEN(Registro!$J890)))," ",REPT(" ",50)),50)))),"Revisar formato"))</f>
        <v/>
      </c>
      <c r="M890" s="11" t="str">
        <f>IF(AND(Registro!$H890="",Registro!$I890=""),"",IF(AND(ISTEXT(K890),K890&lt;&gt;""),"Revisar formato",N(Registro!$H890)-N(K890)))</f>
        <v/>
      </c>
      <c r="N890" s="11" t="str">
        <f t="shared" si="41"/>
        <v/>
      </c>
      <c r="O890" s="15" t="str">
        <f>IF(AND(A890=Consulta!$B$3,C890=Consulta!$H$3),B890*10000+ROW(),"")</f>
        <v/>
      </c>
    </row>
    <row r="891" spans="1:15" x14ac:dyDescent="0.25">
      <c r="A891" s="9" t="str">
        <f>IF(Registro!$A891="","",Registro!$A891)</f>
        <v/>
      </c>
      <c r="B891" s="8" t="str">
        <f>IF(Registro!$B891="","",Registro!$B891)</f>
        <v/>
      </c>
      <c r="C891" s="14" t="str">
        <f t="shared" si="39"/>
        <v/>
      </c>
      <c r="D891" s="10" t="str">
        <f>IF(Registro!$E891="","",IF(ISERROR(FIND("x",LOWER(Registro!$E891))),"-",IFERROR(SUMPRODUCT(--("0"&amp;LEFT(TRIM(MID(SUBSTITUTE(SUBSTITUTE(SUBSTITUTE(SUBSTITUTE(SUBSTITUTE(LOWER(Registro!$E891),"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",LEN(Registro!$E891))),({1,2,3,4,5,6,7,8,9,10,11,12,13,14,15,16,17,18,19,20,21,22,23,24,25,26,27,28,29,30}-1)*LEN(Registro!$E891)+1,LEN(Registro!$E891)))&amp;"x")-1))),"Revisar formato")))</f>
        <v/>
      </c>
      <c r="E891" s="11" t="str">
        <f>IF(Registro!$E891="","",IF(ISERROR(FIND("x",LOWER(Registro!$E891))),"-",IFERROR(SUMPRODUCT(--("0"&amp;LEFT(TRIM(MID(SUBSTITUTE(SUBSTITUTE(SUBSTITUTE(SUBSTITUTE(SUBSTITUTE(LOWER(Registro!$E891),"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",LEN(Registro!$E891))),({1,2,3,4,5,6,7,8,9,10,11,12,13,14,15,16,17,18,19,20,21,22,23,24,25,26,27,28,29,30}-1)*LEN(Registro!$E891)+1,LEN(Registro!$E891)))&amp;"x")-1)),--("0"&amp;MID(TRIM(MID(SUBSTITUTE(SUBSTITUTE(SUBSTITUTE(SUBSTITUTE(SUBSTITUTE(LOWER(Registro!$E891),"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",LEN(Registro!$E891))),({1,2,3,4,5,6,7,8,9,10,11,12,13,14,15,16,17,18,19,20,21,22,23,24,25,26,27,28,29,30}-1)*LEN(Registro!$E891)+1,LEN(Registro!$E891)))&amp;"x")+1,20))),"Revisar formato")))</f>
        <v/>
      </c>
      <c r="F891" s="11" t="str">
        <f>IF(Registro!$F891="","",N(Registro!$F891))</f>
        <v/>
      </c>
      <c r="G891" s="11" t="str">
        <f t="shared" si="40"/>
        <v/>
      </c>
      <c r="H891" s="10" t="str">
        <f>IF(Registro!$G891="","",IF(ISERROR(FIND("x",LOWER(Registro!$G891))),"-",IFERROR(SUMPRODUCT(--("0"&amp;LEFT(TRIM(MID(SUBSTITUTE(SUBSTITUTE(SUBSTITUTE(SUBSTITUTE(SUBSTITUTE(LOWER(Registro!$G891),"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",LEN(Registro!$G891))),({1,2,3,4,5,6,7,8,9,10,11,12,13,14,15,16,17,18,19,20,21,22,23,24,25,26,27,28,29,30}-1)*LEN(Registro!$G891)+1,LEN(Registro!$G891))),FIND("x",TRIM(MID(SUBSTITUTE(SUBSTITUTE(SUBSTITUTE(SUBSTITUTE(SUBSTITUTE(LOWER(Registro!$G891),"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",LEN(Registro!$G891))),({1,2,3,4,5,6,7,8,9,10,11,12,13,14,15,16,17,18,19,20,21,22,23,24,25,26,27,28,29,30}-1)*LEN(Registro!$G891)+1,LEN(Registro!$G891)))&amp;"x")-1))),"Revisar formato")))</f>
        <v/>
      </c>
      <c r="I891" s="11" t="str">
        <f>IF(Registro!$G891="","",IF(ISERROR(FIND("x",LOWER(Registro!$G891))),N(Registro!$H891),IFERROR(SUMPRODUCT(--("0"&amp;LEFT(TRIM(MID(SUBSTITUTE(SUBSTITUTE(SUBSTITUTE(SUBSTITUTE(SUBSTITUTE(LOWER(Registro!$G891),"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",LEN(Registro!$G891))),({1,2,3,4,5,6,7,8,9,10,11,12,13,14,15,16,17,18,19,20,21,22,23,24,25,26,27,28,29,30}-1)*LEN(Registro!$G891)+1,LEN(Registro!$G891))),FIND("x",TRIM(MID(SUBSTITUTE(SUBSTITUTE(SUBSTITUTE(SUBSTITUTE(SUBSTITUTE(LOWER(Registro!$G891),"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",LEN(Registro!$G891))),({1,2,3,4,5,6,7,8,9,10,11,12,13,14,15,16,17,18,19,20,21,22,23,24,25,26,27,28,29,30}-1)*LEN(Registro!$G891)+1,LEN(Registro!$G891)))&amp;"x")-1)),--("0"&amp;MID(TRIM(MID(SUBSTITUTE(SUBSTITUTE(SUBSTITUTE(SUBSTITUTE(SUBSTITUTE(LOWER(Registro!$G891),"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",LEN(Registro!$G891))),({1,2,3,4,5,6,7,8,9,10,11,12,13,14,15,16,17,18,19,20,21,22,23,24,25,26,27,28,29,30}-1)*LEN(Registro!$G891)+1,LEN(Registro!$G891))),FIND("x",TRIM(MID(SUBSTITUTE(SUBSTITUTE(SUBSTITUTE(SUBSTITUTE(SUBSTITUTE(LOWER(Registro!$G891),"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",LEN(Registro!$G891))),({1,2,3,4,5,6,7,8,9,10,11,12,13,14,15,16,17,18,19,20,21,22,23,24,25,26,27,28,29,30}-1)*LEN(Registro!$G891)+1,LEN(Registro!$G891)))&amp;"x")+1,20))),"Revisar formato")))</f>
        <v/>
      </c>
      <c r="J891" s="9" t="str">
        <f>IF(AND(Registro!$E891="",Registro!$G891=""),"",IF(NOT(AND(ISNUMBER(I891),ISNUMBER(Registro!$H891))),"",IF(I891&lt;Registro!$H891,"FALTA BOLETOS",IF(I891=Registro!$H891,"CONFORME","DIFERENCIA"))))</f>
        <v/>
      </c>
      <c r="K891" s="11" t="str">
        <f>IF(Registro!$I891="","",IFERROR(SUMPRODUCT(--("0"&amp;TRIM(RIGHT(SUBSTITUTE(TRIM(MID(SUBSTITUTE(SUBSTITUTE(Registro!$I891,";",CHAR(10)),CHAR(10),REPT(" ",LEN(Registro!$I891))),({1,2,3,4,5,6,7,8,9,10,11,12,13,14,15,16,17,18,19,20,21,22,23,24,25,26,27,28,29,30}-1)*LEN(Registro!$I891)+1,LEN(Registro!$I891)))," ",REPT(" ",50)),50)))),"Revisar formato"))</f>
        <v/>
      </c>
      <c r="L891" s="11" t="str">
        <f>IF(Registro!$J891="","",IFERROR(SUMPRODUCT(--("0"&amp;TRIM(RIGHT(SUBSTITUTE(TRIM(MID(SUBSTITUTE(SUBSTITUTE(Registro!$J891,";",CHAR(10)),CHAR(10),REPT(" ",LEN(Registro!$J891))),({1,2,3,4,5,6,7,8,9,10,11,12,13,14,15,16,17,18,19,20,21,22,23,24,25,26,27,28,29,30}-1)*LEN(Registro!$J891)+1,LEN(Registro!$J891)))," ",REPT(" ",50)),50)))),"Revisar formato"))</f>
        <v/>
      </c>
      <c r="M891" s="11" t="str">
        <f>IF(AND(Registro!$H891="",Registro!$I891=""),"",IF(AND(ISTEXT(K891),K891&lt;&gt;""),"Revisar formato",N(Registro!$H891)-N(K891)))</f>
        <v/>
      </c>
      <c r="N891" s="11" t="str">
        <f t="shared" si="41"/>
        <v/>
      </c>
      <c r="O891" s="15" t="str">
        <f>IF(AND(A891=Consulta!$B$3,C891=Consulta!$H$3),B891*10000+ROW(),"")</f>
        <v/>
      </c>
    </row>
    <row r="892" spans="1:15" x14ac:dyDescent="0.25">
      <c r="A892" s="9" t="str">
        <f>IF(Registro!$A892="","",Registro!$A892)</f>
        <v/>
      </c>
      <c r="B892" s="8" t="str">
        <f>IF(Registro!$B892="","",Registro!$B892)</f>
        <v/>
      </c>
      <c r="C892" s="14" t="str">
        <f t="shared" si="39"/>
        <v/>
      </c>
      <c r="D892" s="10" t="str">
        <f>IF(Registro!$E892="","",IF(ISERROR(FIND("x",LOWER(Registro!$E892))),"-",IFERROR(SUMPRODUCT(--("0"&amp;LEFT(TRIM(MID(SUBSTITUTE(SUBSTITUTE(SUBSTITUTE(SUBSTITUTE(SUBSTITUTE(LOWER(Registro!$E892),"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",LEN(Registro!$E892))),({1,2,3,4,5,6,7,8,9,10,11,12,13,14,15,16,17,18,19,20,21,22,23,24,25,26,27,28,29,30}-1)*LEN(Registro!$E892)+1,LEN(Registro!$E892)))&amp;"x")-1))),"Revisar formato")))</f>
        <v/>
      </c>
      <c r="E892" s="11" t="str">
        <f>IF(Registro!$E892="","",IF(ISERROR(FIND("x",LOWER(Registro!$E892))),"-",IFERROR(SUMPRODUCT(--("0"&amp;LEFT(TRIM(MID(SUBSTITUTE(SUBSTITUTE(SUBSTITUTE(SUBSTITUTE(SUBSTITUTE(LOWER(Registro!$E892),"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",LEN(Registro!$E892))),({1,2,3,4,5,6,7,8,9,10,11,12,13,14,15,16,17,18,19,20,21,22,23,24,25,26,27,28,29,30}-1)*LEN(Registro!$E892)+1,LEN(Registro!$E892)))&amp;"x")-1)),--("0"&amp;MID(TRIM(MID(SUBSTITUTE(SUBSTITUTE(SUBSTITUTE(SUBSTITUTE(SUBSTITUTE(LOWER(Registro!$E892),"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",LEN(Registro!$E892))),({1,2,3,4,5,6,7,8,9,10,11,12,13,14,15,16,17,18,19,20,21,22,23,24,25,26,27,28,29,30}-1)*LEN(Registro!$E892)+1,LEN(Registro!$E892)))&amp;"x")+1,20))),"Revisar formato")))</f>
        <v/>
      </c>
      <c r="F892" s="11" t="str">
        <f>IF(Registro!$F892="","",N(Registro!$F892))</f>
        <v/>
      </c>
      <c r="G892" s="11" t="str">
        <f t="shared" si="40"/>
        <v/>
      </c>
      <c r="H892" s="10" t="str">
        <f>IF(Registro!$G892="","",IF(ISERROR(FIND("x",LOWER(Registro!$G892))),"-",IFERROR(SUMPRODUCT(--("0"&amp;LEFT(TRIM(MID(SUBSTITUTE(SUBSTITUTE(SUBSTITUTE(SUBSTITUTE(SUBSTITUTE(LOWER(Registro!$G892),"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",LEN(Registro!$G892))),({1,2,3,4,5,6,7,8,9,10,11,12,13,14,15,16,17,18,19,20,21,22,23,24,25,26,27,28,29,30}-1)*LEN(Registro!$G892)+1,LEN(Registro!$G892))),FIND("x",TRIM(MID(SUBSTITUTE(SUBSTITUTE(SUBSTITUTE(SUBSTITUTE(SUBSTITUTE(LOWER(Registro!$G892),"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",LEN(Registro!$G892))),({1,2,3,4,5,6,7,8,9,10,11,12,13,14,15,16,17,18,19,20,21,22,23,24,25,26,27,28,29,30}-1)*LEN(Registro!$G892)+1,LEN(Registro!$G892)))&amp;"x")-1))),"Revisar formato")))</f>
        <v/>
      </c>
      <c r="I892" s="11" t="str">
        <f>IF(Registro!$G892="","",IF(ISERROR(FIND("x",LOWER(Registro!$G892))),N(Registro!$H892),IFERROR(SUMPRODUCT(--("0"&amp;LEFT(TRIM(MID(SUBSTITUTE(SUBSTITUTE(SUBSTITUTE(SUBSTITUTE(SUBSTITUTE(LOWER(Registro!$G892),"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",LEN(Registro!$G892))),({1,2,3,4,5,6,7,8,9,10,11,12,13,14,15,16,17,18,19,20,21,22,23,24,25,26,27,28,29,30}-1)*LEN(Registro!$G892)+1,LEN(Registro!$G892))),FIND("x",TRIM(MID(SUBSTITUTE(SUBSTITUTE(SUBSTITUTE(SUBSTITUTE(SUBSTITUTE(LOWER(Registro!$G892),"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",LEN(Registro!$G892))),({1,2,3,4,5,6,7,8,9,10,11,12,13,14,15,16,17,18,19,20,21,22,23,24,25,26,27,28,29,30}-1)*LEN(Registro!$G892)+1,LEN(Registro!$G892)))&amp;"x")-1)),--("0"&amp;MID(TRIM(MID(SUBSTITUTE(SUBSTITUTE(SUBSTITUTE(SUBSTITUTE(SUBSTITUTE(LOWER(Registro!$G892),"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",LEN(Registro!$G892))),({1,2,3,4,5,6,7,8,9,10,11,12,13,14,15,16,17,18,19,20,21,22,23,24,25,26,27,28,29,30}-1)*LEN(Registro!$G892)+1,LEN(Registro!$G892))),FIND("x",TRIM(MID(SUBSTITUTE(SUBSTITUTE(SUBSTITUTE(SUBSTITUTE(SUBSTITUTE(LOWER(Registro!$G892),"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",LEN(Registro!$G892))),({1,2,3,4,5,6,7,8,9,10,11,12,13,14,15,16,17,18,19,20,21,22,23,24,25,26,27,28,29,30}-1)*LEN(Registro!$G892)+1,LEN(Registro!$G892)))&amp;"x")+1,20))),"Revisar formato")))</f>
        <v/>
      </c>
      <c r="J892" s="9" t="str">
        <f>IF(AND(Registro!$E892="",Registro!$G892=""),"",IF(NOT(AND(ISNUMBER(I892),ISNUMBER(Registro!$H892))),"",IF(I892&lt;Registro!$H892,"FALTA BOLETOS",IF(I892=Registro!$H892,"CONFORME","DIFERENCIA"))))</f>
        <v/>
      </c>
      <c r="K892" s="11" t="str">
        <f>IF(Registro!$I892="","",IFERROR(SUMPRODUCT(--("0"&amp;TRIM(RIGHT(SUBSTITUTE(TRIM(MID(SUBSTITUTE(SUBSTITUTE(Registro!$I892,";",CHAR(10)),CHAR(10),REPT(" ",LEN(Registro!$I892))),({1,2,3,4,5,6,7,8,9,10,11,12,13,14,15,16,17,18,19,20,21,22,23,24,25,26,27,28,29,30}-1)*LEN(Registro!$I892)+1,LEN(Registro!$I892)))," ",REPT(" ",50)),50)))),"Revisar formato"))</f>
        <v/>
      </c>
      <c r="L892" s="11" t="str">
        <f>IF(Registro!$J892="","",IFERROR(SUMPRODUCT(--("0"&amp;TRIM(RIGHT(SUBSTITUTE(TRIM(MID(SUBSTITUTE(SUBSTITUTE(Registro!$J892,";",CHAR(10)),CHAR(10),REPT(" ",LEN(Registro!$J892))),({1,2,3,4,5,6,7,8,9,10,11,12,13,14,15,16,17,18,19,20,21,22,23,24,25,26,27,28,29,30}-1)*LEN(Registro!$J892)+1,LEN(Registro!$J892)))," ",REPT(" ",50)),50)))),"Revisar formato"))</f>
        <v/>
      </c>
      <c r="M892" s="11" t="str">
        <f>IF(AND(Registro!$H892="",Registro!$I892=""),"",IF(AND(ISTEXT(K892),K892&lt;&gt;""),"Revisar formato",N(Registro!$H892)-N(K892)))</f>
        <v/>
      </c>
      <c r="N892" s="11" t="str">
        <f t="shared" si="41"/>
        <v/>
      </c>
      <c r="O892" s="15" t="str">
        <f>IF(AND(A892=Consulta!$B$3,C892=Consulta!$H$3),B892*10000+ROW(),"")</f>
        <v/>
      </c>
    </row>
    <row r="893" spans="1:15" x14ac:dyDescent="0.25">
      <c r="A893" s="9" t="str">
        <f>IF(Registro!$A893="","",Registro!$A893)</f>
        <v/>
      </c>
      <c r="B893" s="8" t="str">
        <f>IF(Registro!$B893="","",Registro!$B893)</f>
        <v/>
      </c>
      <c r="C893" s="14" t="str">
        <f t="shared" si="39"/>
        <v/>
      </c>
      <c r="D893" s="10" t="str">
        <f>IF(Registro!$E893="","",IF(ISERROR(FIND("x",LOWER(Registro!$E893))),"-",IFERROR(SUMPRODUCT(--("0"&amp;LEFT(TRIM(MID(SUBSTITUTE(SUBSTITUTE(SUBSTITUTE(SUBSTITUTE(SUBSTITUTE(LOWER(Registro!$E893),"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",LEN(Registro!$E893))),({1,2,3,4,5,6,7,8,9,10,11,12,13,14,15,16,17,18,19,20,21,22,23,24,25,26,27,28,29,30}-1)*LEN(Registro!$E893)+1,LEN(Registro!$E893)))&amp;"x")-1))),"Revisar formato")))</f>
        <v/>
      </c>
      <c r="E893" s="11" t="str">
        <f>IF(Registro!$E893="","",IF(ISERROR(FIND("x",LOWER(Registro!$E893))),"-",IFERROR(SUMPRODUCT(--("0"&amp;LEFT(TRIM(MID(SUBSTITUTE(SUBSTITUTE(SUBSTITUTE(SUBSTITUTE(SUBSTITUTE(LOWER(Registro!$E893),"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",LEN(Registro!$E893))),({1,2,3,4,5,6,7,8,9,10,11,12,13,14,15,16,17,18,19,20,21,22,23,24,25,26,27,28,29,30}-1)*LEN(Registro!$E893)+1,LEN(Registro!$E893)))&amp;"x")-1)),--("0"&amp;MID(TRIM(MID(SUBSTITUTE(SUBSTITUTE(SUBSTITUTE(SUBSTITUTE(SUBSTITUTE(LOWER(Registro!$E893),"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",LEN(Registro!$E893))),({1,2,3,4,5,6,7,8,9,10,11,12,13,14,15,16,17,18,19,20,21,22,23,24,25,26,27,28,29,30}-1)*LEN(Registro!$E893)+1,LEN(Registro!$E893)))&amp;"x")+1,20))),"Revisar formato")))</f>
        <v/>
      </c>
      <c r="F893" s="11" t="str">
        <f>IF(Registro!$F893="","",N(Registro!$F893))</f>
        <v/>
      </c>
      <c r="G893" s="11" t="str">
        <f t="shared" si="40"/>
        <v/>
      </c>
      <c r="H893" s="10" t="str">
        <f>IF(Registro!$G893="","",IF(ISERROR(FIND("x",LOWER(Registro!$G893))),"-",IFERROR(SUMPRODUCT(--("0"&amp;LEFT(TRIM(MID(SUBSTITUTE(SUBSTITUTE(SUBSTITUTE(SUBSTITUTE(SUBSTITUTE(LOWER(Registro!$G893),"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",LEN(Registro!$G893))),({1,2,3,4,5,6,7,8,9,10,11,12,13,14,15,16,17,18,19,20,21,22,23,24,25,26,27,28,29,30}-1)*LEN(Registro!$G893)+1,LEN(Registro!$G893))),FIND("x",TRIM(MID(SUBSTITUTE(SUBSTITUTE(SUBSTITUTE(SUBSTITUTE(SUBSTITUTE(LOWER(Registro!$G893),"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",LEN(Registro!$G893))),({1,2,3,4,5,6,7,8,9,10,11,12,13,14,15,16,17,18,19,20,21,22,23,24,25,26,27,28,29,30}-1)*LEN(Registro!$G893)+1,LEN(Registro!$G893)))&amp;"x")-1))),"Revisar formato")))</f>
        <v/>
      </c>
      <c r="I893" s="11" t="str">
        <f>IF(Registro!$G893="","",IF(ISERROR(FIND("x",LOWER(Registro!$G893))),N(Registro!$H893),IFERROR(SUMPRODUCT(--("0"&amp;LEFT(TRIM(MID(SUBSTITUTE(SUBSTITUTE(SUBSTITUTE(SUBSTITUTE(SUBSTITUTE(LOWER(Registro!$G893),"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",LEN(Registro!$G893))),({1,2,3,4,5,6,7,8,9,10,11,12,13,14,15,16,17,18,19,20,21,22,23,24,25,26,27,28,29,30}-1)*LEN(Registro!$G893)+1,LEN(Registro!$G893))),FIND("x",TRIM(MID(SUBSTITUTE(SUBSTITUTE(SUBSTITUTE(SUBSTITUTE(SUBSTITUTE(LOWER(Registro!$G893),"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",LEN(Registro!$G893))),({1,2,3,4,5,6,7,8,9,10,11,12,13,14,15,16,17,18,19,20,21,22,23,24,25,26,27,28,29,30}-1)*LEN(Registro!$G893)+1,LEN(Registro!$G893)))&amp;"x")-1)),--("0"&amp;MID(TRIM(MID(SUBSTITUTE(SUBSTITUTE(SUBSTITUTE(SUBSTITUTE(SUBSTITUTE(LOWER(Registro!$G893),"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",LEN(Registro!$G893))),({1,2,3,4,5,6,7,8,9,10,11,12,13,14,15,16,17,18,19,20,21,22,23,24,25,26,27,28,29,30}-1)*LEN(Registro!$G893)+1,LEN(Registro!$G893))),FIND("x",TRIM(MID(SUBSTITUTE(SUBSTITUTE(SUBSTITUTE(SUBSTITUTE(SUBSTITUTE(LOWER(Registro!$G893),"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",LEN(Registro!$G893))),({1,2,3,4,5,6,7,8,9,10,11,12,13,14,15,16,17,18,19,20,21,22,23,24,25,26,27,28,29,30}-1)*LEN(Registro!$G893)+1,LEN(Registro!$G893)))&amp;"x")+1,20))),"Revisar formato")))</f>
        <v/>
      </c>
      <c r="J893" s="9" t="str">
        <f>IF(AND(Registro!$E893="",Registro!$G893=""),"",IF(NOT(AND(ISNUMBER(I893),ISNUMBER(Registro!$H893))),"",IF(I893&lt;Registro!$H893,"FALTA BOLETOS",IF(I893=Registro!$H893,"CONFORME","DIFERENCIA"))))</f>
        <v/>
      </c>
      <c r="K893" s="11" t="str">
        <f>IF(Registro!$I893="","",IFERROR(SUMPRODUCT(--("0"&amp;TRIM(RIGHT(SUBSTITUTE(TRIM(MID(SUBSTITUTE(SUBSTITUTE(Registro!$I893,";",CHAR(10)),CHAR(10),REPT(" ",LEN(Registro!$I893))),({1,2,3,4,5,6,7,8,9,10,11,12,13,14,15,16,17,18,19,20,21,22,23,24,25,26,27,28,29,30}-1)*LEN(Registro!$I893)+1,LEN(Registro!$I893)))," ",REPT(" ",50)),50)))),"Revisar formato"))</f>
        <v/>
      </c>
      <c r="L893" s="11" t="str">
        <f>IF(Registro!$J893="","",IFERROR(SUMPRODUCT(--("0"&amp;TRIM(RIGHT(SUBSTITUTE(TRIM(MID(SUBSTITUTE(SUBSTITUTE(Registro!$J893,";",CHAR(10)),CHAR(10),REPT(" ",LEN(Registro!$J893))),({1,2,3,4,5,6,7,8,9,10,11,12,13,14,15,16,17,18,19,20,21,22,23,24,25,26,27,28,29,30}-1)*LEN(Registro!$J893)+1,LEN(Registro!$J893)))," ",REPT(" ",50)),50)))),"Revisar formato"))</f>
        <v/>
      </c>
      <c r="M893" s="11" t="str">
        <f>IF(AND(Registro!$H893="",Registro!$I893=""),"",IF(AND(ISTEXT(K893),K893&lt;&gt;""),"Revisar formato",N(Registro!$H893)-N(K893)))</f>
        <v/>
      </c>
      <c r="N893" s="11" t="str">
        <f t="shared" si="41"/>
        <v/>
      </c>
      <c r="O893" s="15" t="str">
        <f>IF(AND(A893=Consulta!$B$3,C893=Consulta!$H$3),B893*10000+ROW(),"")</f>
        <v/>
      </c>
    </row>
    <row r="894" spans="1:15" x14ac:dyDescent="0.25">
      <c r="A894" s="9" t="str">
        <f>IF(Registro!$A894="","",Registro!$A894)</f>
        <v/>
      </c>
      <c r="B894" s="8" t="str">
        <f>IF(Registro!$B894="","",Registro!$B894)</f>
        <v/>
      </c>
      <c r="C894" s="14" t="str">
        <f t="shared" si="39"/>
        <v/>
      </c>
      <c r="D894" s="10" t="str">
        <f>IF(Registro!$E894="","",IF(ISERROR(FIND("x",LOWER(Registro!$E894))),"-",IFERROR(SUMPRODUCT(--("0"&amp;LEFT(TRIM(MID(SUBSTITUTE(SUBSTITUTE(SUBSTITUTE(SUBSTITUTE(SUBSTITUTE(LOWER(Registro!$E894),"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",LEN(Registro!$E894))),({1,2,3,4,5,6,7,8,9,10,11,12,13,14,15,16,17,18,19,20,21,22,23,24,25,26,27,28,29,30}-1)*LEN(Registro!$E894)+1,LEN(Registro!$E894)))&amp;"x")-1))),"Revisar formato")))</f>
        <v/>
      </c>
      <c r="E894" s="11" t="str">
        <f>IF(Registro!$E894="","",IF(ISERROR(FIND("x",LOWER(Registro!$E894))),"-",IFERROR(SUMPRODUCT(--("0"&amp;LEFT(TRIM(MID(SUBSTITUTE(SUBSTITUTE(SUBSTITUTE(SUBSTITUTE(SUBSTITUTE(LOWER(Registro!$E894),"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",LEN(Registro!$E894))),({1,2,3,4,5,6,7,8,9,10,11,12,13,14,15,16,17,18,19,20,21,22,23,24,25,26,27,28,29,30}-1)*LEN(Registro!$E894)+1,LEN(Registro!$E894)))&amp;"x")-1)),--("0"&amp;MID(TRIM(MID(SUBSTITUTE(SUBSTITUTE(SUBSTITUTE(SUBSTITUTE(SUBSTITUTE(LOWER(Registro!$E894),"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",LEN(Registro!$E894))),({1,2,3,4,5,6,7,8,9,10,11,12,13,14,15,16,17,18,19,20,21,22,23,24,25,26,27,28,29,30}-1)*LEN(Registro!$E894)+1,LEN(Registro!$E894)))&amp;"x")+1,20))),"Revisar formato")))</f>
        <v/>
      </c>
      <c r="F894" s="11" t="str">
        <f>IF(Registro!$F894="","",N(Registro!$F894))</f>
        <v/>
      </c>
      <c r="G894" s="11" t="str">
        <f t="shared" si="40"/>
        <v/>
      </c>
      <c r="H894" s="10" t="str">
        <f>IF(Registro!$G894="","",IF(ISERROR(FIND("x",LOWER(Registro!$G894))),"-",IFERROR(SUMPRODUCT(--("0"&amp;LEFT(TRIM(MID(SUBSTITUTE(SUBSTITUTE(SUBSTITUTE(SUBSTITUTE(SUBSTITUTE(LOWER(Registro!$G894),"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",LEN(Registro!$G894))),({1,2,3,4,5,6,7,8,9,10,11,12,13,14,15,16,17,18,19,20,21,22,23,24,25,26,27,28,29,30}-1)*LEN(Registro!$G894)+1,LEN(Registro!$G894))),FIND("x",TRIM(MID(SUBSTITUTE(SUBSTITUTE(SUBSTITUTE(SUBSTITUTE(SUBSTITUTE(LOWER(Registro!$G894),"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",LEN(Registro!$G894))),({1,2,3,4,5,6,7,8,9,10,11,12,13,14,15,16,17,18,19,20,21,22,23,24,25,26,27,28,29,30}-1)*LEN(Registro!$G894)+1,LEN(Registro!$G894)))&amp;"x")-1))),"Revisar formato")))</f>
        <v/>
      </c>
      <c r="I894" s="11" t="str">
        <f>IF(Registro!$G894="","",IF(ISERROR(FIND("x",LOWER(Registro!$G894))),N(Registro!$H894),IFERROR(SUMPRODUCT(--("0"&amp;LEFT(TRIM(MID(SUBSTITUTE(SUBSTITUTE(SUBSTITUTE(SUBSTITUTE(SUBSTITUTE(LOWER(Registro!$G894),"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",LEN(Registro!$G894))),({1,2,3,4,5,6,7,8,9,10,11,12,13,14,15,16,17,18,19,20,21,22,23,24,25,26,27,28,29,30}-1)*LEN(Registro!$G894)+1,LEN(Registro!$G894))),FIND("x",TRIM(MID(SUBSTITUTE(SUBSTITUTE(SUBSTITUTE(SUBSTITUTE(SUBSTITUTE(LOWER(Registro!$G894),"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",LEN(Registro!$G894))),({1,2,3,4,5,6,7,8,9,10,11,12,13,14,15,16,17,18,19,20,21,22,23,24,25,26,27,28,29,30}-1)*LEN(Registro!$G894)+1,LEN(Registro!$G894)))&amp;"x")-1)),--("0"&amp;MID(TRIM(MID(SUBSTITUTE(SUBSTITUTE(SUBSTITUTE(SUBSTITUTE(SUBSTITUTE(LOWER(Registro!$G894),"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",LEN(Registro!$G894))),({1,2,3,4,5,6,7,8,9,10,11,12,13,14,15,16,17,18,19,20,21,22,23,24,25,26,27,28,29,30}-1)*LEN(Registro!$G894)+1,LEN(Registro!$G894))),FIND("x",TRIM(MID(SUBSTITUTE(SUBSTITUTE(SUBSTITUTE(SUBSTITUTE(SUBSTITUTE(LOWER(Registro!$G894),"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",LEN(Registro!$G894))),({1,2,3,4,5,6,7,8,9,10,11,12,13,14,15,16,17,18,19,20,21,22,23,24,25,26,27,28,29,30}-1)*LEN(Registro!$G894)+1,LEN(Registro!$G894)))&amp;"x")+1,20))),"Revisar formato")))</f>
        <v/>
      </c>
      <c r="J894" s="9" t="str">
        <f>IF(AND(Registro!$E894="",Registro!$G894=""),"",IF(NOT(AND(ISNUMBER(I894),ISNUMBER(Registro!$H894))),"",IF(I894&lt;Registro!$H894,"FALTA BOLETOS",IF(I894=Registro!$H894,"CONFORME","DIFERENCIA"))))</f>
        <v/>
      </c>
      <c r="K894" s="11" t="str">
        <f>IF(Registro!$I894="","",IFERROR(SUMPRODUCT(--("0"&amp;TRIM(RIGHT(SUBSTITUTE(TRIM(MID(SUBSTITUTE(SUBSTITUTE(Registro!$I894,";",CHAR(10)),CHAR(10),REPT(" ",LEN(Registro!$I894))),({1,2,3,4,5,6,7,8,9,10,11,12,13,14,15,16,17,18,19,20,21,22,23,24,25,26,27,28,29,30}-1)*LEN(Registro!$I894)+1,LEN(Registro!$I894)))," ",REPT(" ",50)),50)))),"Revisar formato"))</f>
        <v/>
      </c>
      <c r="L894" s="11" t="str">
        <f>IF(Registro!$J894="","",IFERROR(SUMPRODUCT(--("0"&amp;TRIM(RIGHT(SUBSTITUTE(TRIM(MID(SUBSTITUTE(SUBSTITUTE(Registro!$J894,";",CHAR(10)),CHAR(10),REPT(" ",LEN(Registro!$J894))),({1,2,3,4,5,6,7,8,9,10,11,12,13,14,15,16,17,18,19,20,21,22,23,24,25,26,27,28,29,30}-1)*LEN(Registro!$J894)+1,LEN(Registro!$J894)))," ",REPT(" ",50)),50)))),"Revisar formato"))</f>
        <v/>
      </c>
      <c r="M894" s="11" t="str">
        <f>IF(AND(Registro!$H894="",Registro!$I894=""),"",IF(AND(ISTEXT(K894),K894&lt;&gt;""),"Revisar formato",N(Registro!$H894)-N(K894)))</f>
        <v/>
      </c>
      <c r="N894" s="11" t="str">
        <f t="shared" si="41"/>
        <v/>
      </c>
      <c r="O894" s="15" t="str">
        <f>IF(AND(A894=Consulta!$B$3,C894=Consulta!$H$3),B894*10000+ROW(),"")</f>
        <v/>
      </c>
    </row>
    <row r="895" spans="1:15" x14ac:dyDescent="0.25">
      <c r="A895" s="9" t="str">
        <f>IF(Registro!$A895="","",Registro!$A895)</f>
        <v/>
      </c>
      <c r="B895" s="8" t="str">
        <f>IF(Registro!$B895="","",Registro!$B895)</f>
        <v/>
      </c>
      <c r="C895" s="14" t="str">
        <f t="shared" si="39"/>
        <v/>
      </c>
      <c r="D895" s="10" t="str">
        <f>IF(Registro!$E895="","",IF(ISERROR(FIND("x",LOWER(Registro!$E895))),"-",IFERROR(SUMPRODUCT(--("0"&amp;LEFT(TRIM(MID(SUBSTITUTE(SUBSTITUTE(SUBSTITUTE(SUBSTITUTE(SUBSTITUTE(LOWER(Registro!$E895),"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",LEN(Registro!$E895))),({1,2,3,4,5,6,7,8,9,10,11,12,13,14,15,16,17,18,19,20,21,22,23,24,25,26,27,28,29,30}-1)*LEN(Registro!$E895)+1,LEN(Registro!$E895)))&amp;"x")-1))),"Revisar formato")))</f>
        <v/>
      </c>
      <c r="E895" s="11" t="str">
        <f>IF(Registro!$E895="","",IF(ISERROR(FIND("x",LOWER(Registro!$E895))),"-",IFERROR(SUMPRODUCT(--("0"&amp;LEFT(TRIM(MID(SUBSTITUTE(SUBSTITUTE(SUBSTITUTE(SUBSTITUTE(SUBSTITUTE(LOWER(Registro!$E895),"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",LEN(Registro!$E895))),({1,2,3,4,5,6,7,8,9,10,11,12,13,14,15,16,17,18,19,20,21,22,23,24,25,26,27,28,29,30}-1)*LEN(Registro!$E895)+1,LEN(Registro!$E895)))&amp;"x")-1)),--("0"&amp;MID(TRIM(MID(SUBSTITUTE(SUBSTITUTE(SUBSTITUTE(SUBSTITUTE(SUBSTITUTE(LOWER(Registro!$E895),"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",LEN(Registro!$E895))),({1,2,3,4,5,6,7,8,9,10,11,12,13,14,15,16,17,18,19,20,21,22,23,24,25,26,27,28,29,30}-1)*LEN(Registro!$E895)+1,LEN(Registro!$E895)))&amp;"x")+1,20))),"Revisar formato")))</f>
        <v/>
      </c>
      <c r="F895" s="11" t="str">
        <f>IF(Registro!$F895="","",N(Registro!$F895))</f>
        <v/>
      </c>
      <c r="G895" s="11" t="str">
        <f t="shared" si="40"/>
        <v/>
      </c>
      <c r="H895" s="10" t="str">
        <f>IF(Registro!$G895="","",IF(ISERROR(FIND("x",LOWER(Registro!$G895))),"-",IFERROR(SUMPRODUCT(--("0"&amp;LEFT(TRIM(MID(SUBSTITUTE(SUBSTITUTE(SUBSTITUTE(SUBSTITUTE(SUBSTITUTE(LOWER(Registro!$G895),"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",LEN(Registro!$G895))),({1,2,3,4,5,6,7,8,9,10,11,12,13,14,15,16,17,18,19,20,21,22,23,24,25,26,27,28,29,30}-1)*LEN(Registro!$G895)+1,LEN(Registro!$G895))),FIND("x",TRIM(MID(SUBSTITUTE(SUBSTITUTE(SUBSTITUTE(SUBSTITUTE(SUBSTITUTE(LOWER(Registro!$G895),"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",LEN(Registro!$G895))),({1,2,3,4,5,6,7,8,9,10,11,12,13,14,15,16,17,18,19,20,21,22,23,24,25,26,27,28,29,30}-1)*LEN(Registro!$G895)+1,LEN(Registro!$G895)))&amp;"x")-1))),"Revisar formato")))</f>
        <v/>
      </c>
      <c r="I895" s="11" t="str">
        <f>IF(Registro!$G895="","",IF(ISERROR(FIND("x",LOWER(Registro!$G895))),N(Registro!$H895),IFERROR(SUMPRODUCT(--("0"&amp;LEFT(TRIM(MID(SUBSTITUTE(SUBSTITUTE(SUBSTITUTE(SUBSTITUTE(SUBSTITUTE(LOWER(Registro!$G895),"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",LEN(Registro!$G895))),({1,2,3,4,5,6,7,8,9,10,11,12,13,14,15,16,17,18,19,20,21,22,23,24,25,26,27,28,29,30}-1)*LEN(Registro!$G895)+1,LEN(Registro!$G895))),FIND("x",TRIM(MID(SUBSTITUTE(SUBSTITUTE(SUBSTITUTE(SUBSTITUTE(SUBSTITUTE(LOWER(Registro!$G895),"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",LEN(Registro!$G895))),({1,2,3,4,5,6,7,8,9,10,11,12,13,14,15,16,17,18,19,20,21,22,23,24,25,26,27,28,29,30}-1)*LEN(Registro!$G895)+1,LEN(Registro!$G895)))&amp;"x")-1)),--("0"&amp;MID(TRIM(MID(SUBSTITUTE(SUBSTITUTE(SUBSTITUTE(SUBSTITUTE(SUBSTITUTE(LOWER(Registro!$G895),"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",LEN(Registro!$G895))),({1,2,3,4,5,6,7,8,9,10,11,12,13,14,15,16,17,18,19,20,21,22,23,24,25,26,27,28,29,30}-1)*LEN(Registro!$G895)+1,LEN(Registro!$G895))),FIND("x",TRIM(MID(SUBSTITUTE(SUBSTITUTE(SUBSTITUTE(SUBSTITUTE(SUBSTITUTE(LOWER(Registro!$G895),"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",LEN(Registro!$G895))),({1,2,3,4,5,6,7,8,9,10,11,12,13,14,15,16,17,18,19,20,21,22,23,24,25,26,27,28,29,30}-1)*LEN(Registro!$G895)+1,LEN(Registro!$G895)))&amp;"x")+1,20))),"Revisar formato")))</f>
        <v/>
      </c>
      <c r="J895" s="9" t="str">
        <f>IF(AND(Registro!$E895="",Registro!$G895=""),"",IF(NOT(AND(ISNUMBER(I895),ISNUMBER(Registro!$H895))),"",IF(I895&lt;Registro!$H895,"FALTA BOLETOS",IF(I895=Registro!$H895,"CONFORME","DIFERENCIA"))))</f>
        <v/>
      </c>
      <c r="K895" s="11" t="str">
        <f>IF(Registro!$I895="","",IFERROR(SUMPRODUCT(--("0"&amp;TRIM(RIGHT(SUBSTITUTE(TRIM(MID(SUBSTITUTE(SUBSTITUTE(Registro!$I895,";",CHAR(10)),CHAR(10),REPT(" ",LEN(Registro!$I895))),({1,2,3,4,5,6,7,8,9,10,11,12,13,14,15,16,17,18,19,20,21,22,23,24,25,26,27,28,29,30}-1)*LEN(Registro!$I895)+1,LEN(Registro!$I895)))," ",REPT(" ",50)),50)))),"Revisar formato"))</f>
        <v/>
      </c>
      <c r="L895" s="11" t="str">
        <f>IF(Registro!$J895="","",IFERROR(SUMPRODUCT(--("0"&amp;TRIM(RIGHT(SUBSTITUTE(TRIM(MID(SUBSTITUTE(SUBSTITUTE(Registro!$J895,";",CHAR(10)),CHAR(10),REPT(" ",LEN(Registro!$J895))),({1,2,3,4,5,6,7,8,9,10,11,12,13,14,15,16,17,18,19,20,21,22,23,24,25,26,27,28,29,30}-1)*LEN(Registro!$J895)+1,LEN(Registro!$J895)))," ",REPT(" ",50)),50)))),"Revisar formato"))</f>
        <v/>
      </c>
      <c r="M895" s="11" t="str">
        <f>IF(AND(Registro!$H895="",Registro!$I895=""),"",IF(AND(ISTEXT(K895),K895&lt;&gt;""),"Revisar formato",N(Registro!$H895)-N(K895)))</f>
        <v/>
      </c>
      <c r="N895" s="11" t="str">
        <f t="shared" si="41"/>
        <v/>
      </c>
      <c r="O895" s="15" t="str">
        <f>IF(AND(A895=Consulta!$B$3,C895=Consulta!$H$3),B895*10000+ROW(),"")</f>
        <v/>
      </c>
    </row>
    <row r="896" spans="1:15" x14ac:dyDescent="0.25">
      <c r="A896" s="9" t="str">
        <f>IF(Registro!$A896="","",Registro!$A896)</f>
        <v/>
      </c>
      <c r="B896" s="8" t="str">
        <f>IF(Registro!$B896="","",Registro!$B896)</f>
        <v/>
      </c>
      <c r="C896" s="14" t="str">
        <f t="shared" si="39"/>
        <v/>
      </c>
      <c r="D896" s="10" t="str">
        <f>IF(Registro!$E896="","",IF(ISERROR(FIND("x",LOWER(Registro!$E896))),"-",IFERROR(SUMPRODUCT(--("0"&amp;LEFT(TRIM(MID(SUBSTITUTE(SUBSTITUTE(SUBSTITUTE(SUBSTITUTE(SUBSTITUTE(LOWER(Registro!$E896),"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",LEN(Registro!$E896))),({1,2,3,4,5,6,7,8,9,10,11,12,13,14,15,16,17,18,19,20,21,22,23,24,25,26,27,28,29,30}-1)*LEN(Registro!$E896)+1,LEN(Registro!$E896)))&amp;"x")-1))),"Revisar formato")))</f>
        <v/>
      </c>
      <c r="E896" s="11" t="str">
        <f>IF(Registro!$E896="","",IF(ISERROR(FIND("x",LOWER(Registro!$E896))),"-",IFERROR(SUMPRODUCT(--("0"&amp;LEFT(TRIM(MID(SUBSTITUTE(SUBSTITUTE(SUBSTITUTE(SUBSTITUTE(SUBSTITUTE(LOWER(Registro!$E896),"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",LEN(Registro!$E896))),({1,2,3,4,5,6,7,8,9,10,11,12,13,14,15,16,17,18,19,20,21,22,23,24,25,26,27,28,29,30}-1)*LEN(Registro!$E896)+1,LEN(Registro!$E896)))&amp;"x")-1)),--("0"&amp;MID(TRIM(MID(SUBSTITUTE(SUBSTITUTE(SUBSTITUTE(SUBSTITUTE(SUBSTITUTE(LOWER(Registro!$E896),"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",LEN(Registro!$E896))),({1,2,3,4,5,6,7,8,9,10,11,12,13,14,15,16,17,18,19,20,21,22,23,24,25,26,27,28,29,30}-1)*LEN(Registro!$E896)+1,LEN(Registro!$E896)))&amp;"x")+1,20))),"Revisar formato")))</f>
        <v/>
      </c>
      <c r="F896" s="11" t="str">
        <f>IF(Registro!$F896="","",N(Registro!$F896))</f>
        <v/>
      </c>
      <c r="G896" s="11" t="str">
        <f t="shared" si="40"/>
        <v/>
      </c>
      <c r="H896" s="10" t="str">
        <f>IF(Registro!$G896="","",IF(ISERROR(FIND("x",LOWER(Registro!$G896))),"-",IFERROR(SUMPRODUCT(--("0"&amp;LEFT(TRIM(MID(SUBSTITUTE(SUBSTITUTE(SUBSTITUTE(SUBSTITUTE(SUBSTITUTE(LOWER(Registro!$G896),"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",LEN(Registro!$G896))),({1,2,3,4,5,6,7,8,9,10,11,12,13,14,15,16,17,18,19,20,21,22,23,24,25,26,27,28,29,30}-1)*LEN(Registro!$G896)+1,LEN(Registro!$G896))),FIND("x",TRIM(MID(SUBSTITUTE(SUBSTITUTE(SUBSTITUTE(SUBSTITUTE(SUBSTITUTE(LOWER(Registro!$G896),"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",LEN(Registro!$G896))),({1,2,3,4,5,6,7,8,9,10,11,12,13,14,15,16,17,18,19,20,21,22,23,24,25,26,27,28,29,30}-1)*LEN(Registro!$G896)+1,LEN(Registro!$G896)))&amp;"x")-1))),"Revisar formato")))</f>
        <v/>
      </c>
      <c r="I896" s="11" t="str">
        <f>IF(Registro!$G896="","",IF(ISERROR(FIND("x",LOWER(Registro!$G896))),N(Registro!$H896),IFERROR(SUMPRODUCT(--("0"&amp;LEFT(TRIM(MID(SUBSTITUTE(SUBSTITUTE(SUBSTITUTE(SUBSTITUTE(SUBSTITUTE(LOWER(Registro!$G896),"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",LEN(Registro!$G896))),({1,2,3,4,5,6,7,8,9,10,11,12,13,14,15,16,17,18,19,20,21,22,23,24,25,26,27,28,29,30}-1)*LEN(Registro!$G896)+1,LEN(Registro!$G896))),FIND("x",TRIM(MID(SUBSTITUTE(SUBSTITUTE(SUBSTITUTE(SUBSTITUTE(SUBSTITUTE(LOWER(Registro!$G896),"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",LEN(Registro!$G896))),({1,2,3,4,5,6,7,8,9,10,11,12,13,14,15,16,17,18,19,20,21,22,23,24,25,26,27,28,29,30}-1)*LEN(Registro!$G896)+1,LEN(Registro!$G896)))&amp;"x")-1)),--("0"&amp;MID(TRIM(MID(SUBSTITUTE(SUBSTITUTE(SUBSTITUTE(SUBSTITUTE(SUBSTITUTE(LOWER(Registro!$G896),"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",LEN(Registro!$G896))),({1,2,3,4,5,6,7,8,9,10,11,12,13,14,15,16,17,18,19,20,21,22,23,24,25,26,27,28,29,30}-1)*LEN(Registro!$G896)+1,LEN(Registro!$G896))),FIND("x",TRIM(MID(SUBSTITUTE(SUBSTITUTE(SUBSTITUTE(SUBSTITUTE(SUBSTITUTE(LOWER(Registro!$G896),"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",LEN(Registro!$G896))),({1,2,3,4,5,6,7,8,9,10,11,12,13,14,15,16,17,18,19,20,21,22,23,24,25,26,27,28,29,30}-1)*LEN(Registro!$G896)+1,LEN(Registro!$G896)))&amp;"x")+1,20))),"Revisar formato")))</f>
        <v/>
      </c>
      <c r="J896" s="9" t="str">
        <f>IF(AND(Registro!$E896="",Registro!$G896=""),"",IF(NOT(AND(ISNUMBER(I896),ISNUMBER(Registro!$H896))),"",IF(I896&lt;Registro!$H896,"FALTA BOLETOS",IF(I896=Registro!$H896,"CONFORME","DIFERENCIA"))))</f>
        <v/>
      </c>
      <c r="K896" s="11" t="str">
        <f>IF(Registro!$I896="","",IFERROR(SUMPRODUCT(--("0"&amp;TRIM(RIGHT(SUBSTITUTE(TRIM(MID(SUBSTITUTE(SUBSTITUTE(Registro!$I896,";",CHAR(10)),CHAR(10),REPT(" ",LEN(Registro!$I896))),({1,2,3,4,5,6,7,8,9,10,11,12,13,14,15,16,17,18,19,20,21,22,23,24,25,26,27,28,29,30}-1)*LEN(Registro!$I896)+1,LEN(Registro!$I896)))," ",REPT(" ",50)),50)))),"Revisar formato"))</f>
        <v/>
      </c>
      <c r="L896" s="11" t="str">
        <f>IF(Registro!$J896="","",IFERROR(SUMPRODUCT(--("0"&amp;TRIM(RIGHT(SUBSTITUTE(TRIM(MID(SUBSTITUTE(SUBSTITUTE(Registro!$J896,";",CHAR(10)),CHAR(10),REPT(" ",LEN(Registro!$J896))),({1,2,3,4,5,6,7,8,9,10,11,12,13,14,15,16,17,18,19,20,21,22,23,24,25,26,27,28,29,30}-1)*LEN(Registro!$J896)+1,LEN(Registro!$J896)))," ",REPT(" ",50)),50)))),"Revisar formato"))</f>
        <v/>
      </c>
      <c r="M896" s="11" t="str">
        <f>IF(AND(Registro!$H896="",Registro!$I896=""),"",IF(AND(ISTEXT(K896),K896&lt;&gt;""),"Revisar formato",N(Registro!$H896)-N(K896)))</f>
        <v/>
      </c>
      <c r="N896" s="11" t="str">
        <f t="shared" si="41"/>
        <v/>
      </c>
      <c r="O896" s="15" t="str">
        <f>IF(AND(A896=Consulta!$B$3,C896=Consulta!$H$3),B896*10000+ROW(),"")</f>
        <v/>
      </c>
    </row>
    <row r="897" spans="1:15" x14ac:dyDescent="0.25">
      <c r="A897" s="9" t="str">
        <f>IF(Registro!$A897="","",Registro!$A897)</f>
        <v/>
      </c>
      <c r="B897" s="8" t="str">
        <f>IF(Registro!$B897="","",Registro!$B897)</f>
        <v/>
      </c>
      <c r="C897" s="14" t="str">
        <f t="shared" si="39"/>
        <v/>
      </c>
      <c r="D897" s="10" t="str">
        <f>IF(Registro!$E897="","",IF(ISERROR(FIND("x",LOWER(Registro!$E897))),"-",IFERROR(SUMPRODUCT(--("0"&amp;LEFT(TRIM(MID(SUBSTITUTE(SUBSTITUTE(SUBSTITUTE(SUBSTITUTE(SUBSTITUTE(LOWER(Registro!$E897),"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",LEN(Registro!$E897))),({1,2,3,4,5,6,7,8,9,10,11,12,13,14,15,16,17,18,19,20,21,22,23,24,25,26,27,28,29,30}-1)*LEN(Registro!$E897)+1,LEN(Registro!$E897)))&amp;"x")-1))),"Revisar formato")))</f>
        <v/>
      </c>
      <c r="E897" s="11" t="str">
        <f>IF(Registro!$E897="","",IF(ISERROR(FIND("x",LOWER(Registro!$E897))),"-",IFERROR(SUMPRODUCT(--("0"&amp;LEFT(TRIM(MID(SUBSTITUTE(SUBSTITUTE(SUBSTITUTE(SUBSTITUTE(SUBSTITUTE(LOWER(Registro!$E897),"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",LEN(Registro!$E897))),({1,2,3,4,5,6,7,8,9,10,11,12,13,14,15,16,17,18,19,20,21,22,23,24,25,26,27,28,29,30}-1)*LEN(Registro!$E897)+1,LEN(Registro!$E897)))&amp;"x")-1)),--("0"&amp;MID(TRIM(MID(SUBSTITUTE(SUBSTITUTE(SUBSTITUTE(SUBSTITUTE(SUBSTITUTE(LOWER(Registro!$E897),"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",LEN(Registro!$E897))),({1,2,3,4,5,6,7,8,9,10,11,12,13,14,15,16,17,18,19,20,21,22,23,24,25,26,27,28,29,30}-1)*LEN(Registro!$E897)+1,LEN(Registro!$E897)))&amp;"x")+1,20))),"Revisar formato")))</f>
        <v/>
      </c>
      <c r="F897" s="11" t="str">
        <f>IF(Registro!$F897="","",N(Registro!$F897))</f>
        <v/>
      </c>
      <c r="G897" s="11" t="str">
        <f t="shared" si="40"/>
        <v/>
      </c>
      <c r="H897" s="10" t="str">
        <f>IF(Registro!$G897="","",IF(ISERROR(FIND("x",LOWER(Registro!$G897))),"-",IFERROR(SUMPRODUCT(--("0"&amp;LEFT(TRIM(MID(SUBSTITUTE(SUBSTITUTE(SUBSTITUTE(SUBSTITUTE(SUBSTITUTE(LOWER(Registro!$G897),"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",LEN(Registro!$G897))),({1,2,3,4,5,6,7,8,9,10,11,12,13,14,15,16,17,18,19,20,21,22,23,24,25,26,27,28,29,30}-1)*LEN(Registro!$G897)+1,LEN(Registro!$G897))),FIND("x",TRIM(MID(SUBSTITUTE(SUBSTITUTE(SUBSTITUTE(SUBSTITUTE(SUBSTITUTE(LOWER(Registro!$G897),"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",LEN(Registro!$G897))),({1,2,3,4,5,6,7,8,9,10,11,12,13,14,15,16,17,18,19,20,21,22,23,24,25,26,27,28,29,30}-1)*LEN(Registro!$G897)+1,LEN(Registro!$G897)))&amp;"x")-1))),"Revisar formato")))</f>
        <v/>
      </c>
      <c r="I897" s="11" t="str">
        <f>IF(Registro!$G897="","",IF(ISERROR(FIND("x",LOWER(Registro!$G897))),N(Registro!$H897),IFERROR(SUMPRODUCT(--("0"&amp;LEFT(TRIM(MID(SUBSTITUTE(SUBSTITUTE(SUBSTITUTE(SUBSTITUTE(SUBSTITUTE(LOWER(Registro!$G897),"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",LEN(Registro!$G897))),({1,2,3,4,5,6,7,8,9,10,11,12,13,14,15,16,17,18,19,20,21,22,23,24,25,26,27,28,29,30}-1)*LEN(Registro!$G897)+1,LEN(Registro!$G897))),FIND("x",TRIM(MID(SUBSTITUTE(SUBSTITUTE(SUBSTITUTE(SUBSTITUTE(SUBSTITUTE(LOWER(Registro!$G897),"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",LEN(Registro!$G897))),({1,2,3,4,5,6,7,8,9,10,11,12,13,14,15,16,17,18,19,20,21,22,23,24,25,26,27,28,29,30}-1)*LEN(Registro!$G897)+1,LEN(Registro!$G897)))&amp;"x")-1)),--("0"&amp;MID(TRIM(MID(SUBSTITUTE(SUBSTITUTE(SUBSTITUTE(SUBSTITUTE(SUBSTITUTE(LOWER(Registro!$G897),"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",LEN(Registro!$G897))),({1,2,3,4,5,6,7,8,9,10,11,12,13,14,15,16,17,18,19,20,21,22,23,24,25,26,27,28,29,30}-1)*LEN(Registro!$G897)+1,LEN(Registro!$G897))),FIND("x",TRIM(MID(SUBSTITUTE(SUBSTITUTE(SUBSTITUTE(SUBSTITUTE(SUBSTITUTE(LOWER(Registro!$G897),"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",LEN(Registro!$G897))),({1,2,3,4,5,6,7,8,9,10,11,12,13,14,15,16,17,18,19,20,21,22,23,24,25,26,27,28,29,30}-1)*LEN(Registro!$G897)+1,LEN(Registro!$G897)))&amp;"x")+1,20))),"Revisar formato")))</f>
        <v/>
      </c>
      <c r="J897" s="9" t="str">
        <f>IF(AND(Registro!$E897="",Registro!$G897=""),"",IF(NOT(AND(ISNUMBER(I897),ISNUMBER(Registro!$H897))),"",IF(I897&lt;Registro!$H897,"FALTA BOLETOS",IF(I897=Registro!$H897,"CONFORME","DIFERENCIA"))))</f>
        <v/>
      </c>
      <c r="K897" s="11" t="str">
        <f>IF(Registro!$I897="","",IFERROR(SUMPRODUCT(--("0"&amp;TRIM(RIGHT(SUBSTITUTE(TRIM(MID(SUBSTITUTE(SUBSTITUTE(Registro!$I897,";",CHAR(10)),CHAR(10),REPT(" ",LEN(Registro!$I897))),({1,2,3,4,5,6,7,8,9,10,11,12,13,14,15,16,17,18,19,20,21,22,23,24,25,26,27,28,29,30}-1)*LEN(Registro!$I897)+1,LEN(Registro!$I897)))," ",REPT(" ",50)),50)))),"Revisar formato"))</f>
        <v/>
      </c>
      <c r="L897" s="11" t="str">
        <f>IF(Registro!$J897="","",IFERROR(SUMPRODUCT(--("0"&amp;TRIM(RIGHT(SUBSTITUTE(TRIM(MID(SUBSTITUTE(SUBSTITUTE(Registro!$J897,";",CHAR(10)),CHAR(10),REPT(" ",LEN(Registro!$J897))),({1,2,3,4,5,6,7,8,9,10,11,12,13,14,15,16,17,18,19,20,21,22,23,24,25,26,27,28,29,30}-1)*LEN(Registro!$J897)+1,LEN(Registro!$J897)))," ",REPT(" ",50)),50)))),"Revisar formato"))</f>
        <v/>
      </c>
      <c r="M897" s="11" t="str">
        <f>IF(AND(Registro!$H897="",Registro!$I897=""),"",IF(AND(ISTEXT(K897),K897&lt;&gt;""),"Revisar formato",N(Registro!$H897)-N(K897)))</f>
        <v/>
      </c>
      <c r="N897" s="11" t="str">
        <f t="shared" si="41"/>
        <v/>
      </c>
      <c r="O897" s="15" t="str">
        <f>IF(AND(A897=Consulta!$B$3,C897=Consulta!$H$3),B897*10000+ROW(),"")</f>
        <v/>
      </c>
    </row>
    <row r="898" spans="1:15" x14ac:dyDescent="0.25">
      <c r="A898" s="9" t="str">
        <f>IF(Registro!$A898="","",Registro!$A898)</f>
        <v/>
      </c>
      <c r="B898" s="8" t="str">
        <f>IF(Registro!$B898="","",Registro!$B898)</f>
        <v/>
      </c>
      <c r="C898" s="14" t="str">
        <f t="shared" ref="C898:C961" si="42">IF(ISNUMBER(B898),YEAR(B898)*100+MONTH(B898),"")</f>
        <v/>
      </c>
      <c r="D898" s="10" t="str">
        <f>IF(Registro!$E898="","",IF(ISERROR(FIND("x",LOWER(Registro!$E898))),"-",IFERROR(SUMPRODUCT(--("0"&amp;LEFT(TRIM(MID(SUBSTITUTE(SUBSTITUTE(SUBSTITUTE(SUBSTITUTE(SUBSTITUTE(LOWER(Registro!$E898),"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",LEN(Registro!$E898))),({1,2,3,4,5,6,7,8,9,10,11,12,13,14,15,16,17,18,19,20,21,22,23,24,25,26,27,28,29,30}-1)*LEN(Registro!$E898)+1,LEN(Registro!$E898)))&amp;"x")-1))),"Revisar formato")))</f>
        <v/>
      </c>
      <c r="E898" s="11" t="str">
        <f>IF(Registro!$E898="","",IF(ISERROR(FIND("x",LOWER(Registro!$E898))),"-",IFERROR(SUMPRODUCT(--("0"&amp;LEFT(TRIM(MID(SUBSTITUTE(SUBSTITUTE(SUBSTITUTE(SUBSTITUTE(SUBSTITUTE(LOWER(Registro!$E898),"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",LEN(Registro!$E898))),({1,2,3,4,5,6,7,8,9,10,11,12,13,14,15,16,17,18,19,20,21,22,23,24,25,26,27,28,29,30}-1)*LEN(Registro!$E898)+1,LEN(Registro!$E898)))&amp;"x")-1)),--("0"&amp;MID(TRIM(MID(SUBSTITUTE(SUBSTITUTE(SUBSTITUTE(SUBSTITUTE(SUBSTITUTE(LOWER(Registro!$E898),"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",LEN(Registro!$E898))),({1,2,3,4,5,6,7,8,9,10,11,12,13,14,15,16,17,18,19,20,21,22,23,24,25,26,27,28,29,30}-1)*LEN(Registro!$E898)+1,LEN(Registro!$E898)))&amp;"x")+1,20))),"Revisar formato")))</f>
        <v/>
      </c>
      <c r="F898" s="11" t="str">
        <f>IF(Registro!$F898="","",N(Registro!$F898))</f>
        <v/>
      </c>
      <c r="G898" s="11" t="str">
        <f t="shared" ref="G898:G961" si="43">IF(AND(E898="",F898=""),"",IF(OR(E898="",ISNUMBER(E898)),N(E898)-N(F898),E898))</f>
        <v/>
      </c>
      <c r="H898" s="10" t="str">
        <f>IF(Registro!$G898="","",IF(ISERROR(FIND("x",LOWER(Registro!$G898))),"-",IFERROR(SUMPRODUCT(--("0"&amp;LEFT(TRIM(MID(SUBSTITUTE(SUBSTITUTE(SUBSTITUTE(SUBSTITUTE(SUBSTITUTE(LOWER(Registro!$G898),"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",LEN(Registro!$G898))),({1,2,3,4,5,6,7,8,9,10,11,12,13,14,15,16,17,18,19,20,21,22,23,24,25,26,27,28,29,30}-1)*LEN(Registro!$G898)+1,LEN(Registro!$G898))),FIND("x",TRIM(MID(SUBSTITUTE(SUBSTITUTE(SUBSTITUTE(SUBSTITUTE(SUBSTITUTE(LOWER(Registro!$G898),"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",LEN(Registro!$G898))),({1,2,3,4,5,6,7,8,9,10,11,12,13,14,15,16,17,18,19,20,21,22,23,24,25,26,27,28,29,30}-1)*LEN(Registro!$G898)+1,LEN(Registro!$G898)))&amp;"x")-1))),"Revisar formato")))</f>
        <v/>
      </c>
      <c r="I898" s="11" t="str">
        <f>IF(Registro!$G898="","",IF(ISERROR(FIND("x",LOWER(Registro!$G898))),N(Registro!$H898),IFERROR(SUMPRODUCT(--("0"&amp;LEFT(TRIM(MID(SUBSTITUTE(SUBSTITUTE(SUBSTITUTE(SUBSTITUTE(SUBSTITUTE(LOWER(Registro!$G898),"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",LEN(Registro!$G898))),({1,2,3,4,5,6,7,8,9,10,11,12,13,14,15,16,17,18,19,20,21,22,23,24,25,26,27,28,29,30}-1)*LEN(Registro!$G898)+1,LEN(Registro!$G898))),FIND("x",TRIM(MID(SUBSTITUTE(SUBSTITUTE(SUBSTITUTE(SUBSTITUTE(SUBSTITUTE(LOWER(Registro!$G898),"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",LEN(Registro!$G898))),({1,2,3,4,5,6,7,8,9,10,11,12,13,14,15,16,17,18,19,20,21,22,23,24,25,26,27,28,29,30}-1)*LEN(Registro!$G898)+1,LEN(Registro!$G898)))&amp;"x")-1)),--("0"&amp;MID(TRIM(MID(SUBSTITUTE(SUBSTITUTE(SUBSTITUTE(SUBSTITUTE(SUBSTITUTE(LOWER(Registro!$G898),"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",LEN(Registro!$G898))),({1,2,3,4,5,6,7,8,9,10,11,12,13,14,15,16,17,18,19,20,21,22,23,24,25,26,27,28,29,30}-1)*LEN(Registro!$G898)+1,LEN(Registro!$G898))),FIND("x",TRIM(MID(SUBSTITUTE(SUBSTITUTE(SUBSTITUTE(SUBSTITUTE(SUBSTITUTE(LOWER(Registro!$G898),"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",LEN(Registro!$G898))),({1,2,3,4,5,6,7,8,9,10,11,12,13,14,15,16,17,18,19,20,21,22,23,24,25,26,27,28,29,30}-1)*LEN(Registro!$G898)+1,LEN(Registro!$G898)))&amp;"x")+1,20))),"Revisar formato")))</f>
        <v/>
      </c>
      <c r="J898" s="9" t="str">
        <f>IF(AND(Registro!$E898="",Registro!$G898=""),"",IF(NOT(AND(ISNUMBER(I898),ISNUMBER(Registro!$H898))),"",IF(I898&lt;Registro!$H898,"FALTA BOLETOS",IF(I898=Registro!$H898,"CONFORME","DIFERENCIA"))))</f>
        <v/>
      </c>
      <c r="K898" s="11" t="str">
        <f>IF(Registro!$I898="","",IFERROR(SUMPRODUCT(--("0"&amp;TRIM(RIGHT(SUBSTITUTE(TRIM(MID(SUBSTITUTE(SUBSTITUTE(Registro!$I898,";",CHAR(10)),CHAR(10),REPT(" ",LEN(Registro!$I898))),({1,2,3,4,5,6,7,8,9,10,11,12,13,14,15,16,17,18,19,20,21,22,23,24,25,26,27,28,29,30}-1)*LEN(Registro!$I898)+1,LEN(Registro!$I898)))," ",REPT(" ",50)),50)))),"Revisar formato"))</f>
        <v/>
      </c>
      <c r="L898" s="11" t="str">
        <f>IF(Registro!$J898="","",IFERROR(SUMPRODUCT(--("0"&amp;TRIM(RIGHT(SUBSTITUTE(TRIM(MID(SUBSTITUTE(SUBSTITUTE(Registro!$J898,";",CHAR(10)),CHAR(10),REPT(" ",LEN(Registro!$J898))),({1,2,3,4,5,6,7,8,9,10,11,12,13,14,15,16,17,18,19,20,21,22,23,24,25,26,27,28,29,30}-1)*LEN(Registro!$J898)+1,LEN(Registro!$J898)))," ",REPT(" ",50)),50)))),"Revisar formato"))</f>
        <v/>
      </c>
      <c r="M898" s="11" t="str">
        <f>IF(AND(Registro!$H898="",Registro!$I898=""),"",IF(AND(ISTEXT(K898),K898&lt;&gt;""),"Revisar formato",N(Registro!$H898)-N(K898)))</f>
        <v/>
      </c>
      <c r="N898" s="11" t="str">
        <f t="shared" ref="N898:N961" si="44">IF(M898="","",IF(OR(M898="Revisar formato",AND(ISTEXT(L898),L898&lt;&gt;"")),"Revisar formato",M898-N(L898)))</f>
        <v/>
      </c>
      <c r="O898" s="15" t="str">
        <f>IF(AND(A898=Consulta!$B$3,C898=Consulta!$H$3),B898*10000+ROW(),"")</f>
        <v/>
      </c>
    </row>
    <row r="899" spans="1:15" x14ac:dyDescent="0.25">
      <c r="A899" s="9" t="str">
        <f>IF(Registro!$A899="","",Registro!$A899)</f>
        <v/>
      </c>
      <c r="B899" s="8" t="str">
        <f>IF(Registro!$B899="","",Registro!$B899)</f>
        <v/>
      </c>
      <c r="C899" s="14" t="str">
        <f t="shared" si="42"/>
        <v/>
      </c>
      <c r="D899" s="10" t="str">
        <f>IF(Registro!$E899="","",IF(ISERROR(FIND("x",LOWER(Registro!$E899))),"-",IFERROR(SUMPRODUCT(--("0"&amp;LEFT(TRIM(MID(SUBSTITUTE(SUBSTITUTE(SUBSTITUTE(SUBSTITUTE(SUBSTITUTE(LOWER(Registro!$E899),"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",LEN(Registro!$E899))),({1,2,3,4,5,6,7,8,9,10,11,12,13,14,15,16,17,18,19,20,21,22,23,24,25,26,27,28,29,30}-1)*LEN(Registro!$E899)+1,LEN(Registro!$E899)))&amp;"x")-1))),"Revisar formato")))</f>
        <v/>
      </c>
      <c r="E899" s="11" t="str">
        <f>IF(Registro!$E899="","",IF(ISERROR(FIND("x",LOWER(Registro!$E899))),"-",IFERROR(SUMPRODUCT(--("0"&amp;LEFT(TRIM(MID(SUBSTITUTE(SUBSTITUTE(SUBSTITUTE(SUBSTITUTE(SUBSTITUTE(LOWER(Registro!$E899),"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",LEN(Registro!$E899))),({1,2,3,4,5,6,7,8,9,10,11,12,13,14,15,16,17,18,19,20,21,22,23,24,25,26,27,28,29,30}-1)*LEN(Registro!$E899)+1,LEN(Registro!$E899)))&amp;"x")-1)),--("0"&amp;MID(TRIM(MID(SUBSTITUTE(SUBSTITUTE(SUBSTITUTE(SUBSTITUTE(SUBSTITUTE(LOWER(Registro!$E899),"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",LEN(Registro!$E899))),({1,2,3,4,5,6,7,8,9,10,11,12,13,14,15,16,17,18,19,20,21,22,23,24,25,26,27,28,29,30}-1)*LEN(Registro!$E899)+1,LEN(Registro!$E899)))&amp;"x")+1,20))),"Revisar formato")))</f>
        <v/>
      </c>
      <c r="F899" s="11" t="str">
        <f>IF(Registro!$F899="","",N(Registro!$F899))</f>
        <v/>
      </c>
      <c r="G899" s="11" t="str">
        <f t="shared" si="43"/>
        <v/>
      </c>
      <c r="H899" s="10" t="str">
        <f>IF(Registro!$G899="","",IF(ISERROR(FIND("x",LOWER(Registro!$G899))),"-",IFERROR(SUMPRODUCT(--("0"&amp;LEFT(TRIM(MID(SUBSTITUTE(SUBSTITUTE(SUBSTITUTE(SUBSTITUTE(SUBSTITUTE(LOWER(Registro!$G899),"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",LEN(Registro!$G899))),({1,2,3,4,5,6,7,8,9,10,11,12,13,14,15,16,17,18,19,20,21,22,23,24,25,26,27,28,29,30}-1)*LEN(Registro!$G899)+1,LEN(Registro!$G899))),FIND("x",TRIM(MID(SUBSTITUTE(SUBSTITUTE(SUBSTITUTE(SUBSTITUTE(SUBSTITUTE(LOWER(Registro!$G899),"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",LEN(Registro!$G899))),({1,2,3,4,5,6,7,8,9,10,11,12,13,14,15,16,17,18,19,20,21,22,23,24,25,26,27,28,29,30}-1)*LEN(Registro!$G899)+1,LEN(Registro!$G899)))&amp;"x")-1))),"Revisar formato")))</f>
        <v/>
      </c>
      <c r="I899" s="11" t="str">
        <f>IF(Registro!$G899="","",IF(ISERROR(FIND("x",LOWER(Registro!$G899))),N(Registro!$H899),IFERROR(SUMPRODUCT(--("0"&amp;LEFT(TRIM(MID(SUBSTITUTE(SUBSTITUTE(SUBSTITUTE(SUBSTITUTE(SUBSTITUTE(LOWER(Registro!$G899),"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",LEN(Registro!$G899))),({1,2,3,4,5,6,7,8,9,10,11,12,13,14,15,16,17,18,19,20,21,22,23,24,25,26,27,28,29,30}-1)*LEN(Registro!$G899)+1,LEN(Registro!$G899))),FIND("x",TRIM(MID(SUBSTITUTE(SUBSTITUTE(SUBSTITUTE(SUBSTITUTE(SUBSTITUTE(LOWER(Registro!$G899),"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",LEN(Registro!$G899))),({1,2,3,4,5,6,7,8,9,10,11,12,13,14,15,16,17,18,19,20,21,22,23,24,25,26,27,28,29,30}-1)*LEN(Registro!$G899)+1,LEN(Registro!$G899)))&amp;"x")-1)),--("0"&amp;MID(TRIM(MID(SUBSTITUTE(SUBSTITUTE(SUBSTITUTE(SUBSTITUTE(SUBSTITUTE(LOWER(Registro!$G899),"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",LEN(Registro!$G899))),({1,2,3,4,5,6,7,8,9,10,11,12,13,14,15,16,17,18,19,20,21,22,23,24,25,26,27,28,29,30}-1)*LEN(Registro!$G899)+1,LEN(Registro!$G899))),FIND("x",TRIM(MID(SUBSTITUTE(SUBSTITUTE(SUBSTITUTE(SUBSTITUTE(SUBSTITUTE(LOWER(Registro!$G899),"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",LEN(Registro!$G899))),({1,2,3,4,5,6,7,8,9,10,11,12,13,14,15,16,17,18,19,20,21,22,23,24,25,26,27,28,29,30}-1)*LEN(Registro!$G899)+1,LEN(Registro!$G899)))&amp;"x")+1,20))),"Revisar formato")))</f>
        <v/>
      </c>
      <c r="J899" s="9" t="str">
        <f>IF(AND(Registro!$E899="",Registro!$G899=""),"",IF(NOT(AND(ISNUMBER(I899),ISNUMBER(Registro!$H899))),"",IF(I899&lt;Registro!$H899,"FALTA BOLETOS",IF(I899=Registro!$H899,"CONFORME","DIFERENCIA"))))</f>
        <v/>
      </c>
      <c r="K899" s="11" t="str">
        <f>IF(Registro!$I899="","",IFERROR(SUMPRODUCT(--("0"&amp;TRIM(RIGHT(SUBSTITUTE(TRIM(MID(SUBSTITUTE(SUBSTITUTE(Registro!$I899,";",CHAR(10)),CHAR(10),REPT(" ",LEN(Registro!$I899))),({1,2,3,4,5,6,7,8,9,10,11,12,13,14,15,16,17,18,19,20,21,22,23,24,25,26,27,28,29,30}-1)*LEN(Registro!$I899)+1,LEN(Registro!$I899)))," ",REPT(" ",50)),50)))),"Revisar formato"))</f>
        <v/>
      </c>
      <c r="L899" s="11" t="str">
        <f>IF(Registro!$J899="","",IFERROR(SUMPRODUCT(--("0"&amp;TRIM(RIGHT(SUBSTITUTE(TRIM(MID(SUBSTITUTE(SUBSTITUTE(Registro!$J899,";",CHAR(10)),CHAR(10),REPT(" ",LEN(Registro!$J899))),({1,2,3,4,5,6,7,8,9,10,11,12,13,14,15,16,17,18,19,20,21,22,23,24,25,26,27,28,29,30}-1)*LEN(Registro!$J899)+1,LEN(Registro!$J899)))," ",REPT(" ",50)),50)))),"Revisar formato"))</f>
        <v/>
      </c>
      <c r="M899" s="11" t="str">
        <f>IF(AND(Registro!$H899="",Registro!$I899=""),"",IF(AND(ISTEXT(K899),K899&lt;&gt;""),"Revisar formato",N(Registro!$H899)-N(K899)))</f>
        <v/>
      </c>
      <c r="N899" s="11" t="str">
        <f t="shared" si="44"/>
        <v/>
      </c>
      <c r="O899" s="15" t="str">
        <f>IF(AND(A899=Consulta!$B$3,C899=Consulta!$H$3),B899*10000+ROW(),"")</f>
        <v/>
      </c>
    </row>
    <row r="900" spans="1:15" x14ac:dyDescent="0.25">
      <c r="A900" s="9" t="str">
        <f>IF(Registro!$A900="","",Registro!$A900)</f>
        <v/>
      </c>
      <c r="B900" s="8" t="str">
        <f>IF(Registro!$B900="","",Registro!$B900)</f>
        <v/>
      </c>
      <c r="C900" s="14" t="str">
        <f t="shared" si="42"/>
        <v/>
      </c>
      <c r="D900" s="10" t="str">
        <f>IF(Registro!$E900="","",IF(ISERROR(FIND("x",LOWER(Registro!$E900))),"-",IFERROR(SUMPRODUCT(--("0"&amp;LEFT(TRIM(MID(SUBSTITUTE(SUBSTITUTE(SUBSTITUTE(SUBSTITUTE(SUBSTITUTE(LOWER(Registro!$E900),"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",LEN(Registro!$E900))),({1,2,3,4,5,6,7,8,9,10,11,12,13,14,15,16,17,18,19,20,21,22,23,24,25,26,27,28,29,30}-1)*LEN(Registro!$E900)+1,LEN(Registro!$E900)))&amp;"x")-1))),"Revisar formato")))</f>
        <v/>
      </c>
      <c r="E900" s="11" t="str">
        <f>IF(Registro!$E900="","",IF(ISERROR(FIND("x",LOWER(Registro!$E900))),"-",IFERROR(SUMPRODUCT(--("0"&amp;LEFT(TRIM(MID(SUBSTITUTE(SUBSTITUTE(SUBSTITUTE(SUBSTITUTE(SUBSTITUTE(LOWER(Registro!$E900),"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",LEN(Registro!$E900))),({1,2,3,4,5,6,7,8,9,10,11,12,13,14,15,16,17,18,19,20,21,22,23,24,25,26,27,28,29,30}-1)*LEN(Registro!$E900)+1,LEN(Registro!$E900)))&amp;"x")-1)),--("0"&amp;MID(TRIM(MID(SUBSTITUTE(SUBSTITUTE(SUBSTITUTE(SUBSTITUTE(SUBSTITUTE(LOWER(Registro!$E900),"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",LEN(Registro!$E900))),({1,2,3,4,5,6,7,8,9,10,11,12,13,14,15,16,17,18,19,20,21,22,23,24,25,26,27,28,29,30}-1)*LEN(Registro!$E900)+1,LEN(Registro!$E900)))&amp;"x")+1,20))),"Revisar formato")))</f>
        <v/>
      </c>
      <c r="F900" s="11" t="str">
        <f>IF(Registro!$F900="","",N(Registro!$F900))</f>
        <v/>
      </c>
      <c r="G900" s="11" t="str">
        <f t="shared" si="43"/>
        <v/>
      </c>
      <c r="H900" s="10" t="str">
        <f>IF(Registro!$G900="","",IF(ISERROR(FIND("x",LOWER(Registro!$G900))),"-",IFERROR(SUMPRODUCT(--("0"&amp;LEFT(TRIM(MID(SUBSTITUTE(SUBSTITUTE(SUBSTITUTE(SUBSTITUTE(SUBSTITUTE(LOWER(Registro!$G900),"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",LEN(Registro!$G900))),({1,2,3,4,5,6,7,8,9,10,11,12,13,14,15,16,17,18,19,20,21,22,23,24,25,26,27,28,29,30}-1)*LEN(Registro!$G900)+1,LEN(Registro!$G900))),FIND("x",TRIM(MID(SUBSTITUTE(SUBSTITUTE(SUBSTITUTE(SUBSTITUTE(SUBSTITUTE(LOWER(Registro!$G900),"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",LEN(Registro!$G900))),({1,2,3,4,5,6,7,8,9,10,11,12,13,14,15,16,17,18,19,20,21,22,23,24,25,26,27,28,29,30}-1)*LEN(Registro!$G900)+1,LEN(Registro!$G900)))&amp;"x")-1))),"Revisar formato")))</f>
        <v/>
      </c>
      <c r="I900" s="11" t="str">
        <f>IF(Registro!$G900="","",IF(ISERROR(FIND("x",LOWER(Registro!$G900))),N(Registro!$H900),IFERROR(SUMPRODUCT(--("0"&amp;LEFT(TRIM(MID(SUBSTITUTE(SUBSTITUTE(SUBSTITUTE(SUBSTITUTE(SUBSTITUTE(LOWER(Registro!$G900),"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",LEN(Registro!$G900))),({1,2,3,4,5,6,7,8,9,10,11,12,13,14,15,16,17,18,19,20,21,22,23,24,25,26,27,28,29,30}-1)*LEN(Registro!$G900)+1,LEN(Registro!$G900))),FIND("x",TRIM(MID(SUBSTITUTE(SUBSTITUTE(SUBSTITUTE(SUBSTITUTE(SUBSTITUTE(LOWER(Registro!$G900),"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",LEN(Registro!$G900))),({1,2,3,4,5,6,7,8,9,10,11,12,13,14,15,16,17,18,19,20,21,22,23,24,25,26,27,28,29,30}-1)*LEN(Registro!$G900)+1,LEN(Registro!$G900)))&amp;"x")-1)),--("0"&amp;MID(TRIM(MID(SUBSTITUTE(SUBSTITUTE(SUBSTITUTE(SUBSTITUTE(SUBSTITUTE(LOWER(Registro!$G900),"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",LEN(Registro!$G900))),({1,2,3,4,5,6,7,8,9,10,11,12,13,14,15,16,17,18,19,20,21,22,23,24,25,26,27,28,29,30}-1)*LEN(Registro!$G900)+1,LEN(Registro!$G900))),FIND("x",TRIM(MID(SUBSTITUTE(SUBSTITUTE(SUBSTITUTE(SUBSTITUTE(SUBSTITUTE(LOWER(Registro!$G900),"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",LEN(Registro!$G900))),({1,2,3,4,5,6,7,8,9,10,11,12,13,14,15,16,17,18,19,20,21,22,23,24,25,26,27,28,29,30}-1)*LEN(Registro!$G900)+1,LEN(Registro!$G900)))&amp;"x")+1,20))),"Revisar formato")))</f>
        <v/>
      </c>
      <c r="J900" s="9" t="str">
        <f>IF(AND(Registro!$E900="",Registro!$G900=""),"",IF(NOT(AND(ISNUMBER(I900),ISNUMBER(Registro!$H900))),"",IF(I900&lt;Registro!$H900,"FALTA BOLETOS",IF(I900=Registro!$H900,"CONFORME","DIFERENCIA"))))</f>
        <v/>
      </c>
      <c r="K900" s="11" t="str">
        <f>IF(Registro!$I900="","",IFERROR(SUMPRODUCT(--("0"&amp;TRIM(RIGHT(SUBSTITUTE(TRIM(MID(SUBSTITUTE(SUBSTITUTE(Registro!$I900,";",CHAR(10)),CHAR(10),REPT(" ",LEN(Registro!$I900))),({1,2,3,4,5,6,7,8,9,10,11,12,13,14,15,16,17,18,19,20,21,22,23,24,25,26,27,28,29,30}-1)*LEN(Registro!$I900)+1,LEN(Registro!$I900)))," ",REPT(" ",50)),50)))),"Revisar formato"))</f>
        <v/>
      </c>
      <c r="L900" s="11" t="str">
        <f>IF(Registro!$J900="","",IFERROR(SUMPRODUCT(--("0"&amp;TRIM(RIGHT(SUBSTITUTE(TRIM(MID(SUBSTITUTE(SUBSTITUTE(Registro!$J900,";",CHAR(10)),CHAR(10),REPT(" ",LEN(Registro!$J900))),({1,2,3,4,5,6,7,8,9,10,11,12,13,14,15,16,17,18,19,20,21,22,23,24,25,26,27,28,29,30}-1)*LEN(Registro!$J900)+1,LEN(Registro!$J900)))," ",REPT(" ",50)),50)))),"Revisar formato"))</f>
        <v/>
      </c>
      <c r="M900" s="11" t="str">
        <f>IF(AND(Registro!$H900="",Registro!$I900=""),"",IF(AND(ISTEXT(K900),K900&lt;&gt;""),"Revisar formato",N(Registro!$H900)-N(K900)))</f>
        <v/>
      </c>
      <c r="N900" s="11" t="str">
        <f t="shared" si="44"/>
        <v/>
      </c>
      <c r="O900" s="15" t="str">
        <f>IF(AND(A900=Consulta!$B$3,C900=Consulta!$H$3),B900*10000+ROW(),"")</f>
        <v/>
      </c>
    </row>
    <row r="901" spans="1:15" x14ac:dyDescent="0.25">
      <c r="A901" s="9" t="str">
        <f>IF(Registro!$A901="","",Registro!$A901)</f>
        <v/>
      </c>
      <c r="B901" s="8" t="str">
        <f>IF(Registro!$B901="","",Registro!$B901)</f>
        <v/>
      </c>
      <c r="C901" s="14" t="str">
        <f t="shared" si="42"/>
        <v/>
      </c>
      <c r="D901" s="10" t="str">
        <f>IF(Registro!$E901="","",IF(ISERROR(FIND("x",LOWER(Registro!$E901))),"-",IFERROR(SUMPRODUCT(--("0"&amp;LEFT(TRIM(MID(SUBSTITUTE(SUBSTITUTE(SUBSTITUTE(SUBSTITUTE(SUBSTITUTE(LOWER(Registro!$E901),"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",LEN(Registro!$E901))),({1,2,3,4,5,6,7,8,9,10,11,12,13,14,15,16,17,18,19,20,21,22,23,24,25,26,27,28,29,30}-1)*LEN(Registro!$E901)+1,LEN(Registro!$E901)))&amp;"x")-1))),"Revisar formato")))</f>
        <v/>
      </c>
      <c r="E901" s="11" t="str">
        <f>IF(Registro!$E901="","",IF(ISERROR(FIND("x",LOWER(Registro!$E901))),"-",IFERROR(SUMPRODUCT(--("0"&amp;LEFT(TRIM(MID(SUBSTITUTE(SUBSTITUTE(SUBSTITUTE(SUBSTITUTE(SUBSTITUTE(LOWER(Registro!$E901),"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",LEN(Registro!$E901))),({1,2,3,4,5,6,7,8,9,10,11,12,13,14,15,16,17,18,19,20,21,22,23,24,25,26,27,28,29,30}-1)*LEN(Registro!$E901)+1,LEN(Registro!$E901)))&amp;"x")-1)),--("0"&amp;MID(TRIM(MID(SUBSTITUTE(SUBSTITUTE(SUBSTITUTE(SUBSTITUTE(SUBSTITUTE(LOWER(Registro!$E901),"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",LEN(Registro!$E901))),({1,2,3,4,5,6,7,8,9,10,11,12,13,14,15,16,17,18,19,20,21,22,23,24,25,26,27,28,29,30}-1)*LEN(Registro!$E901)+1,LEN(Registro!$E901)))&amp;"x")+1,20))),"Revisar formato")))</f>
        <v/>
      </c>
      <c r="F901" s="11" t="str">
        <f>IF(Registro!$F901="","",N(Registro!$F901))</f>
        <v/>
      </c>
      <c r="G901" s="11" t="str">
        <f t="shared" si="43"/>
        <v/>
      </c>
      <c r="H901" s="10" t="str">
        <f>IF(Registro!$G901="","",IF(ISERROR(FIND("x",LOWER(Registro!$G901))),"-",IFERROR(SUMPRODUCT(--("0"&amp;LEFT(TRIM(MID(SUBSTITUTE(SUBSTITUTE(SUBSTITUTE(SUBSTITUTE(SUBSTITUTE(LOWER(Registro!$G901),"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",LEN(Registro!$G901))),({1,2,3,4,5,6,7,8,9,10,11,12,13,14,15,16,17,18,19,20,21,22,23,24,25,26,27,28,29,30}-1)*LEN(Registro!$G901)+1,LEN(Registro!$G901))),FIND("x",TRIM(MID(SUBSTITUTE(SUBSTITUTE(SUBSTITUTE(SUBSTITUTE(SUBSTITUTE(LOWER(Registro!$G901),"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",LEN(Registro!$G901))),({1,2,3,4,5,6,7,8,9,10,11,12,13,14,15,16,17,18,19,20,21,22,23,24,25,26,27,28,29,30}-1)*LEN(Registro!$G901)+1,LEN(Registro!$G901)))&amp;"x")-1))),"Revisar formato")))</f>
        <v/>
      </c>
      <c r="I901" s="11" t="str">
        <f>IF(Registro!$G901="","",IF(ISERROR(FIND("x",LOWER(Registro!$G901))),N(Registro!$H901),IFERROR(SUMPRODUCT(--("0"&amp;LEFT(TRIM(MID(SUBSTITUTE(SUBSTITUTE(SUBSTITUTE(SUBSTITUTE(SUBSTITUTE(LOWER(Registro!$G901),"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",LEN(Registro!$G901))),({1,2,3,4,5,6,7,8,9,10,11,12,13,14,15,16,17,18,19,20,21,22,23,24,25,26,27,28,29,30}-1)*LEN(Registro!$G901)+1,LEN(Registro!$G901))),FIND("x",TRIM(MID(SUBSTITUTE(SUBSTITUTE(SUBSTITUTE(SUBSTITUTE(SUBSTITUTE(LOWER(Registro!$G901),"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",LEN(Registro!$G901))),({1,2,3,4,5,6,7,8,9,10,11,12,13,14,15,16,17,18,19,20,21,22,23,24,25,26,27,28,29,30}-1)*LEN(Registro!$G901)+1,LEN(Registro!$G901)))&amp;"x")-1)),--("0"&amp;MID(TRIM(MID(SUBSTITUTE(SUBSTITUTE(SUBSTITUTE(SUBSTITUTE(SUBSTITUTE(LOWER(Registro!$G901),"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",LEN(Registro!$G901))),({1,2,3,4,5,6,7,8,9,10,11,12,13,14,15,16,17,18,19,20,21,22,23,24,25,26,27,28,29,30}-1)*LEN(Registro!$G901)+1,LEN(Registro!$G901))),FIND("x",TRIM(MID(SUBSTITUTE(SUBSTITUTE(SUBSTITUTE(SUBSTITUTE(SUBSTITUTE(LOWER(Registro!$G901),"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",LEN(Registro!$G901))),({1,2,3,4,5,6,7,8,9,10,11,12,13,14,15,16,17,18,19,20,21,22,23,24,25,26,27,28,29,30}-1)*LEN(Registro!$G901)+1,LEN(Registro!$G901)))&amp;"x")+1,20))),"Revisar formato")))</f>
        <v/>
      </c>
      <c r="J901" s="9" t="str">
        <f>IF(AND(Registro!$E901="",Registro!$G901=""),"",IF(NOT(AND(ISNUMBER(I901),ISNUMBER(Registro!$H901))),"",IF(I901&lt;Registro!$H901,"FALTA BOLETOS",IF(I901=Registro!$H901,"CONFORME","DIFERENCIA"))))</f>
        <v/>
      </c>
      <c r="K901" s="11" t="str">
        <f>IF(Registro!$I901="","",IFERROR(SUMPRODUCT(--("0"&amp;TRIM(RIGHT(SUBSTITUTE(TRIM(MID(SUBSTITUTE(SUBSTITUTE(Registro!$I901,";",CHAR(10)),CHAR(10),REPT(" ",LEN(Registro!$I901))),({1,2,3,4,5,6,7,8,9,10,11,12,13,14,15,16,17,18,19,20,21,22,23,24,25,26,27,28,29,30}-1)*LEN(Registro!$I901)+1,LEN(Registro!$I901)))," ",REPT(" ",50)),50)))),"Revisar formato"))</f>
        <v/>
      </c>
      <c r="L901" s="11" t="str">
        <f>IF(Registro!$J901="","",IFERROR(SUMPRODUCT(--("0"&amp;TRIM(RIGHT(SUBSTITUTE(TRIM(MID(SUBSTITUTE(SUBSTITUTE(Registro!$J901,";",CHAR(10)),CHAR(10),REPT(" ",LEN(Registro!$J901))),({1,2,3,4,5,6,7,8,9,10,11,12,13,14,15,16,17,18,19,20,21,22,23,24,25,26,27,28,29,30}-1)*LEN(Registro!$J901)+1,LEN(Registro!$J901)))," ",REPT(" ",50)),50)))),"Revisar formato"))</f>
        <v/>
      </c>
      <c r="M901" s="11" t="str">
        <f>IF(AND(Registro!$H901="",Registro!$I901=""),"",IF(AND(ISTEXT(K901),K901&lt;&gt;""),"Revisar formato",N(Registro!$H901)-N(K901)))</f>
        <v/>
      </c>
      <c r="N901" s="11" t="str">
        <f t="shared" si="44"/>
        <v/>
      </c>
      <c r="O901" s="15" t="str">
        <f>IF(AND(A901=Consulta!$B$3,C901=Consulta!$H$3),B901*10000+ROW(),"")</f>
        <v/>
      </c>
    </row>
    <row r="902" spans="1:15" x14ac:dyDescent="0.25">
      <c r="A902" s="9" t="str">
        <f>IF(Registro!$A902="","",Registro!$A902)</f>
        <v/>
      </c>
      <c r="B902" s="8" t="str">
        <f>IF(Registro!$B902="","",Registro!$B902)</f>
        <v/>
      </c>
      <c r="C902" s="14" t="str">
        <f t="shared" si="42"/>
        <v/>
      </c>
      <c r="D902" s="10" t="str">
        <f>IF(Registro!$E902="","",IF(ISERROR(FIND("x",LOWER(Registro!$E902))),"-",IFERROR(SUMPRODUCT(--("0"&amp;LEFT(TRIM(MID(SUBSTITUTE(SUBSTITUTE(SUBSTITUTE(SUBSTITUTE(SUBSTITUTE(LOWER(Registro!$E902),"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",LEN(Registro!$E902))),({1,2,3,4,5,6,7,8,9,10,11,12,13,14,15,16,17,18,19,20,21,22,23,24,25,26,27,28,29,30}-1)*LEN(Registro!$E902)+1,LEN(Registro!$E902)))&amp;"x")-1))),"Revisar formato")))</f>
        <v/>
      </c>
      <c r="E902" s="11" t="str">
        <f>IF(Registro!$E902="","",IF(ISERROR(FIND("x",LOWER(Registro!$E902))),"-",IFERROR(SUMPRODUCT(--("0"&amp;LEFT(TRIM(MID(SUBSTITUTE(SUBSTITUTE(SUBSTITUTE(SUBSTITUTE(SUBSTITUTE(LOWER(Registro!$E902),"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",LEN(Registro!$E902))),({1,2,3,4,5,6,7,8,9,10,11,12,13,14,15,16,17,18,19,20,21,22,23,24,25,26,27,28,29,30}-1)*LEN(Registro!$E902)+1,LEN(Registro!$E902)))&amp;"x")-1)),--("0"&amp;MID(TRIM(MID(SUBSTITUTE(SUBSTITUTE(SUBSTITUTE(SUBSTITUTE(SUBSTITUTE(LOWER(Registro!$E902),"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",LEN(Registro!$E902))),({1,2,3,4,5,6,7,8,9,10,11,12,13,14,15,16,17,18,19,20,21,22,23,24,25,26,27,28,29,30}-1)*LEN(Registro!$E902)+1,LEN(Registro!$E902)))&amp;"x")+1,20))),"Revisar formato")))</f>
        <v/>
      </c>
      <c r="F902" s="11" t="str">
        <f>IF(Registro!$F902="","",N(Registro!$F902))</f>
        <v/>
      </c>
      <c r="G902" s="11" t="str">
        <f t="shared" si="43"/>
        <v/>
      </c>
      <c r="H902" s="10" t="str">
        <f>IF(Registro!$G902="","",IF(ISERROR(FIND("x",LOWER(Registro!$G902))),"-",IFERROR(SUMPRODUCT(--("0"&amp;LEFT(TRIM(MID(SUBSTITUTE(SUBSTITUTE(SUBSTITUTE(SUBSTITUTE(SUBSTITUTE(LOWER(Registro!$G902),"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",LEN(Registro!$G902))),({1,2,3,4,5,6,7,8,9,10,11,12,13,14,15,16,17,18,19,20,21,22,23,24,25,26,27,28,29,30}-1)*LEN(Registro!$G902)+1,LEN(Registro!$G902))),FIND("x",TRIM(MID(SUBSTITUTE(SUBSTITUTE(SUBSTITUTE(SUBSTITUTE(SUBSTITUTE(LOWER(Registro!$G902),"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",LEN(Registro!$G902))),({1,2,3,4,5,6,7,8,9,10,11,12,13,14,15,16,17,18,19,20,21,22,23,24,25,26,27,28,29,30}-1)*LEN(Registro!$G902)+1,LEN(Registro!$G902)))&amp;"x")-1))),"Revisar formato")))</f>
        <v/>
      </c>
      <c r="I902" s="11" t="str">
        <f>IF(Registro!$G902="","",IF(ISERROR(FIND("x",LOWER(Registro!$G902))),N(Registro!$H902),IFERROR(SUMPRODUCT(--("0"&amp;LEFT(TRIM(MID(SUBSTITUTE(SUBSTITUTE(SUBSTITUTE(SUBSTITUTE(SUBSTITUTE(LOWER(Registro!$G902),"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",LEN(Registro!$G902))),({1,2,3,4,5,6,7,8,9,10,11,12,13,14,15,16,17,18,19,20,21,22,23,24,25,26,27,28,29,30}-1)*LEN(Registro!$G902)+1,LEN(Registro!$G902))),FIND("x",TRIM(MID(SUBSTITUTE(SUBSTITUTE(SUBSTITUTE(SUBSTITUTE(SUBSTITUTE(LOWER(Registro!$G902),"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",LEN(Registro!$G902))),({1,2,3,4,5,6,7,8,9,10,11,12,13,14,15,16,17,18,19,20,21,22,23,24,25,26,27,28,29,30}-1)*LEN(Registro!$G902)+1,LEN(Registro!$G902)))&amp;"x")-1)),--("0"&amp;MID(TRIM(MID(SUBSTITUTE(SUBSTITUTE(SUBSTITUTE(SUBSTITUTE(SUBSTITUTE(LOWER(Registro!$G902),"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",LEN(Registro!$G902))),({1,2,3,4,5,6,7,8,9,10,11,12,13,14,15,16,17,18,19,20,21,22,23,24,25,26,27,28,29,30}-1)*LEN(Registro!$G902)+1,LEN(Registro!$G902))),FIND("x",TRIM(MID(SUBSTITUTE(SUBSTITUTE(SUBSTITUTE(SUBSTITUTE(SUBSTITUTE(LOWER(Registro!$G902),"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",LEN(Registro!$G902))),({1,2,3,4,5,6,7,8,9,10,11,12,13,14,15,16,17,18,19,20,21,22,23,24,25,26,27,28,29,30}-1)*LEN(Registro!$G902)+1,LEN(Registro!$G902)))&amp;"x")+1,20))),"Revisar formato")))</f>
        <v/>
      </c>
      <c r="J902" s="9" t="str">
        <f>IF(AND(Registro!$E902="",Registro!$G902=""),"",IF(NOT(AND(ISNUMBER(I902),ISNUMBER(Registro!$H902))),"",IF(I902&lt;Registro!$H902,"FALTA BOLETOS",IF(I902=Registro!$H902,"CONFORME","DIFERENCIA"))))</f>
        <v/>
      </c>
      <c r="K902" s="11" t="str">
        <f>IF(Registro!$I902="","",IFERROR(SUMPRODUCT(--("0"&amp;TRIM(RIGHT(SUBSTITUTE(TRIM(MID(SUBSTITUTE(SUBSTITUTE(Registro!$I902,";",CHAR(10)),CHAR(10),REPT(" ",LEN(Registro!$I902))),({1,2,3,4,5,6,7,8,9,10,11,12,13,14,15,16,17,18,19,20,21,22,23,24,25,26,27,28,29,30}-1)*LEN(Registro!$I902)+1,LEN(Registro!$I902)))," ",REPT(" ",50)),50)))),"Revisar formato"))</f>
        <v/>
      </c>
      <c r="L902" s="11" t="str">
        <f>IF(Registro!$J902="","",IFERROR(SUMPRODUCT(--("0"&amp;TRIM(RIGHT(SUBSTITUTE(TRIM(MID(SUBSTITUTE(SUBSTITUTE(Registro!$J902,";",CHAR(10)),CHAR(10),REPT(" ",LEN(Registro!$J902))),({1,2,3,4,5,6,7,8,9,10,11,12,13,14,15,16,17,18,19,20,21,22,23,24,25,26,27,28,29,30}-1)*LEN(Registro!$J902)+1,LEN(Registro!$J902)))," ",REPT(" ",50)),50)))),"Revisar formato"))</f>
        <v/>
      </c>
      <c r="M902" s="11" t="str">
        <f>IF(AND(Registro!$H902="",Registro!$I902=""),"",IF(AND(ISTEXT(K902),K902&lt;&gt;""),"Revisar formato",N(Registro!$H902)-N(K902)))</f>
        <v/>
      </c>
      <c r="N902" s="11" t="str">
        <f t="shared" si="44"/>
        <v/>
      </c>
      <c r="O902" s="15" t="str">
        <f>IF(AND(A902=Consulta!$B$3,C902=Consulta!$H$3),B902*10000+ROW(),"")</f>
        <v/>
      </c>
    </row>
    <row r="903" spans="1:15" x14ac:dyDescent="0.25">
      <c r="A903" s="9" t="str">
        <f>IF(Registro!$A903="","",Registro!$A903)</f>
        <v/>
      </c>
      <c r="B903" s="8" t="str">
        <f>IF(Registro!$B903="","",Registro!$B903)</f>
        <v/>
      </c>
      <c r="C903" s="14" t="str">
        <f t="shared" si="42"/>
        <v/>
      </c>
      <c r="D903" s="10" t="str">
        <f>IF(Registro!$E903="","",IF(ISERROR(FIND("x",LOWER(Registro!$E903))),"-",IFERROR(SUMPRODUCT(--("0"&amp;LEFT(TRIM(MID(SUBSTITUTE(SUBSTITUTE(SUBSTITUTE(SUBSTITUTE(SUBSTITUTE(LOWER(Registro!$E903),"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",LEN(Registro!$E903))),({1,2,3,4,5,6,7,8,9,10,11,12,13,14,15,16,17,18,19,20,21,22,23,24,25,26,27,28,29,30}-1)*LEN(Registro!$E903)+1,LEN(Registro!$E903)))&amp;"x")-1))),"Revisar formato")))</f>
        <v/>
      </c>
      <c r="E903" s="11" t="str">
        <f>IF(Registro!$E903="","",IF(ISERROR(FIND("x",LOWER(Registro!$E903))),"-",IFERROR(SUMPRODUCT(--("0"&amp;LEFT(TRIM(MID(SUBSTITUTE(SUBSTITUTE(SUBSTITUTE(SUBSTITUTE(SUBSTITUTE(LOWER(Registro!$E903),"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",LEN(Registro!$E903))),({1,2,3,4,5,6,7,8,9,10,11,12,13,14,15,16,17,18,19,20,21,22,23,24,25,26,27,28,29,30}-1)*LEN(Registro!$E903)+1,LEN(Registro!$E903)))&amp;"x")-1)),--("0"&amp;MID(TRIM(MID(SUBSTITUTE(SUBSTITUTE(SUBSTITUTE(SUBSTITUTE(SUBSTITUTE(LOWER(Registro!$E903),"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",LEN(Registro!$E903))),({1,2,3,4,5,6,7,8,9,10,11,12,13,14,15,16,17,18,19,20,21,22,23,24,25,26,27,28,29,30}-1)*LEN(Registro!$E903)+1,LEN(Registro!$E903)))&amp;"x")+1,20))),"Revisar formato")))</f>
        <v/>
      </c>
      <c r="F903" s="11" t="str">
        <f>IF(Registro!$F903="","",N(Registro!$F903))</f>
        <v/>
      </c>
      <c r="G903" s="11" t="str">
        <f t="shared" si="43"/>
        <v/>
      </c>
      <c r="H903" s="10" t="str">
        <f>IF(Registro!$G903="","",IF(ISERROR(FIND("x",LOWER(Registro!$G903))),"-",IFERROR(SUMPRODUCT(--("0"&amp;LEFT(TRIM(MID(SUBSTITUTE(SUBSTITUTE(SUBSTITUTE(SUBSTITUTE(SUBSTITUTE(LOWER(Registro!$G903),"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",LEN(Registro!$G903))),({1,2,3,4,5,6,7,8,9,10,11,12,13,14,15,16,17,18,19,20,21,22,23,24,25,26,27,28,29,30}-1)*LEN(Registro!$G903)+1,LEN(Registro!$G903))),FIND("x",TRIM(MID(SUBSTITUTE(SUBSTITUTE(SUBSTITUTE(SUBSTITUTE(SUBSTITUTE(LOWER(Registro!$G903),"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",LEN(Registro!$G903))),({1,2,3,4,5,6,7,8,9,10,11,12,13,14,15,16,17,18,19,20,21,22,23,24,25,26,27,28,29,30}-1)*LEN(Registro!$G903)+1,LEN(Registro!$G903)))&amp;"x")-1))),"Revisar formato")))</f>
        <v/>
      </c>
      <c r="I903" s="11" t="str">
        <f>IF(Registro!$G903="","",IF(ISERROR(FIND("x",LOWER(Registro!$G903))),N(Registro!$H903),IFERROR(SUMPRODUCT(--("0"&amp;LEFT(TRIM(MID(SUBSTITUTE(SUBSTITUTE(SUBSTITUTE(SUBSTITUTE(SUBSTITUTE(LOWER(Registro!$G903),"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",LEN(Registro!$G903))),({1,2,3,4,5,6,7,8,9,10,11,12,13,14,15,16,17,18,19,20,21,22,23,24,25,26,27,28,29,30}-1)*LEN(Registro!$G903)+1,LEN(Registro!$G903))),FIND("x",TRIM(MID(SUBSTITUTE(SUBSTITUTE(SUBSTITUTE(SUBSTITUTE(SUBSTITUTE(LOWER(Registro!$G903),"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",LEN(Registro!$G903))),({1,2,3,4,5,6,7,8,9,10,11,12,13,14,15,16,17,18,19,20,21,22,23,24,25,26,27,28,29,30}-1)*LEN(Registro!$G903)+1,LEN(Registro!$G903)))&amp;"x")-1)),--("0"&amp;MID(TRIM(MID(SUBSTITUTE(SUBSTITUTE(SUBSTITUTE(SUBSTITUTE(SUBSTITUTE(LOWER(Registro!$G903),"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",LEN(Registro!$G903))),({1,2,3,4,5,6,7,8,9,10,11,12,13,14,15,16,17,18,19,20,21,22,23,24,25,26,27,28,29,30}-1)*LEN(Registro!$G903)+1,LEN(Registro!$G903))),FIND("x",TRIM(MID(SUBSTITUTE(SUBSTITUTE(SUBSTITUTE(SUBSTITUTE(SUBSTITUTE(LOWER(Registro!$G903),"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",LEN(Registro!$G903))),({1,2,3,4,5,6,7,8,9,10,11,12,13,14,15,16,17,18,19,20,21,22,23,24,25,26,27,28,29,30}-1)*LEN(Registro!$G903)+1,LEN(Registro!$G903)))&amp;"x")+1,20))),"Revisar formato")))</f>
        <v/>
      </c>
      <c r="J903" s="9" t="str">
        <f>IF(AND(Registro!$E903="",Registro!$G903=""),"",IF(NOT(AND(ISNUMBER(I903),ISNUMBER(Registro!$H903))),"",IF(I903&lt;Registro!$H903,"FALTA BOLETOS",IF(I903=Registro!$H903,"CONFORME","DIFERENCIA"))))</f>
        <v/>
      </c>
      <c r="K903" s="11" t="str">
        <f>IF(Registro!$I903="","",IFERROR(SUMPRODUCT(--("0"&amp;TRIM(RIGHT(SUBSTITUTE(TRIM(MID(SUBSTITUTE(SUBSTITUTE(Registro!$I903,";",CHAR(10)),CHAR(10),REPT(" ",LEN(Registro!$I903))),({1,2,3,4,5,6,7,8,9,10,11,12,13,14,15,16,17,18,19,20,21,22,23,24,25,26,27,28,29,30}-1)*LEN(Registro!$I903)+1,LEN(Registro!$I903)))," ",REPT(" ",50)),50)))),"Revisar formato"))</f>
        <v/>
      </c>
      <c r="L903" s="11" t="str">
        <f>IF(Registro!$J903="","",IFERROR(SUMPRODUCT(--("0"&amp;TRIM(RIGHT(SUBSTITUTE(TRIM(MID(SUBSTITUTE(SUBSTITUTE(Registro!$J903,";",CHAR(10)),CHAR(10),REPT(" ",LEN(Registro!$J903))),({1,2,3,4,5,6,7,8,9,10,11,12,13,14,15,16,17,18,19,20,21,22,23,24,25,26,27,28,29,30}-1)*LEN(Registro!$J903)+1,LEN(Registro!$J903)))," ",REPT(" ",50)),50)))),"Revisar formato"))</f>
        <v/>
      </c>
      <c r="M903" s="11" t="str">
        <f>IF(AND(Registro!$H903="",Registro!$I903=""),"",IF(AND(ISTEXT(K903),K903&lt;&gt;""),"Revisar formato",N(Registro!$H903)-N(K903)))</f>
        <v/>
      </c>
      <c r="N903" s="11" t="str">
        <f t="shared" si="44"/>
        <v/>
      </c>
      <c r="O903" s="15" t="str">
        <f>IF(AND(A903=Consulta!$B$3,C903=Consulta!$H$3),B903*10000+ROW(),"")</f>
        <v/>
      </c>
    </row>
    <row r="904" spans="1:15" x14ac:dyDescent="0.25">
      <c r="A904" s="9" t="str">
        <f>IF(Registro!$A904="","",Registro!$A904)</f>
        <v/>
      </c>
      <c r="B904" s="8" t="str">
        <f>IF(Registro!$B904="","",Registro!$B904)</f>
        <v/>
      </c>
      <c r="C904" s="14" t="str">
        <f t="shared" si="42"/>
        <v/>
      </c>
      <c r="D904" s="10" t="str">
        <f>IF(Registro!$E904="","",IF(ISERROR(FIND("x",LOWER(Registro!$E904))),"-",IFERROR(SUMPRODUCT(--("0"&amp;LEFT(TRIM(MID(SUBSTITUTE(SUBSTITUTE(SUBSTITUTE(SUBSTITUTE(SUBSTITUTE(LOWER(Registro!$E904),"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",LEN(Registro!$E904))),({1,2,3,4,5,6,7,8,9,10,11,12,13,14,15,16,17,18,19,20,21,22,23,24,25,26,27,28,29,30}-1)*LEN(Registro!$E904)+1,LEN(Registro!$E904)))&amp;"x")-1))),"Revisar formato")))</f>
        <v/>
      </c>
      <c r="E904" s="11" t="str">
        <f>IF(Registro!$E904="","",IF(ISERROR(FIND("x",LOWER(Registro!$E904))),"-",IFERROR(SUMPRODUCT(--("0"&amp;LEFT(TRIM(MID(SUBSTITUTE(SUBSTITUTE(SUBSTITUTE(SUBSTITUTE(SUBSTITUTE(LOWER(Registro!$E904),"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",LEN(Registro!$E904))),({1,2,3,4,5,6,7,8,9,10,11,12,13,14,15,16,17,18,19,20,21,22,23,24,25,26,27,28,29,30}-1)*LEN(Registro!$E904)+1,LEN(Registro!$E904)))&amp;"x")-1)),--("0"&amp;MID(TRIM(MID(SUBSTITUTE(SUBSTITUTE(SUBSTITUTE(SUBSTITUTE(SUBSTITUTE(LOWER(Registro!$E904),"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",LEN(Registro!$E904))),({1,2,3,4,5,6,7,8,9,10,11,12,13,14,15,16,17,18,19,20,21,22,23,24,25,26,27,28,29,30}-1)*LEN(Registro!$E904)+1,LEN(Registro!$E904)))&amp;"x")+1,20))),"Revisar formato")))</f>
        <v/>
      </c>
      <c r="F904" s="11" t="str">
        <f>IF(Registro!$F904="","",N(Registro!$F904))</f>
        <v/>
      </c>
      <c r="G904" s="11" t="str">
        <f t="shared" si="43"/>
        <v/>
      </c>
      <c r="H904" s="10" t="str">
        <f>IF(Registro!$G904="","",IF(ISERROR(FIND("x",LOWER(Registro!$G904))),"-",IFERROR(SUMPRODUCT(--("0"&amp;LEFT(TRIM(MID(SUBSTITUTE(SUBSTITUTE(SUBSTITUTE(SUBSTITUTE(SUBSTITUTE(LOWER(Registro!$G904),"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",LEN(Registro!$G904))),({1,2,3,4,5,6,7,8,9,10,11,12,13,14,15,16,17,18,19,20,21,22,23,24,25,26,27,28,29,30}-1)*LEN(Registro!$G904)+1,LEN(Registro!$G904))),FIND("x",TRIM(MID(SUBSTITUTE(SUBSTITUTE(SUBSTITUTE(SUBSTITUTE(SUBSTITUTE(LOWER(Registro!$G904),"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",LEN(Registro!$G904))),({1,2,3,4,5,6,7,8,9,10,11,12,13,14,15,16,17,18,19,20,21,22,23,24,25,26,27,28,29,30}-1)*LEN(Registro!$G904)+1,LEN(Registro!$G904)))&amp;"x")-1))),"Revisar formato")))</f>
        <v/>
      </c>
      <c r="I904" s="11" t="str">
        <f>IF(Registro!$G904="","",IF(ISERROR(FIND("x",LOWER(Registro!$G904))),N(Registro!$H904),IFERROR(SUMPRODUCT(--("0"&amp;LEFT(TRIM(MID(SUBSTITUTE(SUBSTITUTE(SUBSTITUTE(SUBSTITUTE(SUBSTITUTE(LOWER(Registro!$G904),"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",LEN(Registro!$G904))),({1,2,3,4,5,6,7,8,9,10,11,12,13,14,15,16,17,18,19,20,21,22,23,24,25,26,27,28,29,30}-1)*LEN(Registro!$G904)+1,LEN(Registro!$G904))),FIND("x",TRIM(MID(SUBSTITUTE(SUBSTITUTE(SUBSTITUTE(SUBSTITUTE(SUBSTITUTE(LOWER(Registro!$G904),"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",LEN(Registro!$G904))),({1,2,3,4,5,6,7,8,9,10,11,12,13,14,15,16,17,18,19,20,21,22,23,24,25,26,27,28,29,30}-1)*LEN(Registro!$G904)+1,LEN(Registro!$G904)))&amp;"x")-1)),--("0"&amp;MID(TRIM(MID(SUBSTITUTE(SUBSTITUTE(SUBSTITUTE(SUBSTITUTE(SUBSTITUTE(LOWER(Registro!$G904),"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",LEN(Registro!$G904))),({1,2,3,4,5,6,7,8,9,10,11,12,13,14,15,16,17,18,19,20,21,22,23,24,25,26,27,28,29,30}-1)*LEN(Registro!$G904)+1,LEN(Registro!$G904))),FIND("x",TRIM(MID(SUBSTITUTE(SUBSTITUTE(SUBSTITUTE(SUBSTITUTE(SUBSTITUTE(LOWER(Registro!$G904),"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",LEN(Registro!$G904))),({1,2,3,4,5,6,7,8,9,10,11,12,13,14,15,16,17,18,19,20,21,22,23,24,25,26,27,28,29,30}-1)*LEN(Registro!$G904)+1,LEN(Registro!$G904)))&amp;"x")+1,20))),"Revisar formato")))</f>
        <v/>
      </c>
      <c r="J904" s="9" t="str">
        <f>IF(AND(Registro!$E904="",Registro!$G904=""),"",IF(NOT(AND(ISNUMBER(I904),ISNUMBER(Registro!$H904))),"",IF(I904&lt;Registro!$H904,"FALTA BOLETOS",IF(I904=Registro!$H904,"CONFORME","DIFERENCIA"))))</f>
        <v/>
      </c>
      <c r="K904" s="11" t="str">
        <f>IF(Registro!$I904="","",IFERROR(SUMPRODUCT(--("0"&amp;TRIM(RIGHT(SUBSTITUTE(TRIM(MID(SUBSTITUTE(SUBSTITUTE(Registro!$I904,";",CHAR(10)),CHAR(10),REPT(" ",LEN(Registro!$I904))),({1,2,3,4,5,6,7,8,9,10,11,12,13,14,15,16,17,18,19,20,21,22,23,24,25,26,27,28,29,30}-1)*LEN(Registro!$I904)+1,LEN(Registro!$I904)))," ",REPT(" ",50)),50)))),"Revisar formato"))</f>
        <v/>
      </c>
      <c r="L904" s="11" t="str">
        <f>IF(Registro!$J904="","",IFERROR(SUMPRODUCT(--("0"&amp;TRIM(RIGHT(SUBSTITUTE(TRIM(MID(SUBSTITUTE(SUBSTITUTE(Registro!$J904,";",CHAR(10)),CHAR(10),REPT(" ",LEN(Registro!$J904))),({1,2,3,4,5,6,7,8,9,10,11,12,13,14,15,16,17,18,19,20,21,22,23,24,25,26,27,28,29,30}-1)*LEN(Registro!$J904)+1,LEN(Registro!$J904)))," ",REPT(" ",50)),50)))),"Revisar formato"))</f>
        <v/>
      </c>
      <c r="M904" s="11" t="str">
        <f>IF(AND(Registro!$H904="",Registro!$I904=""),"",IF(AND(ISTEXT(K904),K904&lt;&gt;""),"Revisar formato",N(Registro!$H904)-N(K904)))</f>
        <v/>
      </c>
      <c r="N904" s="11" t="str">
        <f t="shared" si="44"/>
        <v/>
      </c>
      <c r="O904" s="15" t="str">
        <f>IF(AND(A904=Consulta!$B$3,C904=Consulta!$H$3),B904*10000+ROW(),"")</f>
        <v/>
      </c>
    </row>
    <row r="905" spans="1:15" x14ac:dyDescent="0.25">
      <c r="A905" s="9" t="str">
        <f>IF(Registro!$A905="","",Registro!$A905)</f>
        <v/>
      </c>
      <c r="B905" s="8" t="str">
        <f>IF(Registro!$B905="","",Registro!$B905)</f>
        <v/>
      </c>
      <c r="C905" s="14" t="str">
        <f t="shared" si="42"/>
        <v/>
      </c>
      <c r="D905" s="10" t="str">
        <f>IF(Registro!$E905="","",IF(ISERROR(FIND("x",LOWER(Registro!$E905))),"-",IFERROR(SUMPRODUCT(--("0"&amp;LEFT(TRIM(MID(SUBSTITUTE(SUBSTITUTE(SUBSTITUTE(SUBSTITUTE(SUBSTITUTE(LOWER(Registro!$E905),"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",LEN(Registro!$E905))),({1,2,3,4,5,6,7,8,9,10,11,12,13,14,15,16,17,18,19,20,21,22,23,24,25,26,27,28,29,30}-1)*LEN(Registro!$E905)+1,LEN(Registro!$E905)))&amp;"x")-1))),"Revisar formato")))</f>
        <v/>
      </c>
      <c r="E905" s="11" t="str">
        <f>IF(Registro!$E905="","",IF(ISERROR(FIND("x",LOWER(Registro!$E905))),"-",IFERROR(SUMPRODUCT(--("0"&amp;LEFT(TRIM(MID(SUBSTITUTE(SUBSTITUTE(SUBSTITUTE(SUBSTITUTE(SUBSTITUTE(LOWER(Registro!$E905),"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",LEN(Registro!$E905))),({1,2,3,4,5,6,7,8,9,10,11,12,13,14,15,16,17,18,19,20,21,22,23,24,25,26,27,28,29,30}-1)*LEN(Registro!$E905)+1,LEN(Registro!$E905)))&amp;"x")-1)),--("0"&amp;MID(TRIM(MID(SUBSTITUTE(SUBSTITUTE(SUBSTITUTE(SUBSTITUTE(SUBSTITUTE(LOWER(Registro!$E905),"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",LEN(Registro!$E905))),({1,2,3,4,5,6,7,8,9,10,11,12,13,14,15,16,17,18,19,20,21,22,23,24,25,26,27,28,29,30}-1)*LEN(Registro!$E905)+1,LEN(Registro!$E905)))&amp;"x")+1,20))),"Revisar formato")))</f>
        <v/>
      </c>
      <c r="F905" s="11" t="str">
        <f>IF(Registro!$F905="","",N(Registro!$F905))</f>
        <v/>
      </c>
      <c r="G905" s="11" t="str">
        <f t="shared" si="43"/>
        <v/>
      </c>
      <c r="H905" s="10" t="str">
        <f>IF(Registro!$G905="","",IF(ISERROR(FIND("x",LOWER(Registro!$G905))),"-",IFERROR(SUMPRODUCT(--("0"&amp;LEFT(TRIM(MID(SUBSTITUTE(SUBSTITUTE(SUBSTITUTE(SUBSTITUTE(SUBSTITUTE(LOWER(Registro!$G905),"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",LEN(Registro!$G905))),({1,2,3,4,5,6,7,8,9,10,11,12,13,14,15,16,17,18,19,20,21,22,23,24,25,26,27,28,29,30}-1)*LEN(Registro!$G905)+1,LEN(Registro!$G905))),FIND("x",TRIM(MID(SUBSTITUTE(SUBSTITUTE(SUBSTITUTE(SUBSTITUTE(SUBSTITUTE(LOWER(Registro!$G905),"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",LEN(Registro!$G905))),({1,2,3,4,5,6,7,8,9,10,11,12,13,14,15,16,17,18,19,20,21,22,23,24,25,26,27,28,29,30}-1)*LEN(Registro!$G905)+1,LEN(Registro!$G905)))&amp;"x")-1))),"Revisar formato")))</f>
        <v/>
      </c>
      <c r="I905" s="11" t="str">
        <f>IF(Registro!$G905="","",IF(ISERROR(FIND("x",LOWER(Registro!$G905))),N(Registro!$H905),IFERROR(SUMPRODUCT(--("0"&amp;LEFT(TRIM(MID(SUBSTITUTE(SUBSTITUTE(SUBSTITUTE(SUBSTITUTE(SUBSTITUTE(LOWER(Registro!$G905),"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",LEN(Registro!$G905))),({1,2,3,4,5,6,7,8,9,10,11,12,13,14,15,16,17,18,19,20,21,22,23,24,25,26,27,28,29,30}-1)*LEN(Registro!$G905)+1,LEN(Registro!$G905))),FIND("x",TRIM(MID(SUBSTITUTE(SUBSTITUTE(SUBSTITUTE(SUBSTITUTE(SUBSTITUTE(LOWER(Registro!$G905),"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",LEN(Registro!$G905))),({1,2,3,4,5,6,7,8,9,10,11,12,13,14,15,16,17,18,19,20,21,22,23,24,25,26,27,28,29,30}-1)*LEN(Registro!$G905)+1,LEN(Registro!$G905)))&amp;"x")-1)),--("0"&amp;MID(TRIM(MID(SUBSTITUTE(SUBSTITUTE(SUBSTITUTE(SUBSTITUTE(SUBSTITUTE(LOWER(Registro!$G905),"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",LEN(Registro!$G905))),({1,2,3,4,5,6,7,8,9,10,11,12,13,14,15,16,17,18,19,20,21,22,23,24,25,26,27,28,29,30}-1)*LEN(Registro!$G905)+1,LEN(Registro!$G905))),FIND("x",TRIM(MID(SUBSTITUTE(SUBSTITUTE(SUBSTITUTE(SUBSTITUTE(SUBSTITUTE(LOWER(Registro!$G905),"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",LEN(Registro!$G905))),({1,2,3,4,5,6,7,8,9,10,11,12,13,14,15,16,17,18,19,20,21,22,23,24,25,26,27,28,29,30}-1)*LEN(Registro!$G905)+1,LEN(Registro!$G905)))&amp;"x")+1,20))),"Revisar formato")))</f>
        <v/>
      </c>
      <c r="J905" s="9" t="str">
        <f>IF(AND(Registro!$E905="",Registro!$G905=""),"",IF(NOT(AND(ISNUMBER(I905),ISNUMBER(Registro!$H905))),"",IF(I905&lt;Registro!$H905,"FALTA BOLETOS",IF(I905=Registro!$H905,"CONFORME","DIFERENCIA"))))</f>
        <v/>
      </c>
      <c r="K905" s="11" t="str">
        <f>IF(Registro!$I905="","",IFERROR(SUMPRODUCT(--("0"&amp;TRIM(RIGHT(SUBSTITUTE(TRIM(MID(SUBSTITUTE(SUBSTITUTE(Registro!$I905,";",CHAR(10)),CHAR(10),REPT(" ",LEN(Registro!$I905))),({1,2,3,4,5,6,7,8,9,10,11,12,13,14,15,16,17,18,19,20,21,22,23,24,25,26,27,28,29,30}-1)*LEN(Registro!$I905)+1,LEN(Registro!$I905)))," ",REPT(" ",50)),50)))),"Revisar formato"))</f>
        <v/>
      </c>
      <c r="L905" s="11" t="str">
        <f>IF(Registro!$J905="","",IFERROR(SUMPRODUCT(--("0"&amp;TRIM(RIGHT(SUBSTITUTE(TRIM(MID(SUBSTITUTE(SUBSTITUTE(Registro!$J905,";",CHAR(10)),CHAR(10),REPT(" ",LEN(Registro!$J905))),({1,2,3,4,5,6,7,8,9,10,11,12,13,14,15,16,17,18,19,20,21,22,23,24,25,26,27,28,29,30}-1)*LEN(Registro!$J905)+1,LEN(Registro!$J905)))," ",REPT(" ",50)),50)))),"Revisar formato"))</f>
        <v/>
      </c>
      <c r="M905" s="11" t="str">
        <f>IF(AND(Registro!$H905="",Registro!$I905=""),"",IF(AND(ISTEXT(K905),K905&lt;&gt;""),"Revisar formato",N(Registro!$H905)-N(K905)))</f>
        <v/>
      </c>
      <c r="N905" s="11" t="str">
        <f t="shared" si="44"/>
        <v/>
      </c>
      <c r="O905" s="15" t="str">
        <f>IF(AND(A905=Consulta!$B$3,C905=Consulta!$H$3),B905*10000+ROW(),"")</f>
        <v/>
      </c>
    </row>
    <row r="906" spans="1:15" x14ac:dyDescent="0.25">
      <c r="A906" s="9" t="str">
        <f>IF(Registro!$A906="","",Registro!$A906)</f>
        <v/>
      </c>
      <c r="B906" s="8" t="str">
        <f>IF(Registro!$B906="","",Registro!$B906)</f>
        <v/>
      </c>
      <c r="C906" s="14" t="str">
        <f t="shared" si="42"/>
        <v/>
      </c>
      <c r="D906" s="10" t="str">
        <f>IF(Registro!$E906="","",IF(ISERROR(FIND("x",LOWER(Registro!$E906))),"-",IFERROR(SUMPRODUCT(--("0"&amp;LEFT(TRIM(MID(SUBSTITUTE(SUBSTITUTE(SUBSTITUTE(SUBSTITUTE(SUBSTITUTE(LOWER(Registro!$E906),"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",LEN(Registro!$E906))),({1,2,3,4,5,6,7,8,9,10,11,12,13,14,15,16,17,18,19,20,21,22,23,24,25,26,27,28,29,30}-1)*LEN(Registro!$E906)+1,LEN(Registro!$E906)))&amp;"x")-1))),"Revisar formato")))</f>
        <v/>
      </c>
      <c r="E906" s="11" t="str">
        <f>IF(Registro!$E906="","",IF(ISERROR(FIND("x",LOWER(Registro!$E906))),"-",IFERROR(SUMPRODUCT(--("0"&amp;LEFT(TRIM(MID(SUBSTITUTE(SUBSTITUTE(SUBSTITUTE(SUBSTITUTE(SUBSTITUTE(LOWER(Registro!$E906),"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",LEN(Registro!$E906))),({1,2,3,4,5,6,7,8,9,10,11,12,13,14,15,16,17,18,19,20,21,22,23,24,25,26,27,28,29,30}-1)*LEN(Registro!$E906)+1,LEN(Registro!$E906)))&amp;"x")-1)),--("0"&amp;MID(TRIM(MID(SUBSTITUTE(SUBSTITUTE(SUBSTITUTE(SUBSTITUTE(SUBSTITUTE(LOWER(Registro!$E906),"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",LEN(Registro!$E906))),({1,2,3,4,5,6,7,8,9,10,11,12,13,14,15,16,17,18,19,20,21,22,23,24,25,26,27,28,29,30}-1)*LEN(Registro!$E906)+1,LEN(Registro!$E906)))&amp;"x")+1,20))),"Revisar formato")))</f>
        <v/>
      </c>
      <c r="F906" s="11" t="str">
        <f>IF(Registro!$F906="","",N(Registro!$F906))</f>
        <v/>
      </c>
      <c r="G906" s="11" t="str">
        <f t="shared" si="43"/>
        <v/>
      </c>
      <c r="H906" s="10" t="str">
        <f>IF(Registro!$G906="","",IF(ISERROR(FIND("x",LOWER(Registro!$G906))),"-",IFERROR(SUMPRODUCT(--("0"&amp;LEFT(TRIM(MID(SUBSTITUTE(SUBSTITUTE(SUBSTITUTE(SUBSTITUTE(SUBSTITUTE(LOWER(Registro!$G906),"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",LEN(Registro!$G906))),({1,2,3,4,5,6,7,8,9,10,11,12,13,14,15,16,17,18,19,20,21,22,23,24,25,26,27,28,29,30}-1)*LEN(Registro!$G906)+1,LEN(Registro!$G906))),FIND("x",TRIM(MID(SUBSTITUTE(SUBSTITUTE(SUBSTITUTE(SUBSTITUTE(SUBSTITUTE(LOWER(Registro!$G906),"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",LEN(Registro!$G906))),({1,2,3,4,5,6,7,8,9,10,11,12,13,14,15,16,17,18,19,20,21,22,23,24,25,26,27,28,29,30}-1)*LEN(Registro!$G906)+1,LEN(Registro!$G906)))&amp;"x")-1))),"Revisar formato")))</f>
        <v/>
      </c>
      <c r="I906" s="11" t="str">
        <f>IF(Registro!$G906="","",IF(ISERROR(FIND("x",LOWER(Registro!$G906))),N(Registro!$H906),IFERROR(SUMPRODUCT(--("0"&amp;LEFT(TRIM(MID(SUBSTITUTE(SUBSTITUTE(SUBSTITUTE(SUBSTITUTE(SUBSTITUTE(LOWER(Registro!$G906),"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",LEN(Registro!$G906))),({1,2,3,4,5,6,7,8,9,10,11,12,13,14,15,16,17,18,19,20,21,22,23,24,25,26,27,28,29,30}-1)*LEN(Registro!$G906)+1,LEN(Registro!$G906))),FIND("x",TRIM(MID(SUBSTITUTE(SUBSTITUTE(SUBSTITUTE(SUBSTITUTE(SUBSTITUTE(LOWER(Registro!$G906),"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",LEN(Registro!$G906))),({1,2,3,4,5,6,7,8,9,10,11,12,13,14,15,16,17,18,19,20,21,22,23,24,25,26,27,28,29,30}-1)*LEN(Registro!$G906)+1,LEN(Registro!$G906)))&amp;"x")-1)),--("0"&amp;MID(TRIM(MID(SUBSTITUTE(SUBSTITUTE(SUBSTITUTE(SUBSTITUTE(SUBSTITUTE(LOWER(Registro!$G906),"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",LEN(Registro!$G906))),({1,2,3,4,5,6,7,8,9,10,11,12,13,14,15,16,17,18,19,20,21,22,23,24,25,26,27,28,29,30}-1)*LEN(Registro!$G906)+1,LEN(Registro!$G906))),FIND("x",TRIM(MID(SUBSTITUTE(SUBSTITUTE(SUBSTITUTE(SUBSTITUTE(SUBSTITUTE(LOWER(Registro!$G906),"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",LEN(Registro!$G906))),({1,2,3,4,5,6,7,8,9,10,11,12,13,14,15,16,17,18,19,20,21,22,23,24,25,26,27,28,29,30}-1)*LEN(Registro!$G906)+1,LEN(Registro!$G906)))&amp;"x")+1,20))),"Revisar formato")))</f>
        <v/>
      </c>
      <c r="J906" s="9" t="str">
        <f>IF(AND(Registro!$E906="",Registro!$G906=""),"",IF(NOT(AND(ISNUMBER(I906),ISNUMBER(Registro!$H906))),"",IF(I906&lt;Registro!$H906,"FALTA BOLETOS",IF(I906=Registro!$H906,"CONFORME","DIFERENCIA"))))</f>
        <v/>
      </c>
      <c r="K906" s="11" t="str">
        <f>IF(Registro!$I906="","",IFERROR(SUMPRODUCT(--("0"&amp;TRIM(RIGHT(SUBSTITUTE(TRIM(MID(SUBSTITUTE(SUBSTITUTE(Registro!$I906,";",CHAR(10)),CHAR(10),REPT(" ",LEN(Registro!$I906))),({1,2,3,4,5,6,7,8,9,10,11,12,13,14,15,16,17,18,19,20,21,22,23,24,25,26,27,28,29,30}-1)*LEN(Registro!$I906)+1,LEN(Registro!$I906)))," ",REPT(" ",50)),50)))),"Revisar formato"))</f>
        <v/>
      </c>
      <c r="L906" s="11" t="str">
        <f>IF(Registro!$J906="","",IFERROR(SUMPRODUCT(--("0"&amp;TRIM(RIGHT(SUBSTITUTE(TRIM(MID(SUBSTITUTE(SUBSTITUTE(Registro!$J906,";",CHAR(10)),CHAR(10),REPT(" ",LEN(Registro!$J906))),({1,2,3,4,5,6,7,8,9,10,11,12,13,14,15,16,17,18,19,20,21,22,23,24,25,26,27,28,29,30}-1)*LEN(Registro!$J906)+1,LEN(Registro!$J906)))," ",REPT(" ",50)),50)))),"Revisar formato"))</f>
        <v/>
      </c>
      <c r="M906" s="11" t="str">
        <f>IF(AND(Registro!$H906="",Registro!$I906=""),"",IF(AND(ISTEXT(K906),K906&lt;&gt;""),"Revisar formato",N(Registro!$H906)-N(K906)))</f>
        <v/>
      </c>
      <c r="N906" s="11" t="str">
        <f t="shared" si="44"/>
        <v/>
      </c>
      <c r="O906" s="15" t="str">
        <f>IF(AND(A906=Consulta!$B$3,C906=Consulta!$H$3),B906*10000+ROW(),"")</f>
        <v/>
      </c>
    </row>
    <row r="907" spans="1:15" x14ac:dyDescent="0.25">
      <c r="A907" s="9" t="str">
        <f>IF(Registro!$A907="","",Registro!$A907)</f>
        <v/>
      </c>
      <c r="B907" s="8" t="str">
        <f>IF(Registro!$B907="","",Registro!$B907)</f>
        <v/>
      </c>
      <c r="C907" s="14" t="str">
        <f t="shared" si="42"/>
        <v/>
      </c>
      <c r="D907" s="10" t="str">
        <f>IF(Registro!$E907="","",IF(ISERROR(FIND("x",LOWER(Registro!$E907))),"-",IFERROR(SUMPRODUCT(--("0"&amp;LEFT(TRIM(MID(SUBSTITUTE(SUBSTITUTE(SUBSTITUTE(SUBSTITUTE(SUBSTITUTE(LOWER(Registro!$E907),"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",LEN(Registro!$E907))),({1,2,3,4,5,6,7,8,9,10,11,12,13,14,15,16,17,18,19,20,21,22,23,24,25,26,27,28,29,30}-1)*LEN(Registro!$E907)+1,LEN(Registro!$E907)))&amp;"x")-1))),"Revisar formato")))</f>
        <v/>
      </c>
      <c r="E907" s="11" t="str">
        <f>IF(Registro!$E907="","",IF(ISERROR(FIND("x",LOWER(Registro!$E907))),"-",IFERROR(SUMPRODUCT(--("0"&amp;LEFT(TRIM(MID(SUBSTITUTE(SUBSTITUTE(SUBSTITUTE(SUBSTITUTE(SUBSTITUTE(LOWER(Registro!$E907),"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",LEN(Registro!$E907))),({1,2,3,4,5,6,7,8,9,10,11,12,13,14,15,16,17,18,19,20,21,22,23,24,25,26,27,28,29,30}-1)*LEN(Registro!$E907)+1,LEN(Registro!$E907)))&amp;"x")-1)),--("0"&amp;MID(TRIM(MID(SUBSTITUTE(SUBSTITUTE(SUBSTITUTE(SUBSTITUTE(SUBSTITUTE(LOWER(Registro!$E907),"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",LEN(Registro!$E907))),({1,2,3,4,5,6,7,8,9,10,11,12,13,14,15,16,17,18,19,20,21,22,23,24,25,26,27,28,29,30}-1)*LEN(Registro!$E907)+1,LEN(Registro!$E907)))&amp;"x")+1,20))),"Revisar formato")))</f>
        <v/>
      </c>
      <c r="F907" s="11" t="str">
        <f>IF(Registro!$F907="","",N(Registro!$F907))</f>
        <v/>
      </c>
      <c r="G907" s="11" t="str">
        <f t="shared" si="43"/>
        <v/>
      </c>
      <c r="H907" s="10" t="str">
        <f>IF(Registro!$G907="","",IF(ISERROR(FIND("x",LOWER(Registro!$G907))),"-",IFERROR(SUMPRODUCT(--("0"&amp;LEFT(TRIM(MID(SUBSTITUTE(SUBSTITUTE(SUBSTITUTE(SUBSTITUTE(SUBSTITUTE(LOWER(Registro!$G907),"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",LEN(Registro!$G907))),({1,2,3,4,5,6,7,8,9,10,11,12,13,14,15,16,17,18,19,20,21,22,23,24,25,26,27,28,29,30}-1)*LEN(Registro!$G907)+1,LEN(Registro!$G907))),FIND("x",TRIM(MID(SUBSTITUTE(SUBSTITUTE(SUBSTITUTE(SUBSTITUTE(SUBSTITUTE(LOWER(Registro!$G907),"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",LEN(Registro!$G907))),({1,2,3,4,5,6,7,8,9,10,11,12,13,14,15,16,17,18,19,20,21,22,23,24,25,26,27,28,29,30}-1)*LEN(Registro!$G907)+1,LEN(Registro!$G907)))&amp;"x")-1))),"Revisar formato")))</f>
        <v/>
      </c>
      <c r="I907" s="11" t="str">
        <f>IF(Registro!$G907="","",IF(ISERROR(FIND("x",LOWER(Registro!$G907))),N(Registro!$H907),IFERROR(SUMPRODUCT(--("0"&amp;LEFT(TRIM(MID(SUBSTITUTE(SUBSTITUTE(SUBSTITUTE(SUBSTITUTE(SUBSTITUTE(LOWER(Registro!$G907),"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",LEN(Registro!$G907))),({1,2,3,4,5,6,7,8,9,10,11,12,13,14,15,16,17,18,19,20,21,22,23,24,25,26,27,28,29,30}-1)*LEN(Registro!$G907)+1,LEN(Registro!$G907))),FIND("x",TRIM(MID(SUBSTITUTE(SUBSTITUTE(SUBSTITUTE(SUBSTITUTE(SUBSTITUTE(LOWER(Registro!$G907),"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",LEN(Registro!$G907))),({1,2,3,4,5,6,7,8,9,10,11,12,13,14,15,16,17,18,19,20,21,22,23,24,25,26,27,28,29,30}-1)*LEN(Registro!$G907)+1,LEN(Registro!$G907)))&amp;"x")-1)),--("0"&amp;MID(TRIM(MID(SUBSTITUTE(SUBSTITUTE(SUBSTITUTE(SUBSTITUTE(SUBSTITUTE(LOWER(Registro!$G907),"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",LEN(Registro!$G907))),({1,2,3,4,5,6,7,8,9,10,11,12,13,14,15,16,17,18,19,20,21,22,23,24,25,26,27,28,29,30}-1)*LEN(Registro!$G907)+1,LEN(Registro!$G907))),FIND("x",TRIM(MID(SUBSTITUTE(SUBSTITUTE(SUBSTITUTE(SUBSTITUTE(SUBSTITUTE(LOWER(Registro!$G907),"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",LEN(Registro!$G907))),({1,2,3,4,5,6,7,8,9,10,11,12,13,14,15,16,17,18,19,20,21,22,23,24,25,26,27,28,29,30}-1)*LEN(Registro!$G907)+1,LEN(Registro!$G907)))&amp;"x")+1,20))),"Revisar formato")))</f>
        <v/>
      </c>
      <c r="J907" s="9" t="str">
        <f>IF(AND(Registro!$E907="",Registro!$G907=""),"",IF(NOT(AND(ISNUMBER(I907),ISNUMBER(Registro!$H907))),"",IF(I907&lt;Registro!$H907,"FALTA BOLETOS",IF(I907=Registro!$H907,"CONFORME","DIFERENCIA"))))</f>
        <v/>
      </c>
      <c r="K907" s="11" t="str">
        <f>IF(Registro!$I907="","",IFERROR(SUMPRODUCT(--("0"&amp;TRIM(RIGHT(SUBSTITUTE(TRIM(MID(SUBSTITUTE(SUBSTITUTE(Registro!$I907,";",CHAR(10)),CHAR(10),REPT(" ",LEN(Registro!$I907))),({1,2,3,4,5,6,7,8,9,10,11,12,13,14,15,16,17,18,19,20,21,22,23,24,25,26,27,28,29,30}-1)*LEN(Registro!$I907)+1,LEN(Registro!$I907)))," ",REPT(" ",50)),50)))),"Revisar formato"))</f>
        <v/>
      </c>
      <c r="L907" s="11" t="str">
        <f>IF(Registro!$J907="","",IFERROR(SUMPRODUCT(--("0"&amp;TRIM(RIGHT(SUBSTITUTE(TRIM(MID(SUBSTITUTE(SUBSTITUTE(Registro!$J907,";",CHAR(10)),CHAR(10),REPT(" ",LEN(Registro!$J907))),({1,2,3,4,5,6,7,8,9,10,11,12,13,14,15,16,17,18,19,20,21,22,23,24,25,26,27,28,29,30}-1)*LEN(Registro!$J907)+1,LEN(Registro!$J907)))," ",REPT(" ",50)),50)))),"Revisar formato"))</f>
        <v/>
      </c>
      <c r="M907" s="11" t="str">
        <f>IF(AND(Registro!$H907="",Registro!$I907=""),"",IF(AND(ISTEXT(K907),K907&lt;&gt;""),"Revisar formato",N(Registro!$H907)-N(K907)))</f>
        <v/>
      </c>
      <c r="N907" s="11" t="str">
        <f t="shared" si="44"/>
        <v/>
      </c>
      <c r="O907" s="15" t="str">
        <f>IF(AND(A907=Consulta!$B$3,C907=Consulta!$H$3),B907*10000+ROW(),"")</f>
        <v/>
      </c>
    </row>
    <row r="908" spans="1:15" x14ac:dyDescent="0.25">
      <c r="A908" s="9" t="str">
        <f>IF(Registro!$A908="","",Registro!$A908)</f>
        <v/>
      </c>
      <c r="B908" s="8" t="str">
        <f>IF(Registro!$B908="","",Registro!$B908)</f>
        <v/>
      </c>
      <c r="C908" s="14" t="str">
        <f t="shared" si="42"/>
        <v/>
      </c>
      <c r="D908" s="10" t="str">
        <f>IF(Registro!$E908="","",IF(ISERROR(FIND("x",LOWER(Registro!$E908))),"-",IFERROR(SUMPRODUCT(--("0"&amp;LEFT(TRIM(MID(SUBSTITUTE(SUBSTITUTE(SUBSTITUTE(SUBSTITUTE(SUBSTITUTE(LOWER(Registro!$E908),"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",LEN(Registro!$E908))),({1,2,3,4,5,6,7,8,9,10,11,12,13,14,15,16,17,18,19,20,21,22,23,24,25,26,27,28,29,30}-1)*LEN(Registro!$E908)+1,LEN(Registro!$E908)))&amp;"x")-1))),"Revisar formato")))</f>
        <v/>
      </c>
      <c r="E908" s="11" t="str">
        <f>IF(Registro!$E908="","",IF(ISERROR(FIND("x",LOWER(Registro!$E908))),"-",IFERROR(SUMPRODUCT(--("0"&amp;LEFT(TRIM(MID(SUBSTITUTE(SUBSTITUTE(SUBSTITUTE(SUBSTITUTE(SUBSTITUTE(LOWER(Registro!$E908),"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",LEN(Registro!$E908))),({1,2,3,4,5,6,7,8,9,10,11,12,13,14,15,16,17,18,19,20,21,22,23,24,25,26,27,28,29,30}-1)*LEN(Registro!$E908)+1,LEN(Registro!$E908)))&amp;"x")-1)),--("0"&amp;MID(TRIM(MID(SUBSTITUTE(SUBSTITUTE(SUBSTITUTE(SUBSTITUTE(SUBSTITUTE(LOWER(Registro!$E908),"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",LEN(Registro!$E908))),({1,2,3,4,5,6,7,8,9,10,11,12,13,14,15,16,17,18,19,20,21,22,23,24,25,26,27,28,29,30}-1)*LEN(Registro!$E908)+1,LEN(Registro!$E908)))&amp;"x")+1,20))),"Revisar formato")))</f>
        <v/>
      </c>
      <c r="F908" s="11" t="str">
        <f>IF(Registro!$F908="","",N(Registro!$F908))</f>
        <v/>
      </c>
      <c r="G908" s="11" t="str">
        <f t="shared" si="43"/>
        <v/>
      </c>
      <c r="H908" s="10" t="str">
        <f>IF(Registro!$G908="","",IF(ISERROR(FIND("x",LOWER(Registro!$G908))),"-",IFERROR(SUMPRODUCT(--("0"&amp;LEFT(TRIM(MID(SUBSTITUTE(SUBSTITUTE(SUBSTITUTE(SUBSTITUTE(SUBSTITUTE(LOWER(Registro!$G908),"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",LEN(Registro!$G908))),({1,2,3,4,5,6,7,8,9,10,11,12,13,14,15,16,17,18,19,20,21,22,23,24,25,26,27,28,29,30}-1)*LEN(Registro!$G908)+1,LEN(Registro!$G908))),FIND("x",TRIM(MID(SUBSTITUTE(SUBSTITUTE(SUBSTITUTE(SUBSTITUTE(SUBSTITUTE(LOWER(Registro!$G908),"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",LEN(Registro!$G908))),({1,2,3,4,5,6,7,8,9,10,11,12,13,14,15,16,17,18,19,20,21,22,23,24,25,26,27,28,29,30}-1)*LEN(Registro!$G908)+1,LEN(Registro!$G908)))&amp;"x")-1))),"Revisar formato")))</f>
        <v/>
      </c>
      <c r="I908" s="11" t="str">
        <f>IF(Registro!$G908="","",IF(ISERROR(FIND("x",LOWER(Registro!$G908))),N(Registro!$H908),IFERROR(SUMPRODUCT(--("0"&amp;LEFT(TRIM(MID(SUBSTITUTE(SUBSTITUTE(SUBSTITUTE(SUBSTITUTE(SUBSTITUTE(LOWER(Registro!$G908),"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",LEN(Registro!$G908))),({1,2,3,4,5,6,7,8,9,10,11,12,13,14,15,16,17,18,19,20,21,22,23,24,25,26,27,28,29,30}-1)*LEN(Registro!$G908)+1,LEN(Registro!$G908))),FIND("x",TRIM(MID(SUBSTITUTE(SUBSTITUTE(SUBSTITUTE(SUBSTITUTE(SUBSTITUTE(LOWER(Registro!$G908),"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",LEN(Registro!$G908))),({1,2,3,4,5,6,7,8,9,10,11,12,13,14,15,16,17,18,19,20,21,22,23,24,25,26,27,28,29,30}-1)*LEN(Registro!$G908)+1,LEN(Registro!$G908)))&amp;"x")-1)),--("0"&amp;MID(TRIM(MID(SUBSTITUTE(SUBSTITUTE(SUBSTITUTE(SUBSTITUTE(SUBSTITUTE(LOWER(Registro!$G908),"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",LEN(Registro!$G908))),({1,2,3,4,5,6,7,8,9,10,11,12,13,14,15,16,17,18,19,20,21,22,23,24,25,26,27,28,29,30}-1)*LEN(Registro!$G908)+1,LEN(Registro!$G908))),FIND("x",TRIM(MID(SUBSTITUTE(SUBSTITUTE(SUBSTITUTE(SUBSTITUTE(SUBSTITUTE(LOWER(Registro!$G908),"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",LEN(Registro!$G908))),({1,2,3,4,5,6,7,8,9,10,11,12,13,14,15,16,17,18,19,20,21,22,23,24,25,26,27,28,29,30}-1)*LEN(Registro!$G908)+1,LEN(Registro!$G908)))&amp;"x")+1,20))),"Revisar formato")))</f>
        <v/>
      </c>
      <c r="J908" s="9" t="str">
        <f>IF(AND(Registro!$E908="",Registro!$G908=""),"",IF(NOT(AND(ISNUMBER(I908),ISNUMBER(Registro!$H908))),"",IF(I908&lt;Registro!$H908,"FALTA BOLETOS",IF(I908=Registro!$H908,"CONFORME","DIFERENCIA"))))</f>
        <v/>
      </c>
      <c r="K908" s="11" t="str">
        <f>IF(Registro!$I908="","",IFERROR(SUMPRODUCT(--("0"&amp;TRIM(RIGHT(SUBSTITUTE(TRIM(MID(SUBSTITUTE(SUBSTITUTE(Registro!$I908,";",CHAR(10)),CHAR(10),REPT(" ",LEN(Registro!$I908))),({1,2,3,4,5,6,7,8,9,10,11,12,13,14,15,16,17,18,19,20,21,22,23,24,25,26,27,28,29,30}-1)*LEN(Registro!$I908)+1,LEN(Registro!$I908)))," ",REPT(" ",50)),50)))),"Revisar formato"))</f>
        <v/>
      </c>
      <c r="L908" s="11" t="str">
        <f>IF(Registro!$J908="","",IFERROR(SUMPRODUCT(--("0"&amp;TRIM(RIGHT(SUBSTITUTE(TRIM(MID(SUBSTITUTE(SUBSTITUTE(Registro!$J908,";",CHAR(10)),CHAR(10),REPT(" ",LEN(Registro!$J908))),({1,2,3,4,5,6,7,8,9,10,11,12,13,14,15,16,17,18,19,20,21,22,23,24,25,26,27,28,29,30}-1)*LEN(Registro!$J908)+1,LEN(Registro!$J908)))," ",REPT(" ",50)),50)))),"Revisar formato"))</f>
        <v/>
      </c>
      <c r="M908" s="11" t="str">
        <f>IF(AND(Registro!$H908="",Registro!$I908=""),"",IF(AND(ISTEXT(K908),K908&lt;&gt;""),"Revisar formato",N(Registro!$H908)-N(K908)))</f>
        <v/>
      </c>
      <c r="N908" s="11" t="str">
        <f t="shared" si="44"/>
        <v/>
      </c>
      <c r="O908" s="15" t="str">
        <f>IF(AND(A908=Consulta!$B$3,C908=Consulta!$H$3),B908*10000+ROW(),"")</f>
        <v/>
      </c>
    </row>
    <row r="909" spans="1:15" x14ac:dyDescent="0.25">
      <c r="A909" s="9" t="str">
        <f>IF(Registro!$A909="","",Registro!$A909)</f>
        <v/>
      </c>
      <c r="B909" s="8" t="str">
        <f>IF(Registro!$B909="","",Registro!$B909)</f>
        <v/>
      </c>
      <c r="C909" s="14" t="str">
        <f t="shared" si="42"/>
        <v/>
      </c>
      <c r="D909" s="10" t="str">
        <f>IF(Registro!$E909="","",IF(ISERROR(FIND("x",LOWER(Registro!$E909))),"-",IFERROR(SUMPRODUCT(--("0"&amp;LEFT(TRIM(MID(SUBSTITUTE(SUBSTITUTE(SUBSTITUTE(SUBSTITUTE(SUBSTITUTE(LOWER(Registro!$E909),"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",LEN(Registro!$E909))),({1,2,3,4,5,6,7,8,9,10,11,12,13,14,15,16,17,18,19,20,21,22,23,24,25,26,27,28,29,30}-1)*LEN(Registro!$E909)+1,LEN(Registro!$E909)))&amp;"x")-1))),"Revisar formato")))</f>
        <v/>
      </c>
      <c r="E909" s="11" t="str">
        <f>IF(Registro!$E909="","",IF(ISERROR(FIND("x",LOWER(Registro!$E909))),"-",IFERROR(SUMPRODUCT(--("0"&amp;LEFT(TRIM(MID(SUBSTITUTE(SUBSTITUTE(SUBSTITUTE(SUBSTITUTE(SUBSTITUTE(LOWER(Registro!$E909),"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",LEN(Registro!$E909))),({1,2,3,4,5,6,7,8,9,10,11,12,13,14,15,16,17,18,19,20,21,22,23,24,25,26,27,28,29,30}-1)*LEN(Registro!$E909)+1,LEN(Registro!$E909)))&amp;"x")-1)),--("0"&amp;MID(TRIM(MID(SUBSTITUTE(SUBSTITUTE(SUBSTITUTE(SUBSTITUTE(SUBSTITUTE(LOWER(Registro!$E909),"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",LEN(Registro!$E909))),({1,2,3,4,5,6,7,8,9,10,11,12,13,14,15,16,17,18,19,20,21,22,23,24,25,26,27,28,29,30}-1)*LEN(Registro!$E909)+1,LEN(Registro!$E909)))&amp;"x")+1,20))),"Revisar formato")))</f>
        <v/>
      </c>
      <c r="F909" s="11" t="str">
        <f>IF(Registro!$F909="","",N(Registro!$F909))</f>
        <v/>
      </c>
      <c r="G909" s="11" t="str">
        <f t="shared" si="43"/>
        <v/>
      </c>
      <c r="H909" s="10" t="str">
        <f>IF(Registro!$G909="","",IF(ISERROR(FIND("x",LOWER(Registro!$G909))),"-",IFERROR(SUMPRODUCT(--("0"&amp;LEFT(TRIM(MID(SUBSTITUTE(SUBSTITUTE(SUBSTITUTE(SUBSTITUTE(SUBSTITUTE(LOWER(Registro!$G909),"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",LEN(Registro!$G909))),({1,2,3,4,5,6,7,8,9,10,11,12,13,14,15,16,17,18,19,20,21,22,23,24,25,26,27,28,29,30}-1)*LEN(Registro!$G909)+1,LEN(Registro!$G909))),FIND("x",TRIM(MID(SUBSTITUTE(SUBSTITUTE(SUBSTITUTE(SUBSTITUTE(SUBSTITUTE(LOWER(Registro!$G909),"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",LEN(Registro!$G909))),({1,2,3,4,5,6,7,8,9,10,11,12,13,14,15,16,17,18,19,20,21,22,23,24,25,26,27,28,29,30}-1)*LEN(Registro!$G909)+1,LEN(Registro!$G909)))&amp;"x")-1))),"Revisar formato")))</f>
        <v/>
      </c>
      <c r="I909" s="11" t="str">
        <f>IF(Registro!$G909="","",IF(ISERROR(FIND("x",LOWER(Registro!$G909))),N(Registro!$H909),IFERROR(SUMPRODUCT(--("0"&amp;LEFT(TRIM(MID(SUBSTITUTE(SUBSTITUTE(SUBSTITUTE(SUBSTITUTE(SUBSTITUTE(LOWER(Registro!$G909),"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",LEN(Registro!$G909))),({1,2,3,4,5,6,7,8,9,10,11,12,13,14,15,16,17,18,19,20,21,22,23,24,25,26,27,28,29,30}-1)*LEN(Registro!$G909)+1,LEN(Registro!$G909))),FIND("x",TRIM(MID(SUBSTITUTE(SUBSTITUTE(SUBSTITUTE(SUBSTITUTE(SUBSTITUTE(LOWER(Registro!$G909),"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",LEN(Registro!$G909))),({1,2,3,4,5,6,7,8,9,10,11,12,13,14,15,16,17,18,19,20,21,22,23,24,25,26,27,28,29,30}-1)*LEN(Registro!$G909)+1,LEN(Registro!$G909)))&amp;"x")-1)),--("0"&amp;MID(TRIM(MID(SUBSTITUTE(SUBSTITUTE(SUBSTITUTE(SUBSTITUTE(SUBSTITUTE(LOWER(Registro!$G909),"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",LEN(Registro!$G909))),({1,2,3,4,5,6,7,8,9,10,11,12,13,14,15,16,17,18,19,20,21,22,23,24,25,26,27,28,29,30}-1)*LEN(Registro!$G909)+1,LEN(Registro!$G909))),FIND("x",TRIM(MID(SUBSTITUTE(SUBSTITUTE(SUBSTITUTE(SUBSTITUTE(SUBSTITUTE(LOWER(Registro!$G909),"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",LEN(Registro!$G909))),({1,2,3,4,5,6,7,8,9,10,11,12,13,14,15,16,17,18,19,20,21,22,23,24,25,26,27,28,29,30}-1)*LEN(Registro!$G909)+1,LEN(Registro!$G909)))&amp;"x")+1,20))),"Revisar formato")))</f>
        <v/>
      </c>
      <c r="J909" s="9" t="str">
        <f>IF(AND(Registro!$E909="",Registro!$G909=""),"",IF(NOT(AND(ISNUMBER(I909),ISNUMBER(Registro!$H909))),"",IF(I909&lt;Registro!$H909,"FALTA BOLETOS",IF(I909=Registro!$H909,"CONFORME","DIFERENCIA"))))</f>
        <v/>
      </c>
      <c r="K909" s="11" t="str">
        <f>IF(Registro!$I909="","",IFERROR(SUMPRODUCT(--("0"&amp;TRIM(RIGHT(SUBSTITUTE(TRIM(MID(SUBSTITUTE(SUBSTITUTE(Registro!$I909,";",CHAR(10)),CHAR(10),REPT(" ",LEN(Registro!$I909))),({1,2,3,4,5,6,7,8,9,10,11,12,13,14,15,16,17,18,19,20,21,22,23,24,25,26,27,28,29,30}-1)*LEN(Registro!$I909)+1,LEN(Registro!$I909)))," ",REPT(" ",50)),50)))),"Revisar formato"))</f>
        <v/>
      </c>
      <c r="L909" s="11" t="str">
        <f>IF(Registro!$J909="","",IFERROR(SUMPRODUCT(--("0"&amp;TRIM(RIGHT(SUBSTITUTE(TRIM(MID(SUBSTITUTE(SUBSTITUTE(Registro!$J909,";",CHAR(10)),CHAR(10),REPT(" ",LEN(Registro!$J909))),({1,2,3,4,5,6,7,8,9,10,11,12,13,14,15,16,17,18,19,20,21,22,23,24,25,26,27,28,29,30}-1)*LEN(Registro!$J909)+1,LEN(Registro!$J909)))," ",REPT(" ",50)),50)))),"Revisar formato"))</f>
        <v/>
      </c>
      <c r="M909" s="11" t="str">
        <f>IF(AND(Registro!$H909="",Registro!$I909=""),"",IF(AND(ISTEXT(K909),K909&lt;&gt;""),"Revisar formato",N(Registro!$H909)-N(K909)))</f>
        <v/>
      </c>
      <c r="N909" s="11" t="str">
        <f t="shared" si="44"/>
        <v/>
      </c>
      <c r="O909" s="15" t="str">
        <f>IF(AND(A909=Consulta!$B$3,C909=Consulta!$H$3),B909*10000+ROW(),"")</f>
        <v/>
      </c>
    </row>
    <row r="910" spans="1:15" x14ac:dyDescent="0.25">
      <c r="A910" s="9" t="str">
        <f>IF(Registro!$A910="","",Registro!$A910)</f>
        <v/>
      </c>
      <c r="B910" s="8" t="str">
        <f>IF(Registro!$B910="","",Registro!$B910)</f>
        <v/>
      </c>
      <c r="C910" s="14" t="str">
        <f t="shared" si="42"/>
        <v/>
      </c>
      <c r="D910" s="10" t="str">
        <f>IF(Registro!$E910="","",IF(ISERROR(FIND("x",LOWER(Registro!$E910))),"-",IFERROR(SUMPRODUCT(--("0"&amp;LEFT(TRIM(MID(SUBSTITUTE(SUBSTITUTE(SUBSTITUTE(SUBSTITUTE(SUBSTITUTE(LOWER(Registro!$E910),"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",LEN(Registro!$E910))),({1,2,3,4,5,6,7,8,9,10,11,12,13,14,15,16,17,18,19,20,21,22,23,24,25,26,27,28,29,30}-1)*LEN(Registro!$E910)+1,LEN(Registro!$E910)))&amp;"x")-1))),"Revisar formato")))</f>
        <v/>
      </c>
      <c r="E910" s="11" t="str">
        <f>IF(Registro!$E910="","",IF(ISERROR(FIND("x",LOWER(Registro!$E910))),"-",IFERROR(SUMPRODUCT(--("0"&amp;LEFT(TRIM(MID(SUBSTITUTE(SUBSTITUTE(SUBSTITUTE(SUBSTITUTE(SUBSTITUTE(LOWER(Registro!$E910),"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",LEN(Registro!$E910))),({1,2,3,4,5,6,7,8,9,10,11,12,13,14,15,16,17,18,19,20,21,22,23,24,25,26,27,28,29,30}-1)*LEN(Registro!$E910)+1,LEN(Registro!$E910)))&amp;"x")-1)),--("0"&amp;MID(TRIM(MID(SUBSTITUTE(SUBSTITUTE(SUBSTITUTE(SUBSTITUTE(SUBSTITUTE(LOWER(Registro!$E910),"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",LEN(Registro!$E910))),({1,2,3,4,5,6,7,8,9,10,11,12,13,14,15,16,17,18,19,20,21,22,23,24,25,26,27,28,29,30}-1)*LEN(Registro!$E910)+1,LEN(Registro!$E910)))&amp;"x")+1,20))),"Revisar formato")))</f>
        <v/>
      </c>
      <c r="F910" s="11" t="str">
        <f>IF(Registro!$F910="","",N(Registro!$F910))</f>
        <v/>
      </c>
      <c r="G910" s="11" t="str">
        <f t="shared" si="43"/>
        <v/>
      </c>
      <c r="H910" s="10" t="str">
        <f>IF(Registro!$G910="","",IF(ISERROR(FIND("x",LOWER(Registro!$G910))),"-",IFERROR(SUMPRODUCT(--("0"&amp;LEFT(TRIM(MID(SUBSTITUTE(SUBSTITUTE(SUBSTITUTE(SUBSTITUTE(SUBSTITUTE(LOWER(Registro!$G910),"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",LEN(Registro!$G910))),({1,2,3,4,5,6,7,8,9,10,11,12,13,14,15,16,17,18,19,20,21,22,23,24,25,26,27,28,29,30}-1)*LEN(Registro!$G910)+1,LEN(Registro!$G910))),FIND("x",TRIM(MID(SUBSTITUTE(SUBSTITUTE(SUBSTITUTE(SUBSTITUTE(SUBSTITUTE(LOWER(Registro!$G910),"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",LEN(Registro!$G910))),({1,2,3,4,5,6,7,8,9,10,11,12,13,14,15,16,17,18,19,20,21,22,23,24,25,26,27,28,29,30}-1)*LEN(Registro!$G910)+1,LEN(Registro!$G910)))&amp;"x")-1))),"Revisar formato")))</f>
        <v/>
      </c>
      <c r="I910" s="11" t="str">
        <f>IF(Registro!$G910="","",IF(ISERROR(FIND("x",LOWER(Registro!$G910))),N(Registro!$H910),IFERROR(SUMPRODUCT(--("0"&amp;LEFT(TRIM(MID(SUBSTITUTE(SUBSTITUTE(SUBSTITUTE(SUBSTITUTE(SUBSTITUTE(LOWER(Registro!$G910),"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",LEN(Registro!$G910))),({1,2,3,4,5,6,7,8,9,10,11,12,13,14,15,16,17,18,19,20,21,22,23,24,25,26,27,28,29,30}-1)*LEN(Registro!$G910)+1,LEN(Registro!$G910))),FIND("x",TRIM(MID(SUBSTITUTE(SUBSTITUTE(SUBSTITUTE(SUBSTITUTE(SUBSTITUTE(LOWER(Registro!$G910),"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",LEN(Registro!$G910))),({1,2,3,4,5,6,7,8,9,10,11,12,13,14,15,16,17,18,19,20,21,22,23,24,25,26,27,28,29,30}-1)*LEN(Registro!$G910)+1,LEN(Registro!$G910)))&amp;"x")-1)),--("0"&amp;MID(TRIM(MID(SUBSTITUTE(SUBSTITUTE(SUBSTITUTE(SUBSTITUTE(SUBSTITUTE(LOWER(Registro!$G910),"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",LEN(Registro!$G910))),({1,2,3,4,5,6,7,8,9,10,11,12,13,14,15,16,17,18,19,20,21,22,23,24,25,26,27,28,29,30}-1)*LEN(Registro!$G910)+1,LEN(Registro!$G910))),FIND("x",TRIM(MID(SUBSTITUTE(SUBSTITUTE(SUBSTITUTE(SUBSTITUTE(SUBSTITUTE(LOWER(Registro!$G910),"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",LEN(Registro!$G910))),({1,2,3,4,5,6,7,8,9,10,11,12,13,14,15,16,17,18,19,20,21,22,23,24,25,26,27,28,29,30}-1)*LEN(Registro!$G910)+1,LEN(Registro!$G910)))&amp;"x")+1,20))),"Revisar formato")))</f>
        <v/>
      </c>
      <c r="J910" s="9" t="str">
        <f>IF(AND(Registro!$E910="",Registro!$G910=""),"",IF(NOT(AND(ISNUMBER(I910),ISNUMBER(Registro!$H910))),"",IF(I910&lt;Registro!$H910,"FALTA BOLETOS",IF(I910=Registro!$H910,"CONFORME","DIFERENCIA"))))</f>
        <v/>
      </c>
      <c r="K910" s="11" t="str">
        <f>IF(Registro!$I910="","",IFERROR(SUMPRODUCT(--("0"&amp;TRIM(RIGHT(SUBSTITUTE(TRIM(MID(SUBSTITUTE(SUBSTITUTE(Registro!$I910,";",CHAR(10)),CHAR(10),REPT(" ",LEN(Registro!$I910))),({1,2,3,4,5,6,7,8,9,10,11,12,13,14,15,16,17,18,19,20,21,22,23,24,25,26,27,28,29,30}-1)*LEN(Registro!$I910)+1,LEN(Registro!$I910)))," ",REPT(" ",50)),50)))),"Revisar formato"))</f>
        <v/>
      </c>
      <c r="L910" s="11" t="str">
        <f>IF(Registro!$J910="","",IFERROR(SUMPRODUCT(--("0"&amp;TRIM(RIGHT(SUBSTITUTE(TRIM(MID(SUBSTITUTE(SUBSTITUTE(Registro!$J910,";",CHAR(10)),CHAR(10),REPT(" ",LEN(Registro!$J910))),({1,2,3,4,5,6,7,8,9,10,11,12,13,14,15,16,17,18,19,20,21,22,23,24,25,26,27,28,29,30}-1)*LEN(Registro!$J910)+1,LEN(Registro!$J910)))," ",REPT(" ",50)),50)))),"Revisar formato"))</f>
        <v/>
      </c>
      <c r="M910" s="11" t="str">
        <f>IF(AND(Registro!$H910="",Registro!$I910=""),"",IF(AND(ISTEXT(K910),K910&lt;&gt;""),"Revisar formato",N(Registro!$H910)-N(K910)))</f>
        <v/>
      </c>
      <c r="N910" s="11" t="str">
        <f t="shared" si="44"/>
        <v/>
      </c>
      <c r="O910" s="15" t="str">
        <f>IF(AND(A910=Consulta!$B$3,C910=Consulta!$H$3),B910*10000+ROW(),"")</f>
        <v/>
      </c>
    </row>
    <row r="911" spans="1:15" x14ac:dyDescent="0.25">
      <c r="A911" s="9" t="str">
        <f>IF(Registro!$A911="","",Registro!$A911)</f>
        <v/>
      </c>
      <c r="B911" s="8" t="str">
        <f>IF(Registro!$B911="","",Registro!$B911)</f>
        <v/>
      </c>
      <c r="C911" s="14" t="str">
        <f t="shared" si="42"/>
        <v/>
      </c>
      <c r="D911" s="10" t="str">
        <f>IF(Registro!$E911="","",IF(ISERROR(FIND("x",LOWER(Registro!$E911))),"-",IFERROR(SUMPRODUCT(--("0"&amp;LEFT(TRIM(MID(SUBSTITUTE(SUBSTITUTE(SUBSTITUTE(SUBSTITUTE(SUBSTITUTE(LOWER(Registro!$E911),"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",LEN(Registro!$E911))),({1,2,3,4,5,6,7,8,9,10,11,12,13,14,15,16,17,18,19,20,21,22,23,24,25,26,27,28,29,30}-1)*LEN(Registro!$E911)+1,LEN(Registro!$E911)))&amp;"x")-1))),"Revisar formato")))</f>
        <v/>
      </c>
      <c r="E911" s="11" t="str">
        <f>IF(Registro!$E911="","",IF(ISERROR(FIND("x",LOWER(Registro!$E911))),"-",IFERROR(SUMPRODUCT(--("0"&amp;LEFT(TRIM(MID(SUBSTITUTE(SUBSTITUTE(SUBSTITUTE(SUBSTITUTE(SUBSTITUTE(LOWER(Registro!$E911),"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",LEN(Registro!$E911))),({1,2,3,4,5,6,7,8,9,10,11,12,13,14,15,16,17,18,19,20,21,22,23,24,25,26,27,28,29,30}-1)*LEN(Registro!$E911)+1,LEN(Registro!$E911)))&amp;"x")-1)),--("0"&amp;MID(TRIM(MID(SUBSTITUTE(SUBSTITUTE(SUBSTITUTE(SUBSTITUTE(SUBSTITUTE(LOWER(Registro!$E911),"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",LEN(Registro!$E911))),({1,2,3,4,5,6,7,8,9,10,11,12,13,14,15,16,17,18,19,20,21,22,23,24,25,26,27,28,29,30}-1)*LEN(Registro!$E911)+1,LEN(Registro!$E911)))&amp;"x")+1,20))),"Revisar formato")))</f>
        <v/>
      </c>
      <c r="F911" s="11" t="str">
        <f>IF(Registro!$F911="","",N(Registro!$F911))</f>
        <v/>
      </c>
      <c r="G911" s="11" t="str">
        <f t="shared" si="43"/>
        <v/>
      </c>
      <c r="H911" s="10" t="str">
        <f>IF(Registro!$G911="","",IF(ISERROR(FIND("x",LOWER(Registro!$G911))),"-",IFERROR(SUMPRODUCT(--("0"&amp;LEFT(TRIM(MID(SUBSTITUTE(SUBSTITUTE(SUBSTITUTE(SUBSTITUTE(SUBSTITUTE(LOWER(Registro!$G911),"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",LEN(Registro!$G911))),({1,2,3,4,5,6,7,8,9,10,11,12,13,14,15,16,17,18,19,20,21,22,23,24,25,26,27,28,29,30}-1)*LEN(Registro!$G911)+1,LEN(Registro!$G911))),FIND("x",TRIM(MID(SUBSTITUTE(SUBSTITUTE(SUBSTITUTE(SUBSTITUTE(SUBSTITUTE(LOWER(Registro!$G911),"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",LEN(Registro!$G911))),({1,2,3,4,5,6,7,8,9,10,11,12,13,14,15,16,17,18,19,20,21,22,23,24,25,26,27,28,29,30}-1)*LEN(Registro!$G911)+1,LEN(Registro!$G911)))&amp;"x")-1))),"Revisar formato")))</f>
        <v/>
      </c>
      <c r="I911" s="11" t="str">
        <f>IF(Registro!$G911="","",IF(ISERROR(FIND("x",LOWER(Registro!$G911))),N(Registro!$H911),IFERROR(SUMPRODUCT(--("0"&amp;LEFT(TRIM(MID(SUBSTITUTE(SUBSTITUTE(SUBSTITUTE(SUBSTITUTE(SUBSTITUTE(LOWER(Registro!$G911),"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",LEN(Registro!$G911))),({1,2,3,4,5,6,7,8,9,10,11,12,13,14,15,16,17,18,19,20,21,22,23,24,25,26,27,28,29,30}-1)*LEN(Registro!$G911)+1,LEN(Registro!$G911))),FIND("x",TRIM(MID(SUBSTITUTE(SUBSTITUTE(SUBSTITUTE(SUBSTITUTE(SUBSTITUTE(LOWER(Registro!$G911),"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",LEN(Registro!$G911))),({1,2,3,4,5,6,7,8,9,10,11,12,13,14,15,16,17,18,19,20,21,22,23,24,25,26,27,28,29,30}-1)*LEN(Registro!$G911)+1,LEN(Registro!$G911)))&amp;"x")-1)),--("0"&amp;MID(TRIM(MID(SUBSTITUTE(SUBSTITUTE(SUBSTITUTE(SUBSTITUTE(SUBSTITUTE(LOWER(Registro!$G911),"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",LEN(Registro!$G911))),({1,2,3,4,5,6,7,8,9,10,11,12,13,14,15,16,17,18,19,20,21,22,23,24,25,26,27,28,29,30}-1)*LEN(Registro!$G911)+1,LEN(Registro!$G911))),FIND("x",TRIM(MID(SUBSTITUTE(SUBSTITUTE(SUBSTITUTE(SUBSTITUTE(SUBSTITUTE(LOWER(Registro!$G911),"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",LEN(Registro!$G911))),({1,2,3,4,5,6,7,8,9,10,11,12,13,14,15,16,17,18,19,20,21,22,23,24,25,26,27,28,29,30}-1)*LEN(Registro!$G911)+1,LEN(Registro!$G911)))&amp;"x")+1,20))),"Revisar formato")))</f>
        <v/>
      </c>
      <c r="J911" s="9" t="str">
        <f>IF(AND(Registro!$E911="",Registro!$G911=""),"",IF(NOT(AND(ISNUMBER(I911),ISNUMBER(Registro!$H911))),"",IF(I911&lt;Registro!$H911,"FALTA BOLETOS",IF(I911=Registro!$H911,"CONFORME","DIFERENCIA"))))</f>
        <v/>
      </c>
      <c r="K911" s="11" t="str">
        <f>IF(Registro!$I911="","",IFERROR(SUMPRODUCT(--("0"&amp;TRIM(RIGHT(SUBSTITUTE(TRIM(MID(SUBSTITUTE(SUBSTITUTE(Registro!$I911,";",CHAR(10)),CHAR(10),REPT(" ",LEN(Registro!$I911))),({1,2,3,4,5,6,7,8,9,10,11,12,13,14,15,16,17,18,19,20,21,22,23,24,25,26,27,28,29,30}-1)*LEN(Registro!$I911)+1,LEN(Registro!$I911)))," ",REPT(" ",50)),50)))),"Revisar formato"))</f>
        <v/>
      </c>
      <c r="L911" s="11" t="str">
        <f>IF(Registro!$J911="","",IFERROR(SUMPRODUCT(--("0"&amp;TRIM(RIGHT(SUBSTITUTE(TRIM(MID(SUBSTITUTE(SUBSTITUTE(Registro!$J911,";",CHAR(10)),CHAR(10),REPT(" ",LEN(Registro!$J911))),({1,2,3,4,5,6,7,8,9,10,11,12,13,14,15,16,17,18,19,20,21,22,23,24,25,26,27,28,29,30}-1)*LEN(Registro!$J911)+1,LEN(Registro!$J911)))," ",REPT(" ",50)),50)))),"Revisar formato"))</f>
        <v/>
      </c>
      <c r="M911" s="11" t="str">
        <f>IF(AND(Registro!$H911="",Registro!$I911=""),"",IF(AND(ISTEXT(K911),K911&lt;&gt;""),"Revisar formato",N(Registro!$H911)-N(K911)))</f>
        <v/>
      </c>
      <c r="N911" s="11" t="str">
        <f t="shared" si="44"/>
        <v/>
      </c>
      <c r="O911" s="15" t="str">
        <f>IF(AND(A911=Consulta!$B$3,C911=Consulta!$H$3),B911*10000+ROW(),"")</f>
        <v/>
      </c>
    </row>
    <row r="912" spans="1:15" x14ac:dyDescent="0.25">
      <c r="A912" s="9" t="str">
        <f>IF(Registro!$A912="","",Registro!$A912)</f>
        <v/>
      </c>
      <c r="B912" s="8" t="str">
        <f>IF(Registro!$B912="","",Registro!$B912)</f>
        <v/>
      </c>
      <c r="C912" s="14" t="str">
        <f t="shared" si="42"/>
        <v/>
      </c>
      <c r="D912" s="10" t="str">
        <f>IF(Registro!$E912="","",IF(ISERROR(FIND("x",LOWER(Registro!$E912))),"-",IFERROR(SUMPRODUCT(--("0"&amp;LEFT(TRIM(MID(SUBSTITUTE(SUBSTITUTE(SUBSTITUTE(SUBSTITUTE(SUBSTITUTE(LOWER(Registro!$E912),"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",LEN(Registro!$E912))),({1,2,3,4,5,6,7,8,9,10,11,12,13,14,15,16,17,18,19,20,21,22,23,24,25,26,27,28,29,30}-1)*LEN(Registro!$E912)+1,LEN(Registro!$E912)))&amp;"x")-1))),"Revisar formato")))</f>
        <v/>
      </c>
      <c r="E912" s="11" t="str">
        <f>IF(Registro!$E912="","",IF(ISERROR(FIND("x",LOWER(Registro!$E912))),"-",IFERROR(SUMPRODUCT(--("0"&amp;LEFT(TRIM(MID(SUBSTITUTE(SUBSTITUTE(SUBSTITUTE(SUBSTITUTE(SUBSTITUTE(LOWER(Registro!$E912),"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",LEN(Registro!$E912))),({1,2,3,4,5,6,7,8,9,10,11,12,13,14,15,16,17,18,19,20,21,22,23,24,25,26,27,28,29,30}-1)*LEN(Registro!$E912)+1,LEN(Registro!$E912)))&amp;"x")-1)),--("0"&amp;MID(TRIM(MID(SUBSTITUTE(SUBSTITUTE(SUBSTITUTE(SUBSTITUTE(SUBSTITUTE(LOWER(Registro!$E912),"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",LEN(Registro!$E912))),({1,2,3,4,5,6,7,8,9,10,11,12,13,14,15,16,17,18,19,20,21,22,23,24,25,26,27,28,29,30}-1)*LEN(Registro!$E912)+1,LEN(Registro!$E912)))&amp;"x")+1,20))),"Revisar formato")))</f>
        <v/>
      </c>
      <c r="F912" s="11" t="str">
        <f>IF(Registro!$F912="","",N(Registro!$F912))</f>
        <v/>
      </c>
      <c r="G912" s="11" t="str">
        <f t="shared" si="43"/>
        <v/>
      </c>
      <c r="H912" s="10" t="str">
        <f>IF(Registro!$G912="","",IF(ISERROR(FIND("x",LOWER(Registro!$G912))),"-",IFERROR(SUMPRODUCT(--("0"&amp;LEFT(TRIM(MID(SUBSTITUTE(SUBSTITUTE(SUBSTITUTE(SUBSTITUTE(SUBSTITUTE(LOWER(Registro!$G912),"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",LEN(Registro!$G912))),({1,2,3,4,5,6,7,8,9,10,11,12,13,14,15,16,17,18,19,20,21,22,23,24,25,26,27,28,29,30}-1)*LEN(Registro!$G912)+1,LEN(Registro!$G912))),FIND("x",TRIM(MID(SUBSTITUTE(SUBSTITUTE(SUBSTITUTE(SUBSTITUTE(SUBSTITUTE(LOWER(Registro!$G912),"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",LEN(Registro!$G912))),({1,2,3,4,5,6,7,8,9,10,11,12,13,14,15,16,17,18,19,20,21,22,23,24,25,26,27,28,29,30}-1)*LEN(Registro!$G912)+1,LEN(Registro!$G912)))&amp;"x")-1))),"Revisar formato")))</f>
        <v/>
      </c>
      <c r="I912" s="11" t="str">
        <f>IF(Registro!$G912="","",IF(ISERROR(FIND("x",LOWER(Registro!$G912))),N(Registro!$H912),IFERROR(SUMPRODUCT(--("0"&amp;LEFT(TRIM(MID(SUBSTITUTE(SUBSTITUTE(SUBSTITUTE(SUBSTITUTE(SUBSTITUTE(LOWER(Registro!$G912),"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",LEN(Registro!$G912))),({1,2,3,4,5,6,7,8,9,10,11,12,13,14,15,16,17,18,19,20,21,22,23,24,25,26,27,28,29,30}-1)*LEN(Registro!$G912)+1,LEN(Registro!$G912))),FIND("x",TRIM(MID(SUBSTITUTE(SUBSTITUTE(SUBSTITUTE(SUBSTITUTE(SUBSTITUTE(LOWER(Registro!$G912),"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",LEN(Registro!$G912))),({1,2,3,4,5,6,7,8,9,10,11,12,13,14,15,16,17,18,19,20,21,22,23,24,25,26,27,28,29,30}-1)*LEN(Registro!$G912)+1,LEN(Registro!$G912)))&amp;"x")-1)),--("0"&amp;MID(TRIM(MID(SUBSTITUTE(SUBSTITUTE(SUBSTITUTE(SUBSTITUTE(SUBSTITUTE(LOWER(Registro!$G912),"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",LEN(Registro!$G912))),({1,2,3,4,5,6,7,8,9,10,11,12,13,14,15,16,17,18,19,20,21,22,23,24,25,26,27,28,29,30}-1)*LEN(Registro!$G912)+1,LEN(Registro!$G912))),FIND("x",TRIM(MID(SUBSTITUTE(SUBSTITUTE(SUBSTITUTE(SUBSTITUTE(SUBSTITUTE(LOWER(Registro!$G912),"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",LEN(Registro!$G912))),({1,2,3,4,5,6,7,8,9,10,11,12,13,14,15,16,17,18,19,20,21,22,23,24,25,26,27,28,29,30}-1)*LEN(Registro!$G912)+1,LEN(Registro!$G912)))&amp;"x")+1,20))),"Revisar formato")))</f>
        <v/>
      </c>
      <c r="J912" s="9" t="str">
        <f>IF(AND(Registro!$E912="",Registro!$G912=""),"",IF(NOT(AND(ISNUMBER(I912),ISNUMBER(Registro!$H912))),"",IF(I912&lt;Registro!$H912,"FALTA BOLETOS",IF(I912=Registro!$H912,"CONFORME","DIFERENCIA"))))</f>
        <v/>
      </c>
      <c r="K912" s="11" t="str">
        <f>IF(Registro!$I912="","",IFERROR(SUMPRODUCT(--("0"&amp;TRIM(RIGHT(SUBSTITUTE(TRIM(MID(SUBSTITUTE(SUBSTITUTE(Registro!$I912,";",CHAR(10)),CHAR(10),REPT(" ",LEN(Registro!$I912))),({1,2,3,4,5,6,7,8,9,10,11,12,13,14,15,16,17,18,19,20,21,22,23,24,25,26,27,28,29,30}-1)*LEN(Registro!$I912)+1,LEN(Registro!$I912)))," ",REPT(" ",50)),50)))),"Revisar formato"))</f>
        <v/>
      </c>
      <c r="L912" s="11" t="str">
        <f>IF(Registro!$J912="","",IFERROR(SUMPRODUCT(--("0"&amp;TRIM(RIGHT(SUBSTITUTE(TRIM(MID(SUBSTITUTE(SUBSTITUTE(Registro!$J912,";",CHAR(10)),CHAR(10),REPT(" ",LEN(Registro!$J912))),({1,2,3,4,5,6,7,8,9,10,11,12,13,14,15,16,17,18,19,20,21,22,23,24,25,26,27,28,29,30}-1)*LEN(Registro!$J912)+1,LEN(Registro!$J912)))," ",REPT(" ",50)),50)))),"Revisar formato"))</f>
        <v/>
      </c>
      <c r="M912" s="11" t="str">
        <f>IF(AND(Registro!$H912="",Registro!$I912=""),"",IF(AND(ISTEXT(K912),K912&lt;&gt;""),"Revisar formato",N(Registro!$H912)-N(K912)))</f>
        <v/>
      </c>
      <c r="N912" s="11" t="str">
        <f t="shared" si="44"/>
        <v/>
      </c>
      <c r="O912" s="15" t="str">
        <f>IF(AND(A912=Consulta!$B$3,C912=Consulta!$H$3),B912*10000+ROW(),"")</f>
        <v/>
      </c>
    </row>
    <row r="913" spans="1:15" x14ac:dyDescent="0.25">
      <c r="A913" s="9" t="str">
        <f>IF(Registro!$A913="","",Registro!$A913)</f>
        <v/>
      </c>
      <c r="B913" s="8" t="str">
        <f>IF(Registro!$B913="","",Registro!$B913)</f>
        <v/>
      </c>
      <c r="C913" s="14" t="str">
        <f t="shared" si="42"/>
        <v/>
      </c>
      <c r="D913" s="10" t="str">
        <f>IF(Registro!$E913="","",IF(ISERROR(FIND("x",LOWER(Registro!$E913))),"-",IFERROR(SUMPRODUCT(--("0"&amp;LEFT(TRIM(MID(SUBSTITUTE(SUBSTITUTE(SUBSTITUTE(SUBSTITUTE(SUBSTITUTE(LOWER(Registro!$E913),"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",LEN(Registro!$E913))),({1,2,3,4,5,6,7,8,9,10,11,12,13,14,15,16,17,18,19,20,21,22,23,24,25,26,27,28,29,30}-1)*LEN(Registro!$E913)+1,LEN(Registro!$E913)))&amp;"x")-1))),"Revisar formato")))</f>
        <v/>
      </c>
      <c r="E913" s="11" t="str">
        <f>IF(Registro!$E913="","",IF(ISERROR(FIND("x",LOWER(Registro!$E913))),"-",IFERROR(SUMPRODUCT(--("0"&amp;LEFT(TRIM(MID(SUBSTITUTE(SUBSTITUTE(SUBSTITUTE(SUBSTITUTE(SUBSTITUTE(LOWER(Registro!$E913),"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",LEN(Registro!$E913))),({1,2,3,4,5,6,7,8,9,10,11,12,13,14,15,16,17,18,19,20,21,22,23,24,25,26,27,28,29,30}-1)*LEN(Registro!$E913)+1,LEN(Registro!$E913)))&amp;"x")-1)),--("0"&amp;MID(TRIM(MID(SUBSTITUTE(SUBSTITUTE(SUBSTITUTE(SUBSTITUTE(SUBSTITUTE(LOWER(Registro!$E913),"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",LEN(Registro!$E913))),({1,2,3,4,5,6,7,8,9,10,11,12,13,14,15,16,17,18,19,20,21,22,23,24,25,26,27,28,29,30}-1)*LEN(Registro!$E913)+1,LEN(Registro!$E913)))&amp;"x")+1,20))),"Revisar formato")))</f>
        <v/>
      </c>
      <c r="F913" s="11" t="str">
        <f>IF(Registro!$F913="","",N(Registro!$F913))</f>
        <v/>
      </c>
      <c r="G913" s="11" t="str">
        <f t="shared" si="43"/>
        <v/>
      </c>
      <c r="H913" s="10" t="str">
        <f>IF(Registro!$G913="","",IF(ISERROR(FIND("x",LOWER(Registro!$G913))),"-",IFERROR(SUMPRODUCT(--("0"&amp;LEFT(TRIM(MID(SUBSTITUTE(SUBSTITUTE(SUBSTITUTE(SUBSTITUTE(SUBSTITUTE(LOWER(Registro!$G913),"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",LEN(Registro!$G913))),({1,2,3,4,5,6,7,8,9,10,11,12,13,14,15,16,17,18,19,20,21,22,23,24,25,26,27,28,29,30}-1)*LEN(Registro!$G913)+1,LEN(Registro!$G913))),FIND("x",TRIM(MID(SUBSTITUTE(SUBSTITUTE(SUBSTITUTE(SUBSTITUTE(SUBSTITUTE(LOWER(Registro!$G913),"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",LEN(Registro!$G913))),({1,2,3,4,5,6,7,8,9,10,11,12,13,14,15,16,17,18,19,20,21,22,23,24,25,26,27,28,29,30}-1)*LEN(Registro!$G913)+1,LEN(Registro!$G913)))&amp;"x")-1))),"Revisar formato")))</f>
        <v/>
      </c>
      <c r="I913" s="11" t="str">
        <f>IF(Registro!$G913="","",IF(ISERROR(FIND("x",LOWER(Registro!$G913))),N(Registro!$H913),IFERROR(SUMPRODUCT(--("0"&amp;LEFT(TRIM(MID(SUBSTITUTE(SUBSTITUTE(SUBSTITUTE(SUBSTITUTE(SUBSTITUTE(LOWER(Registro!$G913),"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",LEN(Registro!$G913))),({1,2,3,4,5,6,7,8,9,10,11,12,13,14,15,16,17,18,19,20,21,22,23,24,25,26,27,28,29,30}-1)*LEN(Registro!$G913)+1,LEN(Registro!$G913))),FIND("x",TRIM(MID(SUBSTITUTE(SUBSTITUTE(SUBSTITUTE(SUBSTITUTE(SUBSTITUTE(LOWER(Registro!$G913),"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",LEN(Registro!$G913))),({1,2,3,4,5,6,7,8,9,10,11,12,13,14,15,16,17,18,19,20,21,22,23,24,25,26,27,28,29,30}-1)*LEN(Registro!$G913)+1,LEN(Registro!$G913)))&amp;"x")-1)),--("0"&amp;MID(TRIM(MID(SUBSTITUTE(SUBSTITUTE(SUBSTITUTE(SUBSTITUTE(SUBSTITUTE(LOWER(Registro!$G913),"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",LEN(Registro!$G913))),({1,2,3,4,5,6,7,8,9,10,11,12,13,14,15,16,17,18,19,20,21,22,23,24,25,26,27,28,29,30}-1)*LEN(Registro!$G913)+1,LEN(Registro!$G913))),FIND("x",TRIM(MID(SUBSTITUTE(SUBSTITUTE(SUBSTITUTE(SUBSTITUTE(SUBSTITUTE(LOWER(Registro!$G913),"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",LEN(Registro!$G913))),({1,2,3,4,5,6,7,8,9,10,11,12,13,14,15,16,17,18,19,20,21,22,23,24,25,26,27,28,29,30}-1)*LEN(Registro!$G913)+1,LEN(Registro!$G913)))&amp;"x")+1,20))),"Revisar formato")))</f>
        <v/>
      </c>
      <c r="J913" s="9" t="str">
        <f>IF(AND(Registro!$E913="",Registro!$G913=""),"",IF(NOT(AND(ISNUMBER(I913),ISNUMBER(Registro!$H913))),"",IF(I913&lt;Registro!$H913,"FALTA BOLETOS",IF(I913=Registro!$H913,"CONFORME","DIFERENCIA"))))</f>
        <v/>
      </c>
      <c r="K913" s="11" t="str">
        <f>IF(Registro!$I913="","",IFERROR(SUMPRODUCT(--("0"&amp;TRIM(RIGHT(SUBSTITUTE(TRIM(MID(SUBSTITUTE(SUBSTITUTE(Registro!$I913,";",CHAR(10)),CHAR(10),REPT(" ",LEN(Registro!$I913))),({1,2,3,4,5,6,7,8,9,10,11,12,13,14,15,16,17,18,19,20,21,22,23,24,25,26,27,28,29,30}-1)*LEN(Registro!$I913)+1,LEN(Registro!$I913)))," ",REPT(" ",50)),50)))),"Revisar formato"))</f>
        <v/>
      </c>
      <c r="L913" s="11" t="str">
        <f>IF(Registro!$J913="","",IFERROR(SUMPRODUCT(--("0"&amp;TRIM(RIGHT(SUBSTITUTE(TRIM(MID(SUBSTITUTE(SUBSTITUTE(Registro!$J913,";",CHAR(10)),CHAR(10),REPT(" ",LEN(Registro!$J913))),({1,2,3,4,5,6,7,8,9,10,11,12,13,14,15,16,17,18,19,20,21,22,23,24,25,26,27,28,29,30}-1)*LEN(Registro!$J913)+1,LEN(Registro!$J913)))," ",REPT(" ",50)),50)))),"Revisar formato"))</f>
        <v/>
      </c>
      <c r="M913" s="11" t="str">
        <f>IF(AND(Registro!$H913="",Registro!$I913=""),"",IF(AND(ISTEXT(K913),K913&lt;&gt;""),"Revisar formato",N(Registro!$H913)-N(K913)))</f>
        <v/>
      </c>
      <c r="N913" s="11" t="str">
        <f t="shared" si="44"/>
        <v/>
      </c>
      <c r="O913" s="15" t="str">
        <f>IF(AND(A913=Consulta!$B$3,C913=Consulta!$H$3),B913*10000+ROW(),"")</f>
        <v/>
      </c>
    </row>
    <row r="914" spans="1:15" x14ac:dyDescent="0.25">
      <c r="A914" s="9" t="str">
        <f>IF(Registro!$A914="","",Registro!$A914)</f>
        <v/>
      </c>
      <c r="B914" s="8" t="str">
        <f>IF(Registro!$B914="","",Registro!$B914)</f>
        <v/>
      </c>
      <c r="C914" s="14" t="str">
        <f t="shared" si="42"/>
        <v/>
      </c>
      <c r="D914" s="10" t="str">
        <f>IF(Registro!$E914="","",IF(ISERROR(FIND("x",LOWER(Registro!$E914))),"-",IFERROR(SUMPRODUCT(--("0"&amp;LEFT(TRIM(MID(SUBSTITUTE(SUBSTITUTE(SUBSTITUTE(SUBSTITUTE(SUBSTITUTE(LOWER(Registro!$E914),"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",LEN(Registro!$E914))),({1,2,3,4,5,6,7,8,9,10,11,12,13,14,15,16,17,18,19,20,21,22,23,24,25,26,27,28,29,30}-1)*LEN(Registro!$E914)+1,LEN(Registro!$E914)))&amp;"x")-1))),"Revisar formato")))</f>
        <v/>
      </c>
      <c r="E914" s="11" t="str">
        <f>IF(Registro!$E914="","",IF(ISERROR(FIND("x",LOWER(Registro!$E914))),"-",IFERROR(SUMPRODUCT(--("0"&amp;LEFT(TRIM(MID(SUBSTITUTE(SUBSTITUTE(SUBSTITUTE(SUBSTITUTE(SUBSTITUTE(LOWER(Registro!$E914),"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",LEN(Registro!$E914))),({1,2,3,4,5,6,7,8,9,10,11,12,13,14,15,16,17,18,19,20,21,22,23,24,25,26,27,28,29,30}-1)*LEN(Registro!$E914)+1,LEN(Registro!$E914)))&amp;"x")-1)),--("0"&amp;MID(TRIM(MID(SUBSTITUTE(SUBSTITUTE(SUBSTITUTE(SUBSTITUTE(SUBSTITUTE(LOWER(Registro!$E914),"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",LEN(Registro!$E914))),({1,2,3,4,5,6,7,8,9,10,11,12,13,14,15,16,17,18,19,20,21,22,23,24,25,26,27,28,29,30}-1)*LEN(Registro!$E914)+1,LEN(Registro!$E914)))&amp;"x")+1,20))),"Revisar formato")))</f>
        <v/>
      </c>
      <c r="F914" s="11" t="str">
        <f>IF(Registro!$F914="","",N(Registro!$F914))</f>
        <v/>
      </c>
      <c r="G914" s="11" t="str">
        <f t="shared" si="43"/>
        <v/>
      </c>
      <c r="H914" s="10" t="str">
        <f>IF(Registro!$G914="","",IF(ISERROR(FIND("x",LOWER(Registro!$G914))),"-",IFERROR(SUMPRODUCT(--("0"&amp;LEFT(TRIM(MID(SUBSTITUTE(SUBSTITUTE(SUBSTITUTE(SUBSTITUTE(SUBSTITUTE(LOWER(Registro!$G914),"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",LEN(Registro!$G914))),({1,2,3,4,5,6,7,8,9,10,11,12,13,14,15,16,17,18,19,20,21,22,23,24,25,26,27,28,29,30}-1)*LEN(Registro!$G914)+1,LEN(Registro!$G914))),FIND("x",TRIM(MID(SUBSTITUTE(SUBSTITUTE(SUBSTITUTE(SUBSTITUTE(SUBSTITUTE(LOWER(Registro!$G914),"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",LEN(Registro!$G914))),({1,2,3,4,5,6,7,8,9,10,11,12,13,14,15,16,17,18,19,20,21,22,23,24,25,26,27,28,29,30}-1)*LEN(Registro!$G914)+1,LEN(Registro!$G914)))&amp;"x")-1))),"Revisar formato")))</f>
        <v/>
      </c>
      <c r="I914" s="11" t="str">
        <f>IF(Registro!$G914="","",IF(ISERROR(FIND("x",LOWER(Registro!$G914))),N(Registro!$H914),IFERROR(SUMPRODUCT(--("0"&amp;LEFT(TRIM(MID(SUBSTITUTE(SUBSTITUTE(SUBSTITUTE(SUBSTITUTE(SUBSTITUTE(LOWER(Registro!$G914),"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",LEN(Registro!$G914))),({1,2,3,4,5,6,7,8,9,10,11,12,13,14,15,16,17,18,19,20,21,22,23,24,25,26,27,28,29,30}-1)*LEN(Registro!$G914)+1,LEN(Registro!$G914))),FIND("x",TRIM(MID(SUBSTITUTE(SUBSTITUTE(SUBSTITUTE(SUBSTITUTE(SUBSTITUTE(LOWER(Registro!$G914),"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",LEN(Registro!$G914))),({1,2,3,4,5,6,7,8,9,10,11,12,13,14,15,16,17,18,19,20,21,22,23,24,25,26,27,28,29,30}-1)*LEN(Registro!$G914)+1,LEN(Registro!$G914)))&amp;"x")-1)),--("0"&amp;MID(TRIM(MID(SUBSTITUTE(SUBSTITUTE(SUBSTITUTE(SUBSTITUTE(SUBSTITUTE(LOWER(Registro!$G914),"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",LEN(Registro!$G914))),({1,2,3,4,5,6,7,8,9,10,11,12,13,14,15,16,17,18,19,20,21,22,23,24,25,26,27,28,29,30}-1)*LEN(Registro!$G914)+1,LEN(Registro!$G914))),FIND("x",TRIM(MID(SUBSTITUTE(SUBSTITUTE(SUBSTITUTE(SUBSTITUTE(SUBSTITUTE(LOWER(Registro!$G914),"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",LEN(Registro!$G914))),({1,2,3,4,5,6,7,8,9,10,11,12,13,14,15,16,17,18,19,20,21,22,23,24,25,26,27,28,29,30}-1)*LEN(Registro!$G914)+1,LEN(Registro!$G914)))&amp;"x")+1,20))),"Revisar formato")))</f>
        <v/>
      </c>
      <c r="J914" s="9" t="str">
        <f>IF(AND(Registro!$E914="",Registro!$G914=""),"",IF(NOT(AND(ISNUMBER(I914),ISNUMBER(Registro!$H914))),"",IF(I914&lt;Registro!$H914,"FALTA BOLETOS",IF(I914=Registro!$H914,"CONFORME","DIFERENCIA"))))</f>
        <v/>
      </c>
      <c r="K914" s="11" t="str">
        <f>IF(Registro!$I914="","",IFERROR(SUMPRODUCT(--("0"&amp;TRIM(RIGHT(SUBSTITUTE(TRIM(MID(SUBSTITUTE(SUBSTITUTE(Registro!$I914,";",CHAR(10)),CHAR(10),REPT(" ",LEN(Registro!$I914))),({1,2,3,4,5,6,7,8,9,10,11,12,13,14,15,16,17,18,19,20,21,22,23,24,25,26,27,28,29,30}-1)*LEN(Registro!$I914)+1,LEN(Registro!$I914)))," ",REPT(" ",50)),50)))),"Revisar formato"))</f>
        <v/>
      </c>
      <c r="L914" s="11" t="str">
        <f>IF(Registro!$J914="","",IFERROR(SUMPRODUCT(--("0"&amp;TRIM(RIGHT(SUBSTITUTE(TRIM(MID(SUBSTITUTE(SUBSTITUTE(Registro!$J914,";",CHAR(10)),CHAR(10),REPT(" ",LEN(Registro!$J914))),({1,2,3,4,5,6,7,8,9,10,11,12,13,14,15,16,17,18,19,20,21,22,23,24,25,26,27,28,29,30}-1)*LEN(Registro!$J914)+1,LEN(Registro!$J914)))," ",REPT(" ",50)),50)))),"Revisar formato"))</f>
        <v/>
      </c>
      <c r="M914" s="11" t="str">
        <f>IF(AND(Registro!$H914="",Registro!$I914=""),"",IF(AND(ISTEXT(K914),K914&lt;&gt;""),"Revisar formato",N(Registro!$H914)-N(K914)))</f>
        <v/>
      </c>
      <c r="N914" s="11" t="str">
        <f t="shared" si="44"/>
        <v/>
      </c>
      <c r="O914" s="15" t="str">
        <f>IF(AND(A914=Consulta!$B$3,C914=Consulta!$H$3),B914*10000+ROW(),"")</f>
        <v/>
      </c>
    </row>
    <row r="915" spans="1:15" x14ac:dyDescent="0.25">
      <c r="A915" s="9" t="str">
        <f>IF(Registro!$A915="","",Registro!$A915)</f>
        <v/>
      </c>
      <c r="B915" s="8" t="str">
        <f>IF(Registro!$B915="","",Registro!$B915)</f>
        <v/>
      </c>
      <c r="C915" s="14" t="str">
        <f t="shared" si="42"/>
        <v/>
      </c>
      <c r="D915" s="10" t="str">
        <f>IF(Registro!$E915="","",IF(ISERROR(FIND("x",LOWER(Registro!$E915))),"-",IFERROR(SUMPRODUCT(--("0"&amp;LEFT(TRIM(MID(SUBSTITUTE(SUBSTITUTE(SUBSTITUTE(SUBSTITUTE(SUBSTITUTE(LOWER(Registro!$E915),"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",LEN(Registro!$E915))),({1,2,3,4,5,6,7,8,9,10,11,12,13,14,15,16,17,18,19,20,21,22,23,24,25,26,27,28,29,30}-1)*LEN(Registro!$E915)+1,LEN(Registro!$E915)))&amp;"x")-1))),"Revisar formato")))</f>
        <v/>
      </c>
      <c r="E915" s="11" t="str">
        <f>IF(Registro!$E915="","",IF(ISERROR(FIND("x",LOWER(Registro!$E915))),"-",IFERROR(SUMPRODUCT(--("0"&amp;LEFT(TRIM(MID(SUBSTITUTE(SUBSTITUTE(SUBSTITUTE(SUBSTITUTE(SUBSTITUTE(LOWER(Registro!$E915),"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",LEN(Registro!$E915))),({1,2,3,4,5,6,7,8,9,10,11,12,13,14,15,16,17,18,19,20,21,22,23,24,25,26,27,28,29,30}-1)*LEN(Registro!$E915)+1,LEN(Registro!$E915)))&amp;"x")-1)),--("0"&amp;MID(TRIM(MID(SUBSTITUTE(SUBSTITUTE(SUBSTITUTE(SUBSTITUTE(SUBSTITUTE(LOWER(Registro!$E915),"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",LEN(Registro!$E915))),({1,2,3,4,5,6,7,8,9,10,11,12,13,14,15,16,17,18,19,20,21,22,23,24,25,26,27,28,29,30}-1)*LEN(Registro!$E915)+1,LEN(Registro!$E915)))&amp;"x")+1,20))),"Revisar formato")))</f>
        <v/>
      </c>
      <c r="F915" s="11" t="str">
        <f>IF(Registro!$F915="","",N(Registro!$F915))</f>
        <v/>
      </c>
      <c r="G915" s="11" t="str">
        <f t="shared" si="43"/>
        <v/>
      </c>
      <c r="H915" s="10" t="str">
        <f>IF(Registro!$G915="","",IF(ISERROR(FIND("x",LOWER(Registro!$G915))),"-",IFERROR(SUMPRODUCT(--("0"&amp;LEFT(TRIM(MID(SUBSTITUTE(SUBSTITUTE(SUBSTITUTE(SUBSTITUTE(SUBSTITUTE(LOWER(Registro!$G915),"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",LEN(Registro!$G915))),({1,2,3,4,5,6,7,8,9,10,11,12,13,14,15,16,17,18,19,20,21,22,23,24,25,26,27,28,29,30}-1)*LEN(Registro!$G915)+1,LEN(Registro!$G915))),FIND("x",TRIM(MID(SUBSTITUTE(SUBSTITUTE(SUBSTITUTE(SUBSTITUTE(SUBSTITUTE(LOWER(Registro!$G915),"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",LEN(Registro!$G915))),({1,2,3,4,5,6,7,8,9,10,11,12,13,14,15,16,17,18,19,20,21,22,23,24,25,26,27,28,29,30}-1)*LEN(Registro!$G915)+1,LEN(Registro!$G915)))&amp;"x")-1))),"Revisar formato")))</f>
        <v/>
      </c>
      <c r="I915" s="11" t="str">
        <f>IF(Registro!$G915="","",IF(ISERROR(FIND("x",LOWER(Registro!$G915))),N(Registro!$H915),IFERROR(SUMPRODUCT(--("0"&amp;LEFT(TRIM(MID(SUBSTITUTE(SUBSTITUTE(SUBSTITUTE(SUBSTITUTE(SUBSTITUTE(LOWER(Registro!$G915),"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",LEN(Registro!$G915))),({1,2,3,4,5,6,7,8,9,10,11,12,13,14,15,16,17,18,19,20,21,22,23,24,25,26,27,28,29,30}-1)*LEN(Registro!$G915)+1,LEN(Registro!$G915))),FIND("x",TRIM(MID(SUBSTITUTE(SUBSTITUTE(SUBSTITUTE(SUBSTITUTE(SUBSTITUTE(LOWER(Registro!$G915),"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",LEN(Registro!$G915))),({1,2,3,4,5,6,7,8,9,10,11,12,13,14,15,16,17,18,19,20,21,22,23,24,25,26,27,28,29,30}-1)*LEN(Registro!$G915)+1,LEN(Registro!$G915)))&amp;"x")-1)),--("0"&amp;MID(TRIM(MID(SUBSTITUTE(SUBSTITUTE(SUBSTITUTE(SUBSTITUTE(SUBSTITUTE(LOWER(Registro!$G915),"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",LEN(Registro!$G915))),({1,2,3,4,5,6,7,8,9,10,11,12,13,14,15,16,17,18,19,20,21,22,23,24,25,26,27,28,29,30}-1)*LEN(Registro!$G915)+1,LEN(Registro!$G915))),FIND("x",TRIM(MID(SUBSTITUTE(SUBSTITUTE(SUBSTITUTE(SUBSTITUTE(SUBSTITUTE(LOWER(Registro!$G915),"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",LEN(Registro!$G915))),({1,2,3,4,5,6,7,8,9,10,11,12,13,14,15,16,17,18,19,20,21,22,23,24,25,26,27,28,29,30}-1)*LEN(Registro!$G915)+1,LEN(Registro!$G915)))&amp;"x")+1,20))),"Revisar formato")))</f>
        <v/>
      </c>
      <c r="J915" s="9" t="str">
        <f>IF(AND(Registro!$E915="",Registro!$G915=""),"",IF(NOT(AND(ISNUMBER(I915),ISNUMBER(Registro!$H915))),"",IF(I915&lt;Registro!$H915,"FALTA BOLETOS",IF(I915=Registro!$H915,"CONFORME","DIFERENCIA"))))</f>
        <v/>
      </c>
      <c r="K915" s="11" t="str">
        <f>IF(Registro!$I915="","",IFERROR(SUMPRODUCT(--("0"&amp;TRIM(RIGHT(SUBSTITUTE(TRIM(MID(SUBSTITUTE(SUBSTITUTE(Registro!$I915,";",CHAR(10)),CHAR(10),REPT(" ",LEN(Registro!$I915))),({1,2,3,4,5,6,7,8,9,10,11,12,13,14,15,16,17,18,19,20,21,22,23,24,25,26,27,28,29,30}-1)*LEN(Registro!$I915)+1,LEN(Registro!$I915)))," ",REPT(" ",50)),50)))),"Revisar formato"))</f>
        <v/>
      </c>
      <c r="L915" s="11" t="str">
        <f>IF(Registro!$J915="","",IFERROR(SUMPRODUCT(--("0"&amp;TRIM(RIGHT(SUBSTITUTE(TRIM(MID(SUBSTITUTE(SUBSTITUTE(Registro!$J915,";",CHAR(10)),CHAR(10),REPT(" ",LEN(Registro!$J915))),({1,2,3,4,5,6,7,8,9,10,11,12,13,14,15,16,17,18,19,20,21,22,23,24,25,26,27,28,29,30}-1)*LEN(Registro!$J915)+1,LEN(Registro!$J915)))," ",REPT(" ",50)),50)))),"Revisar formato"))</f>
        <v/>
      </c>
      <c r="M915" s="11" t="str">
        <f>IF(AND(Registro!$H915="",Registro!$I915=""),"",IF(AND(ISTEXT(K915),K915&lt;&gt;""),"Revisar formato",N(Registro!$H915)-N(K915)))</f>
        <v/>
      </c>
      <c r="N915" s="11" t="str">
        <f t="shared" si="44"/>
        <v/>
      </c>
      <c r="O915" s="15" t="str">
        <f>IF(AND(A915=Consulta!$B$3,C915=Consulta!$H$3),B915*10000+ROW(),"")</f>
        <v/>
      </c>
    </row>
    <row r="916" spans="1:15" x14ac:dyDescent="0.25">
      <c r="A916" s="9" t="str">
        <f>IF(Registro!$A916="","",Registro!$A916)</f>
        <v/>
      </c>
      <c r="B916" s="8" t="str">
        <f>IF(Registro!$B916="","",Registro!$B916)</f>
        <v/>
      </c>
      <c r="C916" s="14" t="str">
        <f t="shared" si="42"/>
        <v/>
      </c>
      <c r="D916" s="10" t="str">
        <f>IF(Registro!$E916="","",IF(ISERROR(FIND("x",LOWER(Registro!$E916))),"-",IFERROR(SUMPRODUCT(--("0"&amp;LEFT(TRIM(MID(SUBSTITUTE(SUBSTITUTE(SUBSTITUTE(SUBSTITUTE(SUBSTITUTE(LOWER(Registro!$E916),"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",LEN(Registro!$E916))),({1,2,3,4,5,6,7,8,9,10,11,12,13,14,15,16,17,18,19,20,21,22,23,24,25,26,27,28,29,30}-1)*LEN(Registro!$E916)+1,LEN(Registro!$E916)))&amp;"x")-1))),"Revisar formato")))</f>
        <v/>
      </c>
      <c r="E916" s="11" t="str">
        <f>IF(Registro!$E916="","",IF(ISERROR(FIND("x",LOWER(Registro!$E916))),"-",IFERROR(SUMPRODUCT(--("0"&amp;LEFT(TRIM(MID(SUBSTITUTE(SUBSTITUTE(SUBSTITUTE(SUBSTITUTE(SUBSTITUTE(LOWER(Registro!$E916),"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",LEN(Registro!$E916))),({1,2,3,4,5,6,7,8,9,10,11,12,13,14,15,16,17,18,19,20,21,22,23,24,25,26,27,28,29,30}-1)*LEN(Registro!$E916)+1,LEN(Registro!$E916)))&amp;"x")-1)),--("0"&amp;MID(TRIM(MID(SUBSTITUTE(SUBSTITUTE(SUBSTITUTE(SUBSTITUTE(SUBSTITUTE(LOWER(Registro!$E916),"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",LEN(Registro!$E916))),({1,2,3,4,5,6,7,8,9,10,11,12,13,14,15,16,17,18,19,20,21,22,23,24,25,26,27,28,29,30}-1)*LEN(Registro!$E916)+1,LEN(Registro!$E916)))&amp;"x")+1,20))),"Revisar formato")))</f>
        <v/>
      </c>
      <c r="F916" s="11" t="str">
        <f>IF(Registro!$F916="","",N(Registro!$F916))</f>
        <v/>
      </c>
      <c r="G916" s="11" t="str">
        <f t="shared" si="43"/>
        <v/>
      </c>
      <c r="H916" s="10" t="str">
        <f>IF(Registro!$G916="","",IF(ISERROR(FIND("x",LOWER(Registro!$G916))),"-",IFERROR(SUMPRODUCT(--("0"&amp;LEFT(TRIM(MID(SUBSTITUTE(SUBSTITUTE(SUBSTITUTE(SUBSTITUTE(SUBSTITUTE(LOWER(Registro!$G916),"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",LEN(Registro!$G916))),({1,2,3,4,5,6,7,8,9,10,11,12,13,14,15,16,17,18,19,20,21,22,23,24,25,26,27,28,29,30}-1)*LEN(Registro!$G916)+1,LEN(Registro!$G916))),FIND("x",TRIM(MID(SUBSTITUTE(SUBSTITUTE(SUBSTITUTE(SUBSTITUTE(SUBSTITUTE(LOWER(Registro!$G916),"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",LEN(Registro!$G916))),({1,2,3,4,5,6,7,8,9,10,11,12,13,14,15,16,17,18,19,20,21,22,23,24,25,26,27,28,29,30}-1)*LEN(Registro!$G916)+1,LEN(Registro!$G916)))&amp;"x")-1))),"Revisar formato")))</f>
        <v/>
      </c>
      <c r="I916" s="11" t="str">
        <f>IF(Registro!$G916="","",IF(ISERROR(FIND("x",LOWER(Registro!$G916))),N(Registro!$H916),IFERROR(SUMPRODUCT(--("0"&amp;LEFT(TRIM(MID(SUBSTITUTE(SUBSTITUTE(SUBSTITUTE(SUBSTITUTE(SUBSTITUTE(LOWER(Registro!$G916),"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",LEN(Registro!$G916))),({1,2,3,4,5,6,7,8,9,10,11,12,13,14,15,16,17,18,19,20,21,22,23,24,25,26,27,28,29,30}-1)*LEN(Registro!$G916)+1,LEN(Registro!$G916))),FIND("x",TRIM(MID(SUBSTITUTE(SUBSTITUTE(SUBSTITUTE(SUBSTITUTE(SUBSTITUTE(LOWER(Registro!$G916),"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",LEN(Registro!$G916))),({1,2,3,4,5,6,7,8,9,10,11,12,13,14,15,16,17,18,19,20,21,22,23,24,25,26,27,28,29,30}-1)*LEN(Registro!$G916)+1,LEN(Registro!$G916)))&amp;"x")-1)),--("0"&amp;MID(TRIM(MID(SUBSTITUTE(SUBSTITUTE(SUBSTITUTE(SUBSTITUTE(SUBSTITUTE(LOWER(Registro!$G916),"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",LEN(Registro!$G916))),({1,2,3,4,5,6,7,8,9,10,11,12,13,14,15,16,17,18,19,20,21,22,23,24,25,26,27,28,29,30}-1)*LEN(Registro!$G916)+1,LEN(Registro!$G916))),FIND("x",TRIM(MID(SUBSTITUTE(SUBSTITUTE(SUBSTITUTE(SUBSTITUTE(SUBSTITUTE(LOWER(Registro!$G916),"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",LEN(Registro!$G916))),({1,2,3,4,5,6,7,8,9,10,11,12,13,14,15,16,17,18,19,20,21,22,23,24,25,26,27,28,29,30}-1)*LEN(Registro!$G916)+1,LEN(Registro!$G916)))&amp;"x")+1,20))),"Revisar formato")))</f>
        <v/>
      </c>
      <c r="J916" s="9" t="str">
        <f>IF(AND(Registro!$E916="",Registro!$G916=""),"",IF(NOT(AND(ISNUMBER(I916),ISNUMBER(Registro!$H916))),"",IF(I916&lt;Registro!$H916,"FALTA BOLETOS",IF(I916=Registro!$H916,"CONFORME","DIFERENCIA"))))</f>
        <v/>
      </c>
      <c r="K916" s="11" t="str">
        <f>IF(Registro!$I916="","",IFERROR(SUMPRODUCT(--("0"&amp;TRIM(RIGHT(SUBSTITUTE(TRIM(MID(SUBSTITUTE(SUBSTITUTE(Registro!$I916,";",CHAR(10)),CHAR(10),REPT(" ",LEN(Registro!$I916))),({1,2,3,4,5,6,7,8,9,10,11,12,13,14,15,16,17,18,19,20,21,22,23,24,25,26,27,28,29,30}-1)*LEN(Registro!$I916)+1,LEN(Registro!$I916)))," ",REPT(" ",50)),50)))),"Revisar formato"))</f>
        <v/>
      </c>
      <c r="L916" s="11" t="str">
        <f>IF(Registro!$J916="","",IFERROR(SUMPRODUCT(--("0"&amp;TRIM(RIGHT(SUBSTITUTE(TRIM(MID(SUBSTITUTE(SUBSTITUTE(Registro!$J916,";",CHAR(10)),CHAR(10),REPT(" ",LEN(Registro!$J916))),({1,2,3,4,5,6,7,8,9,10,11,12,13,14,15,16,17,18,19,20,21,22,23,24,25,26,27,28,29,30}-1)*LEN(Registro!$J916)+1,LEN(Registro!$J916)))," ",REPT(" ",50)),50)))),"Revisar formato"))</f>
        <v/>
      </c>
      <c r="M916" s="11" t="str">
        <f>IF(AND(Registro!$H916="",Registro!$I916=""),"",IF(AND(ISTEXT(K916),K916&lt;&gt;""),"Revisar formato",N(Registro!$H916)-N(K916)))</f>
        <v/>
      </c>
      <c r="N916" s="11" t="str">
        <f t="shared" si="44"/>
        <v/>
      </c>
      <c r="O916" s="15" t="str">
        <f>IF(AND(A916=Consulta!$B$3,C916=Consulta!$H$3),B916*10000+ROW(),"")</f>
        <v/>
      </c>
    </row>
    <row r="917" spans="1:15" x14ac:dyDescent="0.25">
      <c r="A917" s="9" t="str">
        <f>IF(Registro!$A917="","",Registro!$A917)</f>
        <v/>
      </c>
      <c r="B917" s="8" t="str">
        <f>IF(Registro!$B917="","",Registro!$B917)</f>
        <v/>
      </c>
      <c r="C917" s="14" t="str">
        <f t="shared" si="42"/>
        <v/>
      </c>
      <c r="D917" s="10" t="str">
        <f>IF(Registro!$E917="","",IF(ISERROR(FIND("x",LOWER(Registro!$E917))),"-",IFERROR(SUMPRODUCT(--("0"&amp;LEFT(TRIM(MID(SUBSTITUTE(SUBSTITUTE(SUBSTITUTE(SUBSTITUTE(SUBSTITUTE(LOWER(Registro!$E917),"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",LEN(Registro!$E917))),({1,2,3,4,5,6,7,8,9,10,11,12,13,14,15,16,17,18,19,20,21,22,23,24,25,26,27,28,29,30}-1)*LEN(Registro!$E917)+1,LEN(Registro!$E917)))&amp;"x")-1))),"Revisar formato")))</f>
        <v/>
      </c>
      <c r="E917" s="11" t="str">
        <f>IF(Registro!$E917="","",IF(ISERROR(FIND("x",LOWER(Registro!$E917))),"-",IFERROR(SUMPRODUCT(--("0"&amp;LEFT(TRIM(MID(SUBSTITUTE(SUBSTITUTE(SUBSTITUTE(SUBSTITUTE(SUBSTITUTE(LOWER(Registro!$E917),"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",LEN(Registro!$E917))),({1,2,3,4,5,6,7,8,9,10,11,12,13,14,15,16,17,18,19,20,21,22,23,24,25,26,27,28,29,30}-1)*LEN(Registro!$E917)+1,LEN(Registro!$E917)))&amp;"x")-1)),--("0"&amp;MID(TRIM(MID(SUBSTITUTE(SUBSTITUTE(SUBSTITUTE(SUBSTITUTE(SUBSTITUTE(LOWER(Registro!$E917),"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",LEN(Registro!$E917))),({1,2,3,4,5,6,7,8,9,10,11,12,13,14,15,16,17,18,19,20,21,22,23,24,25,26,27,28,29,30}-1)*LEN(Registro!$E917)+1,LEN(Registro!$E917)))&amp;"x")+1,20))),"Revisar formato")))</f>
        <v/>
      </c>
      <c r="F917" s="11" t="str">
        <f>IF(Registro!$F917="","",N(Registro!$F917))</f>
        <v/>
      </c>
      <c r="G917" s="11" t="str">
        <f t="shared" si="43"/>
        <v/>
      </c>
      <c r="H917" s="10" t="str">
        <f>IF(Registro!$G917="","",IF(ISERROR(FIND("x",LOWER(Registro!$G917))),"-",IFERROR(SUMPRODUCT(--("0"&amp;LEFT(TRIM(MID(SUBSTITUTE(SUBSTITUTE(SUBSTITUTE(SUBSTITUTE(SUBSTITUTE(LOWER(Registro!$G917),"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",LEN(Registro!$G917))),({1,2,3,4,5,6,7,8,9,10,11,12,13,14,15,16,17,18,19,20,21,22,23,24,25,26,27,28,29,30}-1)*LEN(Registro!$G917)+1,LEN(Registro!$G917))),FIND("x",TRIM(MID(SUBSTITUTE(SUBSTITUTE(SUBSTITUTE(SUBSTITUTE(SUBSTITUTE(LOWER(Registro!$G917),"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",LEN(Registro!$G917))),({1,2,3,4,5,6,7,8,9,10,11,12,13,14,15,16,17,18,19,20,21,22,23,24,25,26,27,28,29,30}-1)*LEN(Registro!$G917)+1,LEN(Registro!$G917)))&amp;"x")-1))),"Revisar formato")))</f>
        <v/>
      </c>
      <c r="I917" s="11" t="str">
        <f>IF(Registro!$G917="","",IF(ISERROR(FIND("x",LOWER(Registro!$G917))),N(Registro!$H917),IFERROR(SUMPRODUCT(--("0"&amp;LEFT(TRIM(MID(SUBSTITUTE(SUBSTITUTE(SUBSTITUTE(SUBSTITUTE(SUBSTITUTE(LOWER(Registro!$G917),"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",LEN(Registro!$G917))),({1,2,3,4,5,6,7,8,9,10,11,12,13,14,15,16,17,18,19,20,21,22,23,24,25,26,27,28,29,30}-1)*LEN(Registro!$G917)+1,LEN(Registro!$G917))),FIND("x",TRIM(MID(SUBSTITUTE(SUBSTITUTE(SUBSTITUTE(SUBSTITUTE(SUBSTITUTE(LOWER(Registro!$G917),"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",LEN(Registro!$G917))),({1,2,3,4,5,6,7,8,9,10,11,12,13,14,15,16,17,18,19,20,21,22,23,24,25,26,27,28,29,30}-1)*LEN(Registro!$G917)+1,LEN(Registro!$G917)))&amp;"x")-1)),--("0"&amp;MID(TRIM(MID(SUBSTITUTE(SUBSTITUTE(SUBSTITUTE(SUBSTITUTE(SUBSTITUTE(LOWER(Registro!$G917),"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",LEN(Registro!$G917))),({1,2,3,4,5,6,7,8,9,10,11,12,13,14,15,16,17,18,19,20,21,22,23,24,25,26,27,28,29,30}-1)*LEN(Registro!$G917)+1,LEN(Registro!$G917))),FIND("x",TRIM(MID(SUBSTITUTE(SUBSTITUTE(SUBSTITUTE(SUBSTITUTE(SUBSTITUTE(LOWER(Registro!$G917),"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",LEN(Registro!$G917))),({1,2,3,4,5,6,7,8,9,10,11,12,13,14,15,16,17,18,19,20,21,22,23,24,25,26,27,28,29,30}-1)*LEN(Registro!$G917)+1,LEN(Registro!$G917)))&amp;"x")+1,20))),"Revisar formato")))</f>
        <v/>
      </c>
      <c r="J917" s="9" t="str">
        <f>IF(AND(Registro!$E917="",Registro!$G917=""),"",IF(NOT(AND(ISNUMBER(I917),ISNUMBER(Registro!$H917))),"",IF(I917&lt;Registro!$H917,"FALTA BOLETOS",IF(I917=Registro!$H917,"CONFORME","DIFERENCIA"))))</f>
        <v/>
      </c>
      <c r="K917" s="11" t="str">
        <f>IF(Registro!$I917="","",IFERROR(SUMPRODUCT(--("0"&amp;TRIM(RIGHT(SUBSTITUTE(TRIM(MID(SUBSTITUTE(SUBSTITUTE(Registro!$I917,";",CHAR(10)),CHAR(10),REPT(" ",LEN(Registro!$I917))),({1,2,3,4,5,6,7,8,9,10,11,12,13,14,15,16,17,18,19,20,21,22,23,24,25,26,27,28,29,30}-1)*LEN(Registro!$I917)+1,LEN(Registro!$I917)))," ",REPT(" ",50)),50)))),"Revisar formato"))</f>
        <v/>
      </c>
      <c r="L917" s="11" t="str">
        <f>IF(Registro!$J917="","",IFERROR(SUMPRODUCT(--("0"&amp;TRIM(RIGHT(SUBSTITUTE(TRIM(MID(SUBSTITUTE(SUBSTITUTE(Registro!$J917,";",CHAR(10)),CHAR(10),REPT(" ",LEN(Registro!$J917))),({1,2,3,4,5,6,7,8,9,10,11,12,13,14,15,16,17,18,19,20,21,22,23,24,25,26,27,28,29,30}-1)*LEN(Registro!$J917)+1,LEN(Registro!$J917)))," ",REPT(" ",50)),50)))),"Revisar formato"))</f>
        <v/>
      </c>
      <c r="M917" s="11" t="str">
        <f>IF(AND(Registro!$H917="",Registro!$I917=""),"",IF(AND(ISTEXT(K917),K917&lt;&gt;""),"Revisar formato",N(Registro!$H917)-N(K917)))</f>
        <v/>
      </c>
      <c r="N917" s="11" t="str">
        <f t="shared" si="44"/>
        <v/>
      </c>
      <c r="O917" s="15" t="str">
        <f>IF(AND(A917=Consulta!$B$3,C917=Consulta!$H$3),B917*10000+ROW(),"")</f>
        <v/>
      </c>
    </row>
    <row r="918" spans="1:15" x14ac:dyDescent="0.25">
      <c r="A918" s="9" t="str">
        <f>IF(Registro!$A918="","",Registro!$A918)</f>
        <v/>
      </c>
      <c r="B918" s="8" t="str">
        <f>IF(Registro!$B918="","",Registro!$B918)</f>
        <v/>
      </c>
      <c r="C918" s="14" t="str">
        <f t="shared" si="42"/>
        <v/>
      </c>
      <c r="D918" s="10" t="str">
        <f>IF(Registro!$E918="","",IF(ISERROR(FIND("x",LOWER(Registro!$E918))),"-",IFERROR(SUMPRODUCT(--("0"&amp;LEFT(TRIM(MID(SUBSTITUTE(SUBSTITUTE(SUBSTITUTE(SUBSTITUTE(SUBSTITUTE(LOWER(Registro!$E918),"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",LEN(Registro!$E918))),({1,2,3,4,5,6,7,8,9,10,11,12,13,14,15,16,17,18,19,20,21,22,23,24,25,26,27,28,29,30}-1)*LEN(Registro!$E918)+1,LEN(Registro!$E918)))&amp;"x")-1))),"Revisar formato")))</f>
        <v/>
      </c>
      <c r="E918" s="11" t="str">
        <f>IF(Registro!$E918="","",IF(ISERROR(FIND("x",LOWER(Registro!$E918))),"-",IFERROR(SUMPRODUCT(--("0"&amp;LEFT(TRIM(MID(SUBSTITUTE(SUBSTITUTE(SUBSTITUTE(SUBSTITUTE(SUBSTITUTE(LOWER(Registro!$E918),"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",LEN(Registro!$E918))),({1,2,3,4,5,6,7,8,9,10,11,12,13,14,15,16,17,18,19,20,21,22,23,24,25,26,27,28,29,30}-1)*LEN(Registro!$E918)+1,LEN(Registro!$E918)))&amp;"x")-1)),--("0"&amp;MID(TRIM(MID(SUBSTITUTE(SUBSTITUTE(SUBSTITUTE(SUBSTITUTE(SUBSTITUTE(LOWER(Registro!$E918),"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",LEN(Registro!$E918))),({1,2,3,4,5,6,7,8,9,10,11,12,13,14,15,16,17,18,19,20,21,22,23,24,25,26,27,28,29,30}-1)*LEN(Registro!$E918)+1,LEN(Registro!$E918)))&amp;"x")+1,20))),"Revisar formato")))</f>
        <v/>
      </c>
      <c r="F918" s="11" t="str">
        <f>IF(Registro!$F918="","",N(Registro!$F918))</f>
        <v/>
      </c>
      <c r="G918" s="11" t="str">
        <f t="shared" si="43"/>
        <v/>
      </c>
      <c r="H918" s="10" t="str">
        <f>IF(Registro!$G918="","",IF(ISERROR(FIND("x",LOWER(Registro!$G918))),"-",IFERROR(SUMPRODUCT(--("0"&amp;LEFT(TRIM(MID(SUBSTITUTE(SUBSTITUTE(SUBSTITUTE(SUBSTITUTE(SUBSTITUTE(LOWER(Registro!$G918),"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",LEN(Registro!$G918))),({1,2,3,4,5,6,7,8,9,10,11,12,13,14,15,16,17,18,19,20,21,22,23,24,25,26,27,28,29,30}-1)*LEN(Registro!$G918)+1,LEN(Registro!$G918))),FIND("x",TRIM(MID(SUBSTITUTE(SUBSTITUTE(SUBSTITUTE(SUBSTITUTE(SUBSTITUTE(LOWER(Registro!$G918),"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",LEN(Registro!$G918))),({1,2,3,4,5,6,7,8,9,10,11,12,13,14,15,16,17,18,19,20,21,22,23,24,25,26,27,28,29,30}-1)*LEN(Registro!$G918)+1,LEN(Registro!$G918)))&amp;"x")-1))),"Revisar formato")))</f>
        <v/>
      </c>
      <c r="I918" s="11" t="str">
        <f>IF(Registro!$G918="","",IF(ISERROR(FIND("x",LOWER(Registro!$G918))),N(Registro!$H918),IFERROR(SUMPRODUCT(--("0"&amp;LEFT(TRIM(MID(SUBSTITUTE(SUBSTITUTE(SUBSTITUTE(SUBSTITUTE(SUBSTITUTE(LOWER(Registro!$G918),"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",LEN(Registro!$G918))),({1,2,3,4,5,6,7,8,9,10,11,12,13,14,15,16,17,18,19,20,21,22,23,24,25,26,27,28,29,30}-1)*LEN(Registro!$G918)+1,LEN(Registro!$G918))),FIND("x",TRIM(MID(SUBSTITUTE(SUBSTITUTE(SUBSTITUTE(SUBSTITUTE(SUBSTITUTE(LOWER(Registro!$G918),"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",LEN(Registro!$G918))),({1,2,3,4,5,6,7,8,9,10,11,12,13,14,15,16,17,18,19,20,21,22,23,24,25,26,27,28,29,30}-1)*LEN(Registro!$G918)+1,LEN(Registro!$G918)))&amp;"x")-1)),--("0"&amp;MID(TRIM(MID(SUBSTITUTE(SUBSTITUTE(SUBSTITUTE(SUBSTITUTE(SUBSTITUTE(LOWER(Registro!$G918),"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",LEN(Registro!$G918))),({1,2,3,4,5,6,7,8,9,10,11,12,13,14,15,16,17,18,19,20,21,22,23,24,25,26,27,28,29,30}-1)*LEN(Registro!$G918)+1,LEN(Registro!$G918))),FIND("x",TRIM(MID(SUBSTITUTE(SUBSTITUTE(SUBSTITUTE(SUBSTITUTE(SUBSTITUTE(LOWER(Registro!$G918),"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",LEN(Registro!$G918))),({1,2,3,4,5,6,7,8,9,10,11,12,13,14,15,16,17,18,19,20,21,22,23,24,25,26,27,28,29,30}-1)*LEN(Registro!$G918)+1,LEN(Registro!$G918)))&amp;"x")+1,20))),"Revisar formato")))</f>
        <v/>
      </c>
      <c r="J918" s="9" t="str">
        <f>IF(AND(Registro!$E918="",Registro!$G918=""),"",IF(NOT(AND(ISNUMBER(I918),ISNUMBER(Registro!$H918))),"",IF(I918&lt;Registro!$H918,"FALTA BOLETOS",IF(I918=Registro!$H918,"CONFORME","DIFERENCIA"))))</f>
        <v/>
      </c>
      <c r="K918" s="11" t="str">
        <f>IF(Registro!$I918="","",IFERROR(SUMPRODUCT(--("0"&amp;TRIM(RIGHT(SUBSTITUTE(TRIM(MID(SUBSTITUTE(SUBSTITUTE(Registro!$I918,";",CHAR(10)),CHAR(10),REPT(" ",LEN(Registro!$I918))),({1,2,3,4,5,6,7,8,9,10,11,12,13,14,15,16,17,18,19,20,21,22,23,24,25,26,27,28,29,30}-1)*LEN(Registro!$I918)+1,LEN(Registro!$I918)))," ",REPT(" ",50)),50)))),"Revisar formato"))</f>
        <v/>
      </c>
      <c r="L918" s="11" t="str">
        <f>IF(Registro!$J918="","",IFERROR(SUMPRODUCT(--("0"&amp;TRIM(RIGHT(SUBSTITUTE(TRIM(MID(SUBSTITUTE(SUBSTITUTE(Registro!$J918,";",CHAR(10)),CHAR(10),REPT(" ",LEN(Registro!$J918))),({1,2,3,4,5,6,7,8,9,10,11,12,13,14,15,16,17,18,19,20,21,22,23,24,25,26,27,28,29,30}-1)*LEN(Registro!$J918)+1,LEN(Registro!$J918)))," ",REPT(" ",50)),50)))),"Revisar formato"))</f>
        <v/>
      </c>
      <c r="M918" s="11" t="str">
        <f>IF(AND(Registro!$H918="",Registro!$I918=""),"",IF(AND(ISTEXT(K918),K918&lt;&gt;""),"Revisar formato",N(Registro!$H918)-N(K918)))</f>
        <v/>
      </c>
      <c r="N918" s="11" t="str">
        <f t="shared" si="44"/>
        <v/>
      </c>
      <c r="O918" s="15" t="str">
        <f>IF(AND(A918=Consulta!$B$3,C918=Consulta!$H$3),B918*10000+ROW(),"")</f>
        <v/>
      </c>
    </row>
    <row r="919" spans="1:15" x14ac:dyDescent="0.25">
      <c r="A919" s="9" t="str">
        <f>IF(Registro!$A919="","",Registro!$A919)</f>
        <v/>
      </c>
      <c r="B919" s="8" t="str">
        <f>IF(Registro!$B919="","",Registro!$B919)</f>
        <v/>
      </c>
      <c r="C919" s="14" t="str">
        <f t="shared" si="42"/>
        <v/>
      </c>
      <c r="D919" s="10" t="str">
        <f>IF(Registro!$E919="","",IF(ISERROR(FIND("x",LOWER(Registro!$E919))),"-",IFERROR(SUMPRODUCT(--("0"&amp;LEFT(TRIM(MID(SUBSTITUTE(SUBSTITUTE(SUBSTITUTE(SUBSTITUTE(SUBSTITUTE(LOWER(Registro!$E919),"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",LEN(Registro!$E919))),({1,2,3,4,5,6,7,8,9,10,11,12,13,14,15,16,17,18,19,20,21,22,23,24,25,26,27,28,29,30}-1)*LEN(Registro!$E919)+1,LEN(Registro!$E919)))&amp;"x")-1))),"Revisar formato")))</f>
        <v/>
      </c>
      <c r="E919" s="11" t="str">
        <f>IF(Registro!$E919="","",IF(ISERROR(FIND("x",LOWER(Registro!$E919))),"-",IFERROR(SUMPRODUCT(--("0"&amp;LEFT(TRIM(MID(SUBSTITUTE(SUBSTITUTE(SUBSTITUTE(SUBSTITUTE(SUBSTITUTE(LOWER(Registro!$E919),"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",LEN(Registro!$E919))),({1,2,3,4,5,6,7,8,9,10,11,12,13,14,15,16,17,18,19,20,21,22,23,24,25,26,27,28,29,30}-1)*LEN(Registro!$E919)+1,LEN(Registro!$E919)))&amp;"x")-1)),--("0"&amp;MID(TRIM(MID(SUBSTITUTE(SUBSTITUTE(SUBSTITUTE(SUBSTITUTE(SUBSTITUTE(LOWER(Registro!$E919),"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",LEN(Registro!$E919))),({1,2,3,4,5,6,7,8,9,10,11,12,13,14,15,16,17,18,19,20,21,22,23,24,25,26,27,28,29,30}-1)*LEN(Registro!$E919)+1,LEN(Registro!$E919)))&amp;"x")+1,20))),"Revisar formato")))</f>
        <v/>
      </c>
      <c r="F919" s="11" t="str">
        <f>IF(Registro!$F919="","",N(Registro!$F919))</f>
        <v/>
      </c>
      <c r="G919" s="11" t="str">
        <f t="shared" si="43"/>
        <v/>
      </c>
      <c r="H919" s="10" t="str">
        <f>IF(Registro!$G919="","",IF(ISERROR(FIND("x",LOWER(Registro!$G919))),"-",IFERROR(SUMPRODUCT(--("0"&amp;LEFT(TRIM(MID(SUBSTITUTE(SUBSTITUTE(SUBSTITUTE(SUBSTITUTE(SUBSTITUTE(LOWER(Registro!$G919),"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",LEN(Registro!$G919))),({1,2,3,4,5,6,7,8,9,10,11,12,13,14,15,16,17,18,19,20,21,22,23,24,25,26,27,28,29,30}-1)*LEN(Registro!$G919)+1,LEN(Registro!$G919))),FIND("x",TRIM(MID(SUBSTITUTE(SUBSTITUTE(SUBSTITUTE(SUBSTITUTE(SUBSTITUTE(LOWER(Registro!$G919),"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",LEN(Registro!$G919))),({1,2,3,4,5,6,7,8,9,10,11,12,13,14,15,16,17,18,19,20,21,22,23,24,25,26,27,28,29,30}-1)*LEN(Registro!$G919)+1,LEN(Registro!$G919)))&amp;"x")-1))),"Revisar formato")))</f>
        <v/>
      </c>
      <c r="I919" s="11" t="str">
        <f>IF(Registro!$G919="","",IF(ISERROR(FIND("x",LOWER(Registro!$G919))),N(Registro!$H919),IFERROR(SUMPRODUCT(--("0"&amp;LEFT(TRIM(MID(SUBSTITUTE(SUBSTITUTE(SUBSTITUTE(SUBSTITUTE(SUBSTITUTE(LOWER(Registro!$G919),"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",LEN(Registro!$G919))),({1,2,3,4,5,6,7,8,9,10,11,12,13,14,15,16,17,18,19,20,21,22,23,24,25,26,27,28,29,30}-1)*LEN(Registro!$G919)+1,LEN(Registro!$G919))),FIND("x",TRIM(MID(SUBSTITUTE(SUBSTITUTE(SUBSTITUTE(SUBSTITUTE(SUBSTITUTE(LOWER(Registro!$G919),"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",LEN(Registro!$G919))),({1,2,3,4,5,6,7,8,9,10,11,12,13,14,15,16,17,18,19,20,21,22,23,24,25,26,27,28,29,30}-1)*LEN(Registro!$G919)+1,LEN(Registro!$G919)))&amp;"x")-1)),--("0"&amp;MID(TRIM(MID(SUBSTITUTE(SUBSTITUTE(SUBSTITUTE(SUBSTITUTE(SUBSTITUTE(LOWER(Registro!$G919),"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",LEN(Registro!$G919))),({1,2,3,4,5,6,7,8,9,10,11,12,13,14,15,16,17,18,19,20,21,22,23,24,25,26,27,28,29,30}-1)*LEN(Registro!$G919)+1,LEN(Registro!$G919))),FIND("x",TRIM(MID(SUBSTITUTE(SUBSTITUTE(SUBSTITUTE(SUBSTITUTE(SUBSTITUTE(LOWER(Registro!$G919),"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",LEN(Registro!$G919))),({1,2,3,4,5,6,7,8,9,10,11,12,13,14,15,16,17,18,19,20,21,22,23,24,25,26,27,28,29,30}-1)*LEN(Registro!$G919)+1,LEN(Registro!$G919)))&amp;"x")+1,20))),"Revisar formato")))</f>
        <v/>
      </c>
      <c r="J919" s="9" t="str">
        <f>IF(AND(Registro!$E919="",Registro!$G919=""),"",IF(NOT(AND(ISNUMBER(I919),ISNUMBER(Registro!$H919))),"",IF(I919&lt;Registro!$H919,"FALTA BOLETOS",IF(I919=Registro!$H919,"CONFORME","DIFERENCIA"))))</f>
        <v/>
      </c>
      <c r="K919" s="11" t="str">
        <f>IF(Registro!$I919="","",IFERROR(SUMPRODUCT(--("0"&amp;TRIM(RIGHT(SUBSTITUTE(TRIM(MID(SUBSTITUTE(SUBSTITUTE(Registro!$I919,";",CHAR(10)),CHAR(10),REPT(" ",LEN(Registro!$I919))),({1,2,3,4,5,6,7,8,9,10,11,12,13,14,15,16,17,18,19,20,21,22,23,24,25,26,27,28,29,30}-1)*LEN(Registro!$I919)+1,LEN(Registro!$I919)))," ",REPT(" ",50)),50)))),"Revisar formato"))</f>
        <v/>
      </c>
      <c r="L919" s="11" t="str">
        <f>IF(Registro!$J919="","",IFERROR(SUMPRODUCT(--("0"&amp;TRIM(RIGHT(SUBSTITUTE(TRIM(MID(SUBSTITUTE(SUBSTITUTE(Registro!$J919,";",CHAR(10)),CHAR(10),REPT(" ",LEN(Registro!$J919))),({1,2,3,4,5,6,7,8,9,10,11,12,13,14,15,16,17,18,19,20,21,22,23,24,25,26,27,28,29,30}-1)*LEN(Registro!$J919)+1,LEN(Registro!$J919)))," ",REPT(" ",50)),50)))),"Revisar formato"))</f>
        <v/>
      </c>
      <c r="M919" s="11" t="str">
        <f>IF(AND(Registro!$H919="",Registro!$I919=""),"",IF(AND(ISTEXT(K919),K919&lt;&gt;""),"Revisar formato",N(Registro!$H919)-N(K919)))</f>
        <v/>
      </c>
      <c r="N919" s="11" t="str">
        <f t="shared" si="44"/>
        <v/>
      </c>
      <c r="O919" s="15" t="str">
        <f>IF(AND(A919=Consulta!$B$3,C919=Consulta!$H$3),B919*10000+ROW(),"")</f>
        <v/>
      </c>
    </row>
    <row r="920" spans="1:15" x14ac:dyDescent="0.25">
      <c r="A920" s="9" t="str">
        <f>IF(Registro!$A920="","",Registro!$A920)</f>
        <v/>
      </c>
      <c r="B920" s="8" t="str">
        <f>IF(Registro!$B920="","",Registro!$B920)</f>
        <v/>
      </c>
      <c r="C920" s="14" t="str">
        <f t="shared" si="42"/>
        <v/>
      </c>
      <c r="D920" s="10" t="str">
        <f>IF(Registro!$E920="","",IF(ISERROR(FIND("x",LOWER(Registro!$E920))),"-",IFERROR(SUMPRODUCT(--("0"&amp;LEFT(TRIM(MID(SUBSTITUTE(SUBSTITUTE(SUBSTITUTE(SUBSTITUTE(SUBSTITUTE(LOWER(Registro!$E920),"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",LEN(Registro!$E920))),({1,2,3,4,5,6,7,8,9,10,11,12,13,14,15,16,17,18,19,20,21,22,23,24,25,26,27,28,29,30}-1)*LEN(Registro!$E920)+1,LEN(Registro!$E920)))&amp;"x")-1))),"Revisar formato")))</f>
        <v/>
      </c>
      <c r="E920" s="11" t="str">
        <f>IF(Registro!$E920="","",IF(ISERROR(FIND("x",LOWER(Registro!$E920))),"-",IFERROR(SUMPRODUCT(--("0"&amp;LEFT(TRIM(MID(SUBSTITUTE(SUBSTITUTE(SUBSTITUTE(SUBSTITUTE(SUBSTITUTE(LOWER(Registro!$E920),"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",LEN(Registro!$E920))),({1,2,3,4,5,6,7,8,9,10,11,12,13,14,15,16,17,18,19,20,21,22,23,24,25,26,27,28,29,30}-1)*LEN(Registro!$E920)+1,LEN(Registro!$E920)))&amp;"x")-1)),--("0"&amp;MID(TRIM(MID(SUBSTITUTE(SUBSTITUTE(SUBSTITUTE(SUBSTITUTE(SUBSTITUTE(LOWER(Registro!$E920),"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",LEN(Registro!$E920))),({1,2,3,4,5,6,7,8,9,10,11,12,13,14,15,16,17,18,19,20,21,22,23,24,25,26,27,28,29,30}-1)*LEN(Registro!$E920)+1,LEN(Registro!$E920)))&amp;"x")+1,20))),"Revisar formato")))</f>
        <v/>
      </c>
      <c r="F920" s="11" t="str">
        <f>IF(Registro!$F920="","",N(Registro!$F920))</f>
        <v/>
      </c>
      <c r="G920" s="11" t="str">
        <f t="shared" si="43"/>
        <v/>
      </c>
      <c r="H920" s="10" t="str">
        <f>IF(Registro!$G920="","",IF(ISERROR(FIND("x",LOWER(Registro!$G920))),"-",IFERROR(SUMPRODUCT(--("0"&amp;LEFT(TRIM(MID(SUBSTITUTE(SUBSTITUTE(SUBSTITUTE(SUBSTITUTE(SUBSTITUTE(LOWER(Registro!$G920),"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",LEN(Registro!$G920))),({1,2,3,4,5,6,7,8,9,10,11,12,13,14,15,16,17,18,19,20,21,22,23,24,25,26,27,28,29,30}-1)*LEN(Registro!$G920)+1,LEN(Registro!$G920))),FIND("x",TRIM(MID(SUBSTITUTE(SUBSTITUTE(SUBSTITUTE(SUBSTITUTE(SUBSTITUTE(LOWER(Registro!$G920),"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",LEN(Registro!$G920))),({1,2,3,4,5,6,7,8,9,10,11,12,13,14,15,16,17,18,19,20,21,22,23,24,25,26,27,28,29,30}-1)*LEN(Registro!$G920)+1,LEN(Registro!$G920)))&amp;"x")-1))),"Revisar formato")))</f>
        <v/>
      </c>
      <c r="I920" s="11" t="str">
        <f>IF(Registro!$G920="","",IF(ISERROR(FIND("x",LOWER(Registro!$G920))),N(Registro!$H920),IFERROR(SUMPRODUCT(--("0"&amp;LEFT(TRIM(MID(SUBSTITUTE(SUBSTITUTE(SUBSTITUTE(SUBSTITUTE(SUBSTITUTE(LOWER(Registro!$G920),"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",LEN(Registro!$G920))),({1,2,3,4,5,6,7,8,9,10,11,12,13,14,15,16,17,18,19,20,21,22,23,24,25,26,27,28,29,30}-1)*LEN(Registro!$G920)+1,LEN(Registro!$G920))),FIND("x",TRIM(MID(SUBSTITUTE(SUBSTITUTE(SUBSTITUTE(SUBSTITUTE(SUBSTITUTE(LOWER(Registro!$G920),"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",LEN(Registro!$G920))),({1,2,3,4,5,6,7,8,9,10,11,12,13,14,15,16,17,18,19,20,21,22,23,24,25,26,27,28,29,30}-1)*LEN(Registro!$G920)+1,LEN(Registro!$G920)))&amp;"x")-1)),--("0"&amp;MID(TRIM(MID(SUBSTITUTE(SUBSTITUTE(SUBSTITUTE(SUBSTITUTE(SUBSTITUTE(LOWER(Registro!$G920),"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",LEN(Registro!$G920))),({1,2,3,4,5,6,7,8,9,10,11,12,13,14,15,16,17,18,19,20,21,22,23,24,25,26,27,28,29,30}-1)*LEN(Registro!$G920)+1,LEN(Registro!$G920))),FIND("x",TRIM(MID(SUBSTITUTE(SUBSTITUTE(SUBSTITUTE(SUBSTITUTE(SUBSTITUTE(LOWER(Registro!$G920),"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",LEN(Registro!$G920))),({1,2,3,4,5,6,7,8,9,10,11,12,13,14,15,16,17,18,19,20,21,22,23,24,25,26,27,28,29,30}-1)*LEN(Registro!$G920)+1,LEN(Registro!$G920)))&amp;"x")+1,20))),"Revisar formato")))</f>
        <v/>
      </c>
      <c r="J920" s="9" t="str">
        <f>IF(AND(Registro!$E920="",Registro!$G920=""),"",IF(NOT(AND(ISNUMBER(I920),ISNUMBER(Registro!$H920))),"",IF(I920&lt;Registro!$H920,"FALTA BOLETOS",IF(I920=Registro!$H920,"CONFORME","DIFERENCIA"))))</f>
        <v/>
      </c>
      <c r="K920" s="11" t="str">
        <f>IF(Registro!$I920="","",IFERROR(SUMPRODUCT(--("0"&amp;TRIM(RIGHT(SUBSTITUTE(TRIM(MID(SUBSTITUTE(SUBSTITUTE(Registro!$I920,";",CHAR(10)),CHAR(10),REPT(" ",LEN(Registro!$I920))),({1,2,3,4,5,6,7,8,9,10,11,12,13,14,15,16,17,18,19,20,21,22,23,24,25,26,27,28,29,30}-1)*LEN(Registro!$I920)+1,LEN(Registro!$I920)))," ",REPT(" ",50)),50)))),"Revisar formato"))</f>
        <v/>
      </c>
      <c r="L920" s="11" t="str">
        <f>IF(Registro!$J920="","",IFERROR(SUMPRODUCT(--("0"&amp;TRIM(RIGHT(SUBSTITUTE(TRIM(MID(SUBSTITUTE(SUBSTITUTE(Registro!$J920,";",CHAR(10)),CHAR(10),REPT(" ",LEN(Registro!$J920))),({1,2,3,4,5,6,7,8,9,10,11,12,13,14,15,16,17,18,19,20,21,22,23,24,25,26,27,28,29,30}-1)*LEN(Registro!$J920)+1,LEN(Registro!$J920)))," ",REPT(" ",50)),50)))),"Revisar formato"))</f>
        <v/>
      </c>
      <c r="M920" s="11" t="str">
        <f>IF(AND(Registro!$H920="",Registro!$I920=""),"",IF(AND(ISTEXT(K920),K920&lt;&gt;""),"Revisar formato",N(Registro!$H920)-N(K920)))</f>
        <v/>
      </c>
      <c r="N920" s="11" t="str">
        <f t="shared" si="44"/>
        <v/>
      </c>
      <c r="O920" s="15" t="str">
        <f>IF(AND(A920=Consulta!$B$3,C920=Consulta!$H$3),B920*10000+ROW(),"")</f>
        <v/>
      </c>
    </row>
    <row r="921" spans="1:15" x14ac:dyDescent="0.25">
      <c r="A921" s="9" t="str">
        <f>IF(Registro!$A921="","",Registro!$A921)</f>
        <v/>
      </c>
      <c r="B921" s="8" t="str">
        <f>IF(Registro!$B921="","",Registro!$B921)</f>
        <v/>
      </c>
      <c r="C921" s="14" t="str">
        <f t="shared" si="42"/>
        <v/>
      </c>
      <c r="D921" s="10" t="str">
        <f>IF(Registro!$E921="","",IF(ISERROR(FIND("x",LOWER(Registro!$E921))),"-",IFERROR(SUMPRODUCT(--("0"&amp;LEFT(TRIM(MID(SUBSTITUTE(SUBSTITUTE(SUBSTITUTE(SUBSTITUTE(SUBSTITUTE(LOWER(Registro!$E921),"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",LEN(Registro!$E921))),({1,2,3,4,5,6,7,8,9,10,11,12,13,14,15,16,17,18,19,20,21,22,23,24,25,26,27,28,29,30}-1)*LEN(Registro!$E921)+1,LEN(Registro!$E921)))&amp;"x")-1))),"Revisar formato")))</f>
        <v/>
      </c>
      <c r="E921" s="11" t="str">
        <f>IF(Registro!$E921="","",IF(ISERROR(FIND("x",LOWER(Registro!$E921))),"-",IFERROR(SUMPRODUCT(--("0"&amp;LEFT(TRIM(MID(SUBSTITUTE(SUBSTITUTE(SUBSTITUTE(SUBSTITUTE(SUBSTITUTE(LOWER(Registro!$E921),"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",LEN(Registro!$E921))),({1,2,3,4,5,6,7,8,9,10,11,12,13,14,15,16,17,18,19,20,21,22,23,24,25,26,27,28,29,30}-1)*LEN(Registro!$E921)+1,LEN(Registro!$E921)))&amp;"x")-1)),--("0"&amp;MID(TRIM(MID(SUBSTITUTE(SUBSTITUTE(SUBSTITUTE(SUBSTITUTE(SUBSTITUTE(LOWER(Registro!$E921),"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",LEN(Registro!$E921))),({1,2,3,4,5,6,7,8,9,10,11,12,13,14,15,16,17,18,19,20,21,22,23,24,25,26,27,28,29,30}-1)*LEN(Registro!$E921)+1,LEN(Registro!$E921)))&amp;"x")+1,20))),"Revisar formato")))</f>
        <v/>
      </c>
      <c r="F921" s="11" t="str">
        <f>IF(Registro!$F921="","",N(Registro!$F921))</f>
        <v/>
      </c>
      <c r="G921" s="11" t="str">
        <f t="shared" si="43"/>
        <v/>
      </c>
      <c r="H921" s="10" t="str">
        <f>IF(Registro!$G921="","",IF(ISERROR(FIND("x",LOWER(Registro!$G921))),"-",IFERROR(SUMPRODUCT(--("0"&amp;LEFT(TRIM(MID(SUBSTITUTE(SUBSTITUTE(SUBSTITUTE(SUBSTITUTE(SUBSTITUTE(LOWER(Registro!$G921),"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",LEN(Registro!$G921))),({1,2,3,4,5,6,7,8,9,10,11,12,13,14,15,16,17,18,19,20,21,22,23,24,25,26,27,28,29,30}-1)*LEN(Registro!$G921)+1,LEN(Registro!$G921))),FIND("x",TRIM(MID(SUBSTITUTE(SUBSTITUTE(SUBSTITUTE(SUBSTITUTE(SUBSTITUTE(LOWER(Registro!$G921),"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",LEN(Registro!$G921))),({1,2,3,4,5,6,7,8,9,10,11,12,13,14,15,16,17,18,19,20,21,22,23,24,25,26,27,28,29,30}-1)*LEN(Registro!$G921)+1,LEN(Registro!$G921)))&amp;"x")-1))),"Revisar formato")))</f>
        <v/>
      </c>
      <c r="I921" s="11" t="str">
        <f>IF(Registro!$G921="","",IF(ISERROR(FIND("x",LOWER(Registro!$G921))),N(Registro!$H921),IFERROR(SUMPRODUCT(--("0"&amp;LEFT(TRIM(MID(SUBSTITUTE(SUBSTITUTE(SUBSTITUTE(SUBSTITUTE(SUBSTITUTE(LOWER(Registro!$G921),"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",LEN(Registro!$G921))),({1,2,3,4,5,6,7,8,9,10,11,12,13,14,15,16,17,18,19,20,21,22,23,24,25,26,27,28,29,30}-1)*LEN(Registro!$G921)+1,LEN(Registro!$G921))),FIND("x",TRIM(MID(SUBSTITUTE(SUBSTITUTE(SUBSTITUTE(SUBSTITUTE(SUBSTITUTE(LOWER(Registro!$G921),"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",LEN(Registro!$G921))),({1,2,3,4,5,6,7,8,9,10,11,12,13,14,15,16,17,18,19,20,21,22,23,24,25,26,27,28,29,30}-1)*LEN(Registro!$G921)+1,LEN(Registro!$G921)))&amp;"x")-1)),--("0"&amp;MID(TRIM(MID(SUBSTITUTE(SUBSTITUTE(SUBSTITUTE(SUBSTITUTE(SUBSTITUTE(LOWER(Registro!$G921),"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",LEN(Registro!$G921))),({1,2,3,4,5,6,7,8,9,10,11,12,13,14,15,16,17,18,19,20,21,22,23,24,25,26,27,28,29,30}-1)*LEN(Registro!$G921)+1,LEN(Registro!$G921))),FIND("x",TRIM(MID(SUBSTITUTE(SUBSTITUTE(SUBSTITUTE(SUBSTITUTE(SUBSTITUTE(LOWER(Registro!$G921),"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",LEN(Registro!$G921))),({1,2,3,4,5,6,7,8,9,10,11,12,13,14,15,16,17,18,19,20,21,22,23,24,25,26,27,28,29,30}-1)*LEN(Registro!$G921)+1,LEN(Registro!$G921)))&amp;"x")+1,20))),"Revisar formato")))</f>
        <v/>
      </c>
      <c r="J921" s="9" t="str">
        <f>IF(AND(Registro!$E921="",Registro!$G921=""),"",IF(NOT(AND(ISNUMBER(I921),ISNUMBER(Registro!$H921))),"",IF(I921&lt;Registro!$H921,"FALTA BOLETOS",IF(I921=Registro!$H921,"CONFORME","DIFERENCIA"))))</f>
        <v/>
      </c>
      <c r="K921" s="11" t="str">
        <f>IF(Registro!$I921="","",IFERROR(SUMPRODUCT(--("0"&amp;TRIM(RIGHT(SUBSTITUTE(TRIM(MID(SUBSTITUTE(SUBSTITUTE(Registro!$I921,";",CHAR(10)),CHAR(10),REPT(" ",LEN(Registro!$I921))),({1,2,3,4,5,6,7,8,9,10,11,12,13,14,15,16,17,18,19,20,21,22,23,24,25,26,27,28,29,30}-1)*LEN(Registro!$I921)+1,LEN(Registro!$I921)))," ",REPT(" ",50)),50)))),"Revisar formato"))</f>
        <v/>
      </c>
      <c r="L921" s="11" t="str">
        <f>IF(Registro!$J921="","",IFERROR(SUMPRODUCT(--("0"&amp;TRIM(RIGHT(SUBSTITUTE(TRIM(MID(SUBSTITUTE(SUBSTITUTE(Registro!$J921,";",CHAR(10)),CHAR(10),REPT(" ",LEN(Registro!$J921))),({1,2,3,4,5,6,7,8,9,10,11,12,13,14,15,16,17,18,19,20,21,22,23,24,25,26,27,28,29,30}-1)*LEN(Registro!$J921)+1,LEN(Registro!$J921)))," ",REPT(" ",50)),50)))),"Revisar formato"))</f>
        <v/>
      </c>
      <c r="M921" s="11" t="str">
        <f>IF(AND(Registro!$H921="",Registro!$I921=""),"",IF(AND(ISTEXT(K921),K921&lt;&gt;""),"Revisar formato",N(Registro!$H921)-N(K921)))</f>
        <v/>
      </c>
      <c r="N921" s="11" t="str">
        <f t="shared" si="44"/>
        <v/>
      </c>
      <c r="O921" s="15" t="str">
        <f>IF(AND(A921=Consulta!$B$3,C921=Consulta!$H$3),B921*10000+ROW(),"")</f>
        <v/>
      </c>
    </row>
    <row r="922" spans="1:15" x14ac:dyDescent="0.25">
      <c r="A922" s="9" t="str">
        <f>IF(Registro!$A922="","",Registro!$A922)</f>
        <v/>
      </c>
      <c r="B922" s="8" t="str">
        <f>IF(Registro!$B922="","",Registro!$B922)</f>
        <v/>
      </c>
      <c r="C922" s="14" t="str">
        <f t="shared" si="42"/>
        <v/>
      </c>
      <c r="D922" s="10" t="str">
        <f>IF(Registro!$E922="","",IF(ISERROR(FIND("x",LOWER(Registro!$E922))),"-",IFERROR(SUMPRODUCT(--("0"&amp;LEFT(TRIM(MID(SUBSTITUTE(SUBSTITUTE(SUBSTITUTE(SUBSTITUTE(SUBSTITUTE(LOWER(Registro!$E922),"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",LEN(Registro!$E922))),({1,2,3,4,5,6,7,8,9,10,11,12,13,14,15,16,17,18,19,20,21,22,23,24,25,26,27,28,29,30}-1)*LEN(Registro!$E922)+1,LEN(Registro!$E922)))&amp;"x")-1))),"Revisar formato")))</f>
        <v/>
      </c>
      <c r="E922" s="11" t="str">
        <f>IF(Registro!$E922="","",IF(ISERROR(FIND("x",LOWER(Registro!$E922))),"-",IFERROR(SUMPRODUCT(--("0"&amp;LEFT(TRIM(MID(SUBSTITUTE(SUBSTITUTE(SUBSTITUTE(SUBSTITUTE(SUBSTITUTE(LOWER(Registro!$E922),"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",LEN(Registro!$E922))),({1,2,3,4,5,6,7,8,9,10,11,12,13,14,15,16,17,18,19,20,21,22,23,24,25,26,27,28,29,30}-1)*LEN(Registro!$E922)+1,LEN(Registro!$E922)))&amp;"x")-1)),--("0"&amp;MID(TRIM(MID(SUBSTITUTE(SUBSTITUTE(SUBSTITUTE(SUBSTITUTE(SUBSTITUTE(LOWER(Registro!$E922),"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",LEN(Registro!$E922))),({1,2,3,4,5,6,7,8,9,10,11,12,13,14,15,16,17,18,19,20,21,22,23,24,25,26,27,28,29,30}-1)*LEN(Registro!$E922)+1,LEN(Registro!$E922)))&amp;"x")+1,20))),"Revisar formato")))</f>
        <v/>
      </c>
      <c r="F922" s="11" t="str">
        <f>IF(Registro!$F922="","",N(Registro!$F922))</f>
        <v/>
      </c>
      <c r="G922" s="11" t="str">
        <f t="shared" si="43"/>
        <v/>
      </c>
      <c r="H922" s="10" t="str">
        <f>IF(Registro!$G922="","",IF(ISERROR(FIND("x",LOWER(Registro!$G922))),"-",IFERROR(SUMPRODUCT(--("0"&amp;LEFT(TRIM(MID(SUBSTITUTE(SUBSTITUTE(SUBSTITUTE(SUBSTITUTE(SUBSTITUTE(LOWER(Registro!$G922),"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",LEN(Registro!$G922))),({1,2,3,4,5,6,7,8,9,10,11,12,13,14,15,16,17,18,19,20,21,22,23,24,25,26,27,28,29,30}-1)*LEN(Registro!$G922)+1,LEN(Registro!$G922))),FIND("x",TRIM(MID(SUBSTITUTE(SUBSTITUTE(SUBSTITUTE(SUBSTITUTE(SUBSTITUTE(LOWER(Registro!$G922),"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",LEN(Registro!$G922))),({1,2,3,4,5,6,7,8,9,10,11,12,13,14,15,16,17,18,19,20,21,22,23,24,25,26,27,28,29,30}-1)*LEN(Registro!$G922)+1,LEN(Registro!$G922)))&amp;"x")-1))),"Revisar formato")))</f>
        <v/>
      </c>
      <c r="I922" s="11" t="str">
        <f>IF(Registro!$G922="","",IF(ISERROR(FIND("x",LOWER(Registro!$G922))),N(Registro!$H922),IFERROR(SUMPRODUCT(--("0"&amp;LEFT(TRIM(MID(SUBSTITUTE(SUBSTITUTE(SUBSTITUTE(SUBSTITUTE(SUBSTITUTE(LOWER(Registro!$G922),"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",LEN(Registro!$G922))),({1,2,3,4,5,6,7,8,9,10,11,12,13,14,15,16,17,18,19,20,21,22,23,24,25,26,27,28,29,30}-1)*LEN(Registro!$G922)+1,LEN(Registro!$G922))),FIND("x",TRIM(MID(SUBSTITUTE(SUBSTITUTE(SUBSTITUTE(SUBSTITUTE(SUBSTITUTE(LOWER(Registro!$G922),"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",LEN(Registro!$G922))),({1,2,3,4,5,6,7,8,9,10,11,12,13,14,15,16,17,18,19,20,21,22,23,24,25,26,27,28,29,30}-1)*LEN(Registro!$G922)+1,LEN(Registro!$G922)))&amp;"x")-1)),--("0"&amp;MID(TRIM(MID(SUBSTITUTE(SUBSTITUTE(SUBSTITUTE(SUBSTITUTE(SUBSTITUTE(LOWER(Registro!$G922),"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",LEN(Registro!$G922))),({1,2,3,4,5,6,7,8,9,10,11,12,13,14,15,16,17,18,19,20,21,22,23,24,25,26,27,28,29,30}-1)*LEN(Registro!$G922)+1,LEN(Registro!$G922))),FIND("x",TRIM(MID(SUBSTITUTE(SUBSTITUTE(SUBSTITUTE(SUBSTITUTE(SUBSTITUTE(LOWER(Registro!$G922),"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",LEN(Registro!$G922))),({1,2,3,4,5,6,7,8,9,10,11,12,13,14,15,16,17,18,19,20,21,22,23,24,25,26,27,28,29,30}-1)*LEN(Registro!$G922)+1,LEN(Registro!$G922)))&amp;"x")+1,20))),"Revisar formato")))</f>
        <v/>
      </c>
      <c r="J922" s="9" t="str">
        <f>IF(AND(Registro!$E922="",Registro!$G922=""),"",IF(NOT(AND(ISNUMBER(I922),ISNUMBER(Registro!$H922))),"",IF(I922&lt;Registro!$H922,"FALTA BOLETOS",IF(I922=Registro!$H922,"CONFORME","DIFERENCIA"))))</f>
        <v/>
      </c>
      <c r="K922" s="11" t="str">
        <f>IF(Registro!$I922="","",IFERROR(SUMPRODUCT(--("0"&amp;TRIM(RIGHT(SUBSTITUTE(TRIM(MID(SUBSTITUTE(SUBSTITUTE(Registro!$I922,";",CHAR(10)),CHAR(10),REPT(" ",LEN(Registro!$I922))),({1,2,3,4,5,6,7,8,9,10,11,12,13,14,15,16,17,18,19,20,21,22,23,24,25,26,27,28,29,30}-1)*LEN(Registro!$I922)+1,LEN(Registro!$I922)))," ",REPT(" ",50)),50)))),"Revisar formato"))</f>
        <v/>
      </c>
      <c r="L922" s="11" t="str">
        <f>IF(Registro!$J922="","",IFERROR(SUMPRODUCT(--("0"&amp;TRIM(RIGHT(SUBSTITUTE(TRIM(MID(SUBSTITUTE(SUBSTITUTE(Registro!$J922,";",CHAR(10)),CHAR(10),REPT(" ",LEN(Registro!$J922))),({1,2,3,4,5,6,7,8,9,10,11,12,13,14,15,16,17,18,19,20,21,22,23,24,25,26,27,28,29,30}-1)*LEN(Registro!$J922)+1,LEN(Registro!$J922)))," ",REPT(" ",50)),50)))),"Revisar formato"))</f>
        <v/>
      </c>
      <c r="M922" s="11" t="str">
        <f>IF(AND(Registro!$H922="",Registro!$I922=""),"",IF(AND(ISTEXT(K922),K922&lt;&gt;""),"Revisar formato",N(Registro!$H922)-N(K922)))</f>
        <v/>
      </c>
      <c r="N922" s="11" t="str">
        <f t="shared" si="44"/>
        <v/>
      </c>
      <c r="O922" s="15" t="str">
        <f>IF(AND(A922=Consulta!$B$3,C922=Consulta!$H$3),B922*10000+ROW(),"")</f>
        <v/>
      </c>
    </row>
    <row r="923" spans="1:15" x14ac:dyDescent="0.25">
      <c r="A923" s="9" t="str">
        <f>IF(Registro!$A923="","",Registro!$A923)</f>
        <v/>
      </c>
      <c r="B923" s="8" t="str">
        <f>IF(Registro!$B923="","",Registro!$B923)</f>
        <v/>
      </c>
      <c r="C923" s="14" t="str">
        <f t="shared" si="42"/>
        <v/>
      </c>
      <c r="D923" s="10" t="str">
        <f>IF(Registro!$E923="","",IF(ISERROR(FIND("x",LOWER(Registro!$E923))),"-",IFERROR(SUMPRODUCT(--("0"&amp;LEFT(TRIM(MID(SUBSTITUTE(SUBSTITUTE(SUBSTITUTE(SUBSTITUTE(SUBSTITUTE(LOWER(Registro!$E923),"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",LEN(Registro!$E923))),({1,2,3,4,5,6,7,8,9,10,11,12,13,14,15,16,17,18,19,20,21,22,23,24,25,26,27,28,29,30}-1)*LEN(Registro!$E923)+1,LEN(Registro!$E923)))&amp;"x")-1))),"Revisar formato")))</f>
        <v/>
      </c>
      <c r="E923" s="11" t="str">
        <f>IF(Registro!$E923="","",IF(ISERROR(FIND("x",LOWER(Registro!$E923))),"-",IFERROR(SUMPRODUCT(--("0"&amp;LEFT(TRIM(MID(SUBSTITUTE(SUBSTITUTE(SUBSTITUTE(SUBSTITUTE(SUBSTITUTE(LOWER(Registro!$E923),"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",LEN(Registro!$E923))),({1,2,3,4,5,6,7,8,9,10,11,12,13,14,15,16,17,18,19,20,21,22,23,24,25,26,27,28,29,30}-1)*LEN(Registro!$E923)+1,LEN(Registro!$E923)))&amp;"x")-1)),--("0"&amp;MID(TRIM(MID(SUBSTITUTE(SUBSTITUTE(SUBSTITUTE(SUBSTITUTE(SUBSTITUTE(LOWER(Registro!$E923),"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",LEN(Registro!$E923))),({1,2,3,4,5,6,7,8,9,10,11,12,13,14,15,16,17,18,19,20,21,22,23,24,25,26,27,28,29,30}-1)*LEN(Registro!$E923)+1,LEN(Registro!$E923)))&amp;"x")+1,20))),"Revisar formato")))</f>
        <v/>
      </c>
      <c r="F923" s="11" t="str">
        <f>IF(Registro!$F923="","",N(Registro!$F923))</f>
        <v/>
      </c>
      <c r="G923" s="11" t="str">
        <f t="shared" si="43"/>
        <v/>
      </c>
      <c r="H923" s="10" t="str">
        <f>IF(Registro!$G923="","",IF(ISERROR(FIND("x",LOWER(Registro!$G923))),"-",IFERROR(SUMPRODUCT(--("0"&amp;LEFT(TRIM(MID(SUBSTITUTE(SUBSTITUTE(SUBSTITUTE(SUBSTITUTE(SUBSTITUTE(LOWER(Registro!$G923),"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",LEN(Registro!$G923))),({1,2,3,4,5,6,7,8,9,10,11,12,13,14,15,16,17,18,19,20,21,22,23,24,25,26,27,28,29,30}-1)*LEN(Registro!$G923)+1,LEN(Registro!$G923))),FIND("x",TRIM(MID(SUBSTITUTE(SUBSTITUTE(SUBSTITUTE(SUBSTITUTE(SUBSTITUTE(LOWER(Registro!$G923),"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",LEN(Registro!$G923))),({1,2,3,4,5,6,7,8,9,10,11,12,13,14,15,16,17,18,19,20,21,22,23,24,25,26,27,28,29,30}-1)*LEN(Registro!$G923)+1,LEN(Registro!$G923)))&amp;"x")-1))),"Revisar formato")))</f>
        <v/>
      </c>
      <c r="I923" s="11" t="str">
        <f>IF(Registro!$G923="","",IF(ISERROR(FIND("x",LOWER(Registro!$G923))),N(Registro!$H923),IFERROR(SUMPRODUCT(--("0"&amp;LEFT(TRIM(MID(SUBSTITUTE(SUBSTITUTE(SUBSTITUTE(SUBSTITUTE(SUBSTITUTE(LOWER(Registro!$G923),"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",LEN(Registro!$G923))),({1,2,3,4,5,6,7,8,9,10,11,12,13,14,15,16,17,18,19,20,21,22,23,24,25,26,27,28,29,30}-1)*LEN(Registro!$G923)+1,LEN(Registro!$G923))),FIND("x",TRIM(MID(SUBSTITUTE(SUBSTITUTE(SUBSTITUTE(SUBSTITUTE(SUBSTITUTE(LOWER(Registro!$G923),"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",LEN(Registro!$G923))),({1,2,3,4,5,6,7,8,9,10,11,12,13,14,15,16,17,18,19,20,21,22,23,24,25,26,27,28,29,30}-1)*LEN(Registro!$G923)+1,LEN(Registro!$G923)))&amp;"x")-1)),--("0"&amp;MID(TRIM(MID(SUBSTITUTE(SUBSTITUTE(SUBSTITUTE(SUBSTITUTE(SUBSTITUTE(LOWER(Registro!$G923),"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",LEN(Registro!$G923))),({1,2,3,4,5,6,7,8,9,10,11,12,13,14,15,16,17,18,19,20,21,22,23,24,25,26,27,28,29,30}-1)*LEN(Registro!$G923)+1,LEN(Registro!$G923))),FIND("x",TRIM(MID(SUBSTITUTE(SUBSTITUTE(SUBSTITUTE(SUBSTITUTE(SUBSTITUTE(LOWER(Registro!$G923),"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",LEN(Registro!$G923))),({1,2,3,4,5,6,7,8,9,10,11,12,13,14,15,16,17,18,19,20,21,22,23,24,25,26,27,28,29,30}-1)*LEN(Registro!$G923)+1,LEN(Registro!$G923)))&amp;"x")+1,20))),"Revisar formato")))</f>
        <v/>
      </c>
      <c r="J923" s="9" t="str">
        <f>IF(AND(Registro!$E923="",Registro!$G923=""),"",IF(NOT(AND(ISNUMBER(I923),ISNUMBER(Registro!$H923))),"",IF(I923&lt;Registro!$H923,"FALTA BOLETOS",IF(I923=Registro!$H923,"CONFORME","DIFERENCIA"))))</f>
        <v/>
      </c>
      <c r="K923" s="11" t="str">
        <f>IF(Registro!$I923="","",IFERROR(SUMPRODUCT(--("0"&amp;TRIM(RIGHT(SUBSTITUTE(TRIM(MID(SUBSTITUTE(SUBSTITUTE(Registro!$I923,";",CHAR(10)),CHAR(10),REPT(" ",LEN(Registro!$I923))),({1,2,3,4,5,6,7,8,9,10,11,12,13,14,15,16,17,18,19,20,21,22,23,24,25,26,27,28,29,30}-1)*LEN(Registro!$I923)+1,LEN(Registro!$I923)))," ",REPT(" ",50)),50)))),"Revisar formato"))</f>
        <v/>
      </c>
      <c r="L923" s="11" t="str">
        <f>IF(Registro!$J923="","",IFERROR(SUMPRODUCT(--("0"&amp;TRIM(RIGHT(SUBSTITUTE(TRIM(MID(SUBSTITUTE(SUBSTITUTE(Registro!$J923,";",CHAR(10)),CHAR(10),REPT(" ",LEN(Registro!$J923))),({1,2,3,4,5,6,7,8,9,10,11,12,13,14,15,16,17,18,19,20,21,22,23,24,25,26,27,28,29,30}-1)*LEN(Registro!$J923)+1,LEN(Registro!$J923)))," ",REPT(" ",50)),50)))),"Revisar formato"))</f>
        <v/>
      </c>
      <c r="M923" s="11" t="str">
        <f>IF(AND(Registro!$H923="",Registro!$I923=""),"",IF(AND(ISTEXT(K923),K923&lt;&gt;""),"Revisar formato",N(Registro!$H923)-N(K923)))</f>
        <v/>
      </c>
      <c r="N923" s="11" t="str">
        <f t="shared" si="44"/>
        <v/>
      </c>
      <c r="O923" s="15" t="str">
        <f>IF(AND(A923=Consulta!$B$3,C923=Consulta!$H$3),B923*10000+ROW(),"")</f>
        <v/>
      </c>
    </row>
    <row r="924" spans="1:15" x14ac:dyDescent="0.25">
      <c r="A924" s="9" t="str">
        <f>IF(Registro!$A924="","",Registro!$A924)</f>
        <v/>
      </c>
      <c r="B924" s="8" t="str">
        <f>IF(Registro!$B924="","",Registro!$B924)</f>
        <v/>
      </c>
      <c r="C924" s="14" t="str">
        <f t="shared" si="42"/>
        <v/>
      </c>
      <c r="D924" s="10" t="str">
        <f>IF(Registro!$E924="","",IF(ISERROR(FIND("x",LOWER(Registro!$E924))),"-",IFERROR(SUMPRODUCT(--("0"&amp;LEFT(TRIM(MID(SUBSTITUTE(SUBSTITUTE(SUBSTITUTE(SUBSTITUTE(SUBSTITUTE(LOWER(Registro!$E924),"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",LEN(Registro!$E924))),({1,2,3,4,5,6,7,8,9,10,11,12,13,14,15,16,17,18,19,20,21,22,23,24,25,26,27,28,29,30}-1)*LEN(Registro!$E924)+1,LEN(Registro!$E924)))&amp;"x")-1))),"Revisar formato")))</f>
        <v/>
      </c>
      <c r="E924" s="11" t="str">
        <f>IF(Registro!$E924="","",IF(ISERROR(FIND("x",LOWER(Registro!$E924))),"-",IFERROR(SUMPRODUCT(--("0"&amp;LEFT(TRIM(MID(SUBSTITUTE(SUBSTITUTE(SUBSTITUTE(SUBSTITUTE(SUBSTITUTE(LOWER(Registro!$E924),"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",LEN(Registro!$E924))),({1,2,3,4,5,6,7,8,9,10,11,12,13,14,15,16,17,18,19,20,21,22,23,24,25,26,27,28,29,30}-1)*LEN(Registro!$E924)+1,LEN(Registro!$E924)))&amp;"x")-1)),--("0"&amp;MID(TRIM(MID(SUBSTITUTE(SUBSTITUTE(SUBSTITUTE(SUBSTITUTE(SUBSTITUTE(LOWER(Registro!$E924),"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",LEN(Registro!$E924))),({1,2,3,4,5,6,7,8,9,10,11,12,13,14,15,16,17,18,19,20,21,22,23,24,25,26,27,28,29,30}-1)*LEN(Registro!$E924)+1,LEN(Registro!$E924)))&amp;"x")+1,20))),"Revisar formato")))</f>
        <v/>
      </c>
      <c r="F924" s="11" t="str">
        <f>IF(Registro!$F924="","",N(Registro!$F924))</f>
        <v/>
      </c>
      <c r="G924" s="11" t="str">
        <f t="shared" si="43"/>
        <v/>
      </c>
      <c r="H924" s="10" t="str">
        <f>IF(Registro!$G924="","",IF(ISERROR(FIND("x",LOWER(Registro!$G924))),"-",IFERROR(SUMPRODUCT(--("0"&amp;LEFT(TRIM(MID(SUBSTITUTE(SUBSTITUTE(SUBSTITUTE(SUBSTITUTE(SUBSTITUTE(LOWER(Registro!$G924),"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",LEN(Registro!$G924))),({1,2,3,4,5,6,7,8,9,10,11,12,13,14,15,16,17,18,19,20,21,22,23,24,25,26,27,28,29,30}-1)*LEN(Registro!$G924)+1,LEN(Registro!$G924))),FIND("x",TRIM(MID(SUBSTITUTE(SUBSTITUTE(SUBSTITUTE(SUBSTITUTE(SUBSTITUTE(LOWER(Registro!$G924),"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",LEN(Registro!$G924))),({1,2,3,4,5,6,7,8,9,10,11,12,13,14,15,16,17,18,19,20,21,22,23,24,25,26,27,28,29,30}-1)*LEN(Registro!$G924)+1,LEN(Registro!$G924)))&amp;"x")-1))),"Revisar formato")))</f>
        <v/>
      </c>
      <c r="I924" s="11" t="str">
        <f>IF(Registro!$G924="","",IF(ISERROR(FIND("x",LOWER(Registro!$G924))),N(Registro!$H924),IFERROR(SUMPRODUCT(--("0"&amp;LEFT(TRIM(MID(SUBSTITUTE(SUBSTITUTE(SUBSTITUTE(SUBSTITUTE(SUBSTITUTE(LOWER(Registro!$G924),"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",LEN(Registro!$G924))),({1,2,3,4,5,6,7,8,9,10,11,12,13,14,15,16,17,18,19,20,21,22,23,24,25,26,27,28,29,30}-1)*LEN(Registro!$G924)+1,LEN(Registro!$G924))),FIND("x",TRIM(MID(SUBSTITUTE(SUBSTITUTE(SUBSTITUTE(SUBSTITUTE(SUBSTITUTE(LOWER(Registro!$G924),"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",LEN(Registro!$G924))),({1,2,3,4,5,6,7,8,9,10,11,12,13,14,15,16,17,18,19,20,21,22,23,24,25,26,27,28,29,30}-1)*LEN(Registro!$G924)+1,LEN(Registro!$G924)))&amp;"x")-1)),--("0"&amp;MID(TRIM(MID(SUBSTITUTE(SUBSTITUTE(SUBSTITUTE(SUBSTITUTE(SUBSTITUTE(LOWER(Registro!$G924),"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",LEN(Registro!$G924))),({1,2,3,4,5,6,7,8,9,10,11,12,13,14,15,16,17,18,19,20,21,22,23,24,25,26,27,28,29,30}-1)*LEN(Registro!$G924)+1,LEN(Registro!$G924))),FIND("x",TRIM(MID(SUBSTITUTE(SUBSTITUTE(SUBSTITUTE(SUBSTITUTE(SUBSTITUTE(LOWER(Registro!$G924),"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",LEN(Registro!$G924))),({1,2,3,4,5,6,7,8,9,10,11,12,13,14,15,16,17,18,19,20,21,22,23,24,25,26,27,28,29,30}-1)*LEN(Registro!$G924)+1,LEN(Registro!$G924)))&amp;"x")+1,20))),"Revisar formato")))</f>
        <v/>
      </c>
      <c r="J924" s="9" t="str">
        <f>IF(AND(Registro!$E924="",Registro!$G924=""),"",IF(NOT(AND(ISNUMBER(I924),ISNUMBER(Registro!$H924))),"",IF(I924&lt;Registro!$H924,"FALTA BOLETOS",IF(I924=Registro!$H924,"CONFORME","DIFERENCIA"))))</f>
        <v/>
      </c>
      <c r="K924" s="11" t="str">
        <f>IF(Registro!$I924="","",IFERROR(SUMPRODUCT(--("0"&amp;TRIM(RIGHT(SUBSTITUTE(TRIM(MID(SUBSTITUTE(SUBSTITUTE(Registro!$I924,";",CHAR(10)),CHAR(10),REPT(" ",LEN(Registro!$I924))),({1,2,3,4,5,6,7,8,9,10,11,12,13,14,15,16,17,18,19,20,21,22,23,24,25,26,27,28,29,30}-1)*LEN(Registro!$I924)+1,LEN(Registro!$I924)))," ",REPT(" ",50)),50)))),"Revisar formato"))</f>
        <v/>
      </c>
      <c r="L924" s="11" t="str">
        <f>IF(Registro!$J924="","",IFERROR(SUMPRODUCT(--("0"&amp;TRIM(RIGHT(SUBSTITUTE(TRIM(MID(SUBSTITUTE(SUBSTITUTE(Registro!$J924,";",CHAR(10)),CHAR(10),REPT(" ",LEN(Registro!$J924))),({1,2,3,4,5,6,7,8,9,10,11,12,13,14,15,16,17,18,19,20,21,22,23,24,25,26,27,28,29,30}-1)*LEN(Registro!$J924)+1,LEN(Registro!$J924)))," ",REPT(" ",50)),50)))),"Revisar formato"))</f>
        <v/>
      </c>
      <c r="M924" s="11" t="str">
        <f>IF(AND(Registro!$H924="",Registro!$I924=""),"",IF(AND(ISTEXT(K924),K924&lt;&gt;""),"Revisar formato",N(Registro!$H924)-N(K924)))</f>
        <v/>
      </c>
      <c r="N924" s="11" t="str">
        <f t="shared" si="44"/>
        <v/>
      </c>
      <c r="O924" s="15" t="str">
        <f>IF(AND(A924=Consulta!$B$3,C924=Consulta!$H$3),B924*10000+ROW(),"")</f>
        <v/>
      </c>
    </row>
    <row r="925" spans="1:15" x14ac:dyDescent="0.25">
      <c r="A925" s="9" t="str">
        <f>IF(Registro!$A925="","",Registro!$A925)</f>
        <v/>
      </c>
      <c r="B925" s="8" t="str">
        <f>IF(Registro!$B925="","",Registro!$B925)</f>
        <v/>
      </c>
      <c r="C925" s="14" t="str">
        <f t="shared" si="42"/>
        <v/>
      </c>
      <c r="D925" s="10" t="str">
        <f>IF(Registro!$E925="","",IF(ISERROR(FIND("x",LOWER(Registro!$E925))),"-",IFERROR(SUMPRODUCT(--("0"&amp;LEFT(TRIM(MID(SUBSTITUTE(SUBSTITUTE(SUBSTITUTE(SUBSTITUTE(SUBSTITUTE(LOWER(Registro!$E925),"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",LEN(Registro!$E925))),({1,2,3,4,5,6,7,8,9,10,11,12,13,14,15,16,17,18,19,20,21,22,23,24,25,26,27,28,29,30}-1)*LEN(Registro!$E925)+1,LEN(Registro!$E925)))&amp;"x")-1))),"Revisar formato")))</f>
        <v/>
      </c>
      <c r="E925" s="11" t="str">
        <f>IF(Registro!$E925="","",IF(ISERROR(FIND("x",LOWER(Registro!$E925))),"-",IFERROR(SUMPRODUCT(--("0"&amp;LEFT(TRIM(MID(SUBSTITUTE(SUBSTITUTE(SUBSTITUTE(SUBSTITUTE(SUBSTITUTE(LOWER(Registro!$E925),"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",LEN(Registro!$E925))),({1,2,3,4,5,6,7,8,9,10,11,12,13,14,15,16,17,18,19,20,21,22,23,24,25,26,27,28,29,30}-1)*LEN(Registro!$E925)+1,LEN(Registro!$E925)))&amp;"x")-1)),--("0"&amp;MID(TRIM(MID(SUBSTITUTE(SUBSTITUTE(SUBSTITUTE(SUBSTITUTE(SUBSTITUTE(LOWER(Registro!$E925),"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",LEN(Registro!$E925))),({1,2,3,4,5,6,7,8,9,10,11,12,13,14,15,16,17,18,19,20,21,22,23,24,25,26,27,28,29,30}-1)*LEN(Registro!$E925)+1,LEN(Registro!$E925)))&amp;"x")+1,20))),"Revisar formato")))</f>
        <v/>
      </c>
      <c r="F925" s="11" t="str">
        <f>IF(Registro!$F925="","",N(Registro!$F925))</f>
        <v/>
      </c>
      <c r="G925" s="11" t="str">
        <f t="shared" si="43"/>
        <v/>
      </c>
      <c r="H925" s="10" t="str">
        <f>IF(Registro!$G925="","",IF(ISERROR(FIND("x",LOWER(Registro!$G925))),"-",IFERROR(SUMPRODUCT(--("0"&amp;LEFT(TRIM(MID(SUBSTITUTE(SUBSTITUTE(SUBSTITUTE(SUBSTITUTE(SUBSTITUTE(LOWER(Registro!$G925),"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",LEN(Registro!$G925))),({1,2,3,4,5,6,7,8,9,10,11,12,13,14,15,16,17,18,19,20,21,22,23,24,25,26,27,28,29,30}-1)*LEN(Registro!$G925)+1,LEN(Registro!$G925))),FIND("x",TRIM(MID(SUBSTITUTE(SUBSTITUTE(SUBSTITUTE(SUBSTITUTE(SUBSTITUTE(LOWER(Registro!$G925),"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",LEN(Registro!$G925))),({1,2,3,4,5,6,7,8,9,10,11,12,13,14,15,16,17,18,19,20,21,22,23,24,25,26,27,28,29,30}-1)*LEN(Registro!$G925)+1,LEN(Registro!$G925)))&amp;"x")-1))),"Revisar formato")))</f>
        <v/>
      </c>
      <c r="I925" s="11" t="str">
        <f>IF(Registro!$G925="","",IF(ISERROR(FIND("x",LOWER(Registro!$G925))),N(Registro!$H925),IFERROR(SUMPRODUCT(--("0"&amp;LEFT(TRIM(MID(SUBSTITUTE(SUBSTITUTE(SUBSTITUTE(SUBSTITUTE(SUBSTITUTE(LOWER(Registro!$G925),"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",LEN(Registro!$G925))),({1,2,3,4,5,6,7,8,9,10,11,12,13,14,15,16,17,18,19,20,21,22,23,24,25,26,27,28,29,30}-1)*LEN(Registro!$G925)+1,LEN(Registro!$G925))),FIND("x",TRIM(MID(SUBSTITUTE(SUBSTITUTE(SUBSTITUTE(SUBSTITUTE(SUBSTITUTE(LOWER(Registro!$G925),"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",LEN(Registro!$G925))),({1,2,3,4,5,6,7,8,9,10,11,12,13,14,15,16,17,18,19,20,21,22,23,24,25,26,27,28,29,30}-1)*LEN(Registro!$G925)+1,LEN(Registro!$G925)))&amp;"x")-1)),--("0"&amp;MID(TRIM(MID(SUBSTITUTE(SUBSTITUTE(SUBSTITUTE(SUBSTITUTE(SUBSTITUTE(LOWER(Registro!$G925),"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",LEN(Registro!$G925))),({1,2,3,4,5,6,7,8,9,10,11,12,13,14,15,16,17,18,19,20,21,22,23,24,25,26,27,28,29,30}-1)*LEN(Registro!$G925)+1,LEN(Registro!$G925))),FIND("x",TRIM(MID(SUBSTITUTE(SUBSTITUTE(SUBSTITUTE(SUBSTITUTE(SUBSTITUTE(LOWER(Registro!$G925),"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",LEN(Registro!$G925))),({1,2,3,4,5,6,7,8,9,10,11,12,13,14,15,16,17,18,19,20,21,22,23,24,25,26,27,28,29,30}-1)*LEN(Registro!$G925)+1,LEN(Registro!$G925)))&amp;"x")+1,20))),"Revisar formato")))</f>
        <v/>
      </c>
      <c r="J925" s="9" t="str">
        <f>IF(AND(Registro!$E925="",Registro!$G925=""),"",IF(NOT(AND(ISNUMBER(I925),ISNUMBER(Registro!$H925))),"",IF(I925&lt;Registro!$H925,"FALTA BOLETOS",IF(I925=Registro!$H925,"CONFORME","DIFERENCIA"))))</f>
        <v/>
      </c>
      <c r="K925" s="11" t="str">
        <f>IF(Registro!$I925="","",IFERROR(SUMPRODUCT(--("0"&amp;TRIM(RIGHT(SUBSTITUTE(TRIM(MID(SUBSTITUTE(SUBSTITUTE(Registro!$I925,";",CHAR(10)),CHAR(10),REPT(" ",LEN(Registro!$I925))),({1,2,3,4,5,6,7,8,9,10,11,12,13,14,15,16,17,18,19,20,21,22,23,24,25,26,27,28,29,30}-1)*LEN(Registro!$I925)+1,LEN(Registro!$I925)))," ",REPT(" ",50)),50)))),"Revisar formato"))</f>
        <v/>
      </c>
      <c r="L925" s="11" t="str">
        <f>IF(Registro!$J925="","",IFERROR(SUMPRODUCT(--("0"&amp;TRIM(RIGHT(SUBSTITUTE(TRIM(MID(SUBSTITUTE(SUBSTITUTE(Registro!$J925,";",CHAR(10)),CHAR(10),REPT(" ",LEN(Registro!$J925))),({1,2,3,4,5,6,7,8,9,10,11,12,13,14,15,16,17,18,19,20,21,22,23,24,25,26,27,28,29,30}-1)*LEN(Registro!$J925)+1,LEN(Registro!$J925)))," ",REPT(" ",50)),50)))),"Revisar formato"))</f>
        <v/>
      </c>
      <c r="M925" s="11" t="str">
        <f>IF(AND(Registro!$H925="",Registro!$I925=""),"",IF(AND(ISTEXT(K925),K925&lt;&gt;""),"Revisar formato",N(Registro!$H925)-N(K925)))</f>
        <v/>
      </c>
      <c r="N925" s="11" t="str">
        <f t="shared" si="44"/>
        <v/>
      </c>
      <c r="O925" s="15" t="str">
        <f>IF(AND(A925=Consulta!$B$3,C925=Consulta!$H$3),B925*10000+ROW(),"")</f>
        <v/>
      </c>
    </row>
    <row r="926" spans="1:15" x14ac:dyDescent="0.25">
      <c r="A926" s="9" t="str">
        <f>IF(Registro!$A926="","",Registro!$A926)</f>
        <v/>
      </c>
      <c r="B926" s="8" t="str">
        <f>IF(Registro!$B926="","",Registro!$B926)</f>
        <v/>
      </c>
      <c r="C926" s="14" t="str">
        <f t="shared" si="42"/>
        <v/>
      </c>
      <c r="D926" s="10" t="str">
        <f>IF(Registro!$E926="","",IF(ISERROR(FIND("x",LOWER(Registro!$E926))),"-",IFERROR(SUMPRODUCT(--("0"&amp;LEFT(TRIM(MID(SUBSTITUTE(SUBSTITUTE(SUBSTITUTE(SUBSTITUTE(SUBSTITUTE(LOWER(Registro!$E926),"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",LEN(Registro!$E926))),({1,2,3,4,5,6,7,8,9,10,11,12,13,14,15,16,17,18,19,20,21,22,23,24,25,26,27,28,29,30}-1)*LEN(Registro!$E926)+1,LEN(Registro!$E926)))&amp;"x")-1))),"Revisar formato")))</f>
        <v/>
      </c>
      <c r="E926" s="11" t="str">
        <f>IF(Registro!$E926="","",IF(ISERROR(FIND("x",LOWER(Registro!$E926))),"-",IFERROR(SUMPRODUCT(--("0"&amp;LEFT(TRIM(MID(SUBSTITUTE(SUBSTITUTE(SUBSTITUTE(SUBSTITUTE(SUBSTITUTE(LOWER(Registro!$E926),"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",LEN(Registro!$E926))),({1,2,3,4,5,6,7,8,9,10,11,12,13,14,15,16,17,18,19,20,21,22,23,24,25,26,27,28,29,30}-1)*LEN(Registro!$E926)+1,LEN(Registro!$E926)))&amp;"x")-1)),--("0"&amp;MID(TRIM(MID(SUBSTITUTE(SUBSTITUTE(SUBSTITUTE(SUBSTITUTE(SUBSTITUTE(LOWER(Registro!$E926),"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",LEN(Registro!$E926))),({1,2,3,4,5,6,7,8,9,10,11,12,13,14,15,16,17,18,19,20,21,22,23,24,25,26,27,28,29,30}-1)*LEN(Registro!$E926)+1,LEN(Registro!$E926)))&amp;"x")+1,20))),"Revisar formato")))</f>
        <v/>
      </c>
      <c r="F926" s="11" t="str">
        <f>IF(Registro!$F926="","",N(Registro!$F926))</f>
        <v/>
      </c>
      <c r="G926" s="11" t="str">
        <f t="shared" si="43"/>
        <v/>
      </c>
      <c r="H926" s="10" t="str">
        <f>IF(Registro!$G926="","",IF(ISERROR(FIND("x",LOWER(Registro!$G926))),"-",IFERROR(SUMPRODUCT(--("0"&amp;LEFT(TRIM(MID(SUBSTITUTE(SUBSTITUTE(SUBSTITUTE(SUBSTITUTE(SUBSTITUTE(LOWER(Registro!$G926),"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",LEN(Registro!$G926))),({1,2,3,4,5,6,7,8,9,10,11,12,13,14,15,16,17,18,19,20,21,22,23,24,25,26,27,28,29,30}-1)*LEN(Registro!$G926)+1,LEN(Registro!$G926))),FIND("x",TRIM(MID(SUBSTITUTE(SUBSTITUTE(SUBSTITUTE(SUBSTITUTE(SUBSTITUTE(LOWER(Registro!$G926),"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",LEN(Registro!$G926))),({1,2,3,4,5,6,7,8,9,10,11,12,13,14,15,16,17,18,19,20,21,22,23,24,25,26,27,28,29,30}-1)*LEN(Registro!$G926)+1,LEN(Registro!$G926)))&amp;"x")-1))),"Revisar formato")))</f>
        <v/>
      </c>
      <c r="I926" s="11" t="str">
        <f>IF(Registro!$G926="","",IF(ISERROR(FIND("x",LOWER(Registro!$G926))),N(Registro!$H926),IFERROR(SUMPRODUCT(--("0"&amp;LEFT(TRIM(MID(SUBSTITUTE(SUBSTITUTE(SUBSTITUTE(SUBSTITUTE(SUBSTITUTE(LOWER(Registro!$G926),"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",LEN(Registro!$G926))),({1,2,3,4,5,6,7,8,9,10,11,12,13,14,15,16,17,18,19,20,21,22,23,24,25,26,27,28,29,30}-1)*LEN(Registro!$G926)+1,LEN(Registro!$G926))),FIND("x",TRIM(MID(SUBSTITUTE(SUBSTITUTE(SUBSTITUTE(SUBSTITUTE(SUBSTITUTE(LOWER(Registro!$G926),"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",LEN(Registro!$G926))),({1,2,3,4,5,6,7,8,9,10,11,12,13,14,15,16,17,18,19,20,21,22,23,24,25,26,27,28,29,30}-1)*LEN(Registro!$G926)+1,LEN(Registro!$G926)))&amp;"x")-1)),--("0"&amp;MID(TRIM(MID(SUBSTITUTE(SUBSTITUTE(SUBSTITUTE(SUBSTITUTE(SUBSTITUTE(LOWER(Registro!$G926),"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",LEN(Registro!$G926))),({1,2,3,4,5,6,7,8,9,10,11,12,13,14,15,16,17,18,19,20,21,22,23,24,25,26,27,28,29,30}-1)*LEN(Registro!$G926)+1,LEN(Registro!$G926))),FIND("x",TRIM(MID(SUBSTITUTE(SUBSTITUTE(SUBSTITUTE(SUBSTITUTE(SUBSTITUTE(LOWER(Registro!$G926),"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",LEN(Registro!$G926))),({1,2,3,4,5,6,7,8,9,10,11,12,13,14,15,16,17,18,19,20,21,22,23,24,25,26,27,28,29,30}-1)*LEN(Registro!$G926)+1,LEN(Registro!$G926)))&amp;"x")+1,20))),"Revisar formato")))</f>
        <v/>
      </c>
      <c r="J926" s="9" t="str">
        <f>IF(AND(Registro!$E926="",Registro!$G926=""),"",IF(NOT(AND(ISNUMBER(I926),ISNUMBER(Registro!$H926))),"",IF(I926&lt;Registro!$H926,"FALTA BOLETOS",IF(I926=Registro!$H926,"CONFORME","DIFERENCIA"))))</f>
        <v/>
      </c>
      <c r="K926" s="11" t="str">
        <f>IF(Registro!$I926="","",IFERROR(SUMPRODUCT(--("0"&amp;TRIM(RIGHT(SUBSTITUTE(TRIM(MID(SUBSTITUTE(SUBSTITUTE(Registro!$I926,";",CHAR(10)),CHAR(10),REPT(" ",LEN(Registro!$I926))),({1,2,3,4,5,6,7,8,9,10,11,12,13,14,15,16,17,18,19,20,21,22,23,24,25,26,27,28,29,30}-1)*LEN(Registro!$I926)+1,LEN(Registro!$I926)))," ",REPT(" ",50)),50)))),"Revisar formato"))</f>
        <v/>
      </c>
      <c r="L926" s="11" t="str">
        <f>IF(Registro!$J926="","",IFERROR(SUMPRODUCT(--("0"&amp;TRIM(RIGHT(SUBSTITUTE(TRIM(MID(SUBSTITUTE(SUBSTITUTE(Registro!$J926,";",CHAR(10)),CHAR(10),REPT(" ",LEN(Registro!$J926))),({1,2,3,4,5,6,7,8,9,10,11,12,13,14,15,16,17,18,19,20,21,22,23,24,25,26,27,28,29,30}-1)*LEN(Registro!$J926)+1,LEN(Registro!$J926)))," ",REPT(" ",50)),50)))),"Revisar formato"))</f>
        <v/>
      </c>
      <c r="M926" s="11" t="str">
        <f>IF(AND(Registro!$H926="",Registro!$I926=""),"",IF(AND(ISTEXT(K926),K926&lt;&gt;""),"Revisar formato",N(Registro!$H926)-N(K926)))</f>
        <v/>
      </c>
      <c r="N926" s="11" t="str">
        <f t="shared" si="44"/>
        <v/>
      </c>
      <c r="O926" s="15" t="str">
        <f>IF(AND(A926=Consulta!$B$3,C926=Consulta!$H$3),B926*10000+ROW(),"")</f>
        <v/>
      </c>
    </row>
    <row r="927" spans="1:15" x14ac:dyDescent="0.25">
      <c r="A927" s="9" t="str">
        <f>IF(Registro!$A927="","",Registro!$A927)</f>
        <v/>
      </c>
      <c r="B927" s="8" t="str">
        <f>IF(Registro!$B927="","",Registro!$B927)</f>
        <v/>
      </c>
      <c r="C927" s="14" t="str">
        <f t="shared" si="42"/>
        <v/>
      </c>
      <c r="D927" s="10" t="str">
        <f>IF(Registro!$E927="","",IF(ISERROR(FIND("x",LOWER(Registro!$E927))),"-",IFERROR(SUMPRODUCT(--("0"&amp;LEFT(TRIM(MID(SUBSTITUTE(SUBSTITUTE(SUBSTITUTE(SUBSTITUTE(SUBSTITUTE(LOWER(Registro!$E927),"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",LEN(Registro!$E927))),({1,2,3,4,5,6,7,8,9,10,11,12,13,14,15,16,17,18,19,20,21,22,23,24,25,26,27,28,29,30}-1)*LEN(Registro!$E927)+1,LEN(Registro!$E927)))&amp;"x")-1))),"Revisar formato")))</f>
        <v/>
      </c>
      <c r="E927" s="11" t="str">
        <f>IF(Registro!$E927="","",IF(ISERROR(FIND("x",LOWER(Registro!$E927))),"-",IFERROR(SUMPRODUCT(--("0"&amp;LEFT(TRIM(MID(SUBSTITUTE(SUBSTITUTE(SUBSTITUTE(SUBSTITUTE(SUBSTITUTE(LOWER(Registro!$E927),"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",LEN(Registro!$E927))),({1,2,3,4,5,6,7,8,9,10,11,12,13,14,15,16,17,18,19,20,21,22,23,24,25,26,27,28,29,30}-1)*LEN(Registro!$E927)+1,LEN(Registro!$E927)))&amp;"x")-1)),--("0"&amp;MID(TRIM(MID(SUBSTITUTE(SUBSTITUTE(SUBSTITUTE(SUBSTITUTE(SUBSTITUTE(LOWER(Registro!$E927),"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",LEN(Registro!$E927))),({1,2,3,4,5,6,7,8,9,10,11,12,13,14,15,16,17,18,19,20,21,22,23,24,25,26,27,28,29,30}-1)*LEN(Registro!$E927)+1,LEN(Registro!$E927)))&amp;"x")+1,20))),"Revisar formato")))</f>
        <v/>
      </c>
      <c r="F927" s="11" t="str">
        <f>IF(Registro!$F927="","",N(Registro!$F927))</f>
        <v/>
      </c>
      <c r="G927" s="11" t="str">
        <f t="shared" si="43"/>
        <v/>
      </c>
      <c r="H927" s="10" t="str">
        <f>IF(Registro!$G927="","",IF(ISERROR(FIND("x",LOWER(Registro!$G927))),"-",IFERROR(SUMPRODUCT(--("0"&amp;LEFT(TRIM(MID(SUBSTITUTE(SUBSTITUTE(SUBSTITUTE(SUBSTITUTE(SUBSTITUTE(LOWER(Registro!$G927),"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",LEN(Registro!$G927))),({1,2,3,4,5,6,7,8,9,10,11,12,13,14,15,16,17,18,19,20,21,22,23,24,25,26,27,28,29,30}-1)*LEN(Registro!$G927)+1,LEN(Registro!$G927))),FIND("x",TRIM(MID(SUBSTITUTE(SUBSTITUTE(SUBSTITUTE(SUBSTITUTE(SUBSTITUTE(LOWER(Registro!$G927),"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",LEN(Registro!$G927))),({1,2,3,4,5,6,7,8,9,10,11,12,13,14,15,16,17,18,19,20,21,22,23,24,25,26,27,28,29,30}-1)*LEN(Registro!$G927)+1,LEN(Registro!$G927)))&amp;"x")-1))),"Revisar formato")))</f>
        <v/>
      </c>
      <c r="I927" s="11" t="str">
        <f>IF(Registro!$G927="","",IF(ISERROR(FIND("x",LOWER(Registro!$G927))),N(Registro!$H927),IFERROR(SUMPRODUCT(--("0"&amp;LEFT(TRIM(MID(SUBSTITUTE(SUBSTITUTE(SUBSTITUTE(SUBSTITUTE(SUBSTITUTE(LOWER(Registro!$G927),"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",LEN(Registro!$G927))),({1,2,3,4,5,6,7,8,9,10,11,12,13,14,15,16,17,18,19,20,21,22,23,24,25,26,27,28,29,30}-1)*LEN(Registro!$G927)+1,LEN(Registro!$G927))),FIND("x",TRIM(MID(SUBSTITUTE(SUBSTITUTE(SUBSTITUTE(SUBSTITUTE(SUBSTITUTE(LOWER(Registro!$G927),"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",LEN(Registro!$G927))),({1,2,3,4,5,6,7,8,9,10,11,12,13,14,15,16,17,18,19,20,21,22,23,24,25,26,27,28,29,30}-1)*LEN(Registro!$G927)+1,LEN(Registro!$G927)))&amp;"x")-1)),--("0"&amp;MID(TRIM(MID(SUBSTITUTE(SUBSTITUTE(SUBSTITUTE(SUBSTITUTE(SUBSTITUTE(LOWER(Registro!$G927),"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",LEN(Registro!$G927))),({1,2,3,4,5,6,7,8,9,10,11,12,13,14,15,16,17,18,19,20,21,22,23,24,25,26,27,28,29,30}-1)*LEN(Registro!$G927)+1,LEN(Registro!$G927))),FIND("x",TRIM(MID(SUBSTITUTE(SUBSTITUTE(SUBSTITUTE(SUBSTITUTE(SUBSTITUTE(LOWER(Registro!$G927),"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",LEN(Registro!$G927))),({1,2,3,4,5,6,7,8,9,10,11,12,13,14,15,16,17,18,19,20,21,22,23,24,25,26,27,28,29,30}-1)*LEN(Registro!$G927)+1,LEN(Registro!$G927)))&amp;"x")+1,20))),"Revisar formato")))</f>
        <v/>
      </c>
      <c r="J927" s="9" t="str">
        <f>IF(AND(Registro!$E927="",Registro!$G927=""),"",IF(NOT(AND(ISNUMBER(I927),ISNUMBER(Registro!$H927))),"",IF(I927&lt;Registro!$H927,"FALTA BOLETOS",IF(I927=Registro!$H927,"CONFORME","DIFERENCIA"))))</f>
        <v/>
      </c>
      <c r="K927" s="11" t="str">
        <f>IF(Registro!$I927="","",IFERROR(SUMPRODUCT(--("0"&amp;TRIM(RIGHT(SUBSTITUTE(TRIM(MID(SUBSTITUTE(SUBSTITUTE(Registro!$I927,";",CHAR(10)),CHAR(10),REPT(" ",LEN(Registro!$I927))),({1,2,3,4,5,6,7,8,9,10,11,12,13,14,15,16,17,18,19,20,21,22,23,24,25,26,27,28,29,30}-1)*LEN(Registro!$I927)+1,LEN(Registro!$I927)))," ",REPT(" ",50)),50)))),"Revisar formato"))</f>
        <v/>
      </c>
      <c r="L927" s="11" t="str">
        <f>IF(Registro!$J927="","",IFERROR(SUMPRODUCT(--("0"&amp;TRIM(RIGHT(SUBSTITUTE(TRIM(MID(SUBSTITUTE(SUBSTITUTE(Registro!$J927,";",CHAR(10)),CHAR(10),REPT(" ",LEN(Registro!$J927))),({1,2,3,4,5,6,7,8,9,10,11,12,13,14,15,16,17,18,19,20,21,22,23,24,25,26,27,28,29,30}-1)*LEN(Registro!$J927)+1,LEN(Registro!$J927)))," ",REPT(" ",50)),50)))),"Revisar formato"))</f>
        <v/>
      </c>
      <c r="M927" s="11" t="str">
        <f>IF(AND(Registro!$H927="",Registro!$I927=""),"",IF(AND(ISTEXT(K927),K927&lt;&gt;""),"Revisar formato",N(Registro!$H927)-N(K927)))</f>
        <v/>
      </c>
      <c r="N927" s="11" t="str">
        <f t="shared" si="44"/>
        <v/>
      </c>
      <c r="O927" s="15" t="str">
        <f>IF(AND(A927=Consulta!$B$3,C927=Consulta!$H$3),B927*10000+ROW(),"")</f>
        <v/>
      </c>
    </row>
    <row r="928" spans="1:15" x14ac:dyDescent="0.25">
      <c r="A928" s="9" t="str">
        <f>IF(Registro!$A928="","",Registro!$A928)</f>
        <v/>
      </c>
      <c r="B928" s="8" t="str">
        <f>IF(Registro!$B928="","",Registro!$B928)</f>
        <v/>
      </c>
      <c r="C928" s="14" t="str">
        <f t="shared" si="42"/>
        <v/>
      </c>
      <c r="D928" s="10" t="str">
        <f>IF(Registro!$E928="","",IF(ISERROR(FIND("x",LOWER(Registro!$E928))),"-",IFERROR(SUMPRODUCT(--("0"&amp;LEFT(TRIM(MID(SUBSTITUTE(SUBSTITUTE(SUBSTITUTE(SUBSTITUTE(SUBSTITUTE(LOWER(Registro!$E928),"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",LEN(Registro!$E928))),({1,2,3,4,5,6,7,8,9,10,11,12,13,14,15,16,17,18,19,20,21,22,23,24,25,26,27,28,29,30}-1)*LEN(Registro!$E928)+1,LEN(Registro!$E928)))&amp;"x")-1))),"Revisar formato")))</f>
        <v/>
      </c>
      <c r="E928" s="11" t="str">
        <f>IF(Registro!$E928="","",IF(ISERROR(FIND("x",LOWER(Registro!$E928))),"-",IFERROR(SUMPRODUCT(--("0"&amp;LEFT(TRIM(MID(SUBSTITUTE(SUBSTITUTE(SUBSTITUTE(SUBSTITUTE(SUBSTITUTE(LOWER(Registro!$E928),"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",LEN(Registro!$E928))),({1,2,3,4,5,6,7,8,9,10,11,12,13,14,15,16,17,18,19,20,21,22,23,24,25,26,27,28,29,30}-1)*LEN(Registro!$E928)+1,LEN(Registro!$E928)))&amp;"x")-1)),--("0"&amp;MID(TRIM(MID(SUBSTITUTE(SUBSTITUTE(SUBSTITUTE(SUBSTITUTE(SUBSTITUTE(LOWER(Registro!$E928),"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",LEN(Registro!$E928))),({1,2,3,4,5,6,7,8,9,10,11,12,13,14,15,16,17,18,19,20,21,22,23,24,25,26,27,28,29,30}-1)*LEN(Registro!$E928)+1,LEN(Registro!$E928)))&amp;"x")+1,20))),"Revisar formato")))</f>
        <v/>
      </c>
      <c r="F928" s="11" t="str">
        <f>IF(Registro!$F928="","",N(Registro!$F928))</f>
        <v/>
      </c>
      <c r="G928" s="11" t="str">
        <f t="shared" si="43"/>
        <v/>
      </c>
      <c r="H928" s="10" t="str">
        <f>IF(Registro!$G928="","",IF(ISERROR(FIND("x",LOWER(Registro!$G928))),"-",IFERROR(SUMPRODUCT(--("0"&amp;LEFT(TRIM(MID(SUBSTITUTE(SUBSTITUTE(SUBSTITUTE(SUBSTITUTE(SUBSTITUTE(LOWER(Registro!$G928),"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",LEN(Registro!$G928))),({1,2,3,4,5,6,7,8,9,10,11,12,13,14,15,16,17,18,19,20,21,22,23,24,25,26,27,28,29,30}-1)*LEN(Registro!$G928)+1,LEN(Registro!$G928))),FIND("x",TRIM(MID(SUBSTITUTE(SUBSTITUTE(SUBSTITUTE(SUBSTITUTE(SUBSTITUTE(LOWER(Registro!$G928),"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",LEN(Registro!$G928))),({1,2,3,4,5,6,7,8,9,10,11,12,13,14,15,16,17,18,19,20,21,22,23,24,25,26,27,28,29,30}-1)*LEN(Registro!$G928)+1,LEN(Registro!$G928)))&amp;"x")-1))),"Revisar formato")))</f>
        <v/>
      </c>
      <c r="I928" s="11" t="str">
        <f>IF(Registro!$G928="","",IF(ISERROR(FIND("x",LOWER(Registro!$G928))),N(Registro!$H928),IFERROR(SUMPRODUCT(--("0"&amp;LEFT(TRIM(MID(SUBSTITUTE(SUBSTITUTE(SUBSTITUTE(SUBSTITUTE(SUBSTITUTE(LOWER(Registro!$G928),"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",LEN(Registro!$G928))),({1,2,3,4,5,6,7,8,9,10,11,12,13,14,15,16,17,18,19,20,21,22,23,24,25,26,27,28,29,30}-1)*LEN(Registro!$G928)+1,LEN(Registro!$G928))),FIND("x",TRIM(MID(SUBSTITUTE(SUBSTITUTE(SUBSTITUTE(SUBSTITUTE(SUBSTITUTE(LOWER(Registro!$G928),"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",LEN(Registro!$G928))),({1,2,3,4,5,6,7,8,9,10,11,12,13,14,15,16,17,18,19,20,21,22,23,24,25,26,27,28,29,30}-1)*LEN(Registro!$G928)+1,LEN(Registro!$G928)))&amp;"x")-1)),--("0"&amp;MID(TRIM(MID(SUBSTITUTE(SUBSTITUTE(SUBSTITUTE(SUBSTITUTE(SUBSTITUTE(LOWER(Registro!$G928),"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",LEN(Registro!$G928))),({1,2,3,4,5,6,7,8,9,10,11,12,13,14,15,16,17,18,19,20,21,22,23,24,25,26,27,28,29,30}-1)*LEN(Registro!$G928)+1,LEN(Registro!$G928))),FIND("x",TRIM(MID(SUBSTITUTE(SUBSTITUTE(SUBSTITUTE(SUBSTITUTE(SUBSTITUTE(LOWER(Registro!$G928),"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",LEN(Registro!$G928))),({1,2,3,4,5,6,7,8,9,10,11,12,13,14,15,16,17,18,19,20,21,22,23,24,25,26,27,28,29,30}-1)*LEN(Registro!$G928)+1,LEN(Registro!$G928)))&amp;"x")+1,20))),"Revisar formato")))</f>
        <v/>
      </c>
      <c r="J928" s="9" t="str">
        <f>IF(AND(Registro!$E928="",Registro!$G928=""),"",IF(NOT(AND(ISNUMBER(I928),ISNUMBER(Registro!$H928))),"",IF(I928&lt;Registro!$H928,"FALTA BOLETOS",IF(I928=Registro!$H928,"CONFORME","DIFERENCIA"))))</f>
        <v/>
      </c>
      <c r="K928" s="11" t="str">
        <f>IF(Registro!$I928="","",IFERROR(SUMPRODUCT(--("0"&amp;TRIM(RIGHT(SUBSTITUTE(TRIM(MID(SUBSTITUTE(SUBSTITUTE(Registro!$I928,";",CHAR(10)),CHAR(10),REPT(" ",LEN(Registro!$I928))),({1,2,3,4,5,6,7,8,9,10,11,12,13,14,15,16,17,18,19,20,21,22,23,24,25,26,27,28,29,30}-1)*LEN(Registro!$I928)+1,LEN(Registro!$I928)))," ",REPT(" ",50)),50)))),"Revisar formato"))</f>
        <v/>
      </c>
      <c r="L928" s="11" t="str">
        <f>IF(Registro!$J928="","",IFERROR(SUMPRODUCT(--("0"&amp;TRIM(RIGHT(SUBSTITUTE(TRIM(MID(SUBSTITUTE(SUBSTITUTE(Registro!$J928,";",CHAR(10)),CHAR(10),REPT(" ",LEN(Registro!$J928))),({1,2,3,4,5,6,7,8,9,10,11,12,13,14,15,16,17,18,19,20,21,22,23,24,25,26,27,28,29,30}-1)*LEN(Registro!$J928)+1,LEN(Registro!$J928)))," ",REPT(" ",50)),50)))),"Revisar formato"))</f>
        <v/>
      </c>
      <c r="M928" s="11" t="str">
        <f>IF(AND(Registro!$H928="",Registro!$I928=""),"",IF(AND(ISTEXT(K928),K928&lt;&gt;""),"Revisar formato",N(Registro!$H928)-N(K928)))</f>
        <v/>
      </c>
      <c r="N928" s="11" t="str">
        <f t="shared" si="44"/>
        <v/>
      </c>
      <c r="O928" s="15" t="str">
        <f>IF(AND(A928=Consulta!$B$3,C928=Consulta!$H$3),B928*10000+ROW(),"")</f>
        <v/>
      </c>
    </row>
    <row r="929" spans="1:15" x14ac:dyDescent="0.25">
      <c r="A929" s="9" t="str">
        <f>IF(Registro!$A929="","",Registro!$A929)</f>
        <v/>
      </c>
      <c r="B929" s="8" t="str">
        <f>IF(Registro!$B929="","",Registro!$B929)</f>
        <v/>
      </c>
      <c r="C929" s="14" t="str">
        <f t="shared" si="42"/>
        <v/>
      </c>
      <c r="D929" s="10" t="str">
        <f>IF(Registro!$E929="","",IF(ISERROR(FIND("x",LOWER(Registro!$E929))),"-",IFERROR(SUMPRODUCT(--("0"&amp;LEFT(TRIM(MID(SUBSTITUTE(SUBSTITUTE(SUBSTITUTE(SUBSTITUTE(SUBSTITUTE(LOWER(Registro!$E929),"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",LEN(Registro!$E929))),({1,2,3,4,5,6,7,8,9,10,11,12,13,14,15,16,17,18,19,20,21,22,23,24,25,26,27,28,29,30}-1)*LEN(Registro!$E929)+1,LEN(Registro!$E929)))&amp;"x")-1))),"Revisar formato")))</f>
        <v/>
      </c>
      <c r="E929" s="11" t="str">
        <f>IF(Registro!$E929="","",IF(ISERROR(FIND("x",LOWER(Registro!$E929))),"-",IFERROR(SUMPRODUCT(--("0"&amp;LEFT(TRIM(MID(SUBSTITUTE(SUBSTITUTE(SUBSTITUTE(SUBSTITUTE(SUBSTITUTE(LOWER(Registro!$E929),"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",LEN(Registro!$E929))),({1,2,3,4,5,6,7,8,9,10,11,12,13,14,15,16,17,18,19,20,21,22,23,24,25,26,27,28,29,30}-1)*LEN(Registro!$E929)+1,LEN(Registro!$E929)))&amp;"x")-1)),--("0"&amp;MID(TRIM(MID(SUBSTITUTE(SUBSTITUTE(SUBSTITUTE(SUBSTITUTE(SUBSTITUTE(LOWER(Registro!$E929),"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",LEN(Registro!$E929))),({1,2,3,4,5,6,7,8,9,10,11,12,13,14,15,16,17,18,19,20,21,22,23,24,25,26,27,28,29,30}-1)*LEN(Registro!$E929)+1,LEN(Registro!$E929)))&amp;"x")+1,20))),"Revisar formato")))</f>
        <v/>
      </c>
      <c r="F929" s="11" t="str">
        <f>IF(Registro!$F929="","",N(Registro!$F929))</f>
        <v/>
      </c>
      <c r="G929" s="11" t="str">
        <f t="shared" si="43"/>
        <v/>
      </c>
      <c r="H929" s="10" t="str">
        <f>IF(Registro!$G929="","",IF(ISERROR(FIND("x",LOWER(Registro!$G929))),"-",IFERROR(SUMPRODUCT(--("0"&amp;LEFT(TRIM(MID(SUBSTITUTE(SUBSTITUTE(SUBSTITUTE(SUBSTITUTE(SUBSTITUTE(LOWER(Registro!$G929),"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",LEN(Registro!$G929))),({1,2,3,4,5,6,7,8,9,10,11,12,13,14,15,16,17,18,19,20,21,22,23,24,25,26,27,28,29,30}-1)*LEN(Registro!$G929)+1,LEN(Registro!$G929))),FIND("x",TRIM(MID(SUBSTITUTE(SUBSTITUTE(SUBSTITUTE(SUBSTITUTE(SUBSTITUTE(LOWER(Registro!$G929),"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",LEN(Registro!$G929))),({1,2,3,4,5,6,7,8,9,10,11,12,13,14,15,16,17,18,19,20,21,22,23,24,25,26,27,28,29,30}-1)*LEN(Registro!$G929)+1,LEN(Registro!$G929)))&amp;"x")-1))),"Revisar formato")))</f>
        <v/>
      </c>
      <c r="I929" s="11" t="str">
        <f>IF(Registro!$G929="","",IF(ISERROR(FIND("x",LOWER(Registro!$G929))),N(Registro!$H929),IFERROR(SUMPRODUCT(--("0"&amp;LEFT(TRIM(MID(SUBSTITUTE(SUBSTITUTE(SUBSTITUTE(SUBSTITUTE(SUBSTITUTE(LOWER(Registro!$G929),"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",LEN(Registro!$G929))),({1,2,3,4,5,6,7,8,9,10,11,12,13,14,15,16,17,18,19,20,21,22,23,24,25,26,27,28,29,30}-1)*LEN(Registro!$G929)+1,LEN(Registro!$G929))),FIND("x",TRIM(MID(SUBSTITUTE(SUBSTITUTE(SUBSTITUTE(SUBSTITUTE(SUBSTITUTE(LOWER(Registro!$G929),"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",LEN(Registro!$G929))),({1,2,3,4,5,6,7,8,9,10,11,12,13,14,15,16,17,18,19,20,21,22,23,24,25,26,27,28,29,30}-1)*LEN(Registro!$G929)+1,LEN(Registro!$G929)))&amp;"x")-1)),--("0"&amp;MID(TRIM(MID(SUBSTITUTE(SUBSTITUTE(SUBSTITUTE(SUBSTITUTE(SUBSTITUTE(LOWER(Registro!$G929),"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",LEN(Registro!$G929))),({1,2,3,4,5,6,7,8,9,10,11,12,13,14,15,16,17,18,19,20,21,22,23,24,25,26,27,28,29,30}-1)*LEN(Registro!$G929)+1,LEN(Registro!$G929))),FIND("x",TRIM(MID(SUBSTITUTE(SUBSTITUTE(SUBSTITUTE(SUBSTITUTE(SUBSTITUTE(LOWER(Registro!$G929),"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",LEN(Registro!$G929))),({1,2,3,4,5,6,7,8,9,10,11,12,13,14,15,16,17,18,19,20,21,22,23,24,25,26,27,28,29,30}-1)*LEN(Registro!$G929)+1,LEN(Registro!$G929)))&amp;"x")+1,20))),"Revisar formato")))</f>
        <v/>
      </c>
      <c r="J929" s="9" t="str">
        <f>IF(AND(Registro!$E929="",Registro!$G929=""),"",IF(NOT(AND(ISNUMBER(I929),ISNUMBER(Registro!$H929))),"",IF(I929&lt;Registro!$H929,"FALTA BOLETOS",IF(I929=Registro!$H929,"CONFORME","DIFERENCIA"))))</f>
        <v/>
      </c>
      <c r="K929" s="11" t="str">
        <f>IF(Registro!$I929="","",IFERROR(SUMPRODUCT(--("0"&amp;TRIM(RIGHT(SUBSTITUTE(TRIM(MID(SUBSTITUTE(SUBSTITUTE(Registro!$I929,";",CHAR(10)),CHAR(10),REPT(" ",LEN(Registro!$I929))),({1,2,3,4,5,6,7,8,9,10,11,12,13,14,15,16,17,18,19,20,21,22,23,24,25,26,27,28,29,30}-1)*LEN(Registro!$I929)+1,LEN(Registro!$I929)))," ",REPT(" ",50)),50)))),"Revisar formato"))</f>
        <v/>
      </c>
      <c r="L929" s="11" t="str">
        <f>IF(Registro!$J929="","",IFERROR(SUMPRODUCT(--("0"&amp;TRIM(RIGHT(SUBSTITUTE(TRIM(MID(SUBSTITUTE(SUBSTITUTE(Registro!$J929,";",CHAR(10)),CHAR(10),REPT(" ",LEN(Registro!$J929))),({1,2,3,4,5,6,7,8,9,10,11,12,13,14,15,16,17,18,19,20,21,22,23,24,25,26,27,28,29,30}-1)*LEN(Registro!$J929)+1,LEN(Registro!$J929)))," ",REPT(" ",50)),50)))),"Revisar formato"))</f>
        <v/>
      </c>
      <c r="M929" s="11" t="str">
        <f>IF(AND(Registro!$H929="",Registro!$I929=""),"",IF(AND(ISTEXT(K929),K929&lt;&gt;""),"Revisar formato",N(Registro!$H929)-N(K929)))</f>
        <v/>
      </c>
      <c r="N929" s="11" t="str">
        <f t="shared" si="44"/>
        <v/>
      </c>
      <c r="O929" s="15" t="str">
        <f>IF(AND(A929=Consulta!$B$3,C929=Consulta!$H$3),B929*10000+ROW(),"")</f>
        <v/>
      </c>
    </row>
    <row r="930" spans="1:15" x14ac:dyDescent="0.25">
      <c r="A930" s="9" t="str">
        <f>IF(Registro!$A930="","",Registro!$A930)</f>
        <v/>
      </c>
      <c r="B930" s="8" t="str">
        <f>IF(Registro!$B930="","",Registro!$B930)</f>
        <v/>
      </c>
      <c r="C930" s="14" t="str">
        <f t="shared" si="42"/>
        <v/>
      </c>
      <c r="D930" s="10" t="str">
        <f>IF(Registro!$E930="","",IF(ISERROR(FIND("x",LOWER(Registro!$E930))),"-",IFERROR(SUMPRODUCT(--("0"&amp;LEFT(TRIM(MID(SUBSTITUTE(SUBSTITUTE(SUBSTITUTE(SUBSTITUTE(SUBSTITUTE(LOWER(Registro!$E930),"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",LEN(Registro!$E930))),({1,2,3,4,5,6,7,8,9,10,11,12,13,14,15,16,17,18,19,20,21,22,23,24,25,26,27,28,29,30}-1)*LEN(Registro!$E930)+1,LEN(Registro!$E930)))&amp;"x")-1))),"Revisar formato")))</f>
        <v/>
      </c>
      <c r="E930" s="11" t="str">
        <f>IF(Registro!$E930="","",IF(ISERROR(FIND("x",LOWER(Registro!$E930))),"-",IFERROR(SUMPRODUCT(--("0"&amp;LEFT(TRIM(MID(SUBSTITUTE(SUBSTITUTE(SUBSTITUTE(SUBSTITUTE(SUBSTITUTE(LOWER(Registro!$E930),"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",LEN(Registro!$E930))),({1,2,3,4,5,6,7,8,9,10,11,12,13,14,15,16,17,18,19,20,21,22,23,24,25,26,27,28,29,30}-1)*LEN(Registro!$E930)+1,LEN(Registro!$E930)))&amp;"x")-1)),--("0"&amp;MID(TRIM(MID(SUBSTITUTE(SUBSTITUTE(SUBSTITUTE(SUBSTITUTE(SUBSTITUTE(LOWER(Registro!$E930),"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",LEN(Registro!$E930))),({1,2,3,4,5,6,7,8,9,10,11,12,13,14,15,16,17,18,19,20,21,22,23,24,25,26,27,28,29,30}-1)*LEN(Registro!$E930)+1,LEN(Registro!$E930)))&amp;"x")+1,20))),"Revisar formato")))</f>
        <v/>
      </c>
      <c r="F930" s="11" t="str">
        <f>IF(Registro!$F930="","",N(Registro!$F930))</f>
        <v/>
      </c>
      <c r="G930" s="11" t="str">
        <f t="shared" si="43"/>
        <v/>
      </c>
      <c r="H930" s="10" t="str">
        <f>IF(Registro!$G930="","",IF(ISERROR(FIND("x",LOWER(Registro!$G930))),"-",IFERROR(SUMPRODUCT(--("0"&amp;LEFT(TRIM(MID(SUBSTITUTE(SUBSTITUTE(SUBSTITUTE(SUBSTITUTE(SUBSTITUTE(LOWER(Registro!$G930),"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",LEN(Registro!$G930))),({1,2,3,4,5,6,7,8,9,10,11,12,13,14,15,16,17,18,19,20,21,22,23,24,25,26,27,28,29,30}-1)*LEN(Registro!$G930)+1,LEN(Registro!$G930))),FIND("x",TRIM(MID(SUBSTITUTE(SUBSTITUTE(SUBSTITUTE(SUBSTITUTE(SUBSTITUTE(LOWER(Registro!$G930),"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",LEN(Registro!$G930))),({1,2,3,4,5,6,7,8,9,10,11,12,13,14,15,16,17,18,19,20,21,22,23,24,25,26,27,28,29,30}-1)*LEN(Registro!$G930)+1,LEN(Registro!$G930)))&amp;"x")-1))),"Revisar formato")))</f>
        <v/>
      </c>
      <c r="I930" s="11" t="str">
        <f>IF(Registro!$G930="","",IF(ISERROR(FIND("x",LOWER(Registro!$G930))),N(Registro!$H930),IFERROR(SUMPRODUCT(--("0"&amp;LEFT(TRIM(MID(SUBSTITUTE(SUBSTITUTE(SUBSTITUTE(SUBSTITUTE(SUBSTITUTE(LOWER(Registro!$G930),"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",LEN(Registro!$G930))),({1,2,3,4,5,6,7,8,9,10,11,12,13,14,15,16,17,18,19,20,21,22,23,24,25,26,27,28,29,30}-1)*LEN(Registro!$G930)+1,LEN(Registro!$G930))),FIND("x",TRIM(MID(SUBSTITUTE(SUBSTITUTE(SUBSTITUTE(SUBSTITUTE(SUBSTITUTE(LOWER(Registro!$G930),"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",LEN(Registro!$G930))),({1,2,3,4,5,6,7,8,9,10,11,12,13,14,15,16,17,18,19,20,21,22,23,24,25,26,27,28,29,30}-1)*LEN(Registro!$G930)+1,LEN(Registro!$G930)))&amp;"x")-1)),--("0"&amp;MID(TRIM(MID(SUBSTITUTE(SUBSTITUTE(SUBSTITUTE(SUBSTITUTE(SUBSTITUTE(LOWER(Registro!$G930),"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",LEN(Registro!$G930))),({1,2,3,4,5,6,7,8,9,10,11,12,13,14,15,16,17,18,19,20,21,22,23,24,25,26,27,28,29,30}-1)*LEN(Registro!$G930)+1,LEN(Registro!$G930))),FIND("x",TRIM(MID(SUBSTITUTE(SUBSTITUTE(SUBSTITUTE(SUBSTITUTE(SUBSTITUTE(LOWER(Registro!$G930),"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",LEN(Registro!$G930))),({1,2,3,4,5,6,7,8,9,10,11,12,13,14,15,16,17,18,19,20,21,22,23,24,25,26,27,28,29,30}-1)*LEN(Registro!$G930)+1,LEN(Registro!$G930)))&amp;"x")+1,20))),"Revisar formato")))</f>
        <v/>
      </c>
      <c r="J930" s="9" t="str">
        <f>IF(AND(Registro!$E930="",Registro!$G930=""),"",IF(NOT(AND(ISNUMBER(I930),ISNUMBER(Registro!$H930))),"",IF(I930&lt;Registro!$H930,"FALTA BOLETOS",IF(I930=Registro!$H930,"CONFORME","DIFERENCIA"))))</f>
        <v/>
      </c>
      <c r="K930" s="11" t="str">
        <f>IF(Registro!$I930="","",IFERROR(SUMPRODUCT(--("0"&amp;TRIM(RIGHT(SUBSTITUTE(TRIM(MID(SUBSTITUTE(SUBSTITUTE(Registro!$I930,";",CHAR(10)),CHAR(10),REPT(" ",LEN(Registro!$I930))),({1,2,3,4,5,6,7,8,9,10,11,12,13,14,15,16,17,18,19,20,21,22,23,24,25,26,27,28,29,30}-1)*LEN(Registro!$I930)+1,LEN(Registro!$I930)))," ",REPT(" ",50)),50)))),"Revisar formato"))</f>
        <v/>
      </c>
      <c r="L930" s="11" t="str">
        <f>IF(Registro!$J930="","",IFERROR(SUMPRODUCT(--("0"&amp;TRIM(RIGHT(SUBSTITUTE(TRIM(MID(SUBSTITUTE(SUBSTITUTE(Registro!$J930,";",CHAR(10)),CHAR(10),REPT(" ",LEN(Registro!$J930))),({1,2,3,4,5,6,7,8,9,10,11,12,13,14,15,16,17,18,19,20,21,22,23,24,25,26,27,28,29,30}-1)*LEN(Registro!$J930)+1,LEN(Registro!$J930)))," ",REPT(" ",50)),50)))),"Revisar formato"))</f>
        <v/>
      </c>
      <c r="M930" s="11" t="str">
        <f>IF(AND(Registro!$H930="",Registro!$I930=""),"",IF(AND(ISTEXT(K930),K930&lt;&gt;""),"Revisar formato",N(Registro!$H930)-N(K930)))</f>
        <v/>
      </c>
      <c r="N930" s="11" t="str">
        <f t="shared" si="44"/>
        <v/>
      </c>
      <c r="O930" s="15" t="str">
        <f>IF(AND(A930=Consulta!$B$3,C930=Consulta!$H$3),B930*10000+ROW(),"")</f>
        <v/>
      </c>
    </row>
    <row r="931" spans="1:15" x14ac:dyDescent="0.25">
      <c r="A931" s="9" t="str">
        <f>IF(Registro!$A931="","",Registro!$A931)</f>
        <v/>
      </c>
      <c r="B931" s="8" t="str">
        <f>IF(Registro!$B931="","",Registro!$B931)</f>
        <v/>
      </c>
      <c r="C931" s="14" t="str">
        <f t="shared" si="42"/>
        <v/>
      </c>
      <c r="D931" s="10" t="str">
        <f>IF(Registro!$E931="","",IF(ISERROR(FIND("x",LOWER(Registro!$E931))),"-",IFERROR(SUMPRODUCT(--("0"&amp;LEFT(TRIM(MID(SUBSTITUTE(SUBSTITUTE(SUBSTITUTE(SUBSTITUTE(SUBSTITUTE(LOWER(Registro!$E931),"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",LEN(Registro!$E931))),({1,2,3,4,5,6,7,8,9,10,11,12,13,14,15,16,17,18,19,20,21,22,23,24,25,26,27,28,29,30}-1)*LEN(Registro!$E931)+1,LEN(Registro!$E931)))&amp;"x")-1))),"Revisar formato")))</f>
        <v/>
      </c>
      <c r="E931" s="11" t="str">
        <f>IF(Registro!$E931="","",IF(ISERROR(FIND("x",LOWER(Registro!$E931))),"-",IFERROR(SUMPRODUCT(--("0"&amp;LEFT(TRIM(MID(SUBSTITUTE(SUBSTITUTE(SUBSTITUTE(SUBSTITUTE(SUBSTITUTE(LOWER(Registro!$E931),"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",LEN(Registro!$E931))),({1,2,3,4,5,6,7,8,9,10,11,12,13,14,15,16,17,18,19,20,21,22,23,24,25,26,27,28,29,30}-1)*LEN(Registro!$E931)+1,LEN(Registro!$E931)))&amp;"x")-1)),--("0"&amp;MID(TRIM(MID(SUBSTITUTE(SUBSTITUTE(SUBSTITUTE(SUBSTITUTE(SUBSTITUTE(LOWER(Registro!$E931),"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",LEN(Registro!$E931))),({1,2,3,4,5,6,7,8,9,10,11,12,13,14,15,16,17,18,19,20,21,22,23,24,25,26,27,28,29,30}-1)*LEN(Registro!$E931)+1,LEN(Registro!$E931)))&amp;"x")+1,20))),"Revisar formato")))</f>
        <v/>
      </c>
      <c r="F931" s="11" t="str">
        <f>IF(Registro!$F931="","",N(Registro!$F931))</f>
        <v/>
      </c>
      <c r="G931" s="11" t="str">
        <f t="shared" si="43"/>
        <v/>
      </c>
      <c r="H931" s="10" t="str">
        <f>IF(Registro!$G931="","",IF(ISERROR(FIND("x",LOWER(Registro!$G931))),"-",IFERROR(SUMPRODUCT(--("0"&amp;LEFT(TRIM(MID(SUBSTITUTE(SUBSTITUTE(SUBSTITUTE(SUBSTITUTE(SUBSTITUTE(LOWER(Registro!$G931),"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",LEN(Registro!$G931))),({1,2,3,4,5,6,7,8,9,10,11,12,13,14,15,16,17,18,19,20,21,22,23,24,25,26,27,28,29,30}-1)*LEN(Registro!$G931)+1,LEN(Registro!$G931))),FIND("x",TRIM(MID(SUBSTITUTE(SUBSTITUTE(SUBSTITUTE(SUBSTITUTE(SUBSTITUTE(LOWER(Registro!$G931),"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",LEN(Registro!$G931))),({1,2,3,4,5,6,7,8,9,10,11,12,13,14,15,16,17,18,19,20,21,22,23,24,25,26,27,28,29,30}-1)*LEN(Registro!$G931)+1,LEN(Registro!$G931)))&amp;"x")-1))),"Revisar formato")))</f>
        <v/>
      </c>
      <c r="I931" s="11" t="str">
        <f>IF(Registro!$G931="","",IF(ISERROR(FIND("x",LOWER(Registro!$G931))),N(Registro!$H931),IFERROR(SUMPRODUCT(--("0"&amp;LEFT(TRIM(MID(SUBSTITUTE(SUBSTITUTE(SUBSTITUTE(SUBSTITUTE(SUBSTITUTE(LOWER(Registro!$G931),"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",LEN(Registro!$G931))),({1,2,3,4,5,6,7,8,9,10,11,12,13,14,15,16,17,18,19,20,21,22,23,24,25,26,27,28,29,30}-1)*LEN(Registro!$G931)+1,LEN(Registro!$G931))),FIND("x",TRIM(MID(SUBSTITUTE(SUBSTITUTE(SUBSTITUTE(SUBSTITUTE(SUBSTITUTE(LOWER(Registro!$G931),"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",LEN(Registro!$G931))),({1,2,3,4,5,6,7,8,9,10,11,12,13,14,15,16,17,18,19,20,21,22,23,24,25,26,27,28,29,30}-1)*LEN(Registro!$G931)+1,LEN(Registro!$G931)))&amp;"x")-1)),--("0"&amp;MID(TRIM(MID(SUBSTITUTE(SUBSTITUTE(SUBSTITUTE(SUBSTITUTE(SUBSTITUTE(LOWER(Registro!$G931),"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",LEN(Registro!$G931))),({1,2,3,4,5,6,7,8,9,10,11,12,13,14,15,16,17,18,19,20,21,22,23,24,25,26,27,28,29,30}-1)*LEN(Registro!$G931)+1,LEN(Registro!$G931))),FIND("x",TRIM(MID(SUBSTITUTE(SUBSTITUTE(SUBSTITUTE(SUBSTITUTE(SUBSTITUTE(LOWER(Registro!$G931),"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",LEN(Registro!$G931))),({1,2,3,4,5,6,7,8,9,10,11,12,13,14,15,16,17,18,19,20,21,22,23,24,25,26,27,28,29,30}-1)*LEN(Registro!$G931)+1,LEN(Registro!$G931)))&amp;"x")+1,20))),"Revisar formato")))</f>
        <v/>
      </c>
      <c r="J931" s="9" t="str">
        <f>IF(AND(Registro!$E931="",Registro!$G931=""),"",IF(NOT(AND(ISNUMBER(I931),ISNUMBER(Registro!$H931))),"",IF(I931&lt;Registro!$H931,"FALTA BOLETOS",IF(I931=Registro!$H931,"CONFORME","DIFERENCIA"))))</f>
        <v/>
      </c>
      <c r="K931" s="11" t="str">
        <f>IF(Registro!$I931="","",IFERROR(SUMPRODUCT(--("0"&amp;TRIM(RIGHT(SUBSTITUTE(TRIM(MID(SUBSTITUTE(SUBSTITUTE(Registro!$I931,";",CHAR(10)),CHAR(10),REPT(" ",LEN(Registro!$I931))),({1,2,3,4,5,6,7,8,9,10,11,12,13,14,15,16,17,18,19,20,21,22,23,24,25,26,27,28,29,30}-1)*LEN(Registro!$I931)+1,LEN(Registro!$I931)))," ",REPT(" ",50)),50)))),"Revisar formato"))</f>
        <v/>
      </c>
      <c r="L931" s="11" t="str">
        <f>IF(Registro!$J931="","",IFERROR(SUMPRODUCT(--("0"&amp;TRIM(RIGHT(SUBSTITUTE(TRIM(MID(SUBSTITUTE(SUBSTITUTE(Registro!$J931,";",CHAR(10)),CHAR(10),REPT(" ",LEN(Registro!$J931))),({1,2,3,4,5,6,7,8,9,10,11,12,13,14,15,16,17,18,19,20,21,22,23,24,25,26,27,28,29,30}-1)*LEN(Registro!$J931)+1,LEN(Registro!$J931)))," ",REPT(" ",50)),50)))),"Revisar formato"))</f>
        <v/>
      </c>
      <c r="M931" s="11" t="str">
        <f>IF(AND(Registro!$H931="",Registro!$I931=""),"",IF(AND(ISTEXT(K931),K931&lt;&gt;""),"Revisar formato",N(Registro!$H931)-N(K931)))</f>
        <v/>
      </c>
      <c r="N931" s="11" t="str">
        <f t="shared" si="44"/>
        <v/>
      </c>
      <c r="O931" s="15" t="str">
        <f>IF(AND(A931=Consulta!$B$3,C931=Consulta!$H$3),B931*10000+ROW(),"")</f>
        <v/>
      </c>
    </row>
    <row r="932" spans="1:15" x14ac:dyDescent="0.25">
      <c r="A932" s="9" t="str">
        <f>IF(Registro!$A932="","",Registro!$A932)</f>
        <v/>
      </c>
      <c r="B932" s="8" t="str">
        <f>IF(Registro!$B932="","",Registro!$B932)</f>
        <v/>
      </c>
      <c r="C932" s="14" t="str">
        <f t="shared" si="42"/>
        <v/>
      </c>
      <c r="D932" s="10" t="str">
        <f>IF(Registro!$E932="","",IF(ISERROR(FIND("x",LOWER(Registro!$E932))),"-",IFERROR(SUMPRODUCT(--("0"&amp;LEFT(TRIM(MID(SUBSTITUTE(SUBSTITUTE(SUBSTITUTE(SUBSTITUTE(SUBSTITUTE(LOWER(Registro!$E932),"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",LEN(Registro!$E932))),({1,2,3,4,5,6,7,8,9,10,11,12,13,14,15,16,17,18,19,20,21,22,23,24,25,26,27,28,29,30}-1)*LEN(Registro!$E932)+1,LEN(Registro!$E932)))&amp;"x")-1))),"Revisar formato")))</f>
        <v/>
      </c>
      <c r="E932" s="11" t="str">
        <f>IF(Registro!$E932="","",IF(ISERROR(FIND("x",LOWER(Registro!$E932))),"-",IFERROR(SUMPRODUCT(--("0"&amp;LEFT(TRIM(MID(SUBSTITUTE(SUBSTITUTE(SUBSTITUTE(SUBSTITUTE(SUBSTITUTE(LOWER(Registro!$E932),"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",LEN(Registro!$E932))),({1,2,3,4,5,6,7,8,9,10,11,12,13,14,15,16,17,18,19,20,21,22,23,24,25,26,27,28,29,30}-1)*LEN(Registro!$E932)+1,LEN(Registro!$E932)))&amp;"x")-1)),--("0"&amp;MID(TRIM(MID(SUBSTITUTE(SUBSTITUTE(SUBSTITUTE(SUBSTITUTE(SUBSTITUTE(LOWER(Registro!$E932),"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",LEN(Registro!$E932))),({1,2,3,4,5,6,7,8,9,10,11,12,13,14,15,16,17,18,19,20,21,22,23,24,25,26,27,28,29,30}-1)*LEN(Registro!$E932)+1,LEN(Registro!$E932)))&amp;"x")+1,20))),"Revisar formato")))</f>
        <v/>
      </c>
      <c r="F932" s="11" t="str">
        <f>IF(Registro!$F932="","",N(Registro!$F932))</f>
        <v/>
      </c>
      <c r="G932" s="11" t="str">
        <f t="shared" si="43"/>
        <v/>
      </c>
      <c r="H932" s="10" t="str">
        <f>IF(Registro!$G932="","",IF(ISERROR(FIND("x",LOWER(Registro!$G932))),"-",IFERROR(SUMPRODUCT(--("0"&amp;LEFT(TRIM(MID(SUBSTITUTE(SUBSTITUTE(SUBSTITUTE(SUBSTITUTE(SUBSTITUTE(LOWER(Registro!$G932),"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",LEN(Registro!$G932))),({1,2,3,4,5,6,7,8,9,10,11,12,13,14,15,16,17,18,19,20,21,22,23,24,25,26,27,28,29,30}-1)*LEN(Registro!$G932)+1,LEN(Registro!$G932))),FIND("x",TRIM(MID(SUBSTITUTE(SUBSTITUTE(SUBSTITUTE(SUBSTITUTE(SUBSTITUTE(LOWER(Registro!$G932),"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",LEN(Registro!$G932))),({1,2,3,4,5,6,7,8,9,10,11,12,13,14,15,16,17,18,19,20,21,22,23,24,25,26,27,28,29,30}-1)*LEN(Registro!$G932)+1,LEN(Registro!$G932)))&amp;"x")-1))),"Revisar formato")))</f>
        <v/>
      </c>
      <c r="I932" s="11" t="str">
        <f>IF(Registro!$G932="","",IF(ISERROR(FIND("x",LOWER(Registro!$G932))),N(Registro!$H932),IFERROR(SUMPRODUCT(--("0"&amp;LEFT(TRIM(MID(SUBSTITUTE(SUBSTITUTE(SUBSTITUTE(SUBSTITUTE(SUBSTITUTE(LOWER(Registro!$G932),"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",LEN(Registro!$G932))),({1,2,3,4,5,6,7,8,9,10,11,12,13,14,15,16,17,18,19,20,21,22,23,24,25,26,27,28,29,30}-1)*LEN(Registro!$G932)+1,LEN(Registro!$G932))),FIND("x",TRIM(MID(SUBSTITUTE(SUBSTITUTE(SUBSTITUTE(SUBSTITUTE(SUBSTITUTE(LOWER(Registro!$G932),"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",LEN(Registro!$G932))),({1,2,3,4,5,6,7,8,9,10,11,12,13,14,15,16,17,18,19,20,21,22,23,24,25,26,27,28,29,30}-1)*LEN(Registro!$G932)+1,LEN(Registro!$G932)))&amp;"x")-1)),--("0"&amp;MID(TRIM(MID(SUBSTITUTE(SUBSTITUTE(SUBSTITUTE(SUBSTITUTE(SUBSTITUTE(LOWER(Registro!$G932),"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",LEN(Registro!$G932))),({1,2,3,4,5,6,7,8,9,10,11,12,13,14,15,16,17,18,19,20,21,22,23,24,25,26,27,28,29,30}-1)*LEN(Registro!$G932)+1,LEN(Registro!$G932))),FIND("x",TRIM(MID(SUBSTITUTE(SUBSTITUTE(SUBSTITUTE(SUBSTITUTE(SUBSTITUTE(LOWER(Registro!$G932),"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",LEN(Registro!$G932))),({1,2,3,4,5,6,7,8,9,10,11,12,13,14,15,16,17,18,19,20,21,22,23,24,25,26,27,28,29,30}-1)*LEN(Registro!$G932)+1,LEN(Registro!$G932)))&amp;"x")+1,20))),"Revisar formato")))</f>
        <v/>
      </c>
      <c r="J932" s="9" t="str">
        <f>IF(AND(Registro!$E932="",Registro!$G932=""),"",IF(NOT(AND(ISNUMBER(I932),ISNUMBER(Registro!$H932))),"",IF(I932&lt;Registro!$H932,"FALTA BOLETOS",IF(I932=Registro!$H932,"CONFORME","DIFERENCIA"))))</f>
        <v/>
      </c>
      <c r="K932" s="11" t="str">
        <f>IF(Registro!$I932="","",IFERROR(SUMPRODUCT(--("0"&amp;TRIM(RIGHT(SUBSTITUTE(TRIM(MID(SUBSTITUTE(SUBSTITUTE(Registro!$I932,";",CHAR(10)),CHAR(10),REPT(" ",LEN(Registro!$I932))),({1,2,3,4,5,6,7,8,9,10,11,12,13,14,15,16,17,18,19,20,21,22,23,24,25,26,27,28,29,30}-1)*LEN(Registro!$I932)+1,LEN(Registro!$I932)))," ",REPT(" ",50)),50)))),"Revisar formato"))</f>
        <v/>
      </c>
      <c r="L932" s="11" t="str">
        <f>IF(Registro!$J932="","",IFERROR(SUMPRODUCT(--("0"&amp;TRIM(RIGHT(SUBSTITUTE(TRIM(MID(SUBSTITUTE(SUBSTITUTE(Registro!$J932,";",CHAR(10)),CHAR(10),REPT(" ",LEN(Registro!$J932))),({1,2,3,4,5,6,7,8,9,10,11,12,13,14,15,16,17,18,19,20,21,22,23,24,25,26,27,28,29,30}-1)*LEN(Registro!$J932)+1,LEN(Registro!$J932)))," ",REPT(" ",50)),50)))),"Revisar formato"))</f>
        <v/>
      </c>
      <c r="M932" s="11" t="str">
        <f>IF(AND(Registro!$H932="",Registro!$I932=""),"",IF(AND(ISTEXT(K932),K932&lt;&gt;""),"Revisar formato",N(Registro!$H932)-N(K932)))</f>
        <v/>
      </c>
      <c r="N932" s="11" t="str">
        <f t="shared" si="44"/>
        <v/>
      </c>
      <c r="O932" s="15" t="str">
        <f>IF(AND(A932=Consulta!$B$3,C932=Consulta!$H$3),B932*10000+ROW(),"")</f>
        <v/>
      </c>
    </row>
    <row r="933" spans="1:15" x14ac:dyDescent="0.25">
      <c r="A933" s="9" t="str">
        <f>IF(Registro!$A933="","",Registro!$A933)</f>
        <v/>
      </c>
      <c r="B933" s="8" t="str">
        <f>IF(Registro!$B933="","",Registro!$B933)</f>
        <v/>
      </c>
      <c r="C933" s="14" t="str">
        <f t="shared" si="42"/>
        <v/>
      </c>
      <c r="D933" s="10" t="str">
        <f>IF(Registro!$E933="","",IF(ISERROR(FIND("x",LOWER(Registro!$E933))),"-",IFERROR(SUMPRODUCT(--("0"&amp;LEFT(TRIM(MID(SUBSTITUTE(SUBSTITUTE(SUBSTITUTE(SUBSTITUTE(SUBSTITUTE(LOWER(Registro!$E933),"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",LEN(Registro!$E933))),({1,2,3,4,5,6,7,8,9,10,11,12,13,14,15,16,17,18,19,20,21,22,23,24,25,26,27,28,29,30}-1)*LEN(Registro!$E933)+1,LEN(Registro!$E933)))&amp;"x")-1))),"Revisar formato")))</f>
        <v/>
      </c>
      <c r="E933" s="11" t="str">
        <f>IF(Registro!$E933="","",IF(ISERROR(FIND("x",LOWER(Registro!$E933))),"-",IFERROR(SUMPRODUCT(--("0"&amp;LEFT(TRIM(MID(SUBSTITUTE(SUBSTITUTE(SUBSTITUTE(SUBSTITUTE(SUBSTITUTE(LOWER(Registro!$E933),"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",LEN(Registro!$E933))),({1,2,3,4,5,6,7,8,9,10,11,12,13,14,15,16,17,18,19,20,21,22,23,24,25,26,27,28,29,30}-1)*LEN(Registro!$E933)+1,LEN(Registro!$E933)))&amp;"x")-1)),--("0"&amp;MID(TRIM(MID(SUBSTITUTE(SUBSTITUTE(SUBSTITUTE(SUBSTITUTE(SUBSTITUTE(LOWER(Registro!$E933),"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",LEN(Registro!$E933))),({1,2,3,4,5,6,7,8,9,10,11,12,13,14,15,16,17,18,19,20,21,22,23,24,25,26,27,28,29,30}-1)*LEN(Registro!$E933)+1,LEN(Registro!$E933)))&amp;"x")+1,20))),"Revisar formato")))</f>
        <v/>
      </c>
      <c r="F933" s="11" t="str">
        <f>IF(Registro!$F933="","",N(Registro!$F933))</f>
        <v/>
      </c>
      <c r="G933" s="11" t="str">
        <f t="shared" si="43"/>
        <v/>
      </c>
      <c r="H933" s="10" t="str">
        <f>IF(Registro!$G933="","",IF(ISERROR(FIND("x",LOWER(Registro!$G933))),"-",IFERROR(SUMPRODUCT(--("0"&amp;LEFT(TRIM(MID(SUBSTITUTE(SUBSTITUTE(SUBSTITUTE(SUBSTITUTE(SUBSTITUTE(LOWER(Registro!$G933),"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",LEN(Registro!$G933))),({1,2,3,4,5,6,7,8,9,10,11,12,13,14,15,16,17,18,19,20,21,22,23,24,25,26,27,28,29,30}-1)*LEN(Registro!$G933)+1,LEN(Registro!$G933))),FIND("x",TRIM(MID(SUBSTITUTE(SUBSTITUTE(SUBSTITUTE(SUBSTITUTE(SUBSTITUTE(LOWER(Registro!$G933),"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",LEN(Registro!$G933))),({1,2,3,4,5,6,7,8,9,10,11,12,13,14,15,16,17,18,19,20,21,22,23,24,25,26,27,28,29,30}-1)*LEN(Registro!$G933)+1,LEN(Registro!$G933)))&amp;"x")-1))),"Revisar formato")))</f>
        <v/>
      </c>
      <c r="I933" s="11" t="str">
        <f>IF(Registro!$G933="","",IF(ISERROR(FIND("x",LOWER(Registro!$G933))),N(Registro!$H933),IFERROR(SUMPRODUCT(--("0"&amp;LEFT(TRIM(MID(SUBSTITUTE(SUBSTITUTE(SUBSTITUTE(SUBSTITUTE(SUBSTITUTE(LOWER(Registro!$G933),"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",LEN(Registro!$G933))),({1,2,3,4,5,6,7,8,9,10,11,12,13,14,15,16,17,18,19,20,21,22,23,24,25,26,27,28,29,30}-1)*LEN(Registro!$G933)+1,LEN(Registro!$G933))),FIND("x",TRIM(MID(SUBSTITUTE(SUBSTITUTE(SUBSTITUTE(SUBSTITUTE(SUBSTITUTE(LOWER(Registro!$G933),"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",LEN(Registro!$G933))),({1,2,3,4,5,6,7,8,9,10,11,12,13,14,15,16,17,18,19,20,21,22,23,24,25,26,27,28,29,30}-1)*LEN(Registro!$G933)+1,LEN(Registro!$G933)))&amp;"x")-1)),--("0"&amp;MID(TRIM(MID(SUBSTITUTE(SUBSTITUTE(SUBSTITUTE(SUBSTITUTE(SUBSTITUTE(LOWER(Registro!$G933),"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",LEN(Registro!$G933))),({1,2,3,4,5,6,7,8,9,10,11,12,13,14,15,16,17,18,19,20,21,22,23,24,25,26,27,28,29,30}-1)*LEN(Registro!$G933)+1,LEN(Registro!$G933))),FIND("x",TRIM(MID(SUBSTITUTE(SUBSTITUTE(SUBSTITUTE(SUBSTITUTE(SUBSTITUTE(LOWER(Registro!$G933),"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",LEN(Registro!$G933))),({1,2,3,4,5,6,7,8,9,10,11,12,13,14,15,16,17,18,19,20,21,22,23,24,25,26,27,28,29,30}-1)*LEN(Registro!$G933)+1,LEN(Registro!$G933)))&amp;"x")+1,20))),"Revisar formato")))</f>
        <v/>
      </c>
      <c r="J933" s="9" t="str">
        <f>IF(AND(Registro!$E933="",Registro!$G933=""),"",IF(NOT(AND(ISNUMBER(I933),ISNUMBER(Registro!$H933))),"",IF(I933&lt;Registro!$H933,"FALTA BOLETOS",IF(I933=Registro!$H933,"CONFORME","DIFERENCIA"))))</f>
        <v/>
      </c>
      <c r="K933" s="11" t="str">
        <f>IF(Registro!$I933="","",IFERROR(SUMPRODUCT(--("0"&amp;TRIM(RIGHT(SUBSTITUTE(TRIM(MID(SUBSTITUTE(SUBSTITUTE(Registro!$I933,";",CHAR(10)),CHAR(10),REPT(" ",LEN(Registro!$I933))),({1,2,3,4,5,6,7,8,9,10,11,12,13,14,15,16,17,18,19,20,21,22,23,24,25,26,27,28,29,30}-1)*LEN(Registro!$I933)+1,LEN(Registro!$I933)))," ",REPT(" ",50)),50)))),"Revisar formato"))</f>
        <v/>
      </c>
      <c r="L933" s="11" t="str">
        <f>IF(Registro!$J933="","",IFERROR(SUMPRODUCT(--("0"&amp;TRIM(RIGHT(SUBSTITUTE(TRIM(MID(SUBSTITUTE(SUBSTITUTE(Registro!$J933,";",CHAR(10)),CHAR(10),REPT(" ",LEN(Registro!$J933))),({1,2,3,4,5,6,7,8,9,10,11,12,13,14,15,16,17,18,19,20,21,22,23,24,25,26,27,28,29,30}-1)*LEN(Registro!$J933)+1,LEN(Registro!$J933)))," ",REPT(" ",50)),50)))),"Revisar formato"))</f>
        <v/>
      </c>
      <c r="M933" s="11" t="str">
        <f>IF(AND(Registro!$H933="",Registro!$I933=""),"",IF(AND(ISTEXT(K933),K933&lt;&gt;""),"Revisar formato",N(Registro!$H933)-N(K933)))</f>
        <v/>
      </c>
      <c r="N933" s="11" t="str">
        <f t="shared" si="44"/>
        <v/>
      </c>
      <c r="O933" s="15" t="str">
        <f>IF(AND(A933=Consulta!$B$3,C933=Consulta!$H$3),B933*10000+ROW(),"")</f>
        <v/>
      </c>
    </row>
    <row r="934" spans="1:15" x14ac:dyDescent="0.25">
      <c r="A934" s="9" t="str">
        <f>IF(Registro!$A934="","",Registro!$A934)</f>
        <v/>
      </c>
      <c r="B934" s="8" t="str">
        <f>IF(Registro!$B934="","",Registro!$B934)</f>
        <v/>
      </c>
      <c r="C934" s="14" t="str">
        <f t="shared" si="42"/>
        <v/>
      </c>
      <c r="D934" s="10" t="str">
        <f>IF(Registro!$E934="","",IF(ISERROR(FIND("x",LOWER(Registro!$E934))),"-",IFERROR(SUMPRODUCT(--("0"&amp;LEFT(TRIM(MID(SUBSTITUTE(SUBSTITUTE(SUBSTITUTE(SUBSTITUTE(SUBSTITUTE(LOWER(Registro!$E934),"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",LEN(Registro!$E934))),({1,2,3,4,5,6,7,8,9,10,11,12,13,14,15,16,17,18,19,20,21,22,23,24,25,26,27,28,29,30}-1)*LEN(Registro!$E934)+1,LEN(Registro!$E934)))&amp;"x")-1))),"Revisar formato")))</f>
        <v/>
      </c>
      <c r="E934" s="11" t="str">
        <f>IF(Registro!$E934="","",IF(ISERROR(FIND("x",LOWER(Registro!$E934))),"-",IFERROR(SUMPRODUCT(--("0"&amp;LEFT(TRIM(MID(SUBSTITUTE(SUBSTITUTE(SUBSTITUTE(SUBSTITUTE(SUBSTITUTE(LOWER(Registro!$E934),"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",LEN(Registro!$E934))),({1,2,3,4,5,6,7,8,9,10,11,12,13,14,15,16,17,18,19,20,21,22,23,24,25,26,27,28,29,30}-1)*LEN(Registro!$E934)+1,LEN(Registro!$E934)))&amp;"x")-1)),--("0"&amp;MID(TRIM(MID(SUBSTITUTE(SUBSTITUTE(SUBSTITUTE(SUBSTITUTE(SUBSTITUTE(LOWER(Registro!$E934),"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",LEN(Registro!$E934))),({1,2,3,4,5,6,7,8,9,10,11,12,13,14,15,16,17,18,19,20,21,22,23,24,25,26,27,28,29,30}-1)*LEN(Registro!$E934)+1,LEN(Registro!$E934)))&amp;"x")+1,20))),"Revisar formato")))</f>
        <v/>
      </c>
      <c r="F934" s="11" t="str">
        <f>IF(Registro!$F934="","",N(Registro!$F934))</f>
        <v/>
      </c>
      <c r="G934" s="11" t="str">
        <f t="shared" si="43"/>
        <v/>
      </c>
      <c r="H934" s="10" t="str">
        <f>IF(Registro!$G934="","",IF(ISERROR(FIND("x",LOWER(Registro!$G934))),"-",IFERROR(SUMPRODUCT(--("0"&amp;LEFT(TRIM(MID(SUBSTITUTE(SUBSTITUTE(SUBSTITUTE(SUBSTITUTE(SUBSTITUTE(LOWER(Registro!$G934),"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",LEN(Registro!$G934))),({1,2,3,4,5,6,7,8,9,10,11,12,13,14,15,16,17,18,19,20,21,22,23,24,25,26,27,28,29,30}-1)*LEN(Registro!$G934)+1,LEN(Registro!$G934))),FIND("x",TRIM(MID(SUBSTITUTE(SUBSTITUTE(SUBSTITUTE(SUBSTITUTE(SUBSTITUTE(LOWER(Registro!$G934),"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",LEN(Registro!$G934))),({1,2,3,4,5,6,7,8,9,10,11,12,13,14,15,16,17,18,19,20,21,22,23,24,25,26,27,28,29,30}-1)*LEN(Registro!$G934)+1,LEN(Registro!$G934)))&amp;"x")-1))),"Revisar formato")))</f>
        <v/>
      </c>
      <c r="I934" s="11" t="str">
        <f>IF(Registro!$G934="","",IF(ISERROR(FIND("x",LOWER(Registro!$G934))),N(Registro!$H934),IFERROR(SUMPRODUCT(--("0"&amp;LEFT(TRIM(MID(SUBSTITUTE(SUBSTITUTE(SUBSTITUTE(SUBSTITUTE(SUBSTITUTE(LOWER(Registro!$G934),"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",LEN(Registro!$G934))),({1,2,3,4,5,6,7,8,9,10,11,12,13,14,15,16,17,18,19,20,21,22,23,24,25,26,27,28,29,30}-1)*LEN(Registro!$G934)+1,LEN(Registro!$G934))),FIND("x",TRIM(MID(SUBSTITUTE(SUBSTITUTE(SUBSTITUTE(SUBSTITUTE(SUBSTITUTE(LOWER(Registro!$G934),"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",LEN(Registro!$G934))),({1,2,3,4,5,6,7,8,9,10,11,12,13,14,15,16,17,18,19,20,21,22,23,24,25,26,27,28,29,30}-1)*LEN(Registro!$G934)+1,LEN(Registro!$G934)))&amp;"x")-1)),--("0"&amp;MID(TRIM(MID(SUBSTITUTE(SUBSTITUTE(SUBSTITUTE(SUBSTITUTE(SUBSTITUTE(LOWER(Registro!$G934),"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",LEN(Registro!$G934))),({1,2,3,4,5,6,7,8,9,10,11,12,13,14,15,16,17,18,19,20,21,22,23,24,25,26,27,28,29,30}-1)*LEN(Registro!$G934)+1,LEN(Registro!$G934))),FIND("x",TRIM(MID(SUBSTITUTE(SUBSTITUTE(SUBSTITUTE(SUBSTITUTE(SUBSTITUTE(LOWER(Registro!$G934),"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",LEN(Registro!$G934))),({1,2,3,4,5,6,7,8,9,10,11,12,13,14,15,16,17,18,19,20,21,22,23,24,25,26,27,28,29,30}-1)*LEN(Registro!$G934)+1,LEN(Registro!$G934)))&amp;"x")+1,20))),"Revisar formato")))</f>
        <v/>
      </c>
      <c r="J934" s="9" t="str">
        <f>IF(AND(Registro!$E934="",Registro!$G934=""),"",IF(NOT(AND(ISNUMBER(I934),ISNUMBER(Registro!$H934))),"",IF(I934&lt;Registro!$H934,"FALTA BOLETOS",IF(I934=Registro!$H934,"CONFORME","DIFERENCIA"))))</f>
        <v/>
      </c>
      <c r="K934" s="11" t="str">
        <f>IF(Registro!$I934="","",IFERROR(SUMPRODUCT(--("0"&amp;TRIM(RIGHT(SUBSTITUTE(TRIM(MID(SUBSTITUTE(SUBSTITUTE(Registro!$I934,";",CHAR(10)),CHAR(10),REPT(" ",LEN(Registro!$I934))),({1,2,3,4,5,6,7,8,9,10,11,12,13,14,15,16,17,18,19,20,21,22,23,24,25,26,27,28,29,30}-1)*LEN(Registro!$I934)+1,LEN(Registro!$I934)))," ",REPT(" ",50)),50)))),"Revisar formato"))</f>
        <v/>
      </c>
      <c r="L934" s="11" t="str">
        <f>IF(Registro!$J934="","",IFERROR(SUMPRODUCT(--("0"&amp;TRIM(RIGHT(SUBSTITUTE(TRIM(MID(SUBSTITUTE(SUBSTITUTE(Registro!$J934,";",CHAR(10)),CHAR(10),REPT(" ",LEN(Registro!$J934))),({1,2,3,4,5,6,7,8,9,10,11,12,13,14,15,16,17,18,19,20,21,22,23,24,25,26,27,28,29,30}-1)*LEN(Registro!$J934)+1,LEN(Registro!$J934)))," ",REPT(" ",50)),50)))),"Revisar formato"))</f>
        <v/>
      </c>
      <c r="M934" s="11" t="str">
        <f>IF(AND(Registro!$H934="",Registro!$I934=""),"",IF(AND(ISTEXT(K934),K934&lt;&gt;""),"Revisar formato",N(Registro!$H934)-N(K934)))</f>
        <v/>
      </c>
      <c r="N934" s="11" t="str">
        <f t="shared" si="44"/>
        <v/>
      </c>
      <c r="O934" s="15" t="str">
        <f>IF(AND(A934=Consulta!$B$3,C934=Consulta!$H$3),B934*10000+ROW(),"")</f>
        <v/>
      </c>
    </row>
    <row r="935" spans="1:15" x14ac:dyDescent="0.25">
      <c r="A935" s="9" t="str">
        <f>IF(Registro!$A935="","",Registro!$A935)</f>
        <v/>
      </c>
      <c r="B935" s="8" t="str">
        <f>IF(Registro!$B935="","",Registro!$B935)</f>
        <v/>
      </c>
      <c r="C935" s="14" t="str">
        <f t="shared" si="42"/>
        <v/>
      </c>
      <c r="D935" s="10" t="str">
        <f>IF(Registro!$E935="","",IF(ISERROR(FIND("x",LOWER(Registro!$E935))),"-",IFERROR(SUMPRODUCT(--("0"&amp;LEFT(TRIM(MID(SUBSTITUTE(SUBSTITUTE(SUBSTITUTE(SUBSTITUTE(SUBSTITUTE(LOWER(Registro!$E935),"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",LEN(Registro!$E935))),({1,2,3,4,5,6,7,8,9,10,11,12,13,14,15,16,17,18,19,20,21,22,23,24,25,26,27,28,29,30}-1)*LEN(Registro!$E935)+1,LEN(Registro!$E935)))&amp;"x")-1))),"Revisar formato")))</f>
        <v/>
      </c>
      <c r="E935" s="11" t="str">
        <f>IF(Registro!$E935="","",IF(ISERROR(FIND("x",LOWER(Registro!$E935))),"-",IFERROR(SUMPRODUCT(--("0"&amp;LEFT(TRIM(MID(SUBSTITUTE(SUBSTITUTE(SUBSTITUTE(SUBSTITUTE(SUBSTITUTE(LOWER(Registro!$E935),"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",LEN(Registro!$E935))),({1,2,3,4,5,6,7,8,9,10,11,12,13,14,15,16,17,18,19,20,21,22,23,24,25,26,27,28,29,30}-1)*LEN(Registro!$E935)+1,LEN(Registro!$E935)))&amp;"x")-1)),--("0"&amp;MID(TRIM(MID(SUBSTITUTE(SUBSTITUTE(SUBSTITUTE(SUBSTITUTE(SUBSTITUTE(LOWER(Registro!$E935),"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",LEN(Registro!$E935))),({1,2,3,4,5,6,7,8,9,10,11,12,13,14,15,16,17,18,19,20,21,22,23,24,25,26,27,28,29,30}-1)*LEN(Registro!$E935)+1,LEN(Registro!$E935)))&amp;"x")+1,20))),"Revisar formato")))</f>
        <v/>
      </c>
      <c r="F935" s="11" t="str">
        <f>IF(Registro!$F935="","",N(Registro!$F935))</f>
        <v/>
      </c>
      <c r="G935" s="11" t="str">
        <f t="shared" si="43"/>
        <v/>
      </c>
      <c r="H935" s="10" t="str">
        <f>IF(Registro!$G935="","",IF(ISERROR(FIND("x",LOWER(Registro!$G935))),"-",IFERROR(SUMPRODUCT(--("0"&amp;LEFT(TRIM(MID(SUBSTITUTE(SUBSTITUTE(SUBSTITUTE(SUBSTITUTE(SUBSTITUTE(LOWER(Registro!$G935),"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",LEN(Registro!$G935))),({1,2,3,4,5,6,7,8,9,10,11,12,13,14,15,16,17,18,19,20,21,22,23,24,25,26,27,28,29,30}-1)*LEN(Registro!$G935)+1,LEN(Registro!$G935))),FIND("x",TRIM(MID(SUBSTITUTE(SUBSTITUTE(SUBSTITUTE(SUBSTITUTE(SUBSTITUTE(LOWER(Registro!$G935),"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",LEN(Registro!$G935))),({1,2,3,4,5,6,7,8,9,10,11,12,13,14,15,16,17,18,19,20,21,22,23,24,25,26,27,28,29,30}-1)*LEN(Registro!$G935)+1,LEN(Registro!$G935)))&amp;"x")-1))),"Revisar formato")))</f>
        <v/>
      </c>
      <c r="I935" s="11" t="str">
        <f>IF(Registro!$G935="","",IF(ISERROR(FIND("x",LOWER(Registro!$G935))),N(Registro!$H935),IFERROR(SUMPRODUCT(--("0"&amp;LEFT(TRIM(MID(SUBSTITUTE(SUBSTITUTE(SUBSTITUTE(SUBSTITUTE(SUBSTITUTE(LOWER(Registro!$G935),"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",LEN(Registro!$G935))),({1,2,3,4,5,6,7,8,9,10,11,12,13,14,15,16,17,18,19,20,21,22,23,24,25,26,27,28,29,30}-1)*LEN(Registro!$G935)+1,LEN(Registro!$G935))),FIND("x",TRIM(MID(SUBSTITUTE(SUBSTITUTE(SUBSTITUTE(SUBSTITUTE(SUBSTITUTE(LOWER(Registro!$G935),"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",LEN(Registro!$G935))),({1,2,3,4,5,6,7,8,9,10,11,12,13,14,15,16,17,18,19,20,21,22,23,24,25,26,27,28,29,30}-1)*LEN(Registro!$G935)+1,LEN(Registro!$G935)))&amp;"x")-1)),--("0"&amp;MID(TRIM(MID(SUBSTITUTE(SUBSTITUTE(SUBSTITUTE(SUBSTITUTE(SUBSTITUTE(LOWER(Registro!$G935),"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",LEN(Registro!$G935))),({1,2,3,4,5,6,7,8,9,10,11,12,13,14,15,16,17,18,19,20,21,22,23,24,25,26,27,28,29,30}-1)*LEN(Registro!$G935)+1,LEN(Registro!$G935))),FIND("x",TRIM(MID(SUBSTITUTE(SUBSTITUTE(SUBSTITUTE(SUBSTITUTE(SUBSTITUTE(LOWER(Registro!$G935),"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",LEN(Registro!$G935))),({1,2,3,4,5,6,7,8,9,10,11,12,13,14,15,16,17,18,19,20,21,22,23,24,25,26,27,28,29,30}-1)*LEN(Registro!$G935)+1,LEN(Registro!$G935)))&amp;"x")+1,20))),"Revisar formato")))</f>
        <v/>
      </c>
      <c r="J935" s="9" t="str">
        <f>IF(AND(Registro!$E935="",Registro!$G935=""),"",IF(NOT(AND(ISNUMBER(I935),ISNUMBER(Registro!$H935))),"",IF(I935&lt;Registro!$H935,"FALTA BOLETOS",IF(I935=Registro!$H935,"CONFORME","DIFERENCIA"))))</f>
        <v/>
      </c>
      <c r="K935" s="11" t="str">
        <f>IF(Registro!$I935="","",IFERROR(SUMPRODUCT(--("0"&amp;TRIM(RIGHT(SUBSTITUTE(TRIM(MID(SUBSTITUTE(SUBSTITUTE(Registro!$I935,";",CHAR(10)),CHAR(10),REPT(" ",LEN(Registro!$I935))),({1,2,3,4,5,6,7,8,9,10,11,12,13,14,15,16,17,18,19,20,21,22,23,24,25,26,27,28,29,30}-1)*LEN(Registro!$I935)+1,LEN(Registro!$I935)))," ",REPT(" ",50)),50)))),"Revisar formato"))</f>
        <v/>
      </c>
      <c r="L935" s="11" t="str">
        <f>IF(Registro!$J935="","",IFERROR(SUMPRODUCT(--("0"&amp;TRIM(RIGHT(SUBSTITUTE(TRIM(MID(SUBSTITUTE(SUBSTITUTE(Registro!$J935,";",CHAR(10)),CHAR(10),REPT(" ",LEN(Registro!$J935))),({1,2,3,4,5,6,7,8,9,10,11,12,13,14,15,16,17,18,19,20,21,22,23,24,25,26,27,28,29,30}-1)*LEN(Registro!$J935)+1,LEN(Registro!$J935)))," ",REPT(" ",50)),50)))),"Revisar formato"))</f>
        <v/>
      </c>
      <c r="M935" s="11" t="str">
        <f>IF(AND(Registro!$H935="",Registro!$I935=""),"",IF(AND(ISTEXT(K935),K935&lt;&gt;""),"Revisar formato",N(Registro!$H935)-N(K935)))</f>
        <v/>
      </c>
      <c r="N935" s="11" t="str">
        <f t="shared" si="44"/>
        <v/>
      </c>
      <c r="O935" s="15" t="str">
        <f>IF(AND(A935=Consulta!$B$3,C935=Consulta!$H$3),B935*10000+ROW(),"")</f>
        <v/>
      </c>
    </row>
    <row r="936" spans="1:15" x14ac:dyDescent="0.25">
      <c r="A936" s="9" t="str">
        <f>IF(Registro!$A936="","",Registro!$A936)</f>
        <v/>
      </c>
      <c r="B936" s="8" t="str">
        <f>IF(Registro!$B936="","",Registro!$B936)</f>
        <v/>
      </c>
      <c r="C936" s="14" t="str">
        <f t="shared" si="42"/>
        <v/>
      </c>
      <c r="D936" s="10" t="str">
        <f>IF(Registro!$E936="","",IF(ISERROR(FIND("x",LOWER(Registro!$E936))),"-",IFERROR(SUMPRODUCT(--("0"&amp;LEFT(TRIM(MID(SUBSTITUTE(SUBSTITUTE(SUBSTITUTE(SUBSTITUTE(SUBSTITUTE(LOWER(Registro!$E936),"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",LEN(Registro!$E936))),({1,2,3,4,5,6,7,8,9,10,11,12,13,14,15,16,17,18,19,20,21,22,23,24,25,26,27,28,29,30}-1)*LEN(Registro!$E936)+1,LEN(Registro!$E936)))&amp;"x")-1))),"Revisar formato")))</f>
        <v/>
      </c>
      <c r="E936" s="11" t="str">
        <f>IF(Registro!$E936="","",IF(ISERROR(FIND("x",LOWER(Registro!$E936))),"-",IFERROR(SUMPRODUCT(--("0"&amp;LEFT(TRIM(MID(SUBSTITUTE(SUBSTITUTE(SUBSTITUTE(SUBSTITUTE(SUBSTITUTE(LOWER(Registro!$E936),"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",LEN(Registro!$E936))),({1,2,3,4,5,6,7,8,9,10,11,12,13,14,15,16,17,18,19,20,21,22,23,24,25,26,27,28,29,30}-1)*LEN(Registro!$E936)+1,LEN(Registro!$E936)))&amp;"x")-1)),--("0"&amp;MID(TRIM(MID(SUBSTITUTE(SUBSTITUTE(SUBSTITUTE(SUBSTITUTE(SUBSTITUTE(LOWER(Registro!$E936),"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",LEN(Registro!$E936))),({1,2,3,4,5,6,7,8,9,10,11,12,13,14,15,16,17,18,19,20,21,22,23,24,25,26,27,28,29,30}-1)*LEN(Registro!$E936)+1,LEN(Registro!$E936)))&amp;"x")+1,20))),"Revisar formato")))</f>
        <v/>
      </c>
      <c r="F936" s="11" t="str">
        <f>IF(Registro!$F936="","",N(Registro!$F936))</f>
        <v/>
      </c>
      <c r="G936" s="11" t="str">
        <f t="shared" si="43"/>
        <v/>
      </c>
      <c r="H936" s="10" t="str">
        <f>IF(Registro!$G936="","",IF(ISERROR(FIND("x",LOWER(Registro!$G936))),"-",IFERROR(SUMPRODUCT(--("0"&amp;LEFT(TRIM(MID(SUBSTITUTE(SUBSTITUTE(SUBSTITUTE(SUBSTITUTE(SUBSTITUTE(LOWER(Registro!$G936),"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",LEN(Registro!$G936))),({1,2,3,4,5,6,7,8,9,10,11,12,13,14,15,16,17,18,19,20,21,22,23,24,25,26,27,28,29,30}-1)*LEN(Registro!$G936)+1,LEN(Registro!$G936))),FIND("x",TRIM(MID(SUBSTITUTE(SUBSTITUTE(SUBSTITUTE(SUBSTITUTE(SUBSTITUTE(LOWER(Registro!$G936),"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",LEN(Registro!$G936))),({1,2,3,4,5,6,7,8,9,10,11,12,13,14,15,16,17,18,19,20,21,22,23,24,25,26,27,28,29,30}-1)*LEN(Registro!$G936)+1,LEN(Registro!$G936)))&amp;"x")-1))),"Revisar formato")))</f>
        <v/>
      </c>
      <c r="I936" s="11" t="str">
        <f>IF(Registro!$G936="","",IF(ISERROR(FIND("x",LOWER(Registro!$G936))),N(Registro!$H936),IFERROR(SUMPRODUCT(--("0"&amp;LEFT(TRIM(MID(SUBSTITUTE(SUBSTITUTE(SUBSTITUTE(SUBSTITUTE(SUBSTITUTE(LOWER(Registro!$G936),"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",LEN(Registro!$G936))),({1,2,3,4,5,6,7,8,9,10,11,12,13,14,15,16,17,18,19,20,21,22,23,24,25,26,27,28,29,30}-1)*LEN(Registro!$G936)+1,LEN(Registro!$G936))),FIND("x",TRIM(MID(SUBSTITUTE(SUBSTITUTE(SUBSTITUTE(SUBSTITUTE(SUBSTITUTE(LOWER(Registro!$G936),"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",LEN(Registro!$G936))),({1,2,3,4,5,6,7,8,9,10,11,12,13,14,15,16,17,18,19,20,21,22,23,24,25,26,27,28,29,30}-1)*LEN(Registro!$G936)+1,LEN(Registro!$G936)))&amp;"x")-1)),--("0"&amp;MID(TRIM(MID(SUBSTITUTE(SUBSTITUTE(SUBSTITUTE(SUBSTITUTE(SUBSTITUTE(LOWER(Registro!$G936),"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",LEN(Registro!$G936))),({1,2,3,4,5,6,7,8,9,10,11,12,13,14,15,16,17,18,19,20,21,22,23,24,25,26,27,28,29,30}-1)*LEN(Registro!$G936)+1,LEN(Registro!$G936))),FIND("x",TRIM(MID(SUBSTITUTE(SUBSTITUTE(SUBSTITUTE(SUBSTITUTE(SUBSTITUTE(LOWER(Registro!$G936),"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",LEN(Registro!$G936))),({1,2,3,4,5,6,7,8,9,10,11,12,13,14,15,16,17,18,19,20,21,22,23,24,25,26,27,28,29,30}-1)*LEN(Registro!$G936)+1,LEN(Registro!$G936)))&amp;"x")+1,20))),"Revisar formato")))</f>
        <v/>
      </c>
      <c r="J936" s="9" t="str">
        <f>IF(AND(Registro!$E936="",Registro!$G936=""),"",IF(NOT(AND(ISNUMBER(I936),ISNUMBER(Registro!$H936))),"",IF(I936&lt;Registro!$H936,"FALTA BOLETOS",IF(I936=Registro!$H936,"CONFORME","DIFERENCIA"))))</f>
        <v/>
      </c>
      <c r="K936" s="11" t="str">
        <f>IF(Registro!$I936="","",IFERROR(SUMPRODUCT(--("0"&amp;TRIM(RIGHT(SUBSTITUTE(TRIM(MID(SUBSTITUTE(SUBSTITUTE(Registro!$I936,";",CHAR(10)),CHAR(10),REPT(" ",LEN(Registro!$I936))),({1,2,3,4,5,6,7,8,9,10,11,12,13,14,15,16,17,18,19,20,21,22,23,24,25,26,27,28,29,30}-1)*LEN(Registro!$I936)+1,LEN(Registro!$I936)))," ",REPT(" ",50)),50)))),"Revisar formato"))</f>
        <v/>
      </c>
      <c r="L936" s="11" t="str">
        <f>IF(Registro!$J936="","",IFERROR(SUMPRODUCT(--("0"&amp;TRIM(RIGHT(SUBSTITUTE(TRIM(MID(SUBSTITUTE(SUBSTITUTE(Registro!$J936,";",CHAR(10)),CHAR(10),REPT(" ",LEN(Registro!$J936))),({1,2,3,4,5,6,7,8,9,10,11,12,13,14,15,16,17,18,19,20,21,22,23,24,25,26,27,28,29,30}-1)*LEN(Registro!$J936)+1,LEN(Registro!$J936)))," ",REPT(" ",50)),50)))),"Revisar formato"))</f>
        <v/>
      </c>
      <c r="M936" s="11" t="str">
        <f>IF(AND(Registro!$H936="",Registro!$I936=""),"",IF(AND(ISTEXT(K936),K936&lt;&gt;""),"Revisar formato",N(Registro!$H936)-N(K936)))</f>
        <v/>
      </c>
      <c r="N936" s="11" t="str">
        <f t="shared" si="44"/>
        <v/>
      </c>
      <c r="O936" s="15" t="str">
        <f>IF(AND(A936=Consulta!$B$3,C936=Consulta!$H$3),B936*10000+ROW(),"")</f>
        <v/>
      </c>
    </row>
    <row r="937" spans="1:15" x14ac:dyDescent="0.25">
      <c r="A937" s="9" t="str">
        <f>IF(Registro!$A937="","",Registro!$A937)</f>
        <v/>
      </c>
      <c r="B937" s="8" t="str">
        <f>IF(Registro!$B937="","",Registro!$B937)</f>
        <v/>
      </c>
      <c r="C937" s="14" t="str">
        <f t="shared" si="42"/>
        <v/>
      </c>
      <c r="D937" s="10" t="str">
        <f>IF(Registro!$E937="","",IF(ISERROR(FIND("x",LOWER(Registro!$E937))),"-",IFERROR(SUMPRODUCT(--("0"&amp;LEFT(TRIM(MID(SUBSTITUTE(SUBSTITUTE(SUBSTITUTE(SUBSTITUTE(SUBSTITUTE(LOWER(Registro!$E937),"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",LEN(Registro!$E937))),({1,2,3,4,5,6,7,8,9,10,11,12,13,14,15,16,17,18,19,20,21,22,23,24,25,26,27,28,29,30}-1)*LEN(Registro!$E937)+1,LEN(Registro!$E937)))&amp;"x")-1))),"Revisar formato")))</f>
        <v/>
      </c>
      <c r="E937" s="11" t="str">
        <f>IF(Registro!$E937="","",IF(ISERROR(FIND("x",LOWER(Registro!$E937))),"-",IFERROR(SUMPRODUCT(--("0"&amp;LEFT(TRIM(MID(SUBSTITUTE(SUBSTITUTE(SUBSTITUTE(SUBSTITUTE(SUBSTITUTE(LOWER(Registro!$E937),"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",LEN(Registro!$E937))),({1,2,3,4,5,6,7,8,9,10,11,12,13,14,15,16,17,18,19,20,21,22,23,24,25,26,27,28,29,30}-1)*LEN(Registro!$E937)+1,LEN(Registro!$E937)))&amp;"x")-1)),--("0"&amp;MID(TRIM(MID(SUBSTITUTE(SUBSTITUTE(SUBSTITUTE(SUBSTITUTE(SUBSTITUTE(LOWER(Registro!$E937),"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",LEN(Registro!$E937))),({1,2,3,4,5,6,7,8,9,10,11,12,13,14,15,16,17,18,19,20,21,22,23,24,25,26,27,28,29,30}-1)*LEN(Registro!$E937)+1,LEN(Registro!$E937)))&amp;"x")+1,20))),"Revisar formato")))</f>
        <v/>
      </c>
      <c r="F937" s="11" t="str">
        <f>IF(Registro!$F937="","",N(Registro!$F937))</f>
        <v/>
      </c>
      <c r="G937" s="11" t="str">
        <f t="shared" si="43"/>
        <v/>
      </c>
      <c r="H937" s="10" t="str">
        <f>IF(Registro!$G937="","",IF(ISERROR(FIND("x",LOWER(Registro!$G937))),"-",IFERROR(SUMPRODUCT(--("0"&amp;LEFT(TRIM(MID(SUBSTITUTE(SUBSTITUTE(SUBSTITUTE(SUBSTITUTE(SUBSTITUTE(LOWER(Registro!$G937),"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",LEN(Registro!$G937))),({1,2,3,4,5,6,7,8,9,10,11,12,13,14,15,16,17,18,19,20,21,22,23,24,25,26,27,28,29,30}-1)*LEN(Registro!$G937)+1,LEN(Registro!$G937))),FIND("x",TRIM(MID(SUBSTITUTE(SUBSTITUTE(SUBSTITUTE(SUBSTITUTE(SUBSTITUTE(LOWER(Registro!$G937),"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",LEN(Registro!$G937))),({1,2,3,4,5,6,7,8,9,10,11,12,13,14,15,16,17,18,19,20,21,22,23,24,25,26,27,28,29,30}-1)*LEN(Registro!$G937)+1,LEN(Registro!$G937)))&amp;"x")-1))),"Revisar formato")))</f>
        <v/>
      </c>
      <c r="I937" s="11" t="str">
        <f>IF(Registro!$G937="","",IF(ISERROR(FIND("x",LOWER(Registro!$G937))),N(Registro!$H937),IFERROR(SUMPRODUCT(--("0"&amp;LEFT(TRIM(MID(SUBSTITUTE(SUBSTITUTE(SUBSTITUTE(SUBSTITUTE(SUBSTITUTE(LOWER(Registro!$G937),"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",LEN(Registro!$G937))),({1,2,3,4,5,6,7,8,9,10,11,12,13,14,15,16,17,18,19,20,21,22,23,24,25,26,27,28,29,30}-1)*LEN(Registro!$G937)+1,LEN(Registro!$G937))),FIND("x",TRIM(MID(SUBSTITUTE(SUBSTITUTE(SUBSTITUTE(SUBSTITUTE(SUBSTITUTE(LOWER(Registro!$G937),"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",LEN(Registro!$G937))),({1,2,3,4,5,6,7,8,9,10,11,12,13,14,15,16,17,18,19,20,21,22,23,24,25,26,27,28,29,30}-1)*LEN(Registro!$G937)+1,LEN(Registro!$G937)))&amp;"x")-1)),--("0"&amp;MID(TRIM(MID(SUBSTITUTE(SUBSTITUTE(SUBSTITUTE(SUBSTITUTE(SUBSTITUTE(LOWER(Registro!$G937),"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",LEN(Registro!$G937))),({1,2,3,4,5,6,7,8,9,10,11,12,13,14,15,16,17,18,19,20,21,22,23,24,25,26,27,28,29,30}-1)*LEN(Registro!$G937)+1,LEN(Registro!$G937))),FIND("x",TRIM(MID(SUBSTITUTE(SUBSTITUTE(SUBSTITUTE(SUBSTITUTE(SUBSTITUTE(LOWER(Registro!$G937),"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",LEN(Registro!$G937))),({1,2,3,4,5,6,7,8,9,10,11,12,13,14,15,16,17,18,19,20,21,22,23,24,25,26,27,28,29,30}-1)*LEN(Registro!$G937)+1,LEN(Registro!$G937)))&amp;"x")+1,20))),"Revisar formato")))</f>
        <v/>
      </c>
      <c r="J937" s="9" t="str">
        <f>IF(AND(Registro!$E937="",Registro!$G937=""),"",IF(NOT(AND(ISNUMBER(I937),ISNUMBER(Registro!$H937))),"",IF(I937&lt;Registro!$H937,"FALTA BOLETOS",IF(I937=Registro!$H937,"CONFORME","DIFERENCIA"))))</f>
        <v/>
      </c>
      <c r="K937" s="11" t="str">
        <f>IF(Registro!$I937="","",IFERROR(SUMPRODUCT(--("0"&amp;TRIM(RIGHT(SUBSTITUTE(TRIM(MID(SUBSTITUTE(SUBSTITUTE(Registro!$I937,";",CHAR(10)),CHAR(10),REPT(" ",LEN(Registro!$I937))),({1,2,3,4,5,6,7,8,9,10,11,12,13,14,15,16,17,18,19,20,21,22,23,24,25,26,27,28,29,30}-1)*LEN(Registro!$I937)+1,LEN(Registro!$I937)))," ",REPT(" ",50)),50)))),"Revisar formato"))</f>
        <v/>
      </c>
      <c r="L937" s="11" t="str">
        <f>IF(Registro!$J937="","",IFERROR(SUMPRODUCT(--("0"&amp;TRIM(RIGHT(SUBSTITUTE(TRIM(MID(SUBSTITUTE(SUBSTITUTE(Registro!$J937,";",CHAR(10)),CHAR(10),REPT(" ",LEN(Registro!$J937))),({1,2,3,4,5,6,7,8,9,10,11,12,13,14,15,16,17,18,19,20,21,22,23,24,25,26,27,28,29,30}-1)*LEN(Registro!$J937)+1,LEN(Registro!$J937)))," ",REPT(" ",50)),50)))),"Revisar formato"))</f>
        <v/>
      </c>
      <c r="M937" s="11" t="str">
        <f>IF(AND(Registro!$H937="",Registro!$I937=""),"",IF(AND(ISTEXT(K937),K937&lt;&gt;""),"Revisar formato",N(Registro!$H937)-N(K937)))</f>
        <v/>
      </c>
      <c r="N937" s="11" t="str">
        <f t="shared" si="44"/>
        <v/>
      </c>
      <c r="O937" s="15" t="str">
        <f>IF(AND(A937=Consulta!$B$3,C937=Consulta!$H$3),B937*10000+ROW(),"")</f>
        <v/>
      </c>
    </row>
    <row r="938" spans="1:15" x14ac:dyDescent="0.25">
      <c r="A938" s="9" t="str">
        <f>IF(Registro!$A938="","",Registro!$A938)</f>
        <v/>
      </c>
      <c r="B938" s="8" t="str">
        <f>IF(Registro!$B938="","",Registro!$B938)</f>
        <v/>
      </c>
      <c r="C938" s="14" t="str">
        <f t="shared" si="42"/>
        <v/>
      </c>
      <c r="D938" s="10" t="str">
        <f>IF(Registro!$E938="","",IF(ISERROR(FIND("x",LOWER(Registro!$E938))),"-",IFERROR(SUMPRODUCT(--("0"&amp;LEFT(TRIM(MID(SUBSTITUTE(SUBSTITUTE(SUBSTITUTE(SUBSTITUTE(SUBSTITUTE(LOWER(Registro!$E938),"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",LEN(Registro!$E938))),({1,2,3,4,5,6,7,8,9,10,11,12,13,14,15,16,17,18,19,20,21,22,23,24,25,26,27,28,29,30}-1)*LEN(Registro!$E938)+1,LEN(Registro!$E938)))&amp;"x")-1))),"Revisar formato")))</f>
        <v/>
      </c>
      <c r="E938" s="11" t="str">
        <f>IF(Registro!$E938="","",IF(ISERROR(FIND("x",LOWER(Registro!$E938))),"-",IFERROR(SUMPRODUCT(--("0"&amp;LEFT(TRIM(MID(SUBSTITUTE(SUBSTITUTE(SUBSTITUTE(SUBSTITUTE(SUBSTITUTE(LOWER(Registro!$E938),"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",LEN(Registro!$E938))),({1,2,3,4,5,6,7,8,9,10,11,12,13,14,15,16,17,18,19,20,21,22,23,24,25,26,27,28,29,30}-1)*LEN(Registro!$E938)+1,LEN(Registro!$E938)))&amp;"x")-1)),--("0"&amp;MID(TRIM(MID(SUBSTITUTE(SUBSTITUTE(SUBSTITUTE(SUBSTITUTE(SUBSTITUTE(LOWER(Registro!$E938),"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",LEN(Registro!$E938))),({1,2,3,4,5,6,7,8,9,10,11,12,13,14,15,16,17,18,19,20,21,22,23,24,25,26,27,28,29,30}-1)*LEN(Registro!$E938)+1,LEN(Registro!$E938)))&amp;"x")+1,20))),"Revisar formato")))</f>
        <v/>
      </c>
      <c r="F938" s="11" t="str">
        <f>IF(Registro!$F938="","",N(Registro!$F938))</f>
        <v/>
      </c>
      <c r="G938" s="11" t="str">
        <f t="shared" si="43"/>
        <v/>
      </c>
      <c r="H938" s="10" t="str">
        <f>IF(Registro!$G938="","",IF(ISERROR(FIND("x",LOWER(Registro!$G938))),"-",IFERROR(SUMPRODUCT(--("0"&amp;LEFT(TRIM(MID(SUBSTITUTE(SUBSTITUTE(SUBSTITUTE(SUBSTITUTE(SUBSTITUTE(LOWER(Registro!$G938),"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",LEN(Registro!$G938))),({1,2,3,4,5,6,7,8,9,10,11,12,13,14,15,16,17,18,19,20,21,22,23,24,25,26,27,28,29,30}-1)*LEN(Registro!$G938)+1,LEN(Registro!$G938))),FIND("x",TRIM(MID(SUBSTITUTE(SUBSTITUTE(SUBSTITUTE(SUBSTITUTE(SUBSTITUTE(LOWER(Registro!$G938),"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",LEN(Registro!$G938))),({1,2,3,4,5,6,7,8,9,10,11,12,13,14,15,16,17,18,19,20,21,22,23,24,25,26,27,28,29,30}-1)*LEN(Registro!$G938)+1,LEN(Registro!$G938)))&amp;"x")-1))),"Revisar formato")))</f>
        <v/>
      </c>
      <c r="I938" s="11" t="str">
        <f>IF(Registro!$G938="","",IF(ISERROR(FIND("x",LOWER(Registro!$G938))),N(Registro!$H938),IFERROR(SUMPRODUCT(--("0"&amp;LEFT(TRIM(MID(SUBSTITUTE(SUBSTITUTE(SUBSTITUTE(SUBSTITUTE(SUBSTITUTE(LOWER(Registro!$G938),"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",LEN(Registro!$G938))),({1,2,3,4,5,6,7,8,9,10,11,12,13,14,15,16,17,18,19,20,21,22,23,24,25,26,27,28,29,30}-1)*LEN(Registro!$G938)+1,LEN(Registro!$G938))),FIND("x",TRIM(MID(SUBSTITUTE(SUBSTITUTE(SUBSTITUTE(SUBSTITUTE(SUBSTITUTE(LOWER(Registro!$G938),"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",LEN(Registro!$G938))),({1,2,3,4,5,6,7,8,9,10,11,12,13,14,15,16,17,18,19,20,21,22,23,24,25,26,27,28,29,30}-1)*LEN(Registro!$G938)+1,LEN(Registro!$G938)))&amp;"x")-1)),--("0"&amp;MID(TRIM(MID(SUBSTITUTE(SUBSTITUTE(SUBSTITUTE(SUBSTITUTE(SUBSTITUTE(LOWER(Registro!$G938),"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",LEN(Registro!$G938))),({1,2,3,4,5,6,7,8,9,10,11,12,13,14,15,16,17,18,19,20,21,22,23,24,25,26,27,28,29,30}-1)*LEN(Registro!$G938)+1,LEN(Registro!$G938))),FIND("x",TRIM(MID(SUBSTITUTE(SUBSTITUTE(SUBSTITUTE(SUBSTITUTE(SUBSTITUTE(LOWER(Registro!$G938),"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",LEN(Registro!$G938))),({1,2,3,4,5,6,7,8,9,10,11,12,13,14,15,16,17,18,19,20,21,22,23,24,25,26,27,28,29,30}-1)*LEN(Registro!$G938)+1,LEN(Registro!$G938)))&amp;"x")+1,20))),"Revisar formato")))</f>
        <v/>
      </c>
      <c r="J938" s="9" t="str">
        <f>IF(AND(Registro!$E938="",Registro!$G938=""),"",IF(NOT(AND(ISNUMBER(I938),ISNUMBER(Registro!$H938))),"",IF(I938&lt;Registro!$H938,"FALTA BOLETOS",IF(I938=Registro!$H938,"CONFORME","DIFERENCIA"))))</f>
        <v/>
      </c>
      <c r="K938" s="11" t="str">
        <f>IF(Registro!$I938="","",IFERROR(SUMPRODUCT(--("0"&amp;TRIM(RIGHT(SUBSTITUTE(TRIM(MID(SUBSTITUTE(SUBSTITUTE(Registro!$I938,";",CHAR(10)),CHAR(10),REPT(" ",LEN(Registro!$I938))),({1,2,3,4,5,6,7,8,9,10,11,12,13,14,15,16,17,18,19,20,21,22,23,24,25,26,27,28,29,30}-1)*LEN(Registro!$I938)+1,LEN(Registro!$I938)))," ",REPT(" ",50)),50)))),"Revisar formato"))</f>
        <v/>
      </c>
      <c r="L938" s="11" t="str">
        <f>IF(Registro!$J938="","",IFERROR(SUMPRODUCT(--("0"&amp;TRIM(RIGHT(SUBSTITUTE(TRIM(MID(SUBSTITUTE(SUBSTITUTE(Registro!$J938,";",CHAR(10)),CHAR(10),REPT(" ",LEN(Registro!$J938))),({1,2,3,4,5,6,7,8,9,10,11,12,13,14,15,16,17,18,19,20,21,22,23,24,25,26,27,28,29,30}-1)*LEN(Registro!$J938)+1,LEN(Registro!$J938)))," ",REPT(" ",50)),50)))),"Revisar formato"))</f>
        <v/>
      </c>
      <c r="M938" s="11" t="str">
        <f>IF(AND(Registro!$H938="",Registro!$I938=""),"",IF(AND(ISTEXT(K938),K938&lt;&gt;""),"Revisar formato",N(Registro!$H938)-N(K938)))</f>
        <v/>
      </c>
      <c r="N938" s="11" t="str">
        <f t="shared" si="44"/>
        <v/>
      </c>
      <c r="O938" s="15" t="str">
        <f>IF(AND(A938=Consulta!$B$3,C938=Consulta!$H$3),B938*10000+ROW(),"")</f>
        <v/>
      </c>
    </row>
    <row r="939" spans="1:15" x14ac:dyDescent="0.25">
      <c r="A939" s="9" t="str">
        <f>IF(Registro!$A939="","",Registro!$A939)</f>
        <v/>
      </c>
      <c r="B939" s="8" t="str">
        <f>IF(Registro!$B939="","",Registro!$B939)</f>
        <v/>
      </c>
      <c r="C939" s="14" t="str">
        <f t="shared" si="42"/>
        <v/>
      </c>
      <c r="D939" s="10" t="str">
        <f>IF(Registro!$E939="","",IF(ISERROR(FIND("x",LOWER(Registro!$E939))),"-",IFERROR(SUMPRODUCT(--("0"&amp;LEFT(TRIM(MID(SUBSTITUTE(SUBSTITUTE(SUBSTITUTE(SUBSTITUTE(SUBSTITUTE(LOWER(Registro!$E939),"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",LEN(Registro!$E939))),({1,2,3,4,5,6,7,8,9,10,11,12,13,14,15,16,17,18,19,20,21,22,23,24,25,26,27,28,29,30}-1)*LEN(Registro!$E939)+1,LEN(Registro!$E939)))&amp;"x")-1))),"Revisar formato")))</f>
        <v/>
      </c>
      <c r="E939" s="11" t="str">
        <f>IF(Registro!$E939="","",IF(ISERROR(FIND("x",LOWER(Registro!$E939))),"-",IFERROR(SUMPRODUCT(--("0"&amp;LEFT(TRIM(MID(SUBSTITUTE(SUBSTITUTE(SUBSTITUTE(SUBSTITUTE(SUBSTITUTE(LOWER(Registro!$E939),"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",LEN(Registro!$E939))),({1,2,3,4,5,6,7,8,9,10,11,12,13,14,15,16,17,18,19,20,21,22,23,24,25,26,27,28,29,30}-1)*LEN(Registro!$E939)+1,LEN(Registro!$E939)))&amp;"x")-1)),--("0"&amp;MID(TRIM(MID(SUBSTITUTE(SUBSTITUTE(SUBSTITUTE(SUBSTITUTE(SUBSTITUTE(LOWER(Registro!$E939),"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",LEN(Registro!$E939))),({1,2,3,4,5,6,7,8,9,10,11,12,13,14,15,16,17,18,19,20,21,22,23,24,25,26,27,28,29,30}-1)*LEN(Registro!$E939)+1,LEN(Registro!$E939)))&amp;"x")+1,20))),"Revisar formato")))</f>
        <v/>
      </c>
      <c r="F939" s="11" t="str">
        <f>IF(Registro!$F939="","",N(Registro!$F939))</f>
        <v/>
      </c>
      <c r="G939" s="11" t="str">
        <f t="shared" si="43"/>
        <v/>
      </c>
      <c r="H939" s="10" t="str">
        <f>IF(Registro!$G939="","",IF(ISERROR(FIND("x",LOWER(Registro!$G939))),"-",IFERROR(SUMPRODUCT(--("0"&amp;LEFT(TRIM(MID(SUBSTITUTE(SUBSTITUTE(SUBSTITUTE(SUBSTITUTE(SUBSTITUTE(LOWER(Registro!$G939),"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",LEN(Registro!$G939))),({1,2,3,4,5,6,7,8,9,10,11,12,13,14,15,16,17,18,19,20,21,22,23,24,25,26,27,28,29,30}-1)*LEN(Registro!$G939)+1,LEN(Registro!$G939))),FIND("x",TRIM(MID(SUBSTITUTE(SUBSTITUTE(SUBSTITUTE(SUBSTITUTE(SUBSTITUTE(LOWER(Registro!$G939),"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",LEN(Registro!$G939))),({1,2,3,4,5,6,7,8,9,10,11,12,13,14,15,16,17,18,19,20,21,22,23,24,25,26,27,28,29,30}-1)*LEN(Registro!$G939)+1,LEN(Registro!$G939)))&amp;"x")-1))),"Revisar formato")))</f>
        <v/>
      </c>
      <c r="I939" s="11" t="str">
        <f>IF(Registro!$G939="","",IF(ISERROR(FIND("x",LOWER(Registro!$G939))),N(Registro!$H939),IFERROR(SUMPRODUCT(--("0"&amp;LEFT(TRIM(MID(SUBSTITUTE(SUBSTITUTE(SUBSTITUTE(SUBSTITUTE(SUBSTITUTE(LOWER(Registro!$G939),"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",LEN(Registro!$G939))),({1,2,3,4,5,6,7,8,9,10,11,12,13,14,15,16,17,18,19,20,21,22,23,24,25,26,27,28,29,30}-1)*LEN(Registro!$G939)+1,LEN(Registro!$G939))),FIND("x",TRIM(MID(SUBSTITUTE(SUBSTITUTE(SUBSTITUTE(SUBSTITUTE(SUBSTITUTE(LOWER(Registro!$G939),"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",LEN(Registro!$G939))),({1,2,3,4,5,6,7,8,9,10,11,12,13,14,15,16,17,18,19,20,21,22,23,24,25,26,27,28,29,30}-1)*LEN(Registro!$G939)+1,LEN(Registro!$G939)))&amp;"x")-1)),--("0"&amp;MID(TRIM(MID(SUBSTITUTE(SUBSTITUTE(SUBSTITUTE(SUBSTITUTE(SUBSTITUTE(LOWER(Registro!$G939),"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",LEN(Registro!$G939))),({1,2,3,4,5,6,7,8,9,10,11,12,13,14,15,16,17,18,19,20,21,22,23,24,25,26,27,28,29,30}-1)*LEN(Registro!$G939)+1,LEN(Registro!$G939))),FIND("x",TRIM(MID(SUBSTITUTE(SUBSTITUTE(SUBSTITUTE(SUBSTITUTE(SUBSTITUTE(LOWER(Registro!$G939),"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",LEN(Registro!$G939))),({1,2,3,4,5,6,7,8,9,10,11,12,13,14,15,16,17,18,19,20,21,22,23,24,25,26,27,28,29,30}-1)*LEN(Registro!$G939)+1,LEN(Registro!$G939)))&amp;"x")+1,20))),"Revisar formato")))</f>
        <v/>
      </c>
      <c r="J939" s="9" t="str">
        <f>IF(AND(Registro!$E939="",Registro!$G939=""),"",IF(NOT(AND(ISNUMBER(I939),ISNUMBER(Registro!$H939))),"",IF(I939&lt;Registro!$H939,"FALTA BOLETOS",IF(I939=Registro!$H939,"CONFORME","DIFERENCIA"))))</f>
        <v/>
      </c>
      <c r="K939" s="11" t="str">
        <f>IF(Registro!$I939="","",IFERROR(SUMPRODUCT(--("0"&amp;TRIM(RIGHT(SUBSTITUTE(TRIM(MID(SUBSTITUTE(SUBSTITUTE(Registro!$I939,";",CHAR(10)),CHAR(10),REPT(" ",LEN(Registro!$I939))),({1,2,3,4,5,6,7,8,9,10,11,12,13,14,15,16,17,18,19,20,21,22,23,24,25,26,27,28,29,30}-1)*LEN(Registro!$I939)+1,LEN(Registro!$I939)))," ",REPT(" ",50)),50)))),"Revisar formato"))</f>
        <v/>
      </c>
      <c r="L939" s="11" t="str">
        <f>IF(Registro!$J939="","",IFERROR(SUMPRODUCT(--("0"&amp;TRIM(RIGHT(SUBSTITUTE(TRIM(MID(SUBSTITUTE(SUBSTITUTE(Registro!$J939,";",CHAR(10)),CHAR(10),REPT(" ",LEN(Registro!$J939))),({1,2,3,4,5,6,7,8,9,10,11,12,13,14,15,16,17,18,19,20,21,22,23,24,25,26,27,28,29,30}-1)*LEN(Registro!$J939)+1,LEN(Registro!$J939)))," ",REPT(" ",50)),50)))),"Revisar formato"))</f>
        <v/>
      </c>
      <c r="M939" s="11" t="str">
        <f>IF(AND(Registro!$H939="",Registro!$I939=""),"",IF(AND(ISTEXT(K939),K939&lt;&gt;""),"Revisar formato",N(Registro!$H939)-N(K939)))</f>
        <v/>
      </c>
      <c r="N939" s="11" t="str">
        <f t="shared" si="44"/>
        <v/>
      </c>
      <c r="O939" s="15" t="str">
        <f>IF(AND(A939=Consulta!$B$3,C939=Consulta!$H$3),B939*10000+ROW(),"")</f>
        <v/>
      </c>
    </row>
    <row r="940" spans="1:15" x14ac:dyDescent="0.25">
      <c r="A940" s="9" t="str">
        <f>IF(Registro!$A940="","",Registro!$A940)</f>
        <v/>
      </c>
      <c r="B940" s="8" t="str">
        <f>IF(Registro!$B940="","",Registro!$B940)</f>
        <v/>
      </c>
      <c r="C940" s="14" t="str">
        <f t="shared" si="42"/>
        <v/>
      </c>
      <c r="D940" s="10" t="str">
        <f>IF(Registro!$E940="","",IF(ISERROR(FIND("x",LOWER(Registro!$E940))),"-",IFERROR(SUMPRODUCT(--("0"&amp;LEFT(TRIM(MID(SUBSTITUTE(SUBSTITUTE(SUBSTITUTE(SUBSTITUTE(SUBSTITUTE(LOWER(Registro!$E940),"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",LEN(Registro!$E940))),({1,2,3,4,5,6,7,8,9,10,11,12,13,14,15,16,17,18,19,20,21,22,23,24,25,26,27,28,29,30}-1)*LEN(Registro!$E940)+1,LEN(Registro!$E940)))&amp;"x")-1))),"Revisar formato")))</f>
        <v/>
      </c>
      <c r="E940" s="11" t="str">
        <f>IF(Registro!$E940="","",IF(ISERROR(FIND("x",LOWER(Registro!$E940))),"-",IFERROR(SUMPRODUCT(--("0"&amp;LEFT(TRIM(MID(SUBSTITUTE(SUBSTITUTE(SUBSTITUTE(SUBSTITUTE(SUBSTITUTE(LOWER(Registro!$E940),"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",LEN(Registro!$E940))),({1,2,3,4,5,6,7,8,9,10,11,12,13,14,15,16,17,18,19,20,21,22,23,24,25,26,27,28,29,30}-1)*LEN(Registro!$E940)+1,LEN(Registro!$E940)))&amp;"x")-1)),--("0"&amp;MID(TRIM(MID(SUBSTITUTE(SUBSTITUTE(SUBSTITUTE(SUBSTITUTE(SUBSTITUTE(LOWER(Registro!$E940),"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",LEN(Registro!$E940))),({1,2,3,4,5,6,7,8,9,10,11,12,13,14,15,16,17,18,19,20,21,22,23,24,25,26,27,28,29,30}-1)*LEN(Registro!$E940)+1,LEN(Registro!$E940)))&amp;"x")+1,20))),"Revisar formato")))</f>
        <v/>
      </c>
      <c r="F940" s="11" t="str">
        <f>IF(Registro!$F940="","",N(Registro!$F940))</f>
        <v/>
      </c>
      <c r="G940" s="11" t="str">
        <f t="shared" si="43"/>
        <v/>
      </c>
      <c r="H940" s="10" t="str">
        <f>IF(Registro!$G940="","",IF(ISERROR(FIND("x",LOWER(Registro!$G940))),"-",IFERROR(SUMPRODUCT(--("0"&amp;LEFT(TRIM(MID(SUBSTITUTE(SUBSTITUTE(SUBSTITUTE(SUBSTITUTE(SUBSTITUTE(LOWER(Registro!$G940),"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",LEN(Registro!$G940))),({1,2,3,4,5,6,7,8,9,10,11,12,13,14,15,16,17,18,19,20,21,22,23,24,25,26,27,28,29,30}-1)*LEN(Registro!$G940)+1,LEN(Registro!$G940))),FIND("x",TRIM(MID(SUBSTITUTE(SUBSTITUTE(SUBSTITUTE(SUBSTITUTE(SUBSTITUTE(LOWER(Registro!$G940),"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",LEN(Registro!$G940))),({1,2,3,4,5,6,7,8,9,10,11,12,13,14,15,16,17,18,19,20,21,22,23,24,25,26,27,28,29,30}-1)*LEN(Registro!$G940)+1,LEN(Registro!$G940)))&amp;"x")-1))),"Revisar formato")))</f>
        <v/>
      </c>
      <c r="I940" s="11" t="str">
        <f>IF(Registro!$G940="","",IF(ISERROR(FIND("x",LOWER(Registro!$G940))),N(Registro!$H940),IFERROR(SUMPRODUCT(--("0"&amp;LEFT(TRIM(MID(SUBSTITUTE(SUBSTITUTE(SUBSTITUTE(SUBSTITUTE(SUBSTITUTE(LOWER(Registro!$G940),"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",LEN(Registro!$G940))),({1,2,3,4,5,6,7,8,9,10,11,12,13,14,15,16,17,18,19,20,21,22,23,24,25,26,27,28,29,30}-1)*LEN(Registro!$G940)+1,LEN(Registro!$G940))),FIND("x",TRIM(MID(SUBSTITUTE(SUBSTITUTE(SUBSTITUTE(SUBSTITUTE(SUBSTITUTE(LOWER(Registro!$G940),"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",LEN(Registro!$G940))),({1,2,3,4,5,6,7,8,9,10,11,12,13,14,15,16,17,18,19,20,21,22,23,24,25,26,27,28,29,30}-1)*LEN(Registro!$G940)+1,LEN(Registro!$G940)))&amp;"x")-1)),--("0"&amp;MID(TRIM(MID(SUBSTITUTE(SUBSTITUTE(SUBSTITUTE(SUBSTITUTE(SUBSTITUTE(LOWER(Registro!$G940),"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",LEN(Registro!$G940))),({1,2,3,4,5,6,7,8,9,10,11,12,13,14,15,16,17,18,19,20,21,22,23,24,25,26,27,28,29,30}-1)*LEN(Registro!$G940)+1,LEN(Registro!$G940))),FIND("x",TRIM(MID(SUBSTITUTE(SUBSTITUTE(SUBSTITUTE(SUBSTITUTE(SUBSTITUTE(LOWER(Registro!$G940),"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",LEN(Registro!$G940))),({1,2,3,4,5,6,7,8,9,10,11,12,13,14,15,16,17,18,19,20,21,22,23,24,25,26,27,28,29,30}-1)*LEN(Registro!$G940)+1,LEN(Registro!$G940)))&amp;"x")+1,20))),"Revisar formato")))</f>
        <v/>
      </c>
      <c r="J940" s="9" t="str">
        <f>IF(AND(Registro!$E940="",Registro!$G940=""),"",IF(NOT(AND(ISNUMBER(I940),ISNUMBER(Registro!$H940))),"",IF(I940&lt;Registro!$H940,"FALTA BOLETOS",IF(I940=Registro!$H940,"CONFORME","DIFERENCIA"))))</f>
        <v/>
      </c>
      <c r="K940" s="11" t="str">
        <f>IF(Registro!$I940="","",IFERROR(SUMPRODUCT(--("0"&amp;TRIM(RIGHT(SUBSTITUTE(TRIM(MID(SUBSTITUTE(SUBSTITUTE(Registro!$I940,";",CHAR(10)),CHAR(10),REPT(" ",LEN(Registro!$I940))),({1,2,3,4,5,6,7,8,9,10,11,12,13,14,15,16,17,18,19,20,21,22,23,24,25,26,27,28,29,30}-1)*LEN(Registro!$I940)+1,LEN(Registro!$I940)))," ",REPT(" ",50)),50)))),"Revisar formato"))</f>
        <v/>
      </c>
      <c r="L940" s="11" t="str">
        <f>IF(Registro!$J940="","",IFERROR(SUMPRODUCT(--("0"&amp;TRIM(RIGHT(SUBSTITUTE(TRIM(MID(SUBSTITUTE(SUBSTITUTE(Registro!$J940,";",CHAR(10)),CHAR(10),REPT(" ",LEN(Registro!$J940))),({1,2,3,4,5,6,7,8,9,10,11,12,13,14,15,16,17,18,19,20,21,22,23,24,25,26,27,28,29,30}-1)*LEN(Registro!$J940)+1,LEN(Registro!$J940)))," ",REPT(" ",50)),50)))),"Revisar formato"))</f>
        <v/>
      </c>
      <c r="M940" s="11" t="str">
        <f>IF(AND(Registro!$H940="",Registro!$I940=""),"",IF(AND(ISTEXT(K940),K940&lt;&gt;""),"Revisar formato",N(Registro!$H940)-N(K940)))</f>
        <v/>
      </c>
      <c r="N940" s="11" t="str">
        <f t="shared" si="44"/>
        <v/>
      </c>
      <c r="O940" s="15" t="str">
        <f>IF(AND(A940=Consulta!$B$3,C940=Consulta!$H$3),B940*10000+ROW(),"")</f>
        <v/>
      </c>
    </row>
    <row r="941" spans="1:15" x14ac:dyDescent="0.25">
      <c r="A941" s="9" t="str">
        <f>IF(Registro!$A941="","",Registro!$A941)</f>
        <v/>
      </c>
      <c r="B941" s="8" t="str">
        <f>IF(Registro!$B941="","",Registro!$B941)</f>
        <v/>
      </c>
      <c r="C941" s="14" t="str">
        <f t="shared" si="42"/>
        <v/>
      </c>
      <c r="D941" s="10" t="str">
        <f>IF(Registro!$E941="","",IF(ISERROR(FIND("x",LOWER(Registro!$E941))),"-",IFERROR(SUMPRODUCT(--("0"&amp;LEFT(TRIM(MID(SUBSTITUTE(SUBSTITUTE(SUBSTITUTE(SUBSTITUTE(SUBSTITUTE(LOWER(Registro!$E941),"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",LEN(Registro!$E941))),({1,2,3,4,5,6,7,8,9,10,11,12,13,14,15,16,17,18,19,20,21,22,23,24,25,26,27,28,29,30}-1)*LEN(Registro!$E941)+1,LEN(Registro!$E941)))&amp;"x")-1))),"Revisar formato")))</f>
        <v/>
      </c>
      <c r="E941" s="11" t="str">
        <f>IF(Registro!$E941="","",IF(ISERROR(FIND("x",LOWER(Registro!$E941))),"-",IFERROR(SUMPRODUCT(--("0"&amp;LEFT(TRIM(MID(SUBSTITUTE(SUBSTITUTE(SUBSTITUTE(SUBSTITUTE(SUBSTITUTE(LOWER(Registro!$E941),"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",LEN(Registro!$E941))),({1,2,3,4,5,6,7,8,9,10,11,12,13,14,15,16,17,18,19,20,21,22,23,24,25,26,27,28,29,30}-1)*LEN(Registro!$E941)+1,LEN(Registro!$E941)))&amp;"x")-1)),--("0"&amp;MID(TRIM(MID(SUBSTITUTE(SUBSTITUTE(SUBSTITUTE(SUBSTITUTE(SUBSTITUTE(LOWER(Registro!$E941),"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",LEN(Registro!$E941))),({1,2,3,4,5,6,7,8,9,10,11,12,13,14,15,16,17,18,19,20,21,22,23,24,25,26,27,28,29,30}-1)*LEN(Registro!$E941)+1,LEN(Registro!$E941)))&amp;"x")+1,20))),"Revisar formato")))</f>
        <v/>
      </c>
      <c r="F941" s="11" t="str">
        <f>IF(Registro!$F941="","",N(Registro!$F941))</f>
        <v/>
      </c>
      <c r="G941" s="11" t="str">
        <f t="shared" si="43"/>
        <v/>
      </c>
      <c r="H941" s="10" t="str">
        <f>IF(Registro!$G941="","",IF(ISERROR(FIND("x",LOWER(Registro!$G941))),"-",IFERROR(SUMPRODUCT(--("0"&amp;LEFT(TRIM(MID(SUBSTITUTE(SUBSTITUTE(SUBSTITUTE(SUBSTITUTE(SUBSTITUTE(LOWER(Registro!$G941),"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",LEN(Registro!$G941))),({1,2,3,4,5,6,7,8,9,10,11,12,13,14,15,16,17,18,19,20,21,22,23,24,25,26,27,28,29,30}-1)*LEN(Registro!$G941)+1,LEN(Registro!$G941))),FIND("x",TRIM(MID(SUBSTITUTE(SUBSTITUTE(SUBSTITUTE(SUBSTITUTE(SUBSTITUTE(LOWER(Registro!$G941),"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",LEN(Registro!$G941))),({1,2,3,4,5,6,7,8,9,10,11,12,13,14,15,16,17,18,19,20,21,22,23,24,25,26,27,28,29,30}-1)*LEN(Registro!$G941)+1,LEN(Registro!$G941)))&amp;"x")-1))),"Revisar formato")))</f>
        <v/>
      </c>
      <c r="I941" s="11" t="str">
        <f>IF(Registro!$G941="","",IF(ISERROR(FIND("x",LOWER(Registro!$G941))),N(Registro!$H941),IFERROR(SUMPRODUCT(--("0"&amp;LEFT(TRIM(MID(SUBSTITUTE(SUBSTITUTE(SUBSTITUTE(SUBSTITUTE(SUBSTITUTE(LOWER(Registro!$G941),"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",LEN(Registro!$G941))),({1,2,3,4,5,6,7,8,9,10,11,12,13,14,15,16,17,18,19,20,21,22,23,24,25,26,27,28,29,30}-1)*LEN(Registro!$G941)+1,LEN(Registro!$G941))),FIND("x",TRIM(MID(SUBSTITUTE(SUBSTITUTE(SUBSTITUTE(SUBSTITUTE(SUBSTITUTE(LOWER(Registro!$G941),"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",LEN(Registro!$G941))),({1,2,3,4,5,6,7,8,9,10,11,12,13,14,15,16,17,18,19,20,21,22,23,24,25,26,27,28,29,30}-1)*LEN(Registro!$G941)+1,LEN(Registro!$G941)))&amp;"x")-1)),--("0"&amp;MID(TRIM(MID(SUBSTITUTE(SUBSTITUTE(SUBSTITUTE(SUBSTITUTE(SUBSTITUTE(LOWER(Registro!$G941),"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",LEN(Registro!$G941))),({1,2,3,4,5,6,7,8,9,10,11,12,13,14,15,16,17,18,19,20,21,22,23,24,25,26,27,28,29,30}-1)*LEN(Registro!$G941)+1,LEN(Registro!$G941))),FIND("x",TRIM(MID(SUBSTITUTE(SUBSTITUTE(SUBSTITUTE(SUBSTITUTE(SUBSTITUTE(LOWER(Registro!$G941),"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",LEN(Registro!$G941))),({1,2,3,4,5,6,7,8,9,10,11,12,13,14,15,16,17,18,19,20,21,22,23,24,25,26,27,28,29,30}-1)*LEN(Registro!$G941)+1,LEN(Registro!$G941)))&amp;"x")+1,20))),"Revisar formato")))</f>
        <v/>
      </c>
      <c r="J941" s="9" t="str">
        <f>IF(AND(Registro!$E941="",Registro!$G941=""),"",IF(NOT(AND(ISNUMBER(I941),ISNUMBER(Registro!$H941))),"",IF(I941&lt;Registro!$H941,"FALTA BOLETOS",IF(I941=Registro!$H941,"CONFORME","DIFERENCIA"))))</f>
        <v/>
      </c>
      <c r="K941" s="11" t="str">
        <f>IF(Registro!$I941="","",IFERROR(SUMPRODUCT(--("0"&amp;TRIM(RIGHT(SUBSTITUTE(TRIM(MID(SUBSTITUTE(SUBSTITUTE(Registro!$I941,";",CHAR(10)),CHAR(10),REPT(" ",LEN(Registro!$I941))),({1,2,3,4,5,6,7,8,9,10,11,12,13,14,15,16,17,18,19,20,21,22,23,24,25,26,27,28,29,30}-1)*LEN(Registro!$I941)+1,LEN(Registro!$I941)))," ",REPT(" ",50)),50)))),"Revisar formato"))</f>
        <v/>
      </c>
      <c r="L941" s="11" t="str">
        <f>IF(Registro!$J941="","",IFERROR(SUMPRODUCT(--("0"&amp;TRIM(RIGHT(SUBSTITUTE(TRIM(MID(SUBSTITUTE(SUBSTITUTE(Registro!$J941,";",CHAR(10)),CHAR(10),REPT(" ",LEN(Registro!$J941))),({1,2,3,4,5,6,7,8,9,10,11,12,13,14,15,16,17,18,19,20,21,22,23,24,25,26,27,28,29,30}-1)*LEN(Registro!$J941)+1,LEN(Registro!$J941)))," ",REPT(" ",50)),50)))),"Revisar formato"))</f>
        <v/>
      </c>
      <c r="M941" s="11" t="str">
        <f>IF(AND(Registro!$H941="",Registro!$I941=""),"",IF(AND(ISTEXT(K941),K941&lt;&gt;""),"Revisar formato",N(Registro!$H941)-N(K941)))</f>
        <v/>
      </c>
      <c r="N941" s="11" t="str">
        <f t="shared" si="44"/>
        <v/>
      </c>
      <c r="O941" s="15" t="str">
        <f>IF(AND(A941=Consulta!$B$3,C941=Consulta!$H$3),B941*10000+ROW(),"")</f>
        <v/>
      </c>
    </row>
    <row r="942" spans="1:15" x14ac:dyDescent="0.25">
      <c r="A942" s="9" t="str">
        <f>IF(Registro!$A942="","",Registro!$A942)</f>
        <v/>
      </c>
      <c r="B942" s="8" t="str">
        <f>IF(Registro!$B942="","",Registro!$B942)</f>
        <v/>
      </c>
      <c r="C942" s="14" t="str">
        <f t="shared" si="42"/>
        <v/>
      </c>
      <c r="D942" s="10" t="str">
        <f>IF(Registro!$E942="","",IF(ISERROR(FIND("x",LOWER(Registro!$E942))),"-",IFERROR(SUMPRODUCT(--("0"&amp;LEFT(TRIM(MID(SUBSTITUTE(SUBSTITUTE(SUBSTITUTE(SUBSTITUTE(SUBSTITUTE(LOWER(Registro!$E942),"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",LEN(Registro!$E942))),({1,2,3,4,5,6,7,8,9,10,11,12,13,14,15,16,17,18,19,20,21,22,23,24,25,26,27,28,29,30}-1)*LEN(Registro!$E942)+1,LEN(Registro!$E942)))&amp;"x")-1))),"Revisar formato")))</f>
        <v/>
      </c>
      <c r="E942" s="11" t="str">
        <f>IF(Registro!$E942="","",IF(ISERROR(FIND("x",LOWER(Registro!$E942))),"-",IFERROR(SUMPRODUCT(--("0"&amp;LEFT(TRIM(MID(SUBSTITUTE(SUBSTITUTE(SUBSTITUTE(SUBSTITUTE(SUBSTITUTE(LOWER(Registro!$E942),"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",LEN(Registro!$E942))),({1,2,3,4,5,6,7,8,9,10,11,12,13,14,15,16,17,18,19,20,21,22,23,24,25,26,27,28,29,30}-1)*LEN(Registro!$E942)+1,LEN(Registro!$E942)))&amp;"x")-1)),--("0"&amp;MID(TRIM(MID(SUBSTITUTE(SUBSTITUTE(SUBSTITUTE(SUBSTITUTE(SUBSTITUTE(LOWER(Registro!$E942),"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",LEN(Registro!$E942))),({1,2,3,4,5,6,7,8,9,10,11,12,13,14,15,16,17,18,19,20,21,22,23,24,25,26,27,28,29,30}-1)*LEN(Registro!$E942)+1,LEN(Registro!$E942)))&amp;"x")+1,20))),"Revisar formato")))</f>
        <v/>
      </c>
      <c r="F942" s="11" t="str">
        <f>IF(Registro!$F942="","",N(Registro!$F942))</f>
        <v/>
      </c>
      <c r="G942" s="11" t="str">
        <f t="shared" si="43"/>
        <v/>
      </c>
      <c r="H942" s="10" t="str">
        <f>IF(Registro!$G942="","",IF(ISERROR(FIND("x",LOWER(Registro!$G942))),"-",IFERROR(SUMPRODUCT(--("0"&amp;LEFT(TRIM(MID(SUBSTITUTE(SUBSTITUTE(SUBSTITUTE(SUBSTITUTE(SUBSTITUTE(LOWER(Registro!$G942),"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",LEN(Registro!$G942))),({1,2,3,4,5,6,7,8,9,10,11,12,13,14,15,16,17,18,19,20,21,22,23,24,25,26,27,28,29,30}-1)*LEN(Registro!$G942)+1,LEN(Registro!$G942))),FIND("x",TRIM(MID(SUBSTITUTE(SUBSTITUTE(SUBSTITUTE(SUBSTITUTE(SUBSTITUTE(LOWER(Registro!$G942),"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",LEN(Registro!$G942))),({1,2,3,4,5,6,7,8,9,10,11,12,13,14,15,16,17,18,19,20,21,22,23,24,25,26,27,28,29,30}-1)*LEN(Registro!$G942)+1,LEN(Registro!$G942)))&amp;"x")-1))),"Revisar formato")))</f>
        <v/>
      </c>
      <c r="I942" s="11" t="str">
        <f>IF(Registro!$G942="","",IF(ISERROR(FIND("x",LOWER(Registro!$G942))),N(Registro!$H942),IFERROR(SUMPRODUCT(--("0"&amp;LEFT(TRIM(MID(SUBSTITUTE(SUBSTITUTE(SUBSTITUTE(SUBSTITUTE(SUBSTITUTE(LOWER(Registro!$G942),"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",LEN(Registro!$G942))),({1,2,3,4,5,6,7,8,9,10,11,12,13,14,15,16,17,18,19,20,21,22,23,24,25,26,27,28,29,30}-1)*LEN(Registro!$G942)+1,LEN(Registro!$G942))),FIND("x",TRIM(MID(SUBSTITUTE(SUBSTITUTE(SUBSTITUTE(SUBSTITUTE(SUBSTITUTE(LOWER(Registro!$G942),"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",LEN(Registro!$G942))),({1,2,3,4,5,6,7,8,9,10,11,12,13,14,15,16,17,18,19,20,21,22,23,24,25,26,27,28,29,30}-1)*LEN(Registro!$G942)+1,LEN(Registro!$G942)))&amp;"x")-1)),--("0"&amp;MID(TRIM(MID(SUBSTITUTE(SUBSTITUTE(SUBSTITUTE(SUBSTITUTE(SUBSTITUTE(LOWER(Registro!$G942),"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",LEN(Registro!$G942))),({1,2,3,4,5,6,7,8,9,10,11,12,13,14,15,16,17,18,19,20,21,22,23,24,25,26,27,28,29,30}-1)*LEN(Registro!$G942)+1,LEN(Registro!$G942))),FIND("x",TRIM(MID(SUBSTITUTE(SUBSTITUTE(SUBSTITUTE(SUBSTITUTE(SUBSTITUTE(LOWER(Registro!$G942),"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",LEN(Registro!$G942))),({1,2,3,4,5,6,7,8,9,10,11,12,13,14,15,16,17,18,19,20,21,22,23,24,25,26,27,28,29,30}-1)*LEN(Registro!$G942)+1,LEN(Registro!$G942)))&amp;"x")+1,20))),"Revisar formato")))</f>
        <v/>
      </c>
      <c r="J942" s="9" t="str">
        <f>IF(AND(Registro!$E942="",Registro!$G942=""),"",IF(NOT(AND(ISNUMBER(I942),ISNUMBER(Registro!$H942))),"",IF(I942&lt;Registro!$H942,"FALTA BOLETOS",IF(I942=Registro!$H942,"CONFORME","DIFERENCIA"))))</f>
        <v/>
      </c>
      <c r="K942" s="11" t="str">
        <f>IF(Registro!$I942="","",IFERROR(SUMPRODUCT(--("0"&amp;TRIM(RIGHT(SUBSTITUTE(TRIM(MID(SUBSTITUTE(SUBSTITUTE(Registro!$I942,";",CHAR(10)),CHAR(10),REPT(" ",LEN(Registro!$I942))),({1,2,3,4,5,6,7,8,9,10,11,12,13,14,15,16,17,18,19,20,21,22,23,24,25,26,27,28,29,30}-1)*LEN(Registro!$I942)+1,LEN(Registro!$I942)))," ",REPT(" ",50)),50)))),"Revisar formato"))</f>
        <v/>
      </c>
      <c r="L942" s="11" t="str">
        <f>IF(Registro!$J942="","",IFERROR(SUMPRODUCT(--("0"&amp;TRIM(RIGHT(SUBSTITUTE(TRIM(MID(SUBSTITUTE(SUBSTITUTE(Registro!$J942,";",CHAR(10)),CHAR(10),REPT(" ",LEN(Registro!$J942))),({1,2,3,4,5,6,7,8,9,10,11,12,13,14,15,16,17,18,19,20,21,22,23,24,25,26,27,28,29,30}-1)*LEN(Registro!$J942)+1,LEN(Registro!$J942)))," ",REPT(" ",50)),50)))),"Revisar formato"))</f>
        <v/>
      </c>
      <c r="M942" s="11" t="str">
        <f>IF(AND(Registro!$H942="",Registro!$I942=""),"",IF(AND(ISTEXT(K942),K942&lt;&gt;""),"Revisar formato",N(Registro!$H942)-N(K942)))</f>
        <v/>
      </c>
      <c r="N942" s="11" t="str">
        <f t="shared" si="44"/>
        <v/>
      </c>
      <c r="O942" s="15" t="str">
        <f>IF(AND(A942=Consulta!$B$3,C942=Consulta!$H$3),B942*10000+ROW(),"")</f>
        <v/>
      </c>
    </row>
    <row r="943" spans="1:15" x14ac:dyDescent="0.25">
      <c r="A943" s="9" t="str">
        <f>IF(Registro!$A943="","",Registro!$A943)</f>
        <v/>
      </c>
      <c r="B943" s="8" t="str">
        <f>IF(Registro!$B943="","",Registro!$B943)</f>
        <v/>
      </c>
      <c r="C943" s="14" t="str">
        <f t="shared" si="42"/>
        <v/>
      </c>
      <c r="D943" s="10" t="str">
        <f>IF(Registro!$E943="","",IF(ISERROR(FIND("x",LOWER(Registro!$E943))),"-",IFERROR(SUMPRODUCT(--("0"&amp;LEFT(TRIM(MID(SUBSTITUTE(SUBSTITUTE(SUBSTITUTE(SUBSTITUTE(SUBSTITUTE(LOWER(Registro!$E943),"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",LEN(Registro!$E943))),({1,2,3,4,5,6,7,8,9,10,11,12,13,14,15,16,17,18,19,20,21,22,23,24,25,26,27,28,29,30}-1)*LEN(Registro!$E943)+1,LEN(Registro!$E943)))&amp;"x")-1))),"Revisar formato")))</f>
        <v/>
      </c>
      <c r="E943" s="11" t="str">
        <f>IF(Registro!$E943="","",IF(ISERROR(FIND("x",LOWER(Registro!$E943))),"-",IFERROR(SUMPRODUCT(--("0"&amp;LEFT(TRIM(MID(SUBSTITUTE(SUBSTITUTE(SUBSTITUTE(SUBSTITUTE(SUBSTITUTE(LOWER(Registro!$E943),"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",LEN(Registro!$E943))),({1,2,3,4,5,6,7,8,9,10,11,12,13,14,15,16,17,18,19,20,21,22,23,24,25,26,27,28,29,30}-1)*LEN(Registro!$E943)+1,LEN(Registro!$E943)))&amp;"x")-1)),--("0"&amp;MID(TRIM(MID(SUBSTITUTE(SUBSTITUTE(SUBSTITUTE(SUBSTITUTE(SUBSTITUTE(LOWER(Registro!$E943),"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",LEN(Registro!$E943))),({1,2,3,4,5,6,7,8,9,10,11,12,13,14,15,16,17,18,19,20,21,22,23,24,25,26,27,28,29,30}-1)*LEN(Registro!$E943)+1,LEN(Registro!$E943)))&amp;"x")+1,20))),"Revisar formato")))</f>
        <v/>
      </c>
      <c r="F943" s="11" t="str">
        <f>IF(Registro!$F943="","",N(Registro!$F943))</f>
        <v/>
      </c>
      <c r="G943" s="11" t="str">
        <f t="shared" si="43"/>
        <v/>
      </c>
      <c r="H943" s="10" t="str">
        <f>IF(Registro!$G943="","",IF(ISERROR(FIND("x",LOWER(Registro!$G943))),"-",IFERROR(SUMPRODUCT(--("0"&amp;LEFT(TRIM(MID(SUBSTITUTE(SUBSTITUTE(SUBSTITUTE(SUBSTITUTE(SUBSTITUTE(LOWER(Registro!$G943),"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",LEN(Registro!$G943))),({1,2,3,4,5,6,7,8,9,10,11,12,13,14,15,16,17,18,19,20,21,22,23,24,25,26,27,28,29,30}-1)*LEN(Registro!$G943)+1,LEN(Registro!$G943))),FIND("x",TRIM(MID(SUBSTITUTE(SUBSTITUTE(SUBSTITUTE(SUBSTITUTE(SUBSTITUTE(LOWER(Registro!$G943),"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",LEN(Registro!$G943))),({1,2,3,4,5,6,7,8,9,10,11,12,13,14,15,16,17,18,19,20,21,22,23,24,25,26,27,28,29,30}-1)*LEN(Registro!$G943)+1,LEN(Registro!$G943)))&amp;"x")-1))),"Revisar formato")))</f>
        <v/>
      </c>
      <c r="I943" s="11" t="str">
        <f>IF(Registro!$G943="","",IF(ISERROR(FIND("x",LOWER(Registro!$G943))),N(Registro!$H943),IFERROR(SUMPRODUCT(--("0"&amp;LEFT(TRIM(MID(SUBSTITUTE(SUBSTITUTE(SUBSTITUTE(SUBSTITUTE(SUBSTITUTE(LOWER(Registro!$G943),"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",LEN(Registro!$G943))),({1,2,3,4,5,6,7,8,9,10,11,12,13,14,15,16,17,18,19,20,21,22,23,24,25,26,27,28,29,30}-1)*LEN(Registro!$G943)+1,LEN(Registro!$G943))),FIND("x",TRIM(MID(SUBSTITUTE(SUBSTITUTE(SUBSTITUTE(SUBSTITUTE(SUBSTITUTE(LOWER(Registro!$G943),"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",LEN(Registro!$G943))),({1,2,3,4,5,6,7,8,9,10,11,12,13,14,15,16,17,18,19,20,21,22,23,24,25,26,27,28,29,30}-1)*LEN(Registro!$G943)+1,LEN(Registro!$G943)))&amp;"x")-1)),--("0"&amp;MID(TRIM(MID(SUBSTITUTE(SUBSTITUTE(SUBSTITUTE(SUBSTITUTE(SUBSTITUTE(LOWER(Registro!$G943),"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",LEN(Registro!$G943))),({1,2,3,4,5,6,7,8,9,10,11,12,13,14,15,16,17,18,19,20,21,22,23,24,25,26,27,28,29,30}-1)*LEN(Registro!$G943)+1,LEN(Registro!$G943))),FIND("x",TRIM(MID(SUBSTITUTE(SUBSTITUTE(SUBSTITUTE(SUBSTITUTE(SUBSTITUTE(LOWER(Registro!$G943),"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",LEN(Registro!$G943))),({1,2,3,4,5,6,7,8,9,10,11,12,13,14,15,16,17,18,19,20,21,22,23,24,25,26,27,28,29,30}-1)*LEN(Registro!$G943)+1,LEN(Registro!$G943)))&amp;"x")+1,20))),"Revisar formato")))</f>
        <v/>
      </c>
      <c r="J943" s="9" t="str">
        <f>IF(AND(Registro!$E943="",Registro!$G943=""),"",IF(NOT(AND(ISNUMBER(I943),ISNUMBER(Registro!$H943))),"",IF(I943&lt;Registro!$H943,"FALTA BOLETOS",IF(I943=Registro!$H943,"CONFORME","DIFERENCIA"))))</f>
        <v/>
      </c>
      <c r="K943" s="11" t="str">
        <f>IF(Registro!$I943="","",IFERROR(SUMPRODUCT(--("0"&amp;TRIM(RIGHT(SUBSTITUTE(TRIM(MID(SUBSTITUTE(SUBSTITUTE(Registro!$I943,";",CHAR(10)),CHAR(10),REPT(" ",LEN(Registro!$I943))),({1,2,3,4,5,6,7,8,9,10,11,12,13,14,15,16,17,18,19,20,21,22,23,24,25,26,27,28,29,30}-1)*LEN(Registro!$I943)+1,LEN(Registro!$I943)))," ",REPT(" ",50)),50)))),"Revisar formato"))</f>
        <v/>
      </c>
      <c r="L943" s="11" t="str">
        <f>IF(Registro!$J943="","",IFERROR(SUMPRODUCT(--("0"&amp;TRIM(RIGHT(SUBSTITUTE(TRIM(MID(SUBSTITUTE(SUBSTITUTE(Registro!$J943,";",CHAR(10)),CHAR(10),REPT(" ",LEN(Registro!$J943))),({1,2,3,4,5,6,7,8,9,10,11,12,13,14,15,16,17,18,19,20,21,22,23,24,25,26,27,28,29,30}-1)*LEN(Registro!$J943)+1,LEN(Registro!$J943)))," ",REPT(" ",50)),50)))),"Revisar formato"))</f>
        <v/>
      </c>
      <c r="M943" s="11" t="str">
        <f>IF(AND(Registro!$H943="",Registro!$I943=""),"",IF(AND(ISTEXT(K943),K943&lt;&gt;""),"Revisar formato",N(Registro!$H943)-N(K943)))</f>
        <v/>
      </c>
      <c r="N943" s="11" t="str">
        <f t="shared" si="44"/>
        <v/>
      </c>
      <c r="O943" s="15" t="str">
        <f>IF(AND(A943=Consulta!$B$3,C943=Consulta!$H$3),B943*10000+ROW(),"")</f>
        <v/>
      </c>
    </row>
    <row r="944" spans="1:15" x14ac:dyDescent="0.25">
      <c r="A944" s="9" t="str">
        <f>IF(Registro!$A944="","",Registro!$A944)</f>
        <v/>
      </c>
      <c r="B944" s="8" t="str">
        <f>IF(Registro!$B944="","",Registro!$B944)</f>
        <v/>
      </c>
      <c r="C944" s="14" t="str">
        <f t="shared" si="42"/>
        <v/>
      </c>
      <c r="D944" s="10" t="str">
        <f>IF(Registro!$E944="","",IF(ISERROR(FIND("x",LOWER(Registro!$E944))),"-",IFERROR(SUMPRODUCT(--("0"&amp;LEFT(TRIM(MID(SUBSTITUTE(SUBSTITUTE(SUBSTITUTE(SUBSTITUTE(SUBSTITUTE(LOWER(Registro!$E944),"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",LEN(Registro!$E944))),({1,2,3,4,5,6,7,8,9,10,11,12,13,14,15,16,17,18,19,20,21,22,23,24,25,26,27,28,29,30}-1)*LEN(Registro!$E944)+1,LEN(Registro!$E944)))&amp;"x")-1))),"Revisar formato")))</f>
        <v/>
      </c>
      <c r="E944" s="11" t="str">
        <f>IF(Registro!$E944="","",IF(ISERROR(FIND("x",LOWER(Registro!$E944))),"-",IFERROR(SUMPRODUCT(--("0"&amp;LEFT(TRIM(MID(SUBSTITUTE(SUBSTITUTE(SUBSTITUTE(SUBSTITUTE(SUBSTITUTE(LOWER(Registro!$E944),"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",LEN(Registro!$E944))),({1,2,3,4,5,6,7,8,9,10,11,12,13,14,15,16,17,18,19,20,21,22,23,24,25,26,27,28,29,30}-1)*LEN(Registro!$E944)+1,LEN(Registro!$E944)))&amp;"x")-1)),--("0"&amp;MID(TRIM(MID(SUBSTITUTE(SUBSTITUTE(SUBSTITUTE(SUBSTITUTE(SUBSTITUTE(LOWER(Registro!$E944),"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",LEN(Registro!$E944))),({1,2,3,4,5,6,7,8,9,10,11,12,13,14,15,16,17,18,19,20,21,22,23,24,25,26,27,28,29,30}-1)*LEN(Registro!$E944)+1,LEN(Registro!$E944)))&amp;"x")+1,20))),"Revisar formato")))</f>
        <v/>
      </c>
      <c r="F944" s="11" t="str">
        <f>IF(Registro!$F944="","",N(Registro!$F944))</f>
        <v/>
      </c>
      <c r="G944" s="11" t="str">
        <f t="shared" si="43"/>
        <v/>
      </c>
      <c r="H944" s="10" t="str">
        <f>IF(Registro!$G944="","",IF(ISERROR(FIND("x",LOWER(Registro!$G944))),"-",IFERROR(SUMPRODUCT(--("0"&amp;LEFT(TRIM(MID(SUBSTITUTE(SUBSTITUTE(SUBSTITUTE(SUBSTITUTE(SUBSTITUTE(LOWER(Registro!$G944),"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",LEN(Registro!$G944))),({1,2,3,4,5,6,7,8,9,10,11,12,13,14,15,16,17,18,19,20,21,22,23,24,25,26,27,28,29,30}-1)*LEN(Registro!$G944)+1,LEN(Registro!$G944))),FIND("x",TRIM(MID(SUBSTITUTE(SUBSTITUTE(SUBSTITUTE(SUBSTITUTE(SUBSTITUTE(LOWER(Registro!$G944),"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",LEN(Registro!$G944))),({1,2,3,4,5,6,7,8,9,10,11,12,13,14,15,16,17,18,19,20,21,22,23,24,25,26,27,28,29,30}-1)*LEN(Registro!$G944)+1,LEN(Registro!$G944)))&amp;"x")-1))),"Revisar formato")))</f>
        <v/>
      </c>
      <c r="I944" s="11" t="str">
        <f>IF(Registro!$G944="","",IF(ISERROR(FIND("x",LOWER(Registro!$G944))),N(Registro!$H944),IFERROR(SUMPRODUCT(--("0"&amp;LEFT(TRIM(MID(SUBSTITUTE(SUBSTITUTE(SUBSTITUTE(SUBSTITUTE(SUBSTITUTE(LOWER(Registro!$G944),"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",LEN(Registro!$G944))),({1,2,3,4,5,6,7,8,9,10,11,12,13,14,15,16,17,18,19,20,21,22,23,24,25,26,27,28,29,30}-1)*LEN(Registro!$G944)+1,LEN(Registro!$G944))),FIND("x",TRIM(MID(SUBSTITUTE(SUBSTITUTE(SUBSTITUTE(SUBSTITUTE(SUBSTITUTE(LOWER(Registro!$G944),"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",LEN(Registro!$G944))),({1,2,3,4,5,6,7,8,9,10,11,12,13,14,15,16,17,18,19,20,21,22,23,24,25,26,27,28,29,30}-1)*LEN(Registro!$G944)+1,LEN(Registro!$G944)))&amp;"x")-1)),--("0"&amp;MID(TRIM(MID(SUBSTITUTE(SUBSTITUTE(SUBSTITUTE(SUBSTITUTE(SUBSTITUTE(LOWER(Registro!$G944),"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",LEN(Registro!$G944))),({1,2,3,4,5,6,7,8,9,10,11,12,13,14,15,16,17,18,19,20,21,22,23,24,25,26,27,28,29,30}-1)*LEN(Registro!$G944)+1,LEN(Registro!$G944))),FIND("x",TRIM(MID(SUBSTITUTE(SUBSTITUTE(SUBSTITUTE(SUBSTITUTE(SUBSTITUTE(LOWER(Registro!$G944),"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",LEN(Registro!$G944))),({1,2,3,4,5,6,7,8,9,10,11,12,13,14,15,16,17,18,19,20,21,22,23,24,25,26,27,28,29,30}-1)*LEN(Registro!$G944)+1,LEN(Registro!$G944)))&amp;"x")+1,20))),"Revisar formato")))</f>
        <v/>
      </c>
      <c r="J944" s="9" t="str">
        <f>IF(AND(Registro!$E944="",Registro!$G944=""),"",IF(NOT(AND(ISNUMBER(I944),ISNUMBER(Registro!$H944))),"",IF(I944&lt;Registro!$H944,"FALTA BOLETOS",IF(I944=Registro!$H944,"CONFORME","DIFERENCIA"))))</f>
        <v/>
      </c>
      <c r="K944" s="11" t="str">
        <f>IF(Registro!$I944="","",IFERROR(SUMPRODUCT(--("0"&amp;TRIM(RIGHT(SUBSTITUTE(TRIM(MID(SUBSTITUTE(SUBSTITUTE(Registro!$I944,";",CHAR(10)),CHAR(10),REPT(" ",LEN(Registro!$I944))),({1,2,3,4,5,6,7,8,9,10,11,12,13,14,15,16,17,18,19,20,21,22,23,24,25,26,27,28,29,30}-1)*LEN(Registro!$I944)+1,LEN(Registro!$I944)))," ",REPT(" ",50)),50)))),"Revisar formato"))</f>
        <v/>
      </c>
      <c r="L944" s="11" t="str">
        <f>IF(Registro!$J944="","",IFERROR(SUMPRODUCT(--("0"&amp;TRIM(RIGHT(SUBSTITUTE(TRIM(MID(SUBSTITUTE(SUBSTITUTE(Registro!$J944,";",CHAR(10)),CHAR(10),REPT(" ",LEN(Registro!$J944))),({1,2,3,4,5,6,7,8,9,10,11,12,13,14,15,16,17,18,19,20,21,22,23,24,25,26,27,28,29,30}-1)*LEN(Registro!$J944)+1,LEN(Registro!$J944)))," ",REPT(" ",50)),50)))),"Revisar formato"))</f>
        <v/>
      </c>
      <c r="M944" s="11" t="str">
        <f>IF(AND(Registro!$H944="",Registro!$I944=""),"",IF(AND(ISTEXT(K944),K944&lt;&gt;""),"Revisar formato",N(Registro!$H944)-N(K944)))</f>
        <v/>
      </c>
      <c r="N944" s="11" t="str">
        <f t="shared" si="44"/>
        <v/>
      </c>
      <c r="O944" s="15" t="str">
        <f>IF(AND(A944=Consulta!$B$3,C944=Consulta!$H$3),B944*10000+ROW(),"")</f>
        <v/>
      </c>
    </row>
    <row r="945" spans="1:15" x14ac:dyDescent="0.25">
      <c r="A945" s="9" t="str">
        <f>IF(Registro!$A945="","",Registro!$A945)</f>
        <v/>
      </c>
      <c r="B945" s="8" t="str">
        <f>IF(Registro!$B945="","",Registro!$B945)</f>
        <v/>
      </c>
      <c r="C945" s="14" t="str">
        <f t="shared" si="42"/>
        <v/>
      </c>
      <c r="D945" s="10" t="str">
        <f>IF(Registro!$E945="","",IF(ISERROR(FIND("x",LOWER(Registro!$E945))),"-",IFERROR(SUMPRODUCT(--("0"&amp;LEFT(TRIM(MID(SUBSTITUTE(SUBSTITUTE(SUBSTITUTE(SUBSTITUTE(SUBSTITUTE(LOWER(Registro!$E945),"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",LEN(Registro!$E945))),({1,2,3,4,5,6,7,8,9,10,11,12,13,14,15,16,17,18,19,20,21,22,23,24,25,26,27,28,29,30}-1)*LEN(Registro!$E945)+1,LEN(Registro!$E945)))&amp;"x")-1))),"Revisar formato")))</f>
        <v/>
      </c>
      <c r="E945" s="11" t="str">
        <f>IF(Registro!$E945="","",IF(ISERROR(FIND("x",LOWER(Registro!$E945))),"-",IFERROR(SUMPRODUCT(--("0"&amp;LEFT(TRIM(MID(SUBSTITUTE(SUBSTITUTE(SUBSTITUTE(SUBSTITUTE(SUBSTITUTE(LOWER(Registro!$E945),"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",LEN(Registro!$E945))),({1,2,3,4,5,6,7,8,9,10,11,12,13,14,15,16,17,18,19,20,21,22,23,24,25,26,27,28,29,30}-1)*LEN(Registro!$E945)+1,LEN(Registro!$E945)))&amp;"x")-1)),--("0"&amp;MID(TRIM(MID(SUBSTITUTE(SUBSTITUTE(SUBSTITUTE(SUBSTITUTE(SUBSTITUTE(LOWER(Registro!$E945),"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",LEN(Registro!$E945))),({1,2,3,4,5,6,7,8,9,10,11,12,13,14,15,16,17,18,19,20,21,22,23,24,25,26,27,28,29,30}-1)*LEN(Registro!$E945)+1,LEN(Registro!$E945)))&amp;"x")+1,20))),"Revisar formato")))</f>
        <v/>
      </c>
      <c r="F945" s="11" t="str">
        <f>IF(Registro!$F945="","",N(Registro!$F945))</f>
        <v/>
      </c>
      <c r="G945" s="11" t="str">
        <f t="shared" si="43"/>
        <v/>
      </c>
      <c r="H945" s="10" t="str">
        <f>IF(Registro!$G945="","",IF(ISERROR(FIND("x",LOWER(Registro!$G945))),"-",IFERROR(SUMPRODUCT(--("0"&amp;LEFT(TRIM(MID(SUBSTITUTE(SUBSTITUTE(SUBSTITUTE(SUBSTITUTE(SUBSTITUTE(LOWER(Registro!$G945),"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",LEN(Registro!$G945))),({1,2,3,4,5,6,7,8,9,10,11,12,13,14,15,16,17,18,19,20,21,22,23,24,25,26,27,28,29,30}-1)*LEN(Registro!$G945)+1,LEN(Registro!$G945))),FIND("x",TRIM(MID(SUBSTITUTE(SUBSTITUTE(SUBSTITUTE(SUBSTITUTE(SUBSTITUTE(LOWER(Registro!$G945),"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",LEN(Registro!$G945))),({1,2,3,4,5,6,7,8,9,10,11,12,13,14,15,16,17,18,19,20,21,22,23,24,25,26,27,28,29,30}-1)*LEN(Registro!$G945)+1,LEN(Registro!$G945)))&amp;"x")-1))),"Revisar formato")))</f>
        <v/>
      </c>
      <c r="I945" s="11" t="str">
        <f>IF(Registro!$G945="","",IF(ISERROR(FIND("x",LOWER(Registro!$G945))),N(Registro!$H945),IFERROR(SUMPRODUCT(--("0"&amp;LEFT(TRIM(MID(SUBSTITUTE(SUBSTITUTE(SUBSTITUTE(SUBSTITUTE(SUBSTITUTE(LOWER(Registro!$G945),"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",LEN(Registro!$G945))),({1,2,3,4,5,6,7,8,9,10,11,12,13,14,15,16,17,18,19,20,21,22,23,24,25,26,27,28,29,30}-1)*LEN(Registro!$G945)+1,LEN(Registro!$G945))),FIND("x",TRIM(MID(SUBSTITUTE(SUBSTITUTE(SUBSTITUTE(SUBSTITUTE(SUBSTITUTE(LOWER(Registro!$G945),"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",LEN(Registro!$G945))),({1,2,3,4,5,6,7,8,9,10,11,12,13,14,15,16,17,18,19,20,21,22,23,24,25,26,27,28,29,30}-1)*LEN(Registro!$G945)+1,LEN(Registro!$G945)))&amp;"x")-1)),--("0"&amp;MID(TRIM(MID(SUBSTITUTE(SUBSTITUTE(SUBSTITUTE(SUBSTITUTE(SUBSTITUTE(LOWER(Registro!$G945),"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",LEN(Registro!$G945))),({1,2,3,4,5,6,7,8,9,10,11,12,13,14,15,16,17,18,19,20,21,22,23,24,25,26,27,28,29,30}-1)*LEN(Registro!$G945)+1,LEN(Registro!$G945))),FIND("x",TRIM(MID(SUBSTITUTE(SUBSTITUTE(SUBSTITUTE(SUBSTITUTE(SUBSTITUTE(LOWER(Registro!$G945),"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",LEN(Registro!$G945))),({1,2,3,4,5,6,7,8,9,10,11,12,13,14,15,16,17,18,19,20,21,22,23,24,25,26,27,28,29,30}-1)*LEN(Registro!$G945)+1,LEN(Registro!$G945)))&amp;"x")+1,20))),"Revisar formato")))</f>
        <v/>
      </c>
      <c r="J945" s="9" t="str">
        <f>IF(AND(Registro!$E945="",Registro!$G945=""),"",IF(NOT(AND(ISNUMBER(I945),ISNUMBER(Registro!$H945))),"",IF(I945&lt;Registro!$H945,"FALTA BOLETOS",IF(I945=Registro!$H945,"CONFORME","DIFERENCIA"))))</f>
        <v/>
      </c>
      <c r="K945" s="11" t="str">
        <f>IF(Registro!$I945="","",IFERROR(SUMPRODUCT(--("0"&amp;TRIM(RIGHT(SUBSTITUTE(TRIM(MID(SUBSTITUTE(SUBSTITUTE(Registro!$I945,";",CHAR(10)),CHAR(10),REPT(" ",LEN(Registro!$I945))),({1,2,3,4,5,6,7,8,9,10,11,12,13,14,15,16,17,18,19,20,21,22,23,24,25,26,27,28,29,30}-1)*LEN(Registro!$I945)+1,LEN(Registro!$I945)))," ",REPT(" ",50)),50)))),"Revisar formato"))</f>
        <v/>
      </c>
      <c r="L945" s="11" t="str">
        <f>IF(Registro!$J945="","",IFERROR(SUMPRODUCT(--("0"&amp;TRIM(RIGHT(SUBSTITUTE(TRIM(MID(SUBSTITUTE(SUBSTITUTE(Registro!$J945,";",CHAR(10)),CHAR(10),REPT(" ",LEN(Registro!$J945))),({1,2,3,4,5,6,7,8,9,10,11,12,13,14,15,16,17,18,19,20,21,22,23,24,25,26,27,28,29,30}-1)*LEN(Registro!$J945)+1,LEN(Registro!$J945)))," ",REPT(" ",50)),50)))),"Revisar formato"))</f>
        <v/>
      </c>
      <c r="M945" s="11" t="str">
        <f>IF(AND(Registro!$H945="",Registro!$I945=""),"",IF(AND(ISTEXT(K945),K945&lt;&gt;""),"Revisar formato",N(Registro!$H945)-N(K945)))</f>
        <v/>
      </c>
      <c r="N945" s="11" t="str">
        <f t="shared" si="44"/>
        <v/>
      </c>
      <c r="O945" s="15" t="str">
        <f>IF(AND(A945=Consulta!$B$3,C945=Consulta!$H$3),B945*10000+ROW(),"")</f>
        <v/>
      </c>
    </row>
    <row r="946" spans="1:15" x14ac:dyDescent="0.25">
      <c r="A946" s="9" t="str">
        <f>IF(Registro!$A946="","",Registro!$A946)</f>
        <v/>
      </c>
      <c r="B946" s="8" t="str">
        <f>IF(Registro!$B946="","",Registro!$B946)</f>
        <v/>
      </c>
      <c r="C946" s="14" t="str">
        <f t="shared" si="42"/>
        <v/>
      </c>
      <c r="D946" s="10" t="str">
        <f>IF(Registro!$E946="","",IF(ISERROR(FIND("x",LOWER(Registro!$E946))),"-",IFERROR(SUMPRODUCT(--("0"&amp;LEFT(TRIM(MID(SUBSTITUTE(SUBSTITUTE(SUBSTITUTE(SUBSTITUTE(SUBSTITUTE(LOWER(Registro!$E946),"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",LEN(Registro!$E946))),({1,2,3,4,5,6,7,8,9,10,11,12,13,14,15,16,17,18,19,20,21,22,23,24,25,26,27,28,29,30}-1)*LEN(Registro!$E946)+1,LEN(Registro!$E946)))&amp;"x")-1))),"Revisar formato")))</f>
        <v/>
      </c>
      <c r="E946" s="11" t="str">
        <f>IF(Registro!$E946="","",IF(ISERROR(FIND("x",LOWER(Registro!$E946))),"-",IFERROR(SUMPRODUCT(--("0"&amp;LEFT(TRIM(MID(SUBSTITUTE(SUBSTITUTE(SUBSTITUTE(SUBSTITUTE(SUBSTITUTE(LOWER(Registro!$E946),"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",LEN(Registro!$E946))),({1,2,3,4,5,6,7,8,9,10,11,12,13,14,15,16,17,18,19,20,21,22,23,24,25,26,27,28,29,30}-1)*LEN(Registro!$E946)+1,LEN(Registro!$E946)))&amp;"x")-1)),--("0"&amp;MID(TRIM(MID(SUBSTITUTE(SUBSTITUTE(SUBSTITUTE(SUBSTITUTE(SUBSTITUTE(LOWER(Registro!$E946),"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",LEN(Registro!$E946))),({1,2,3,4,5,6,7,8,9,10,11,12,13,14,15,16,17,18,19,20,21,22,23,24,25,26,27,28,29,30}-1)*LEN(Registro!$E946)+1,LEN(Registro!$E946)))&amp;"x")+1,20))),"Revisar formato")))</f>
        <v/>
      </c>
      <c r="F946" s="11" t="str">
        <f>IF(Registro!$F946="","",N(Registro!$F946))</f>
        <v/>
      </c>
      <c r="G946" s="11" t="str">
        <f t="shared" si="43"/>
        <v/>
      </c>
      <c r="H946" s="10" t="str">
        <f>IF(Registro!$G946="","",IF(ISERROR(FIND("x",LOWER(Registro!$G946))),"-",IFERROR(SUMPRODUCT(--("0"&amp;LEFT(TRIM(MID(SUBSTITUTE(SUBSTITUTE(SUBSTITUTE(SUBSTITUTE(SUBSTITUTE(LOWER(Registro!$G946),"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",LEN(Registro!$G946))),({1,2,3,4,5,6,7,8,9,10,11,12,13,14,15,16,17,18,19,20,21,22,23,24,25,26,27,28,29,30}-1)*LEN(Registro!$G946)+1,LEN(Registro!$G946))),FIND("x",TRIM(MID(SUBSTITUTE(SUBSTITUTE(SUBSTITUTE(SUBSTITUTE(SUBSTITUTE(LOWER(Registro!$G946),"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",LEN(Registro!$G946))),({1,2,3,4,5,6,7,8,9,10,11,12,13,14,15,16,17,18,19,20,21,22,23,24,25,26,27,28,29,30}-1)*LEN(Registro!$G946)+1,LEN(Registro!$G946)))&amp;"x")-1))),"Revisar formato")))</f>
        <v/>
      </c>
      <c r="I946" s="11" t="str">
        <f>IF(Registro!$G946="","",IF(ISERROR(FIND("x",LOWER(Registro!$G946))),N(Registro!$H946),IFERROR(SUMPRODUCT(--("0"&amp;LEFT(TRIM(MID(SUBSTITUTE(SUBSTITUTE(SUBSTITUTE(SUBSTITUTE(SUBSTITUTE(LOWER(Registro!$G946),"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",LEN(Registro!$G946))),({1,2,3,4,5,6,7,8,9,10,11,12,13,14,15,16,17,18,19,20,21,22,23,24,25,26,27,28,29,30}-1)*LEN(Registro!$G946)+1,LEN(Registro!$G946))),FIND("x",TRIM(MID(SUBSTITUTE(SUBSTITUTE(SUBSTITUTE(SUBSTITUTE(SUBSTITUTE(LOWER(Registro!$G946),"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",LEN(Registro!$G946))),({1,2,3,4,5,6,7,8,9,10,11,12,13,14,15,16,17,18,19,20,21,22,23,24,25,26,27,28,29,30}-1)*LEN(Registro!$G946)+1,LEN(Registro!$G946)))&amp;"x")-1)),--("0"&amp;MID(TRIM(MID(SUBSTITUTE(SUBSTITUTE(SUBSTITUTE(SUBSTITUTE(SUBSTITUTE(LOWER(Registro!$G946),"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",LEN(Registro!$G946))),({1,2,3,4,5,6,7,8,9,10,11,12,13,14,15,16,17,18,19,20,21,22,23,24,25,26,27,28,29,30}-1)*LEN(Registro!$G946)+1,LEN(Registro!$G946))),FIND("x",TRIM(MID(SUBSTITUTE(SUBSTITUTE(SUBSTITUTE(SUBSTITUTE(SUBSTITUTE(LOWER(Registro!$G946),"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",LEN(Registro!$G946))),({1,2,3,4,5,6,7,8,9,10,11,12,13,14,15,16,17,18,19,20,21,22,23,24,25,26,27,28,29,30}-1)*LEN(Registro!$G946)+1,LEN(Registro!$G946)))&amp;"x")+1,20))),"Revisar formato")))</f>
        <v/>
      </c>
      <c r="J946" s="9" t="str">
        <f>IF(AND(Registro!$E946="",Registro!$G946=""),"",IF(NOT(AND(ISNUMBER(I946),ISNUMBER(Registro!$H946))),"",IF(I946&lt;Registro!$H946,"FALTA BOLETOS",IF(I946=Registro!$H946,"CONFORME","DIFERENCIA"))))</f>
        <v/>
      </c>
      <c r="K946" s="11" t="str">
        <f>IF(Registro!$I946="","",IFERROR(SUMPRODUCT(--("0"&amp;TRIM(RIGHT(SUBSTITUTE(TRIM(MID(SUBSTITUTE(SUBSTITUTE(Registro!$I946,";",CHAR(10)),CHAR(10),REPT(" ",LEN(Registro!$I946))),({1,2,3,4,5,6,7,8,9,10,11,12,13,14,15,16,17,18,19,20,21,22,23,24,25,26,27,28,29,30}-1)*LEN(Registro!$I946)+1,LEN(Registro!$I946)))," ",REPT(" ",50)),50)))),"Revisar formato"))</f>
        <v/>
      </c>
      <c r="L946" s="11" t="str">
        <f>IF(Registro!$J946="","",IFERROR(SUMPRODUCT(--("0"&amp;TRIM(RIGHT(SUBSTITUTE(TRIM(MID(SUBSTITUTE(SUBSTITUTE(Registro!$J946,";",CHAR(10)),CHAR(10),REPT(" ",LEN(Registro!$J946))),({1,2,3,4,5,6,7,8,9,10,11,12,13,14,15,16,17,18,19,20,21,22,23,24,25,26,27,28,29,30}-1)*LEN(Registro!$J946)+1,LEN(Registro!$J946)))," ",REPT(" ",50)),50)))),"Revisar formato"))</f>
        <v/>
      </c>
      <c r="M946" s="11" t="str">
        <f>IF(AND(Registro!$H946="",Registro!$I946=""),"",IF(AND(ISTEXT(K946),K946&lt;&gt;""),"Revisar formato",N(Registro!$H946)-N(K946)))</f>
        <v/>
      </c>
      <c r="N946" s="11" t="str">
        <f t="shared" si="44"/>
        <v/>
      </c>
      <c r="O946" s="15" t="str">
        <f>IF(AND(A946=Consulta!$B$3,C946=Consulta!$H$3),B946*10000+ROW(),"")</f>
        <v/>
      </c>
    </row>
    <row r="947" spans="1:15" x14ac:dyDescent="0.25">
      <c r="A947" s="9" t="str">
        <f>IF(Registro!$A947="","",Registro!$A947)</f>
        <v/>
      </c>
      <c r="B947" s="8" t="str">
        <f>IF(Registro!$B947="","",Registro!$B947)</f>
        <v/>
      </c>
      <c r="C947" s="14" t="str">
        <f t="shared" si="42"/>
        <v/>
      </c>
      <c r="D947" s="10" t="str">
        <f>IF(Registro!$E947="","",IF(ISERROR(FIND("x",LOWER(Registro!$E947))),"-",IFERROR(SUMPRODUCT(--("0"&amp;LEFT(TRIM(MID(SUBSTITUTE(SUBSTITUTE(SUBSTITUTE(SUBSTITUTE(SUBSTITUTE(LOWER(Registro!$E947),"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",LEN(Registro!$E947))),({1,2,3,4,5,6,7,8,9,10,11,12,13,14,15,16,17,18,19,20,21,22,23,24,25,26,27,28,29,30}-1)*LEN(Registro!$E947)+1,LEN(Registro!$E947)))&amp;"x")-1))),"Revisar formato")))</f>
        <v/>
      </c>
      <c r="E947" s="11" t="str">
        <f>IF(Registro!$E947="","",IF(ISERROR(FIND("x",LOWER(Registro!$E947))),"-",IFERROR(SUMPRODUCT(--("0"&amp;LEFT(TRIM(MID(SUBSTITUTE(SUBSTITUTE(SUBSTITUTE(SUBSTITUTE(SUBSTITUTE(LOWER(Registro!$E947),"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",LEN(Registro!$E947))),({1,2,3,4,5,6,7,8,9,10,11,12,13,14,15,16,17,18,19,20,21,22,23,24,25,26,27,28,29,30}-1)*LEN(Registro!$E947)+1,LEN(Registro!$E947)))&amp;"x")-1)),--("0"&amp;MID(TRIM(MID(SUBSTITUTE(SUBSTITUTE(SUBSTITUTE(SUBSTITUTE(SUBSTITUTE(LOWER(Registro!$E947),"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",LEN(Registro!$E947))),({1,2,3,4,5,6,7,8,9,10,11,12,13,14,15,16,17,18,19,20,21,22,23,24,25,26,27,28,29,30}-1)*LEN(Registro!$E947)+1,LEN(Registro!$E947)))&amp;"x")+1,20))),"Revisar formato")))</f>
        <v/>
      </c>
      <c r="F947" s="11" t="str">
        <f>IF(Registro!$F947="","",N(Registro!$F947))</f>
        <v/>
      </c>
      <c r="G947" s="11" t="str">
        <f t="shared" si="43"/>
        <v/>
      </c>
      <c r="H947" s="10" t="str">
        <f>IF(Registro!$G947="","",IF(ISERROR(FIND("x",LOWER(Registro!$G947))),"-",IFERROR(SUMPRODUCT(--("0"&amp;LEFT(TRIM(MID(SUBSTITUTE(SUBSTITUTE(SUBSTITUTE(SUBSTITUTE(SUBSTITUTE(LOWER(Registro!$G947),"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",LEN(Registro!$G947))),({1,2,3,4,5,6,7,8,9,10,11,12,13,14,15,16,17,18,19,20,21,22,23,24,25,26,27,28,29,30}-1)*LEN(Registro!$G947)+1,LEN(Registro!$G947))),FIND("x",TRIM(MID(SUBSTITUTE(SUBSTITUTE(SUBSTITUTE(SUBSTITUTE(SUBSTITUTE(LOWER(Registro!$G947),"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",LEN(Registro!$G947))),({1,2,3,4,5,6,7,8,9,10,11,12,13,14,15,16,17,18,19,20,21,22,23,24,25,26,27,28,29,30}-1)*LEN(Registro!$G947)+1,LEN(Registro!$G947)))&amp;"x")-1))),"Revisar formato")))</f>
        <v/>
      </c>
      <c r="I947" s="11" t="str">
        <f>IF(Registro!$G947="","",IF(ISERROR(FIND("x",LOWER(Registro!$G947))),N(Registro!$H947),IFERROR(SUMPRODUCT(--("0"&amp;LEFT(TRIM(MID(SUBSTITUTE(SUBSTITUTE(SUBSTITUTE(SUBSTITUTE(SUBSTITUTE(LOWER(Registro!$G947),"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",LEN(Registro!$G947))),({1,2,3,4,5,6,7,8,9,10,11,12,13,14,15,16,17,18,19,20,21,22,23,24,25,26,27,28,29,30}-1)*LEN(Registro!$G947)+1,LEN(Registro!$G947))),FIND("x",TRIM(MID(SUBSTITUTE(SUBSTITUTE(SUBSTITUTE(SUBSTITUTE(SUBSTITUTE(LOWER(Registro!$G947),"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",LEN(Registro!$G947))),({1,2,3,4,5,6,7,8,9,10,11,12,13,14,15,16,17,18,19,20,21,22,23,24,25,26,27,28,29,30}-1)*LEN(Registro!$G947)+1,LEN(Registro!$G947)))&amp;"x")-1)),--("0"&amp;MID(TRIM(MID(SUBSTITUTE(SUBSTITUTE(SUBSTITUTE(SUBSTITUTE(SUBSTITUTE(LOWER(Registro!$G947),"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",LEN(Registro!$G947))),({1,2,3,4,5,6,7,8,9,10,11,12,13,14,15,16,17,18,19,20,21,22,23,24,25,26,27,28,29,30}-1)*LEN(Registro!$G947)+1,LEN(Registro!$G947))),FIND("x",TRIM(MID(SUBSTITUTE(SUBSTITUTE(SUBSTITUTE(SUBSTITUTE(SUBSTITUTE(LOWER(Registro!$G947),"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",LEN(Registro!$G947))),({1,2,3,4,5,6,7,8,9,10,11,12,13,14,15,16,17,18,19,20,21,22,23,24,25,26,27,28,29,30}-1)*LEN(Registro!$G947)+1,LEN(Registro!$G947)))&amp;"x")+1,20))),"Revisar formato")))</f>
        <v/>
      </c>
      <c r="J947" s="9" t="str">
        <f>IF(AND(Registro!$E947="",Registro!$G947=""),"",IF(NOT(AND(ISNUMBER(I947),ISNUMBER(Registro!$H947))),"",IF(I947&lt;Registro!$H947,"FALTA BOLETOS",IF(I947=Registro!$H947,"CONFORME","DIFERENCIA"))))</f>
        <v/>
      </c>
      <c r="K947" s="11" t="str">
        <f>IF(Registro!$I947="","",IFERROR(SUMPRODUCT(--("0"&amp;TRIM(RIGHT(SUBSTITUTE(TRIM(MID(SUBSTITUTE(SUBSTITUTE(Registro!$I947,";",CHAR(10)),CHAR(10),REPT(" ",LEN(Registro!$I947))),({1,2,3,4,5,6,7,8,9,10,11,12,13,14,15,16,17,18,19,20,21,22,23,24,25,26,27,28,29,30}-1)*LEN(Registro!$I947)+1,LEN(Registro!$I947)))," ",REPT(" ",50)),50)))),"Revisar formato"))</f>
        <v/>
      </c>
      <c r="L947" s="11" t="str">
        <f>IF(Registro!$J947="","",IFERROR(SUMPRODUCT(--("0"&amp;TRIM(RIGHT(SUBSTITUTE(TRIM(MID(SUBSTITUTE(SUBSTITUTE(Registro!$J947,";",CHAR(10)),CHAR(10),REPT(" ",LEN(Registro!$J947))),({1,2,3,4,5,6,7,8,9,10,11,12,13,14,15,16,17,18,19,20,21,22,23,24,25,26,27,28,29,30}-1)*LEN(Registro!$J947)+1,LEN(Registro!$J947)))," ",REPT(" ",50)),50)))),"Revisar formato"))</f>
        <v/>
      </c>
      <c r="M947" s="11" t="str">
        <f>IF(AND(Registro!$H947="",Registro!$I947=""),"",IF(AND(ISTEXT(K947),K947&lt;&gt;""),"Revisar formato",N(Registro!$H947)-N(K947)))</f>
        <v/>
      </c>
      <c r="N947" s="11" t="str">
        <f t="shared" si="44"/>
        <v/>
      </c>
      <c r="O947" s="15" t="str">
        <f>IF(AND(A947=Consulta!$B$3,C947=Consulta!$H$3),B947*10000+ROW(),"")</f>
        <v/>
      </c>
    </row>
    <row r="948" spans="1:15" x14ac:dyDescent="0.25">
      <c r="A948" s="9" t="str">
        <f>IF(Registro!$A948="","",Registro!$A948)</f>
        <v/>
      </c>
      <c r="B948" s="8" t="str">
        <f>IF(Registro!$B948="","",Registro!$B948)</f>
        <v/>
      </c>
      <c r="C948" s="14" t="str">
        <f t="shared" si="42"/>
        <v/>
      </c>
      <c r="D948" s="10" t="str">
        <f>IF(Registro!$E948="","",IF(ISERROR(FIND("x",LOWER(Registro!$E948))),"-",IFERROR(SUMPRODUCT(--("0"&amp;LEFT(TRIM(MID(SUBSTITUTE(SUBSTITUTE(SUBSTITUTE(SUBSTITUTE(SUBSTITUTE(LOWER(Registro!$E948),"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",LEN(Registro!$E948))),({1,2,3,4,5,6,7,8,9,10,11,12,13,14,15,16,17,18,19,20,21,22,23,24,25,26,27,28,29,30}-1)*LEN(Registro!$E948)+1,LEN(Registro!$E948)))&amp;"x")-1))),"Revisar formato")))</f>
        <v/>
      </c>
      <c r="E948" s="11" t="str">
        <f>IF(Registro!$E948="","",IF(ISERROR(FIND("x",LOWER(Registro!$E948))),"-",IFERROR(SUMPRODUCT(--("0"&amp;LEFT(TRIM(MID(SUBSTITUTE(SUBSTITUTE(SUBSTITUTE(SUBSTITUTE(SUBSTITUTE(LOWER(Registro!$E948),"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",LEN(Registro!$E948))),({1,2,3,4,5,6,7,8,9,10,11,12,13,14,15,16,17,18,19,20,21,22,23,24,25,26,27,28,29,30}-1)*LEN(Registro!$E948)+1,LEN(Registro!$E948)))&amp;"x")-1)),--("0"&amp;MID(TRIM(MID(SUBSTITUTE(SUBSTITUTE(SUBSTITUTE(SUBSTITUTE(SUBSTITUTE(LOWER(Registro!$E948),"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",LEN(Registro!$E948))),({1,2,3,4,5,6,7,8,9,10,11,12,13,14,15,16,17,18,19,20,21,22,23,24,25,26,27,28,29,30}-1)*LEN(Registro!$E948)+1,LEN(Registro!$E948)))&amp;"x")+1,20))),"Revisar formato")))</f>
        <v/>
      </c>
      <c r="F948" s="11" t="str">
        <f>IF(Registro!$F948="","",N(Registro!$F948))</f>
        <v/>
      </c>
      <c r="G948" s="11" t="str">
        <f t="shared" si="43"/>
        <v/>
      </c>
      <c r="H948" s="10" t="str">
        <f>IF(Registro!$G948="","",IF(ISERROR(FIND("x",LOWER(Registro!$G948))),"-",IFERROR(SUMPRODUCT(--("0"&amp;LEFT(TRIM(MID(SUBSTITUTE(SUBSTITUTE(SUBSTITUTE(SUBSTITUTE(SUBSTITUTE(LOWER(Registro!$G948),"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",LEN(Registro!$G948))),({1,2,3,4,5,6,7,8,9,10,11,12,13,14,15,16,17,18,19,20,21,22,23,24,25,26,27,28,29,30}-1)*LEN(Registro!$G948)+1,LEN(Registro!$G948))),FIND("x",TRIM(MID(SUBSTITUTE(SUBSTITUTE(SUBSTITUTE(SUBSTITUTE(SUBSTITUTE(LOWER(Registro!$G948),"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",LEN(Registro!$G948))),({1,2,3,4,5,6,7,8,9,10,11,12,13,14,15,16,17,18,19,20,21,22,23,24,25,26,27,28,29,30}-1)*LEN(Registro!$G948)+1,LEN(Registro!$G948)))&amp;"x")-1))),"Revisar formato")))</f>
        <v/>
      </c>
      <c r="I948" s="11" t="str">
        <f>IF(Registro!$G948="","",IF(ISERROR(FIND("x",LOWER(Registro!$G948))),N(Registro!$H948),IFERROR(SUMPRODUCT(--("0"&amp;LEFT(TRIM(MID(SUBSTITUTE(SUBSTITUTE(SUBSTITUTE(SUBSTITUTE(SUBSTITUTE(LOWER(Registro!$G948),"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",LEN(Registro!$G948))),({1,2,3,4,5,6,7,8,9,10,11,12,13,14,15,16,17,18,19,20,21,22,23,24,25,26,27,28,29,30}-1)*LEN(Registro!$G948)+1,LEN(Registro!$G948))),FIND("x",TRIM(MID(SUBSTITUTE(SUBSTITUTE(SUBSTITUTE(SUBSTITUTE(SUBSTITUTE(LOWER(Registro!$G948),"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",LEN(Registro!$G948))),({1,2,3,4,5,6,7,8,9,10,11,12,13,14,15,16,17,18,19,20,21,22,23,24,25,26,27,28,29,30}-1)*LEN(Registro!$G948)+1,LEN(Registro!$G948)))&amp;"x")-1)),--("0"&amp;MID(TRIM(MID(SUBSTITUTE(SUBSTITUTE(SUBSTITUTE(SUBSTITUTE(SUBSTITUTE(LOWER(Registro!$G948),"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",LEN(Registro!$G948))),({1,2,3,4,5,6,7,8,9,10,11,12,13,14,15,16,17,18,19,20,21,22,23,24,25,26,27,28,29,30}-1)*LEN(Registro!$G948)+1,LEN(Registro!$G948))),FIND("x",TRIM(MID(SUBSTITUTE(SUBSTITUTE(SUBSTITUTE(SUBSTITUTE(SUBSTITUTE(LOWER(Registro!$G948),"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",LEN(Registro!$G948))),({1,2,3,4,5,6,7,8,9,10,11,12,13,14,15,16,17,18,19,20,21,22,23,24,25,26,27,28,29,30}-1)*LEN(Registro!$G948)+1,LEN(Registro!$G948)))&amp;"x")+1,20))),"Revisar formato")))</f>
        <v/>
      </c>
      <c r="J948" s="9" t="str">
        <f>IF(AND(Registro!$E948="",Registro!$G948=""),"",IF(NOT(AND(ISNUMBER(I948),ISNUMBER(Registro!$H948))),"",IF(I948&lt;Registro!$H948,"FALTA BOLETOS",IF(I948=Registro!$H948,"CONFORME","DIFERENCIA"))))</f>
        <v/>
      </c>
      <c r="K948" s="11" t="str">
        <f>IF(Registro!$I948="","",IFERROR(SUMPRODUCT(--("0"&amp;TRIM(RIGHT(SUBSTITUTE(TRIM(MID(SUBSTITUTE(SUBSTITUTE(Registro!$I948,";",CHAR(10)),CHAR(10),REPT(" ",LEN(Registro!$I948))),({1,2,3,4,5,6,7,8,9,10,11,12,13,14,15,16,17,18,19,20,21,22,23,24,25,26,27,28,29,30}-1)*LEN(Registro!$I948)+1,LEN(Registro!$I948)))," ",REPT(" ",50)),50)))),"Revisar formato"))</f>
        <v/>
      </c>
      <c r="L948" s="11" t="str">
        <f>IF(Registro!$J948="","",IFERROR(SUMPRODUCT(--("0"&amp;TRIM(RIGHT(SUBSTITUTE(TRIM(MID(SUBSTITUTE(SUBSTITUTE(Registro!$J948,";",CHAR(10)),CHAR(10),REPT(" ",LEN(Registro!$J948))),({1,2,3,4,5,6,7,8,9,10,11,12,13,14,15,16,17,18,19,20,21,22,23,24,25,26,27,28,29,30}-1)*LEN(Registro!$J948)+1,LEN(Registro!$J948)))," ",REPT(" ",50)),50)))),"Revisar formato"))</f>
        <v/>
      </c>
      <c r="M948" s="11" t="str">
        <f>IF(AND(Registro!$H948="",Registro!$I948=""),"",IF(AND(ISTEXT(K948),K948&lt;&gt;""),"Revisar formato",N(Registro!$H948)-N(K948)))</f>
        <v/>
      </c>
      <c r="N948" s="11" t="str">
        <f t="shared" si="44"/>
        <v/>
      </c>
      <c r="O948" s="15" t="str">
        <f>IF(AND(A948=Consulta!$B$3,C948=Consulta!$H$3),B948*10000+ROW(),"")</f>
        <v/>
      </c>
    </row>
    <row r="949" spans="1:15" x14ac:dyDescent="0.25">
      <c r="A949" s="9" t="str">
        <f>IF(Registro!$A949="","",Registro!$A949)</f>
        <v/>
      </c>
      <c r="B949" s="8" t="str">
        <f>IF(Registro!$B949="","",Registro!$B949)</f>
        <v/>
      </c>
      <c r="C949" s="14" t="str">
        <f t="shared" si="42"/>
        <v/>
      </c>
      <c r="D949" s="10" t="str">
        <f>IF(Registro!$E949="","",IF(ISERROR(FIND("x",LOWER(Registro!$E949))),"-",IFERROR(SUMPRODUCT(--("0"&amp;LEFT(TRIM(MID(SUBSTITUTE(SUBSTITUTE(SUBSTITUTE(SUBSTITUTE(SUBSTITUTE(LOWER(Registro!$E949),"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",LEN(Registro!$E949))),({1,2,3,4,5,6,7,8,9,10,11,12,13,14,15,16,17,18,19,20,21,22,23,24,25,26,27,28,29,30}-1)*LEN(Registro!$E949)+1,LEN(Registro!$E949)))&amp;"x")-1))),"Revisar formato")))</f>
        <v/>
      </c>
      <c r="E949" s="11" t="str">
        <f>IF(Registro!$E949="","",IF(ISERROR(FIND("x",LOWER(Registro!$E949))),"-",IFERROR(SUMPRODUCT(--("0"&amp;LEFT(TRIM(MID(SUBSTITUTE(SUBSTITUTE(SUBSTITUTE(SUBSTITUTE(SUBSTITUTE(LOWER(Registro!$E949),"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",LEN(Registro!$E949))),({1,2,3,4,5,6,7,8,9,10,11,12,13,14,15,16,17,18,19,20,21,22,23,24,25,26,27,28,29,30}-1)*LEN(Registro!$E949)+1,LEN(Registro!$E949)))&amp;"x")-1)),--("0"&amp;MID(TRIM(MID(SUBSTITUTE(SUBSTITUTE(SUBSTITUTE(SUBSTITUTE(SUBSTITUTE(LOWER(Registro!$E949),"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",LEN(Registro!$E949))),({1,2,3,4,5,6,7,8,9,10,11,12,13,14,15,16,17,18,19,20,21,22,23,24,25,26,27,28,29,30}-1)*LEN(Registro!$E949)+1,LEN(Registro!$E949)))&amp;"x")+1,20))),"Revisar formato")))</f>
        <v/>
      </c>
      <c r="F949" s="11" t="str">
        <f>IF(Registro!$F949="","",N(Registro!$F949))</f>
        <v/>
      </c>
      <c r="G949" s="11" t="str">
        <f t="shared" si="43"/>
        <v/>
      </c>
      <c r="H949" s="10" t="str">
        <f>IF(Registro!$G949="","",IF(ISERROR(FIND("x",LOWER(Registro!$G949))),"-",IFERROR(SUMPRODUCT(--("0"&amp;LEFT(TRIM(MID(SUBSTITUTE(SUBSTITUTE(SUBSTITUTE(SUBSTITUTE(SUBSTITUTE(LOWER(Registro!$G949),"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",LEN(Registro!$G949))),({1,2,3,4,5,6,7,8,9,10,11,12,13,14,15,16,17,18,19,20,21,22,23,24,25,26,27,28,29,30}-1)*LEN(Registro!$G949)+1,LEN(Registro!$G949))),FIND("x",TRIM(MID(SUBSTITUTE(SUBSTITUTE(SUBSTITUTE(SUBSTITUTE(SUBSTITUTE(LOWER(Registro!$G949),"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",LEN(Registro!$G949))),({1,2,3,4,5,6,7,8,9,10,11,12,13,14,15,16,17,18,19,20,21,22,23,24,25,26,27,28,29,30}-1)*LEN(Registro!$G949)+1,LEN(Registro!$G949)))&amp;"x")-1))),"Revisar formato")))</f>
        <v/>
      </c>
      <c r="I949" s="11" t="str">
        <f>IF(Registro!$G949="","",IF(ISERROR(FIND("x",LOWER(Registro!$G949))),N(Registro!$H949),IFERROR(SUMPRODUCT(--("0"&amp;LEFT(TRIM(MID(SUBSTITUTE(SUBSTITUTE(SUBSTITUTE(SUBSTITUTE(SUBSTITUTE(LOWER(Registro!$G949),"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",LEN(Registro!$G949))),({1,2,3,4,5,6,7,8,9,10,11,12,13,14,15,16,17,18,19,20,21,22,23,24,25,26,27,28,29,30}-1)*LEN(Registro!$G949)+1,LEN(Registro!$G949))),FIND("x",TRIM(MID(SUBSTITUTE(SUBSTITUTE(SUBSTITUTE(SUBSTITUTE(SUBSTITUTE(LOWER(Registro!$G949),"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",LEN(Registro!$G949))),({1,2,3,4,5,6,7,8,9,10,11,12,13,14,15,16,17,18,19,20,21,22,23,24,25,26,27,28,29,30}-1)*LEN(Registro!$G949)+1,LEN(Registro!$G949)))&amp;"x")-1)),--("0"&amp;MID(TRIM(MID(SUBSTITUTE(SUBSTITUTE(SUBSTITUTE(SUBSTITUTE(SUBSTITUTE(LOWER(Registro!$G949),"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",LEN(Registro!$G949))),({1,2,3,4,5,6,7,8,9,10,11,12,13,14,15,16,17,18,19,20,21,22,23,24,25,26,27,28,29,30}-1)*LEN(Registro!$G949)+1,LEN(Registro!$G949))),FIND("x",TRIM(MID(SUBSTITUTE(SUBSTITUTE(SUBSTITUTE(SUBSTITUTE(SUBSTITUTE(LOWER(Registro!$G949),"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",LEN(Registro!$G949))),({1,2,3,4,5,6,7,8,9,10,11,12,13,14,15,16,17,18,19,20,21,22,23,24,25,26,27,28,29,30}-1)*LEN(Registro!$G949)+1,LEN(Registro!$G949)))&amp;"x")+1,20))),"Revisar formato")))</f>
        <v/>
      </c>
      <c r="J949" s="9" t="str">
        <f>IF(AND(Registro!$E949="",Registro!$G949=""),"",IF(NOT(AND(ISNUMBER(I949),ISNUMBER(Registro!$H949))),"",IF(I949&lt;Registro!$H949,"FALTA BOLETOS",IF(I949=Registro!$H949,"CONFORME","DIFERENCIA"))))</f>
        <v/>
      </c>
      <c r="K949" s="11" t="str">
        <f>IF(Registro!$I949="","",IFERROR(SUMPRODUCT(--("0"&amp;TRIM(RIGHT(SUBSTITUTE(TRIM(MID(SUBSTITUTE(SUBSTITUTE(Registro!$I949,";",CHAR(10)),CHAR(10),REPT(" ",LEN(Registro!$I949))),({1,2,3,4,5,6,7,8,9,10,11,12,13,14,15,16,17,18,19,20,21,22,23,24,25,26,27,28,29,30}-1)*LEN(Registro!$I949)+1,LEN(Registro!$I949)))," ",REPT(" ",50)),50)))),"Revisar formato"))</f>
        <v/>
      </c>
      <c r="L949" s="11" t="str">
        <f>IF(Registro!$J949="","",IFERROR(SUMPRODUCT(--("0"&amp;TRIM(RIGHT(SUBSTITUTE(TRIM(MID(SUBSTITUTE(SUBSTITUTE(Registro!$J949,";",CHAR(10)),CHAR(10),REPT(" ",LEN(Registro!$J949))),({1,2,3,4,5,6,7,8,9,10,11,12,13,14,15,16,17,18,19,20,21,22,23,24,25,26,27,28,29,30}-1)*LEN(Registro!$J949)+1,LEN(Registro!$J949)))," ",REPT(" ",50)),50)))),"Revisar formato"))</f>
        <v/>
      </c>
      <c r="M949" s="11" t="str">
        <f>IF(AND(Registro!$H949="",Registro!$I949=""),"",IF(AND(ISTEXT(K949),K949&lt;&gt;""),"Revisar formato",N(Registro!$H949)-N(K949)))</f>
        <v/>
      </c>
      <c r="N949" s="11" t="str">
        <f t="shared" si="44"/>
        <v/>
      </c>
      <c r="O949" s="15" t="str">
        <f>IF(AND(A949=Consulta!$B$3,C949=Consulta!$H$3),B949*10000+ROW(),"")</f>
        <v/>
      </c>
    </row>
    <row r="950" spans="1:15" x14ac:dyDescent="0.25">
      <c r="A950" s="9" t="str">
        <f>IF(Registro!$A950="","",Registro!$A950)</f>
        <v/>
      </c>
      <c r="B950" s="8" t="str">
        <f>IF(Registro!$B950="","",Registro!$B950)</f>
        <v/>
      </c>
      <c r="C950" s="14" t="str">
        <f t="shared" si="42"/>
        <v/>
      </c>
      <c r="D950" s="10" t="str">
        <f>IF(Registro!$E950="","",IF(ISERROR(FIND("x",LOWER(Registro!$E950))),"-",IFERROR(SUMPRODUCT(--("0"&amp;LEFT(TRIM(MID(SUBSTITUTE(SUBSTITUTE(SUBSTITUTE(SUBSTITUTE(SUBSTITUTE(LOWER(Registro!$E950),"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",LEN(Registro!$E950))),({1,2,3,4,5,6,7,8,9,10,11,12,13,14,15,16,17,18,19,20,21,22,23,24,25,26,27,28,29,30}-1)*LEN(Registro!$E950)+1,LEN(Registro!$E950)))&amp;"x")-1))),"Revisar formato")))</f>
        <v/>
      </c>
      <c r="E950" s="11" t="str">
        <f>IF(Registro!$E950="","",IF(ISERROR(FIND("x",LOWER(Registro!$E950))),"-",IFERROR(SUMPRODUCT(--("0"&amp;LEFT(TRIM(MID(SUBSTITUTE(SUBSTITUTE(SUBSTITUTE(SUBSTITUTE(SUBSTITUTE(LOWER(Registro!$E950),"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",LEN(Registro!$E950))),({1,2,3,4,5,6,7,8,9,10,11,12,13,14,15,16,17,18,19,20,21,22,23,24,25,26,27,28,29,30}-1)*LEN(Registro!$E950)+1,LEN(Registro!$E950)))&amp;"x")-1)),--("0"&amp;MID(TRIM(MID(SUBSTITUTE(SUBSTITUTE(SUBSTITUTE(SUBSTITUTE(SUBSTITUTE(LOWER(Registro!$E950),"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",LEN(Registro!$E950))),({1,2,3,4,5,6,7,8,9,10,11,12,13,14,15,16,17,18,19,20,21,22,23,24,25,26,27,28,29,30}-1)*LEN(Registro!$E950)+1,LEN(Registro!$E950)))&amp;"x")+1,20))),"Revisar formato")))</f>
        <v/>
      </c>
      <c r="F950" s="11" t="str">
        <f>IF(Registro!$F950="","",N(Registro!$F950))</f>
        <v/>
      </c>
      <c r="G950" s="11" t="str">
        <f t="shared" si="43"/>
        <v/>
      </c>
      <c r="H950" s="10" t="str">
        <f>IF(Registro!$G950="","",IF(ISERROR(FIND("x",LOWER(Registro!$G950))),"-",IFERROR(SUMPRODUCT(--("0"&amp;LEFT(TRIM(MID(SUBSTITUTE(SUBSTITUTE(SUBSTITUTE(SUBSTITUTE(SUBSTITUTE(LOWER(Registro!$G950),"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",LEN(Registro!$G950))),({1,2,3,4,5,6,7,8,9,10,11,12,13,14,15,16,17,18,19,20,21,22,23,24,25,26,27,28,29,30}-1)*LEN(Registro!$G950)+1,LEN(Registro!$G950))),FIND("x",TRIM(MID(SUBSTITUTE(SUBSTITUTE(SUBSTITUTE(SUBSTITUTE(SUBSTITUTE(LOWER(Registro!$G950),"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",LEN(Registro!$G950))),({1,2,3,4,5,6,7,8,9,10,11,12,13,14,15,16,17,18,19,20,21,22,23,24,25,26,27,28,29,30}-1)*LEN(Registro!$G950)+1,LEN(Registro!$G950)))&amp;"x")-1))),"Revisar formato")))</f>
        <v/>
      </c>
      <c r="I950" s="11" t="str">
        <f>IF(Registro!$G950="","",IF(ISERROR(FIND("x",LOWER(Registro!$G950))),N(Registro!$H950),IFERROR(SUMPRODUCT(--("0"&amp;LEFT(TRIM(MID(SUBSTITUTE(SUBSTITUTE(SUBSTITUTE(SUBSTITUTE(SUBSTITUTE(LOWER(Registro!$G950),"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",LEN(Registro!$G950))),({1,2,3,4,5,6,7,8,9,10,11,12,13,14,15,16,17,18,19,20,21,22,23,24,25,26,27,28,29,30}-1)*LEN(Registro!$G950)+1,LEN(Registro!$G950))),FIND("x",TRIM(MID(SUBSTITUTE(SUBSTITUTE(SUBSTITUTE(SUBSTITUTE(SUBSTITUTE(LOWER(Registro!$G950),"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",LEN(Registro!$G950))),({1,2,3,4,5,6,7,8,9,10,11,12,13,14,15,16,17,18,19,20,21,22,23,24,25,26,27,28,29,30}-1)*LEN(Registro!$G950)+1,LEN(Registro!$G950)))&amp;"x")-1)),--("0"&amp;MID(TRIM(MID(SUBSTITUTE(SUBSTITUTE(SUBSTITUTE(SUBSTITUTE(SUBSTITUTE(LOWER(Registro!$G950),"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",LEN(Registro!$G950))),({1,2,3,4,5,6,7,8,9,10,11,12,13,14,15,16,17,18,19,20,21,22,23,24,25,26,27,28,29,30}-1)*LEN(Registro!$G950)+1,LEN(Registro!$G950))),FIND("x",TRIM(MID(SUBSTITUTE(SUBSTITUTE(SUBSTITUTE(SUBSTITUTE(SUBSTITUTE(LOWER(Registro!$G950),"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",LEN(Registro!$G950))),({1,2,3,4,5,6,7,8,9,10,11,12,13,14,15,16,17,18,19,20,21,22,23,24,25,26,27,28,29,30}-1)*LEN(Registro!$G950)+1,LEN(Registro!$G950)))&amp;"x")+1,20))),"Revisar formato")))</f>
        <v/>
      </c>
      <c r="J950" s="9" t="str">
        <f>IF(AND(Registro!$E950="",Registro!$G950=""),"",IF(NOT(AND(ISNUMBER(I950),ISNUMBER(Registro!$H950))),"",IF(I950&lt;Registro!$H950,"FALTA BOLETOS",IF(I950=Registro!$H950,"CONFORME","DIFERENCIA"))))</f>
        <v/>
      </c>
      <c r="K950" s="11" t="str">
        <f>IF(Registro!$I950="","",IFERROR(SUMPRODUCT(--("0"&amp;TRIM(RIGHT(SUBSTITUTE(TRIM(MID(SUBSTITUTE(SUBSTITUTE(Registro!$I950,";",CHAR(10)),CHAR(10),REPT(" ",LEN(Registro!$I950))),({1,2,3,4,5,6,7,8,9,10,11,12,13,14,15,16,17,18,19,20,21,22,23,24,25,26,27,28,29,30}-1)*LEN(Registro!$I950)+1,LEN(Registro!$I950)))," ",REPT(" ",50)),50)))),"Revisar formato"))</f>
        <v/>
      </c>
      <c r="L950" s="11" t="str">
        <f>IF(Registro!$J950="","",IFERROR(SUMPRODUCT(--("0"&amp;TRIM(RIGHT(SUBSTITUTE(TRIM(MID(SUBSTITUTE(SUBSTITUTE(Registro!$J950,";",CHAR(10)),CHAR(10),REPT(" ",LEN(Registro!$J950))),({1,2,3,4,5,6,7,8,9,10,11,12,13,14,15,16,17,18,19,20,21,22,23,24,25,26,27,28,29,30}-1)*LEN(Registro!$J950)+1,LEN(Registro!$J950)))," ",REPT(" ",50)),50)))),"Revisar formato"))</f>
        <v/>
      </c>
      <c r="M950" s="11" t="str">
        <f>IF(AND(Registro!$H950="",Registro!$I950=""),"",IF(AND(ISTEXT(K950),K950&lt;&gt;""),"Revisar formato",N(Registro!$H950)-N(K950)))</f>
        <v/>
      </c>
      <c r="N950" s="11" t="str">
        <f t="shared" si="44"/>
        <v/>
      </c>
      <c r="O950" s="15" t="str">
        <f>IF(AND(A950=Consulta!$B$3,C950=Consulta!$H$3),B950*10000+ROW(),"")</f>
        <v/>
      </c>
    </row>
    <row r="951" spans="1:15" x14ac:dyDescent="0.25">
      <c r="A951" s="9" t="str">
        <f>IF(Registro!$A951="","",Registro!$A951)</f>
        <v/>
      </c>
      <c r="B951" s="8" t="str">
        <f>IF(Registro!$B951="","",Registro!$B951)</f>
        <v/>
      </c>
      <c r="C951" s="14" t="str">
        <f t="shared" si="42"/>
        <v/>
      </c>
      <c r="D951" s="10" t="str">
        <f>IF(Registro!$E951="","",IF(ISERROR(FIND("x",LOWER(Registro!$E951))),"-",IFERROR(SUMPRODUCT(--("0"&amp;LEFT(TRIM(MID(SUBSTITUTE(SUBSTITUTE(SUBSTITUTE(SUBSTITUTE(SUBSTITUTE(LOWER(Registro!$E951),"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",LEN(Registro!$E951))),({1,2,3,4,5,6,7,8,9,10,11,12,13,14,15,16,17,18,19,20,21,22,23,24,25,26,27,28,29,30}-1)*LEN(Registro!$E951)+1,LEN(Registro!$E951)))&amp;"x")-1))),"Revisar formato")))</f>
        <v/>
      </c>
      <c r="E951" s="11" t="str">
        <f>IF(Registro!$E951="","",IF(ISERROR(FIND("x",LOWER(Registro!$E951))),"-",IFERROR(SUMPRODUCT(--("0"&amp;LEFT(TRIM(MID(SUBSTITUTE(SUBSTITUTE(SUBSTITUTE(SUBSTITUTE(SUBSTITUTE(LOWER(Registro!$E951),"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",LEN(Registro!$E951))),({1,2,3,4,5,6,7,8,9,10,11,12,13,14,15,16,17,18,19,20,21,22,23,24,25,26,27,28,29,30}-1)*LEN(Registro!$E951)+1,LEN(Registro!$E951)))&amp;"x")-1)),--("0"&amp;MID(TRIM(MID(SUBSTITUTE(SUBSTITUTE(SUBSTITUTE(SUBSTITUTE(SUBSTITUTE(LOWER(Registro!$E951),"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",LEN(Registro!$E951))),({1,2,3,4,5,6,7,8,9,10,11,12,13,14,15,16,17,18,19,20,21,22,23,24,25,26,27,28,29,30}-1)*LEN(Registro!$E951)+1,LEN(Registro!$E951)))&amp;"x")+1,20))),"Revisar formato")))</f>
        <v/>
      </c>
      <c r="F951" s="11" t="str">
        <f>IF(Registro!$F951="","",N(Registro!$F951))</f>
        <v/>
      </c>
      <c r="G951" s="11" t="str">
        <f t="shared" si="43"/>
        <v/>
      </c>
      <c r="H951" s="10" t="str">
        <f>IF(Registro!$G951="","",IF(ISERROR(FIND("x",LOWER(Registro!$G951))),"-",IFERROR(SUMPRODUCT(--("0"&amp;LEFT(TRIM(MID(SUBSTITUTE(SUBSTITUTE(SUBSTITUTE(SUBSTITUTE(SUBSTITUTE(LOWER(Registro!$G951),"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",LEN(Registro!$G951))),({1,2,3,4,5,6,7,8,9,10,11,12,13,14,15,16,17,18,19,20,21,22,23,24,25,26,27,28,29,30}-1)*LEN(Registro!$G951)+1,LEN(Registro!$G951))),FIND("x",TRIM(MID(SUBSTITUTE(SUBSTITUTE(SUBSTITUTE(SUBSTITUTE(SUBSTITUTE(LOWER(Registro!$G951),"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",LEN(Registro!$G951))),({1,2,3,4,5,6,7,8,9,10,11,12,13,14,15,16,17,18,19,20,21,22,23,24,25,26,27,28,29,30}-1)*LEN(Registro!$G951)+1,LEN(Registro!$G951)))&amp;"x")-1))),"Revisar formato")))</f>
        <v/>
      </c>
      <c r="I951" s="11" t="str">
        <f>IF(Registro!$G951="","",IF(ISERROR(FIND("x",LOWER(Registro!$G951))),N(Registro!$H951),IFERROR(SUMPRODUCT(--("0"&amp;LEFT(TRIM(MID(SUBSTITUTE(SUBSTITUTE(SUBSTITUTE(SUBSTITUTE(SUBSTITUTE(LOWER(Registro!$G951),"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",LEN(Registro!$G951))),({1,2,3,4,5,6,7,8,9,10,11,12,13,14,15,16,17,18,19,20,21,22,23,24,25,26,27,28,29,30}-1)*LEN(Registro!$G951)+1,LEN(Registro!$G951))),FIND("x",TRIM(MID(SUBSTITUTE(SUBSTITUTE(SUBSTITUTE(SUBSTITUTE(SUBSTITUTE(LOWER(Registro!$G951),"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",LEN(Registro!$G951))),({1,2,3,4,5,6,7,8,9,10,11,12,13,14,15,16,17,18,19,20,21,22,23,24,25,26,27,28,29,30}-1)*LEN(Registro!$G951)+1,LEN(Registro!$G951)))&amp;"x")-1)),--("0"&amp;MID(TRIM(MID(SUBSTITUTE(SUBSTITUTE(SUBSTITUTE(SUBSTITUTE(SUBSTITUTE(LOWER(Registro!$G951),"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",LEN(Registro!$G951))),({1,2,3,4,5,6,7,8,9,10,11,12,13,14,15,16,17,18,19,20,21,22,23,24,25,26,27,28,29,30}-1)*LEN(Registro!$G951)+1,LEN(Registro!$G951))),FIND("x",TRIM(MID(SUBSTITUTE(SUBSTITUTE(SUBSTITUTE(SUBSTITUTE(SUBSTITUTE(LOWER(Registro!$G951),"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",LEN(Registro!$G951))),({1,2,3,4,5,6,7,8,9,10,11,12,13,14,15,16,17,18,19,20,21,22,23,24,25,26,27,28,29,30}-1)*LEN(Registro!$G951)+1,LEN(Registro!$G951)))&amp;"x")+1,20))),"Revisar formato")))</f>
        <v/>
      </c>
      <c r="J951" s="9" t="str">
        <f>IF(AND(Registro!$E951="",Registro!$G951=""),"",IF(NOT(AND(ISNUMBER(I951),ISNUMBER(Registro!$H951))),"",IF(I951&lt;Registro!$H951,"FALTA BOLETOS",IF(I951=Registro!$H951,"CONFORME","DIFERENCIA"))))</f>
        <v/>
      </c>
      <c r="K951" s="11" t="str">
        <f>IF(Registro!$I951="","",IFERROR(SUMPRODUCT(--("0"&amp;TRIM(RIGHT(SUBSTITUTE(TRIM(MID(SUBSTITUTE(SUBSTITUTE(Registro!$I951,";",CHAR(10)),CHAR(10),REPT(" ",LEN(Registro!$I951))),({1,2,3,4,5,6,7,8,9,10,11,12,13,14,15,16,17,18,19,20,21,22,23,24,25,26,27,28,29,30}-1)*LEN(Registro!$I951)+1,LEN(Registro!$I951)))," ",REPT(" ",50)),50)))),"Revisar formato"))</f>
        <v/>
      </c>
      <c r="L951" s="11" t="str">
        <f>IF(Registro!$J951="","",IFERROR(SUMPRODUCT(--("0"&amp;TRIM(RIGHT(SUBSTITUTE(TRIM(MID(SUBSTITUTE(SUBSTITUTE(Registro!$J951,";",CHAR(10)),CHAR(10),REPT(" ",LEN(Registro!$J951))),({1,2,3,4,5,6,7,8,9,10,11,12,13,14,15,16,17,18,19,20,21,22,23,24,25,26,27,28,29,30}-1)*LEN(Registro!$J951)+1,LEN(Registro!$J951)))," ",REPT(" ",50)),50)))),"Revisar formato"))</f>
        <v/>
      </c>
      <c r="M951" s="11" t="str">
        <f>IF(AND(Registro!$H951="",Registro!$I951=""),"",IF(AND(ISTEXT(K951),K951&lt;&gt;""),"Revisar formato",N(Registro!$H951)-N(K951)))</f>
        <v/>
      </c>
      <c r="N951" s="11" t="str">
        <f t="shared" si="44"/>
        <v/>
      </c>
      <c r="O951" s="15" t="str">
        <f>IF(AND(A951=Consulta!$B$3,C951=Consulta!$H$3),B951*10000+ROW(),"")</f>
        <v/>
      </c>
    </row>
    <row r="952" spans="1:15" x14ac:dyDescent="0.25">
      <c r="A952" s="9" t="str">
        <f>IF(Registro!$A952="","",Registro!$A952)</f>
        <v/>
      </c>
      <c r="B952" s="8" t="str">
        <f>IF(Registro!$B952="","",Registro!$B952)</f>
        <v/>
      </c>
      <c r="C952" s="14" t="str">
        <f t="shared" si="42"/>
        <v/>
      </c>
      <c r="D952" s="10" t="str">
        <f>IF(Registro!$E952="","",IF(ISERROR(FIND("x",LOWER(Registro!$E952))),"-",IFERROR(SUMPRODUCT(--("0"&amp;LEFT(TRIM(MID(SUBSTITUTE(SUBSTITUTE(SUBSTITUTE(SUBSTITUTE(SUBSTITUTE(LOWER(Registro!$E952),"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",LEN(Registro!$E952))),({1,2,3,4,5,6,7,8,9,10,11,12,13,14,15,16,17,18,19,20,21,22,23,24,25,26,27,28,29,30}-1)*LEN(Registro!$E952)+1,LEN(Registro!$E952)))&amp;"x")-1))),"Revisar formato")))</f>
        <v/>
      </c>
      <c r="E952" s="11" t="str">
        <f>IF(Registro!$E952="","",IF(ISERROR(FIND("x",LOWER(Registro!$E952))),"-",IFERROR(SUMPRODUCT(--("0"&amp;LEFT(TRIM(MID(SUBSTITUTE(SUBSTITUTE(SUBSTITUTE(SUBSTITUTE(SUBSTITUTE(LOWER(Registro!$E952),"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",LEN(Registro!$E952))),({1,2,3,4,5,6,7,8,9,10,11,12,13,14,15,16,17,18,19,20,21,22,23,24,25,26,27,28,29,30}-1)*LEN(Registro!$E952)+1,LEN(Registro!$E952)))&amp;"x")-1)),--("0"&amp;MID(TRIM(MID(SUBSTITUTE(SUBSTITUTE(SUBSTITUTE(SUBSTITUTE(SUBSTITUTE(LOWER(Registro!$E952),"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",LEN(Registro!$E952))),({1,2,3,4,5,6,7,8,9,10,11,12,13,14,15,16,17,18,19,20,21,22,23,24,25,26,27,28,29,30}-1)*LEN(Registro!$E952)+1,LEN(Registro!$E952)))&amp;"x")+1,20))),"Revisar formato")))</f>
        <v/>
      </c>
      <c r="F952" s="11" t="str">
        <f>IF(Registro!$F952="","",N(Registro!$F952))</f>
        <v/>
      </c>
      <c r="G952" s="11" t="str">
        <f t="shared" si="43"/>
        <v/>
      </c>
      <c r="H952" s="10" t="str">
        <f>IF(Registro!$G952="","",IF(ISERROR(FIND("x",LOWER(Registro!$G952))),"-",IFERROR(SUMPRODUCT(--("0"&amp;LEFT(TRIM(MID(SUBSTITUTE(SUBSTITUTE(SUBSTITUTE(SUBSTITUTE(SUBSTITUTE(LOWER(Registro!$G952),"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",LEN(Registro!$G952))),({1,2,3,4,5,6,7,8,9,10,11,12,13,14,15,16,17,18,19,20,21,22,23,24,25,26,27,28,29,30}-1)*LEN(Registro!$G952)+1,LEN(Registro!$G952))),FIND("x",TRIM(MID(SUBSTITUTE(SUBSTITUTE(SUBSTITUTE(SUBSTITUTE(SUBSTITUTE(LOWER(Registro!$G952),"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",LEN(Registro!$G952))),({1,2,3,4,5,6,7,8,9,10,11,12,13,14,15,16,17,18,19,20,21,22,23,24,25,26,27,28,29,30}-1)*LEN(Registro!$G952)+1,LEN(Registro!$G952)))&amp;"x")-1))),"Revisar formato")))</f>
        <v/>
      </c>
      <c r="I952" s="11" t="str">
        <f>IF(Registro!$G952="","",IF(ISERROR(FIND("x",LOWER(Registro!$G952))),N(Registro!$H952),IFERROR(SUMPRODUCT(--("0"&amp;LEFT(TRIM(MID(SUBSTITUTE(SUBSTITUTE(SUBSTITUTE(SUBSTITUTE(SUBSTITUTE(LOWER(Registro!$G952),"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",LEN(Registro!$G952))),({1,2,3,4,5,6,7,8,9,10,11,12,13,14,15,16,17,18,19,20,21,22,23,24,25,26,27,28,29,30}-1)*LEN(Registro!$G952)+1,LEN(Registro!$G952))),FIND("x",TRIM(MID(SUBSTITUTE(SUBSTITUTE(SUBSTITUTE(SUBSTITUTE(SUBSTITUTE(LOWER(Registro!$G952),"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",LEN(Registro!$G952))),({1,2,3,4,5,6,7,8,9,10,11,12,13,14,15,16,17,18,19,20,21,22,23,24,25,26,27,28,29,30}-1)*LEN(Registro!$G952)+1,LEN(Registro!$G952)))&amp;"x")-1)),--("0"&amp;MID(TRIM(MID(SUBSTITUTE(SUBSTITUTE(SUBSTITUTE(SUBSTITUTE(SUBSTITUTE(LOWER(Registro!$G952),"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",LEN(Registro!$G952))),({1,2,3,4,5,6,7,8,9,10,11,12,13,14,15,16,17,18,19,20,21,22,23,24,25,26,27,28,29,30}-1)*LEN(Registro!$G952)+1,LEN(Registro!$G952))),FIND("x",TRIM(MID(SUBSTITUTE(SUBSTITUTE(SUBSTITUTE(SUBSTITUTE(SUBSTITUTE(LOWER(Registro!$G952),"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",LEN(Registro!$G952))),({1,2,3,4,5,6,7,8,9,10,11,12,13,14,15,16,17,18,19,20,21,22,23,24,25,26,27,28,29,30}-1)*LEN(Registro!$G952)+1,LEN(Registro!$G952)))&amp;"x")+1,20))),"Revisar formato")))</f>
        <v/>
      </c>
      <c r="J952" s="9" t="str">
        <f>IF(AND(Registro!$E952="",Registro!$G952=""),"",IF(NOT(AND(ISNUMBER(I952),ISNUMBER(Registro!$H952))),"",IF(I952&lt;Registro!$H952,"FALTA BOLETOS",IF(I952=Registro!$H952,"CONFORME","DIFERENCIA"))))</f>
        <v/>
      </c>
      <c r="K952" s="11" t="str">
        <f>IF(Registro!$I952="","",IFERROR(SUMPRODUCT(--("0"&amp;TRIM(RIGHT(SUBSTITUTE(TRIM(MID(SUBSTITUTE(SUBSTITUTE(Registro!$I952,";",CHAR(10)),CHAR(10),REPT(" ",LEN(Registro!$I952))),({1,2,3,4,5,6,7,8,9,10,11,12,13,14,15,16,17,18,19,20,21,22,23,24,25,26,27,28,29,30}-1)*LEN(Registro!$I952)+1,LEN(Registro!$I952)))," ",REPT(" ",50)),50)))),"Revisar formato"))</f>
        <v/>
      </c>
      <c r="L952" s="11" t="str">
        <f>IF(Registro!$J952="","",IFERROR(SUMPRODUCT(--("0"&amp;TRIM(RIGHT(SUBSTITUTE(TRIM(MID(SUBSTITUTE(SUBSTITUTE(Registro!$J952,";",CHAR(10)),CHAR(10),REPT(" ",LEN(Registro!$J952))),({1,2,3,4,5,6,7,8,9,10,11,12,13,14,15,16,17,18,19,20,21,22,23,24,25,26,27,28,29,30}-1)*LEN(Registro!$J952)+1,LEN(Registro!$J952)))," ",REPT(" ",50)),50)))),"Revisar formato"))</f>
        <v/>
      </c>
      <c r="M952" s="11" t="str">
        <f>IF(AND(Registro!$H952="",Registro!$I952=""),"",IF(AND(ISTEXT(K952),K952&lt;&gt;""),"Revisar formato",N(Registro!$H952)-N(K952)))</f>
        <v/>
      </c>
      <c r="N952" s="11" t="str">
        <f t="shared" si="44"/>
        <v/>
      </c>
      <c r="O952" s="15" t="str">
        <f>IF(AND(A952=Consulta!$B$3,C952=Consulta!$H$3),B952*10000+ROW(),"")</f>
        <v/>
      </c>
    </row>
    <row r="953" spans="1:15" x14ac:dyDescent="0.25">
      <c r="A953" s="9" t="str">
        <f>IF(Registro!$A953="","",Registro!$A953)</f>
        <v/>
      </c>
      <c r="B953" s="8" t="str">
        <f>IF(Registro!$B953="","",Registro!$B953)</f>
        <v/>
      </c>
      <c r="C953" s="14" t="str">
        <f t="shared" si="42"/>
        <v/>
      </c>
      <c r="D953" s="10" t="str">
        <f>IF(Registro!$E953="","",IF(ISERROR(FIND("x",LOWER(Registro!$E953))),"-",IFERROR(SUMPRODUCT(--("0"&amp;LEFT(TRIM(MID(SUBSTITUTE(SUBSTITUTE(SUBSTITUTE(SUBSTITUTE(SUBSTITUTE(LOWER(Registro!$E953),"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",LEN(Registro!$E953))),({1,2,3,4,5,6,7,8,9,10,11,12,13,14,15,16,17,18,19,20,21,22,23,24,25,26,27,28,29,30}-1)*LEN(Registro!$E953)+1,LEN(Registro!$E953)))&amp;"x")-1))),"Revisar formato")))</f>
        <v/>
      </c>
      <c r="E953" s="11" t="str">
        <f>IF(Registro!$E953="","",IF(ISERROR(FIND("x",LOWER(Registro!$E953))),"-",IFERROR(SUMPRODUCT(--("0"&amp;LEFT(TRIM(MID(SUBSTITUTE(SUBSTITUTE(SUBSTITUTE(SUBSTITUTE(SUBSTITUTE(LOWER(Registro!$E953),"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",LEN(Registro!$E953))),({1,2,3,4,5,6,7,8,9,10,11,12,13,14,15,16,17,18,19,20,21,22,23,24,25,26,27,28,29,30}-1)*LEN(Registro!$E953)+1,LEN(Registro!$E953)))&amp;"x")-1)),--("0"&amp;MID(TRIM(MID(SUBSTITUTE(SUBSTITUTE(SUBSTITUTE(SUBSTITUTE(SUBSTITUTE(LOWER(Registro!$E953),"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",LEN(Registro!$E953))),({1,2,3,4,5,6,7,8,9,10,11,12,13,14,15,16,17,18,19,20,21,22,23,24,25,26,27,28,29,30}-1)*LEN(Registro!$E953)+1,LEN(Registro!$E953)))&amp;"x")+1,20))),"Revisar formato")))</f>
        <v/>
      </c>
      <c r="F953" s="11" t="str">
        <f>IF(Registro!$F953="","",N(Registro!$F953))</f>
        <v/>
      </c>
      <c r="G953" s="11" t="str">
        <f t="shared" si="43"/>
        <v/>
      </c>
      <c r="H953" s="10" t="str">
        <f>IF(Registro!$G953="","",IF(ISERROR(FIND("x",LOWER(Registro!$G953))),"-",IFERROR(SUMPRODUCT(--("0"&amp;LEFT(TRIM(MID(SUBSTITUTE(SUBSTITUTE(SUBSTITUTE(SUBSTITUTE(SUBSTITUTE(LOWER(Registro!$G953),"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",LEN(Registro!$G953))),({1,2,3,4,5,6,7,8,9,10,11,12,13,14,15,16,17,18,19,20,21,22,23,24,25,26,27,28,29,30}-1)*LEN(Registro!$G953)+1,LEN(Registro!$G953))),FIND("x",TRIM(MID(SUBSTITUTE(SUBSTITUTE(SUBSTITUTE(SUBSTITUTE(SUBSTITUTE(LOWER(Registro!$G953),"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",LEN(Registro!$G953))),({1,2,3,4,5,6,7,8,9,10,11,12,13,14,15,16,17,18,19,20,21,22,23,24,25,26,27,28,29,30}-1)*LEN(Registro!$G953)+1,LEN(Registro!$G953)))&amp;"x")-1))),"Revisar formato")))</f>
        <v/>
      </c>
      <c r="I953" s="11" t="str">
        <f>IF(Registro!$G953="","",IF(ISERROR(FIND("x",LOWER(Registro!$G953))),N(Registro!$H953),IFERROR(SUMPRODUCT(--("0"&amp;LEFT(TRIM(MID(SUBSTITUTE(SUBSTITUTE(SUBSTITUTE(SUBSTITUTE(SUBSTITUTE(LOWER(Registro!$G953),"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",LEN(Registro!$G953))),({1,2,3,4,5,6,7,8,9,10,11,12,13,14,15,16,17,18,19,20,21,22,23,24,25,26,27,28,29,30}-1)*LEN(Registro!$G953)+1,LEN(Registro!$G953))),FIND("x",TRIM(MID(SUBSTITUTE(SUBSTITUTE(SUBSTITUTE(SUBSTITUTE(SUBSTITUTE(LOWER(Registro!$G953),"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",LEN(Registro!$G953))),({1,2,3,4,5,6,7,8,9,10,11,12,13,14,15,16,17,18,19,20,21,22,23,24,25,26,27,28,29,30}-1)*LEN(Registro!$G953)+1,LEN(Registro!$G953)))&amp;"x")-1)),--("0"&amp;MID(TRIM(MID(SUBSTITUTE(SUBSTITUTE(SUBSTITUTE(SUBSTITUTE(SUBSTITUTE(LOWER(Registro!$G953),"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",LEN(Registro!$G953))),({1,2,3,4,5,6,7,8,9,10,11,12,13,14,15,16,17,18,19,20,21,22,23,24,25,26,27,28,29,30}-1)*LEN(Registro!$G953)+1,LEN(Registro!$G953))),FIND("x",TRIM(MID(SUBSTITUTE(SUBSTITUTE(SUBSTITUTE(SUBSTITUTE(SUBSTITUTE(LOWER(Registro!$G953),"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",LEN(Registro!$G953))),({1,2,3,4,5,6,7,8,9,10,11,12,13,14,15,16,17,18,19,20,21,22,23,24,25,26,27,28,29,30}-1)*LEN(Registro!$G953)+1,LEN(Registro!$G953)))&amp;"x")+1,20))),"Revisar formato")))</f>
        <v/>
      </c>
      <c r="J953" s="9" t="str">
        <f>IF(AND(Registro!$E953="",Registro!$G953=""),"",IF(NOT(AND(ISNUMBER(I953),ISNUMBER(Registro!$H953))),"",IF(I953&lt;Registro!$H953,"FALTA BOLETOS",IF(I953=Registro!$H953,"CONFORME","DIFERENCIA"))))</f>
        <v/>
      </c>
      <c r="K953" s="11" t="str">
        <f>IF(Registro!$I953="","",IFERROR(SUMPRODUCT(--("0"&amp;TRIM(RIGHT(SUBSTITUTE(TRIM(MID(SUBSTITUTE(SUBSTITUTE(Registro!$I953,";",CHAR(10)),CHAR(10),REPT(" ",LEN(Registro!$I953))),({1,2,3,4,5,6,7,8,9,10,11,12,13,14,15,16,17,18,19,20,21,22,23,24,25,26,27,28,29,30}-1)*LEN(Registro!$I953)+1,LEN(Registro!$I953)))," ",REPT(" ",50)),50)))),"Revisar formato"))</f>
        <v/>
      </c>
      <c r="L953" s="11" t="str">
        <f>IF(Registro!$J953="","",IFERROR(SUMPRODUCT(--("0"&amp;TRIM(RIGHT(SUBSTITUTE(TRIM(MID(SUBSTITUTE(SUBSTITUTE(Registro!$J953,";",CHAR(10)),CHAR(10),REPT(" ",LEN(Registro!$J953))),({1,2,3,4,5,6,7,8,9,10,11,12,13,14,15,16,17,18,19,20,21,22,23,24,25,26,27,28,29,30}-1)*LEN(Registro!$J953)+1,LEN(Registro!$J953)))," ",REPT(" ",50)),50)))),"Revisar formato"))</f>
        <v/>
      </c>
      <c r="M953" s="11" t="str">
        <f>IF(AND(Registro!$H953="",Registro!$I953=""),"",IF(AND(ISTEXT(K953),K953&lt;&gt;""),"Revisar formato",N(Registro!$H953)-N(K953)))</f>
        <v/>
      </c>
      <c r="N953" s="11" t="str">
        <f t="shared" si="44"/>
        <v/>
      </c>
      <c r="O953" s="15" t="str">
        <f>IF(AND(A953=Consulta!$B$3,C953=Consulta!$H$3),B953*10000+ROW(),"")</f>
        <v/>
      </c>
    </row>
    <row r="954" spans="1:15" x14ac:dyDescent="0.25">
      <c r="A954" s="9" t="str">
        <f>IF(Registro!$A954="","",Registro!$A954)</f>
        <v/>
      </c>
      <c r="B954" s="8" t="str">
        <f>IF(Registro!$B954="","",Registro!$B954)</f>
        <v/>
      </c>
      <c r="C954" s="14" t="str">
        <f t="shared" si="42"/>
        <v/>
      </c>
      <c r="D954" s="10" t="str">
        <f>IF(Registro!$E954="","",IF(ISERROR(FIND("x",LOWER(Registro!$E954))),"-",IFERROR(SUMPRODUCT(--("0"&amp;LEFT(TRIM(MID(SUBSTITUTE(SUBSTITUTE(SUBSTITUTE(SUBSTITUTE(SUBSTITUTE(LOWER(Registro!$E954),"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",LEN(Registro!$E954))),({1,2,3,4,5,6,7,8,9,10,11,12,13,14,15,16,17,18,19,20,21,22,23,24,25,26,27,28,29,30}-1)*LEN(Registro!$E954)+1,LEN(Registro!$E954)))&amp;"x")-1))),"Revisar formato")))</f>
        <v/>
      </c>
      <c r="E954" s="11" t="str">
        <f>IF(Registro!$E954="","",IF(ISERROR(FIND("x",LOWER(Registro!$E954))),"-",IFERROR(SUMPRODUCT(--("0"&amp;LEFT(TRIM(MID(SUBSTITUTE(SUBSTITUTE(SUBSTITUTE(SUBSTITUTE(SUBSTITUTE(LOWER(Registro!$E954),"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",LEN(Registro!$E954))),({1,2,3,4,5,6,7,8,9,10,11,12,13,14,15,16,17,18,19,20,21,22,23,24,25,26,27,28,29,30}-1)*LEN(Registro!$E954)+1,LEN(Registro!$E954)))&amp;"x")-1)),--("0"&amp;MID(TRIM(MID(SUBSTITUTE(SUBSTITUTE(SUBSTITUTE(SUBSTITUTE(SUBSTITUTE(LOWER(Registro!$E954),"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",LEN(Registro!$E954))),({1,2,3,4,5,6,7,8,9,10,11,12,13,14,15,16,17,18,19,20,21,22,23,24,25,26,27,28,29,30}-1)*LEN(Registro!$E954)+1,LEN(Registro!$E954)))&amp;"x")+1,20))),"Revisar formato")))</f>
        <v/>
      </c>
      <c r="F954" s="11" t="str">
        <f>IF(Registro!$F954="","",N(Registro!$F954))</f>
        <v/>
      </c>
      <c r="G954" s="11" t="str">
        <f t="shared" si="43"/>
        <v/>
      </c>
      <c r="H954" s="10" t="str">
        <f>IF(Registro!$G954="","",IF(ISERROR(FIND("x",LOWER(Registro!$G954))),"-",IFERROR(SUMPRODUCT(--("0"&amp;LEFT(TRIM(MID(SUBSTITUTE(SUBSTITUTE(SUBSTITUTE(SUBSTITUTE(SUBSTITUTE(LOWER(Registro!$G954),"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",LEN(Registro!$G954))),({1,2,3,4,5,6,7,8,9,10,11,12,13,14,15,16,17,18,19,20,21,22,23,24,25,26,27,28,29,30}-1)*LEN(Registro!$G954)+1,LEN(Registro!$G954))),FIND("x",TRIM(MID(SUBSTITUTE(SUBSTITUTE(SUBSTITUTE(SUBSTITUTE(SUBSTITUTE(LOWER(Registro!$G954),"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",LEN(Registro!$G954))),({1,2,3,4,5,6,7,8,9,10,11,12,13,14,15,16,17,18,19,20,21,22,23,24,25,26,27,28,29,30}-1)*LEN(Registro!$G954)+1,LEN(Registro!$G954)))&amp;"x")-1))),"Revisar formato")))</f>
        <v/>
      </c>
      <c r="I954" s="11" t="str">
        <f>IF(Registro!$G954="","",IF(ISERROR(FIND("x",LOWER(Registro!$G954))),N(Registro!$H954),IFERROR(SUMPRODUCT(--("0"&amp;LEFT(TRIM(MID(SUBSTITUTE(SUBSTITUTE(SUBSTITUTE(SUBSTITUTE(SUBSTITUTE(LOWER(Registro!$G954),"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",LEN(Registro!$G954))),({1,2,3,4,5,6,7,8,9,10,11,12,13,14,15,16,17,18,19,20,21,22,23,24,25,26,27,28,29,30}-1)*LEN(Registro!$G954)+1,LEN(Registro!$G954))),FIND("x",TRIM(MID(SUBSTITUTE(SUBSTITUTE(SUBSTITUTE(SUBSTITUTE(SUBSTITUTE(LOWER(Registro!$G954),"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",LEN(Registro!$G954))),({1,2,3,4,5,6,7,8,9,10,11,12,13,14,15,16,17,18,19,20,21,22,23,24,25,26,27,28,29,30}-1)*LEN(Registro!$G954)+1,LEN(Registro!$G954)))&amp;"x")-1)),--("0"&amp;MID(TRIM(MID(SUBSTITUTE(SUBSTITUTE(SUBSTITUTE(SUBSTITUTE(SUBSTITUTE(LOWER(Registro!$G954),"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",LEN(Registro!$G954))),({1,2,3,4,5,6,7,8,9,10,11,12,13,14,15,16,17,18,19,20,21,22,23,24,25,26,27,28,29,30}-1)*LEN(Registro!$G954)+1,LEN(Registro!$G954))),FIND("x",TRIM(MID(SUBSTITUTE(SUBSTITUTE(SUBSTITUTE(SUBSTITUTE(SUBSTITUTE(LOWER(Registro!$G954),"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",LEN(Registro!$G954))),({1,2,3,4,5,6,7,8,9,10,11,12,13,14,15,16,17,18,19,20,21,22,23,24,25,26,27,28,29,30}-1)*LEN(Registro!$G954)+1,LEN(Registro!$G954)))&amp;"x")+1,20))),"Revisar formato")))</f>
        <v/>
      </c>
      <c r="J954" s="9" t="str">
        <f>IF(AND(Registro!$E954="",Registro!$G954=""),"",IF(NOT(AND(ISNUMBER(I954),ISNUMBER(Registro!$H954))),"",IF(I954&lt;Registro!$H954,"FALTA BOLETOS",IF(I954=Registro!$H954,"CONFORME","DIFERENCIA"))))</f>
        <v/>
      </c>
      <c r="K954" s="11" t="str">
        <f>IF(Registro!$I954="","",IFERROR(SUMPRODUCT(--("0"&amp;TRIM(RIGHT(SUBSTITUTE(TRIM(MID(SUBSTITUTE(SUBSTITUTE(Registro!$I954,";",CHAR(10)),CHAR(10),REPT(" ",LEN(Registro!$I954))),({1,2,3,4,5,6,7,8,9,10,11,12,13,14,15,16,17,18,19,20,21,22,23,24,25,26,27,28,29,30}-1)*LEN(Registro!$I954)+1,LEN(Registro!$I954)))," ",REPT(" ",50)),50)))),"Revisar formato"))</f>
        <v/>
      </c>
      <c r="L954" s="11" t="str">
        <f>IF(Registro!$J954="","",IFERROR(SUMPRODUCT(--("0"&amp;TRIM(RIGHT(SUBSTITUTE(TRIM(MID(SUBSTITUTE(SUBSTITUTE(Registro!$J954,";",CHAR(10)),CHAR(10),REPT(" ",LEN(Registro!$J954))),({1,2,3,4,5,6,7,8,9,10,11,12,13,14,15,16,17,18,19,20,21,22,23,24,25,26,27,28,29,30}-1)*LEN(Registro!$J954)+1,LEN(Registro!$J954)))," ",REPT(" ",50)),50)))),"Revisar formato"))</f>
        <v/>
      </c>
      <c r="M954" s="11" t="str">
        <f>IF(AND(Registro!$H954="",Registro!$I954=""),"",IF(AND(ISTEXT(K954),K954&lt;&gt;""),"Revisar formato",N(Registro!$H954)-N(K954)))</f>
        <v/>
      </c>
      <c r="N954" s="11" t="str">
        <f t="shared" si="44"/>
        <v/>
      </c>
      <c r="O954" s="15" t="str">
        <f>IF(AND(A954=Consulta!$B$3,C954=Consulta!$H$3),B954*10000+ROW(),"")</f>
        <v/>
      </c>
    </row>
    <row r="955" spans="1:15" x14ac:dyDescent="0.25">
      <c r="A955" s="9" t="str">
        <f>IF(Registro!$A955="","",Registro!$A955)</f>
        <v/>
      </c>
      <c r="B955" s="8" t="str">
        <f>IF(Registro!$B955="","",Registro!$B955)</f>
        <v/>
      </c>
      <c r="C955" s="14" t="str">
        <f t="shared" si="42"/>
        <v/>
      </c>
      <c r="D955" s="10" t="str">
        <f>IF(Registro!$E955="","",IF(ISERROR(FIND("x",LOWER(Registro!$E955))),"-",IFERROR(SUMPRODUCT(--("0"&amp;LEFT(TRIM(MID(SUBSTITUTE(SUBSTITUTE(SUBSTITUTE(SUBSTITUTE(SUBSTITUTE(LOWER(Registro!$E955),"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",LEN(Registro!$E955))),({1,2,3,4,5,6,7,8,9,10,11,12,13,14,15,16,17,18,19,20,21,22,23,24,25,26,27,28,29,30}-1)*LEN(Registro!$E955)+1,LEN(Registro!$E955)))&amp;"x")-1))),"Revisar formato")))</f>
        <v/>
      </c>
      <c r="E955" s="11" t="str">
        <f>IF(Registro!$E955="","",IF(ISERROR(FIND("x",LOWER(Registro!$E955))),"-",IFERROR(SUMPRODUCT(--("0"&amp;LEFT(TRIM(MID(SUBSTITUTE(SUBSTITUTE(SUBSTITUTE(SUBSTITUTE(SUBSTITUTE(LOWER(Registro!$E955),"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",LEN(Registro!$E955))),({1,2,3,4,5,6,7,8,9,10,11,12,13,14,15,16,17,18,19,20,21,22,23,24,25,26,27,28,29,30}-1)*LEN(Registro!$E955)+1,LEN(Registro!$E955)))&amp;"x")-1)),--("0"&amp;MID(TRIM(MID(SUBSTITUTE(SUBSTITUTE(SUBSTITUTE(SUBSTITUTE(SUBSTITUTE(LOWER(Registro!$E955),"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",LEN(Registro!$E955))),({1,2,3,4,5,6,7,8,9,10,11,12,13,14,15,16,17,18,19,20,21,22,23,24,25,26,27,28,29,30}-1)*LEN(Registro!$E955)+1,LEN(Registro!$E955)))&amp;"x")+1,20))),"Revisar formato")))</f>
        <v/>
      </c>
      <c r="F955" s="11" t="str">
        <f>IF(Registro!$F955="","",N(Registro!$F955))</f>
        <v/>
      </c>
      <c r="G955" s="11" t="str">
        <f t="shared" si="43"/>
        <v/>
      </c>
      <c r="H955" s="10" t="str">
        <f>IF(Registro!$G955="","",IF(ISERROR(FIND("x",LOWER(Registro!$G955))),"-",IFERROR(SUMPRODUCT(--("0"&amp;LEFT(TRIM(MID(SUBSTITUTE(SUBSTITUTE(SUBSTITUTE(SUBSTITUTE(SUBSTITUTE(LOWER(Registro!$G955),"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",LEN(Registro!$G955))),({1,2,3,4,5,6,7,8,9,10,11,12,13,14,15,16,17,18,19,20,21,22,23,24,25,26,27,28,29,30}-1)*LEN(Registro!$G955)+1,LEN(Registro!$G955))),FIND("x",TRIM(MID(SUBSTITUTE(SUBSTITUTE(SUBSTITUTE(SUBSTITUTE(SUBSTITUTE(LOWER(Registro!$G955),"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",LEN(Registro!$G955))),({1,2,3,4,5,6,7,8,9,10,11,12,13,14,15,16,17,18,19,20,21,22,23,24,25,26,27,28,29,30}-1)*LEN(Registro!$G955)+1,LEN(Registro!$G955)))&amp;"x")-1))),"Revisar formato")))</f>
        <v/>
      </c>
      <c r="I955" s="11" t="str">
        <f>IF(Registro!$G955="","",IF(ISERROR(FIND("x",LOWER(Registro!$G955))),N(Registro!$H955),IFERROR(SUMPRODUCT(--("0"&amp;LEFT(TRIM(MID(SUBSTITUTE(SUBSTITUTE(SUBSTITUTE(SUBSTITUTE(SUBSTITUTE(LOWER(Registro!$G955),"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",LEN(Registro!$G955))),({1,2,3,4,5,6,7,8,9,10,11,12,13,14,15,16,17,18,19,20,21,22,23,24,25,26,27,28,29,30}-1)*LEN(Registro!$G955)+1,LEN(Registro!$G955))),FIND("x",TRIM(MID(SUBSTITUTE(SUBSTITUTE(SUBSTITUTE(SUBSTITUTE(SUBSTITUTE(LOWER(Registro!$G955),"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",LEN(Registro!$G955))),({1,2,3,4,5,6,7,8,9,10,11,12,13,14,15,16,17,18,19,20,21,22,23,24,25,26,27,28,29,30}-1)*LEN(Registro!$G955)+1,LEN(Registro!$G955)))&amp;"x")-1)),--("0"&amp;MID(TRIM(MID(SUBSTITUTE(SUBSTITUTE(SUBSTITUTE(SUBSTITUTE(SUBSTITUTE(LOWER(Registro!$G955),"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",LEN(Registro!$G955))),({1,2,3,4,5,6,7,8,9,10,11,12,13,14,15,16,17,18,19,20,21,22,23,24,25,26,27,28,29,30}-1)*LEN(Registro!$G955)+1,LEN(Registro!$G955))),FIND("x",TRIM(MID(SUBSTITUTE(SUBSTITUTE(SUBSTITUTE(SUBSTITUTE(SUBSTITUTE(LOWER(Registro!$G955),"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",LEN(Registro!$G955))),({1,2,3,4,5,6,7,8,9,10,11,12,13,14,15,16,17,18,19,20,21,22,23,24,25,26,27,28,29,30}-1)*LEN(Registro!$G955)+1,LEN(Registro!$G955)))&amp;"x")+1,20))),"Revisar formato")))</f>
        <v/>
      </c>
      <c r="J955" s="9" t="str">
        <f>IF(AND(Registro!$E955="",Registro!$G955=""),"",IF(NOT(AND(ISNUMBER(I955),ISNUMBER(Registro!$H955))),"",IF(I955&lt;Registro!$H955,"FALTA BOLETOS",IF(I955=Registro!$H955,"CONFORME","DIFERENCIA"))))</f>
        <v/>
      </c>
      <c r="K955" s="11" t="str">
        <f>IF(Registro!$I955="","",IFERROR(SUMPRODUCT(--("0"&amp;TRIM(RIGHT(SUBSTITUTE(TRIM(MID(SUBSTITUTE(SUBSTITUTE(Registro!$I955,";",CHAR(10)),CHAR(10),REPT(" ",LEN(Registro!$I955))),({1,2,3,4,5,6,7,8,9,10,11,12,13,14,15,16,17,18,19,20,21,22,23,24,25,26,27,28,29,30}-1)*LEN(Registro!$I955)+1,LEN(Registro!$I955)))," ",REPT(" ",50)),50)))),"Revisar formato"))</f>
        <v/>
      </c>
      <c r="L955" s="11" t="str">
        <f>IF(Registro!$J955="","",IFERROR(SUMPRODUCT(--("0"&amp;TRIM(RIGHT(SUBSTITUTE(TRIM(MID(SUBSTITUTE(SUBSTITUTE(Registro!$J955,";",CHAR(10)),CHAR(10),REPT(" ",LEN(Registro!$J955))),({1,2,3,4,5,6,7,8,9,10,11,12,13,14,15,16,17,18,19,20,21,22,23,24,25,26,27,28,29,30}-1)*LEN(Registro!$J955)+1,LEN(Registro!$J955)))," ",REPT(" ",50)),50)))),"Revisar formato"))</f>
        <v/>
      </c>
      <c r="M955" s="11" t="str">
        <f>IF(AND(Registro!$H955="",Registro!$I955=""),"",IF(AND(ISTEXT(K955),K955&lt;&gt;""),"Revisar formato",N(Registro!$H955)-N(K955)))</f>
        <v/>
      </c>
      <c r="N955" s="11" t="str">
        <f t="shared" si="44"/>
        <v/>
      </c>
      <c r="O955" s="15" t="str">
        <f>IF(AND(A955=Consulta!$B$3,C955=Consulta!$H$3),B955*10000+ROW(),"")</f>
        <v/>
      </c>
    </row>
    <row r="956" spans="1:15" x14ac:dyDescent="0.25">
      <c r="A956" s="9" t="str">
        <f>IF(Registro!$A956="","",Registro!$A956)</f>
        <v/>
      </c>
      <c r="B956" s="8" t="str">
        <f>IF(Registro!$B956="","",Registro!$B956)</f>
        <v/>
      </c>
      <c r="C956" s="14" t="str">
        <f t="shared" si="42"/>
        <v/>
      </c>
      <c r="D956" s="10" t="str">
        <f>IF(Registro!$E956="","",IF(ISERROR(FIND("x",LOWER(Registro!$E956))),"-",IFERROR(SUMPRODUCT(--("0"&amp;LEFT(TRIM(MID(SUBSTITUTE(SUBSTITUTE(SUBSTITUTE(SUBSTITUTE(SUBSTITUTE(LOWER(Registro!$E956),"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",LEN(Registro!$E956))),({1,2,3,4,5,6,7,8,9,10,11,12,13,14,15,16,17,18,19,20,21,22,23,24,25,26,27,28,29,30}-1)*LEN(Registro!$E956)+1,LEN(Registro!$E956)))&amp;"x")-1))),"Revisar formato")))</f>
        <v/>
      </c>
      <c r="E956" s="11" t="str">
        <f>IF(Registro!$E956="","",IF(ISERROR(FIND("x",LOWER(Registro!$E956))),"-",IFERROR(SUMPRODUCT(--("0"&amp;LEFT(TRIM(MID(SUBSTITUTE(SUBSTITUTE(SUBSTITUTE(SUBSTITUTE(SUBSTITUTE(LOWER(Registro!$E956),"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",LEN(Registro!$E956))),({1,2,3,4,5,6,7,8,9,10,11,12,13,14,15,16,17,18,19,20,21,22,23,24,25,26,27,28,29,30}-1)*LEN(Registro!$E956)+1,LEN(Registro!$E956)))&amp;"x")-1)),--("0"&amp;MID(TRIM(MID(SUBSTITUTE(SUBSTITUTE(SUBSTITUTE(SUBSTITUTE(SUBSTITUTE(LOWER(Registro!$E956),"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",LEN(Registro!$E956))),({1,2,3,4,5,6,7,8,9,10,11,12,13,14,15,16,17,18,19,20,21,22,23,24,25,26,27,28,29,30}-1)*LEN(Registro!$E956)+1,LEN(Registro!$E956)))&amp;"x")+1,20))),"Revisar formato")))</f>
        <v/>
      </c>
      <c r="F956" s="11" t="str">
        <f>IF(Registro!$F956="","",N(Registro!$F956))</f>
        <v/>
      </c>
      <c r="G956" s="11" t="str">
        <f t="shared" si="43"/>
        <v/>
      </c>
      <c r="H956" s="10" t="str">
        <f>IF(Registro!$G956="","",IF(ISERROR(FIND("x",LOWER(Registro!$G956))),"-",IFERROR(SUMPRODUCT(--("0"&amp;LEFT(TRIM(MID(SUBSTITUTE(SUBSTITUTE(SUBSTITUTE(SUBSTITUTE(SUBSTITUTE(LOWER(Registro!$G956),"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",LEN(Registro!$G956))),({1,2,3,4,5,6,7,8,9,10,11,12,13,14,15,16,17,18,19,20,21,22,23,24,25,26,27,28,29,30}-1)*LEN(Registro!$G956)+1,LEN(Registro!$G956))),FIND("x",TRIM(MID(SUBSTITUTE(SUBSTITUTE(SUBSTITUTE(SUBSTITUTE(SUBSTITUTE(LOWER(Registro!$G956),"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",LEN(Registro!$G956))),({1,2,3,4,5,6,7,8,9,10,11,12,13,14,15,16,17,18,19,20,21,22,23,24,25,26,27,28,29,30}-1)*LEN(Registro!$G956)+1,LEN(Registro!$G956)))&amp;"x")-1))),"Revisar formato")))</f>
        <v/>
      </c>
      <c r="I956" s="11" t="str">
        <f>IF(Registro!$G956="","",IF(ISERROR(FIND("x",LOWER(Registro!$G956))),N(Registro!$H956),IFERROR(SUMPRODUCT(--("0"&amp;LEFT(TRIM(MID(SUBSTITUTE(SUBSTITUTE(SUBSTITUTE(SUBSTITUTE(SUBSTITUTE(LOWER(Registro!$G956),"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",LEN(Registro!$G956))),({1,2,3,4,5,6,7,8,9,10,11,12,13,14,15,16,17,18,19,20,21,22,23,24,25,26,27,28,29,30}-1)*LEN(Registro!$G956)+1,LEN(Registro!$G956))),FIND("x",TRIM(MID(SUBSTITUTE(SUBSTITUTE(SUBSTITUTE(SUBSTITUTE(SUBSTITUTE(LOWER(Registro!$G956),"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",LEN(Registro!$G956))),({1,2,3,4,5,6,7,8,9,10,11,12,13,14,15,16,17,18,19,20,21,22,23,24,25,26,27,28,29,30}-1)*LEN(Registro!$G956)+1,LEN(Registro!$G956)))&amp;"x")-1)),--("0"&amp;MID(TRIM(MID(SUBSTITUTE(SUBSTITUTE(SUBSTITUTE(SUBSTITUTE(SUBSTITUTE(LOWER(Registro!$G956),"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",LEN(Registro!$G956))),({1,2,3,4,5,6,7,8,9,10,11,12,13,14,15,16,17,18,19,20,21,22,23,24,25,26,27,28,29,30}-1)*LEN(Registro!$G956)+1,LEN(Registro!$G956))),FIND("x",TRIM(MID(SUBSTITUTE(SUBSTITUTE(SUBSTITUTE(SUBSTITUTE(SUBSTITUTE(LOWER(Registro!$G956),"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",LEN(Registro!$G956))),({1,2,3,4,5,6,7,8,9,10,11,12,13,14,15,16,17,18,19,20,21,22,23,24,25,26,27,28,29,30}-1)*LEN(Registro!$G956)+1,LEN(Registro!$G956)))&amp;"x")+1,20))),"Revisar formato")))</f>
        <v/>
      </c>
      <c r="J956" s="9" t="str">
        <f>IF(AND(Registro!$E956="",Registro!$G956=""),"",IF(NOT(AND(ISNUMBER(I956),ISNUMBER(Registro!$H956))),"",IF(I956&lt;Registro!$H956,"FALTA BOLETOS",IF(I956=Registro!$H956,"CONFORME","DIFERENCIA"))))</f>
        <v/>
      </c>
      <c r="K956" s="11" t="str">
        <f>IF(Registro!$I956="","",IFERROR(SUMPRODUCT(--("0"&amp;TRIM(RIGHT(SUBSTITUTE(TRIM(MID(SUBSTITUTE(SUBSTITUTE(Registro!$I956,";",CHAR(10)),CHAR(10),REPT(" ",LEN(Registro!$I956))),({1,2,3,4,5,6,7,8,9,10,11,12,13,14,15,16,17,18,19,20,21,22,23,24,25,26,27,28,29,30}-1)*LEN(Registro!$I956)+1,LEN(Registro!$I956)))," ",REPT(" ",50)),50)))),"Revisar formato"))</f>
        <v/>
      </c>
      <c r="L956" s="11" t="str">
        <f>IF(Registro!$J956="","",IFERROR(SUMPRODUCT(--("0"&amp;TRIM(RIGHT(SUBSTITUTE(TRIM(MID(SUBSTITUTE(SUBSTITUTE(Registro!$J956,";",CHAR(10)),CHAR(10),REPT(" ",LEN(Registro!$J956))),({1,2,3,4,5,6,7,8,9,10,11,12,13,14,15,16,17,18,19,20,21,22,23,24,25,26,27,28,29,30}-1)*LEN(Registro!$J956)+1,LEN(Registro!$J956)))," ",REPT(" ",50)),50)))),"Revisar formato"))</f>
        <v/>
      </c>
      <c r="M956" s="11" t="str">
        <f>IF(AND(Registro!$H956="",Registro!$I956=""),"",IF(AND(ISTEXT(K956),K956&lt;&gt;""),"Revisar formato",N(Registro!$H956)-N(K956)))</f>
        <v/>
      </c>
      <c r="N956" s="11" t="str">
        <f t="shared" si="44"/>
        <v/>
      </c>
      <c r="O956" s="15" t="str">
        <f>IF(AND(A956=Consulta!$B$3,C956=Consulta!$H$3),B956*10000+ROW(),"")</f>
        <v/>
      </c>
    </row>
    <row r="957" spans="1:15" x14ac:dyDescent="0.25">
      <c r="A957" s="9" t="str">
        <f>IF(Registro!$A957="","",Registro!$A957)</f>
        <v/>
      </c>
      <c r="B957" s="8" t="str">
        <f>IF(Registro!$B957="","",Registro!$B957)</f>
        <v/>
      </c>
      <c r="C957" s="14" t="str">
        <f t="shared" si="42"/>
        <v/>
      </c>
      <c r="D957" s="10" t="str">
        <f>IF(Registro!$E957="","",IF(ISERROR(FIND("x",LOWER(Registro!$E957))),"-",IFERROR(SUMPRODUCT(--("0"&amp;LEFT(TRIM(MID(SUBSTITUTE(SUBSTITUTE(SUBSTITUTE(SUBSTITUTE(SUBSTITUTE(LOWER(Registro!$E957),"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",LEN(Registro!$E957))),({1,2,3,4,5,6,7,8,9,10,11,12,13,14,15,16,17,18,19,20,21,22,23,24,25,26,27,28,29,30}-1)*LEN(Registro!$E957)+1,LEN(Registro!$E957)))&amp;"x")-1))),"Revisar formato")))</f>
        <v/>
      </c>
      <c r="E957" s="11" t="str">
        <f>IF(Registro!$E957="","",IF(ISERROR(FIND("x",LOWER(Registro!$E957))),"-",IFERROR(SUMPRODUCT(--("0"&amp;LEFT(TRIM(MID(SUBSTITUTE(SUBSTITUTE(SUBSTITUTE(SUBSTITUTE(SUBSTITUTE(LOWER(Registro!$E957),"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",LEN(Registro!$E957))),({1,2,3,4,5,6,7,8,9,10,11,12,13,14,15,16,17,18,19,20,21,22,23,24,25,26,27,28,29,30}-1)*LEN(Registro!$E957)+1,LEN(Registro!$E957)))&amp;"x")-1)),--("0"&amp;MID(TRIM(MID(SUBSTITUTE(SUBSTITUTE(SUBSTITUTE(SUBSTITUTE(SUBSTITUTE(LOWER(Registro!$E957),"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",LEN(Registro!$E957))),({1,2,3,4,5,6,7,8,9,10,11,12,13,14,15,16,17,18,19,20,21,22,23,24,25,26,27,28,29,30}-1)*LEN(Registro!$E957)+1,LEN(Registro!$E957)))&amp;"x")+1,20))),"Revisar formato")))</f>
        <v/>
      </c>
      <c r="F957" s="11" t="str">
        <f>IF(Registro!$F957="","",N(Registro!$F957))</f>
        <v/>
      </c>
      <c r="G957" s="11" t="str">
        <f t="shared" si="43"/>
        <v/>
      </c>
      <c r="H957" s="10" t="str">
        <f>IF(Registro!$G957="","",IF(ISERROR(FIND("x",LOWER(Registro!$G957))),"-",IFERROR(SUMPRODUCT(--("0"&amp;LEFT(TRIM(MID(SUBSTITUTE(SUBSTITUTE(SUBSTITUTE(SUBSTITUTE(SUBSTITUTE(LOWER(Registro!$G957),"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",LEN(Registro!$G957))),({1,2,3,4,5,6,7,8,9,10,11,12,13,14,15,16,17,18,19,20,21,22,23,24,25,26,27,28,29,30}-1)*LEN(Registro!$G957)+1,LEN(Registro!$G957))),FIND("x",TRIM(MID(SUBSTITUTE(SUBSTITUTE(SUBSTITUTE(SUBSTITUTE(SUBSTITUTE(LOWER(Registro!$G957),"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",LEN(Registro!$G957))),({1,2,3,4,5,6,7,8,9,10,11,12,13,14,15,16,17,18,19,20,21,22,23,24,25,26,27,28,29,30}-1)*LEN(Registro!$G957)+1,LEN(Registro!$G957)))&amp;"x")-1))),"Revisar formato")))</f>
        <v/>
      </c>
      <c r="I957" s="11" t="str">
        <f>IF(Registro!$G957="","",IF(ISERROR(FIND("x",LOWER(Registro!$G957))),N(Registro!$H957),IFERROR(SUMPRODUCT(--("0"&amp;LEFT(TRIM(MID(SUBSTITUTE(SUBSTITUTE(SUBSTITUTE(SUBSTITUTE(SUBSTITUTE(LOWER(Registro!$G957),"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",LEN(Registro!$G957))),({1,2,3,4,5,6,7,8,9,10,11,12,13,14,15,16,17,18,19,20,21,22,23,24,25,26,27,28,29,30}-1)*LEN(Registro!$G957)+1,LEN(Registro!$G957))),FIND("x",TRIM(MID(SUBSTITUTE(SUBSTITUTE(SUBSTITUTE(SUBSTITUTE(SUBSTITUTE(LOWER(Registro!$G957),"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",LEN(Registro!$G957))),({1,2,3,4,5,6,7,8,9,10,11,12,13,14,15,16,17,18,19,20,21,22,23,24,25,26,27,28,29,30}-1)*LEN(Registro!$G957)+1,LEN(Registro!$G957)))&amp;"x")-1)),--("0"&amp;MID(TRIM(MID(SUBSTITUTE(SUBSTITUTE(SUBSTITUTE(SUBSTITUTE(SUBSTITUTE(LOWER(Registro!$G957),"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",LEN(Registro!$G957))),({1,2,3,4,5,6,7,8,9,10,11,12,13,14,15,16,17,18,19,20,21,22,23,24,25,26,27,28,29,30}-1)*LEN(Registro!$G957)+1,LEN(Registro!$G957))),FIND("x",TRIM(MID(SUBSTITUTE(SUBSTITUTE(SUBSTITUTE(SUBSTITUTE(SUBSTITUTE(LOWER(Registro!$G957),"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",LEN(Registro!$G957))),({1,2,3,4,5,6,7,8,9,10,11,12,13,14,15,16,17,18,19,20,21,22,23,24,25,26,27,28,29,30}-1)*LEN(Registro!$G957)+1,LEN(Registro!$G957)))&amp;"x")+1,20))),"Revisar formato")))</f>
        <v/>
      </c>
      <c r="J957" s="9" t="str">
        <f>IF(AND(Registro!$E957="",Registro!$G957=""),"",IF(NOT(AND(ISNUMBER(I957),ISNUMBER(Registro!$H957))),"",IF(I957&lt;Registro!$H957,"FALTA BOLETOS",IF(I957=Registro!$H957,"CONFORME","DIFERENCIA"))))</f>
        <v/>
      </c>
      <c r="K957" s="11" t="str">
        <f>IF(Registro!$I957="","",IFERROR(SUMPRODUCT(--("0"&amp;TRIM(RIGHT(SUBSTITUTE(TRIM(MID(SUBSTITUTE(SUBSTITUTE(Registro!$I957,";",CHAR(10)),CHAR(10),REPT(" ",LEN(Registro!$I957))),({1,2,3,4,5,6,7,8,9,10,11,12,13,14,15,16,17,18,19,20,21,22,23,24,25,26,27,28,29,30}-1)*LEN(Registro!$I957)+1,LEN(Registro!$I957)))," ",REPT(" ",50)),50)))),"Revisar formato"))</f>
        <v/>
      </c>
      <c r="L957" s="11" t="str">
        <f>IF(Registro!$J957="","",IFERROR(SUMPRODUCT(--("0"&amp;TRIM(RIGHT(SUBSTITUTE(TRIM(MID(SUBSTITUTE(SUBSTITUTE(Registro!$J957,";",CHAR(10)),CHAR(10),REPT(" ",LEN(Registro!$J957))),({1,2,3,4,5,6,7,8,9,10,11,12,13,14,15,16,17,18,19,20,21,22,23,24,25,26,27,28,29,30}-1)*LEN(Registro!$J957)+1,LEN(Registro!$J957)))," ",REPT(" ",50)),50)))),"Revisar formato"))</f>
        <v/>
      </c>
      <c r="M957" s="11" t="str">
        <f>IF(AND(Registro!$H957="",Registro!$I957=""),"",IF(AND(ISTEXT(K957),K957&lt;&gt;""),"Revisar formato",N(Registro!$H957)-N(K957)))</f>
        <v/>
      </c>
      <c r="N957" s="11" t="str">
        <f t="shared" si="44"/>
        <v/>
      </c>
      <c r="O957" s="15" t="str">
        <f>IF(AND(A957=Consulta!$B$3,C957=Consulta!$H$3),B957*10000+ROW(),"")</f>
        <v/>
      </c>
    </row>
    <row r="958" spans="1:15" x14ac:dyDescent="0.25">
      <c r="A958" s="9" t="str">
        <f>IF(Registro!$A958="","",Registro!$A958)</f>
        <v/>
      </c>
      <c r="B958" s="8" t="str">
        <f>IF(Registro!$B958="","",Registro!$B958)</f>
        <v/>
      </c>
      <c r="C958" s="14" t="str">
        <f t="shared" si="42"/>
        <v/>
      </c>
      <c r="D958" s="10" t="str">
        <f>IF(Registro!$E958="","",IF(ISERROR(FIND("x",LOWER(Registro!$E958))),"-",IFERROR(SUMPRODUCT(--("0"&amp;LEFT(TRIM(MID(SUBSTITUTE(SUBSTITUTE(SUBSTITUTE(SUBSTITUTE(SUBSTITUTE(LOWER(Registro!$E958),"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",LEN(Registro!$E958))),({1,2,3,4,5,6,7,8,9,10,11,12,13,14,15,16,17,18,19,20,21,22,23,24,25,26,27,28,29,30}-1)*LEN(Registro!$E958)+1,LEN(Registro!$E958)))&amp;"x")-1))),"Revisar formato")))</f>
        <v/>
      </c>
      <c r="E958" s="11" t="str">
        <f>IF(Registro!$E958="","",IF(ISERROR(FIND("x",LOWER(Registro!$E958))),"-",IFERROR(SUMPRODUCT(--("0"&amp;LEFT(TRIM(MID(SUBSTITUTE(SUBSTITUTE(SUBSTITUTE(SUBSTITUTE(SUBSTITUTE(LOWER(Registro!$E958),"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",LEN(Registro!$E958))),({1,2,3,4,5,6,7,8,9,10,11,12,13,14,15,16,17,18,19,20,21,22,23,24,25,26,27,28,29,30}-1)*LEN(Registro!$E958)+1,LEN(Registro!$E958)))&amp;"x")-1)),--("0"&amp;MID(TRIM(MID(SUBSTITUTE(SUBSTITUTE(SUBSTITUTE(SUBSTITUTE(SUBSTITUTE(LOWER(Registro!$E958),"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",LEN(Registro!$E958))),({1,2,3,4,5,6,7,8,9,10,11,12,13,14,15,16,17,18,19,20,21,22,23,24,25,26,27,28,29,30}-1)*LEN(Registro!$E958)+1,LEN(Registro!$E958)))&amp;"x")+1,20))),"Revisar formato")))</f>
        <v/>
      </c>
      <c r="F958" s="11" t="str">
        <f>IF(Registro!$F958="","",N(Registro!$F958))</f>
        <v/>
      </c>
      <c r="G958" s="11" t="str">
        <f t="shared" si="43"/>
        <v/>
      </c>
      <c r="H958" s="10" t="str">
        <f>IF(Registro!$G958="","",IF(ISERROR(FIND("x",LOWER(Registro!$G958))),"-",IFERROR(SUMPRODUCT(--("0"&amp;LEFT(TRIM(MID(SUBSTITUTE(SUBSTITUTE(SUBSTITUTE(SUBSTITUTE(SUBSTITUTE(LOWER(Registro!$G958),"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",LEN(Registro!$G958))),({1,2,3,4,5,6,7,8,9,10,11,12,13,14,15,16,17,18,19,20,21,22,23,24,25,26,27,28,29,30}-1)*LEN(Registro!$G958)+1,LEN(Registro!$G958))),FIND("x",TRIM(MID(SUBSTITUTE(SUBSTITUTE(SUBSTITUTE(SUBSTITUTE(SUBSTITUTE(LOWER(Registro!$G958),"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",LEN(Registro!$G958))),({1,2,3,4,5,6,7,8,9,10,11,12,13,14,15,16,17,18,19,20,21,22,23,24,25,26,27,28,29,30}-1)*LEN(Registro!$G958)+1,LEN(Registro!$G958)))&amp;"x")-1))),"Revisar formato")))</f>
        <v/>
      </c>
      <c r="I958" s="11" t="str">
        <f>IF(Registro!$G958="","",IF(ISERROR(FIND("x",LOWER(Registro!$G958))),N(Registro!$H958),IFERROR(SUMPRODUCT(--("0"&amp;LEFT(TRIM(MID(SUBSTITUTE(SUBSTITUTE(SUBSTITUTE(SUBSTITUTE(SUBSTITUTE(LOWER(Registro!$G958),"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",LEN(Registro!$G958))),({1,2,3,4,5,6,7,8,9,10,11,12,13,14,15,16,17,18,19,20,21,22,23,24,25,26,27,28,29,30}-1)*LEN(Registro!$G958)+1,LEN(Registro!$G958))),FIND("x",TRIM(MID(SUBSTITUTE(SUBSTITUTE(SUBSTITUTE(SUBSTITUTE(SUBSTITUTE(LOWER(Registro!$G958),"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",LEN(Registro!$G958))),({1,2,3,4,5,6,7,8,9,10,11,12,13,14,15,16,17,18,19,20,21,22,23,24,25,26,27,28,29,30}-1)*LEN(Registro!$G958)+1,LEN(Registro!$G958)))&amp;"x")-1)),--("0"&amp;MID(TRIM(MID(SUBSTITUTE(SUBSTITUTE(SUBSTITUTE(SUBSTITUTE(SUBSTITUTE(LOWER(Registro!$G958),"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",LEN(Registro!$G958))),({1,2,3,4,5,6,7,8,9,10,11,12,13,14,15,16,17,18,19,20,21,22,23,24,25,26,27,28,29,30}-1)*LEN(Registro!$G958)+1,LEN(Registro!$G958))),FIND("x",TRIM(MID(SUBSTITUTE(SUBSTITUTE(SUBSTITUTE(SUBSTITUTE(SUBSTITUTE(LOWER(Registro!$G958),"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",LEN(Registro!$G958))),({1,2,3,4,5,6,7,8,9,10,11,12,13,14,15,16,17,18,19,20,21,22,23,24,25,26,27,28,29,30}-1)*LEN(Registro!$G958)+1,LEN(Registro!$G958)))&amp;"x")+1,20))),"Revisar formato")))</f>
        <v/>
      </c>
      <c r="J958" s="9" t="str">
        <f>IF(AND(Registro!$E958="",Registro!$G958=""),"",IF(NOT(AND(ISNUMBER(I958),ISNUMBER(Registro!$H958))),"",IF(I958&lt;Registro!$H958,"FALTA BOLETOS",IF(I958=Registro!$H958,"CONFORME","DIFERENCIA"))))</f>
        <v/>
      </c>
      <c r="K958" s="11" t="str">
        <f>IF(Registro!$I958="","",IFERROR(SUMPRODUCT(--("0"&amp;TRIM(RIGHT(SUBSTITUTE(TRIM(MID(SUBSTITUTE(SUBSTITUTE(Registro!$I958,";",CHAR(10)),CHAR(10),REPT(" ",LEN(Registro!$I958))),({1,2,3,4,5,6,7,8,9,10,11,12,13,14,15,16,17,18,19,20,21,22,23,24,25,26,27,28,29,30}-1)*LEN(Registro!$I958)+1,LEN(Registro!$I958)))," ",REPT(" ",50)),50)))),"Revisar formato"))</f>
        <v/>
      </c>
      <c r="L958" s="11" t="str">
        <f>IF(Registro!$J958="","",IFERROR(SUMPRODUCT(--("0"&amp;TRIM(RIGHT(SUBSTITUTE(TRIM(MID(SUBSTITUTE(SUBSTITUTE(Registro!$J958,";",CHAR(10)),CHAR(10),REPT(" ",LEN(Registro!$J958))),({1,2,3,4,5,6,7,8,9,10,11,12,13,14,15,16,17,18,19,20,21,22,23,24,25,26,27,28,29,30}-1)*LEN(Registro!$J958)+1,LEN(Registro!$J958)))," ",REPT(" ",50)),50)))),"Revisar formato"))</f>
        <v/>
      </c>
      <c r="M958" s="11" t="str">
        <f>IF(AND(Registro!$H958="",Registro!$I958=""),"",IF(AND(ISTEXT(K958),K958&lt;&gt;""),"Revisar formato",N(Registro!$H958)-N(K958)))</f>
        <v/>
      </c>
      <c r="N958" s="11" t="str">
        <f t="shared" si="44"/>
        <v/>
      </c>
      <c r="O958" s="15" t="str">
        <f>IF(AND(A958=Consulta!$B$3,C958=Consulta!$H$3),B958*10000+ROW(),"")</f>
        <v/>
      </c>
    </row>
    <row r="959" spans="1:15" x14ac:dyDescent="0.25">
      <c r="A959" s="9" t="str">
        <f>IF(Registro!$A959="","",Registro!$A959)</f>
        <v/>
      </c>
      <c r="B959" s="8" t="str">
        <f>IF(Registro!$B959="","",Registro!$B959)</f>
        <v/>
      </c>
      <c r="C959" s="14" t="str">
        <f t="shared" si="42"/>
        <v/>
      </c>
      <c r="D959" s="10" t="str">
        <f>IF(Registro!$E959="","",IF(ISERROR(FIND("x",LOWER(Registro!$E959))),"-",IFERROR(SUMPRODUCT(--("0"&amp;LEFT(TRIM(MID(SUBSTITUTE(SUBSTITUTE(SUBSTITUTE(SUBSTITUTE(SUBSTITUTE(LOWER(Registro!$E959),"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",LEN(Registro!$E959))),({1,2,3,4,5,6,7,8,9,10,11,12,13,14,15,16,17,18,19,20,21,22,23,24,25,26,27,28,29,30}-1)*LEN(Registro!$E959)+1,LEN(Registro!$E959)))&amp;"x")-1))),"Revisar formato")))</f>
        <v/>
      </c>
      <c r="E959" s="11" t="str">
        <f>IF(Registro!$E959="","",IF(ISERROR(FIND("x",LOWER(Registro!$E959))),"-",IFERROR(SUMPRODUCT(--("0"&amp;LEFT(TRIM(MID(SUBSTITUTE(SUBSTITUTE(SUBSTITUTE(SUBSTITUTE(SUBSTITUTE(LOWER(Registro!$E959),"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",LEN(Registro!$E959))),({1,2,3,4,5,6,7,8,9,10,11,12,13,14,15,16,17,18,19,20,21,22,23,24,25,26,27,28,29,30}-1)*LEN(Registro!$E959)+1,LEN(Registro!$E959)))&amp;"x")-1)),--("0"&amp;MID(TRIM(MID(SUBSTITUTE(SUBSTITUTE(SUBSTITUTE(SUBSTITUTE(SUBSTITUTE(LOWER(Registro!$E959),"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",LEN(Registro!$E959))),({1,2,3,4,5,6,7,8,9,10,11,12,13,14,15,16,17,18,19,20,21,22,23,24,25,26,27,28,29,30}-1)*LEN(Registro!$E959)+1,LEN(Registro!$E959)))&amp;"x")+1,20))),"Revisar formato")))</f>
        <v/>
      </c>
      <c r="F959" s="11" t="str">
        <f>IF(Registro!$F959="","",N(Registro!$F959))</f>
        <v/>
      </c>
      <c r="G959" s="11" t="str">
        <f t="shared" si="43"/>
        <v/>
      </c>
      <c r="H959" s="10" t="str">
        <f>IF(Registro!$G959="","",IF(ISERROR(FIND("x",LOWER(Registro!$G959))),"-",IFERROR(SUMPRODUCT(--("0"&amp;LEFT(TRIM(MID(SUBSTITUTE(SUBSTITUTE(SUBSTITUTE(SUBSTITUTE(SUBSTITUTE(LOWER(Registro!$G959),"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",LEN(Registro!$G959))),({1,2,3,4,5,6,7,8,9,10,11,12,13,14,15,16,17,18,19,20,21,22,23,24,25,26,27,28,29,30}-1)*LEN(Registro!$G959)+1,LEN(Registro!$G959))),FIND("x",TRIM(MID(SUBSTITUTE(SUBSTITUTE(SUBSTITUTE(SUBSTITUTE(SUBSTITUTE(LOWER(Registro!$G959),"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",LEN(Registro!$G959))),({1,2,3,4,5,6,7,8,9,10,11,12,13,14,15,16,17,18,19,20,21,22,23,24,25,26,27,28,29,30}-1)*LEN(Registro!$G959)+1,LEN(Registro!$G959)))&amp;"x")-1))),"Revisar formato")))</f>
        <v/>
      </c>
      <c r="I959" s="11" t="str">
        <f>IF(Registro!$G959="","",IF(ISERROR(FIND("x",LOWER(Registro!$G959))),N(Registro!$H959),IFERROR(SUMPRODUCT(--("0"&amp;LEFT(TRIM(MID(SUBSTITUTE(SUBSTITUTE(SUBSTITUTE(SUBSTITUTE(SUBSTITUTE(LOWER(Registro!$G959),"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",LEN(Registro!$G959))),({1,2,3,4,5,6,7,8,9,10,11,12,13,14,15,16,17,18,19,20,21,22,23,24,25,26,27,28,29,30}-1)*LEN(Registro!$G959)+1,LEN(Registro!$G959))),FIND("x",TRIM(MID(SUBSTITUTE(SUBSTITUTE(SUBSTITUTE(SUBSTITUTE(SUBSTITUTE(LOWER(Registro!$G959),"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",LEN(Registro!$G959))),({1,2,3,4,5,6,7,8,9,10,11,12,13,14,15,16,17,18,19,20,21,22,23,24,25,26,27,28,29,30}-1)*LEN(Registro!$G959)+1,LEN(Registro!$G959)))&amp;"x")-1)),--("0"&amp;MID(TRIM(MID(SUBSTITUTE(SUBSTITUTE(SUBSTITUTE(SUBSTITUTE(SUBSTITUTE(LOWER(Registro!$G959),"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",LEN(Registro!$G959))),({1,2,3,4,5,6,7,8,9,10,11,12,13,14,15,16,17,18,19,20,21,22,23,24,25,26,27,28,29,30}-1)*LEN(Registro!$G959)+1,LEN(Registro!$G959))),FIND("x",TRIM(MID(SUBSTITUTE(SUBSTITUTE(SUBSTITUTE(SUBSTITUTE(SUBSTITUTE(LOWER(Registro!$G959),"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",LEN(Registro!$G959))),({1,2,3,4,5,6,7,8,9,10,11,12,13,14,15,16,17,18,19,20,21,22,23,24,25,26,27,28,29,30}-1)*LEN(Registro!$G959)+1,LEN(Registro!$G959)))&amp;"x")+1,20))),"Revisar formato")))</f>
        <v/>
      </c>
      <c r="J959" s="9" t="str">
        <f>IF(AND(Registro!$E959="",Registro!$G959=""),"",IF(NOT(AND(ISNUMBER(I959),ISNUMBER(Registro!$H959))),"",IF(I959&lt;Registro!$H959,"FALTA BOLETOS",IF(I959=Registro!$H959,"CONFORME","DIFERENCIA"))))</f>
        <v/>
      </c>
      <c r="K959" s="11" t="str">
        <f>IF(Registro!$I959="","",IFERROR(SUMPRODUCT(--("0"&amp;TRIM(RIGHT(SUBSTITUTE(TRIM(MID(SUBSTITUTE(SUBSTITUTE(Registro!$I959,";",CHAR(10)),CHAR(10),REPT(" ",LEN(Registro!$I959))),({1,2,3,4,5,6,7,8,9,10,11,12,13,14,15,16,17,18,19,20,21,22,23,24,25,26,27,28,29,30}-1)*LEN(Registro!$I959)+1,LEN(Registro!$I959)))," ",REPT(" ",50)),50)))),"Revisar formato"))</f>
        <v/>
      </c>
      <c r="L959" s="11" t="str">
        <f>IF(Registro!$J959="","",IFERROR(SUMPRODUCT(--("0"&amp;TRIM(RIGHT(SUBSTITUTE(TRIM(MID(SUBSTITUTE(SUBSTITUTE(Registro!$J959,";",CHAR(10)),CHAR(10),REPT(" ",LEN(Registro!$J959))),({1,2,3,4,5,6,7,8,9,10,11,12,13,14,15,16,17,18,19,20,21,22,23,24,25,26,27,28,29,30}-1)*LEN(Registro!$J959)+1,LEN(Registro!$J959)))," ",REPT(" ",50)),50)))),"Revisar formato"))</f>
        <v/>
      </c>
      <c r="M959" s="11" t="str">
        <f>IF(AND(Registro!$H959="",Registro!$I959=""),"",IF(AND(ISTEXT(K959),K959&lt;&gt;""),"Revisar formato",N(Registro!$H959)-N(K959)))</f>
        <v/>
      </c>
      <c r="N959" s="11" t="str">
        <f t="shared" si="44"/>
        <v/>
      </c>
      <c r="O959" s="15" t="str">
        <f>IF(AND(A959=Consulta!$B$3,C959=Consulta!$H$3),B959*10000+ROW(),"")</f>
        <v/>
      </c>
    </row>
    <row r="960" spans="1:15" x14ac:dyDescent="0.25">
      <c r="A960" s="9" t="str">
        <f>IF(Registro!$A960="","",Registro!$A960)</f>
        <v/>
      </c>
      <c r="B960" s="8" t="str">
        <f>IF(Registro!$B960="","",Registro!$B960)</f>
        <v/>
      </c>
      <c r="C960" s="14" t="str">
        <f t="shared" si="42"/>
        <v/>
      </c>
      <c r="D960" s="10" t="str">
        <f>IF(Registro!$E960="","",IF(ISERROR(FIND("x",LOWER(Registro!$E960))),"-",IFERROR(SUMPRODUCT(--("0"&amp;LEFT(TRIM(MID(SUBSTITUTE(SUBSTITUTE(SUBSTITUTE(SUBSTITUTE(SUBSTITUTE(LOWER(Registro!$E960),"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",LEN(Registro!$E960))),({1,2,3,4,5,6,7,8,9,10,11,12,13,14,15,16,17,18,19,20,21,22,23,24,25,26,27,28,29,30}-1)*LEN(Registro!$E960)+1,LEN(Registro!$E960)))&amp;"x")-1))),"Revisar formato")))</f>
        <v/>
      </c>
      <c r="E960" s="11" t="str">
        <f>IF(Registro!$E960="","",IF(ISERROR(FIND("x",LOWER(Registro!$E960))),"-",IFERROR(SUMPRODUCT(--("0"&amp;LEFT(TRIM(MID(SUBSTITUTE(SUBSTITUTE(SUBSTITUTE(SUBSTITUTE(SUBSTITUTE(LOWER(Registro!$E960),"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",LEN(Registro!$E960))),({1,2,3,4,5,6,7,8,9,10,11,12,13,14,15,16,17,18,19,20,21,22,23,24,25,26,27,28,29,30}-1)*LEN(Registro!$E960)+1,LEN(Registro!$E960)))&amp;"x")-1)),--("0"&amp;MID(TRIM(MID(SUBSTITUTE(SUBSTITUTE(SUBSTITUTE(SUBSTITUTE(SUBSTITUTE(LOWER(Registro!$E960),"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",LEN(Registro!$E960))),({1,2,3,4,5,6,7,8,9,10,11,12,13,14,15,16,17,18,19,20,21,22,23,24,25,26,27,28,29,30}-1)*LEN(Registro!$E960)+1,LEN(Registro!$E960)))&amp;"x")+1,20))),"Revisar formato")))</f>
        <v/>
      </c>
      <c r="F960" s="11" t="str">
        <f>IF(Registro!$F960="","",N(Registro!$F960))</f>
        <v/>
      </c>
      <c r="G960" s="11" t="str">
        <f t="shared" si="43"/>
        <v/>
      </c>
      <c r="H960" s="10" t="str">
        <f>IF(Registro!$G960="","",IF(ISERROR(FIND("x",LOWER(Registro!$G960))),"-",IFERROR(SUMPRODUCT(--("0"&amp;LEFT(TRIM(MID(SUBSTITUTE(SUBSTITUTE(SUBSTITUTE(SUBSTITUTE(SUBSTITUTE(LOWER(Registro!$G960),"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",LEN(Registro!$G960))),({1,2,3,4,5,6,7,8,9,10,11,12,13,14,15,16,17,18,19,20,21,22,23,24,25,26,27,28,29,30}-1)*LEN(Registro!$G960)+1,LEN(Registro!$G960))),FIND("x",TRIM(MID(SUBSTITUTE(SUBSTITUTE(SUBSTITUTE(SUBSTITUTE(SUBSTITUTE(LOWER(Registro!$G960),"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",LEN(Registro!$G960))),({1,2,3,4,5,6,7,8,9,10,11,12,13,14,15,16,17,18,19,20,21,22,23,24,25,26,27,28,29,30}-1)*LEN(Registro!$G960)+1,LEN(Registro!$G960)))&amp;"x")-1))),"Revisar formato")))</f>
        <v/>
      </c>
      <c r="I960" s="11" t="str">
        <f>IF(Registro!$G960="","",IF(ISERROR(FIND("x",LOWER(Registro!$G960))),N(Registro!$H960),IFERROR(SUMPRODUCT(--("0"&amp;LEFT(TRIM(MID(SUBSTITUTE(SUBSTITUTE(SUBSTITUTE(SUBSTITUTE(SUBSTITUTE(LOWER(Registro!$G960),"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",LEN(Registro!$G960))),({1,2,3,4,5,6,7,8,9,10,11,12,13,14,15,16,17,18,19,20,21,22,23,24,25,26,27,28,29,30}-1)*LEN(Registro!$G960)+1,LEN(Registro!$G960))),FIND("x",TRIM(MID(SUBSTITUTE(SUBSTITUTE(SUBSTITUTE(SUBSTITUTE(SUBSTITUTE(LOWER(Registro!$G960),"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",LEN(Registro!$G960))),({1,2,3,4,5,6,7,8,9,10,11,12,13,14,15,16,17,18,19,20,21,22,23,24,25,26,27,28,29,30}-1)*LEN(Registro!$G960)+1,LEN(Registro!$G960)))&amp;"x")-1)),--("0"&amp;MID(TRIM(MID(SUBSTITUTE(SUBSTITUTE(SUBSTITUTE(SUBSTITUTE(SUBSTITUTE(LOWER(Registro!$G960),"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",LEN(Registro!$G960))),({1,2,3,4,5,6,7,8,9,10,11,12,13,14,15,16,17,18,19,20,21,22,23,24,25,26,27,28,29,30}-1)*LEN(Registro!$G960)+1,LEN(Registro!$G960))),FIND("x",TRIM(MID(SUBSTITUTE(SUBSTITUTE(SUBSTITUTE(SUBSTITUTE(SUBSTITUTE(LOWER(Registro!$G960),"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",LEN(Registro!$G960))),({1,2,3,4,5,6,7,8,9,10,11,12,13,14,15,16,17,18,19,20,21,22,23,24,25,26,27,28,29,30}-1)*LEN(Registro!$G960)+1,LEN(Registro!$G960)))&amp;"x")+1,20))),"Revisar formato")))</f>
        <v/>
      </c>
      <c r="J960" s="9" t="str">
        <f>IF(AND(Registro!$E960="",Registro!$G960=""),"",IF(NOT(AND(ISNUMBER(I960),ISNUMBER(Registro!$H960))),"",IF(I960&lt;Registro!$H960,"FALTA BOLETOS",IF(I960=Registro!$H960,"CONFORME","DIFERENCIA"))))</f>
        <v/>
      </c>
      <c r="K960" s="11" t="str">
        <f>IF(Registro!$I960="","",IFERROR(SUMPRODUCT(--("0"&amp;TRIM(RIGHT(SUBSTITUTE(TRIM(MID(SUBSTITUTE(SUBSTITUTE(Registro!$I960,";",CHAR(10)),CHAR(10),REPT(" ",LEN(Registro!$I960))),({1,2,3,4,5,6,7,8,9,10,11,12,13,14,15,16,17,18,19,20,21,22,23,24,25,26,27,28,29,30}-1)*LEN(Registro!$I960)+1,LEN(Registro!$I960)))," ",REPT(" ",50)),50)))),"Revisar formato"))</f>
        <v/>
      </c>
      <c r="L960" s="11" t="str">
        <f>IF(Registro!$J960="","",IFERROR(SUMPRODUCT(--("0"&amp;TRIM(RIGHT(SUBSTITUTE(TRIM(MID(SUBSTITUTE(SUBSTITUTE(Registro!$J960,";",CHAR(10)),CHAR(10),REPT(" ",LEN(Registro!$J960))),({1,2,3,4,5,6,7,8,9,10,11,12,13,14,15,16,17,18,19,20,21,22,23,24,25,26,27,28,29,30}-1)*LEN(Registro!$J960)+1,LEN(Registro!$J960)))," ",REPT(" ",50)),50)))),"Revisar formato"))</f>
        <v/>
      </c>
      <c r="M960" s="11" t="str">
        <f>IF(AND(Registro!$H960="",Registro!$I960=""),"",IF(AND(ISTEXT(K960),K960&lt;&gt;""),"Revisar formato",N(Registro!$H960)-N(K960)))</f>
        <v/>
      </c>
      <c r="N960" s="11" t="str">
        <f t="shared" si="44"/>
        <v/>
      </c>
      <c r="O960" s="15" t="str">
        <f>IF(AND(A960=Consulta!$B$3,C960=Consulta!$H$3),B960*10000+ROW(),"")</f>
        <v/>
      </c>
    </row>
    <row r="961" spans="1:15" x14ac:dyDescent="0.25">
      <c r="A961" s="9" t="str">
        <f>IF(Registro!$A961="","",Registro!$A961)</f>
        <v/>
      </c>
      <c r="B961" s="8" t="str">
        <f>IF(Registro!$B961="","",Registro!$B961)</f>
        <v/>
      </c>
      <c r="C961" s="14" t="str">
        <f t="shared" si="42"/>
        <v/>
      </c>
      <c r="D961" s="10" t="str">
        <f>IF(Registro!$E961="","",IF(ISERROR(FIND("x",LOWER(Registro!$E961))),"-",IFERROR(SUMPRODUCT(--("0"&amp;LEFT(TRIM(MID(SUBSTITUTE(SUBSTITUTE(SUBSTITUTE(SUBSTITUTE(SUBSTITUTE(LOWER(Registro!$E961),"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",LEN(Registro!$E961))),({1,2,3,4,5,6,7,8,9,10,11,12,13,14,15,16,17,18,19,20,21,22,23,24,25,26,27,28,29,30}-1)*LEN(Registro!$E961)+1,LEN(Registro!$E961)))&amp;"x")-1))),"Revisar formato")))</f>
        <v/>
      </c>
      <c r="E961" s="11" t="str">
        <f>IF(Registro!$E961="","",IF(ISERROR(FIND("x",LOWER(Registro!$E961))),"-",IFERROR(SUMPRODUCT(--("0"&amp;LEFT(TRIM(MID(SUBSTITUTE(SUBSTITUTE(SUBSTITUTE(SUBSTITUTE(SUBSTITUTE(LOWER(Registro!$E961),"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",LEN(Registro!$E961))),({1,2,3,4,5,6,7,8,9,10,11,12,13,14,15,16,17,18,19,20,21,22,23,24,25,26,27,28,29,30}-1)*LEN(Registro!$E961)+1,LEN(Registro!$E961)))&amp;"x")-1)),--("0"&amp;MID(TRIM(MID(SUBSTITUTE(SUBSTITUTE(SUBSTITUTE(SUBSTITUTE(SUBSTITUTE(LOWER(Registro!$E961),"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",LEN(Registro!$E961))),({1,2,3,4,5,6,7,8,9,10,11,12,13,14,15,16,17,18,19,20,21,22,23,24,25,26,27,28,29,30}-1)*LEN(Registro!$E961)+1,LEN(Registro!$E961)))&amp;"x")+1,20))),"Revisar formato")))</f>
        <v/>
      </c>
      <c r="F961" s="11" t="str">
        <f>IF(Registro!$F961="","",N(Registro!$F961))</f>
        <v/>
      </c>
      <c r="G961" s="11" t="str">
        <f t="shared" si="43"/>
        <v/>
      </c>
      <c r="H961" s="10" t="str">
        <f>IF(Registro!$G961="","",IF(ISERROR(FIND("x",LOWER(Registro!$G961))),"-",IFERROR(SUMPRODUCT(--("0"&amp;LEFT(TRIM(MID(SUBSTITUTE(SUBSTITUTE(SUBSTITUTE(SUBSTITUTE(SUBSTITUTE(LOWER(Registro!$G961),"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",LEN(Registro!$G961))),({1,2,3,4,5,6,7,8,9,10,11,12,13,14,15,16,17,18,19,20,21,22,23,24,25,26,27,28,29,30}-1)*LEN(Registro!$G961)+1,LEN(Registro!$G961))),FIND("x",TRIM(MID(SUBSTITUTE(SUBSTITUTE(SUBSTITUTE(SUBSTITUTE(SUBSTITUTE(LOWER(Registro!$G961),"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",LEN(Registro!$G961))),({1,2,3,4,5,6,7,8,9,10,11,12,13,14,15,16,17,18,19,20,21,22,23,24,25,26,27,28,29,30}-1)*LEN(Registro!$G961)+1,LEN(Registro!$G961)))&amp;"x")-1))),"Revisar formato")))</f>
        <v/>
      </c>
      <c r="I961" s="11" t="str">
        <f>IF(Registro!$G961="","",IF(ISERROR(FIND("x",LOWER(Registro!$G961))),N(Registro!$H961),IFERROR(SUMPRODUCT(--("0"&amp;LEFT(TRIM(MID(SUBSTITUTE(SUBSTITUTE(SUBSTITUTE(SUBSTITUTE(SUBSTITUTE(LOWER(Registro!$G961),"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",LEN(Registro!$G961))),({1,2,3,4,5,6,7,8,9,10,11,12,13,14,15,16,17,18,19,20,21,22,23,24,25,26,27,28,29,30}-1)*LEN(Registro!$G961)+1,LEN(Registro!$G961))),FIND("x",TRIM(MID(SUBSTITUTE(SUBSTITUTE(SUBSTITUTE(SUBSTITUTE(SUBSTITUTE(LOWER(Registro!$G961),"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",LEN(Registro!$G961))),({1,2,3,4,5,6,7,8,9,10,11,12,13,14,15,16,17,18,19,20,21,22,23,24,25,26,27,28,29,30}-1)*LEN(Registro!$G961)+1,LEN(Registro!$G961)))&amp;"x")-1)),--("0"&amp;MID(TRIM(MID(SUBSTITUTE(SUBSTITUTE(SUBSTITUTE(SUBSTITUTE(SUBSTITUTE(LOWER(Registro!$G961),"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",LEN(Registro!$G961))),({1,2,3,4,5,6,7,8,9,10,11,12,13,14,15,16,17,18,19,20,21,22,23,24,25,26,27,28,29,30}-1)*LEN(Registro!$G961)+1,LEN(Registro!$G961))),FIND("x",TRIM(MID(SUBSTITUTE(SUBSTITUTE(SUBSTITUTE(SUBSTITUTE(SUBSTITUTE(LOWER(Registro!$G961),"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",LEN(Registro!$G961))),({1,2,3,4,5,6,7,8,9,10,11,12,13,14,15,16,17,18,19,20,21,22,23,24,25,26,27,28,29,30}-1)*LEN(Registro!$G961)+1,LEN(Registro!$G961)))&amp;"x")+1,20))),"Revisar formato")))</f>
        <v/>
      </c>
      <c r="J961" s="9" t="str">
        <f>IF(AND(Registro!$E961="",Registro!$G961=""),"",IF(NOT(AND(ISNUMBER(I961),ISNUMBER(Registro!$H961))),"",IF(I961&lt;Registro!$H961,"FALTA BOLETOS",IF(I961=Registro!$H961,"CONFORME","DIFERENCIA"))))</f>
        <v/>
      </c>
      <c r="K961" s="11" t="str">
        <f>IF(Registro!$I961="","",IFERROR(SUMPRODUCT(--("0"&amp;TRIM(RIGHT(SUBSTITUTE(TRIM(MID(SUBSTITUTE(SUBSTITUTE(Registro!$I961,";",CHAR(10)),CHAR(10),REPT(" ",LEN(Registro!$I961))),({1,2,3,4,5,6,7,8,9,10,11,12,13,14,15,16,17,18,19,20,21,22,23,24,25,26,27,28,29,30}-1)*LEN(Registro!$I961)+1,LEN(Registro!$I961)))," ",REPT(" ",50)),50)))),"Revisar formato"))</f>
        <v/>
      </c>
      <c r="L961" s="11" t="str">
        <f>IF(Registro!$J961="","",IFERROR(SUMPRODUCT(--("0"&amp;TRIM(RIGHT(SUBSTITUTE(TRIM(MID(SUBSTITUTE(SUBSTITUTE(Registro!$J961,";",CHAR(10)),CHAR(10),REPT(" ",LEN(Registro!$J961))),({1,2,3,4,5,6,7,8,9,10,11,12,13,14,15,16,17,18,19,20,21,22,23,24,25,26,27,28,29,30}-1)*LEN(Registro!$J961)+1,LEN(Registro!$J961)))," ",REPT(" ",50)),50)))),"Revisar formato"))</f>
        <v/>
      </c>
      <c r="M961" s="11" t="str">
        <f>IF(AND(Registro!$H961="",Registro!$I961=""),"",IF(AND(ISTEXT(K961),K961&lt;&gt;""),"Revisar formato",N(Registro!$H961)-N(K961)))</f>
        <v/>
      </c>
      <c r="N961" s="11" t="str">
        <f t="shared" si="44"/>
        <v/>
      </c>
      <c r="O961" s="15" t="str">
        <f>IF(AND(A961=Consulta!$B$3,C961=Consulta!$H$3),B961*10000+ROW(),"")</f>
        <v/>
      </c>
    </row>
    <row r="962" spans="1:15" x14ac:dyDescent="0.25">
      <c r="A962" s="9" t="str">
        <f>IF(Registro!$A962="","",Registro!$A962)</f>
        <v/>
      </c>
      <c r="B962" s="8" t="str">
        <f>IF(Registro!$B962="","",Registro!$B962)</f>
        <v/>
      </c>
      <c r="C962" s="14" t="str">
        <f t="shared" ref="C962:C1001" si="45">IF(ISNUMBER(B962),YEAR(B962)*100+MONTH(B962),"")</f>
        <v/>
      </c>
      <c r="D962" s="10" t="str">
        <f>IF(Registro!$E962="","",IF(ISERROR(FIND("x",LOWER(Registro!$E962))),"-",IFERROR(SUMPRODUCT(--("0"&amp;LEFT(TRIM(MID(SUBSTITUTE(SUBSTITUTE(SUBSTITUTE(SUBSTITUTE(SUBSTITUTE(LOWER(Registro!$E962),"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",LEN(Registro!$E962))),({1,2,3,4,5,6,7,8,9,10,11,12,13,14,15,16,17,18,19,20,21,22,23,24,25,26,27,28,29,30}-1)*LEN(Registro!$E962)+1,LEN(Registro!$E962)))&amp;"x")-1))),"Revisar formato")))</f>
        <v/>
      </c>
      <c r="E962" s="11" t="str">
        <f>IF(Registro!$E962="","",IF(ISERROR(FIND("x",LOWER(Registro!$E962))),"-",IFERROR(SUMPRODUCT(--("0"&amp;LEFT(TRIM(MID(SUBSTITUTE(SUBSTITUTE(SUBSTITUTE(SUBSTITUTE(SUBSTITUTE(LOWER(Registro!$E962),"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",LEN(Registro!$E962))),({1,2,3,4,5,6,7,8,9,10,11,12,13,14,15,16,17,18,19,20,21,22,23,24,25,26,27,28,29,30}-1)*LEN(Registro!$E962)+1,LEN(Registro!$E962)))&amp;"x")-1)),--("0"&amp;MID(TRIM(MID(SUBSTITUTE(SUBSTITUTE(SUBSTITUTE(SUBSTITUTE(SUBSTITUTE(LOWER(Registro!$E962),"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",LEN(Registro!$E962))),({1,2,3,4,5,6,7,8,9,10,11,12,13,14,15,16,17,18,19,20,21,22,23,24,25,26,27,28,29,30}-1)*LEN(Registro!$E962)+1,LEN(Registro!$E962)))&amp;"x")+1,20))),"Revisar formato")))</f>
        <v/>
      </c>
      <c r="F962" s="11" t="str">
        <f>IF(Registro!$F962="","",N(Registro!$F962))</f>
        <v/>
      </c>
      <c r="G962" s="11" t="str">
        <f t="shared" ref="G962:G1001" si="46">IF(AND(E962="",F962=""),"",IF(OR(E962="",ISNUMBER(E962)),N(E962)-N(F962),E962))</f>
        <v/>
      </c>
      <c r="H962" s="10" t="str">
        <f>IF(Registro!$G962="","",IF(ISERROR(FIND("x",LOWER(Registro!$G962))),"-",IFERROR(SUMPRODUCT(--("0"&amp;LEFT(TRIM(MID(SUBSTITUTE(SUBSTITUTE(SUBSTITUTE(SUBSTITUTE(SUBSTITUTE(LOWER(Registro!$G962),"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",LEN(Registro!$G962))),({1,2,3,4,5,6,7,8,9,10,11,12,13,14,15,16,17,18,19,20,21,22,23,24,25,26,27,28,29,30}-1)*LEN(Registro!$G962)+1,LEN(Registro!$G962))),FIND("x",TRIM(MID(SUBSTITUTE(SUBSTITUTE(SUBSTITUTE(SUBSTITUTE(SUBSTITUTE(LOWER(Registro!$G962),"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",LEN(Registro!$G962))),({1,2,3,4,5,6,7,8,9,10,11,12,13,14,15,16,17,18,19,20,21,22,23,24,25,26,27,28,29,30}-1)*LEN(Registro!$G962)+1,LEN(Registro!$G962)))&amp;"x")-1))),"Revisar formato")))</f>
        <v/>
      </c>
      <c r="I962" s="11" t="str">
        <f>IF(Registro!$G962="","",IF(ISERROR(FIND("x",LOWER(Registro!$G962))),N(Registro!$H962),IFERROR(SUMPRODUCT(--("0"&amp;LEFT(TRIM(MID(SUBSTITUTE(SUBSTITUTE(SUBSTITUTE(SUBSTITUTE(SUBSTITUTE(LOWER(Registro!$G962),"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",LEN(Registro!$G962))),({1,2,3,4,5,6,7,8,9,10,11,12,13,14,15,16,17,18,19,20,21,22,23,24,25,26,27,28,29,30}-1)*LEN(Registro!$G962)+1,LEN(Registro!$G962))),FIND("x",TRIM(MID(SUBSTITUTE(SUBSTITUTE(SUBSTITUTE(SUBSTITUTE(SUBSTITUTE(LOWER(Registro!$G962),"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",LEN(Registro!$G962))),({1,2,3,4,5,6,7,8,9,10,11,12,13,14,15,16,17,18,19,20,21,22,23,24,25,26,27,28,29,30}-1)*LEN(Registro!$G962)+1,LEN(Registro!$G962)))&amp;"x")-1)),--("0"&amp;MID(TRIM(MID(SUBSTITUTE(SUBSTITUTE(SUBSTITUTE(SUBSTITUTE(SUBSTITUTE(LOWER(Registro!$G962),"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",LEN(Registro!$G962))),({1,2,3,4,5,6,7,8,9,10,11,12,13,14,15,16,17,18,19,20,21,22,23,24,25,26,27,28,29,30}-1)*LEN(Registro!$G962)+1,LEN(Registro!$G962))),FIND("x",TRIM(MID(SUBSTITUTE(SUBSTITUTE(SUBSTITUTE(SUBSTITUTE(SUBSTITUTE(LOWER(Registro!$G962),"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",LEN(Registro!$G962))),({1,2,3,4,5,6,7,8,9,10,11,12,13,14,15,16,17,18,19,20,21,22,23,24,25,26,27,28,29,30}-1)*LEN(Registro!$G962)+1,LEN(Registro!$G962)))&amp;"x")+1,20))),"Revisar formato")))</f>
        <v/>
      </c>
      <c r="J962" s="9" t="str">
        <f>IF(AND(Registro!$E962="",Registro!$G962=""),"",IF(NOT(AND(ISNUMBER(I962),ISNUMBER(Registro!$H962))),"",IF(I962&lt;Registro!$H962,"FALTA BOLETOS",IF(I962=Registro!$H962,"CONFORME","DIFERENCIA"))))</f>
        <v/>
      </c>
      <c r="K962" s="11" t="str">
        <f>IF(Registro!$I962="","",IFERROR(SUMPRODUCT(--("0"&amp;TRIM(RIGHT(SUBSTITUTE(TRIM(MID(SUBSTITUTE(SUBSTITUTE(Registro!$I962,";",CHAR(10)),CHAR(10),REPT(" ",LEN(Registro!$I962))),({1,2,3,4,5,6,7,8,9,10,11,12,13,14,15,16,17,18,19,20,21,22,23,24,25,26,27,28,29,30}-1)*LEN(Registro!$I962)+1,LEN(Registro!$I962)))," ",REPT(" ",50)),50)))),"Revisar formato"))</f>
        <v/>
      </c>
      <c r="L962" s="11" t="str">
        <f>IF(Registro!$J962="","",IFERROR(SUMPRODUCT(--("0"&amp;TRIM(RIGHT(SUBSTITUTE(TRIM(MID(SUBSTITUTE(SUBSTITUTE(Registro!$J962,";",CHAR(10)),CHAR(10),REPT(" ",LEN(Registro!$J962))),({1,2,3,4,5,6,7,8,9,10,11,12,13,14,15,16,17,18,19,20,21,22,23,24,25,26,27,28,29,30}-1)*LEN(Registro!$J962)+1,LEN(Registro!$J962)))," ",REPT(" ",50)),50)))),"Revisar formato"))</f>
        <v/>
      </c>
      <c r="M962" s="11" t="str">
        <f>IF(AND(Registro!$H962="",Registro!$I962=""),"",IF(AND(ISTEXT(K962),K962&lt;&gt;""),"Revisar formato",N(Registro!$H962)-N(K962)))</f>
        <v/>
      </c>
      <c r="N962" s="11" t="str">
        <f t="shared" ref="N962:N1001" si="47">IF(M962="","",IF(OR(M962="Revisar formato",AND(ISTEXT(L962),L962&lt;&gt;"")),"Revisar formato",M962-N(L962)))</f>
        <v/>
      </c>
      <c r="O962" s="15" t="str">
        <f>IF(AND(A962=Consulta!$B$3,C962=Consulta!$H$3),B962*10000+ROW(),"")</f>
        <v/>
      </c>
    </row>
    <row r="963" spans="1:15" x14ac:dyDescent="0.25">
      <c r="A963" s="9" t="str">
        <f>IF(Registro!$A963="","",Registro!$A963)</f>
        <v/>
      </c>
      <c r="B963" s="8" t="str">
        <f>IF(Registro!$B963="","",Registro!$B963)</f>
        <v/>
      </c>
      <c r="C963" s="14" t="str">
        <f t="shared" si="45"/>
        <v/>
      </c>
      <c r="D963" s="10" t="str">
        <f>IF(Registro!$E963="","",IF(ISERROR(FIND("x",LOWER(Registro!$E963))),"-",IFERROR(SUMPRODUCT(--("0"&amp;LEFT(TRIM(MID(SUBSTITUTE(SUBSTITUTE(SUBSTITUTE(SUBSTITUTE(SUBSTITUTE(LOWER(Registro!$E963),"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",LEN(Registro!$E963))),({1,2,3,4,5,6,7,8,9,10,11,12,13,14,15,16,17,18,19,20,21,22,23,24,25,26,27,28,29,30}-1)*LEN(Registro!$E963)+1,LEN(Registro!$E963)))&amp;"x")-1))),"Revisar formato")))</f>
        <v/>
      </c>
      <c r="E963" s="11" t="str">
        <f>IF(Registro!$E963="","",IF(ISERROR(FIND("x",LOWER(Registro!$E963))),"-",IFERROR(SUMPRODUCT(--("0"&amp;LEFT(TRIM(MID(SUBSTITUTE(SUBSTITUTE(SUBSTITUTE(SUBSTITUTE(SUBSTITUTE(LOWER(Registro!$E963),"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",LEN(Registro!$E963))),({1,2,3,4,5,6,7,8,9,10,11,12,13,14,15,16,17,18,19,20,21,22,23,24,25,26,27,28,29,30}-1)*LEN(Registro!$E963)+1,LEN(Registro!$E963)))&amp;"x")-1)),--("0"&amp;MID(TRIM(MID(SUBSTITUTE(SUBSTITUTE(SUBSTITUTE(SUBSTITUTE(SUBSTITUTE(LOWER(Registro!$E963),"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",LEN(Registro!$E963))),({1,2,3,4,5,6,7,8,9,10,11,12,13,14,15,16,17,18,19,20,21,22,23,24,25,26,27,28,29,30}-1)*LEN(Registro!$E963)+1,LEN(Registro!$E963)))&amp;"x")+1,20))),"Revisar formato")))</f>
        <v/>
      </c>
      <c r="F963" s="11" t="str">
        <f>IF(Registro!$F963="","",N(Registro!$F963))</f>
        <v/>
      </c>
      <c r="G963" s="11" t="str">
        <f t="shared" si="46"/>
        <v/>
      </c>
      <c r="H963" s="10" t="str">
        <f>IF(Registro!$G963="","",IF(ISERROR(FIND("x",LOWER(Registro!$G963))),"-",IFERROR(SUMPRODUCT(--("0"&amp;LEFT(TRIM(MID(SUBSTITUTE(SUBSTITUTE(SUBSTITUTE(SUBSTITUTE(SUBSTITUTE(LOWER(Registro!$G963),"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",LEN(Registro!$G963))),({1,2,3,4,5,6,7,8,9,10,11,12,13,14,15,16,17,18,19,20,21,22,23,24,25,26,27,28,29,30}-1)*LEN(Registro!$G963)+1,LEN(Registro!$G963))),FIND("x",TRIM(MID(SUBSTITUTE(SUBSTITUTE(SUBSTITUTE(SUBSTITUTE(SUBSTITUTE(LOWER(Registro!$G963),"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",LEN(Registro!$G963))),({1,2,3,4,5,6,7,8,9,10,11,12,13,14,15,16,17,18,19,20,21,22,23,24,25,26,27,28,29,30}-1)*LEN(Registro!$G963)+1,LEN(Registro!$G963)))&amp;"x")-1))),"Revisar formato")))</f>
        <v/>
      </c>
      <c r="I963" s="11" t="str">
        <f>IF(Registro!$G963="","",IF(ISERROR(FIND("x",LOWER(Registro!$G963))),N(Registro!$H963),IFERROR(SUMPRODUCT(--("0"&amp;LEFT(TRIM(MID(SUBSTITUTE(SUBSTITUTE(SUBSTITUTE(SUBSTITUTE(SUBSTITUTE(LOWER(Registro!$G963),"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",LEN(Registro!$G963))),({1,2,3,4,5,6,7,8,9,10,11,12,13,14,15,16,17,18,19,20,21,22,23,24,25,26,27,28,29,30}-1)*LEN(Registro!$G963)+1,LEN(Registro!$G963))),FIND("x",TRIM(MID(SUBSTITUTE(SUBSTITUTE(SUBSTITUTE(SUBSTITUTE(SUBSTITUTE(LOWER(Registro!$G963),"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",LEN(Registro!$G963))),({1,2,3,4,5,6,7,8,9,10,11,12,13,14,15,16,17,18,19,20,21,22,23,24,25,26,27,28,29,30}-1)*LEN(Registro!$G963)+1,LEN(Registro!$G963)))&amp;"x")-1)),--("0"&amp;MID(TRIM(MID(SUBSTITUTE(SUBSTITUTE(SUBSTITUTE(SUBSTITUTE(SUBSTITUTE(LOWER(Registro!$G963),"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",LEN(Registro!$G963))),({1,2,3,4,5,6,7,8,9,10,11,12,13,14,15,16,17,18,19,20,21,22,23,24,25,26,27,28,29,30}-1)*LEN(Registro!$G963)+1,LEN(Registro!$G963))),FIND("x",TRIM(MID(SUBSTITUTE(SUBSTITUTE(SUBSTITUTE(SUBSTITUTE(SUBSTITUTE(LOWER(Registro!$G963),"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",LEN(Registro!$G963))),({1,2,3,4,5,6,7,8,9,10,11,12,13,14,15,16,17,18,19,20,21,22,23,24,25,26,27,28,29,30}-1)*LEN(Registro!$G963)+1,LEN(Registro!$G963)))&amp;"x")+1,20))),"Revisar formato")))</f>
        <v/>
      </c>
      <c r="J963" s="9" t="str">
        <f>IF(AND(Registro!$E963="",Registro!$G963=""),"",IF(NOT(AND(ISNUMBER(I963),ISNUMBER(Registro!$H963))),"",IF(I963&lt;Registro!$H963,"FALTA BOLETOS",IF(I963=Registro!$H963,"CONFORME","DIFERENCIA"))))</f>
        <v/>
      </c>
      <c r="K963" s="11" t="str">
        <f>IF(Registro!$I963="","",IFERROR(SUMPRODUCT(--("0"&amp;TRIM(RIGHT(SUBSTITUTE(TRIM(MID(SUBSTITUTE(SUBSTITUTE(Registro!$I963,";",CHAR(10)),CHAR(10),REPT(" ",LEN(Registro!$I963))),({1,2,3,4,5,6,7,8,9,10,11,12,13,14,15,16,17,18,19,20,21,22,23,24,25,26,27,28,29,30}-1)*LEN(Registro!$I963)+1,LEN(Registro!$I963)))," ",REPT(" ",50)),50)))),"Revisar formato"))</f>
        <v/>
      </c>
      <c r="L963" s="11" t="str">
        <f>IF(Registro!$J963="","",IFERROR(SUMPRODUCT(--("0"&amp;TRIM(RIGHT(SUBSTITUTE(TRIM(MID(SUBSTITUTE(SUBSTITUTE(Registro!$J963,";",CHAR(10)),CHAR(10),REPT(" ",LEN(Registro!$J963))),({1,2,3,4,5,6,7,8,9,10,11,12,13,14,15,16,17,18,19,20,21,22,23,24,25,26,27,28,29,30}-1)*LEN(Registro!$J963)+1,LEN(Registro!$J963)))," ",REPT(" ",50)),50)))),"Revisar formato"))</f>
        <v/>
      </c>
      <c r="M963" s="11" t="str">
        <f>IF(AND(Registro!$H963="",Registro!$I963=""),"",IF(AND(ISTEXT(K963),K963&lt;&gt;""),"Revisar formato",N(Registro!$H963)-N(K963)))</f>
        <v/>
      </c>
      <c r="N963" s="11" t="str">
        <f t="shared" si="47"/>
        <v/>
      </c>
      <c r="O963" s="15" t="str">
        <f>IF(AND(A963=Consulta!$B$3,C963=Consulta!$H$3),B963*10000+ROW(),"")</f>
        <v/>
      </c>
    </row>
    <row r="964" spans="1:15" x14ac:dyDescent="0.25">
      <c r="A964" s="9" t="str">
        <f>IF(Registro!$A964="","",Registro!$A964)</f>
        <v/>
      </c>
      <c r="B964" s="8" t="str">
        <f>IF(Registro!$B964="","",Registro!$B964)</f>
        <v/>
      </c>
      <c r="C964" s="14" t="str">
        <f t="shared" si="45"/>
        <v/>
      </c>
      <c r="D964" s="10" t="str">
        <f>IF(Registro!$E964="","",IF(ISERROR(FIND("x",LOWER(Registro!$E964))),"-",IFERROR(SUMPRODUCT(--("0"&amp;LEFT(TRIM(MID(SUBSTITUTE(SUBSTITUTE(SUBSTITUTE(SUBSTITUTE(SUBSTITUTE(LOWER(Registro!$E964),"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",LEN(Registro!$E964))),({1,2,3,4,5,6,7,8,9,10,11,12,13,14,15,16,17,18,19,20,21,22,23,24,25,26,27,28,29,30}-1)*LEN(Registro!$E964)+1,LEN(Registro!$E964)))&amp;"x")-1))),"Revisar formato")))</f>
        <v/>
      </c>
      <c r="E964" s="11" t="str">
        <f>IF(Registro!$E964="","",IF(ISERROR(FIND("x",LOWER(Registro!$E964))),"-",IFERROR(SUMPRODUCT(--("0"&amp;LEFT(TRIM(MID(SUBSTITUTE(SUBSTITUTE(SUBSTITUTE(SUBSTITUTE(SUBSTITUTE(LOWER(Registro!$E964),"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",LEN(Registro!$E964))),({1,2,3,4,5,6,7,8,9,10,11,12,13,14,15,16,17,18,19,20,21,22,23,24,25,26,27,28,29,30}-1)*LEN(Registro!$E964)+1,LEN(Registro!$E964)))&amp;"x")-1)),--("0"&amp;MID(TRIM(MID(SUBSTITUTE(SUBSTITUTE(SUBSTITUTE(SUBSTITUTE(SUBSTITUTE(LOWER(Registro!$E964),"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",LEN(Registro!$E964))),({1,2,3,4,5,6,7,8,9,10,11,12,13,14,15,16,17,18,19,20,21,22,23,24,25,26,27,28,29,30}-1)*LEN(Registro!$E964)+1,LEN(Registro!$E964)))&amp;"x")+1,20))),"Revisar formato")))</f>
        <v/>
      </c>
      <c r="F964" s="11" t="str">
        <f>IF(Registro!$F964="","",N(Registro!$F964))</f>
        <v/>
      </c>
      <c r="G964" s="11" t="str">
        <f t="shared" si="46"/>
        <v/>
      </c>
      <c r="H964" s="10" t="str">
        <f>IF(Registro!$G964="","",IF(ISERROR(FIND("x",LOWER(Registro!$G964))),"-",IFERROR(SUMPRODUCT(--("0"&amp;LEFT(TRIM(MID(SUBSTITUTE(SUBSTITUTE(SUBSTITUTE(SUBSTITUTE(SUBSTITUTE(LOWER(Registro!$G964),"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",LEN(Registro!$G964))),({1,2,3,4,5,6,7,8,9,10,11,12,13,14,15,16,17,18,19,20,21,22,23,24,25,26,27,28,29,30}-1)*LEN(Registro!$G964)+1,LEN(Registro!$G964))),FIND("x",TRIM(MID(SUBSTITUTE(SUBSTITUTE(SUBSTITUTE(SUBSTITUTE(SUBSTITUTE(LOWER(Registro!$G964),"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",LEN(Registro!$G964))),({1,2,3,4,5,6,7,8,9,10,11,12,13,14,15,16,17,18,19,20,21,22,23,24,25,26,27,28,29,30}-1)*LEN(Registro!$G964)+1,LEN(Registro!$G964)))&amp;"x")-1))),"Revisar formato")))</f>
        <v/>
      </c>
      <c r="I964" s="11" t="str">
        <f>IF(Registro!$G964="","",IF(ISERROR(FIND("x",LOWER(Registro!$G964))),N(Registro!$H964),IFERROR(SUMPRODUCT(--("0"&amp;LEFT(TRIM(MID(SUBSTITUTE(SUBSTITUTE(SUBSTITUTE(SUBSTITUTE(SUBSTITUTE(LOWER(Registro!$G964),"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",LEN(Registro!$G964))),({1,2,3,4,5,6,7,8,9,10,11,12,13,14,15,16,17,18,19,20,21,22,23,24,25,26,27,28,29,30}-1)*LEN(Registro!$G964)+1,LEN(Registro!$G964))),FIND("x",TRIM(MID(SUBSTITUTE(SUBSTITUTE(SUBSTITUTE(SUBSTITUTE(SUBSTITUTE(LOWER(Registro!$G964),"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",LEN(Registro!$G964))),({1,2,3,4,5,6,7,8,9,10,11,12,13,14,15,16,17,18,19,20,21,22,23,24,25,26,27,28,29,30}-1)*LEN(Registro!$G964)+1,LEN(Registro!$G964)))&amp;"x")-1)),--("0"&amp;MID(TRIM(MID(SUBSTITUTE(SUBSTITUTE(SUBSTITUTE(SUBSTITUTE(SUBSTITUTE(LOWER(Registro!$G964),"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",LEN(Registro!$G964))),({1,2,3,4,5,6,7,8,9,10,11,12,13,14,15,16,17,18,19,20,21,22,23,24,25,26,27,28,29,30}-1)*LEN(Registro!$G964)+1,LEN(Registro!$G964))),FIND("x",TRIM(MID(SUBSTITUTE(SUBSTITUTE(SUBSTITUTE(SUBSTITUTE(SUBSTITUTE(LOWER(Registro!$G964),"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",LEN(Registro!$G964))),({1,2,3,4,5,6,7,8,9,10,11,12,13,14,15,16,17,18,19,20,21,22,23,24,25,26,27,28,29,30}-1)*LEN(Registro!$G964)+1,LEN(Registro!$G964)))&amp;"x")+1,20))),"Revisar formato")))</f>
        <v/>
      </c>
      <c r="J964" s="9" t="str">
        <f>IF(AND(Registro!$E964="",Registro!$G964=""),"",IF(NOT(AND(ISNUMBER(I964),ISNUMBER(Registro!$H964))),"",IF(I964&lt;Registro!$H964,"FALTA BOLETOS",IF(I964=Registro!$H964,"CONFORME","DIFERENCIA"))))</f>
        <v/>
      </c>
      <c r="K964" s="11" t="str">
        <f>IF(Registro!$I964="","",IFERROR(SUMPRODUCT(--("0"&amp;TRIM(RIGHT(SUBSTITUTE(TRIM(MID(SUBSTITUTE(SUBSTITUTE(Registro!$I964,";",CHAR(10)),CHAR(10),REPT(" ",LEN(Registro!$I964))),({1,2,3,4,5,6,7,8,9,10,11,12,13,14,15,16,17,18,19,20,21,22,23,24,25,26,27,28,29,30}-1)*LEN(Registro!$I964)+1,LEN(Registro!$I964)))," ",REPT(" ",50)),50)))),"Revisar formato"))</f>
        <v/>
      </c>
      <c r="L964" s="11" t="str">
        <f>IF(Registro!$J964="","",IFERROR(SUMPRODUCT(--("0"&amp;TRIM(RIGHT(SUBSTITUTE(TRIM(MID(SUBSTITUTE(SUBSTITUTE(Registro!$J964,";",CHAR(10)),CHAR(10),REPT(" ",LEN(Registro!$J964))),({1,2,3,4,5,6,7,8,9,10,11,12,13,14,15,16,17,18,19,20,21,22,23,24,25,26,27,28,29,30}-1)*LEN(Registro!$J964)+1,LEN(Registro!$J964)))," ",REPT(" ",50)),50)))),"Revisar formato"))</f>
        <v/>
      </c>
      <c r="M964" s="11" t="str">
        <f>IF(AND(Registro!$H964="",Registro!$I964=""),"",IF(AND(ISTEXT(K964),K964&lt;&gt;""),"Revisar formato",N(Registro!$H964)-N(K964)))</f>
        <v/>
      </c>
      <c r="N964" s="11" t="str">
        <f t="shared" si="47"/>
        <v/>
      </c>
      <c r="O964" s="15" t="str">
        <f>IF(AND(A964=Consulta!$B$3,C964=Consulta!$H$3),B964*10000+ROW(),"")</f>
        <v/>
      </c>
    </row>
    <row r="965" spans="1:15" x14ac:dyDescent="0.25">
      <c r="A965" s="9" t="str">
        <f>IF(Registro!$A965="","",Registro!$A965)</f>
        <v/>
      </c>
      <c r="B965" s="8" t="str">
        <f>IF(Registro!$B965="","",Registro!$B965)</f>
        <v/>
      </c>
      <c r="C965" s="14" t="str">
        <f t="shared" si="45"/>
        <v/>
      </c>
      <c r="D965" s="10" t="str">
        <f>IF(Registro!$E965="","",IF(ISERROR(FIND("x",LOWER(Registro!$E965))),"-",IFERROR(SUMPRODUCT(--("0"&amp;LEFT(TRIM(MID(SUBSTITUTE(SUBSTITUTE(SUBSTITUTE(SUBSTITUTE(SUBSTITUTE(LOWER(Registro!$E965),"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",LEN(Registro!$E965))),({1,2,3,4,5,6,7,8,9,10,11,12,13,14,15,16,17,18,19,20,21,22,23,24,25,26,27,28,29,30}-1)*LEN(Registro!$E965)+1,LEN(Registro!$E965)))&amp;"x")-1))),"Revisar formato")))</f>
        <v/>
      </c>
      <c r="E965" s="11" t="str">
        <f>IF(Registro!$E965="","",IF(ISERROR(FIND("x",LOWER(Registro!$E965))),"-",IFERROR(SUMPRODUCT(--("0"&amp;LEFT(TRIM(MID(SUBSTITUTE(SUBSTITUTE(SUBSTITUTE(SUBSTITUTE(SUBSTITUTE(LOWER(Registro!$E965),"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",LEN(Registro!$E965))),({1,2,3,4,5,6,7,8,9,10,11,12,13,14,15,16,17,18,19,20,21,22,23,24,25,26,27,28,29,30}-1)*LEN(Registro!$E965)+1,LEN(Registro!$E965)))&amp;"x")-1)),--("0"&amp;MID(TRIM(MID(SUBSTITUTE(SUBSTITUTE(SUBSTITUTE(SUBSTITUTE(SUBSTITUTE(LOWER(Registro!$E965),"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",LEN(Registro!$E965))),({1,2,3,4,5,6,7,8,9,10,11,12,13,14,15,16,17,18,19,20,21,22,23,24,25,26,27,28,29,30}-1)*LEN(Registro!$E965)+1,LEN(Registro!$E965)))&amp;"x")+1,20))),"Revisar formato")))</f>
        <v/>
      </c>
      <c r="F965" s="11" t="str">
        <f>IF(Registro!$F965="","",N(Registro!$F965))</f>
        <v/>
      </c>
      <c r="G965" s="11" t="str">
        <f t="shared" si="46"/>
        <v/>
      </c>
      <c r="H965" s="10" t="str">
        <f>IF(Registro!$G965="","",IF(ISERROR(FIND("x",LOWER(Registro!$G965))),"-",IFERROR(SUMPRODUCT(--("0"&amp;LEFT(TRIM(MID(SUBSTITUTE(SUBSTITUTE(SUBSTITUTE(SUBSTITUTE(SUBSTITUTE(LOWER(Registro!$G965),"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",LEN(Registro!$G965))),({1,2,3,4,5,6,7,8,9,10,11,12,13,14,15,16,17,18,19,20,21,22,23,24,25,26,27,28,29,30}-1)*LEN(Registro!$G965)+1,LEN(Registro!$G965))),FIND("x",TRIM(MID(SUBSTITUTE(SUBSTITUTE(SUBSTITUTE(SUBSTITUTE(SUBSTITUTE(LOWER(Registro!$G965),"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",LEN(Registro!$G965))),({1,2,3,4,5,6,7,8,9,10,11,12,13,14,15,16,17,18,19,20,21,22,23,24,25,26,27,28,29,30}-1)*LEN(Registro!$G965)+1,LEN(Registro!$G965)))&amp;"x")-1))),"Revisar formato")))</f>
        <v/>
      </c>
      <c r="I965" s="11" t="str">
        <f>IF(Registro!$G965="","",IF(ISERROR(FIND("x",LOWER(Registro!$G965))),N(Registro!$H965),IFERROR(SUMPRODUCT(--("0"&amp;LEFT(TRIM(MID(SUBSTITUTE(SUBSTITUTE(SUBSTITUTE(SUBSTITUTE(SUBSTITUTE(LOWER(Registro!$G965),"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",LEN(Registro!$G965))),({1,2,3,4,5,6,7,8,9,10,11,12,13,14,15,16,17,18,19,20,21,22,23,24,25,26,27,28,29,30}-1)*LEN(Registro!$G965)+1,LEN(Registro!$G965))),FIND("x",TRIM(MID(SUBSTITUTE(SUBSTITUTE(SUBSTITUTE(SUBSTITUTE(SUBSTITUTE(LOWER(Registro!$G965),"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",LEN(Registro!$G965))),({1,2,3,4,5,6,7,8,9,10,11,12,13,14,15,16,17,18,19,20,21,22,23,24,25,26,27,28,29,30}-1)*LEN(Registro!$G965)+1,LEN(Registro!$G965)))&amp;"x")-1)),--("0"&amp;MID(TRIM(MID(SUBSTITUTE(SUBSTITUTE(SUBSTITUTE(SUBSTITUTE(SUBSTITUTE(LOWER(Registro!$G965),"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",LEN(Registro!$G965))),({1,2,3,4,5,6,7,8,9,10,11,12,13,14,15,16,17,18,19,20,21,22,23,24,25,26,27,28,29,30}-1)*LEN(Registro!$G965)+1,LEN(Registro!$G965))),FIND("x",TRIM(MID(SUBSTITUTE(SUBSTITUTE(SUBSTITUTE(SUBSTITUTE(SUBSTITUTE(LOWER(Registro!$G965),"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",LEN(Registro!$G965))),({1,2,3,4,5,6,7,8,9,10,11,12,13,14,15,16,17,18,19,20,21,22,23,24,25,26,27,28,29,30}-1)*LEN(Registro!$G965)+1,LEN(Registro!$G965)))&amp;"x")+1,20))),"Revisar formato")))</f>
        <v/>
      </c>
      <c r="J965" s="9" t="str">
        <f>IF(AND(Registro!$E965="",Registro!$G965=""),"",IF(NOT(AND(ISNUMBER(I965),ISNUMBER(Registro!$H965))),"",IF(I965&lt;Registro!$H965,"FALTA BOLETOS",IF(I965=Registro!$H965,"CONFORME","DIFERENCIA"))))</f>
        <v/>
      </c>
      <c r="K965" s="11" t="str">
        <f>IF(Registro!$I965="","",IFERROR(SUMPRODUCT(--("0"&amp;TRIM(RIGHT(SUBSTITUTE(TRIM(MID(SUBSTITUTE(SUBSTITUTE(Registro!$I965,";",CHAR(10)),CHAR(10),REPT(" ",LEN(Registro!$I965))),({1,2,3,4,5,6,7,8,9,10,11,12,13,14,15,16,17,18,19,20,21,22,23,24,25,26,27,28,29,30}-1)*LEN(Registro!$I965)+1,LEN(Registro!$I965)))," ",REPT(" ",50)),50)))),"Revisar formato"))</f>
        <v/>
      </c>
      <c r="L965" s="11" t="str">
        <f>IF(Registro!$J965="","",IFERROR(SUMPRODUCT(--("0"&amp;TRIM(RIGHT(SUBSTITUTE(TRIM(MID(SUBSTITUTE(SUBSTITUTE(Registro!$J965,";",CHAR(10)),CHAR(10),REPT(" ",LEN(Registro!$J965))),({1,2,3,4,5,6,7,8,9,10,11,12,13,14,15,16,17,18,19,20,21,22,23,24,25,26,27,28,29,30}-1)*LEN(Registro!$J965)+1,LEN(Registro!$J965)))," ",REPT(" ",50)),50)))),"Revisar formato"))</f>
        <v/>
      </c>
      <c r="M965" s="11" t="str">
        <f>IF(AND(Registro!$H965="",Registro!$I965=""),"",IF(AND(ISTEXT(K965),K965&lt;&gt;""),"Revisar formato",N(Registro!$H965)-N(K965)))</f>
        <v/>
      </c>
      <c r="N965" s="11" t="str">
        <f t="shared" si="47"/>
        <v/>
      </c>
      <c r="O965" s="15" t="str">
        <f>IF(AND(A965=Consulta!$B$3,C965=Consulta!$H$3),B965*10000+ROW(),"")</f>
        <v/>
      </c>
    </row>
    <row r="966" spans="1:15" x14ac:dyDescent="0.25">
      <c r="A966" s="9" t="str">
        <f>IF(Registro!$A966="","",Registro!$A966)</f>
        <v/>
      </c>
      <c r="B966" s="8" t="str">
        <f>IF(Registro!$B966="","",Registro!$B966)</f>
        <v/>
      </c>
      <c r="C966" s="14" t="str">
        <f t="shared" si="45"/>
        <v/>
      </c>
      <c r="D966" s="10" t="str">
        <f>IF(Registro!$E966="","",IF(ISERROR(FIND("x",LOWER(Registro!$E966))),"-",IFERROR(SUMPRODUCT(--("0"&amp;LEFT(TRIM(MID(SUBSTITUTE(SUBSTITUTE(SUBSTITUTE(SUBSTITUTE(SUBSTITUTE(LOWER(Registro!$E966),"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",LEN(Registro!$E966))),({1,2,3,4,5,6,7,8,9,10,11,12,13,14,15,16,17,18,19,20,21,22,23,24,25,26,27,28,29,30}-1)*LEN(Registro!$E966)+1,LEN(Registro!$E966)))&amp;"x")-1))),"Revisar formato")))</f>
        <v/>
      </c>
      <c r="E966" s="11" t="str">
        <f>IF(Registro!$E966="","",IF(ISERROR(FIND("x",LOWER(Registro!$E966))),"-",IFERROR(SUMPRODUCT(--("0"&amp;LEFT(TRIM(MID(SUBSTITUTE(SUBSTITUTE(SUBSTITUTE(SUBSTITUTE(SUBSTITUTE(LOWER(Registro!$E966),"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",LEN(Registro!$E966))),({1,2,3,4,5,6,7,8,9,10,11,12,13,14,15,16,17,18,19,20,21,22,23,24,25,26,27,28,29,30}-1)*LEN(Registro!$E966)+1,LEN(Registro!$E966)))&amp;"x")-1)),--("0"&amp;MID(TRIM(MID(SUBSTITUTE(SUBSTITUTE(SUBSTITUTE(SUBSTITUTE(SUBSTITUTE(LOWER(Registro!$E966),"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",LEN(Registro!$E966))),({1,2,3,4,5,6,7,8,9,10,11,12,13,14,15,16,17,18,19,20,21,22,23,24,25,26,27,28,29,30}-1)*LEN(Registro!$E966)+1,LEN(Registro!$E966)))&amp;"x")+1,20))),"Revisar formato")))</f>
        <v/>
      </c>
      <c r="F966" s="11" t="str">
        <f>IF(Registro!$F966="","",N(Registro!$F966))</f>
        <v/>
      </c>
      <c r="G966" s="11" t="str">
        <f t="shared" si="46"/>
        <v/>
      </c>
      <c r="H966" s="10" t="str">
        <f>IF(Registro!$G966="","",IF(ISERROR(FIND("x",LOWER(Registro!$G966))),"-",IFERROR(SUMPRODUCT(--("0"&amp;LEFT(TRIM(MID(SUBSTITUTE(SUBSTITUTE(SUBSTITUTE(SUBSTITUTE(SUBSTITUTE(LOWER(Registro!$G966),"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",LEN(Registro!$G966))),({1,2,3,4,5,6,7,8,9,10,11,12,13,14,15,16,17,18,19,20,21,22,23,24,25,26,27,28,29,30}-1)*LEN(Registro!$G966)+1,LEN(Registro!$G966))),FIND("x",TRIM(MID(SUBSTITUTE(SUBSTITUTE(SUBSTITUTE(SUBSTITUTE(SUBSTITUTE(LOWER(Registro!$G966),"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",LEN(Registro!$G966))),({1,2,3,4,5,6,7,8,9,10,11,12,13,14,15,16,17,18,19,20,21,22,23,24,25,26,27,28,29,30}-1)*LEN(Registro!$G966)+1,LEN(Registro!$G966)))&amp;"x")-1))),"Revisar formato")))</f>
        <v/>
      </c>
      <c r="I966" s="11" t="str">
        <f>IF(Registro!$G966="","",IF(ISERROR(FIND("x",LOWER(Registro!$G966))),N(Registro!$H966),IFERROR(SUMPRODUCT(--("0"&amp;LEFT(TRIM(MID(SUBSTITUTE(SUBSTITUTE(SUBSTITUTE(SUBSTITUTE(SUBSTITUTE(LOWER(Registro!$G966),"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",LEN(Registro!$G966))),({1,2,3,4,5,6,7,8,9,10,11,12,13,14,15,16,17,18,19,20,21,22,23,24,25,26,27,28,29,30}-1)*LEN(Registro!$G966)+1,LEN(Registro!$G966))),FIND("x",TRIM(MID(SUBSTITUTE(SUBSTITUTE(SUBSTITUTE(SUBSTITUTE(SUBSTITUTE(LOWER(Registro!$G966),"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",LEN(Registro!$G966))),({1,2,3,4,5,6,7,8,9,10,11,12,13,14,15,16,17,18,19,20,21,22,23,24,25,26,27,28,29,30}-1)*LEN(Registro!$G966)+1,LEN(Registro!$G966)))&amp;"x")-1)),--("0"&amp;MID(TRIM(MID(SUBSTITUTE(SUBSTITUTE(SUBSTITUTE(SUBSTITUTE(SUBSTITUTE(LOWER(Registro!$G966),"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",LEN(Registro!$G966))),({1,2,3,4,5,6,7,8,9,10,11,12,13,14,15,16,17,18,19,20,21,22,23,24,25,26,27,28,29,30}-1)*LEN(Registro!$G966)+1,LEN(Registro!$G966))),FIND("x",TRIM(MID(SUBSTITUTE(SUBSTITUTE(SUBSTITUTE(SUBSTITUTE(SUBSTITUTE(LOWER(Registro!$G966),"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",LEN(Registro!$G966))),({1,2,3,4,5,6,7,8,9,10,11,12,13,14,15,16,17,18,19,20,21,22,23,24,25,26,27,28,29,30}-1)*LEN(Registro!$G966)+1,LEN(Registro!$G966)))&amp;"x")+1,20))),"Revisar formato")))</f>
        <v/>
      </c>
      <c r="J966" s="9" t="str">
        <f>IF(AND(Registro!$E966="",Registro!$G966=""),"",IF(NOT(AND(ISNUMBER(I966),ISNUMBER(Registro!$H966))),"",IF(I966&lt;Registro!$H966,"FALTA BOLETOS",IF(I966=Registro!$H966,"CONFORME","DIFERENCIA"))))</f>
        <v/>
      </c>
      <c r="K966" s="11" t="str">
        <f>IF(Registro!$I966="","",IFERROR(SUMPRODUCT(--("0"&amp;TRIM(RIGHT(SUBSTITUTE(TRIM(MID(SUBSTITUTE(SUBSTITUTE(Registro!$I966,";",CHAR(10)),CHAR(10),REPT(" ",LEN(Registro!$I966))),({1,2,3,4,5,6,7,8,9,10,11,12,13,14,15,16,17,18,19,20,21,22,23,24,25,26,27,28,29,30}-1)*LEN(Registro!$I966)+1,LEN(Registro!$I966)))," ",REPT(" ",50)),50)))),"Revisar formato"))</f>
        <v/>
      </c>
      <c r="L966" s="11" t="str">
        <f>IF(Registro!$J966="","",IFERROR(SUMPRODUCT(--("0"&amp;TRIM(RIGHT(SUBSTITUTE(TRIM(MID(SUBSTITUTE(SUBSTITUTE(Registro!$J966,";",CHAR(10)),CHAR(10),REPT(" ",LEN(Registro!$J966))),({1,2,3,4,5,6,7,8,9,10,11,12,13,14,15,16,17,18,19,20,21,22,23,24,25,26,27,28,29,30}-1)*LEN(Registro!$J966)+1,LEN(Registro!$J966)))," ",REPT(" ",50)),50)))),"Revisar formato"))</f>
        <v/>
      </c>
      <c r="M966" s="11" t="str">
        <f>IF(AND(Registro!$H966="",Registro!$I966=""),"",IF(AND(ISTEXT(K966),K966&lt;&gt;""),"Revisar formato",N(Registro!$H966)-N(K966)))</f>
        <v/>
      </c>
      <c r="N966" s="11" t="str">
        <f t="shared" si="47"/>
        <v/>
      </c>
      <c r="O966" s="15" t="str">
        <f>IF(AND(A966=Consulta!$B$3,C966=Consulta!$H$3),B966*10000+ROW(),"")</f>
        <v/>
      </c>
    </row>
    <row r="967" spans="1:15" x14ac:dyDescent="0.25">
      <c r="A967" s="9" t="str">
        <f>IF(Registro!$A967="","",Registro!$A967)</f>
        <v/>
      </c>
      <c r="B967" s="8" t="str">
        <f>IF(Registro!$B967="","",Registro!$B967)</f>
        <v/>
      </c>
      <c r="C967" s="14" t="str">
        <f t="shared" si="45"/>
        <v/>
      </c>
      <c r="D967" s="10" t="str">
        <f>IF(Registro!$E967="","",IF(ISERROR(FIND("x",LOWER(Registro!$E967))),"-",IFERROR(SUMPRODUCT(--("0"&amp;LEFT(TRIM(MID(SUBSTITUTE(SUBSTITUTE(SUBSTITUTE(SUBSTITUTE(SUBSTITUTE(LOWER(Registro!$E967),"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",LEN(Registro!$E967))),({1,2,3,4,5,6,7,8,9,10,11,12,13,14,15,16,17,18,19,20,21,22,23,24,25,26,27,28,29,30}-1)*LEN(Registro!$E967)+1,LEN(Registro!$E967)))&amp;"x")-1))),"Revisar formato")))</f>
        <v/>
      </c>
      <c r="E967" s="11" t="str">
        <f>IF(Registro!$E967="","",IF(ISERROR(FIND("x",LOWER(Registro!$E967))),"-",IFERROR(SUMPRODUCT(--("0"&amp;LEFT(TRIM(MID(SUBSTITUTE(SUBSTITUTE(SUBSTITUTE(SUBSTITUTE(SUBSTITUTE(LOWER(Registro!$E967),"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",LEN(Registro!$E967))),({1,2,3,4,5,6,7,8,9,10,11,12,13,14,15,16,17,18,19,20,21,22,23,24,25,26,27,28,29,30}-1)*LEN(Registro!$E967)+1,LEN(Registro!$E967)))&amp;"x")-1)),--("0"&amp;MID(TRIM(MID(SUBSTITUTE(SUBSTITUTE(SUBSTITUTE(SUBSTITUTE(SUBSTITUTE(LOWER(Registro!$E967),"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",LEN(Registro!$E967))),({1,2,3,4,5,6,7,8,9,10,11,12,13,14,15,16,17,18,19,20,21,22,23,24,25,26,27,28,29,30}-1)*LEN(Registro!$E967)+1,LEN(Registro!$E967)))&amp;"x")+1,20))),"Revisar formato")))</f>
        <v/>
      </c>
      <c r="F967" s="11" t="str">
        <f>IF(Registro!$F967="","",N(Registro!$F967))</f>
        <v/>
      </c>
      <c r="G967" s="11" t="str">
        <f t="shared" si="46"/>
        <v/>
      </c>
      <c r="H967" s="10" t="str">
        <f>IF(Registro!$G967="","",IF(ISERROR(FIND("x",LOWER(Registro!$G967))),"-",IFERROR(SUMPRODUCT(--("0"&amp;LEFT(TRIM(MID(SUBSTITUTE(SUBSTITUTE(SUBSTITUTE(SUBSTITUTE(SUBSTITUTE(LOWER(Registro!$G967),"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",LEN(Registro!$G967))),({1,2,3,4,5,6,7,8,9,10,11,12,13,14,15,16,17,18,19,20,21,22,23,24,25,26,27,28,29,30}-1)*LEN(Registro!$G967)+1,LEN(Registro!$G967))),FIND("x",TRIM(MID(SUBSTITUTE(SUBSTITUTE(SUBSTITUTE(SUBSTITUTE(SUBSTITUTE(LOWER(Registro!$G967),"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",LEN(Registro!$G967))),({1,2,3,4,5,6,7,8,9,10,11,12,13,14,15,16,17,18,19,20,21,22,23,24,25,26,27,28,29,30}-1)*LEN(Registro!$G967)+1,LEN(Registro!$G967)))&amp;"x")-1))),"Revisar formato")))</f>
        <v/>
      </c>
      <c r="I967" s="11" t="str">
        <f>IF(Registro!$G967="","",IF(ISERROR(FIND("x",LOWER(Registro!$G967))),N(Registro!$H967),IFERROR(SUMPRODUCT(--("0"&amp;LEFT(TRIM(MID(SUBSTITUTE(SUBSTITUTE(SUBSTITUTE(SUBSTITUTE(SUBSTITUTE(LOWER(Registro!$G967),"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",LEN(Registro!$G967))),({1,2,3,4,5,6,7,8,9,10,11,12,13,14,15,16,17,18,19,20,21,22,23,24,25,26,27,28,29,30}-1)*LEN(Registro!$G967)+1,LEN(Registro!$G967))),FIND("x",TRIM(MID(SUBSTITUTE(SUBSTITUTE(SUBSTITUTE(SUBSTITUTE(SUBSTITUTE(LOWER(Registro!$G967),"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",LEN(Registro!$G967))),({1,2,3,4,5,6,7,8,9,10,11,12,13,14,15,16,17,18,19,20,21,22,23,24,25,26,27,28,29,30}-1)*LEN(Registro!$G967)+1,LEN(Registro!$G967)))&amp;"x")-1)),--("0"&amp;MID(TRIM(MID(SUBSTITUTE(SUBSTITUTE(SUBSTITUTE(SUBSTITUTE(SUBSTITUTE(LOWER(Registro!$G967),"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",LEN(Registro!$G967))),({1,2,3,4,5,6,7,8,9,10,11,12,13,14,15,16,17,18,19,20,21,22,23,24,25,26,27,28,29,30}-1)*LEN(Registro!$G967)+1,LEN(Registro!$G967))),FIND("x",TRIM(MID(SUBSTITUTE(SUBSTITUTE(SUBSTITUTE(SUBSTITUTE(SUBSTITUTE(LOWER(Registro!$G967),"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",LEN(Registro!$G967))),({1,2,3,4,5,6,7,8,9,10,11,12,13,14,15,16,17,18,19,20,21,22,23,24,25,26,27,28,29,30}-1)*LEN(Registro!$G967)+1,LEN(Registro!$G967)))&amp;"x")+1,20))),"Revisar formato")))</f>
        <v/>
      </c>
      <c r="J967" s="9" t="str">
        <f>IF(AND(Registro!$E967="",Registro!$G967=""),"",IF(NOT(AND(ISNUMBER(I967),ISNUMBER(Registro!$H967))),"",IF(I967&lt;Registro!$H967,"FALTA BOLETOS",IF(I967=Registro!$H967,"CONFORME","DIFERENCIA"))))</f>
        <v/>
      </c>
      <c r="K967" s="11" t="str">
        <f>IF(Registro!$I967="","",IFERROR(SUMPRODUCT(--("0"&amp;TRIM(RIGHT(SUBSTITUTE(TRIM(MID(SUBSTITUTE(SUBSTITUTE(Registro!$I967,";",CHAR(10)),CHAR(10),REPT(" ",LEN(Registro!$I967))),({1,2,3,4,5,6,7,8,9,10,11,12,13,14,15,16,17,18,19,20,21,22,23,24,25,26,27,28,29,30}-1)*LEN(Registro!$I967)+1,LEN(Registro!$I967)))," ",REPT(" ",50)),50)))),"Revisar formato"))</f>
        <v/>
      </c>
      <c r="L967" s="11" t="str">
        <f>IF(Registro!$J967="","",IFERROR(SUMPRODUCT(--("0"&amp;TRIM(RIGHT(SUBSTITUTE(TRIM(MID(SUBSTITUTE(SUBSTITUTE(Registro!$J967,";",CHAR(10)),CHAR(10),REPT(" ",LEN(Registro!$J967))),({1,2,3,4,5,6,7,8,9,10,11,12,13,14,15,16,17,18,19,20,21,22,23,24,25,26,27,28,29,30}-1)*LEN(Registro!$J967)+1,LEN(Registro!$J967)))," ",REPT(" ",50)),50)))),"Revisar formato"))</f>
        <v/>
      </c>
      <c r="M967" s="11" t="str">
        <f>IF(AND(Registro!$H967="",Registro!$I967=""),"",IF(AND(ISTEXT(K967),K967&lt;&gt;""),"Revisar formato",N(Registro!$H967)-N(K967)))</f>
        <v/>
      </c>
      <c r="N967" s="11" t="str">
        <f t="shared" si="47"/>
        <v/>
      </c>
      <c r="O967" s="15" t="str">
        <f>IF(AND(A967=Consulta!$B$3,C967=Consulta!$H$3),B967*10000+ROW(),"")</f>
        <v/>
      </c>
    </row>
    <row r="968" spans="1:15" x14ac:dyDescent="0.25">
      <c r="A968" s="9" t="str">
        <f>IF(Registro!$A968="","",Registro!$A968)</f>
        <v/>
      </c>
      <c r="B968" s="8" t="str">
        <f>IF(Registro!$B968="","",Registro!$B968)</f>
        <v/>
      </c>
      <c r="C968" s="14" t="str">
        <f t="shared" si="45"/>
        <v/>
      </c>
      <c r="D968" s="10" t="str">
        <f>IF(Registro!$E968="","",IF(ISERROR(FIND("x",LOWER(Registro!$E968))),"-",IFERROR(SUMPRODUCT(--("0"&amp;LEFT(TRIM(MID(SUBSTITUTE(SUBSTITUTE(SUBSTITUTE(SUBSTITUTE(SUBSTITUTE(LOWER(Registro!$E968),"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",LEN(Registro!$E968))),({1,2,3,4,5,6,7,8,9,10,11,12,13,14,15,16,17,18,19,20,21,22,23,24,25,26,27,28,29,30}-1)*LEN(Registro!$E968)+1,LEN(Registro!$E968)))&amp;"x")-1))),"Revisar formato")))</f>
        <v/>
      </c>
      <c r="E968" s="11" t="str">
        <f>IF(Registro!$E968="","",IF(ISERROR(FIND("x",LOWER(Registro!$E968))),"-",IFERROR(SUMPRODUCT(--("0"&amp;LEFT(TRIM(MID(SUBSTITUTE(SUBSTITUTE(SUBSTITUTE(SUBSTITUTE(SUBSTITUTE(LOWER(Registro!$E968),"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",LEN(Registro!$E968))),({1,2,3,4,5,6,7,8,9,10,11,12,13,14,15,16,17,18,19,20,21,22,23,24,25,26,27,28,29,30}-1)*LEN(Registro!$E968)+1,LEN(Registro!$E968)))&amp;"x")-1)),--("0"&amp;MID(TRIM(MID(SUBSTITUTE(SUBSTITUTE(SUBSTITUTE(SUBSTITUTE(SUBSTITUTE(LOWER(Registro!$E968),"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",LEN(Registro!$E968))),({1,2,3,4,5,6,7,8,9,10,11,12,13,14,15,16,17,18,19,20,21,22,23,24,25,26,27,28,29,30}-1)*LEN(Registro!$E968)+1,LEN(Registro!$E968)))&amp;"x")+1,20))),"Revisar formato")))</f>
        <v/>
      </c>
      <c r="F968" s="11" t="str">
        <f>IF(Registro!$F968="","",N(Registro!$F968))</f>
        <v/>
      </c>
      <c r="G968" s="11" t="str">
        <f t="shared" si="46"/>
        <v/>
      </c>
      <c r="H968" s="10" t="str">
        <f>IF(Registro!$G968="","",IF(ISERROR(FIND("x",LOWER(Registro!$G968))),"-",IFERROR(SUMPRODUCT(--("0"&amp;LEFT(TRIM(MID(SUBSTITUTE(SUBSTITUTE(SUBSTITUTE(SUBSTITUTE(SUBSTITUTE(LOWER(Registro!$G968),"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",LEN(Registro!$G968))),({1,2,3,4,5,6,7,8,9,10,11,12,13,14,15,16,17,18,19,20,21,22,23,24,25,26,27,28,29,30}-1)*LEN(Registro!$G968)+1,LEN(Registro!$G968))),FIND("x",TRIM(MID(SUBSTITUTE(SUBSTITUTE(SUBSTITUTE(SUBSTITUTE(SUBSTITUTE(LOWER(Registro!$G968),"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",LEN(Registro!$G968))),({1,2,3,4,5,6,7,8,9,10,11,12,13,14,15,16,17,18,19,20,21,22,23,24,25,26,27,28,29,30}-1)*LEN(Registro!$G968)+1,LEN(Registro!$G968)))&amp;"x")-1))),"Revisar formato")))</f>
        <v/>
      </c>
      <c r="I968" s="11" t="str">
        <f>IF(Registro!$G968="","",IF(ISERROR(FIND("x",LOWER(Registro!$G968))),N(Registro!$H968),IFERROR(SUMPRODUCT(--("0"&amp;LEFT(TRIM(MID(SUBSTITUTE(SUBSTITUTE(SUBSTITUTE(SUBSTITUTE(SUBSTITUTE(LOWER(Registro!$G968),"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",LEN(Registro!$G968))),({1,2,3,4,5,6,7,8,9,10,11,12,13,14,15,16,17,18,19,20,21,22,23,24,25,26,27,28,29,30}-1)*LEN(Registro!$G968)+1,LEN(Registro!$G968))),FIND("x",TRIM(MID(SUBSTITUTE(SUBSTITUTE(SUBSTITUTE(SUBSTITUTE(SUBSTITUTE(LOWER(Registro!$G968),"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",LEN(Registro!$G968))),({1,2,3,4,5,6,7,8,9,10,11,12,13,14,15,16,17,18,19,20,21,22,23,24,25,26,27,28,29,30}-1)*LEN(Registro!$G968)+1,LEN(Registro!$G968)))&amp;"x")-1)),--("0"&amp;MID(TRIM(MID(SUBSTITUTE(SUBSTITUTE(SUBSTITUTE(SUBSTITUTE(SUBSTITUTE(LOWER(Registro!$G968),"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",LEN(Registro!$G968))),({1,2,3,4,5,6,7,8,9,10,11,12,13,14,15,16,17,18,19,20,21,22,23,24,25,26,27,28,29,30}-1)*LEN(Registro!$G968)+1,LEN(Registro!$G968))),FIND("x",TRIM(MID(SUBSTITUTE(SUBSTITUTE(SUBSTITUTE(SUBSTITUTE(SUBSTITUTE(LOWER(Registro!$G968),"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",LEN(Registro!$G968))),({1,2,3,4,5,6,7,8,9,10,11,12,13,14,15,16,17,18,19,20,21,22,23,24,25,26,27,28,29,30}-1)*LEN(Registro!$G968)+1,LEN(Registro!$G968)))&amp;"x")+1,20))),"Revisar formato")))</f>
        <v/>
      </c>
      <c r="J968" s="9" t="str">
        <f>IF(AND(Registro!$E968="",Registro!$G968=""),"",IF(NOT(AND(ISNUMBER(I968),ISNUMBER(Registro!$H968))),"",IF(I968&lt;Registro!$H968,"FALTA BOLETOS",IF(I968=Registro!$H968,"CONFORME","DIFERENCIA"))))</f>
        <v/>
      </c>
      <c r="K968" s="11" t="str">
        <f>IF(Registro!$I968="","",IFERROR(SUMPRODUCT(--("0"&amp;TRIM(RIGHT(SUBSTITUTE(TRIM(MID(SUBSTITUTE(SUBSTITUTE(Registro!$I968,";",CHAR(10)),CHAR(10),REPT(" ",LEN(Registro!$I968))),({1,2,3,4,5,6,7,8,9,10,11,12,13,14,15,16,17,18,19,20,21,22,23,24,25,26,27,28,29,30}-1)*LEN(Registro!$I968)+1,LEN(Registro!$I968)))," ",REPT(" ",50)),50)))),"Revisar formato"))</f>
        <v/>
      </c>
      <c r="L968" s="11" t="str">
        <f>IF(Registro!$J968="","",IFERROR(SUMPRODUCT(--("0"&amp;TRIM(RIGHT(SUBSTITUTE(TRIM(MID(SUBSTITUTE(SUBSTITUTE(Registro!$J968,";",CHAR(10)),CHAR(10),REPT(" ",LEN(Registro!$J968))),({1,2,3,4,5,6,7,8,9,10,11,12,13,14,15,16,17,18,19,20,21,22,23,24,25,26,27,28,29,30}-1)*LEN(Registro!$J968)+1,LEN(Registro!$J968)))," ",REPT(" ",50)),50)))),"Revisar formato"))</f>
        <v/>
      </c>
      <c r="M968" s="11" t="str">
        <f>IF(AND(Registro!$H968="",Registro!$I968=""),"",IF(AND(ISTEXT(K968),K968&lt;&gt;""),"Revisar formato",N(Registro!$H968)-N(K968)))</f>
        <v/>
      </c>
      <c r="N968" s="11" t="str">
        <f t="shared" si="47"/>
        <v/>
      </c>
      <c r="O968" s="15" t="str">
        <f>IF(AND(A968=Consulta!$B$3,C968=Consulta!$H$3),B968*10000+ROW(),"")</f>
        <v/>
      </c>
    </row>
    <row r="969" spans="1:15" x14ac:dyDescent="0.25">
      <c r="A969" s="9" t="str">
        <f>IF(Registro!$A969="","",Registro!$A969)</f>
        <v/>
      </c>
      <c r="B969" s="8" t="str">
        <f>IF(Registro!$B969="","",Registro!$B969)</f>
        <v/>
      </c>
      <c r="C969" s="14" t="str">
        <f t="shared" si="45"/>
        <v/>
      </c>
      <c r="D969" s="10" t="str">
        <f>IF(Registro!$E969="","",IF(ISERROR(FIND("x",LOWER(Registro!$E969))),"-",IFERROR(SUMPRODUCT(--("0"&amp;LEFT(TRIM(MID(SUBSTITUTE(SUBSTITUTE(SUBSTITUTE(SUBSTITUTE(SUBSTITUTE(LOWER(Registro!$E969),"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",LEN(Registro!$E969))),({1,2,3,4,5,6,7,8,9,10,11,12,13,14,15,16,17,18,19,20,21,22,23,24,25,26,27,28,29,30}-1)*LEN(Registro!$E969)+1,LEN(Registro!$E969)))&amp;"x")-1))),"Revisar formato")))</f>
        <v/>
      </c>
      <c r="E969" s="11" t="str">
        <f>IF(Registro!$E969="","",IF(ISERROR(FIND("x",LOWER(Registro!$E969))),"-",IFERROR(SUMPRODUCT(--("0"&amp;LEFT(TRIM(MID(SUBSTITUTE(SUBSTITUTE(SUBSTITUTE(SUBSTITUTE(SUBSTITUTE(LOWER(Registro!$E969),"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",LEN(Registro!$E969))),({1,2,3,4,5,6,7,8,9,10,11,12,13,14,15,16,17,18,19,20,21,22,23,24,25,26,27,28,29,30}-1)*LEN(Registro!$E969)+1,LEN(Registro!$E969)))&amp;"x")-1)),--("0"&amp;MID(TRIM(MID(SUBSTITUTE(SUBSTITUTE(SUBSTITUTE(SUBSTITUTE(SUBSTITUTE(LOWER(Registro!$E969),"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",LEN(Registro!$E969))),({1,2,3,4,5,6,7,8,9,10,11,12,13,14,15,16,17,18,19,20,21,22,23,24,25,26,27,28,29,30}-1)*LEN(Registro!$E969)+1,LEN(Registro!$E969)))&amp;"x")+1,20))),"Revisar formato")))</f>
        <v/>
      </c>
      <c r="F969" s="11" t="str">
        <f>IF(Registro!$F969="","",N(Registro!$F969))</f>
        <v/>
      </c>
      <c r="G969" s="11" t="str">
        <f t="shared" si="46"/>
        <v/>
      </c>
      <c r="H969" s="10" t="str">
        <f>IF(Registro!$G969="","",IF(ISERROR(FIND("x",LOWER(Registro!$G969))),"-",IFERROR(SUMPRODUCT(--("0"&amp;LEFT(TRIM(MID(SUBSTITUTE(SUBSTITUTE(SUBSTITUTE(SUBSTITUTE(SUBSTITUTE(LOWER(Registro!$G969),"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",LEN(Registro!$G969))),({1,2,3,4,5,6,7,8,9,10,11,12,13,14,15,16,17,18,19,20,21,22,23,24,25,26,27,28,29,30}-1)*LEN(Registro!$G969)+1,LEN(Registro!$G969))),FIND("x",TRIM(MID(SUBSTITUTE(SUBSTITUTE(SUBSTITUTE(SUBSTITUTE(SUBSTITUTE(LOWER(Registro!$G969),"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",LEN(Registro!$G969))),({1,2,3,4,5,6,7,8,9,10,11,12,13,14,15,16,17,18,19,20,21,22,23,24,25,26,27,28,29,30}-1)*LEN(Registro!$G969)+1,LEN(Registro!$G969)))&amp;"x")-1))),"Revisar formato")))</f>
        <v/>
      </c>
      <c r="I969" s="11" t="str">
        <f>IF(Registro!$G969="","",IF(ISERROR(FIND("x",LOWER(Registro!$G969))),N(Registro!$H969),IFERROR(SUMPRODUCT(--("0"&amp;LEFT(TRIM(MID(SUBSTITUTE(SUBSTITUTE(SUBSTITUTE(SUBSTITUTE(SUBSTITUTE(LOWER(Registro!$G969),"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",LEN(Registro!$G969))),({1,2,3,4,5,6,7,8,9,10,11,12,13,14,15,16,17,18,19,20,21,22,23,24,25,26,27,28,29,30}-1)*LEN(Registro!$G969)+1,LEN(Registro!$G969))),FIND("x",TRIM(MID(SUBSTITUTE(SUBSTITUTE(SUBSTITUTE(SUBSTITUTE(SUBSTITUTE(LOWER(Registro!$G969),"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",LEN(Registro!$G969))),({1,2,3,4,5,6,7,8,9,10,11,12,13,14,15,16,17,18,19,20,21,22,23,24,25,26,27,28,29,30}-1)*LEN(Registro!$G969)+1,LEN(Registro!$G969)))&amp;"x")-1)),--("0"&amp;MID(TRIM(MID(SUBSTITUTE(SUBSTITUTE(SUBSTITUTE(SUBSTITUTE(SUBSTITUTE(LOWER(Registro!$G969),"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",LEN(Registro!$G969))),({1,2,3,4,5,6,7,8,9,10,11,12,13,14,15,16,17,18,19,20,21,22,23,24,25,26,27,28,29,30}-1)*LEN(Registro!$G969)+1,LEN(Registro!$G969))),FIND("x",TRIM(MID(SUBSTITUTE(SUBSTITUTE(SUBSTITUTE(SUBSTITUTE(SUBSTITUTE(LOWER(Registro!$G969),"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",LEN(Registro!$G969))),({1,2,3,4,5,6,7,8,9,10,11,12,13,14,15,16,17,18,19,20,21,22,23,24,25,26,27,28,29,30}-1)*LEN(Registro!$G969)+1,LEN(Registro!$G969)))&amp;"x")+1,20))),"Revisar formato")))</f>
        <v/>
      </c>
      <c r="J969" s="9" t="str">
        <f>IF(AND(Registro!$E969="",Registro!$G969=""),"",IF(NOT(AND(ISNUMBER(I969),ISNUMBER(Registro!$H969))),"",IF(I969&lt;Registro!$H969,"FALTA BOLETOS",IF(I969=Registro!$H969,"CONFORME","DIFERENCIA"))))</f>
        <v/>
      </c>
      <c r="K969" s="11" t="str">
        <f>IF(Registro!$I969="","",IFERROR(SUMPRODUCT(--("0"&amp;TRIM(RIGHT(SUBSTITUTE(TRIM(MID(SUBSTITUTE(SUBSTITUTE(Registro!$I969,";",CHAR(10)),CHAR(10),REPT(" ",LEN(Registro!$I969))),({1,2,3,4,5,6,7,8,9,10,11,12,13,14,15,16,17,18,19,20,21,22,23,24,25,26,27,28,29,30}-1)*LEN(Registro!$I969)+1,LEN(Registro!$I969)))," ",REPT(" ",50)),50)))),"Revisar formato"))</f>
        <v/>
      </c>
      <c r="L969" s="11" t="str">
        <f>IF(Registro!$J969="","",IFERROR(SUMPRODUCT(--("0"&amp;TRIM(RIGHT(SUBSTITUTE(TRIM(MID(SUBSTITUTE(SUBSTITUTE(Registro!$J969,";",CHAR(10)),CHAR(10),REPT(" ",LEN(Registro!$J969))),({1,2,3,4,5,6,7,8,9,10,11,12,13,14,15,16,17,18,19,20,21,22,23,24,25,26,27,28,29,30}-1)*LEN(Registro!$J969)+1,LEN(Registro!$J969)))," ",REPT(" ",50)),50)))),"Revisar formato"))</f>
        <v/>
      </c>
      <c r="M969" s="11" t="str">
        <f>IF(AND(Registro!$H969="",Registro!$I969=""),"",IF(AND(ISTEXT(K969),K969&lt;&gt;""),"Revisar formato",N(Registro!$H969)-N(K969)))</f>
        <v/>
      </c>
      <c r="N969" s="11" t="str">
        <f t="shared" si="47"/>
        <v/>
      </c>
      <c r="O969" s="15" t="str">
        <f>IF(AND(A969=Consulta!$B$3,C969=Consulta!$H$3),B969*10000+ROW(),"")</f>
        <v/>
      </c>
    </row>
    <row r="970" spans="1:15" x14ac:dyDescent="0.25">
      <c r="A970" s="9" t="str">
        <f>IF(Registro!$A970="","",Registro!$A970)</f>
        <v/>
      </c>
      <c r="B970" s="8" t="str">
        <f>IF(Registro!$B970="","",Registro!$B970)</f>
        <v/>
      </c>
      <c r="C970" s="14" t="str">
        <f t="shared" si="45"/>
        <v/>
      </c>
      <c r="D970" s="10" t="str">
        <f>IF(Registro!$E970="","",IF(ISERROR(FIND("x",LOWER(Registro!$E970))),"-",IFERROR(SUMPRODUCT(--("0"&amp;LEFT(TRIM(MID(SUBSTITUTE(SUBSTITUTE(SUBSTITUTE(SUBSTITUTE(SUBSTITUTE(LOWER(Registro!$E970),"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",LEN(Registro!$E970))),({1,2,3,4,5,6,7,8,9,10,11,12,13,14,15,16,17,18,19,20,21,22,23,24,25,26,27,28,29,30}-1)*LEN(Registro!$E970)+1,LEN(Registro!$E970)))&amp;"x")-1))),"Revisar formato")))</f>
        <v/>
      </c>
      <c r="E970" s="11" t="str">
        <f>IF(Registro!$E970="","",IF(ISERROR(FIND("x",LOWER(Registro!$E970))),"-",IFERROR(SUMPRODUCT(--("0"&amp;LEFT(TRIM(MID(SUBSTITUTE(SUBSTITUTE(SUBSTITUTE(SUBSTITUTE(SUBSTITUTE(LOWER(Registro!$E970),"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",LEN(Registro!$E970))),({1,2,3,4,5,6,7,8,9,10,11,12,13,14,15,16,17,18,19,20,21,22,23,24,25,26,27,28,29,30}-1)*LEN(Registro!$E970)+1,LEN(Registro!$E970)))&amp;"x")-1)),--("0"&amp;MID(TRIM(MID(SUBSTITUTE(SUBSTITUTE(SUBSTITUTE(SUBSTITUTE(SUBSTITUTE(LOWER(Registro!$E970),"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",LEN(Registro!$E970))),({1,2,3,4,5,6,7,8,9,10,11,12,13,14,15,16,17,18,19,20,21,22,23,24,25,26,27,28,29,30}-1)*LEN(Registro!$E970)+1,LEN(Registro!$E970)))&amp;"x")+1,20))),"Revisar formato")))</f>
        <v/>
      </c>
      <c r="F970" s="11" t="str">
        <f>IF(Registro!$F970="","",N(Registro!$F970))</f>
        <v/>
      </c>
      <c r="G970" s="11" t="str">
        <f t="shared" si="46"/>
        <v/>
      </c>
      <c r="H970" s="10" t="str">
        <f>IF(Registro!$G970="","",IF(ISERROR(FIND("x",LOWER(Registro!$G970))),"-",IFERROR(SUMPRODUCT(--("0"&amp;LEFT(TRIM(MID(SUBSTITUTE(SUBSTITUTE(SUBSTITUTE(SUBSTITUTE(SUBSTITUTE(LOWER(Registro!$G970),"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",LEN(Registro!$G970))),({1,2,3,4,5,6,7,8,9,10,11,12,13,14,15,16,17,18,19,20,21,22,23,24,25,26,27,28,29,30}-1)*LEN(Registro!$G970)+1,LEN(Registro!$G970))),FIND("x",TRIM(MID(SUBSTITUTE(SUBSTITUTE(SUBSTITUTE(SUBSTITUTE(SUBSTITUTE(LOWER(Registro!$G970),"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",LEN(Registro!$G970))),({1,2,3,4,5,6,7,8,9,10,11,12,13,14,15,16,17,18,19,20,21,22,23,24,25,26,27,28,29,30}-1)*LEN(Registro!$G970)+1,LEN(Registro!$G970)))&amp;"x")-1))),"Revisar formato")))</f>
        <v/>
      </c>
      <c r="I970" s="11" t="str">
        <f>IF(Registro!$G970="","",IF(ISERROR(FIND("x",LOWER(Registro!$G970))),N(Registro!$H970),IFERROR(SUMPRODUCT(--("0"&amp;LEFT(TRIM(MID(SUBSTITUTE(SUBSTITUTE(SUBSTITUTE(SUBSTITUTE(SUBSTITUTE(LOWER(Registro!$G970),"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",LEN(Registro!$G970))),({1,2,3,4,5,6,7,8,9,10,11,12,13,14,15,16,17,18,19,20,21,22,23,24,25,26,27,28,29,30}-1)*LEN(Registro!$G970)+1,LEN(Registro!$G970))),FIND("x",TRIM(MID(SUBSTITUTE(SUBSTITUTE(SUBSTITUTE(SUBSTITUTE(SUBSTITUTE(LOWER(Registro!$G970),"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",LEN(Registro!$G970))),({1,2,3,4,5,6,7,8,9,10,11,12,13,14,15,16,17,18,19,20,21,22,23,24,25,26,27,28,29,30}-1)*LEN(Registro!$G970)+1,LEN(Registro!$G970)))&amp;"x")-1)),--("0"&amp;MID(TRIM(MID(SUBSTITUTE(SUBSTITUTE(SUBSTITUTE(SUBSTITUTE(SUBSTITUTE(LOWER(Registro!$G970),"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",LEN(Registro!$G970))),({1,2,3,4,5,6,7,8,9,10,11,12,13,14,15,16,17,18,19,20,21,22,23,24,25,26,27,28,29,30}-1)*LEN(Registro!$G970)+1,LEN(Registro!$G970))),FIND("x",TRIM(MID(SUBSTITUTE(SUBSTITUTE(SUBSTITUTE(SUBSTITUTE(SUBSTITUTE(LOWER(Registro!$G970),"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",LEN(Registro!$G970))),({1,2,3,4,5,6,7,8,9,10,11,12,13,14,15,16,17,18,19,20,21,22,23,24,25,26,27,28,29,30}-1)*LEN(Registro!$G970)+1,LEN(Registro!$G970)))&amp;"x")+1,20))),"Revisar formato")))</f>
        <v/>
      </c>
      <c r="J970" s="9" t="str">
        <f>IF(AND(Registro!$E970="",Registro!$G970=""),"",IF(NOT(AND(ISNUMBER(I970),ISNUMBER(Registro!$H970))),"",IF(I970&lt;Registro!$H970,"FALTA BOLETOS",IF(I970=Registro!$H970,"CONFORME","DIFERENCIA"))))</f>
        <v/>
      </c>
      <c r="K970" s="11" t="str">
        <f>IF(Registro!$I970="","",IFERROR(SUMPRODUCT(--("0"&amp;TRIM(RIGHT(SUBSTITUTE(TRIM(MID(SUBSTITUTE(SUBSTITUTE(Registro!$I970,";",CHAR(10)),CHAR(10),REPT(" ",LEN(Registro!$I970))),({1,2,3,4,5,6,7,8,9,10,11,12,13,14,15,16,17,18,19,20,21,22,23,24,25,26,27,28,29,30}-1)*LEN(Registro!$I970)+1,LEN(Registro!$I970)))," ",REPT(" ",50)),50)))),"Revisar formato"))</f>
        <v/>
      </c>
      <c r="L970" s="11" t="str">
        <f>IF(Registro!$J970="","",IFERROR(SUMPRODUCT(--("0"&amp;TRIM(RIGHT(SUBSTITUTE(TRIM(MID(SUBSTITUTE(SUBSTITUTE(Registro!$J970,";",CHAR(10)),CHAR(10),REPT(" ",LEN(Registro!$J970))),({1,2,3,4,5,6,7,8,9,10,11,12,13,14,15,16,17,18,19,20,21,22,23,24,25,26,27,28,29,30}-1)*LEN(Registro!$J970)+1,LEN(Registro!$J970)))," ",REPT(" ",50)),50)))),"Revisar formato"))</f>
        <v/>
      </c>
      <c r="M970" s="11" t="str">
        <f>IF(AND(Registro!$H970="",Registro!$I970=""),"",IF(AND(ISTEXT(K970),K970&lt;&gt;""),"Revisar formato",N(Registro!$H970)-N(K970)))</f>
        <v/>
      </c>
      <c r="N970" s="11" t="str">
        <f t="shared" si="47"/>
        <v/>
      </c>
      <c r="O970" s="15" t="str">
        <f>IF(AND(A970=Consulta!$B$3,C970=Consulta!$H$3),B970*10000+ROW(),"")</f>
        <v/>
      </c>
    </row>
    <row r="971" spans="1:15" x14ac:dyDescent="0.25">
      <c r="A971" s="9" t="str">
        <f>IF(Registro!$A971="","",Registro!$A971)</f>
        <v/>
      </c>
      <c r="B971" s="8" t="str">
        <f>IF(Registro!$B971="","",Registro!$B971)</f>
        <v/>
      </c>
      <c r="C971" s="14" t="str">
        <f t="shared" si="45"/>
        <v/>
      </c>
      <c r="D971" s="10" t="str">
        <f>IF(Registro!$E971="","",IF(ISERROR(FIND("x",LOWER(Registro!$E971))),"-",IFERROR(SUMPRODUCT(--("0"&amp;LEFT(TRIM(MID(SUBSTITUTE(SUBSTITUTE(SUBSTITUTE(SUBSTITUTE(SUBSTITUTE(LOWER(Registro!$E971),"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",LEN(Registro!$E971))),({1,2,3,4,5,6,7,8,9,10,11,12,13,14,15,16,17,18,19,20,21,22,23,24,25,26,27,28,29,30}-1)*LEN(Registro!$E971)+1,LEN(Registro!$E971)))&amp;"x")-1))),"Revisar formato")))</f>
        <v/>
      </c>
      <c r="E971" s="11" t="str">
        <f>IF(Registro!$E971="","",IF(ISERROR(FIND("x",LOWER(Registro!$E971))),"-",IFERROR(SUMPRODUCT(--("0"&amp;LEFT(TRIM(MID(SUBSTITUTE(SUBSTITUTE(SUBSTITUTE(SUBSTITUTE(SUBSTITUTE(LOWER(Registro!$E971),"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",LEN(Registro!$E971))),({1,2,3,4,5,6,7,8,9,10,11,12,13,14,15,16,17,18,19,20,21,22,23,24,25,26,27,28,29,30}-1)*LEN(Registro!$E971)+1,LEN(Registro!$E971)))&amp;"x")-1)),--("0"&amp;MID(TRIM(MID(SUBSTITUTE(SUBSTITUTE(SUBSTITUTE(SUBSTITUTE(SUBSTITUTE(LOWER(Registro!$E971),"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",LEN(Registro!$E971))),({1,2,3,4,5,6,7,8,9,10,11,12,13,14,15,16,17,18,19,20,21,22,23,24,25,26,27,28,29,30}-1)*LEN(Registro!$E971)+1,LEN(Registro!$E971)))&amp;"x")+1,20))),"Revisar formato")))</f>
        <v/>
      </c>
      <c r="F971" s="11" t="str">
        <f>IF(Registro!$F971="","",N(Registro!$F971))</f>
        <v/>
      </c>
      <c r="G971" s="11" t="str">
        <f t="shared" si="46"/>
        <v/>
      </c>
      <c r="H971" s="10" t="str">
        <f>IF(Registro!$G971="","",IF(ISERROR(FIND("x",LOWER(Registro!$G971))),"-",IFERROR(SUMPRODUCT(--("0"&amp;LEFT(TRIM(MID(SUBSTITUTE(SUBSTITUTE(SUBSTITUTE(SUBSTITUTE(SUBSTITUTE(LOWER(Registro!$G971),"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",LEN(Registro!$G971))),({1,2,3,4,5,6,7,8,9,10,11,12,13,14,15,16,17,18,19,20,21,22,23,24,25,26,27,28,29,30}-1)*LEN(Registro!$G971)+1,LEN(Registro!$G971))),FIND("x",TRIM(MID(SUBSTITUTE(SUBSTITUTE(SUBSTITUTE(SUBSTITUTE(SUBSTITUTE(LOWER(Registro!$G971),"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",LEN(Registro!$G971))),({1,2,3,4,5,6,7,8,9,10,11,12,13,14,15,16,17,18,19,20,21,22,23,24,25,26,27,28,29,30}-1)*LEN(Registro!$G971)+1,LEN(Registro!$G971)))&amp;"x")-1))),"Revisar formato")))</f>
        <v/>
      </c>
      <c r="I971" s="11" t="str">
        <f>IF(Registro!$G971="","",IF(ISERROR(FIND("x",LOWER(Registro!$G971))),N(Registro!$H971),IFERROR(SUMPRODUCT(--("0"&amp;LEFT(TRIM(MID(SUBSTITUTE(SUBSTITUTE(SUBSTITUTE(SUBSTITUTE(SUBSTITUTE(LOWER(Registro!$G971),"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",LEN(Registro!$G971))),({1,2,3,4,5,6,7,8,9,10,11,12,13,14,15,16,17,18,19,20,21,22,23,24,25,26,27,28,29,30}-1)*LEN(Registro!$G971)+1,LEN(Registro!$G971))),FIND("x",TRIM(MID(SUBSTITUTE(SUBSTITUTE(SUBSTITUTE(SUBSTITUTE(SUBSTITUTE(LOWER(Registro!$G971),"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",LEN(Registro!$G971))),({1,2,3,4,5,6,7,8,9,10,11,12,13,14,15,16,17,18,19,20,21,22,23,24,25,26,27,28,29,30}-1)*LEN(Registro!$G971)+1,LEN(Registro!$G971)))&amp;"x")-1)),--("0"&amp;MID(TRIM(MID(SUBSTITUTE(SUBSTITUTE(SUBSTITUTE(SUBSTITUTE(SUBSTITUTE(LOWER(Registro!$G971),"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",LEN(Registro!$G971))),({1,2,3,4,5,6,7,8,9,10,11,12,13,14,15,16,17,18,19,20,21,22,23,24,25,26,27,28,29,30}-1)*LEN(Registro!$G971)+1,LEN(Registro!$G971))),FIND("x",TRIM(MID(SUBSTITUTE(SUBSTITUTE(SUBSTITUTE(SUBSTITUTE(SUBSTITUTE(LOWER(Registro!$G971),"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",LEN(Registro!$G971))),({1,2,3,4,5,6,7,8,9,10,11,12,13,14,15,16,17,18,19,20,21,22,23,24,25,26,27,28,29,30}-1)*LEN(Registro!$G971)+1,LEN(Registro!$G971)))&amp;"x")+1,20))),"Revisar formato")))</f>
        <v/>
      </c>
      <c r="J971" s="9" t="str">
        <f>IF(AND(Registro!$E971="",Registro!$G971=""),"",IF(NOT(AND(ISNUMBER(I971),ISNUMBER(Registro!$H971))),"",IF(I971&lt;Registro!$H971,"FALTA BOLETOS",IF(I971=Registro!$H971,"CONFORME","DIFERENCIA"))))</f>
        <v/>
      </c>
      <c r="K971" s="11" t="str">
        <f>IF(Registro!$I971="","",IFERROR(SUMPRODUCT(--("0"&amp;TRIM(RIGHT(SUBSTITUTE(TRIM(MID(SUBSTITUTE(SUBSTITUTE(Registro!$I971,";",CHAR(10)),CHAR(10),REPT(" ",LEN(Registro!$I971))),({1,2,3,4,5,6,7,8,9,10,11,12,13,14,15,16,17,18,19,20,21,22,23,24,25,26,27,28,29,30}-1)*LEN(Registro!$I971)+1,LEN(Registro!$I971)))," ",REPT(" ",50)),50)))),"Revisar formato"))</f>
        <v/>
      </c>
      <c r="L971" s="11" t="str">
        <f>IF(Registro!$J971="","",IFERROR(SUMPRODUCT(--("0"&amp;TRIM(RIGHT(SUBSTITUTE(TRIM(MID(SUBSTITUTE(SUBSTITUTE(Registro!$J971,";",CHAR(10)),CHAR(10),REPT(" ",LEN(Registro!$J971))),({1,2,3,4,5,6,7,8,9,10,11,12,13,14,15,16,17,18,19,20,21,22,23,24,25,26,27,28,29,30}-1)*LEN(Registro!$J971)+1,LEN(Registro!$J971)))," ",REPT(" ",50)),50)))),"Revisar formato"))</f>
        <v/>
      </c>
      <c r="M971" s="11" t="str">
        <f>IF(AND(Registro!$H971="",Registro!$I971=""),"",IF(AND(ISTEXT(K971),K971&lt;&gt;""),"Revisar formato",N(Registro!$H971)-N(K971)))</f>
        <v/>
      </c>
      <c r="N971" s="11" t="str">
        <f t="shared" si="47"/>
        <v/>
      </c>
      <c r="O971" s="15" t="str">
        <f>IF(AND(A971=Consulta!$B$3,C971=Consulta!$H$3),B971*10000+ROW(),"")</f>
        <v/>
      </c>
    </row>
    <row r="972" spans="1:15" x14ac:dyDescent="0.25">
      <c r="A972" s="9" t="str">
        <f>IF(Registro!$A972="","",Registro!$A972)</f>
        <v/>
      </c>
      <c r="B972" s="8" t="str">
        <f>IF(Registro!$B972="","",Registro!$B972)</f>
        <v/>
      </c>
      <c r="C972" s="14" t="str">
        <f t="shared" si="45"/>
        <v/>
      </c>
      <c r="D972" s="10" t="str">
        <f>IF(Registro!$E972="","",IF(ISERROR(FIND("x",LOWER(Registro!$E972))),"-",IFERROR(SUMPRODUCT(--("0"&amp;LEFT(TRIM(MID(SUBSTITUTE(SUBSTITUTE(SUBSTITUTE(SUBSTITUTE(SUBSTITUTE(LOWER(Registro!$E972),"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",LEN(Registro!$E972))),({1,2,3,4,5,6,7,8,9,10,11,12,13,14,15,16,17,18,19,20,21,22,23,24,25,26,27,28,29,30}-1)*LEN(Registro!$E972)+1,LEN(Registro!$E972)))&amp;"x")-1))),"Revisar formato")))</f>
        <v/>
      </c>
      <c r="E972" s="11" t="str">
        <f>IF(Registro!$E972="","",IF(ISERROR(FIND("x",LOWER(Registro!$E972))),"-",IFERROR(SUMPRODUCT(--("0"&amp;LEFT(TRIM(MID(SUBSTITUTE(SUBSTITUTE(SUBSTITUTE(SUBSTITUTE(SUBSTITUTE(LOWER(Registro!$E972),"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",LEN(Registro!$E972))),({1,2,3,4,5,6,7,8,9,10,11,12,13,14,15,16,17,18,19,20,21,22,23,24,25,26,27,28,29,30}-1)*LEN(Registro!$E972)+1,LEN(Registro!$E972)))&amp;"x")-1)),--("0"&amp;MID(TRIM(MID(SUBSTITUTE(SUBSTITUTE(SUBSTITUTE(SUBSTITUTE(SUBSTITUTE(LOWER(Registro!$E972),"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",LEN(Registro!$E972))),({1,2,3,4,5,6,7,8,9,10,11,12,13,14,15,16,17,18,19,20,21,22,23,24,25,26,27,28,29,30}-1)*LEN(Registro!$E972)+1,LEN(Registro!$E972)))&amp;"x")+1,20))),"Revisar formato")))</f>
        <v/>
      </c>
      <c r="F972" s="11" t="str">
        <f>IF(Registro!$F972="","",N(Registro!$F972))</f>
        <v/>
      </c>
      <c r="G972" s="11" t="str">
        <f t="shared" si="46"/>
        <v/>
      </c>
      <c r="H972" s="10" t="str">
        <f>IF(Registro!$G972="","",IF(ISERROR(FIND("x",LOWER(Registro!$G972))),"-",IFERROR(SUMPRODUCT(--("0"&amp;LEFT(TRIM(MID(SUBSTITUTE(SUBSTITUTE(SUBSTITUTE(SUBSTITUTE(SUBSTITUTE(LOWER(Registro!$G972),"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",LEN(Registro!$G972))),({1,2,3,4,5,6,7,8,9,10,11,12,13,14,15,16,17,18,19,20,21,22,23,24,25,26,27,28,29,30}-1)*LEN(Registro!$G972)+1,LEN(Registro!$G972))),FIND("x",TRIM(MID(SUBSTITUTE(SUBSTITUTE(SUBSTITUTE(SUBSTITUTE(SUBSTITUTE(LOWER(Registro!$G972),"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",LEN(Registro!$G972))),({1,2,3,4,5,6,7,8,9,10,11,12,13,14,15,16,17,18,19,20,21,22,23,24,25,26,27,28,29,30}-1)*LEN(Registro!$G972)+1,LEN(Registro!$G972)))&amp;"x")-1))),"Revisar formato")))</f>
        <v/>
      </c>
      <c r="I972" s="11" t="str">
        <f>IF(Registro!$G972="","",IF(ISERROR(FIND("x",LOWER(Registro!$G972))),N(Registro!$H972),IFERROR(SUMPRODUCT(--("0"&amp;LEFT(TRIM(MID(SUBSTITUTE(SUBSTITUTE(SUBSTITUTE(SUBSTITUTE(SUBSTITUTE(LOWER(Registro!$G972),"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",LEN(Registro!$G972))),({1,2,3,4,5,6,7,8,9,10,11,12,13,14,15,16,17,18,19,20,21,22,23,24,25,26,27,28,29,30}-1)*LEN(Registro!$G972)+1,LEN(Registro!$G972))),FIND("x",TRIM(MID(SUBSTITUTE(SUBSTITUTE(SUBSTITUTE(SUBSTITUTE(SUBSTITUTE(LOWER(Registro!$G972),"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",LEN(Registro!$G972))),({1,2,3,4,5,6,7,8,9,10,11,12,13,14,15,16,17,18,19,20,21,22,23,24,25,26,27,28,29,30}-1)*LEN(Registro!$G972)+1,LEN(Registro!$G972)))&amp;"x")-1)),--("0"&amp;MID(TRIM(MID(SUBSTITUTE(SUBSTITUTE(SUBSTITUTE(SUBSTITUTE(SUBSTITUTE(LOWER(Registro!$G972),"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",LEN(Registro!$G972))),({1,2,3,4,5,6,7,8,9,10,11,12,13,14,15,16,17,18,19,20,21,22,23,24,25,26,27,28,29,30}-1)*LEN(Registro!$G972)+1,LEN(Registro!$G972))),FIND("x",TRIM(MID(SUBSTITUTE(SUBSTITUTE(SUBSTITUTE(SUBSTITUTE(SUBSTITUTE(LOWER(Registro!$G972),"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",LEN(Registro!$G972))),({1,2,3,4,5,6,7,8,9,10,11,12,13,14,15,16,17,18,19,20,21,22,23,24,25,26,27,28,29,30}-1)*LEN(Registro!$G972)+1,LEN(Registro!$G972)))&amp;"x")+1,20))),"Revisar formato")))</f>
        <v/>
      </c>
      <c r="J972" s="9" t="str">
        <f>IF(AND(Registro!$E972="",Registro!$G972=""),"",IF(NOT(AND(ISNUMBER(I972),ISNUMBER(Registro!$H972))),"",IF(I972&lt;Registro!$H972,"FALTA BOLETOS",IF(I972=Registro!$H972,"CONFORME","DIFERENCIA"))))</f>
        <v/>
      </c>
      <c r="K972" s="11" t="str">
        <f>IF(Registro!$I972="","",IFERROR(SUMPRODUCT(--("0"&amp;TRIM(RIGHT(SUBSTITUTE(TRIM(MID(SUBSTITUTE(SUBSTITUTE(Registro!$I972,";",CHAR(10)),CHAR(10),REPT(" ",LEN(Registro!$I972))),({1,2,3,4,5,6,7,8,9,10,11,12,13,14,15,16,17,18,19,20,21,22,23,24,25,26,27,28,29,30}-1)*LEN(Registro!$I972)+1,LEN(Registro!$I972)))," ",REPT(" ",50)),50)))),"Revisar formato"))</f>
        <v/>
      </c>
      <c r="L972" s="11" t="str">
        <f>IF(Registro!$J972="","",IFERROR(SUMPRODUCT(--("0"&amp;TRIM(RIGHT(SUBSTITUTE(TRIM(MID(SUBSTITUTE(SUBSTITUTE(Registro!$J972,";",CHAR(10)),CHAR(10),REPT(" ",LEN(Registro!$J972))),({1,2,3,4,5,6,7,8,9,10,11,12,13,14,15,16,17,18,19,20,21,22,23,24,25,26,27,28,29,30}-1)*LEN(Registro!$J972)+1,LEN(Registro!$J972)))," ",REPT(" ",50)),50)))),"Revisar formato"))</f>
        <v/>
      </c>
      <c r="M972" s="11" t="str">
        <f>IF(AND(Registro!$H972="",Registro!$I972=""),"",IF(AND(ISTEXT(K972),K972&lt;&gt;""),"Revisar formato",N(Registro!$H972)-N(K972)))</f>
        <v/>
      </c>
      <c r="N972" s="11" t="str">
        <f t="shared" si="47"/>
        <v/>
      </c>
      <c r="O972" s="15" t="str">
        <f>IF(AND(A972=Consulta!$B$3,C972=Consulta!$H$3),B972*10000+ROW(),"")</f>
        <v/>
      </c>
    </row>
    <row r="973" spans="1:15" x14ac:dyDescent="0.25">
      <c r="A973" s="9" t="str">
        <f>IF(Registro!$A973="","",Registro!$A973)</f>
        <v/>
      </c>
      <c r="B973" s="8" t="str">
        <f>IF(Registro!$B973="","",Registro!$B973)</f>
        <v/>
      </c>
      <c r="C973" s="14" t="str">
        <f t="shared" si="45"/>
        <v/>
      </c>
      <c r="D973" s="10" t="str">
        <f>IF(Registro!$E973="","",IF(ISERROR(FIND("x",LOWER(Registro!$E973))),"-",IFERROR(SUMPRODUCT(--("0"&amp;LEFT(TRIM(MID(SUBSTITUTE(SUBSTITUTE(SUBSTITUTE(SUBSTITUTE(SUBSTITUTE(LOWER(Registro!$E973),"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",LEN(Registro!$E973))),({1,2,3,4,5,6,7,8,9,10,11,12,13,14,15,16,17,18,19,20,21,22,23,24,25,26,27,28,29,30}-1)*LEN(Registro!$E973)+1,LEN(Registro!$E973)))&amp;"x")-1))),"Revisar formato")))</f>
        <v/>
      </c>
      <c r="E973" s="11" t="str">
        <f>IF(Registro!$E973="","",IF(ISERROR(FIND("x",LOWER(Registro!$E973))),"-",IFERROR(SUMPRODUCT(--("0"&amp;LEFT(TRIM(MID(SUBSTITUTE(SUBSTITUTE(SUBSTITUTE(SUBSTITUTE(SUBSTITUTE(LOWER(Registro!$E973),"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",LEN(Registro!$E973))),({1,2,3,4,5,6,7,8,9,10,11,12,13,14,15,16,17,18,19,20,21,22,23,24,25,26,27,28,29,30}-1)*LEN(Registro!$E973)+1,LEN(Registro!$E973)))&amp;"x")-1)),--("0"&amp;MID(TRIM(MID(SUBSTITUTE(SUBSTITUTE(SUBSTITUTE(SUBSTITUTE(SUBSTITUTE(LOWER(Registro!$E973),"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",LEN(Registro!$E973))),({1,2,3,4,5,6,7,8,9,10,11,12,13,14,15,16,17,18,19,20,21,22,23,24,25,26,27,28,29,30}-1)*LEN(Registro!$E973)+1,LEN(Registro!$E973)))&amp;"x")+1,20))),"Revisar formato")))</f>
        <v/>
      </c>
      <c r="F973" s="11" t="str">
        <f>IF(Registro!$F973="","",N(Registro!$F973))</f>
        <v/>
      </c>
      <c r="G973" s="11" t="str">
        <f t="shared" si="46"/>
        <v/>
      </c>
      <c r="H973" s="10" t="str">
        <f>IF(Registro!$G973="","",IF(ISERROR(FIND("x",LOWER(Registro!$G973))),"-",IFERROR(SUMPRODUCT(--("0"&amp;LEFT(TRIM(MID(SUBSTITUTE(SUBSTITUTE(SUBSTITUTE(SUBSTITUTE(SUBSTITUTE(LOWER(Registro!$G973),"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",LEN(Registro!$G973))),({1,2,3,4,5,6,7,8,9,10,11,12,13,14,15,16,17,18,19,20,21,22,23,24,25,26,27,28,29,30}-1)*LEN(Registro!$G973)+1,LEN(Registro!$G973))),FIND("x",TRIM(MID(SUBSTITUTE(SUBSTITUTE(SUBSTITUTE(SUBSTITUTE(SUBSTITUTE(LOWER(Registro!$G973),"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",LEN(Registro!$G973))),({1,2,3,4,5,6,7,8,9,10,11,12,13,14,15,16,17,18,19,20,21,22,23,24,25,26,27,28,29,30}-1)*LEN(Registro!$G973)+1,LEN(Registro!$G973)))&amp;"x")-1))),"Revisar formato")))</f>
        <v/>
      </c>
      <c r="I973" s="11" t="str">
        <f>IF(Registro!$G973="","",IF(ISERROR(FIND("x",LOWER(Registro!$G973))),N(Registro!$H973),IFERROR(SUMPRODUCT(--("0"&amp;LEFT(TRIM(MID(SUBSTITUTE(SUBSTITUTE(SUBSTITUTE(SUBSTITUTE(SUBSTITUTE(LOWER(Registro!$G973),"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",LEN(Registro!$G973))),({1,2,3,4,5,6,7,8,9,10,11,12,13,14,15,16,17,18,19,20,21,22,23,24,25,26,27,28,29,30}-1)*LEN(Registro!$G973)+1,LEN(Registro!$G973))),FIND("x",TRIM(MID(SUBSTITUTE(SUBSTITUTE(SUBSTITUTE(SUBSTITUTE(SUBSTITUTE(LOWER(Registro!$G973),"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",LEN(Registro!$G973))),({1,2,3,4,5,6,7,8,9,10,11,12,13,14,15,16,17,18,19,20,21,22,23,24,25,26,27,28,29,30}-1)*LEN(Registro!$G973)+1,LEN(Registro!$G973)))&amp;"x")-1)),--("0"&amp;MID(TRIM(MID(SUBSTITUTE(SUBSTITUTE(SUBSTITUTE(SUBSTITUTE(SUBSTITUTE(LOWER(Registro!$G973),"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",LEN(Registro!$G973))),({1,2,3,4,5,6,7,8,9,10,11,12,13,14,15,16,17,18,19,20,21,22,23,24,25,26,27,28,29,30}-1)*LEN(Registro!$G973)+1,LEN(Registro!$G973))),FIND("x",TRIM(MID(SUBSTITUTE(SUBSTITUTE(SUBSTITUTE(SUBSTITUTE(SUBSTITUTE(LOWER(Registro!$G973),"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",LEN(Registro!$G973))),({1,2,3,4,5,6,7,8,9,10,11,12,13,14,15,16,17,18,19,20,21,22,23,24,25,26,27,28,29,30}-1)*LEN(Registro!$G973)+1,LEN(Registro!$G973)))&amp;"x")+1,20))),"Revisar formato")))</f>
        <v/>
      </c>
      <c r="J973" s="9" t="str">
        <f>IF(AND(Registro!$E973="",Registro!$G973=""),"",IF(NOT(AND(ISNUMBER(I973),ISNUMBER(Registro!$H973))),"",IF(I973&lt;Registro!$H973,"FALTA BOLETOS",IF(I973=Registro!$H973,"CONFORME","DIFERENCIA"))))</f>
        <v/>
      </c>
      <c r="K973" s="11" t="str">
        <f>IF(Registro!$I973="","",IFERROR(SUMPRODUCT(--("0"&amp;TRIM(RIGHT(SUBSTITUTE(TRIM(MID(SUBSTITUTE(SUBSTITUTE(Registro!$I973,";",CHAR(10)),CHAR(10),REPT(" ",LEN(Registro!$I973))),({1,2,3,4,5,6,7,8,9,10,11,12,13,14,15,16,17,18,19,20,21,22,23,24,25,26,27,28,29,30}-1)*LEN(Registro!$I973)+1,LEN(Registro!$I973)))," ",REPT(" ",50)),50)))),"Revisar formato"))</f>
        <v/>
      </c>
      <c r="L973" s="11" t="str">
        <f>IF(Registro!$J973="","",IFERROR(SUMPRODUCT(--("0"&amp;TRIM(RIGHT(SUBSTITUTE(TRIM(MID(SUBSTITUTE(SUBSTITUTE(Registro!$J973,";",CHAR(10)),CHAR(10),REPT(" ",LEN(Registro!$J973))),({1,2,3,4,5,6,7,8,9,10,11,12,13,14,15,16,17,18,19,20,21,22,23,24,25,26,27,28,29,30}-1)*LEN(Registro!$J973)+1,LEN(Registro!$J973)))," ",REPT(" ",50)),50)))),"Revisar formato"))</f>
        <v/>
      </c>
      <c r="M973" s="11" t="str">
        <f>IF(AND(Registro!$H973="",Registro!$I973=""),"",IF(AND(ISTEXT(K973),K973&lt;&gt;""),"Revisar formato",N(Registro!$H973)-N(K973)))</f>
        <v/>
      </c>
      <c r="N973" s="11" t="str">
        <f t="shared" si="47"/>
        <v/>
      </c>
      <c r="O973" s="15" t="str">
        <f>IF(AND(A973=Consulta!$B$3,C973=Consulta!$H$3),B973*10000+ROW(),"")</f>
        <v/>
      </c>
    </row>
    <row r="974" spans="1:15" x14ac:dyDescent="0.25">
      <c r="A974" s="9" t="str">
        <f>IF(Registro!$A974="","",Registro!$A974)</f>
        <v/>
      </c>
      <c r="B974" s="8" t="str">
        <f>IF(Registro!$B974="","",Registro!$B974)</f>
        <v/>
      </c>
      <c r="C974" s="14" t="str">
        <f t="shared" si="45"/>
        <v/>
      </c>
      <c r="D974" s="10" t="str">
        <f>IF(Registro!$E974="","",IF(ISERROR(FIND("x",LOWER(Registro!$E974))),"-",IFERROR(SUMPRODUCT(--("0"&amp;LEFT(TRIM(MID(SUBSTITUTE(SUBSTITUTE(SUBSTITUTE(SUBSTITUTE(SUBSTITUTE(LOWER(Registro!$E974),"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",LEN(Registro!$E974))),({1,2,3,4,5,6,7,8,9,10,11,12,13,14,15,16,17,18,19,20,21,22,23,24,25,26,27,28,29,30}-1)*LEN(Registro!$E974)+1,LEN(Registro!$E974)))&amp;"x")-1))),"Revisar formato")))</f>
        <v/>
      </c>
      <c r="E974" s="11" t="str">
        <f>IF(Registro!$E974="","",IF(ISERROR(FIND("x",LOWER(Registro!$E974))),"-",IFERROR(SUMPRODUCT(--("0"&amp;LEFT(TRIM(MID(SUBSTITUTE(SUBSTITUTE(SUBSTITUTE(SUBSTITUTE(SUBSTITUTE(LOWER(Registro!$E974),"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",LEN(Registro!$E974))),({1,2,3,4,5,6,7,8,9,10,11,12,13,14,15,16,17,18,19,20,21,22,23,24,25,26,27,28,29,30}-1)*LEN(Registro!$E974)+1,LEN(Registro!$E974)))&amp;"x")-1)),--("0"&amp;MID(TRIM(MID(SUBSTITUTE(SUBSTITUTE(SUBSTITUTE(SUBSTITUTE(SUBSTITUTE(LOWER(Registro!$E974),"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",LEN(Registro!$E974))),({1,2,3,4,5,6,7,8,9,10,11,12,13,14,15,16,17,18,19,20,21,22,23,24,25,26,27,28,29,30}-1)*LEN(Registro!$E974)+1,LEN(Registro!$E974)))&amp;"x")+1,20))),"Revisar formato")))</f>
        <v/>
      </c>
      <c r="F974" s="11" t="str">
        <f>IF(Registro!$F974="","",N(Registro!$F974))</f>
        <v/>
      </c>
      <c r="G974" s="11" t="str">
        <f t="shared" si="46"/>
        <v/>
      </c>
      <c r="H974" s="10" t="str">
        <f>IF(Registro!$G974="","",IF(ISERROR(FIND("x",LOWER(Registro!$G974))),"-",IFERROR(SUMPRODUCT(--("0"&amp;LEFT(TRIM(MID(SUBSTITUTE(SUBSTITUTE(SUBSTITUTE(SUBSTITUTE(SUBSTITUTE(LOWER(Registro!$G974),"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",LEN(Registro!$G974))),({1,2,3,4,5,6,7,8,9,10,11,12,13,14,15,16,17,18,19,20,21,22,23,24,25,26,27,28,29,30}-1)*LEN(Registro!$G974)+1,LEN(Registro!$G974))),FIND("x",TRIM(MID(SUBSTITUTE(SUBSTITUTE(SUBSTITUTE(SUBSTITUTE(SUBSTITUTE(LOWER(Registro!$G974),"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",LEN(Registro!$G974))),({1,2,3,4,5,6,7,8,9,10,11,12,13,14,15,16,17,18,19,20,21,22,23,24,25,26,27,28,29,30}-1)*LEN(Registro!$G974)+1,LEN(Registro!$G974)))&amp;"x")-1))),"Revisar formato")))</f>
        <v/>
      </c>
      <c r="I974" s="11" t="str">
        <f>IF(Registro!$G974="","",IF(ISERROR(FIND("x",LOWER(Registro!$G974))),N(Registro!$H974),IFERROR(SUMPRODUCT(--("0"&amp;LEFT(TRIM(MID(SUBSTITUTE(SUBSTITUTE(SUBSTITUTE(SUBSTITUTE(SUBSTITUTE(LOWER(Registro!$G974),"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",LEN(Registro!$G974))),({1,2,3,4,5,6,7,8,9,10,11,12,13,14,15,16,17,18,19,20,21,22,23,24,25,26,27,28,29,30}-1)*LEN(Registro!$G974)+1,LEN(Registro!$G974))),FIND("x",TRIM(MID(SUBSTITUTE(SUBSTITUTE(SUBSTITUTE(SUBSTITUTE(SUBSTITUTE(LOWER(Registro!$G974),"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",LEN(Registro!$G974))),({1,2,3,4,5,6,7,8,9,10,11,12,13,14,15,16,17,18,19,20,21,22,23,24,25,26,27,28,29,30}-1)*LEN(Registro!$G974)+1,LEN(Registro!$G974)))&amp;"x")-1)),--("0"&amp;MID(TRIM(MID(SUBSTITUTE(SUBSTITUTE(SUBSTITUTE(SUBSTITUTE(SUBSTITUTE(LOWER(Registro!$G974),"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",LEN(Registro!$G974))),({1,2,3,4,5,6,7,8,9,10,11,12,13,14,15,16,17,18,19,20,21,22,23,24,25,26,27,28,29,30}-1)*LEN(Registro!$G974)+1,LEN(Registro!$G974))),FIND("x",TRIM(MID(SUBSTITUTE(SUBSTITUTE(SUBSTITUTE(SUBSTITUTE(SUBSTITUTE(LOWER(Registro!$G974),"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",LEN(Registro!$G974))),({1,2,3,4,5,6,7,8,9,10,11,12,13,14,15,16,17,18,19,20,21,22,23,24,25,26,27,28,29,30}-1)*LEN(Registro!$G974)+1,LEN(Registro!$G974)))&amp;"x")+1,20))),"Revisar formato")))</f>
        <v/>
      </c>
      <c r="J974" s="9" t="str">
        <f>IF(AND(Registro!$E974="",Registro!$G974=""),"",IF(NOT(AND(ISNUMBER(I974),ISNUMBER(Registro!$H974))),"",IF(I974&lt;Registro!$H974,"FALTA BOLETOS",IF(I974=Registro!$H974,"CONFORME","DIFERENCIA"))))</f>
        <v/>
      </c>
      <c r="K974" s="11" t="str">
        <f>IF(Registro!$I974="","",IFERROR(SUMPRODUCT(--("0"&amp;TRIM(RIGHT(SUBSTITUTE(TRIM(MID(SUBSTITUTE(SUBSTITUTE(Registro!$I974,";",CHAR(10)),CHAR(10),REPT(" ",LEN(Registro!$I974))),({1,2,3,4,5,6,7,8,9,10,11,12,13,14,15,16,17,18,19,20,21,22,23,24,25,26,27,28,29,30}-1)*LEN(Registro!$I974)+1,LEN(Registro!$I974)))," ",REPT(" ",50)),50)))),"Revisar formato"))</f>
        <v/>
      </c>
      <c r="L974" s="11" t="str">
        <f>IF(Registro!$J974="","",IFERROR(SUMPRODUCT(--("0"&amp;TRIM(RIGHT(SUBSTITUTE(TRIM(MID(SUBSTITUTE(SUBSTITUTE(Registro!$J974,";",CHAR(10)),CHAR(10),REPT(" ",LEN(Registro!$J974))),({1,2,3,4,5,6,7,8,9,10,11,12,13,14,15,16,17,18,19,20,21,22,23,24,25,26,27,28,29,30}-1)*LEN(Registro!$J974)+1,LEN(Registro!$J974)))," ",REPT(" ",50)),50)))),"Revisar formato"))</f>
        <v/>
      </c>
      <c r="M974" s="11" t="str">
        <f>IF(AND(Registro!$H974="",Registro!$I974=""),"",IF(AND(ISTEXT(K974),K974&lt;&gt;""),"Revisar formato",N(Registro!$H974)-N(K974)))</f>
        <v/>
      </c>
      <c r="N974" s="11" t="str">
        <f t="shared" si="47"/>
        <v/>
      </c>
      <c r="O974" s="15" t="str">
        <f>IF(AND(A974=Consulta!$B$3,C974=Consulta!$H$3),B974*10000+ROW(),"")</f>
        <v/>
      </c>
    </row>
    <row r="975" spans="1:15" x14ac:dyDescent="0.25">
      <c r="A975" s="9" t="str">
        <f>IF(Registro!$A975="","",Registro!$A975)</f>
        <v/>
      </c>
      <c r="B975" s="8" t="str">
        <f>IF(Registro!$B975="","",Registro!$B975)</f>
        <v/>
      </c>
      <c r="C975" s="14" t="str">
        <f t="shared" si="45"/>
        <v/>
      </c>
      <c r="D975" s="10" t="str">
        <f>IF(Registro!$E975="","",IF(ISERROR(FIND("x",LOWER(Registro!$E975))),"-",IFERROR(SUMPRODUCT(--("0"&amp;LEFT(TRIM(MID(SUBSTITUTE(SUBSTITUTE(SUBSTITUTE(SUBSTITUTE(SUBSTITUTE(LOWER(Registro!$E975),"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",LEN(Registro!$E975))),({1,2,3,4,5,6,7,8,9,10,11,12,13,14,15,16,17,18,19,20,21,22,23,24,25,26,27,28,29,30}-1)*LEN(Registro!$E975)+1,LEN(Registro!$E975)))&amp;"x")-1))),"Revisar formato")))</f>
        <v/>
      </c>
      <c r="E975" s="11" t="str">
        <f>IF(Registro!$E975="","",IF(ISERROR(FIND("x",LOWER(Registro!$E975))),"-",IFERROR(SUMPRODUCT(--("0"&amp;LEFT(TRIM(MID(SUBSTITUTE(SUBSTITUTE(SUBSTITUTE(SUBSTITUTE(SUBSTITUTE(LOWER(Registro!$E975),"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",LEN(Registro!$E975))),({1,2,3,4,5,6,7,8,9,10,11,12,13,14,15,16,17,18,19,20,21,22,23,24,25,26,27,28,29,30}-1)*LEN(Registro!$E975)+1,LEN(Registro!$E975)))&amp;"x")-1)),--("0"&amp;MID(TRIM(MID(SUBSTITUTE(SUBSTITUTE(SUBSTITUTE(SUBSTITUTE(SUBSTITUTE(LOWER(Registro!$E975),"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",LEN(Registro!$E975))),({1,2,3,4,5,6,7,8,9,10,11,12,13,14,15,16,17,18,19,20,21,22,23,24,25,26,27,28,29,30}-1)*LEN(Registro!$E975)+1,LEN(Registro!$E975)))&amp;"x")+1,20))),"Revisar formato")))</f>
        <v/>
      </c>
      <c r="F975" s="11" t="str">
        <f>IF(Registro!$F975="","",N(Registro!$F975))</f>
        <v/>
      </c>
      <c r="G975" s="11" t="str">
        <f t="shared" si="46"/>
        <v/>
      </c>
      <c r="H975" s="10" t="str">
        <f>IF(Registro!$G975="","",IF(ISERROR(FIND("x",LOWER(Registro!$G975))),"-",IFERROR(SUMPRODUCT(--("0"&amp;LEFT(TRIM(MID(SUBSTITUTE(SUBSTITUTE(SUBSTITUTE(SUBSTITUTE(SUBSTITUTE(LOWER(Registro!$G975),"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",LEN(Registro!$G975))),({1,2,3,4,5,6,7,8,9,10,11,12,13,14,15,16,17,18,19,20,21,22,23,24,25,26,27,28,29,30}-1)*LEN(Registro!$G975)+1,LEN(Registro!$G975))),FIND("x",TRIM(MID(SUBSTITUTE(SUBSTITUTE(SUBSTITUTE(SUBSTITUTE(SUBSTITUTE(LOWER(Registro!$G975),"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",LEN(Registro!$G975))),({1,2,3,4,5,6,7,8,9,10,11,12,13,14,15,16,17,18,19,20,21,22,23,24,25,26,27,28,29,30}-1)*LEN(Registro!$G975)+1,LEN(Registro!$G975)))&amp;"x")-1))),"Revisar formato")))</f>
        <v/>
      </c>
      <c r="I975" s="11" t="str">
        <f>IF(Registro!$G975="","",IF(ISERROR(FIND("x",LOWER(Registro!$G975))),N(Registro!$H975),IFERROR(SUMPRODUCT(--("0"&amp;LEFT(TRIM(MID(SUBSTITUTE(SUBSTITUTE(SUBSTITUTE(SUBSTITUTE(SUBSTITUTE(LOWER(Registro!$G975),"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",LEN(Registro!$G975))),({1,2,3,4,5,6,7,8,9,10,11,12,13,14,15,16,17,18,19,20,21,22,23,24,25,26,27,28,29,30}-1)*LEN(Registro!$G975)+1,LEN(Registro!$G975))),FIND("x",TRIM(MID(SUBSTITUTE(SUBSTITUTE(SUBSTITUTE(SUBSTITUTE(SUBSTITUTE(LOWER(Registro!$G975),"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",LEN(Registro!$G975))),({1,2,3,4,5,6,7,8,9,10,11,12,13,14,15,16,17,18,19,20,21,22,23,24,25,26,27,28,29,30}-1)*LEN(Registro!$G975)+1,LEN(Registro!$G975)))&amp;"x")-1)),--("0"&amp;MID(TRIM(MID(SUBSTITUTE(SUBSTITUTE(SUBSTITUTE(SUBSTITUTE(SUBSTITUTE(LOWER(Registro!$G975),"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",LEN(Registro!$G975))),({1,2,3,4,5,6,7,8,9,10,11,12,13,14,15,16,17,18,19,20,21,22,23,24,25,26,27,28,29,30}-1)*LEN(Registro!$G975)+1,LEN(Registro!$G975))),FIND("x",TRIM(MID(SUBSTITUTE(SUBSTITUTE(SUBSTITUTE(SUBSTITUTE(SUBSTITUTE(LOWER(Registro!$G975),"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",LEN(Registro!$G975))),({1,2,3,4,5,6,7,8,9,10,11,12,13,14,15,16,17,18,19,20,21,22,23,24,25,26,27,28,29,30}-1)*LEN(Registro!$G975)+1,LEN(Registro!$G975)))&amp;"x")+1,20))),"Revisar formato")))</f>
        <v/>
      </c>
      <c r="J975" s="9" t="str">
        <f>IF(AND(Registro!$E975="",Registro!$G975=""),"",IF(NOT(AND(ISNUMBER(I975),ISNUMBER(Registro!$H975))),"",IF(I975&lt;Registro!$H975,"FALTA BOLETOS",IF(I975=Registro!$H975,"CONFORME","DIFERENCIA"))))</f>
        <v/>
      </c>
      <c r="K975" s="11" t="str">
        <f>IF(Registro!$I975="","",IFERROR(SUMPRODUCT(--("0"&amp;TRIM(RIGHT(SUBSTITUTE(TRIM(MID(SUBSTITUTE(SUBSTITUTE(Registro!$I975,";",CHAR(10)),CHAR(10),REPT(" ",LEN(Registro!$I975))),({1,2,3,4,5,6,7,8,9,10,11,12,13,14,15,16,17,18,19,20,21,22,23,24,25,26,27,28,29,30}-1)*LEN(Registro!$I975)+1,LEN(Registro!$I975)))," ",REPT(" ",50)),50)))),"Revisar formato"))</f>
        <v/>
      </c>
      <c r="L975" s="11" t="str">
        <f>IF(Registro!$J975="","",IFERROR(SUMPRODUCT(--("0"&amp;TRIM(RIGHT(SUBSTITUTE(TRIM(MID(SUBSTITUTE(SUBSTITUTE(Registro!$J975,";",CHAR(10)),CHAR(10),REPT(" ",LEN(Registro!$J975))),({1,2,3,4,5,6,7,8,9,10,11,12,13,14,15,16,17,18,19,20,21,22,23,24,25,26,27,28,29,30}-1)*LEN(Registro!$J975)+1,LEN(Registro!$J975)))," ",REPT(" ",50)),50)))),"Revisar formato"))</f>
        <v/>
      </c>
      <c r="M975" s="11" t="str">
        <f>IF(AND(Registro!$H975="",Registro!$I975=""),"",IF(AND(ISTEXT(K975),K975&lt;&gt;""),"Revisar formato",N(Registro!$H975)-N(K975)))</f>
        <v/>
      </c>
      <c r="N975" s="11" t="str">
        <f t="shared" si="47"/>
        <v/>
      </c>
      <c r="O975" s="15" t="str">
        <f>IF(AND(A975=Consulta!$B$3,C975=Consulta!$H$3),B975*10000+ROW(),"")</f>
        <v/>
      </c>
    </row>
    <row r="976" spans="1:15" x14ac:dyDescent="0.25">
      <c r="A976" s="9" t="str">
        <f>IF(Registro!$A976="","",Registro!$A976)</f>
        <v/>
      </c>
      <c r="B976" s="8" t="str">
        <f>IF(Registro!$B976="","",Registro!$B976)</f>
        <v/>
      </c>
      <c r="C976" s="14" t="str">
        <f t="shared" si="45"/>
        <v/>
      </c>
      <c r="D976" s="10" t="str">
        <f>IF(Registro!$E976="","",IF(ISERROR(FIND("x",LOWER(Registro!$E976))),"-",IFERROR(SUMPRODUCT(--("0"&amp;LEFT(TRIM(MID(SUBSTITUTE(SUBSTITUTE(SUBSTITUTE(SUBSTITUTE(SUBSTITUTE(LOWER(Registro!$E976),"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",LEN(Registro!$E976))),({1,2,3,4,5,6,7,8,9,10,11,12,13,14,15,16,17,18,19,20,21,22,23,24,25,26,27,28,29,30}-1)*LEN(Registro!$E976)+1,LEN(Registro!$E976)))&amp;"x")-1))),"Revisar formato")))</f>
        <v/>
      </c>
      <c r="E976" s="11" t="str">
        <f>IF(Registro!$E976="","",IF(ISERROR(FIND("x",LOWER(Registro!$E976))),"-",IFERROR(SUMPRODUCT(--("0"&amp;LEFT(TRIM(MID(SUBSTITUTE(SUBSTITUTE(SUBSTITUTE(SUBSTITUTE(SUBSTITUTE(LOWER(Registro!$E976),"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",LEN(Registro!$E976))),({1,2,3,4,5,6,7,8,9,10,11,12,13,14,15,16,17,18,19,20,21,22,23,24,25,26,27,28,29,30}-1)*LEN(Registro!$E976)+1,LEN(Registro!$E976)))&amp;"x")-1)),--("0"&amp;MID(TRIM(MID(SUBSTITUTE(SUBSTITUTE(SUBSTITUTE(SUBSTITUTE(SUBSTITUTE(LOWER(Registro!$E976),"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",LEN(Registro!$E976))),({1,2,3,4,5,6,7,8,9,10,11,12,13,14,15,16,17,18,19,20,21,22,23,24,25,26,27,28,29,30}-1)*LEN(Registro!$E976)+1,LEN(Registro!$E976)))&amp;"x")+1,20))),"Revisar formato")))</f>
        <v/>
      </c>
      <c r="F976" s="11" t="str">
        <f>IF(Registro!$F976="","",N(Registro!$F976))</f>
        <v/>
      </c>
      <c r="G976" s="11" t="str">
        <f t="shared" si="46"/>
        <v/>
      </c>
      <c r="H976" s="10" t="str">
        <f>IF(Registro!$G976="","",IF(ISERROR(FIND("x",LOWER(Registro!$G976))),"-",IFERROR(SUMPRODUCT(--("0"&amp;LEFT(TRIM(MID(SUBSTITUTE(SUBSTITUTE(SUBSTITUTE(SUBSTITUTE(SUBSTITUTE(LOWER(Registro!$G976),"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",LEN(Registro!$G976))),({1,2,3,4,5,6,7,8,9,10,11,12,13,14,15,16,17,18,19,20,21,22,23,24,25,26,27,28,29,30}-1)*LEN(Registro!$G976)+1,LEN(Registro!$G976))),FIND("x",TRIM(MID(SUBSTITUTE(SUBSTITUTE(SUBSTITUTE(SUBSTITUTE(SUBSTITUTE(LOWER(Registro!$G976),"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",LEN(Registro!$G976))),({1,2,3,4,5,6,7,8,9,10,11,12,13,14,15,16,17,18,19,20,21,22,23,24,25,26,27,28,29,30}-1)*LEN(Registro!$G976)+1,LEN(Registro!$G976)))&amp;"x")-1))),"Revisar formato")))</f>
        <v/>
      </c>
      <c r="I976" s="11" t="str">
        <f>IF(Registro!$G976="","",IF(ISERROR(FIND("x",LOWER(Registro!$G976))),N(Registro!$H976),IFERROR(SUMPRODUCT(--("0"&amp;LEFT(TRIM(MID(SUBSTITUTE(SUBSTITUTE(SUBSTITUTE(SUBSTITUTE(SUBSTITUTE(LOWER(Registro!$G976),"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",LEN(Registro!$G976))),({1,2,3,4,5,6,7,8,9,10,11,12,13,14,15,16,17,18,19,20,21,22,23,24,25,26,27,28,29,30}-1)*LEN(Registro!$G976)+1,LEN(Registro!$G976))),FIND("x",TRIM(MID(SUBSTITUTE(SUBSTITUTE(SUBSTITUTE(SUBSTITUTE(SUBSTITUTE(LOWER(Registro!$G976),"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",LEN(Registro!$G976))),({1,2,3,4,5,6,7,8,9,10,11,12,13,14,15,16,17,18,19,20,21,22,23,24,25,26,27,28,29,30}-1)*LEN(Registro!$G976)+1,LEN(Registro!$G976)))&amp;"x")-1)),--("0"&amp;MID(TRIM(MID(SUBSTITUTE(SUBSTITUTE(SUBSTITUTE(SUBSTITUTE(SUBSTITUTE(LOWER(Registro!$G976),"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",LEN(Registro!$G976))),({1,2,3,4,5,6,7,8,9,10,11,12,13,14,15,16,17,18,19,20,21,22,23,24,25,26,27,28,29,30}-1)*LEN(Registro!$G976)+1,LEN(Registro!$G976))),FIND("x",TRIM(MID(SUBSTITUTE(SUBSTITUTE(SUBSTITUTE(SUBSTITUTE(SUBSTITUTE(LOWER(Registro!$G976),"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",LEN(Registro!$G976))),({1,2,3,4,5,6,7,8,9,10,11,12,13,14,15,16,17,18,19,20,21,22,23,24,25,26,27,28,29,30}-1)*LEN(Registro!$G976)+1,LEN(Registro!$G976)))&amp;"x")+1,20))),"Revisar formato")))</f>
        <v/>
      </c>
      <c r="J976" s="9" t="str">
        <f>IF(AND(Registro!$E976="",Registro!$G976=""),"",IF(NOT(AND(ISNUMBER(I976),ISNUMBER(Registro!$H976))),"",IF(I976&lt;Registro!$H976,"FALTA BOLETOS",IF(I976=Registro!$H976,"CONFORME","DIFERENCIA"))))</f>
        <v/>
      </c>
      <c r="K976" s="11" t="str">
        <f>IF(Registro!$I976="","",IFERROR(SUMPRODUCT(--("0"&amp;TRIM(RIGHT(SUBSTITUTE(TRIM(MID(SUBSTITUTE(SUBSTITUTE(Registro!$I976,";",CHAR(10)),CHAR(10),REPT(" ",LEN(Registro!$I976))),({1,2,3,4,5,6,7,8,9,10,11,12,13,14,15,16,17,18,19,20,21,22,23,24,25,26,27,28,29,30}-1)*LEN(Registro!$I976)+1,LEN(Registro!$I976)))," ",REPT(" ",50)),50)))),"Revisar formato"))</f>
        <v/>
      </c>
      <c r="L976" s="11" t="str">
        <f>IF(Registro!$J976="","",IFERROR(SUMPRODUCT(--("0"&amp;TRIM(RIGHT(SUBSTITUTE(TRIM(MID(SUBSTITUTE(SUBSTITUTE(Registro!$J976,";",CHAR(10)),CHAR(10),REPT(" ",LEN(Registro!$J976))),({1,2,3,4,5,6,7,8,9,10,11,12,13,14,15,16,17,18,19,20,21,22,23,24,25,26,27,28,29,30}-1)*LEN(Registro!$J976)+1,LEN(Registro!$J976)))," ",REPT(" ",50)),50)))),"Revisar formato"))</f>
        <v/>
      </c>
      <c r="M976" s="11" t="str">
        <f>IF(AND(Registro!$H976="",Registro!$I976=""),"",IF(AND(ISTEXT(K976),K976&lt;&gt;""),"Revisar formato",N(Registro!$H976)-N(K976)))</f>
        <v/>
      </c>
      <c r="N976" s="11" t="str">
        <f t="shared" si="47"/>
        <v/>
      </c>
      <c r="O976" s="15" t="str">
        <f>IF(AND(A976=Consulta!$B$3,C976=Consulta!$H$3),B976*10000+ROW(),"")</f>
        <v/>
      </c>
    </row>
    <row r="977" spans="1:15" x14ac:dyDescent="0.25">
      <c r="A977" s="9" t="str">
        <f>IF(Registro!$A977="","",Registro!$A977)</f>
        <v/>
      </c>
      <c r="B977" s="8" t="str">
        <f>IF(Registro!$B977="","",Registro!$B977)</f>
        <v/>
      </c>
      <c r="C977" s="14" t="str">
        <f t="shared" si="45"/>
        <v/>
      </c>
      <c r="D977" s="10" t="str">
        <f>IF(Registro!$E977="","",IF(ISERROR(FIND("x",LOWER(Registro!$E977))),"-",IFERROR(SUMPRODUCT(--("0"&amp;LEFT(TRIM(MID(SUBSTITUTE(SUBSTITUTE(SUBSTITUTE(SUBSTITUTE(SUBSTITUTE(LOWER(Registro!$E977),"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",LEN(Registro!$E977))),({1,2,3,4,5,6,7,8,9,10,11,12,13,14,15,16,17,18,19,20,21,22,23,24,25,26,27,28,29,30}-1)*LEN(Registro!$E977)+1,LEN(Registro!$E977)))&amp;"x")-1))),"Revisar formato")))</f>
        <v/>
      </c>
      <c r="E977" s="11" t="str">
        <f>IF(Registro!$E977="","",IF(ISERROR(FIND("x",LOWER(Registro!$E977))),"-",IFERROR(SUMPRODUCT(--("0"&amp;LEFT(TRIM(MID(SUBSTITUTE(SUBSTITUTE(SUBSTITUTE(SUBSTITUTE(SUBSTITUTE(LOWER(Registro!$E977),"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",LEN(Registro!$E977))),({1,2,3,4,5,6,7,8,9,10,11,12,13,14,15,16,17,18,19,20,21,22,23,24,25,26,27,28,29,30}-1)*LEN(Registro!$E977)+1,LEN(Registro!$E977)))&amp;"x")-1)),--("0"&amp;MID(TRIM(MID(SUBSTITUTE(SUBSTITUTE(SUBSTITUTE(SUBSTITUTE(SUBSTITUTE(LOWER(Registro!$E977),"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",LEN(Registro!$E977))),({1,2,3,4,5,6,7,8,9,10,11,12,13,14,15,16,17,18,19,20,21,22,23,24,25,26,27,28,29,30}-1)*LEN(Registro!$E977)+1,LEN(Registro!$E977)))&amp;"x")+1,20))),"Revisar formato")))</f>
        <v/>
      </c>
      <c r="F977" s="11" t="str">
        <f>IF(Registro!$F977="","",N(Registro!$F977))</f>
        <v/>
      </c>
      <c r="G977" s="11" t="str">
        <f t="shared" si="46"/>
        <v/>
      </c>
      <c r="H977" s="10" t="str">
        <f>IF(Registro!$G977="","",IF(ISERROR(FIND("x",LOWER(Registro!$G977))),"-",IFERROR(SUMPRODUCT(--("0"&amp;LEFT(TRIM(MID(SUBSTITUTE(SUBSTITUTE(SUBSTITUTE(SUBSTITUTE(SUBSTITUTE(LOWER(Registro!$G977),"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",LEN(Registro!$G977))),({1,2,3,4,5,6,7,8,9,10,11,12,13,14,15,16,17,18,19,20,21,22,23,24,25,26,27,28,29,30}-1)*LEN(Registro!$G977)+1,LEN(Registro!$G977))),FIND("x",TRIM(MID(SUBSTITUTE(SUBSTITUTE(SUBSTITUTE(SUBSTITUTE(SUBSTITUTE(LOWER(Registro!$G977),"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",LEN(Registro!$G977))),({1,2,3,4,5,6,7,8,9,10,11,12,13,14,15,16,17,18,19,20,21,22,23,24,25,26,27,28,29,30}-1)*LEN(Registro!$G977)+1,LEN(Registro!$G977)))&amp;"x")-1))),"Revisar formato")))</f>
        <v/>
      </c>
      <c r="I977" s="11" t="str">
        <f>IF(Registro!$G977="","",IF(ISERROR(FIND("x",LOWER(Registro!$G977))),N(Registro!$H977),IFERROR(SUMPRODUCT(--("0"&amp;LEFT(TRIM(MID(SUBSTITUTE(SUBSTITUTE(SUBSTITUTE(SUBSTITUTE(SUBSTITUTE(LOWER(Registro!$G977),"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",LEN(Registro!$G977))),({1,2,3,4,5,6,7,8,9,10,11,12,13,14,15,16,17,18,19,20,21,22,23,24,25,26,27,28,29,30}-1)*LEN(Registro!$G977)+1,LEN(Registro!$G977))),FIND("x",TRIM(MID(SUBSTITUTE(SUBSTITUTE(SUBSTITUTE(SUBSTITUTE(SUBSTITUTE(LOWER(Registro!$G977),"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",LEN(Registro!$G977))),({1,2,3,4,5,6,7,8,9,10,11,12,13,14,15,16,17,18,19,20,21,22,23,24,25,26,27,28,29,30}-1)*LEN(Registro!$G977)+1,LEN(Registro!$G977)))&amp;"x")-1)),--("0"&amp;MID(TRIM(MID(SUBSTITUTE(SUBSTITUTE(SUBSTITUTE(SUBSTITUTE(SUBSTITUTE(LOWER(Registro!$G977),"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",LEN(Registro!$G977))),({1,2,3,4,5,6,7,8,9,10,11,12,13,14,15,16,17,18,19,20,21,22,23,24,25,26,27,28,29,30}-1)*LEN(Registro!$G977)+1,LEN(Registro!$G977))),FIND("x",TRIM(MID(SUBSTITUTE(SUBSTITUTE(SUBSTITUTE(SUBSTITUTE(SUBSTITUTE(LOWER(Registro!$G977),"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",LEN(Registro!$G977))),({1,2,3,4,5,6,7,8,9,10,11,12,13,14,15,16,17,18,19,20,21,22,23,24,25,26,27,28,29,30}-1)*LEN(Registro!$G977)+1,LEN(Registro!$G977)))&amp;"x")+1,20))),"Revisar formato")))</f>
        <v/>
      </c>
      <c r="J977" s="9" t="str">
        <f>IF(AND(Registro!$E977="",Registro!$G977=""),"",IF(NOT(AND(ISNUMBER(I977),ISNUMBER(Registro!$H977))),"",IF(I977&lt;Registro!$H977,"FALTA BOLETOS",IF(I977=Registro!$H977,"CONFORME","DIFERENCIA"))))</f>
        <v/>
      </c>
      <c r="K977" s="11" t="str">
        <f>IF(Registro!$I977="","",IFERROR(SUMPRODUCT(--("0"&amp;TRIM(RIGHT(SUBSTITUTE(TRIM(MID(SUBSTITUTE(SUBSTITUTE(Registro!$I977,";",CHAR(10)),CHAR(10),REPT(" ",LEN(Registro!$I977))),({1,2,3,4,5,6,7,8,9,10,11,12,13,14,15,16,17,18,19,20,21,22,23,24,25,26,27,28,29,30}-1)*LEN(Registro!$I977)+1,LEN(Registro!$I977)))," ",REPT(" ",50)),50)))),"Revisar formato"))</f>
        <v/>
      </c>
      <c r="L977" s="11" t="str">
        <f>IF(Registro!$J977="","",IFERROR(SUMPRODUCT(--("0"&amp;TRIM(RIGHT(SUBSTITUTE(TRIM(MID(SUBSTITUTE(SUBSTITUTE(Registro!$J977,";",CHAR(10)),CHAR(10),REPT(" ",LEN(Registro!$J977))),({1,2,3,4,5,6,7,8,9,10,11,12,13,14,15,16,17,18,19,20,21,22,23,24,25,26,27,28,29,30}-1)*LEN(Registro!$J977)+1,LEN(Registro!$J977)))," ",REPT(" ",50)),50)))),"Revisar formato"))</f>
        <v/>
      </c>
      <c r="M977" s="11" t="str">
        <f>IF(AND(Registro!$H977="",Registro!$I977=""),"",IF(AND(ISTEXT(K977),K977&lt;&gt;""),"Revisar formato",N(Registro!$H977)-N(K977)))</f>
        <v/>
      </c>
      <c r="N977" s="11" t="str">
        <f t="shared" si="47"/>
        <v/>
      </c>
      <c r="O977" s="15" t="str">
        <f>IF(AND(A977=Consulta!$B$3,C977=Consulta!$H$3),B977*10000+ROW(),"")</f>
        <v/>
      </c>
    </row>
    <row r="978" spans="1:15" x14ac:dyDescent="0.25">
      <c r="A978" s="9" t="str">
        <f>IF(Registro!$A978="","",Registro!$A978)</f>
        <v/>
      </c>
      <c r="B978" s="8" t="str">
        <f>IF(Registro!$B978="","",Registro!$B978)</f>
        <v/>
      </c>
      <c r="C978" s="14" t="str">
        <f t="shared" si="45"/>
        <v/>
      </c>
      <c r="D978" s="10" t="str">
        <f>IF(Registro!$E978="","",IF(ISERROR(FIND("x",LOWER(Registro!$E978))),"-",IFERROR(SUMPRODUCT(--("0"&amp;LEFT(TRIM(MID(SUBSTITUTE(SUBSTITUTE(SUBSTITUTE(SUBSTITUTE(SUBSTITUTE(LOWER(Registro!$E978),"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",LEN(Registro!$E978))),({1,2,3,4,5,6,7,8,9,10,11,12,13,14,15,16,17,18,19,20,21,22,23,24,25,26,27,28,29,30}-1)*LEN(Registro!$E978)+1,LEN(Registro!$E978)))&amp;"x")-1))),"Revisar formato")))</f>
        <v/>
      </c>
      <c r="E978" s="11" t="str">
        <f>IF(Registro!$E978="","",IF(ISERROR(FIND("x",LOWER(Registro!$E978))),"-",IFERROR(SUMPRODUCT(--("0"&amp;LEFT(TRIM(MID(SUBSTITUTE(SUBSTITUTE(SUBSTITUTE(SUBSTITUTE(SUBSTITUTE(LOWER(Registro!$E978),"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",LEN(Registro!$E978))),({1,2,3,4,5,6,7,8,9,10,11,12,13,14,15,16,17,18,19,20,21,22,23,24,25,26,27,28,29,30}-1)*LEN(Registro!$E978)+1,LEN(Registro!$E978)))&amp;"x")-1)),--("0"&amp;MID(TRIM(MID(SUBSTITUTE(SUBSTITUTE(SUBSTITUTE(SUBSTITUTE(SUBSTITUTE(LOWER(Registro!$E978),"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",LEN(Registro!$E978))),({1,2,3,4,5,6,7,8,9,10,11,12,13,14,15,16,17,18,19,20,21,22,23,24,25,26,27,28,29,30}-1)*LEN(Registro!$E978)+1,LEN(Registro!$E978)))&amp;"x")+1,20))),"Revisar formato")))</f>
        <v/>
      </c>
      <c r="F978" s="11" t="str">
        <f>IF(Registro!$F978="","",N(Registro!$F978))</f>
        <v/>
      </c>
      <c r="G978" s="11" t="str">
        <f t="shared" si="46"/>
        <v/>
      </c>
      <c r="H978" s="10" t="str">
        <f>IF(Registro!$G978="","",IF(ISERROR(FIND("x",LOWER(Registro!$G978))),"-",IFERROR(SUMPRODUCT(--("0"&amp;LEFT(TRIM(MID(SUBSTITUTE(SUBSTITUTE(SUBSTITUTE(SUBSTITUTE(SUBSTITUTE(LOWER(Registro!$G978),"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",LEN(Registro!$G978))),({1,2,3,4,5,6,7,8,9,10,11,12,13,14,15,16,17,18,19,20,21,22,23,24,25,26,27,28,29,30}-1)*LEN(Registro!$G978)+1,LEN(Registro!$G978))),FIND("x",TRIM(MID(SUBSTITUTE(SUBSTITUTE(SUBSTITUTE(SUBSTITUTE(SUBSTITUTE(LOWER(Registro!$G978),"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",LEN(Registro!$G978))),({1,2,3,4,5,6,7,8,9,10,11,12,13,14,15,16,17,18,19,20,21,22,23,24,25,26,27,28,29,30}-1)*LEN(Registro!$G978)+1,LEN(Registro!$G978)))&amp;"x")-1))),"Revisar formato")))</f>
        <v/>
      </c>
      <c r="I978" s="11" t="str">
        <f>IF(Registro!$G978="","",IF(ISERROR(FIND("x",LOWER(Registro!$G978))),N(Registro!$H978),IFERROR(SUMPRODUCT(--("0"&amp;LEFT(TRIM(MID(SUBSTITUTE(SUBSTITUTE(SUBSTITUTE(SUBSTITUTE(SUBSTITUTE(LOWER(Registro!$G978),"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",LEN(Registro!$G978))),({1,2,3,4,5,6,7,8,9,10,11,12,13,14,15,16,17,18,19,20,21,22,23,24,25,26,27,28,29,30}-1)*LEN(Registro!$G978)+1,LEN(Registro!$G978))),FIND("x",TRIM(MID(SUBSTITUTE(SUBSTITUTE(SUBSTITUTE(SUBSTITUTE(SUBSTITUTE(LOWER(Registro!$G978),"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",LEN(Registro!$G978))),({1,2,3,4,5,6,7,8,9,10,11,12,13,14,15,16,17,18,19,20,21,22,23,24,25,26,27,28,29,30}-1)*LEN(Registro!$G978)+1,LEN(Registro!$G978)))&amp;"x")-1)),--("0"&amp;MID(TRIM(MID(SUBSTITUTE(SUBSTITUTE(SUBSTITUTE(SUBSTITUTE(SUBSTITUTE(LOWER(Registro!$G978),"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",LEN(Registro!$G978))),({1,2,3,4,5,6,7,8,9,10,11,12,13,14,15,16,17,18,19,20,21,22,23,24,25,26,27,28,29,30}-1)*LEN(Registro!$G978)+1,LEN(Registro!$G978))),FIND("x",TRIM(MID(SUBSTITUTE(SUBSTITUTE(SUBSTITUTE(SUBSTITUTE(SUBSTITUTE(LOWER(Registro!$G978),"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",LEN(Registro!$G978))),({1,2,3,4,5,6,7,8,9,10,11,12,13,14,15,16,17,18,19,20,21,22,23,24,25,26,27,28,29,30}-1)*LEN(Registro!$G978)+1,LEN(Registro!$G978)))&amp;"x")+1,20))),"Revisar formato")))</f>
        <v/>
      </c>
      <c r="J978" s="9" t="str">
        <f>IF(AND(Registro!$E978="",Registro!$G978=""),"",IF(NOT(AND(ISNUMBER(I978),ISNUMBER(Registro!$H978))),"",IF(I978&lt;Registro!$H978,"FALTA BOLETOS",IF(I978=Registro!$H978,"CONFORME","DIFERENCIA"))))</f>
        <v/>
      </c>
      <c r="K978" s="11" t="str">
        <f>IF(Registro!$I978="","",IFERROR(SUMPRODUCT(--("0"&amp;TRIM(RIGHT(SUBSTITUTE(TRIM(MID(SUBSTITUTE(SUBSTITUTE(Registro!$I978,";",CHAR(10)),CHAR(10),REPT(" ",LEN(Registro!$I978))),({1,2,3,4,5,6,7,8,9,10,11,12,13,14,15,16,17,18,19,20,21,22,23,24,25,26,27,28,29,30}-1)*LEN(Registro!$I978)+1,LEN(Registro!$I978)))," ",REPT(" ",50)),50)))),"Revisar formato"))</f>
        <v/>
      </c>
      <c r="L978" s="11" t="str">
        <f>IF(Registro!$J978="","",IFERROR(SUMPRODUCT(--("0"&amp;TRIM(RIGHT(SUBSTITUTE(TRIM(MID(SUBSTITUTE(SUBSTITUTE(Registro!$J978,";",CHAR(10)),CHAR(10),REPT(" ",LEN(Registro!$J978))),({1,2,3,4,5,6,7,8,9,10,11,12,13,14,15,16,17,18,19,20,21,22,23,24,25,26,27,28,29,30}-1)*LEN(Registro!$J978)+1,LEN(Registro!$J978)))," ",REPT(" ",50)),50)))),"Revisar formato"))</f>
        <v/>
      </c>
      <c r="M978" s="11" t="str">
        <f>IF(AND(Registro!$H978="",Registro!$I978=""),"",IF(AND(ISTEXT(K978),K978&lt;&gt;""),"Revisar formato",N(Registro!$H978)-N(K978)))</f>
        <v/>
      </c>
      <c r="N978" s="11" t="str">
        <f t="shared" si="47"/>
        <v/>
      </c>
      <c r="O978" s="15" t="str">
        <f>IF(AND(A978=Consulta!$B$3,C978=Consulta!$H$3),B978*10000+ROW(),"")</f>
        <v/>
      </c>
    </row>
    <row r="979" spans="1:15" x14ac:dyDescent="0.25">
      <c r="A979" s="9" t="str">
        <f>IF(Registro!$A979="","",Registro!$A979)</f>
        <v/>
      </c>
      <c r="B979" s="8" t="str">
        <f>IF(Registro!$B979="","",Registro!$B979)</f>
        <v/>
      </c>
      <c r="C979" s="14" t="str">
        <f t="shared" si="45"/>
        <v/>
      </c>
      <c r="D979" s="10" t="str">
        <f>IF(Registro!$E979="","",IF(ISERROR(FIND("x",LOWER(Registro!$E979))),"-",IFERROR(SUMPRODUCT(--("0"&amp;LEFT(TRIM(MID(SUBSTITUTE(SUBSTITUTE(SUBSTITUTE(SUBSTITUTE(SUBSTITUTE(LOWER(Registro!$E979),"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",LEN(Registro!$E979))),({1,2,3,4,5,6,7,8,9,10,11,12,13,14,15,16,17,18,19,20,21,22,23,24,25,26,27,28,29,30}-1)*LEN(Registro!$E979)+1,LEN(Registro!$E979)))&amp;"x")-1))),"Revisar formato")))</f>
        <v/>
      </c>
      <c r="E979" s="11" t="str">
        <f>IF(Registro!$E979="","",IF(ISERROR(FIND("x",LOWER(Registro!$E979))),"-",IFERROR(SUMPRODUCT(--("0"&amp;LEFT(TRIM(MID(SUBSTITUTE(SUBSTITUTE(SUBSTITUTE(SUBSTITUTE(SUBSTITUTE(LOWER(Registro!$E979),"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",LEN(Registro!$E979))),({1,2,3,4,5,6,7,8,9,10,11,12,13,14,15,16,17,18,19,20,21,22,23,24,25,26,27,28,29,30}-1)*LEN(Registro!$E979)+1,LEN(Registro!$E979)))&amp;"x")-1)),--("0"&amp;MID(TRIM(MID(SUBSTITUTE(SUBSTITUTE(SUBSTITUTE(SUBSTITUTE(SUBSTITUTE(LOWER(Registro!$E979),"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",LEN(Registro!$E979))),({1,2,3,4,5,6,7,8,9,10,11,12,13,14,15,16,17,18,19,20,21,22,23,24,25,26,27,28,29,30}-1)*LEN(Registro!$E979)+1,LEN(Registro!$E979)))&amp;"x")+1,20))),"Revisar formato")))</f>
        <v/>
      </c>
      <c r="F979" s="11" t="str">
        <f>IF(Registro!$F979="","",N(Registro!$F979))</f>
        <v/>
      </c>
      <c r="G979" s="11" t="str">
        <f t="shared" si="46"/>
        <v/>
      </c>
      <c r="H979" s="10" t="str">
        <f>IF(Registro!$G979="","",IF(ISERROR(FIND("x",LOWER(Registro!$G979))),"-",IFERROR(SUMPRODUCT(--("0"&amp;LEFT(TRIM(MID(SUBSTITUTE(SUBSTITUTE(SUBSTITUTE(SUBSTITUTE(SUBSTITUTE(LOWER(Registro!$G979),"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",LEN(Registro!$G979))),({1,2,3,4,5,6,7,8,9,10,11,12,13,14,15,16,17,18,19,20,21,22,23,24,25,26,27,28,29,30}-1)*LEN(Registro!$G979)+1,LEN(Registro!$G979))),FIND("x",TRIM(MID(SUBSTITUTE(SUBSTITUTE(SUBSTITUTE(SUBSTITUTE(SUBSTITUTE(LOWER(Registro!$G979),"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",LEN(Registro!$G979))),({1,2,3,4,5,6,7,8,9,10,11,12,13,14,15,16,17,18,19,20,21,22,23,24,25,26,27,28,29,30}-1)*LEN(Registro!$G979)+1,LEN(Registro!$G979)))&amp;"x")-1))),"Revisar formato")))</f>
        <v/>
      </c>
      <c r="I979" s="11" t="str">
        <f>IF(Registro!$G979="","",IF(ISERROR(FIND("x",LOWER(Registro!$G979))),N(Registro!$H979),IFERROR(SUMPRODUCT(--("0"&amp;LEFT(TRIM(MID(SUBSTITUTE(SUBSTITUTE(SUBSTITUTE(SUBSTITUTE(SUBSTITUTE(LOWER(Registro!$G979),"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",LEN(Registro!$G979))),({1,2,3,4,5,6,7,8,9,10,11,12,13,14,15,16,17,18,19,20,21,22,23,24,25,26,27,28,29,30}-1)*LEN(Registro!$G979)+1,LEN(Registro!$G979))),FIND("x",TRIM(MID(SUBSTITUTE(SUBSTITUTE(SUBSTITUTE(SUBSTITUTE(SUBSTITUTE(LOWER(Registro!$G979),"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",LEN(Registro!$G979))),({1,2,3,4,5,6,7,8,9,10,11,12,13,14,15,16,17,18,19,20,21,22,23,24,25,26,27,28,29,30}-1)*LEN(Registro!$G979)+1,LEN(Registro!$G979)))&amp;"x")-1)),--("0"&amp;MID(TRIM(MID(SUBSTITUTE(SUBSTITUTE(SUBSTITUTE(SUBSTITUTE(SUBSTITUTE(LOWER(Registro!$G979),"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",LEN(Registro!$G979))),({1,2,3,4,5,6,7,8,9,10,11,12,13,14,15,16,17,18,19,20,21,22,23,24,25,26,27,28,29,30}-1)*LEN(Registro!$G979)+1,LEN(Registro!$G979))),FIND("x",TRIM(MID(SUBSTITUTE(SUBSTITUTE(SUBSTITUTE(SUBSTITUTE(SUBSTITUTE(LOWER(Registro!$G979),"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",LEN(Registro!$G979))),({1,2,3,4,5,6,7,8,9,10,11,12,13,14,15,16,17,18,19,20,21,22,23,24,25,26,27,28,29,30}-1)*LEN(Registro!$G979)+1,LEN(Registro!$G979)))&amp;"x")+1,20))),"Revisar formato")))</f>
        <v/>
      </c>
      <c r="J979" s="9" t="str">
        <f>IF(AND(Registro!$E979="",Registro!$G979=""),"",IF(NOT(AND(ISNUMBER(I979),ISNUMBER(Registro!$H979))),"",IF(I979&lt;Registro!$H979,"FALTA BOLETOS",IF(I979=Registro!$H979,"CONFORME","DIFERENCIA"))))</f>
        <v/>
      </c>
      <c r="K979" s="11" t="str">
        <f>IF(Registro!$I979="","",IFERROR(SUMPRODUCT(--("0"&amp;TRIM(RIGHT(SUBSTITUTE(TRIM(MID(SUBSTITUTE(SUBSTITUTE(Registro!$I979,";",CHAR(10)),CHAR(10),REPT(" ",LEN(Registro!$I979))),({1,2,3,4,5,6,7,8,9,10,11,12,13,14,15,16,17,18,19,20,21,22,23,24,25,26,27,28,29,30}-1)*LEN(Registro!$I979)+1,LEN(Registro!$I979)))," ",REPT(" ",50)),50)))),"Revisar formato"))</f>
        <v/>
      </c>
      <c r="L979" s="11" t="str">
        <f>IF(Registro!$J979="","",IFERROR(SUMPRODUCT(--("0"&amp;TRIM(RIGHT(SUBSTITUTE(TRIM(MID(SUBSTITUTE(SUBSTITUTE(Registro!$J979,";",CHAR(10)),CHAR(10),REPT(" ",LEN(Registro!$J979))),({1,2,3,4,5,6,7,8,9,10,11,12,13,14,15,16,17,18,19,20,21,22,23,24,25,26,27,28,29,30}-1)*LEN(Registro!$J979)+1,LEN(Registro!$J979)))," ",REPT(" ",50)),50)))),"Revisar formato"))</f>
        <v/>
      </c>
      <c r="M979" s="11" t="str">
        <f>IF(AND(Registro!$H979="",Registro!$I979=""),"",IF(AND(ISTEXT(K979),K979&lt;&gt;""),"Revisar formato",N(Registro!$H979)-N(K979)))</f>
        <v/>
      </c>
      <c r="N979" s="11" t="str">
        <f t="shared" si="47"/>
        <v/>
      </c>
      <c r="O979" s="15" t="str">
        <f>IF(AND(A979=Consulta!$B$3,C979=Consulta!$H$3),B979*10000+ROW(),"")</f>
        <v/>
      </c>
    </row>
    <row r="980" spans="1:15" x14ac:dyDescent="0.25">
      <c r="A980" s="9" t="str">
        <f>IF(Registro!$A980="","",Registro!$A980)</f>
        <v/>
      </c>
      <c r="B980" s="8" t="str">
        <f>IF(Registro!$B980="","",Registro!$B980)</f>
        <v/>
      </c>
      <c r="C980" s="14" t="str">
        <f t="shared" si="45"/>
        <v/>
      </c>
      <c r="D980" s="10" t="str">
        <f>IF(Registro!$E980="","",IF(ISERROR(FIND("x",LOWER(Registro!$E980))),"-",IFERROR(SUMPRODUCT(--("0"&amp;LEFT(TRIM(MID(SUBSTITUTE(SUBSTITUTE(SUBSTITUTE(SUBSTITUTE(SUBSTITUTE(LOWER(Registro!$E980),"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",LEN(Registro!$E980))),({1,2,3,4,5,6,7,8,9,10,11,12,13,14,15,16,17,18,19,20,21,22,23,24,25,26,27,28,29,30}-1)*LEN(Registro!$E980)+1,LEN(Registro!$E980)))&amp;"x")-1))),"Revisar formato")))</f>
        <v/>
      </c>
      <c r="E980" s="11" t="str">
        <f>IF(Registro!$E980="","",IF(ISERROR(FIND("x",LOWER(Registro!$E980))),"-",IFERROR(SUMPRODUCT(--("0"&amp;LEFT(TRIM(MID(SUBSTITUTE(SUBSTITUTE(SUBSTITUTE(SUBSTITUTE(SUBSTITUTE(LOWER(Registro!$E980),"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",LEN(Registro!$E980))),({1,2,3,4,5,6,7,8,9,10,11,12,13,14,15,16,17,18,19,20,21,22,23,24,25,26,27,28,29,30}-1)*LEN(Registro!$E980)+1,LEN(Registro!$E980)))&amp;"x")-1)),--("0"&amp;MID(TRIM(MID(SUBSTITUTE(SUBSTITUTE(SUBSTITUTE(SUBSTITUTE(SUBSTITUTE(LOWER(Registro!$E980),"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",LEN(Registro!$E980))),({1,2,3,4,5,6,7,8,9,10,11,12,13,14,15,16,17,18,19,20,21,22,23,24,25,26,27,28,29,30}-1)*LEN(Registro!$E980)+1,LEN(Registro!$E980)))&amp;"x")+1,20))),"Revisar formato")))</f>
        <v/>
      </c>
      <c r="F980" s="11" t="str">
        <f>IF(Registro!$F980="","",N(Registro!$F980))</f>
        <v/>
      </c>
      <c r="G980" s="11" t="str">
        <f t="shared" si="46"/>
        <v/>
      </c>
      <c r="H980" s="10" t="str">
        <f>IF(Registro!$G980="","",IF(ISERROR(FIND("x",LOWER(Registro!$G980))),"-",IFERROR(SUMPRODUCT(--("0"&amp;LEFT(TRIM(MID(SUBSTITUTE(SUBSTITUTE(SUBSTITUTE(SUBSTITUTE(SUBSTITUTE(LOWER(Registro!$G980),"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",LEN(Registro!$G980))),({1,2,3,4,5,6,7,8,9,10,11,12,13,14,15,16,17,18,19,20,21,22,23,24,25,26,27,28,29,30}-1)*LEN(Registro!$G980)+1,LEN(Registro!$G980))),FIND("x",TRIM(MID(SUBSTITUTE(SUBSTITUTE(SUBSTITUTE(SUBSTITUTE(SUBSTITUTE(LOWER(Registro!$G980),"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",LEN(Registro!$G980))),({1,2,3,4,5,6,7,8,9,10,11,12,13,14,15,16,17,18,19,20,21,22,23,24,25,26,27,28,29,30}-1)*LEN(Registro!$G980)+1,LEN(Registro!$G980)))&amp;"x")-1))),"Revisar formato")))</f>
        <v/>
      </c>
      <c r="I980" s="11" t="str">
        <f>IF(Registro!$G980="","",IF(ISERROR(FIND("x",LOWER(Registro!$G980))),N(Registro!$H980),IFERROR(SUMPRODUCT(--("0"&amp;LEFT(TRIM(MID(SUBSTITUTE(SUBSTITUTE(SUBSTITUTE(SUBSTITUTE(SUBSTITUTE(LOWER(Registro!$G980),"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",LEN(Registro!$G980))),({1,2,3,4,5,6,7,8,9,10,11,12,13,14,15,16,17,18,19,20,21,22,23,24,25,26,27,28,29,30}-1)*LEN(Registro!$G980)+1,LEN(Registro!$G980))),FIND("x",TRIM(MID(SUBSTITUTE(SUBSTITUTE(SUBSTITUTE(SUBSTITUTE(SUBSTITUTE(LOWER(Registro!$G980),"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",LEN(Registro!$G980))),({1,2,3,4,5,6,7,8,9,10,11,12,13,14,15,16,17,18,19,20,21,22,23,24,25,26,27,28,29,30}-1)*LEN(Registro!$G980)+1,LEN(Registro!$G980)))&amp;"x")-1)),--("0"&amp;MID(TRIM(MID(SUBSTITUTE(SUBSTITUTE(SUBSTITUTE(SUBSTITUTE(SUBSTITUTE(LOWER(Registro!$G980),"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",LEN(Registro!$G980))),({1,2,3,4,5,6,7,8,9,10,11,12,13,14,15,16,17,18,19,20,21,22,23,24,25,26,27,28,29,30}-1)*LEN(Registro!$G980)+1,LEN(Registro!$G980))),FIND("x",TRIM(MID(SUBSTITUTE(SUBSTITUTE(SUBSTITUTE(SUBSTITUTE(SUBSTITUTE(LOWER(Registro!$G980),"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",LEN(Registro!$G980))),({1,2,3,4,5,6,7,8,9,10,11,12,13,14,15,16,17,18,19,20,21,22,23,24,25,26,27,28,29,30}-1)*LEN(Registro!$G980)+1,LEN(Registro!$G980)))&amp;"x")+1,20))),"Revisar formato")))</f>
        <v/>
      </c>
      <c r="J980" s="9" t="str">
        <f>IF(AND(Registro!$E980="",Registro!$G980=""),"",IF(NOT(AND(ISNUMBER(I980),ISNUMBER(Registro!$H980))),"",IF(I980&lt;Registro!$H980,"FALTA BOLETOS",IF(I980=Registro!$H980,"CONFORME","DIFERENCIA"))))</f>
        <v/>
      </c>
      <c r="K980" s="11" t="str">
        <f>IF(Registro!$I980="","",IFERROR(SUMPRODUCT(--("0"&amp;TRIM(RIGHT(SUBSTITUTE(TRIM(MID(SUBSTITUTE(SUBSTITUTE(Registro!$I980,";",CHAR(10)),CHAR(10),REPT(" ",LEN(Registro!$I980))),({1,2,3,4,5,6,7,8,9,10,11,12,13,14,15,16,17,18,19,20,21,22,23,24,25,26,27,28,29,30}-1)*LEN(Registro!$I980)+1,LEN(Registro!$I980)))," ",REPT(" ",50)),50)))),"Revisar formato"))</f>
        <v/>
      </c>
      <c r="L980" s="11" t="str">
        <f>IF(Registro!$J980="","",IFERROR(SUMPRODUCT(--("0"&amp;TRIM(RIGHT(SUBSTITUTE(TRIM(MID(SUBSTITUTE(SUBSTITUTE(Registro!$J980,";",CHAR(10)),CHAR(10),REPT(" ",LEN(Registro!$J980))),({1,2,3,4,5,6,7,8,9,10,11,12,13,14,15,16,17,18,19,20,21,22,23,24,25,26,27,28,29,30}-1)*LEN(Registro!$J980)+1,LEN(Registro!$J980)))," ",REPT(" ",50)),50)))),"Revisar formato"))</f>
        <v/>
      </c>
      <c r="M980" s="11" t="str">
        <f>IF(AND(Registro!$H980="",Registro!$I980=""),"",IF(AND(ISTEXT(K980),K980&lt;&gt;""),"Revisar formato",N(Registro!$H980)-N(K980)))</f>
        <v/>
      </c>
      <c r="N980" s="11" t="str">
        <f t="shared" si="47"/>
        <v/>
      </c>
      <c r="O980" s="15" t="str">
        <f>IF(AND(A980=Consulta!$B$3,C980=Consulta!$H$3),B980*10000+ROW(),"")</f>
        <v/>
      </c>
    </row>
    <row r="981" spans="1:15" x14ac:dyDescent="0.25">
      <c r="A981" s="9" t="str">
        <f>IF(Registro!$A981="","",Registro!$A981)</f>
        <v/>
      </c>
      <c r="B981" s="8" t="str">
        <f>IF(Registro!$B981="","",Registro!$B981)</f>
        <v/>
      </c>
      <c r="C981" s="14" t="str">
        <f t="shared" si="45"/>
        <v/>
      </c>
      <c r="D981" s="10" t="str">
        <f>IF(Registro!$E981="","",IF(ISERROR(FIND("x",LOWER(Registro!$E981))),"-",IFERROR(SUMPRODUCT(--("0"&amp;LEFT(TRIM(MID(SUBSTITUTE(SUBSTITUTE(SUBSTITUTE(SUBSTITUTE(SUBSTITUTE(LOWER(Registro!$E981),"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",LEN(Registro!$E981))),({1,2,3,4,5,6,7,8,9,10,11,12,13,14,15,16,17,18,19,20,21,22,23,24,25,26,27,28,29,30}-1)*LEN(Registro!$E981)+1,LEN(Registro!$E981)))&amp;"x")-1))),"Revisar formato")))</f>
        <v/>
      </c>
      <c r="E981" s="11" t="str">
        <f>IF(Registro!$E981="","",IF(ISERROR(FIND("x",LOWER(Registro!$E981))),"-",IFERROR(SUMPRODUCT(--("0"&amp;LEFT(TRIM(MID(SUBSTITUTE(SUBSTITUTE(SUBSTITUTE(SUBSTITUTE(SUBSTITUTE(LOWER(Registro!$E981),"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",LEN(Registro!$E981))),({1,2,3,4,5,6,7,8,9,10,11,12,13,14,15,16,17,18,19,20,21,22,23,24,25,26,27,28,29,30}-1)*LEN(Registro!$E981)+1,LEN(Registro!$E981)))&amp;"x")-1)),--("0"&amp;MID(TRIM(MID(SUBSTITUTE(SUBSTITUTE(SUBSTITUTE(SUBSTITUTE(SUBSTITUTE(LOWER(Registro!$E981),"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",LEN(Registro!$E981))),({1,2,3,4,5,6,7,8,9,10,11,12,13,14,15,16,17,18,19,20,21,22,23,24,25,26,27,28,29,30}-1)*LEN(Registro!$E981)+1,LEN(Registro!$E981)))&amp;"x")+1,20))),"Revisar formato")))</f>
        <v/>
      </c>
      <c r="F981" s="11" t="str">
        <f>IF(Registro!$F981="","",N(Registro!$F981))</f>
        <v/>
      </c>
      <c r="G981" s="11" t="str">
        <f t="shared" si="46"/>
        <v/>
      </c>
      <c r="H981" s="10" t="str">
        <f>IF(Registro!$G981="","",IF(ISERROR(FIND("x",LOWER(Registro!$G981))),"-",IFERROR(SUMPRODUCT(--("0"&amp;LEFT(TRIM(MID(SUBSTITUTE(SUBSTITUTE(SUBSTITUTE(SUBSTITUTE(SUBSTITUTE(LOWER(Registro!$G981),"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",LEN(Registro!$G981))),({1,2,3,4,5,6,7,8,9,10,11,12,13,14,15,16,17,18,19,20,21,22,23,24,25,26,27,28,29,30}-1)*LEN(Registro!$G981)+1,LEN(Registro!$G981))),FIND("x",TRIM(MID(SUBSTITUTE(SUBSTITUTE(SUBSTITUTE(SUBSTITUTE(SUBSTITUTE(LOWER(Registro!$G981),"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",LEN(Registro!$G981))),({1,2,3,4,5,6,7,8,9,10,11,12,13,14,15,16,17,18,19,20,21,22,23,24,25,26,27,28,29,30}-1)*LEN(Registro!$G981)+1,LEN(Registro!$G981)))&amp;"x")-1))),"Revisar formato")))</f>
        <v/>
      </c>
      <c r="I981" s="11" t="str">
        <f>IF(Registro!$G981="","",IF(ISERROR(FIND("x",LOWER(Registro!$G981))),N(Registro!$H981),IFERROR(SUMPRODUCT(--("0"&amp;LEFT(TRIM(MID(SUBSTITUTE(SUBSTITUTE(SUBSTITUTE(SUBSTITUTE(SUBSTITUTE(LOWER(Registro!$G981),"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",LEN(Registro!$G981))),({1,2,3,4,5,6,7,8,9,10,11,12,13,14,15,16,17,18,19,20,21,22,23,24,25,26,27,28,29,30}-1)*LEN(Registro!$G981)+1,LEN(Registro!$G981))),FIND("x",TRIM(MID(SUBSTITUTE(SUBSTITUTE(SUBSTITUTE(SUBSTITUTE(SUBSTITUTE(LOWER(Registro!$G981),"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",LEN(Registro!$G981))),({1,2,3,4,5,6,7,8,9,10,11,12,13,14,15,16,17,18,19,20,21,22,23,24,25,26,27,28,29,30}-1)*LEN(Registro!$G981)+1,LEN(Registro!$G981)))&amp;"x")-1)),--("0"&amp;MID(TRIM(MID(SUBSTITUTE(SUBSTITUTE(SUBSTITUTE(SUBSTITUTE(SUBSTITUTE(LOWER(Registro!$G981),"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",LEN(Registro!$G981))),({1,2,3,4,5,6,7,8,9,10,11,12,13,14,15,16,17,18,19,20,21,22,23,24,25,26,27,28,29,30}-1)*LEN(Registro!$G981)+1,LEN(Registro!$G981))),FIND("x",TRIM(MID(SUBSTITUTE(SUBSTITUTE(SUBSTITUTE(SUBSTITUTE(SUBSTITUTE(LOWER(Registro!$G981),"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",LEN(Registro!$G981))),({1,2,3,4,5,6,7,8,9,10,11,12,13,14,15,16,17,18,19,20,21,22,23,24,25,26,27,28,29,30}-1)*LEN(Registro!$G981)+1,LEN(Registro!$G981)))&amp;"x")+1,20))),"Revisar formato")))</f>
        <v/>
      </c>
      <c r="J981" s="9" t="str">
        <f>IF(AND(Registro!$E981="",Registro!$G981=""),"",IF(NOT(AND(ISNUMBER(I981),ISNUMBER(Registro!$H981))),"",IF(I981&lt;Registro!$H981,"FALTA BOLETOS",IF(I981=Registro!$H981,"CONFORME","DIFERENCIA"))))</f>
        <v/>
      </c>
      <c r="K981" s="11" t="str">
        <f>IF(Registro!$I981="","",IFERROR(SUMPRODUCT(--("0"&amp;TRIM(RIGHT(SUBSTITUTE(TRIM(MID(SUBSTITUTE(SUBSTITUTE(Registro!$I981,";",CHAR(10)),CHAR(10),REPT(" ",LEN(Registro!$I981))),({1,2,3,4,5,6,7,8,9,10,11,12,13,14,15,16,17,18,19,20,21,22,23,24,25,26,27,28,29,30}-1)*LEN(Registro!$I981)+1,LEN(Registro!$I981)))," ",REPT(" ",50)),50)))),"Revisar formato"))</f>
        <v/>
      </c>
      <c r="L981" s="11" t="str">
        <f>IF(Registro!$J981="","",IFERROR(SUMPRODUCT(--("0"&amp;TRIM(RIGHT(SUBSTITUTE(TRIM(MID(SUBSTITUTE(SUBSTITUTE(Registro!$J981,";",CHAR(10)),CHAR(10),REPT(" ",LEN(Registro!$J981))),({1,2,3,4,5,6,7,8,9,10,11,12,13,14,15,16,17,18,19,20,21,22,23,24,25,26,27,28,29,30}-1)*LEN(Registro!$J981)+1,LEN(Registro!$J981)))," ",REPT(" ",50)),50)))),"Revisar formato"))</f>
        <v/>
      </c>
      <c r="M981" s="11" t="str">
        <f>IF(AND(Registro!$H981="",Registro!$I981=""),"",IF(AND(ISTEXT(K981),K981&lt;&gt;""),"Revisar formato",N(Registro!$H981)-N(K981)))</f>
        <v/>
      </c>
      <c r="N981" s="11" t="str">
        <f t="shared" si="47"/>
        <v/>
      </c>
      <c r="O981" s="15" t="str">
        <f>IF(AND(A981=Consulta!$B$3,C981=Consulta!$H$3),B981*10000+ROW(),"")</f>
        <v/>
      </c>
    </row>
    <row r="982" spans="1:15" x14ac:dyDescent="0.25">
      <c r="A982" s="9" t="str">
        <f>IF(Registro!$A982="","",Registro!$A982)</f>
        <v/>
      </c>
      <c r="B982" s="8" t="str">
        <f>IF(Registro!$B982="","",Registro!$B982)</f>
        <v/>
      </c>
      <c r="C982" s="14" t="str">
        <f t="shared" si="45"/>
        <v/>
      </c>
      <c r="D982" s="10" t="str">
        <f>IF(Registro!$E982="","",IF(ISERROR(FIND("x",LOWER(Registro!$E982))),"-",IFERROR(SUMPRODUCT(--("0"&amp;LEFT(TRIM(MID(SUBSTITUTE(SUBSTITUTE(SUBSTITUTE(SUBSTITUTE(SUBSTITUTE(LOWER(Registro!$E982),"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",LEN(Registro!$E982))),({1,2,3,4,5,6,7,8,9,10,11,12,13,14,15,16,17,18,19,20,21,22,23,24,25,26,27,28,29,30}-1)*LEN(Registro!$E982)+1,LEN(Registro!$E982)))&amp;"x")-1))),"Revisar formato")))</f>
        <v/>
      </c>
      <c r="E982" s="11" t="str">
        <f>IF(Registro!$E982="","",IF(ISERROR(FIND("x",LOWER(Registro!$E982))),"-",IFERROR(SUMPRODUCT(--("0"&amp;LEFT(TRIM(MID(SUBSTITUTE(SUBSTITUTE(SUBSTITUTE(SUBSTITUTE(SUBSTITUTE(LOWER(Registro!$E982),"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",LEN(Registro!$E982))),({1,2,3,4,5,6,7,8,9,10,11,12,13,14,15,16,17,18,19,20,21,22,23,24,25,26,27,28,29,30}-1)*LEN(Registro!$E982)+1,LEN(Registro!$E982)))&amp;"x")-1)),--("0"&amp;MID(TRIM(MID(SUBSTITUTE(SUBSTITUTE(SUBSTITUTE(SUBSTITUTE(SUBSTITUTE(LOWER(Registro!$E982),"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",LEN(Registro!$E982))),({1,2,3,4,5,6,7,8,9,10,11,12,13,14,15,16,17,18,19,20,21,22,23,24,25,26,27,28,29,30}-1)*LEN(Registro!$E982)+1,LEN(Registro!$E982)))&amp;"x")+1,20))),"Revisar formato")))</f>
        <v/>
      </c>
      <c r="F982" s="11" t="str">
        <f>IF(Registro!$F982="","",N(Registro!$F982))</f>
        <v/>
      </c>
      <c r="G982" s="11" t="str">
        <f t="shared" si="46"/>
        <v/>
      </c>
      <c r="H982" s="10" t="str">
        <f>IF(Registro!$G982="","",IF(ISERROR(FIND("x",LOWER(Registro!$G982))),"-",IFERROR(SUMPRODUCT(--("0"&amp;LEFT(TRIM(MID(SUBSTITUTE(SUBSTITUTE(SUBSTITUTE(SUBSTITUTE(SUBSTITUTE(LOWER(Registro!$G982),"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",LEN(Registro!$G982))),({1,2,3,4,5,6,7,8,9,10,11,12,13,14,15,16,17,18,19,20,21,22,23,24,25,26,27,28,29,30}-1)*LEN(Registro!$G982)+1,LEN(Registro!$G982))),FIND("x",TRIM(MID(SUBSTITUTE(SUBSTITUTE(SUBSTITUTE(SUBSTITUTE(SUBSTITUTE(LOWER(Registro!$G982),"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",LEN(Registro!$G982))),({1,2,3,4,5,6,7,8,9,10,11,12,13,14,15,16,17,18,19,20,21,22,23,24,25,26,27,28,29,30}-1)*LEN(Registro!$G982)+1,LEN(Registro!$G982)))&amp;"x")-1))),"Revisar formato")))</f>
        <v/>
      </c>
      <c r="I982" s="11" t="str">
        <f>IF(Registro!$G982="","",IF(ISERROR(FIND("x",LOWER(Registro!$G982))),N(Registro!$H982),IFERROR(SUMPRODUCT(--("0"&amp;LEFT(TRIM(MID(SUBSTITUTE(SUBSTITUTE(SUBSTITUTE(SUBSTITUTE(SUBSTITUTE(LOWER(Registro!$G982),"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",LEN(Registro!$G982))),({1,2,3,4,5,6,7,8,9,10,11,12,13,14,15,16,17,18,19,20,21,22,23,24,25,26,27,28,29,30}-1)*LEN(Registro!$G982)+1,LEN(Registro!$G982))),FIND("x",TRIM(MID(SUBSTITUTE(SUBSTITUTE(SUBSTITUTE(SUBSTITUTE(SUBSTITUTE(LOWER(Registro!$G982),"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",LEN(Registro!$G982))),({1,2,3,4,5,6,7,8,9,10,11,12,13,14,15,16,17,18,19,20,21,22,23,24,25,26,27,28,29,30}-1)*LEN(Registro!$G982)+1,LEN(Registro!$G982)))&amp;"x")-1)),--("0"&amp;MID(TRIM(MID(SUBSTITUTE(SUBSTITUTE(SUBSTITUTE(SUBSTITUTE(SUBSTITUTE(LOWER(Registro!$G982),"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",LEN(Registro!$G982))),({1,2,3,4,5,6,7,8,9,10,11,12,13,14,15,16,17,18,19,20,21,22,23,24,25,26,27,28,29,30}-1)*LEN(Registro!$G982)+1,LEN(Registro!$G982))),FIND("x",TRIM(MID(SUBSTITUTE(SUBSTITUTE(SUBSTITUTE(SUBSTITUTE(SUBSTITUTE(LOWER(Registro!$G982),"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",LEN(Registro!$G982))),({1,2,3,4,5,6,7,8,9,10,11,12,13,14,15,16,17,18,19,20,21,22,23,24,25,26,27,28,29,30}-1)*LEN(Registro!$G982)+1,LEN(Registro!$G982)))&amp;"x")+1,20))),"Revisar formato")))</f>
        <v/>
      </c>
      <c r="J982" s="9" t="str">
        <f>IF(AND(Registro!$E982="",Registro!$G982=""),"",IF(NOT(AND(ISNUMBER(I982),ISNUMBER(Registro!$H982))),"",IF(I982&lt;Registro!$H982,"FALTA BOLETOS",IF(I982=Registro!$H982,"CONFORME","DIFERENCIA"))))</f>
        <v/>
      </c>
      <c r="K982" s="11" t="str">
        <f>IF(Registro!$I982="","",IFERROR(SUMPRODUCT(--("0"&amp;TRIM(RIGHT(SUBSTITUTE(TRIM(MID(SUBSTITUTE(SUBSTITUTE(Registro!$I982,";",CHAR(10)),CHAR(10),REPT(" ",LEN(Registro!$I982))),({1,2,3,4,5,6,7,8,9,10,11,12,13,14,15,16,17,18,19,20,21,22,23,24,25,26,27,28,29,30}-1)*LEN(Registro!$I982)+1,LEN(Registro!$I982)))," ",REPT(" ",50)),50)))),"Revisar formato"))</f>
        <v/>
      </c>
      <c r="L982" s="11" t="str">
        <f>IF(Registro!$J982="","",IFERROR(SUMPRODUCT(--("0"&amp;TRIM(RIGHT(SUBSTITUTE(TRIM(MID(SUBSTITUTE(SUBSTITUTE(Registro!$J982,";",CHAR(10)),CHAR(10),REPT(" ",LEN(Registro!$J982))),({1,2,3,4,5,6,7,8,9,10,11,12,13,14,15,16,17,18,19,20,21,22,23,24,25,26,27,28,29,30}-1)*LEN(Registro!$J982)+1,LEN(Registro!$J982)))," ",REPT(" ",50)),50)))),"Revisar formato"))</f>
        <v/>
      </c>
      <c r="M982" s="11" t="str">
        <f>IF(AND(Registro!$H982="",Registro!$I982=""),"",IF(AND(ISTEXT(K982),K982&lt;&gt;""),"Revisar formato",N(Registro!$H982)-N(K982)))</f>
        <v/>
      </c>
      <c r="N982" s="11" t="str">
        <f t="shared" si="47"/>
        <v/>
      </c>
      <c r="O982" s="15" t="str">
        <f>IF(AND(A982=Consulta!$B$3,C982=Consulta!$H$3),B982*10000+ROW(),"")</f>
        <v/>
      </c>
    </row>
    <row r="983" spans="1:15" x14ac:dyDescent="0.25">
      <c r="A983" s="9" t="str">
        <f>IF(Registro!$A983="","",Registro!$A983)</f>
        <v/>
      </c>
      <c r="B983" s="8" t="str">
        <f>IF(Registro!$B983="","",Registro!$B983)</f>
        <v/>
      </c>
      <c r="C983" s="14" t="str">
        <f t="shared" si="45"/>
        <v/>
      </c>
      <c r="D983" s="10" t="str">
        <f>IF(Registro!$E983="","",IF(ISERROR(FIND("x",LOWER(Registro!$E983))),"-",IFERROR(SUMPRODUCT(--("0"&amp;LEFT(TRIM(MID(SUBSTITUTE(SUBSTITUTE(SUBSTITUTE(SUBSTITUTE(SUBSTITUTE(LOWER(Registro!$E983),"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",LEN(Registro!$E983))),({1,2,3,4,5,6,7,8,9,10,11,12,13,14,15,16,17,18,19,20,21,22,23,24,25,26,27,28,29,30}-1)*LEN(Registro!$E983)+1,LEN(Registro!$E983)))&amp;"x")-1))),"Revisar formato")))</f>
        <v/>
      </c>
      <c r="E983" s="11" t="str">
        <f>IF(Registro!$E983="","",IF(ISERROR(FIND("x",LOWER(Registro!$E983))),"-",IFERROR(SUMPRODUCT(--("0"&amp;LEFT(TRIM(MID(SUBSTITUTE(SUBSTITUTE(SUBSTITUTE(SUBSTITUTE(SUBSTITUTE(LOWER(Registro!$E983),"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",LEN(Registro!$E983))),({1,2,3,4,5,6,7,8,9,10,11,12,13,14,15,16,17,18,19,20,21,22,23,24,25,26,27,28,29,30}-1)*LEN(Registro!$E983)+1,LEN(Registro!$E983)))&amp;"x")-1)),--("0"&amp;MID(TRIM(MID(SUBSTITUTE(SUBSTITUTE(SUBSTITUTE(SUBSTITUTE(SUBSTITUTE(LOWER(Registro!$E983),"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",LEN(Registro!$E983))),({1,2,3,4,5,6,7,8,9,10,11,12,13,14,15,16,17,18,19,20,21,22,23,24,25,26,27,28,29,30}-1)*LEN(Registro!$E983)+1,LEN(Registro!$E983)))&amp;"x")+1,20))),"Revisar formato")))</f>
        <v/>
      </c>
      <c r="F983" s="11" t="str">
        <f>IF(Registro!$F983="","",N(Registro!$F983))</f>
        <v/>
      </c>
      <c r="G983" s="11" t="str">
        <f t="shared" si="46"/>
        <v/>
      </c>
      <c r="H983" s="10" t="str">
        <f>IF(Registro!$G983="","",IF(ISERROR(FIND("x",LOWER(Registro!$G983))),"-",IFERROR(SUMPRODUCT(--("0"&amp;LEFT(TRIM(MID(SUBSTITUTE(SUBSTITUTE(SUBSTITUTE(SUBSTITUTE(SUBSTITUTE(LOWER(Registro!$G983),"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",LEN(Registro!$G983))),({1,2,3,4,5,6,7,8,9,10,11,12,13,14,15,16,17,18,19,20,21,22,23,24,25,26,27,28,29,30}-1)*LEN(Registro!$G983)+1,LEN(Registro!$G983))),FIND("x",TRIM(MID(SUBSTITUTE(SUBSTITUTE(SUBSTITUTE(SUBSTITUTE(SUBSTITUTE(LOWER(Registro!$G983),"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",LEN(Registro!$G983))),({1,2,3,4,5,6,7,8,9,10,11,12,13,14,15,16,17,18,19,20,21,22,23,24,25,26,27,28,29,30}-1)*LEN(Registro!$G983)+1,LEN(Registro!$G983)))&amp;"x")-1))),"Revisar formato")))</f>
        <v/>
      </c>
      <c r="I983" s="11" t="str">
        <f>IF(Registro!$G983="","",IF(ISERROR(FIND("x",LOWER(Registro!$G983))),N(Registro!$H983),IFERROR(SUMPRODUCT(--("0"&amp;LEFT(TRIM(MID(SUBSTITUTE(SUBSTITUTE(SUBSTITUTE(SUBSTITUTE(SUBSTITUTE(LOWER(Registro!$G983),"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",LEN(Registro!$G983))),({1,2,3,4,5,6,7,8,9,10,11,12,13,14,15,16,17,18,19,20,21,22,23,24,25,26,27,28,29,30}-1)*LEN(Registro!$G983)+1,LEN(Registro!$G983))),FIND("x",TRIM(MID(SUBSTITUTE(SUBSTITUTE(SUBSTITUTE(SUBSTITUTE(SUBSTITUTE(LOWER(Registro!$G983),"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",LEN(Registro!$G983))),({1,2,3,4,5,6,7,8,9,10,11,12,13,14,15,16,17,18,19,20,21,22,23,24,25,26,27,28,29,30}-1)*LEN(Registro!$G983)+1,LEN(Registro!$G983)))&amp;"x")-1)),--("0"&amp;MID(TRIM(MID(SUBSTITUTE(SUBSTITUTE(SUBSTITUTE(SUBSTITUTE(SUBSTITUTE(LOWER(Registro!$G983),"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",LEN(Registro!$G983))),({1,2,3,4,5,6,7,8,9,10,11,12,13,14,15,16,17,18,19,20,21,22,23,24,25,26,27,28,29,30}-1)*LEN(Registro!$G983)+1,LEN(Registro!$G983))),FIND("x",TRIM(MID(SUBSTITUTE(SUBSTITUTE(SUBSTITUTE(SUBSTITUTE(SUBSTITUTE(LOWER(Registro!$G983),"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",LEN(Registro!$G983))),({1,2,3,4,5,6,7,8,9,10,11,12,13,14,15,16,17,18,19,20,21,22,23,24,25,26,27,28,29,30}-1)*LEN(Registro!$G983)+1,LEN(Registro!$G983)))&amp;"x")+1,20))),"Revisar formato")))</f>
        <v/>
      </c>
      <c r="J983" s="9" t="str">
        <f>IF(AND(Registro!$E983="",Registro!$G983=""),"",IF(NOT(AND(ISNUMBER(I983),ISNUMBER(Registro!$H983))),"",IF(I983&lt;Registro!$H983,"FALTA BOLETOS",IF(I983=Registro!$H983,"CONFORME","DIFERENCIA"))))</f>
        <v/>
      </c>
      <c r="K983" s="11" t="str">
        <f>IF(Registro!$I983="","",IFERROR(SUMPRODUCT(--("0"&amp;TRIM(RIGHT(SUBSTITUTE(TRIM(MID(SUBSTITUTE(SUBSTITUTE(Registro!$I983,";",CHAR(10)),CHAR(10),REPT(" ",LEN(Registro!$I983))),({1,2,3,4,5,6,7,8,9,10,11,12,13,14,15,16,17,18,19,20,21,22,23,24,25,26,27,28,29,30}-1)*LEN(Registro!$I983)+1,LEN(Registro!$I983)))," ",REPT(" ",50)),50)))),"Revisar formato"))</f>
        <v/>
      </c>
      <c r="L983" s="11" t="str">
        <f>IF(Registro!$J983="","",IFERROR(SUMPRODUCT(--("0"&amp;TRIM(RIGHT(SUBSTITUTE(TRIM(MID(SUBSTITUTE(SUBSTITUTE(Registro!$J983,";",CHAR(10)),CHAR(10),REPT(" ",LEN(Registro!$J983))),({1,2,3,4,5,6,7,8,9,10,11,12,13,14,15,16,17,18,19,20,21,22,23,24,25,26,27,28,29,30}-1)*LEN(Registro!$J983)+1,LEN(Registro!$J983)))," ",REPT(" ",50)),50)))),"Revisar formato"))</f>
        <v/>
      </c>
      <c r="M983" s="11" t="str">
        <f>IF(AND(Registro!$H983="",Registro!$I983=""),"",IF(AND(ISTEXT(K983),K983&lt;&gt;""),"Revisar formato",N(Registro!$H983)-N(K983)))</f>
        <v/>
      </c>
      <c r="N983" s="11" t="str">
        <f t="shared" si="47"/>
        <v/>
      </c>
      <c r="O983" s="15" t="str">
        <f>IF(AND(A983=Consulta!$B$3,C983=Consulta!$H$3),B983*10000+ROW(),"")</f>
        <v/>
      </c>
    </row>
    <row r="984" spans="1:15" x14ac:dyDescent="0.25">
      <c r="A984" s="9" t="str">
        <f>IF(Registro!$A984="","",Registro!$A984)</f>
        <v/>
      </c>
      <c r="B984" s="8" t="str">
        <f>IF(Registro!$B984="","",Registro!$B984)</f>
        <v/>
      </c>
      <c r="C984" s="14" t="str">
        <f t="shared" si="45"/>
        <v/>
      </c>
      <c r="D984" s="10" t="str">
        <f>IF(Registro!$E984="","",IF(ISERROR(FIND("x",LOWER(Registro!$E984))),"-",IFERROR(SUMPRODUCT(--("0"&amp;LEFT(TRIM(MID(SUBSTITUTE(SUBSTITUTE(SUBSTITUTE(SUBSTITUTE(SUBSTITUTE(LOWER(Registro!$E984),"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",LEN(Registro!$E984))),({1,2,3,4,5,6,7,8,9,10,11,12,13,14,15,16,17,18,19,20,21,22,23,24,25,26,27,28,29,30}-1)*LEN(Registro!$E984)+1,LEN(Registro!$E984)))&amp;"x")-1))),"Revisar formato")))</f>
        <v/>
      </c>
      <c r="E984" s="11" t="str">
        <f>IF(Registro!$E984="","",IF(ISERROR(FIND("x",LOWER(Registro!$E984))),"-",IFERROR(SUMPRODUCT(--("0"&amp;LEFT(TRIM(MID(SUBSTITUTE(SUBSTITUTE(SUBSTITUTE(SUBSTITUTE(SUBSTITUTE(LOWER(Registro!$E984),"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",LEN(Registro!$E984))),({1,2,3,4,5,6,7,8,9,10,11,12,13,14,15,16,17,18,19,20,21,22,23,24,25,26,27,28,29,30}-1)*LEN(Registro!$E984)+1,LEN(Registro!$E984)))&amp;"x")-1)),--("0"&amp;MID(TRIM(MID(SUBSTITUTE(SUBSTITUTE(SUBSTITUTE(SUBSTITUTE(SUBSTITUTE(LOWER(Registro!$E984),"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",LEN(Registro!$E984))),({1,2,3,4,5,6,7,8,9,10,11,12,13,14,15,16,17,18,19,20,21,22,23,24,25,26,27,28,29,30}-1)*LEN(Registro!$E984)+1,LEN(Registro!$E984)))&amp;"x")+1,20))),"Revisar formato")))</f>
        <v/>
      </c>
      <c r="F984" s="11" t="str">
        <f>IF(Registro!$F984="","",N(Registro!$F984))</f>
        <v/>
      </c>
      <c r="G984" s="11" t="str">
        <f t="shared" si="46"/>
        <v/>
      </c>
      <c r="H984" s="10" t="str">
        <f>IF(Registro!$G984="","",IF(ISERROR(FIND("x",LOWER(Registro!$G984))),"-",IFERROR(SUMPRODUCT(--("0"&amp;LEFT(TRIM(MID(SUBSTITUTE(SUBSTITUTE(SUBSTITUTE(SUBSTITUTE(SUBSTITUTE(LOWER(Registro!$G984),"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",LEN(Registro!$G984))),({1,2,3,4,5,6,7,8,9,10,11,12,13,14,15,16,17,18,19,20,21,22,23,24,25,26,27,28,29,30}-1)*LEN(Registro!$G984)+1,LEN(Registro!$G984))),FIND("x",TRIM(MID(SUBSTITUTE(SUBSTITUTE(SUBSTITUTE(SUBSTITUTE(SUBSTITUTE(LOWER(Registro!$G984),"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",LEN(Registro!$G984))),({1,2,3,4,5,6,7,8,9,10,11,12,13,14,15,16,17,18,19,20,21,22,23,24,25,26,27,28,29,30}-1)*LEN(Registro!$G984)+1,LEN(Registro!$G984)))&amp;"x")-1))),"Revisar formato")))</f>
        <v/>
      </c>
      <c r="I984" s="11" t="str">
        <f>IF(Registro!$G984="","",IF(ISERROR(FIND("x",LOWER(Registro!$G984))),N(Registro!$H984),IFERROR(SUMPRODUCT(--("0"&amp;LEFT(TRIM(MID(SUBSTITUTE(SUBSTITUTE(SUBSTITUTE(SUBSTITUTE(SUBSTITUTE(LOWER(Registro!$G984),"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",LEN(Registro!$G984))),({1,2,3,4,5,6,7,8,9,10,11,12,13,14,15,16,17,18,19,20,21,22,23,24,25,26,27,28,29,30}-1)*LEN(Registro!$G984)+1,LEN(Registro!$G984))),FIND("x",TRIM(MID(SUBSTITUTE(SUBSTITUTE(SUBSTITUTE(SUBSTITUTE(SUBSTITUTE(LOWER(Registro!$G984),"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",LEN(Registro!$G984))),({1,2,3,4,5,6,7,8,9,10,11,12,13,14,15,16,17,18,19,20,21,22,23,24,25,26,27,28,29,30}-1)*LEN(Registro!$G984)+1,LEN(Registro!$G984)))&amp;"x")-1)),--("0"&amp;MID(TRIM(MID(SUBSTITUTE(SUBSTITUTE(SUBSTITUTE(SUBSTITUTE(SUBSTITUTE(LOWER(Registro!$G984),"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",LEN(Registro!$G984))),({1,2,3,4,5,6,7,8,9,10,11,12,13,14,15,16,17,18,19,20,21,22,23,24,25,26,27,28,29,30}-1)*LEN(Registro!$G984)+1,LEN(Registro!$G984))),FIND("x",TRIM(MID(SUBSTITUTE(SUBSTITUTE(SUBSTITUTE(SUBSTITUTE(SUBSTITUTE(LOWER(Registro!$G984),"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",LEN(Registro!$G984))),({1,2,3,4,5,6,7,8,9,10,11,12,13,14,15,16,17,18,19,20,21,22,23,24,25,26,27,28,29,30}-1)*LEN(Registro!$G984)+1,LEN(Registro!$G984)))&amp;"x")+1,20))),"Revisar formato")))</f>
        <v/>
      </c>
      <c r="J984" s="9" t="str">
        <f>IF(AND(Registro!$E984="",Registro!$G984=""),"",IF(NOT(AND(ISNUMBER(I984),ISNUMBER(Registro!$H984))),"",IF(I984&lt;Registro!$H984,"FALTA BOLETOS",IF(I984=Registro!$H984,"CONFORME","DIFERENCIA"))))</f>
        <v/>
      </c>
      <c r="K984" s="11" t="str">
        <f>IF(Registro!$I984="","",IFERROR(SUMPRODUCT(--("0"&amp;TRIM(RIGHT(SUBSTITUTE(TRIM(MID(SUBSTITUTE(SUBSTITUTE(Registro!$I984,";",CHAR(10)),CHAR(10),REPT(" ",LEN(Registro!$I984))),({1,2,3,4,5,6,7,8,9,10,11,12,13,14,15,16,17,18,19,20,21,22,23,24,25,26,27,28,29,30}-1)*LEN(Registro!$I984)+1,LEN(Registro!$I984)))," ",REPT(" ",50)),50)))),"Revisar formato"))</f>
        <v/>
      </c>
      <c r="L984" s="11" t="str">
        <f>IF(Registro!$J984="","",IFERROR(SUMPRODUCT(--("0"&amp;TRIM(RIGHT(SUBSTITUTE(TRIM(MID(SUBSTITUTE(SUBSTITUTE(Registro!$J984,";",CHAR(10)),CHAR(10),REPT(" ",LEN(Registro!$J984))),({1,2,3,4,5,6,7,8,9,10,11,12,13,14,15,16,17,18,19,20,21,22,23,24,25,26,27,28,29,30}-1)*LEN(Registro!$J984)+1,LEN(Registro!$J984)))," ",REPT(" ",50)),50)))),"Revisar formato"))</f>
        <v/>
      </c>
      <c r="M984" s="11" t="str">
        <f>IF(AND(Registro!$H984="",Registro!$I984=""),"",IF(AND(ISTEXT(K984),K984&lt;&gt;""),"Revisar formato",N(Registro!$H984)-N(K984)))</f>
        <v/>
      </c>
      <c r="N984" s="11" t="str">
        <f t="shared" si="47"/>
        <v/>
      </c>
      <c r="O984" s="15" t="str">
        <f>IF(AND(A984=Consulta!$B$3,C984=Consulta!$H$3),B984*10000+ROW(),"")</f>
        <v/>
      </c>
    </row>
    <row r="985" spans="1:15" x14ac:dyDescent="0.25">
      <c r="A985" s="9" t="str">
        <f>IF(Registro!$A985="","",Registro!$A985)</f>
        <v/>
      </c>
      <c r="B985" s="8" t="str">
        <f>IF(Registro!$B985="","",Registro!$B985)</f>
        <v/>
      </c>
      <c r="C985" s="14" t="str">
        <f t="shared" si="45"/>
        <v/>
      </c>
      <c r="D985" s="10" t="str">
        <f>IF(Registro!$E985="","",IF(ISERROR(FIND("x",LOWER(Registro!$E985))),"-",IFERROR(SUMPRODUCT(--("0"&amp;LEFT(TRIM(MID(SUBSTITUTE(SUBSTITUTE(SUBSTITUTE(SUBSTITUTE(SUBSTITUTE(LOWER(Registro!$E985),"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",LEN(Registro!$E985))),({1,2,3,4,5,6,7,8,9,10,11,12,13,14,15,16,17,18,19,20,21,22,23,24,25,26,27,28,29,30}-1)*LEN(Registro!$E985)+1,LEN(Registro!$E985)))&amp;"x")-1))),"Revisar formato")))</f>
        <v/>
      </c>
      <c r="E985" s="11" t="str">
        <f>IF(Registro!$E985="","",IF(ISERROR(FIND("x",LOWER(Registro!$E985))),"-",IFERROR(SUMPRODUCT(--("0"&amp;LEFT(TRIM(MID(SUBSTITUTE(SUBSTITUTE(SUBSTITUTE(SUBSTITUTE(SUBSTITUTE(LOWER(Registro!$E985),"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",LEN(Registro!$E985))),({1,2,3,4,5,6,7,8,9,10,11,12,13,14,15,16,17,18,19,20,21,22,23,24,25,26,27,28,29,30}-1)*LEN(Registro!$E985)+1,LEN(Registro!$E985)))&amp;"x")-1)),--("0"&amp;MID(TRIM(MID(SUBSTITUTE(SUBSTITUTE(SUBSTITUTE(SUBSTITUTE(SUBSTITUTE(LOWER(Registro!$E985),"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",LEN(Registro!$E985))),({1,2,3,4,5,6,7,8,9,10,11,12,13,14,15,16,17,18,19,20,21,22,23,24,25,26,27,28,29,30}-1)*LEN(Registro!$E985)+1,LEN(Registro!$E985)))&amp;"x")+1,20))),"Revisar formato")))</f>
        <v/>
      </c>
      <c r="F985" s="11" t="str">
        <f>IF(Registro!$F985="","",N(Registro!$F985))</f>
        <v/>
      </c>
      <c r="G985" s="11" t="str">
        <f t="shared" si="46"/>
        <v/>
      </c>
      <c r="H985" s="10" t="str">
        <f>IF(Registro!$G985="","",IF(ISERROR(FIND("x",LOWER(Registro!$G985))),"-",IFERROR(SUMPRODUCT(--("0"&amp;LEFT(TRIM(MID(SUBSTITUTE(SUBSTITUTE(SUBSTITUTE(SUBSTITUTE(SUBSTITUTE(LOWER(Registro!$G985),"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",LEN(Registro!$G985))),({1,2,3,4,5,6,7,8,9,10,11,12,13,14,15,16,17,18,19,20,21,22,23,24,25,26,27,28,29,30}-1)*LEN(Registro!$G985)+1,LEN(Registro!$G985))),FIND("x",TRIM(MID(SUBSTITUTE(SUBSTITUTE(SUBSTITUTE(SUBSTITUTE(SUBSTITUTE(LOWER(Registro!$G985),"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",LEN(Registro!$G985))),({1,2,3,4,5,6,7,8,9,10,11,12,13,14,15,16,17,18,19,20,21,22,23,24,25,26,27,28,29,30}-1)*LEN(Registro!$G985)+1,LEN(Registro!$G985)))&amp;"x")-1))),"Revisar formato")))</f>
        <v/>
      </c>
      <c r="I985" s="11" t="str">
        <f>IF(Registro!$G985="","",IF(ISERROR(FIND("x",LOWER(Registro!$G985))),N(Registro!$H985),IFERROR(SUMPRODUCT(--("0"&amp;LEFT(TRIM(MID(SUBSTITUTE(SUBSTITUTE(SUBSTITUTE(SUBSTITUTE(SUBSTITUTE(LOWER(Registro!$G985),"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",LEN(Registro!$G985))),({1,2,3,4,5,6,7,8,9,10,11,12,13,14,15,16,17,18,19,20,21,22,23,24,25,26,27,28,29,30}-1)*LEN(Registro!$G985)+1,LEN(Registro!$G985))),FIND("x",TRIM(MID(SUBSTITUTE(SUBSTITUTE(SUBSTITUTE(SUBSTITUTE(SUBSTITUTE(LOWER(Registro!$G985),"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",LEN(Registro!$G985))),({1,2,3,4,5,6,7,8,9,10,11,12,13,14,15,16,17,18,19,20,21,22,23,24,25,26,27,28,29,30}-1)*LEN(Registro!$G985)+1,LEN(Registro!$G985)))&amp;"x")-1)),--("0"&amp;MID(TRIM(MID(SUBSTITUTE(SUBSTITUTE(SUBSTITUTE(SUBSTITUTE(SUBSTITUTE(LOWER(Registro!$G985),"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",LEN(Registro!$G985))),({1,2,3,4,5,6,7,8,9,10,11,12,13,14,15,16,17,18,19,20,21,22,23,24,25,26,27,28,29,30}-1)*LEN(Registro!$G985)+1,LEN(Registro!$G985))),FIND("x",TRIM(MID(SUBSTITUTE(SUBSTITUTE(SUBSTITUTE(SUBSTITUTE(SUBSTITUTE(LOWER(Registro!$G985),"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",LEN(Registro!$G985))),({1,2,3,4,5,6,7,8,9,10,11,12,13,14,15,16,17,18,19,20,21,22,23,24,25,26,27,28,29,30}-1)*LEN(Registro!$G985)+1,LEN(Registro!$G985)))&amp;"x")+1,20))),"Revisar formato")))</f>
        <v/>
      </c>
      <c r="J985" s="9" t="str">
        <f>IF(AND(Registro!$E985="",Registro!$G985=""),"",IF(NOT(AND(ISNUMBER(I985),ISNUMBER(Registro!$H985))),"",IF(I985&lt;Registro!$H985,"FALTA BOLETOS",IF(I985=Registro!$H985,"CONFORME","DIFERENCIA"))))</f>
        <v/>
      </c>
      <c r="K985" s="11" t="str">
        <f>IF(Registro!$I985="","",IFERROR(SUMPRODUCT(--("0"&amp;TRIM(RIGHT(SUBSTITUTE(TRIM(MID(SUBSTITUTE(SUBSTITUTE(Registro!$I985,";",CHAR(10)),CHAR(10),REPT(" ",LEN(Registro!$I985))),({1,2,3,4,5,6,7,8,9,10,11,12,13,14,15,16,17,18,19,20,21,22,23,24,25,26,27,28,29,30}-1)*LEN(Registro!$I985)+1,LEN(Registro!$I985)))," ",REPT(" ",50)),50)))),"Revisar formato"))</f>
        <v/>
      </c>
      <c r="L985" s="11" t="str">
        <f>IF(Registro!$J985="","",IFERROR(SUMPRODUCT(--("0"&amp;TRIM(RIGHT(SUBSTITUTE(TRIM(MID(SUBSTITUTE(SUBSTITUTE(Registro!$J985,";",CHAR(10)),CHAR(10),REPT(" ",LEN(Registro!$J985))),({1,2,3,4,5,6,7,8,9,10,11,12,13,14,15,16,17,18,19,20,21,22,23,24,25,26,27,28,29,30}-1)*LEN(Registro!$J985)+1,LEN(Registro!$J985)))," ",REPT(" ",50)),50)))),"Revisar formato"))</f>
        <v/>
      </c>
      <c r="M985" s="11" t="str">
        <f>IF(AND(Registro!$H985="",Registro!$I985=""),"",IF(AND(ISTEXT(K985),K985&lt;&gt;""),"Revisar formato",N(Registro!$H985)-N(K985)))</f>
        <v/>
      </c>
      <c r="N985" s="11" t="str">
        <f t="shared" si="47"/>
        <v/>
      </c>
      <c r="O985" s="15" t="str">
        <f>IF(AND(A985=Consulta!$B$3,C985=Consulta!$H$3),B985*10000+ROW(),"")</f>
        <v/>
      </c>
    </row>
    <row r="986" spans="1:15" x14ac:dyDescent="0.25">
      <c r="A986" s="9" t="str">
        <f>IF(Registro!$A986="","",Registro!$A986)</f>
        <v/>
      </c>
      <c r="B986" s="8" t="str">
        <f>IF(Registro!$B986="","",Registro!$B986)</f>
        <v/>
      </c>
      <c r="C986" s="14" t="str">
        <f t="shared" si="45"/>
        <v/>
      </c>
      <c r="D986" s="10" t="str">
        <f>IF(Registro!$E986="","",IF(ISERROR(FIND("x",LOWER(Registro!$E986))),"-",IFERROR(SUMPRODUCT(--("0"&amp;LEFT(TRIM(MID(SUBSTITUTE(SUBSTITUTE(SUBSTITUTE(SUBSTITUTE(SUBSTITUTE(LOWER(Registro!$E986),"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",LEN(Registro!$E986))),({1,2,3,4,5,6,7,8,9,10,11,12,13,14,15,16,17,18,19,20,21,22,23,24,25,26,27,28,29,30}-1)*LEN(Registro!$E986)+1,LEN(Registro!$E986)))&amp;"x")-1))),"Revisar formato")))</f>
        <v/>
      </c>
      <c r="E986" s="11" t="str">
        <f>IF(Registro!$E986="","",IF(ISERROR(FIND("x",LOWER(Registro!$E986))),"-",IFERROR(SUMPRODUCT(--("0"&amp;LEFT(TRIM(MID(SUBSTITUTE(SUBSTITUTE(SUBSTITUTE(SUBSTITUTE(SUBSTITUTE(LOWER(Registro!$E986),"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",LEN(Registro!$E986))),({1,2,3,4,5,6,7,8,9,10,11,12,13,14,15,16,17,18,19,20,21,22,23,24,25,26,27,28,29,30}-1)*LEN(Registro!$E986)+1,LEN(Registro!$E986)))&amp;"x")-1)),--("0"&amp;MID(TRIM(MID(SUBSTITUTE(SUBSTITUTE(SUBSTITUTE(SUBSTITUTE(SUBSTITUTE(LOWER(Registro!$E986),"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",LEN(Registro!$E986))),({1,2,3,4,5,6,7,8,9,10,11,12,13,14,15,16,17,18,19,20,21,22,23,24,25,26,27,28,29,30}-1)*LEN(Registro!$E986)+1,LEN(Registro!$E986)))&amp;"x")+1,20))),"Revisar formato")))</f>
        <v/>
      </c>
      <c r="F986" s="11" t="str">
        <f>IF(Registro!$F986="","",N(Registro!$F986))</f>
        <v/>
      </c>
      <c r="G986" s="11" t="str">
        <f t="shared" si="46"/>
        <v/>
      </c>
      <c r="H986" s="10" t="str">
        <f>IF(Registro!$G986="","",IF(ISERROR(FIND("x",LOWER(Registro!$G986))),"-",IFERROR(SUMPRODUCT(--("0"&amp;LEFT(TRIM(MID(SUBSTITUTE(SUBSTITUTE(SUBSTITUTE(SUBSTITUTE(SUBSTITUTE(LOWER(Registro!$G986),"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",LEN(Registro!$G986))),({1,2,3,4,5,6,7,8,9,10,11,12,13,14,15,16,17,18,19,20,21,22,23,24,25,26,27,28,29,30}-1)*LEN(Registro!$G986)+1,LEN(Registro!$G986))),FIND("x",TRIM(MID(SUBSTITUTE(SUBSTITUTE(SUBSTITUTE(SUBSTITUTE(SUBSTITUTE(LOWER(Registro!$G986),"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",LEN(Registro!$G986))),({1,2,3,4,5,6,7,8,9,10,11,12,13,14,15,16,17,18,19,20,21,22,23,24,25,26,27,28,29,30}-1)*LEN(Registro!$G986)+1,LEN(Registro!$G986)))&amp;"x")-1))),"Revisar formato")))</f>
        <v/>
      </c>
      <c r="I986" s="11" t="str">
        <f>IF(Registro!$G986="","",IF(ISERROR(FIND("x",LOWER(Registro!$G986))),N(Registro!$H986),IFERROR(SUMPRODUCT(--("0"&amp;LEFT(TRIM(MID(SUBSTITUTE(SUBSTITUTE(SUBSTITUTE(SUBSTITUTE(SUBSTITUTE(LOWER(Registro!$G986),"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",LEN(Registro!$G986))),({1,2,3,4,5,6,7,8,9,10,11,12,13,14,15,16,17,18,19,20,21,22,23,24,25,26,27,28,29,30}-1)*LEN(Registro!$G986)+1,LEN(Registro!$G986))),FIND("x",TRIM(MID(SUBSTITUTE(SUBSTITUTE(SUBSTITUTE(SUBSTITUTE(SUBSTITUTE(LOWER(Registro!$G986),"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",LEN(Registro!$G986))),({1,2,3,4,5,6,7,8,9,10,11,12,13,14,15,16,17,18,19,20,21,22,23,24,25,26,27,28,29,30}-1)*LEN(Registro!$G986)+1,LEN(Registro!$G986)))&amp;"x")-1)),--("0"&amp;MID(TRIM(MID(SUBSTITUTE(SUBSTITUTE(SUBSTITUTE(SUBSTITUTE(SUBSTITUTE(LOWER(Registro!$G986),"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",LEN(Registro!$G986))),({1,2,3,4,5,6,7,8,9,10,11,12,13,14,15,16,17,18,19,20,21,22,23,24,25,26,27,28,29,30}-1)*LEN(Registro!$G986)+1,LEN(Registro!$G986))),FIND("x",TRIM(MID(SUBSTITUTE(SUBSTITUTE(SUBSTITUTE(SUBSTITUTE(SUBSTITUTE(LOWER(Registro!$G986),"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",LEN(Registro!$G986))),({1,2,3,4,5,6,7,8,9,10,11,12,13,14,15,16,17,18,19,20,21,22,23,24,25,26,27,28,29,30}-1)*LEN(Registro!$G986)+1,LEN(Registro!$G986)))&amp;"x")+1,20))),"Revisar formato")))</f>
        <v/>
      </c>
      <c r="J986" s="9" t="str">
        <f>IF(AND(Registro!$E986="",Registro!$G986=""),"",IF(NOT(AND(ISNUMBER(I986),ISNUMBER(Registro!$H986))),"",IF(I986&lt;Registro!$H986,"FALTA BOLETOS",IF(I986=Registro!$H986,"CONFORME","DIFERENCIA"))))</f>
        <v/>
      </c>
      <c r="K986" s="11" t="str">
        <f>IF(Registro!$I986="","",IFERROR(SUMPRODUCT(--("0"&amp;TRIM(RIGHT(SUBSTITUTE(TRIM(MID(SUBSTITUTE(SUBSTITUTE(Registro!$I986,";",CHAR(10)),CHAR(10),REPT(" ",LEN(Registro!$I986))),({1,2,3,4,5,6,7,8,9,10,11,12,13,14,15,16,17,18,19,20,21,22,23,24,25,26,27,28,29,30}-1)*LEN(Registro!$I986)+1,LEN(Registro!$I986)))," ",REPT(" ",50)),50)))),"Revisar formato"))</f>
        <v/>
      </c>
      <c r="L986" s="11" t="str">
        <f>IF(Registro!$J986="","",IFERROR(SUMPRODUCT(--("0"&amp;TRIM(RIGHT(SUBSTITUTE(TRIM(MID(SUBSTITUTE(SUBSTITUTE(Registro!$J986,";",CHAR(10)),CHAR(10),REPT(" ",LEN(Registro!$J986))),({1,2,3,4,5,6,7,8,9,10,11,12,13,14,15,16,17,18,19,20,21,22,23,24,25,26,27,28,29,30}-1)*LEN(Registro!$J986)+1,LEN(Registro!$J986)))," ",REPT(" ",50)),50)))),"Revisar formato"))</f>
        <v/>
      </c>
      <c r="M986" s="11" t="str">
        <f>IF(AND(Registro!$H986="",Registro!$I986=""),"",IF(AND(ISTEXT(K986),K986&lt;&gt;""),"Revisar formato",N(Registro!$H986)-N(K986)))</f>
        <v/>
      </c>
      <c r="N986" s="11" t="str">
        <f t="shared" si="47"/>
        <v/>
      </c>
      <c r="O986" s="15" t="str">
        <f>IF(AND(A986=Consulta!$B$3,C986=Consulta!$H$3),B986*10000+ROW(),"")</f>
        <v/>
      </c>
    </row>
    <row r="987" spans="1:15" x14ac:dyDescent="0.25">
      <c r="A987" s="9" t="str">
        <f>IF(Registro!$A987="","",Registro!$A987)</f>
        <v/>
      </c>
      <c r="B987" s="8" t="str">
        <f>IF(Registro!$B987="","",Registro!$B987)</f>
        <v/>
      </c>
      <c r="C987" s="14" t="str">
        <f t="shared" si="45"/>
        <v/>
      </c>
      <c r="D987" s="10" t="str">
        <f>IF(Registro!$E987="","",IF(ISERROR(FIND("x",LOWER(Registro!$E987))),"-",IFERROR(SUMPRODUCT(--("0"&amp;LEFT(TRIM(MID(SUBSTITUTE(SUBSTITUTE(SUBSTITUTE(SUBSTITUTE(SUBSTITUTE(LOWER(Registro!$E987),"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",LEN(Registro!$E987))),({1,2,3,4,5,6,7,8,9,10,11,12,13,14,15,16,17,18,19,20,21,22,23,24,25,26,27,28,29,30}-1)*LEN(Registro!$E987)+1,LEN(Registro!$E987)))&amp;"x")-1))),"Revisar formato")))</f>
        <v/>
      </c>
      <c r="E987" s="11" t="str">
        <f>IF(Registro!$E987="","",IF(ISERROR(FIND("x",LOWER(Registro!$E987))),"-",IFERROR(SUMPRODUCT(--("0"&amp;LEFT(TRIM(MID(SUBSTITUTE(SUBSTITUTE(SUBSTITUTE(SUBSTITUTE(SUBSTITUTE(LOWER(Registro!$E987),"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",LEN(Registro!$E987))),({1,2,3,4,5,6,7,8,9,10,11,12,13,14,15,16,17,18,19,20,21,22,23,24,25,26,27,28,29,30}-1)*LEN(Registro!$E987)+1,LEN(Registro!$E987)))&amp;"x")-1)),--("0"&amp;MID(TRIM(MID(SUBSTITUTE(SUBSTITUTE(SUBSTITUTE(SUBSTITUTE(SUBSTITUTE(LOWER(Registro!$E987),"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",LEN(Registro!$E987))),({1,2,3,4,5,6,7,8,9,10,11,12,13,14,15,16,17,18,19,20,21,22,23,24,25,26,27,28,29,30}-1)*LEN(Registro!$E987)+1,LEN(Registro!$E987)))&amp;"x")+1,20))),"Revisar formato")))</f>
        <v/>
      </c>
      <c r="F987" s="11" t="str">
        <f>IF(Registro!$F987="","",N(Registro!$F987))</f>
        <v/>
      </c>
      <c r="G987" s="11" t="str">
        <f t="shared" si="46"/>
        <v/>
      </c>
      <c r="H987" s="10" t="str">
        <f>IF(Registro!$G987="","",IF(ISERROR(FIND("x",LOWER(Registro!$G987))),"-",IFERROR(SUMPRODUCT(--("0"&amp;LEFT(TRIM(MID(SUBSTITUTE(SUBSTITUTE(SUBSTITUTE(SUBSTITUTE(SUBSTITUTE(LOWER(Registro!$G987),"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",LEN(Registro!$G987))),({1,2,3,4,5,6,7,8,9,10,11,12,13,14,15,16,17,18,19,20,21,22,23,24,25,26,27,28,29,30}-1)*LEN(Registro!$G987)+1,LEN(Registro!$G987))),FIND("x",TRIM(MID(SUBSTITUTE(SUBSTITUTE(SUBSTITUTE(SUBSTITUTE(SUBSTITUTE(LOWER(Registro!$G987),"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",LEN(Registro!$G987))),({1,2,3,4,5,6,7,8,9,10,11,12,13,14,15,16,17,18,19,20,21,22,23,24,25,26,27,28,29,30}-1)*LEN(Registro!$G987)+1,LEN(Registro!$G987)))&amp;"x")-1))),"Revisar formato")))</f>
        <v/>
      </c>
      <c r="I987" s="11" t="str">
        <f>IF(Registro!$G987="","",IF(ISERROR(FIND("x",LOWER(Registro!$G987))),N(Registro!$H987),IFERROR(SUMPRODUCT(--("0"&amp;LEFT(TRIM(MID(SUBSTITUTE(SUBSTITUTE(SUBSTITUTE(SUBSTITUTE(SUBSTITUTE(LOWER(Registro!$G987),"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",LEN(Registro!$G987))),({1,2,3,4,5,6,7,8,9,10,11,12,13,14,15,16,17,18,19,20,21,22,23,24,25,26,27,28,29,30}-1)*LEN(Registro!$G987)+1,LEN(Registro!$G987))),FIND("x",TRIM(MID(SUBSTITUTE(SUBSTITUTE(SUBSTITUTE(SUBSTITUTE(SUBSTITUTE(LOWER(Registro!$G987),"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",LEN(Registro!$G987))),({1,2,3,4,5,6,7,8,9,10,11,12,13,14,15,16,17,18,19,20,21,22,23,24,25,26,27,28,29,30}-1)*LEN(Registro!$G987)+1,LEN(Registro!$G987)))&amp;"x")-1)),--("0"&amp;MID(TRIM(MID(SUBSTITUTE(SUBSTITUTE(SUBSTITUTE(SUBSTITUTE(SUBSTITUTE(LOWER(Registro!$G987),"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",LEN(Registro!$G987))),({1,2,3,4,5,6,7,8,9,10,11,12,13,14,15,16,17,18,19,20,21,22,23,24,25,26,27,28,29,30}-1)*LEN(Registro!$G987)+1,LEN(Registro!$G987))),FIND("x",TRIM(MID(SUBSTITUTE(SUBSTITUTE(SUBSTITUTE(SUBSTITUTE(SUBSTITUTE(LOWER(Registro!$G987),"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",LEN(Registro!$G987))),({1,2,3,4,5,6,7,8,9,10,11,12,13,14,15,16,17,18,19,20,21,22,23,24,25,26,27,28,29,30}-1)*LEN(Registro!$G987)+1,LEN(Registro!$G987)))&amp;"x")+1,20))),"Revisar formato")))</f>
        <v/>
      </c>
      <c r="J987" s="9" t="str">
        <f>IF(AND(Registro!$E987="",Registro!$G987=""),"",IF(NOT(AND(ISNUMBER(I987),ISNUMBER(Registro!$H987))),"",IF(I987&lt;Registro!$H987,"FALTA BOLETOS",IF(I987=Registro!$H987,"CONFORME","DIFERENCIA"))))</f>
        <v/>
      </c>
      <c r="K987" s="11" t="str">
        <f>IF(Registro!$I987="","",IFERROR(SUMPRODUCT(--("0"&amp;TRIM(RIGHT(SUBSTITUTE(TRIM(MID(SUBSTITUTE(SUBSTITUTE(Registro!$I987,";",CHAR(10)),CHAR(10),REPT(" ",LEN(Registro!$I987))),({1,2,3,4,5,6,7,8,9,10,11,12,13,14,15,16,17,18,19,20,21,22,23,24,25,26,27,28,29,30}-1)*LEN(Registro!$I987)+1,LEN(Registro!$I987)))," ",REPT(" ",50)),50)))),"Revisar formato"))</f>
        <v/>
      </c>
      <c r="L987" s="11" t="str">
        <f>IF(Registro!$J987="","",IFERROR(SUMPRODUCT(--("0"&amp;TRIM(RIGHT(SUBSTITUTE(TRIM(MID(SUBSTITUTE(SUBSTITUTE(Registro!$J987,";",CHAR(10)),CHAR(10),REPT(" ",LEN(Registro!$J987))),({1,2,3,4,5,6,7,8,9,10,11,12,13,14,15,16,17,18,19,20,21,22,23,24,25,26,27,28,29,30}-1)*LEN(Registro!$J987)+1,LEN(Registro!$J987)))," ",REPT(" ",50)),50)))),"Revisar formato"))</f>
        <v/>
      </c>
      <c r="M987" s="11" t="str">
        <f>IF(AND(Registro!$H987="",Registro!$I987=""),"",IF(AND(ISTEXT(K987),K987&lt;&gt;""),"Revisar formato",N(Registro!$H987)-N(K987)))</f>
        <v/>
      </c>
      <c r="N987" s="11" t="str">
        <f t="shared" si="47"/>
        <v/>
      </c>
      <c r="O987" s="15" t="str">
        <f>IF(AND(A987=Consulta!$B$3,C987=Consulta!$H$3),B987*10000+ROW(),"")</f>
        <v/>
      </c>
    </row>
    <row r="988" spans="1:15" x14ac:dyDescent="0.25">
      <c r="A988" s="9" t="str">
        <f>IF(Registro!$A988="","",Registro!$A988)</f>
        <v/>
      </c>
      <c r="B988" s="8" t="str">
        <f>IF(Registro!$B988="","",Registro!$B988)</f>
        <v/>
      </c>
      <c r="C988" s="14" t="str">
        <f t="shared" si="45"/>
        <v/>
      </c>
      <c r="D988" s="10" t="str">
        <f>IF(Registro!$E988="","",IF(ISERROR(FIND("x",LOWER(Registro!$E988))),"-",IFERROR(SUMPRODUCT(--("0"&amp;LEFT(TRIM(MID(SUBSTITUTE(SUBSTITUTE(SUBSTITUTE(SUBSTITUTE(SUBSTITUTE(LOWER(Registro!$E988),"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",LEN(Registro!$E988))),({1,2,3,4,5,6,7,8,9,10,11,12,13,14,15,16,17,18,19,20,21,22,23,24,25,26,27,28,29,30}-1)*LEN(Registro!$E988)+1,LEN(Registro!$E988)))&amp;"x")-1))),"Revisar formato")))</f>
        <v/>
      </c>
      <c r="E988" s="11" t="str">
        <f>IF(Registro!$E988="","",IF(ISERROR(FIND("x",LOWER(Registro!$E988))),"-",IFERROR(SUMPRODUCT(--("0"&amp;LEFT(TRIM(MID(SUBSTITUTE(SUBSTITUTE(SUBSTITUTE(SUBSTITUTE(SUBSTITUTE(LOWER(Registro!$E988),"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",LEN(Registro!$E988))),({1,2,3,4,5,6,7,8,9,10,11,12,13,14,15,16,17,18,19,20,21,22,23,24,25,26,27,28,29,30}-1)*LEN(Registro!$E988)+1,LEN(Registro!$E988)))&amp;"x")-1)),--("0"&amp;MID(TRIM(MID(SUBSTITUTE(SUBSTITUTE(SUBSTITUTE(SUBSTITUTE(SUBSTITUTE(LOWER(Registro!$E988),"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",LEN(Registro!$E988))),({1,2,3,4,5,6,7,8,9,10,11,12,13,14,15,16,17,18,19,20,21,22,23,24,25,26,27,28,29,30}-1)*LEN(Registro!$E988)+1,LEN(Registro!$E988)))&amp;"x")+1,20))),"Revisar formato")))</f>
        <v/>
      </c>
      <c r="F988" s="11" t="str">
        <f>IF(Registro!$F988="","",N(Registro!$F988))</f>
        <v/>
      </c>
      <c r="G988" s="11" t="str">
        <f t="shared" si="46"/>
        <v/>
      </c>
      <c r="H988" s="10" t="str">
        <f>IF(Registro!$G988="","",IF(ISERROR(FIND("x",LOWER(Registro!$G988))),"-",IFERROR(SUMPRODUCT(--("0"&amp;LEFT(TRIM(MID(SUBSTITUTE(SUBSTITUTE(SUBSTITUTE(SUBSTITUTE(SUBSTITUTE(LOWER(Registro!$G988),"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",LEN(Registro!$G988))),({1,2,3,4,5,6,7,8,9,10,11,12,13,14,15,16,17,18,19,20,21,22,23,24,25,26,27,28,29,30}-1)*LEN(Registro!$G988)+1,LEN(Registro!$G988))),FIND("x",TRIM(MID(SUBSTITUTE(SUBSTITUTE(SUBSTITUTE(SUBSTITUTE(SUBSTITUTE(LOWER(Registro!$G988),"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",LEN(Registro!$G988))),({1,2,3,4,5,6,7,8,9,10,11,12,13,14,15,16,17,18,19,20,21,22,23,24,25,26,27,28,29,30}-1)*LEN(Registro!$G988)+1,LEN(Registro!$G988)))&amp;"x")-1))),"Revisar formato")))</f>
        <v/>
      </c>
      <c r="I988" s="11" t="str">
        <f>IF(Registro!$G988="","",IF(ISERROR(FIND("x",LOWER(Registro!$G988))),N(Registro!$H988),IFERROR(SUMPRODUCT(--("0"&amp;LEFT(TRIM(MID(SUBSTITUTE(SUBSTITUTE(SUBSTITUTE(SUBSTITUTE(SUBSTITUTE(LOWER(Registro!$G988),"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",LEN(Registro!$G988))),({1,2,3,4,5,6,7,8,9,10,11,12,13,14,15,16,17,18,19,20,21,22,23,24,25,26,27,28,29,30}-1)*LEN(Registro!$G988)+1,LEN(Registro!$G988))),FIND("x",TRIM(MID(SUBSTITUTE(SUBSTITUTE(SUBSTITUTE(SUBSTITUTE(SUBSTITUTE(LOWER(Registro!$G988),"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",LEN(Registro!$G988))),({1,2,3,4,5,6,7,8,9,10,11,12,13,14,15,16,17,18,19,20,21,22,23,24,25,26,27,28,29,30}-1)*LEN(Registro!$G988)+1,LEN(Registro!$G988)))&amp;"x")-1)),--("0"&amp;MID(TRIM(MID(SUBSTITUTE(SUBSTITUTE(SUBSTITUTE(SUBSTITUTE(SUBSTITUTE(LOWER(Registro!$G988),"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",LEN(Registro!$G988))),({1,2,3,4,5,6,7,8,9,10,11,12,13,14,15,16,17,18,19,20,21,22,23,24,25,26,27,28,29,30}-1)*LEN(Registro!$G988)+1,LEN(Registro!$G988))),FIND("x",TRIM(MID(SUBSTITUTE(SUBSTITUTE(SUBSTITUTE(SUBSTITUTE(SUBSTITUTE(LOWER(Registro!$G988),"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",LEN(Registro!$G988))),({1,2,3,4,5,6,7,8,9,10,11,12,13,14,15,16,17,18,19,20,21,22,23,24,25,26,27,28,29,30}-1)*LEN(Registro!$G988)+1,LEN(Registro!$G988)))&amp;"x")+1,20))),"Revisar formato")))</f>
        <v/>
      </c>
      <c r="J988" s="9" t="str">
        <f>IF(AND(Registro!$E988="",Registro!$G988=""),"",IF(NOT(AND(ISNUMBER(I988),ISNUMBER(Registro!$H988))),"",IF(I988&lt;Registro!$H988,"FALTA BOLETOS",IF(I988=Registro!$H988,"CONFORME","DIFERENCIA"))))</f>
        <v/>
      </c>
      <c r="K988" s="11" t="str">
        <f>IF(Registro!$I988="","",IFERROR(SUMPRODUCT(--("0"&amp;TRIM(RIGHT(SUBSTITUTE(TRIM(MID(SUBSTITUTE(SUBSTITUTE(Registro!$I988,";",CHAR(10)),CHAR(10),REPT(" ",LEN(Registro!$I988))),({1,2,3,4,5,6,7,8,9,10,11,12,13,14,15,16,17,18,19,20,21,22,23,24,25,26,27,28,29,30}-1)*LEN(Registro!$I988)+1,LEN(Registro!$I988)))," ",REPT(" ",50)),50)))),"Revisar formato"))</f>
        <v/>
      </c>
      <c r="L988" s="11" t="str">
        <f>IF(Registro!$J988="","",IFERROR(SUMPRODUCT(--("0"&amp;TRIM(RIGHT(SUBSTITUTE(TRIM(MID(SUBSTITUTE(SUBSTITUTE(Registro!$J988,";",CHAR(10)),CHAR(10),REPT(" ",LEN(Registro!$J988))),({1,2,3,4,5,6,7,8,9,10,11,12,13,14,15,16,17,18,19,20,21,22,23,24,25,26,27,28,29,30}-1)*LEN(Registro!$J988)+1,LEN(Registro!$J988)))," ",REPT(" ",50)),50)))),"Revisar formato"))</f>
        <v/>
      </c>
      <c r="M988" s="11" t="str">
        <f>IF(AND(Registro!$H988="",Registro!$I988=""),"",IF(AND(ISTEXT(K988),K988&lt;&gt;""),"Revisar formato",N(Registro!$H988)-N(K988)))</f>
        <v/>
      </c>
      <c r="N988" s="11" t="str">
        <f t="shared" si="47"/>
        <v/>
      </c>
      <c r="O988" s="15" t="str">
        <f>IF(AND(A988=Consulta!$B$3,C988=Consulta!$H$3),B988*10000+ROW(),"")</f>
        <v/>
      </c>
    </row>
    <row r="989" spans="1:15" x14ac:dyDescent="0.25">
      <c r="A989" s="9" t="str">
        <f>IF(Registro!$A989="","",Registro!$A989)</f>
        <v/>
      </c>
      <c r="B989" s="8" t="str">
        <f>IF(Registro!$B989="","",Registro!$B989)</f>
        <v/>
      </c>
      <c r="C989" s="14" t="str">
        <f t="shared" si="45"/>
        <v/>
      </c>
      <c r="D989" s="10" t="str">
        <f>IF(Registro!$E989="","",IF(ISERROR(FIND("x",LOWER(Registro!$E989))),"-",IFERROR(SUMPRODUCT(--("0"&amp;LEFT(TRIM(MID(SUBSTITUTE(SUBSTITUTE(SUBSTITUTE(SUBSTITUTE(SUBSTITUTE(LOWER(Registro!$E989),"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",LEN(Registro!$E989))),({1,2,3,4,5,6,7,8,9,10,11,12,13,14,15,16,17,18,19,20,21,22,23,24,25,26,27,28,29,30}-1)*LEN(Registro!$E989)+1,LEN(Registro!$E989)))&amp;"x")-1))),"Revisar formato")))</f>
        <v/>
      </c>
      <c r="E989" s="11" t="str">
        <f>IF(Registro!$E989="","",IF(ISERROR(FIND("x",LOWER(Registro!$E989))),"-",IFERROR(SUMPRODUCT(--("0"&amp;LEFT(TRIM(MID(SUBSTITUTE(SUBSTITUTE(SUBSTITUTE(SUBSTITUTE(SUBSTITUTE(LOWER(Registro!$E989),"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",LEN(Registro!$E989))),({1,2,3,4,5,6,7,8,9,10,11,12,13,14,15,16,17,18,19,20,21,22,23,24,25,26,27,28,29,30}-1)*LEN(Registro!$E989)+1,LEN(Registro!$E989)))&amp;"x")-1)),--("0"&amp;MID(TRIM(MID(SUBSTITUTE(SUBSTITUTE(SUBSTITUTE(SUBSTITUTE(SUBSTITUTE(LOWER(Registro!$E989),"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",LEN(Registro!$E989))),({1,2,3,4,5,6,7,8,9,10,11,12,13,14,15,16,17,18,19,20,21,22,23,24,25,26,27,28,29,30}-1)*LEN(Registro!$E989)+1,LEN(Registro!$E989)))&amp;"x")+1,20))),"Revisar formato")))</f>
        <v/>
      </c>
      <c r="F989" s="11" t="str">
        <f>IF(Registro!$F989="","",N(Registro!$F989))</f>
        <v/>
      </c>
      <c r="G989" s="11" t="str">
        <f t="shared" si="46"/>
        <v/>
      </c>
      <c r="H989" s="10" t="str">
        <f>IF(Registro!$G989="","",IF(ISERROR(FIND("x",LOWER(Registro!$G989))),"-",IFERROR(SUMPRODUCT(--("0"&amp;LEFT(TRIM(MID(SUBSTITUTE(SUBSTITUTE(SUBSTITUTE(SUBSTITUTE(SUBSTITUTE(LOWER(Registro!$G989),"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",LEN(Registro!$G989))),({1,2,3,4,5,6,7,8,9,10,11,12,13,14,15,16,17,18,19,20,21,22,23,24,25,26,27,28,29,30}-1)*LEN(Registro!$G989)+1,LEN(Registro!$G989))),FIND("x",TRIM(MID(SUBSTITUTE(SUBSTITUTE(SUBSTITUTE(SUBSTITUTE(SUBSTITUTE(LOWER(Registro!$G989),"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",LEN(Registro!$G989))),({1,2,3,4,5,6,7,8,9,10,11,12,13,14,15,16,17,18,19,20,21,22,23,24,25,26,27,28,29,30}-1)*LEN(Registro!$G989)+1,LEN(Registro!$G989)))&amp;"x")-1))),"Revisar formato")))</f>
        <v/>
      </c>
      <c r="I989" s="11" t="str">
        <f>IF(Registro!$G989="","",IF(ISERROR(FIND("x",LOWER(Registro!$G989))),N(Registro!$H989),IFERROR(SUMPRODUCT(--("0"&amp;LEFT(TRIM(MID(SUBSTITUTE(SUBSTITUTE(SUBSTITUTE(SUBSTITUTE(SUBSTITUTE(LOWER(Registro!$G989),"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",LEN(Registro!$G989))),({1,2,3,4,5,6,7,8,9,10,11,12,13,14,15,16,17,18,19,20,21,22,23,24,25,26,27,28,29,30}-1)*LEN(Registro!$G989)+1,LEN(Registro!$G989))),FIND("x",TRIM(MID(SUBSTITUTE(SUBSTITUTE(SUBSTITUTE(SUBSTITUTE(SUBSTITUTE(LOWER(Registro!$G989),"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",LEN(Registro!$G989))),({1,2,3,4,5,6,7,8,9,10,11,12,13,14,15,16,17,18,19,20,21,22,23,24,25,26,27,28,29,30}-1)*LEN(Registro!$G989)+1,LEN(Registro!$G989)))&amp;"x")-1)),--("0"&amp;MID(TRIM(MID(SUBSTITUTE(SUBSTITUTE(SUBSTITUTE(SUBSTITUTE(SUBSTITUTE(LOWER(Registro!$G989),"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",LEN(Registro!$G989))),({1,2,3,4,5,6,7,8,9,10,11,12,13,14,15,16,17,18,19,20,21,22,23,24,25,26,27,28,29,30}-1)*LEN(Registro!$G989)+1,LEN(Registro!$G989))),FIND("x",TRIM(MID(SUBSTITUTE(SUBSTITUTE(SUBSTITUTE(SUBSTITUTE(SUBSTITUTE(LOWER(Registro!$G989),"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",LEN(Registro!$G989))),({1,2,3,4,5,6,7,8,9,10,11,12,13,14,15,16,17,18,19,20,21,22,23,24,25,26,27,28,29,30}-1)*LEN(Registro!$G989)+1,LEN(Registro!$G989)))&amp;"x")+1,20))),"Revisar formato")))</f>
        <v/>
      </c>
      <c r="J989" s="9" t="str">
        <f>IF(AND(Registro!$E989="",Registro!$G989=""),"",IF(NOT(AND(ISNUMBER(I989),ISNUMBER(Registro!$H989))),"",IF(I989&lt;Registro!$H989,"FALTA BOLETOS",IF(I989=Registro!$H989,"CONFORME","DIFERENCIA"))))</f>
        <v/>
      </c>
      <c r="K989" s="11" t="str">
        <f>IF(Registro!$I989="","",IFERROR(SUMPRODUCT(--("0"&amp;TRIM(RIGHT(SUBSTITUTE(TRIM(MID(SUBSTITUTE(SUBSTITUTE(Registro!$I989,";",CHAR(10)),CHAR(10),REPT(" ",LEN(Registro!$I989))),({1,2,3,4,5,6,7,8,9,10,11,12,13,14,15,16,17,18,19,20,21,22,23,24,25,26,27,28,29,30}-1)*LEN(Registro!$I989)+1,LEN(Registro!$I989)))," ",REPT(" ",50)),50)))),"Revisar formato"))</f>
        <v/>
      </c>
      <c r="L989" s="11" t="str">
        <f>IF(Registro!$J989="","",IFERROR(SUMPRODUCT(--("0"&amp;TRIM(RIGHT(SUBSTITUTE(TRIM(MID(SUBSTITUTE(SUBSTITUTE(Registro!$J989,";",CHAR(10)),CHAR(10),REPT(" ",LEN(Registro!$J989))),({1,2,3,4,5,6,7,8,9,10,11,12,13,14,15,16,17,18,19,20,21,22,23,24,25,26,27,28,29,30}-1)*LEN(Registro!$J989)+1,LEN(Registro!$J989)))," ",REPT(" ",50)),50)))),"Revisar formato"))</f>
        <v/>
      </c>
      <c r="M989" s="11" t="str">
        <f>IF(AND(Registro!$H989="",Registro!$I989=""),"",IF(AND(ISTEXT(K989),K989&lt;&gt;""),"Revisar formato",N(Registro!$H989)-N(K989)))</f>
        <v/>
      </c>
      <c r="N989" s="11" t="str">
        <f t="shared" si="47"/>
        <v/>
      </c>
      <c r="O989" s="15" t="str">
        <f>IF(AND(A989=Consulta!$B$3,C989=Consulta!$H$3),B989*10000+ROW(),"")</f>
        <v/>
      </c>
    </row>
    <row r="990" spans="1:15" x14ac:dyDescent="0.25">
      <c r="A990" s="9" t="str">
        <f>IF(Registro!$A990="","",Registro!$A990)</f>
        <v/>
      </c>
      <c r="B990" s="8" t="str">
        <f>IF(Registro!$B990="","",Registro!$B990)</f>
        <v/>
      </c>
      <c r="C990" s="14" t="str">
        <f t="shared" si="45"/>
        <v/>
      </c>
      <c r="D990" s="10" t="str">
        <f>IF(Registro!$E990="","",IF(ISERROR(FIND("x",LOWER(Registro!$E990))),"-",IFERROR(SUMPRODUCT(--("0"&amp;LEFT(TRIM(MID(SUBSTITUTE(SUBSTITUTE(SUBSTITUTE(SUBSTITUTE(SUBSTITUTE(LOWER(Registro!$E990),"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",LEN(Registro!$E990))),({1,2,3,4,5,6,7,8,9,10,11,12,13,14,15,16,17,18,19,20,21,22,23,24,25,26,27,28,29,30}-1)*LEN(Registro!$E990)+1,LEN(Registro!$E990)))&amp;"x")-1))),"Revisar formato")))</f>
        <v/>
      </c>
      <c r="E990" s="11" t="str">
        <f>IF(Registro!$E990="","",IF(ISERROR(FIND("x",LOWER(Registro!$E990))),"-",IFERROR(SUMPRODUCT(--("0"&amp;LEFT(TRIM(MID(SUBSTITUTE(SUBSTITUTE(SUBSTITUTE(SUBSTITUTE(SUBSTITUTE(LOWER(Registro!$E990),"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",LEN(Registro!$E990))),({1,2,3,4,5,6,7,8,9,10,11,12,13,14,15,16,17,18,19,20,21,22,23,24,25,26,27,28,29,30}-1)*LEN(Registro!$E990)+1,LEN(Registro!$E990)))&amp;"x")-1)),--("0"&amp;MID(TRIM(MID(SUBSTITUTE(SUBSTITUTE(SUBSTITUTE(SUBSTITUTE(SUBSTITUTE(LOWER(Registro!$E990),"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",LEN(Registro!$E990))),({1,2,3,4,5,6,7,8,9,10,11,12,13,14,15,16,17,18,19,20,21,22,23,24,25,26,27,28,29,30}-1)*LEN(Registro!$E990)+1,LEN(Registro!$E990)))&amp;"x")+1,20))),"Revisar formato")))</f>
        <v/>
      </c>
      <c r="F990" s="11" t="str">
        <f>IF(Registro!$F990="","",N(Registro!$F990))</f>
        <v/>
      </c>
      <c r="G990" s="11" t="str">
        <f t="shared" si="46"/>
        <v/>
      </c>
      <c r="H990" s="10" t="str">
        <f>IF(Registro!$G990="","",IF(ISERROR(FIND("x",LOWER(Registro!$G990))),"-",IFERROR(SUMPRODUCT(--("0"&amp;LEFT(TRIM(MID(SUBSTITUTE(SUBSTITUTE(SUBSTITUTE(SUBSTITUTE(SUBSTITUTE(LOWER(Registro!$G990),"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",LEN(Registro!$G990))),({1,2,3,4,5,6,7,8,9,10,11,12,13,14,15,16,17,18,19,20,21,22,23,24,25,26,27,28,29,30}-1)*LEN(Registro!$G990)+1,LEN(Registro!$G990))),FIND("x",TRIM(MID(SUBSTITUTE(SUBSTITUTE(SUBSTITUTE(SUBSTITUTE(SUBSTITUTE(LOWER(Registro!$G990),"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",LEN(Registro!$G990))),({1,2,3,4,5,6,7,8,9,10,11,12,13,14,15,16,17,18,19,20,21,22,23,24,25,26,27,28,29,30}-1)*LEN(Registro!$G990)+1,LEN(Registro!$G990)))&amp;"x")-1))),"Revisar formato")))</f>
        <v/>
      </c>
      <c r="I990" s="11" t="str">
        <f>IF(Registro!$G990="","",IF(ISERROR(FIND("x",LOWER(Registro!$G990))),N(Registro!$H990),IFERROR(SUMPRODUCT(--("0"&amp;LEFT(TRIM(MID(SUBSTITUTE(SUBSTITUTE(SUBSTITUTE(SUBSTITUTE(SUBSTITUTE(LOWER(Registro!$G990),"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",LEN(Registro!$G990))),({1,2,3,4,5,6,7,8,9,10,11,12,13,14,15,16,17,18,19,20,21,22,23,24,25,26,27,28,29,30}-1)*LEN(Registro!$G990)+1,LEN(Registro!$G990))),FIND("x",TRIM(MID(SUBSTITUTE(SUBSTITUTE(SUBSTITUTE(SUBSTITUTE(SUBSTITUTE(LOWER(Registro!$G990),"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",LEN(Registro!$G990))),({1,2,3,4,5,6,7,8,9,10,11,12,13,14,15,16,17,18,19,20,21,22,23,24,25,26,27,28,29,30}-1)*LEN(Registro!$G990)+1,LEN(Registro!$G990)))&amp;"x")-1)),--("0"&amp;MID(TRIM(MID(SUBSTITUTE(SUBSTITUTE(SUBSTITUTE(SUBSTITUTE(SUBSTITUTE(LOWER(Registro!$G990),"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",LEN(Registro!$G990))),({1,2,3,4,5,6,7,8,9,10,11,12,13,14,15,16,17,18,19,20,21,22,23,24,25,26,27,28,29,30}-1)*LEN(Registro!$G990)+1,LEN(Registro!$G990))),FIND("x",TRIM(MID(SUBSTITUTE(SUBSTITUTE(SUBSTITUTE(SUBSTITUTE(SUBSTITUTE(LOWER(Registro!$G990),"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",LEN(Registro!$G990))),({1,2,3,4,5,6,7,8,9,10,11,12,13,14,15,16,17,18,19,20,21,22,23,24,25,26,27,28,29,30}-1)*LEN(Registro!$G990)+1,LEN(Registro!$G990)))&amp;"x")+1,20))),"Revisar formato")))</f>
        <v/>
      </c>
      <c r="J990" s="9" t="str">
        <f>IF(AND(Registro!$E990="",Registro!$G990=""),"",IF(NOT(AND(ISNUMBER(I990),ISNUMBER(Registro!$H990))),"",IF(I990&lt;Registro!$H990,"FALTA BOLETOS",IF(I990=Registro!$H990,"CONFORME","DIFERENCIA"))))</f>
        <v/>
      </c>
      <c r="K990" s="11" t="str">
        <f>IF(Registro!$I990="","",IFERROR(SUMPRODUCT(--("0"&amp;TRIM(RIGHT(SUBSTITUTE(TRIM(MID(SUBSTITUTE(SUBSTITUTE(Registro!$I990,";",CHAR(10)),CHAR(10),REPT(" ",LEN(Registro!$I990))),({1,2,3,4,5,6,7,8,9,10,11,12,13,14,15,16,17,18,19,20,21,22,23,24,25,26,27,28,29,30}-1)*LEN(Registro!$I990)+1,LEN(Registro!$I990)))," ",REPT(" ",50)),50)))),"Revisar formato"))</f>
        <v/>
      </c>
      <c r="L990" s="11" t="str">
        <f>IF(Registro!$J990="","",IFERROR(SUMPRODUCT(--("0"&amp;TRIM(RIGHT(SUBSTITUTE(TRIM(MID(SUBSTITUTE(SUBSTITUTE(Registro!$J990,";",CHAR(10)),CHAR(10),REPT(" ",LEN(Registro!$J990))),({1,2,3,4,5,6,7,8,9,10,11,12,13,14,15,16,17,18,19,20,21,22,23,24,25,26,27,28,29,30}-1)*LEN(Registro!$J990)+1,LEN(Registro!$J990)))," ",REPT(" ",50)),50)))),"Revisar formato"))</f>
        <v/>
      </c>
      <c r="M990" s="11" t="str">
        <f>IF(AND(Registro!$H990="",Registro!$I990=""),"",IF(AND(ISTEXT(K990),K990&lt;&gt;""),"Revisar formato",N(Registro!$H990)-N(K990)))</f>
        <v/>
      </c>
      <c r="N990" s="11" t="str">
        <f t="shared" si="47"/>
        <v/>
      </c>
      <c r="O990" s="15" t="str">
        <f>IF(AND(A990=Consulta!$B$3,C990=Consulta!$H$3),B990*10000+ROW(),"")</f>
        <v/>
      </c>
    </row>
    <row r="991" spans="1:15" x14ac:dyDescent="0.25">
      <c r="A991" s="9" t="str">
        <f>IF(Registro!$A991="","",Registro!$A991)</f>
        <v/>
      </c>
      <c r="B991" s="8" t="str">
        <f>IF(Registro!$B991="","",Registro!$B991)</f>
        <v/>
      </c>
      <c r="C991" s="14" t="str">
        <f t="shared" si="45"/>
        <v/>
      </c>
      <c r="D991" s="10" t="str">
        <f>IF(Registro!$E991="","",IF(ISERROR(FIND("x",LOWER(Registro!$E991))),"-",IFERROR(SUMPRODUCT(--("0"&amp;LEFT(TRIM(MID(SUBSTITUTE(SUBSTITUTE(SUBSTITUTE(SUBSTITUTE(SUBSTITUTE(LOWER(Registro!$E991),"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",LEN(Registro!$E991))),({1,2,3,4,5,6,7,8,9,10,11,12,13,14,15,16,17,18,19,20,21,22,23,24,25,26,27,28,29,30}-1)*LEN(Registro!$E991)+1,LEN(Registro!$E991)))&amp;"x")-1))),"Revisar formato")))</f>
        <v/>
      </c>
      <c r="E991" s="11" t="str">
        <f>IF(Registro!$E991="","",IF(ISERROR(FIND("x",LOWER(Registro!$E991))),"-",IFERROR(SUMPRODUCT(--("0"&amp;LEFT(TRIM(MID(SUBSTITUTE(SUBSTITUTE(SUBSTITUTE(SUBSTITUTE(SUBSTITUTE(LOWER(Registro!$E991),"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",LEN(Registro!$E991))),({1,2,3,4,5,6,7,8,9,10,11,12,13,14,15,16,17,18,19,20,21,22,23,24,25,26,27,28,29,30}-1)*LEN(Registro!$E991)+1,LEN(Registro!$E991)))&amp;"x")-1)),--("0"&amp;MID(TRIM(MID(SUBSTITUTE(SUBSTITUTE(SUBSTITUTE(SUBSTITUTE(SUBSTITUTE(LOWER(Registro!$E991),"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",LEN(Registro!$E991))),({1,2,3,4,5,6,7,8,9,10,11,12,13,14,15,16,17,18,19,20,21,22,23,24,25,26,27,28,29,30}-1)*LEN(Registro!$E991)+1,LEN(Registro!$E991)))&amp;"x")+1,20))),"Revisar formato")))</f>
        <v/>
      </c>
      <c r="F991" s="11" t="str">
        <f>IF(Registro!$F991="","",N(Registro!$F991))</f>
        <v/>
      </c>
      <c r="G991" s="11" t="str">
        <f t="shared" si="46"/>
        <v/>
      </c>
      <c r="H991" s="10" t="str">
        <f>IF(Registro!$G991="","",IF(ISERROR(FIND("x",LOWER(Registro!$G991))),"-",IFERROR(SUMPRODUCT(--("0"&amp;LEFT(TRIM(MID(SUBSTITUTE(SUBSTITUTE(SUBSTITUTE(SUBSTITUTE(SUBSTITUTE(LOWER(Registro!$G991),"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",LEN(Registro!$G991))),({1,2,3,4,5,6,7,8,9,10,11,12,13,14,15,16,17,18,19,20,21,22,23,24,25,26,27,28,29,30}-1)*LEN(Registro!$G991)+1,LEN(Registro!$G991))),FIND("x",TRIM(MID(SUBSTITUTE(SUBSTITUTE(SUBSTITUTE(SUBSTITUTE(SUBSTITUTE(LOWER(Registro!$G991),"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",LEN(Registro!$G991))),({1,2,3,4,5,6,7,8,9,10,11,12,13,14,15,16,17,18,19,20,21,22,23,24,25,26,27,28,29,30}-1)*LEN(Registro!$G991)+1,LEN(Registro!$G991)))&amp;"x")-1))),"Revisar formato")))</f>
        <v/>
      </c>
      <c r="I991" s="11" t="str">
        <f>IF(Registro!$G991="","",IF(ISERROR(FIND("x",LOWER(Registro!$G991))),N(Registro!$H991),IFERROR(SUMPRODUCT(--("0"&amp;LEFT(TRIM(MID(SUBSTITUTE(SUBSTITUTE(SUBSTITUTE(SUBSTITUTE(SUBSTITUTE(LOWER(Registro!$G991),"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",LEN(Registro!$G991))),({1,2,3,4,5,6,7,8,9,10,11,12,13,14,15,16,17,18,19,20,21,22,23,24,25,26,27,28,29,30}-1)*LEN(Registro!$G991)+1,LEN(Registro!$G991))),FIND("x",TRIM(MID(SUBSTITUTE(SUBSTITUTE(SUBSTITUTE(SUBSTITUTE(SUBSTITUTE(LOWER(Registro!$G991),"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",LEN(Registro!$G991))),({1,2,3,4,5,6,7,8,9,10,11,12,13,14,15,16,17,18,19,20,21,22,23,24,25,26,27,28,29,30}-1)*LEN(Registro!$G991)+1,LEN(Registro!$G991)))&amp;"x")-1)),--("0"&amp;MID(TRIM(MID(SUBSTITUTE(SUBSTITUTE(SUBSTITUTE(SUBSTITUTE(SUBSTITUTE(LOWER(Registro!$G991),"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",LEN(Registro!$G991))),({1,2,3,4,5,6,7,8,9,10,11,12,13,14,15,16,17,18,19,20,21,22,23,24,25,26,27,28,29,30}-1)*LEN(Registro!$G991)+1,LEN(Registro!$G991))),FIND("x",TRIM(MID(SUBSTITUTE(SUBSTITUTE(SUBSTITUTE(SUBSTITUTE(SUBSTITUTE(LOWER(Registro!$G991),"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",LEN(Registro!$G991))),({1,2,3,4,5,6,7,8,9,10,11,12,13,14,15,16,17,18,19,20,21,22,23,24,25,26,27,28,29,30}-1)*LEN(Registro!$G991)+1,LEN(Registro!$G991)))&amp;"x")+1,20))),"Revisar formato")))</f>
        <v/>
      </c>
      <c r="J991" s="9" t="str">
        <f>IF(AND(Registro!$E991="",Registro!$G991=""),"",IF(NOT(AND(ISNUMBER(I991),ISNUMBER(Registro!$H991))),"",IF(I991&lt;Registro!$H991,"FALTA BOLETOS",IF(I991=Registro!$H991,"CONFORME","DIFERENCIA"))))</f>
        <v/>
      </c>
      <c r="K991" s="11" t="str">
        <f>IF(Registro!$I991="","",IFERROR(SUMPRODUCT(--("0"&amp;TRIM(RIGHT(SUBSTITUTE(TRIM(MID(SUBSTITUTE(SUBSTITUTE(Registro!$I991,";",CHAR(10)),CHAR(10),REPT(" ",LEN(Registro!$I991))),({1,2,3,4,5,6,7,8,9,10,11,12,13,14,15,16,17,18,19,20,21,22,23,24,25,26,27,28,29,30}-1)*LEN(Registro!$I991)+1,LEN(Registro!$I991)))," ",REPT(" ",50)),50)))),"Revisar formato"))</f>
        <v/>
      </c>
      <c r="L991" s="11" t="str">
        <f>IF(Registro!$J991="","",IFERROR(SUMPRODUCT(--("0"&amp;TRIM(RIGHT(SUBSTITUTE(TRIM(MID(SUBSTITUTE(SUBSTITUTE(Registro!$J991,";",CHAR(10)),CHAR(10),REPT(" ",LEN(Registro!$J991))),({1,2,3,4,5,6,7,8,9,10,11,12,13,14,15,16,17,18,19,20,21,22,23,24,25,26,27,28,29,30}-1)*LEN(Registro!$J991)+1,LEN(Registro!$J991)))," ",REPT(" ",50)),50)))),"Revisar formato"))</f>
        <v/>
      </c>
      <c r="M991" s="11" t="str">
        <f>IF(AND(Registro!$H991="",Registro!$I991=""),"",IF(AND(ISTEXT(K991),K991&lt;&gt;""),"Revisar formato",N(Registro!$H991)-N(K991)))</f>
        <v/>
      </c>
      <c r="N991" s="11" t="str">
        <f t="shared" si="47"/>
        <v/>
      </c>
      <c r="O991" s="15" t="str">
        <f>IF(AND(A991=Consulta!$B$3,C991=Consulta!$H$3),B991*10000+ROW(),"")</f>
        <v/>
      </c>
    </row>
    <row r="992" spans="1:15" x14ac:dyDescent="0.25">
      <c r="A992" s="9" t="str">
        <f>IF(Registro!$A992="","",Registro!$A992)</f>
        <v/>
      </c>
      <c r="B992" s="8" t="str">
        <f>IF(Registro!$B992="","",Registro!$B992)</f>
        <v/>
      </c>
      <c r="C992" s="14" t="str">
        <f t="shared" si="45"/>
        <v/>
      </c>
      <c r="D992" s="10" t="str">
        <f>IF(Registro!$E992="","",IF(ISERROR(FIND("x",LOWER(Registro!$E992))),"-",IFERROR(SUMPRODUCT(--("0"&amp;LEFT(TRIM(MID(SUBSTITUTE(SUBSTITUTE(SUBSTITUTE(SUBSTITUTE(SUBSTITUTE(LOWER(Registro!$E992),"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",LEN(Registro!$E992))),({1,2,3,4,5,6,7,8,9,10,11,12,13,14,15,16,17,18,19,20,21,22,23,24,25,26,27,28,29,30}-1)*LEN(Registro!$E992)+1,LEN(Registro!$E992)))&amp;"x")-1))),"Revisar formato")))</f>
        <v/>
      </c>
      <c r="E992" s="11" t="str">
        <f>IF(Registro!$E992="","",IF(ISERROR(FIND("x",LOWER(Registro!$E992))),"-",IFERROR(SUMPRODUCT(--("0"&amp;LEFT(TRIM(MID(SUBSTITUTE(SUBSTITUTE(SUBSTITUTE(SUBSTITUTE(SUBSTITUTE(LOWER(Registro!$E992),"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",LEN(Registro!$E992))),({1,2,3,4,5,6,7,8,9,10,11,12,13,14,15,16,17,18,19,20,21,22,23,24,25,26,27,28,29,30}-1)*LEN(Registro!$E992)+1,LEN(Registro!$E992)))&amp;"x")-1)),--("0"&amp;MID(TRIM(MID(SUBSTITUTE(SUBSTITUTE(SUBSTITUTE(SUBSTITUTE(SUBSTITUTE(LOWER(Registro!$E992),"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",LEN(Registro!$E992))),({1,2,3,4,5,6,7,8,9,10,11,12,13,14,15,16,17,18,19,20,21,22,23,24,25,26,27,28,29,30}-1)*LEN(Registro!$E992)+1,LEN(Registro!$E992)))&amp;"x")+1,20))),"Revisar formato")))</f>
        <v/>
      </c>
      <c r="F992" s="11" t="str">
        <f>IF(Registro!$F992="","",N(Registro!$F992))</f>
        <v/>
      </c>
      <c r="G992" s="11" t="str">
        <f t="shared" si="46"/>
        <v/>
      </c>
      <c r="H992" s="10" t="str">
        <f>IF(Registro!$G992="","",IF(ISERROR(FIND("x",LOWER(Registro!$G992))),"-",IFERROR(SUMPRODUCT(--("0"&amp;LEFT(TRIM(MID(SUBSTITUTE(SUBSTITUTE(SUBSTITUTE(SUBSTITUTE(SUBSTITUTE(LOWER(Registro!$G992),"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",LEN(Registro!$G992))),({1,2,3,4,5,6,7,8,9,10,11,12,13,14,15,16,17,18,19,20,21,22,23,24,25,26,27,28,29,30}-1)*LEN(Registro!$G992)+1,LEN(Registro!$G992))),FIND("x",TRIM(MID(SUBSTITUTE(SUBSTITUTE(SUBSTITUTE(SUBSTITUTE(SUBSTITUTE(LOWER(Registro!$G992),"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",LEN(Registro!$G992))),({1,2,3,4,5,6,7,8,9,10,11,12,13,14,15,16,17,18,19,20,21,22,23,24,25,26,27,28,29,30}-1)*LEN(Registro!$G992)+1,LEN(Registro!$G992)))&amp;"x")-1))),"Revisar formato")))</f>
        <v/>
      </c>
      <c r="I992" s="11" t="str">
        <f>IF(Registro!$G992="","",IF(ISERROR(FIND("x",LOWER(Registro!$G992))),N(Registro!$H992),IFERROR(SUMPRODUCT(--("0"&amp;LEFT(TRIM(MID(SUBSTITUTE(SUBSTITUTE(SUBSTITUTE(SUBSTITUTE(SUBSTITUTE(LOWER(Registro!$G992),"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",LEN(Registro!$G992))),({1,2,3,4,5,6,7,8,9,10,11,12,13,14,15,16,17,18,19,20,21,22,23,24,25,26,27,28,29,30}-1)*LEN(Registro!$G992)+1,LEN(Registro!$G992))),FIND("x",TRIM(MID(SUBSTITUTE(SUBSTITUTE(SUBSTITUTE(SUBSTITUTE(SUBSTITUTE(LOWER(Registro!$G992),"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",LEN(Registro!$G992))),({1,2,3,4,5,6,7,8,9,10,11,12,13,14,15,16,17,18,19,20,21,22,23,24,25,26,27,28,29,30}-1)*LEN(Registro!$G992)+1,LEN(Registro!$G992)))&amp;"x")-1)),--("0"&amp;MID(TRIM(MID(SUBSTITUTE(SUBSTITUTE(SUBSTITUTE(SUBSTITUTE(SUBSTITUTE(LOWER(Registro!$G992),"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",LEN(Registro!$G992))),({1,2,3,4,5,6,7,8,9,10,11,12,13,14,15,16,17,18,19,20,21,22,23,24,25,26,27,28,29,30}-1)*LEN(Registro!$G992)+1,LEN(Registro!$G992))),FIND("x",TRIM(MID(SUBSTITUTE(SUBSTITUTE(SUBSTITUTE(SUBSTITUTE(SUBSTITUTE(LOWER(Registro!$G992),"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",LEN(Registro!$G992))),({1,2,3,4,5,6,7,8,9,10,11,12,13,14,15,16,17,18,19,20,21,22,23,24,25,26,27,28,29,30}-1)*LEN(Registro!$G992)+1,LEN(Registro!$G992)))&amp;"x")+1,20))),"Revisar formato")))</f>
        <v/>
      </c>
      <c r="J992" s="9" t="str">
        <f>IF(AND(Registro!$E992="",Registro!$G992=""),"",IF(NOT(AND(ISNUMBER(I992),ISNUMBER(Registro!$H992))),"",IF(I992&lt;Registro!$H992,"FALTA BOLETOS",IF(I992=Registro!$H992,"CONFORME","DIFERENCIA"))))</f>
        <v/>
      </c>
      <c r="K992" s="11" t="str">
        <f>IF(Registro!$I992="","",IFERROR(SUMPRODUCT(--("0"&amp;TRIM(RIGHT(SUBSTITUTE(TRIM(MID(SUBSTITUTE(SUBSTITUTE(Registro!$I992,";",CHAR(10)),CHAR(10),REPT(" ",LEN(Registro!$I992))),({1,2,3,4,5,6,7,8,9,10,11,12,13,14,15,16,17,18,19,20,21,22,23,24,25,26,27,28,29,30}-1)*LEN(Registro!$I992)+1,LEN(Registro!$I992)))," ",REPT(" ",50)),50)))),"Revisar formato"))</f>
        <v/>
      </c>
      <c r="L992" s="11" t="str">
        <f>IF(Registro!$J992="","",IFERROR(SUMPRODUCT(--("0"&amp;TRIM(RIGHT(SUBSTITUTE(TRIM(MID(SUBSTITUTE(SUBSTITUTE(Registro!$J992,";",CHAR(10)),CHAR(10),REPT(" ",LEN(Registro!$J992))),({1,2,3,4,5,6,7,8,9,10,11,12,13,14,15,16,17,18,19,20,21,22,23,24,25,26,27,28,29,30}-1)*LEN(Registro!$J992)+1,LEN(Registro!$J992)))," ",REPT(" ",50)),50)))),"Revisar formato"))</f>
        <v/>
      </c>
      <c r="M992" s="11" t="str">
        <f>IF(AND(Registro!$H992="",Registro!$I992=""),"",IF(AND(ISTEXT(K992),K992&lt;&gt;""),"Revisar formato",N(Registro!$H992)-N(K992)))</f>
        <v/>
      </c>
      <c r="N992" s="11" t="str">
        <f t="shared" si="47"/>
        <v/>
      </c>
      <c r="O992" s="15" t="str">
        <f>IF(AND(A992=Consulta!$B$3,C992=Consulta!$H$3),B992*10000+ROW(),"")</f>
        <v/>
      </c>
    </row>
    <row r="993" spans="1:15" x14ac:dyDescent="0.25">
      <c r="A993" s="9" t="str">
        <f>IF(Registro!$A993="","",Registro!$A993)</f>
        <v/>
      </c>
      <c r="B993" s="8" t="str">
        <f>IF(Registro!$B993="","",Registro!$B993)</f>
        <v/>
      </c>
      <c r="C993" s="14" t="str">
        <f t="shared" si="45"/>
        <v/>
      </c>
      <c r="D993" s="10" t="str">
        <f>IF(Registro!$E993="","",IF(ISERROR(FIND("x",LOWER(Registro!$E993))),"-",IFERROR(SUMPRODUCT(--("0"&amp;LEFT(TRIM(MID(SUBSTITUTE(SUBSTITUTE(SUBSTITUTE(SUBSTITUTE(SUBSTITUTE(LOWER(Registro!$E993),"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",LEN(Registro!$E993))),({1,2,3,4,5,6,7,8,9,10,11,12,13,14,15,16,17,18,19,20,21,22,23,24,25,26,27,28,29,30}-1)*LEN(Registro!$E993)+1,LEN(Registro!$E993)))&amp;"x")-1))),"Revisar formato")))</f>
        <v/>
      </c>
      <c r="E993" s="11" t="str">
        <f>IF(Registro!$E993="","",IF(ISERROR(FIND("x",LOWER(Registro!$E993))),"-",IFERROR(SUMPRODUCT(--("0"&amp;LEFT(TRIM(MID(SUBSTITUTE(SUBSTITUTE(SUBSTITUTE(SUBSTITUTE(SUBSTITUTE(LOWER(Registro!$E993),"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",LEN(Registro!$E993))),({1,2,3,4,5,6,7,8,9,10,11,12,13,14,15,16,17,18,19,20,21,22,23,24,25,26,27,28,29,30}-1)*LEN(Registro!$E993)+1,LEN(Registro!$E993)))&amp;"x")-1)),--("0"&amp;MID(TRIM(MID(SUBSTITUTE(SUBSTITUTE(SUBSTITUTE(SUBSTITUTE(SUBSTITUTE(LOWER(Registro!$E993),"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",LEN(Registro!$E993))),({1,2,3,4,5,6,7,8,9,10,11,12,13,14,15,16,17,18,19,20,21,22,23,24,25,26,27,28,29,30}-1)*LEN(Registro!$E993)+1,LEN(Registro!$E993)))&amp;"x")+1,20))),"Revisar formato")))</f>
        <v/>
      </c>
      <c r="F993" s="11" t="str">
        <f>IF(Registro!$F993="","",N(Registro!$F993))</f>
        <v/>
      </c>
      <c r="G993" s="11" t="str">
        <f t="shared" si="46"/>
        <v/>
      </c>
      <c r="H993" s="10" t="str">
        <f>IF(Registro!$G993="","",IF(ISERROR(FIND("x",LOWER(Registro!$G993))),"-",IFERROR(SUMPRODUCT(--("0"&amp;LEFT(TRIM(MID(SUBSTITUTE(SUBSTITUTE(SUBSTITUTE(SUBSTITUTE(SUBSTITUTE(LOWER(Registro!$G993),"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",LEN(Registro!$G993))),({1,2,3,4,5,6,7,8,9,10,11,12,13,14,15,16,17,18,19,20,21,22,23,24,25,26,27,28,29,30}-1)*LEN(Registro!$G993)+1,LEN(Registro!$G993))),FIND("x",TRIM(MID(SUBSTITUTE(SUBSTITUTE(SUBSTITUTE(SUBSTITUTE(SUBSTITUTE(LOWER(Registro!$G993),"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",LEN(Registro!$G993))),({1,2,3,4,5,6,7,8,9,10,11,12,13,14,15,16,17,18,19,20,21,22,23,24,25,26,27,28,29,30}-1)*LEN(Registro!$G993)+1,LEN(Registro!$G993)))&amp;"x")-1))),"Revisar formato")))</f>
        <v/>
      </c>
      <c r="I993" s="11" t="str">
        <f>IF(Registro!$G993="","",IF(ISERROR(FIND("x",LOWER(Registro!$G993))),N(Registro!$H993),IFERROR(SUMPRODUCT(--("0"&amp;LEFT(TRIM(MID(SUBSTITUTE(SUBSTITUTE(SUBSTITUTE(SUBSTITUTE(SUBSTITUTE(LOWER(Registro!$G993),"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",LEN(Registro!$G993))),({1,2,3,4,5,6,7,8,9,10,11,12,13,14,15,16,17,18,19,20,21,22,23,24,25,26,27,28,29,30}-1)*LEN(Registro!$G993)+1,LEN(Registro!$G993))),FIND("x",TRIM(MID(SUBSTITUTE(SUBSTITUTE(SUBSTITUTE(SUBSTITUTE(SUBSTITUTE(LOWER(Registro!$G993),"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",LEN(Registro!$G993))),({1,2,3,4,5,6,7,8,9,10,11,12,13,14,15,16,17,18,19,20,21,22,23,24,25,26,27,28,29,30}-1)*LEN(Registro!$G993)+1,LEN(Registro!$G993)))&amp;"x")-1)),--("0"&amp;MID(TRIM(MID(SUBSTITUTE(SUBSTITUTE(SUBSTITUTE(SUBSTITUTE(SUBSTITUTE(LOWER(Registro!$G993),"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",LEN(Registro!$G993))),({1,2,3,4,5,6,7,8,9,10,11,12,13,14,15,16,17,18,19,20,21,22,23,24,25,26,27,28,29,30}-1)*LEN(Registro!$G993)+1,LEN(Registro!$G993))),FIND("x",TRIM(MID(SUBSTITUTE(SUBSTITUTE(SUBSTITUTE(SUBSTITUTE(SUBSTITUTE(LOWER(Registro!$G993),"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",LEN(Registro!$G993))),({1,2,3,4,5,6,7,8,9,10,11,12,13,14,15,16,17,18,19,20,21,22,23,24,25,26,27,28,29,30}-1)*LEN(Registro!$G993)+1,LEN(Registro!$G993)))&amp;"x")+1,20))),"Revisar formato")))</f>
        <v/>
      </c>
      <c r="J993" s="9" t="str">
        <f>IF(AND(Registro!$E993="",Registro!$G993=""),"",IF(NOT(AND(ISNUMBER(I993),ISNUMBER(Registro!$H993))),"",IF(I993&lt;Registro!$H993,"FALTA BOLETOS",IF(I993=Registro!$H993,"CONFORME","DIFERENCIA"))))</f>
        <v/>
      </c>
      <c r="K993" s="11" t="str">
        <f>IF(Registro!$I993="","",IFERROR(SUMPRODUCT(--("0"&amp;TRIM(RIGHT(SUBSTITUTE(TRIM(MID(SUBSTITUTE(SUBSTITUTE(Registro!$I993,";",CHAR(10)),CHAR(10),REPT(" ",LEN(Registro!$I993))),({1,2,3,4,5,6,7,8,9,10,11,12,13,14,15,16,17,18,19,20,21,22,23,24,25,26,27,28,29,30}-1)*LEN(Registro!$I993)+1,LEN(Registro!$I993)))," ",REPT(" ",50)),50)))),"Revisar formato"))</f>
        <v/>
      </c>
      <c r="L993" s="11" t="str">
        <f>IF(Registro!$J993="","",IFERROR(SUMPRODUCT(--("0"&amp;TRIM(RIGHT(SUBSTITUTE(TRIM(MID(SUBSTITUTE(SUBSTITUTE(Registro!$J993,";",CHAR(10)),CHAR(10),REPT(" ",LEN(Registro!$J993))),({1,2,3,4,5,6,7,8,9,10,11,12,13,14,15,16,17,18,19,20,21,22,23,24,25,26,27,28,29,30}-1)*LEN(Registro!$J993)+1,LEN(Registro!$J993)))," ",REPT(" ",50)),50)))),"Revisar formato"))</f>
        <v/>
      </c>
      <c r="M993" s="11" t="str">
        <f>IF(AND(Registro!$H993="",Registro!$I993=""),"",IF(AND(ISTEXT(K993),K993&lt;&gt;""),"Revisar formato",N(Registro!$H993)-N(K993)))</f>
        <v/>
      </c>
      <c r="N993" s="11" t="str">
        <f t="shared" si="47"/>
        <v/>
      </c>
      <c r="O993" s="15" t="str">
        <f>IF(AND(A993=Consulta!$B$3,C993=Consulta!$H$3),B993*10000+ROW(),"")</f>
        <v/>
      </c>
    </row>
    <row r="994" spans="1:15" x14ac:dyDescent="0.25">
      <c r="A994" s="9" t="str">
        <f>IF(Registro!$A994="","",Registro!$A994)</f>
        <v/>
      </c>
      <c r="B994" s="8" t="str">
        <f>IF(Registro!$B994="","",Registro!$B994)</f>
        <v/>
      </c>
      <c r="C994" s="14" t="str">
        <f t="shared" si="45"/>
        <v/>
      </c>
      <c r="D994" s="10" t="str">
        <f>IF(Registro!$E994="","",IF(ISERROR(FIND("x",LOWER(Registro!$E994))),"-",IFERROR(SUMPRODUCT(--("0"&amp;LEFT(TRIM(MID(SUBSTITUTE(SUBSTITUTE(SUBSTITUTE(SUBSTITUTE(SUBSTITUTE(LOWER(Registro!$E994),"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",LEN(Registro!$E994))),({1,2,3,4,5,6,7,8,9,10,11,12,13,14,15,16,17,18,19,20,21,22,23,24,25,26,27,28,29,30}-1)*LEN(Registro!$E994)+1,LEN(Registro!$E994)))&amp;"x")-1))),"Revisar formato")))</f>
        <v/>
      </c>
      <c r="E994" s="11" t="str">
        <f>IF(Registro!$E994="","",IF(ISERROR(FIND("x",LOWER(Registro!$E994))),"-",IFERROR(SUMPRODUCT(--("0"&amp;LEFT(TRIM(MID(SUBSTITUTE(SUBSTITUTE(SUBSTITUTE(SUBSTITUTE(SUBSTITUTE(LOWER(Registro!$E994),"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",LEN(Registro!$E994))),({1,2,3,4,5,6,7,8,9,10,11,12,13,14,15,16,17,18,19,20,21,22,23,24,25,26,27,28,29,30}-1)*LEN(Registro!$E994)+1,LEN(Registro!$E994)))&amp;"x")-1)),--("0"&amp;MID(TRIM(MID(SUBSTITUTE(SUBSTITUTE(SUBSTITUTE(SUBSTITUTE(SUBSTITUTE(LOWER(Registro!$E994),"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",LEN(Registro!$E994))),({1,2,3,4,5,6,7,8,9,10,11,12,13,14,15,16,17,18,19,20,21,22,23,24,25,26,27,28,29,30}-1)*LEN(Registro!$E994)+1,LEN(Registro!$E994)))&amp;"x")+1,20))),"Revisar formato")))</f>
        <v/>
      </c>
      <c r="F994" s="11" t="str">
        <f>IF(Registro!$F994="","",N(Registro!$F994))</f>
        <v/>
      </c>
      <c r="G994" s="11" t="str">
        <f t="shared" si="46"/>
        <v/>
      </c>
      <c r="H994" s="10" t="str">
        <f>IF(Registro!$G994="","",IF(ISERROR(FIND("x",LOWER(Registro!$G994))),"-",IFERROR(SUMPRODUCT(--("0"&amp;LEFT(TRIM(MID(SUBSTITUTE(SUBSTITUTE(SUBSTITUTE(SUBSTITUTE(SUBSTITUTE(LOWER(Registro!$G994),"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",LEN(Registro!$G994))),({1,2,3,4,5,6,7,8,9,10,11,12,13,14,15,16,17,18,19,20,21,22,23,24,25,26,27,28,29,30}-1)*LEN(Registro!$G994)+1,LEN(Registro!$G994))),FIND("x",TRIM(MID(SUBSTITUTE(SUBSTITUTE(SUBSTITUTE(SUBSTITUTE(SUBSTITUTE(LOWER(Registro!$G994),"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",LEN(Registro!$G994))),({1,2,3,4,5,6,7,8,9,10,11,12,13,14,15,16,17,18,19,20,21,22,23,24,25,26,27,28,29,30}-1)*LEN(Registro!$G994)+1,LEN(Registro!$G994)))&amp;"x")-1))),"Revisar formato")))</f>
        <v/>
      </c>
      <c r="I994" s="11" t="str">
        <f>IF(Registro!$G994="","",IF(ISERROR(FIND("x",LOWER(Registro!$G994))),N(Registro!$H994),IFERROR(SUMPRODUCT(--("0"&amp;LEFT(TRIM(MID(SUBSTITUTE(SUBSTITUTE(SUBSTITUTE(SUBSTITUTE(SUBSTITUTE(LOWER(Registro!$G994),"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",LEN(Registro!$G994))),({1,2,3,4,5,6,7,8,9,10,11,12,13,14,15,16,17,18,19,20,21,22,23,24,25,26,27,28,29,30}-1)*LEN(Registro!$G994)+1,LEN(Registro!$G994))),FIND("x",TRIM(MID(SUBSTITUTE(SUBSTITUTE(SUBSTITUTE(SUBSTITUTE(SUBSTITUTE(LOWER(Registro!$G994),"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",LEN(Registro!$G994))),({1,2,3,4,5,6,7,8,9,10,11,12,13,14,15,16,17,18,19,20,21,22,23,24,25,26,27,28,29,30}-1)*LEN(Registro!$G994)+1,LEN(Registro!$G994)))&amp;"x")-1)),--("0"&amp;MID(TRIM(MID(SUBSTITUTE(SUBSTITUTE(SUBSTITUTE(SUBSTITUTE(SUBSTITUTE(LOWER(Registro!$G994),"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",LEN(Registro!$G994))),({1,2,3,4,5,6,7,8,9,10,11,12,13,14,15,16,17,18,19,20,21,22,23,24,25,26,27,28,29,30}-1)*LEN(Registro!$G994)+1,LEN(Registro!$G994))),FIND("x",TRIM(MID(SUBSTITUTE(SUBSTITUTE(SUBSTITUTE(SUBSTITUTE(SUBSTITUTE(LOWER(Registro!$G994),"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",LEN(Registro!$G994))),({1,2,3,4,5,6,7,8,9,10,11,12,13,14,15,16,17,18,19,20,21,22,23,24,25,26,27,28,29,30}-1)*LEN(Registro!$G994)+1,LEN(Registro!$G994)))&amp;"x")+1,20))),"Revisar formato")))</f>
        <v/>
      </c>
      <c r="J994" s="9" t="str">
        <f>IF(AND(Registro!$E994="",Registro!$G994=""),"",IF(NOT(AND(ISNUMBER(I994),ISNUMBER(Registro!$H994))),"",IF(I994&lt;Registro!$H994,"FALTA BOLETOS",IF(I994=Registro!$H994,"CONFORME","DIFERENCIA"))))</f>
        <v/>
      </c>
      <c r="K994" s="11" t="str">
        <f>IF(Registro!$I994="","",IFERROR(SUMPRODUCT(--("0"&amp;TRIM(RIGHT(SUBSTITUTE(TRIM(MID(SUBSTITUTE(SUBSTITUTE(Registro!$I994,";",CHAR(10)),CHAR(10),REPT(" ",LEN(Registro!$I994))),({1,2,3,4,5,6,7,8,9,10,11,12,13,14,15,16,17,18,19,20,21,22,23,24,25,26,27,28,29,30}-1)*LEN(Registro!$I994)+1,LEN(Registro!$I994)))," ",REPT(" ",50)),50)))),"Revisar formato"))</f>
        <v/>
      </c>
      <c r="L994" s="11" t="str">
        <f>IF(Registro!$J994="","",IFERROR(SUMPRODUCT(--("0"&amp;TRIM(RIGHT(SUBSTITUTE(TRIM(MID(SUBSTITUTE(SUBSTITUTE(Registro!$J994,";",CHAR(10)),CHAR(10),REPT(" ",LEN(Registro!$J994))),({1,2,3,4,5,6,7,8,9,10,11,12,13,14,15,16,17,18,19,20,21,22,23,24,25,26,27,28,29,30}-1)*LEN(Registro!$J994)+1,LEN(Registro!$J994)))," ",REPT(" ",50)),50)))),"Revisar formato"))</f>
        <v/>
      </c>
      <c r="M994" s="11" t="str">
        <f>IF(AND(Registro!$H994="",Registro!$I994=""),"",IF(AND(ISTEXT(K994),K994&lt;&gt;""),"Revisar formato",N(Registro!$H994)-N(K994)))</f>
        <v/>
      </c>
      <c r="N994" s="11" t="str">
        <f t="shared" si="47"/>
        <v/>
      </c>
      <c r="O994" s="15" t="str">
        <f>IF(AND(A994=Consulta!$B$3,C994=Consulta!$H$3),B994*10000+ROW(),"")</f>
        <v/>
      </c>
    </row>
    <row r="995" spans="1:15" x14ac:dyDescent="0.25">
      <c r="A995" s="9" t="str">
        <f>IF(Registro!$A995="","",Registro!$A995)</f>
        <v/>
      </c>
      <c r="B995" s="8" t="str">
        <f>IF(Registro!$B995="","",Registro!$B995)</f>
        <v/>
      </c>
      <c r="C995" s="14" t="str">
        <f t="shared" si="45"/>
        <v/>
      </c>
      <c r="D995" s="10" t="str">
        <f>IF(Registro!$E995="","",IF(ISERROR(FIND("x",LOWER(Registro!$E995))),"-",IFERROR(SUMPRODUCT(--("0"&amp;LEFT(TRIM(MID(SUBSTITUTE(SUBSTITUTE(SUBSTITUTE(SUBSTITUTE(SUBSTITUTE(LOWER(Registro!$E995),"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",LEN(Registro!$E995))),({1,2,3,4,5,6,7,8,9,10,11,12,13,14,15,16,17,18,19,20,21,22,23,24,25,26,27,28,29,30}-1)*LEN(Registro!$E995)+1,LEN(Registro!$E995)))&amp;"x")-1))),"Revisar formato")))</f>
        <v/>
      </c>
      <c r="E995" s="11" t="str">
        <f>IF(Registro!$E995="","",IF(ISERROR(FIND("x",LOWER(Registro!$E995))),"-",IFERROR(SUMPRODUCT(--("0"&amp;LEFT(TRIM(MID(SUBSTITUTE(SUBSTITUTE(SUBSTITUTE(SUBSTITUTE(SUBSTITUTE(LOWER(Registro!$E995),"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",LEN(Registro!$E995))),({1,2,3,4,5,6,7,8,9,10,11,12,13,14,15,16,17,18,19,20,21,22,23,24,25,26,27,28,29,30}-1)*LEN(Registro!$E995)+1,LEN(Registro!$E995)))&amp;"x")-1)),--("0"&amp;MID(TRIM(MID(SUBSTITUTE(SUBSTITUTE(SUBSTITUTE(SUBSTITUTE(SUBSTITUTE(LOWER(Registro!$E995),"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",LEN(Registro!$E995))),({1,2,3,4,5,6,7,8,9,10,11,12,13,14,15,16,17,18,19,20,21,22,23,24,25,26,27,28,29,30}-1)*LEN(Registro!$E995)+1,LEN(Registro!$E995)))&amp;"x")+1,20))),"Revisar formato")))</f>
        <v/>
      </c>
      <c r="F995" s="11" t="str">
        <f>IF(Registro!$F995="","",N(Registro!$F995))</f>
        <v/>
      </c>
      <c r="G995" s="11" t="str">
        <f t="shared" si="46"/>
        <v/>
      </c>
      <c r="H995" s="10" t="str">
        <f>IF(Registro!$G995="","",IF(ISERROR(FIND("x",LOWER(Registro!$G995))),"-",IFERROR(SUMPRODUCT(--("0"&amp;LEFT(TRIM(MID(SUBSTITUTE(SUBSTITUTE(SUBSTITUTE(SUBSTITUTE(SUBSTITUTE(LOWER(Registro!$G995),"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",LEN(Registro!$G995))),({1,2,3,4,5,6,7,8,9,10,11,12,13,14,15,16,17,18,19,20,21,22,23,24,25,26,27,28,29,30}-1)*LEN(Registro!$G995)+1,LEN(Registro!$G995))),FIND("x",TRIM(MID(SUBSTITUTE(SUBSTITUTE(SUBSTITUTE(SUBSTITUTE(SUBSTITUTE(LOWER(Registro!$G995),"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",LEN(Registro!$G995))),({1,2,3,4,5,6,7,8,9,10,11,12,13,14,15,16,17,18,19,20,21,22,23,24,25,26,27,28,29,30}-1)*LEN(Registro!$G995)+1,LEN(Registro!$G995)))&amp;"x")-1))),"Revisar formato")))</f>
        <v/>
      </c>
      <c r="I995" s="11" t="str">
        <f>IF(Registro!$G995="","",IF(ISERROR(FIND("x",LOWER(Registro!$G995))),N(Registro!$H995),IFERROR(SUMPRODUCT(--("0"&amp;LEFT(TRIM(MID(SUBSTITUTE(SUBSTITUTE(SUBSTITUTE(SUBSTITUTE(SUBSTITUTE(LOWER(Registro!$G995),"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",LEN(Registro!$G995))),({1,2,3,4,5,6,7,8,9,10,11,12,13,14,15,16,17,18,19,20,21,22,23,24,25,26,27,28,29,30}-1)*LEN(Registro!$G995)+1,LEN(Registro!$G995))),FIND("x",TRIM(MID(SUBSTITUTE(SUBSTITUTE(SUBSTITUTE(SUBSTITUTE(SUBSTITUTE(LOWER(Registro!$G995),"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",LEN(Registro!$G995))),({1,2,3,4,5,6,7,8,9,10,11,12,13,14,15,16,17,18,19,20,21,22,23,24,25,26,27,28,29,30}-1)*LEN(Registro!$G995)+1,LEN(Registro!$G995)))&amp;"x")-1)),--("0"&amp;MID(TRIM(MID(SUBSTITUTE(SUBSTITUTE(SUBSTITUTE(SUBSTITUTE(SUBSTITUTE(LOWER(Registro!$G995),"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",LEN(Registro!$G995))),({1,2,3,4,5,6,7,8,9,10,11,12,13,14,15,16,17,18,19,20,21,22,23,24,25,26,27,28,29,30}-1)*LEN(Registro!$G995)+1,LEN(Registro!$G995))),FIND("x",TRIM(MID(SUBSTITUTE(SUBSTITUTE(SUBSTITUTE(SUBSTITUTE(SUBSTITUTE(LOWER(Registro!$G995),"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",LEN(Registro!$G995))),({1,2,3,4,5,6,7,8,9,10,11,12,13,14,15,16,17,18,19,20,21,22,23,24,25,26,27,28,29,30}-1)*LEN(Registro!$G995)+1,LEN(Registro!$G995)))&amp;"x")+1,20))),"Revisar formato")))</f>
        <v/>
      </c>
      <c r="J995" s="9" t="str">
        <f>IF(AND(Registro!$E995="",Registro!$G995=""),"",IF(NOT(AND(ISNUMBER(I995),ISNUMBER(Registro!$H995))),"",IF(I995&lt;Registro!$H995,"FALTA BOLETOS",IF(I995=Registro!$H995,"CONFORME","DIFERENCIA"))))</f>
        <v/>
      </c>
      <c r="K995" s="11" t="str">
        <f>IF(Registro!$I995="","",IFERROR(SUMPRODUCT(--("0"&amp;TRIM(RIGHT(SUBSTITUTE(TRIM(MID(SUBSTITUTE(SUBSTITUTE(Registro!$I995,";",CHAR(10)),CHAR(10),REPT(" ",LEN(Registro!$I995))),({1,2,3,4,5,6,7,8,9,10,11,12,13,14,15,16,17,18,19,20,21,22,23,24,25,26,27,28,29,30}-1)*LEN(Registro!$I995)+1,LEN(Registro!$I995)))," ",REPT(" ",50)),50)))),"Revisar formato"))</f>
        <v/>
      </c>
      <c r="L995" s="11" t="str">
        <f>IF(Registro!$J995="","",IFERROR(SUMPRODUCT(--("0"&amp;TRIM(RIGHT(SUBSTITUTE(TRIM(MID(SUBSTITUTE(SUBSTITUTE(Registro!$J995,";",CHAR(10)),CHAR(10),REPT(" ",LEN(Registro!$J995))),({1,2,3,4,5,6,7,8,9,10,11,12,13,14,15,16,17,18,19,20,21,22,23,24,25,26,27,28,29,30}-1)*LEN(Registro!$J995)+1,LEN(Registro!$J995)))," ",REPT(" ",50)),50)))),"Revisar formato"))</f>
        <v/>
      </c>
      <c r="M995" s="11" t="str">
        <f>IF(AND(Registro!$H995="",Registro!$I995=""),"",IF(AND(ISTEXT(K995),K995&lt;&gt;""),"Revisar formato",N(Registro!$H995)-N(K995)))</f>
        <v/>
      </c>
      <c r="N995" s="11" t="str">
        <f t="shared" si="47"/>
        <v/>
      </c>
      <c r="O995" s="15" t="str">
        <f>IF(AND(A995=Consulta!$B$3,C995=Consulta!$H$3),B995*10000+ROW(),"")</f>
        <v/>
      </c>
    </row>
    <row r="996" spans="1:15" x14ac:dyDescent="0.25">
      <c r="A996" s="9" t="str">
        <f>IF(Registro!$A996="","",Registro!$A996)</f>
        <v/>
      </c>
      <c r="B996" s="8" t="str">
        <f>IF(Registro!$B996="","",Registro!$B996)</f>
        <v/>
      </c>
      <c r="C996" s="14" t="str">
        <f t="shared" si="45"/>
        <v/>
      </c>
      <c r="D996" s="10" t="str">
        <f>IF(Registro!$E996="","",IF(ISERROR(FIND("x",LOWER(Registro!$E996))),"-",IFERROR(SUMPRODUCT(--("0"&amp;LEFT(TRIM(MID(SUBSTITUTE(SUBSTITUTE(SUBSTITUTE(SUBSTITUTE(SUBSTITUTE(LOWER(Registro!$E996),"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",LEN(Registro!$E996))),({1,2,3,4,5,6,7,8,9,10,11,12,13,14,15,16,17,18,19,20,21,22,23,24,25,26,27,28,29,30}-1)*LEN(Registro!$E996)+1,LEN(Registro!$E996)))&amp;"x")-1))),"Revisar formato")))</f>
        <v/>
      </c>
      <c r="E996" s="11" t="str">
        <f>IF(Registro!$E996="","",IF(ISERROR(FIND("x",LOWER(Registro!$E996))),"-",IFERROR(SUMPRODUCT(--("0"&amp;LEFT(TRIM(MID(SUBSTITUTE(SUBSTITUTE(SUBSTITUTE(SUBSTITUTE(SUBSTITUTE(LOWER(Registro!$E996),"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",LEN(Registro!$E996))),({1,2,3,4,5,6,7,8,9,10,11,12,13,14,15,16,17,18,19,20,21,22,23,24,25,26,27,28,29,30}-1)*LEN(Registro!$E996)+1,LEN(Registro!$E996)))&amp;"x")-1)),--("0"&amp;MID(TRIM(MID(SUBSTITUTE(SUBSTITUTE(SUBSTITUTE(SUBSTITUTE(SUBSTITUTE(LOWER(Registro!$E996),"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",LEN(Registro!$E996))),({1,2,3,4,5,6,7,8,9,10,11,12,13,14,15,16,17,18,19,20,21,22,23,24,25,26,27,28,29,30}-1)*LEN(Registro!$E996)+1,LEN(Registro!$E996)))&amp;"x")+1,20))),"Revisar formato")))</f>
        <v/>
      </c>
      <c r="F996" s="11" t="str">
        <f>IF(Registro!$F996="","",N(Registro!$F996))</f>
        <v/>
      </c>
      <c r="G996" s="11" t="str">
        <f t="shared" si="46"/>
        <v/>
      </c>
      <c r="H996" s="10" t="str">
        <f>IF(Registro!$G996="","",IF(ISERROR(FIND("x",LOWER(Registro!$G996))),"-",IFERROR(SUMPRODUCT(--("0"&amp;LEFT(TRIM(MID(SUBSTITUTE(SUBSTITUTE(SUBSTITUTE(SUBSTITUTE(SUBSTITUTE(LOWER(Registro!$G996),"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",LEN(Registro!$G996))),({1,2,3,4,5,6,7,8,9,10,11,12,13,14,15,16,17,18,19,20,21,22,23,24,25,26,27,28,29,30}-1)*LEN(Registro!$G996)+1,LEN(Registro!$G996))),FIND("x",TRIM(MID(SUBSTITUTE(SUBSTITUTE(SUBSTITUTE(SUBSTITUTE(SUBSTITUTE(LOWER(Registro!$G996),"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",LEN(Registro!$G996))),({1,2,3,4,5,6,7,8,9,10,11,12,13,14,15,16,17,18,19,20,21,22,23,24,25,26,27,28,29,30}-1)*LEN(Registro!$G996)+1,LEN(Registro!$G996)))&amp;"x")-1))),"Revisar formato")))</f>
        <v/>
      </c>
      <c r="I996" s="11" t="str">
        <f>IF(Registro!$G996="","",IF(ISERROR(FIND("x",LOWER(Registro!$G996))),N(Registro!$H996),IFERROR(SUMPRODUCT(--("0"&amp;LEFT(TRIM(MID(SUBSTITUTE(SUBSTITUTE(SUBSTITUTE(SUBSTITUTE(SUBSTITUTE(LOWER(Registro!$G996),"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",LEN(Registro!$G996))),({1,2,3,4,5,6,7,8,9,10,11,12,13,14,15,16,17,18,19,20,21,22,23,24,25,26,27,28,29,30}-1)*LEN(Registro!$G996)+1,LEN(Registro!$G996))),FIND("x",TRIM(MID(SUBSTITUTE(SUBSTITUTE(SUBSTITUTE(SUBSTITUTE(SUBSTITUTE(LOWER(Registro!$G996),"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",LEN(Registro!$G996))),({1,2,3,4,5,6,7,8,9,10,11,12,13,14,15,16,17,18,19,20,21,22,23,24,25,26,27,28,29,30}-1)*LEN(Registro!$G996)+1,LEN(Registro!$G996)))&amp;"x")-1)),--("0"&amp;MID(TRIM(MID(SUBSTITUTE(SUBSTITUTE(SUBSTITUTE(SUBSTITUTE(SUBSTITUTE(LOWER(Registro!$G996),"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",LEN(Registro!$G996))),({1,2,3,4,5,6,7,8,9,10,11,12,13,14,15,16,17,18,19,20,21,22,23,24,25,26,27,28,29,30}-1)*LEN(Registro!$G996)+1,LEN(Registro!$G996))),FIND("x",TRIM(MID(SUBSTITUTE(SUBSTITUTE(SUBSTITUTE(SUBSTITUTE(SUBSTITUTE(LOWER(Registro!$G996),"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",LEN(Registro!$G996))),({1,2,3,4,5,6,7,8,9,10,11,12,13,14,15,16,17,18,19,20,21,22,23,24,25,26,27,28,29,30}-1)*LEN(Registro!$G996)+1,LEN(Registro!$G996)))&amp;"x")+1,20))),"Revisar formato")))</f>
        <v/>
      </c>
      <c r="J996" s="9" t="str">
        <f>IF(AND(Registro!$E996="",Registro!$G996=""),"",IF(NOT(AND(ISNUMBER(I996),ISNUMBER(Registro!$H996))),"",IF(I996&lt;Registro!$H996,"FALTA BOLETOS",IF(I996=Registro!$H996,"CONFORME","DIFERENCIA"))))</f>
        <v/>
      </c>
      <c r="K996" s="11" t="str">
        <f>IF(Registro!$I996="","",IFERROR(SUMPRODUCT(--("0"&amp;TRIM(RIGHT(SUBSTITUTE(TRIM(MID(SUBSTITUTE(SUBSTITUTE(Registro!$I996,";",CHAR(10)),CHAR(10),REPT(" ",LEN(Registro!$I996))),({1,2,3,4,5,6,7,8,9,10,11,12,13,14,15,16,17,18,19,20,21,22,23,24,25,26,27,28,29,30}-1)*LEN(Registro!$I996)+1,LEN(Registro!$I996)))," ",REPT(" ",50)),50)))),"Revisar formato"))</f>
        <v/>
      </c>
      <c r="L996" s="11" t="str">
        <f>IF(Registro!$J996="","",IFERROR(SUMPRODUCT(--("0"&amp;TRIM(RIGHT(SUBSTITUTE(TRIM(MID(SUBSTITUTE(SUBSTITUTE(Registro!$J996,";",CHAR(10)),CHAR(10),REPT(" ",LEN(Registro!$J996))),({1,2,3,4,5,6,7,8,9,10,11,12,13,14,15,16,17,18,19,20,21,22,23,24,25,26,27,28,29,30}-1)*LEN(Registro!$J996)+1,LEN(Registro!$J996)))," ",REPT(" ",50)),50)))),"Revisar formato"))</f>
        <v/>
      </c>
      <c r="M996" s="11" t="str">
        <f>IF(AND(Registro!$H996="",Registro!$I996=""),"",IF(AND(ISTEXT(K996),K996&lt;&gt;""),"Revisar formato",N(Registro!$H996)-N(K996)))</f>
        <v/>
      </c>
      <c r="N996" s="11" t="str">
        <f t="shared" si="47"/>
        <v/>
      </c>
      <c r="O996" s="15" t="str">
        <f>IF(AND(A996=Consulta!$B$3,C996=Consulta!$H$3),B996*10000+ROW(),"")</f>
        <v/>
      </c>
    </row>
    <row r="997" spans="1:15" x14ac:dyDescent="0.25">
      <c r="A997" s="9" t="str">
        <f>IF(Registro!$A997="","",Registro!$A997)</f>
        <v/>
      </c>
      <c r="B997" s="8" t="str">
        <f>IF(Registro!$B997="","",Registro!$B997)</f>
        <v/>
      </c>
      <c r="C997" s="14" t="str">
        <f t="shared" si="45"/>
        <v/>
      </c>
      <c r="D997" s="10" t="str">
        <f>IF(Registro!$E997="","",IF(ISERROR(FIND("x",LOWER(Registro!$E997))),"-",IFERROR(SUMPRODUCT(--("0"&amp;LEFT(TRIM(MID(SUBSTITUTE(SUBSTITUTE(SUBSTITUTE(SUBSTITUTE(SUBSTITUTE(LOWER(Registro!$E997),"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",LEN(Registro!$E997))),({1,2,3,4,5,6,7,8,9,10,11,12,13,14,15,16,17,18,19,20,21,22,23,24,25,26,27,28,29,30}-1)*LEN(Registro!$E997)+1,LEN(Registro!$E997)))&amp;"x")-1))),"Revisar formato")))</f>
        <v/>
      </c>
      <c r="E997" s="11" t="str">
        <f>IF(Registro!$E997="","",IF(ISERROR(FIND("x",LOWER(Registro!$E997))),"-",IFERROR(SUMPRODUCT(--("0"&amp;LEFT(TRIM(MID(SUBSTITUTE(SUBSTITUTE(SUBSTITUTE(SUBSTITUTE(SUBSTITUTE(LOWER(Registro!$E997),"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",LEN(Registro!$E997))),({1,2,3,4,5,6,7,8,9,10,11,12,13,14,15,16,17,18,19,20,21,22,23,24,25,26,27,28,29,30}-1)*LEN(Registro!$E997)+1,LEN(Registro!$E997)))&amp;"x")-1)),--("0"&amp;MID(TRIM(MID(SUBSTITUTE(SUBSTITUTE(SUBSTITUTE(SUBSTITUTE(SUBSTITUTE(LOWER(Registro!$E997),"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",LEN(Registro!$E997))),({1,2,3,4,5,6,7,8,9,10,11,12,13,14,15,16,17,18,19,20,21,22,23,24,25,26,27,28,29,30}-1)*LEN(Registro!$E997)+1,LEN(Registro!$E997)))&amp;"x")+1,20))),"Revisar formato")))</f>
        <v/>
      </c>
      <c r="F997" s="11" t="str">
        <f>IF(Registro!$F997="","",N(Registro!$F997))</f>
        <v/>
      </c>
      <c r="G997" s="11" t="str">
        <f t="shared" si="46"/>
        <v/>
      </c>
      <c r="H997" s="10" t="str">
        <f>IF(Registro!$G997="","",IF(ISERROR(FIND("x",LOWER(Registro!$G997))),"-",IFERROR(SUMPRODUCT(--("0"&amp;LEFT(TRIM(MID(SUBSTITUTE(SUBSTITUTE(SUBSTITUTE(SUBSTITUTE(SUBSTITUTE(LOWER(Registro!$G997),"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",LEN(Registro!$G997))),({1,2,3,4,5,6,7,8,9,10,11,12,13,14,15,16,17,18,19,20,21,22,23,24,25,26,27,28,29,30}-1)*LEN(Registro!$G997)+1,LEN(Registro!$G997))),FIND("x",TRIM(MID(SUBSTITUTE(SUBSTITUTE(SUBSTITUTE(SUBSTITUTE(SUBSTITUTE(LOWER(Registro!$G997),"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",LEN(Registro!$G997))),({1,2,3,4,5,6,7,8,9,10,11,12,13,14,15,16,17,18,19,20,21,22,23,24,25,26,27,28,29,30}-1)*LEN(Registro!$G997)+1,LEN(Registro!$G997)))&amp;"x")-1))),"Revisar formato")))</f>
        <v/>
      </c>
      <c r="I997" s="11" t="str">
        <f>IF(Registro!$G997="","",IF(ISERROR(FIND("x",LOWER(Registro!$G997))),N(Registro!$H997),IFERROR(SUMPRODUCT(--("0"&amp;LEFT(TRIM(MID(SUBSTITUTE(SUBSTITUTE(SUBSTITUTE(SUBSTITUTE(SUBSTITUTE(LOWER(Registro!$G997),"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",LEN(Registro!$G997))),({1,2,3,4,5,6,7,8,9,10,11,12,13,14,15,16,17,18,19,20,21,22,23,24,25,26,27,28,29,30}-1)*LEN(Registro!$G997)+1,LEN(Registro!$G997))),FIND("x",TRIM(MID(SUBSTITUTE(SUBSTITUTE(SUBSTITUTE(SUBSTITUTE(SUBSTITUTE(LOWER(Registro!$G997),"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",LEN(Registro!$G997))),({1,2,3,4,5,6,7,8,9,10,11,12,13,14,15,16,17,18,19,20,21,22,23,24,25,26,27,28,29,30}-1)*LEN(Registro!$G997)+1,LEN(Registro!$G997)))&amp;"x")-1)),--("0"&amp;MID(TRIM(MID(SUBSTITUTE(SUBSTITUTE(SUBSTITUTE(SUBSTITUTE(SUBSTITUTE(LOWER(Registro!$G997),"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",LEN(Registro!$G997))),({1,2,3,4,5,6,7,8,9,10,11,12,13,14,15,16,17,18,19,20,21,22,23,24,25,26,27,28,29,30}-1)*LEN(Registro!$G997)+1,LEN(Registro!$G997))),FIND("x",TRIM(MID(SUBSTITUTE(SUBSTITUTE(SUBSTITUTE(SUBSTITUTE(SUBSTITUTE(LOWER(Registro!$G997),"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",LEN(Registro!$G997))),({1,2,3,4,5,6,7,8,9,10,11,12,13,14,15,16,17,18,19,20,21,22,23,24,25,26,27,28,29,30}-1)*LEN(Registro!$G997)+1,LEN(Registro!$G997)))&amp;"x")+1,20))),"Revisar formato")))</f>
        <v/>
      </c>
      <c r="J997" s="9" t="str">
        <f>IF(AND(Registro!$E997="",Registro!$G997=""),"",IF(NOT(AND(ISNUMBER(I997),ISNUMBER(Registro!$H997))),"",IF(I997&lt;Registro!$H997,"FALTA BOLETOS",IF(I997=Registro!$H997,"CONFORME","DIFERENCIA"))))</f>
        <v/>
      </c>
      <c r="K997" s="11" t="str">
        <f>IF(Registro!$I997="","",IFERROR(SUMPRODUCT(--("0"&amp;TRIM(RIGHT(SUBSTITUTE(TRIM(MID(SUBSTITUTE(SUBSTITUTE(Registro!$I997,";",CHAR(10)),CHAR(10),REPT(" ",LEN(Registro!$I997))),({1,2,3,4,5,6,7,8,9,10,11,12,13,14,15,16,17,18,19,20,21,22,23,24,25,26,27,28,29,30}-1)*LEN(Registro!$I997)+1,LEN(Registro!$I997)))," ",REPT(" ",50)),50)))),"Revisar formato"))</f>
        <v/>
      </c>
      <c r="L997" s="11" t="str">
        <f>IF(Registro!$J997="","",IFERROR(SUMPRODUCT(--("0"&amp;TRIM(RIGHT(SUBSTITUTE(TRIM(MID(SUBSTITUTE(SUBSTITUTE(Registro!$J997,";",CHAR(10)),CHAR(10),REPT(" ",LEN(Registro!$J997))),({1,2,3,4,5,6,7,8,9,10,11,12,13,14,15,16,17,18,19,20,21,22,23,24,25,26,27,28,29,30}-1)*LEN(Registro!$J997)+1,LEN(Registro!$J997)))," ",REPT(" ",50)),50)))),"Revisar formato"))</f>
        <v/>
      </c>
      <c r="M997" s="11" t="str">
        <f>IF(AND(Registro!$H997="",Registro!$I997=""),"",IF(AND(ISTEXT(K997),K997&lt;&gt;""),"Revisar formato",N(Registro!$H997)-N(K997)))</f>
        <v/>
      </c>
      <c r="N997" s="11" t="str">
        <f t="shared" si="47"/>
        <v/>
      </c>
      <c r="O997" s="15" t="str">
        <f>IF(AND(A997=Consulta!$B$3,C997=Consulta!$H$3),B997*10000+ROW(),"")</f>
        <v/>
      </c>
    </row>
    <row r="998" spans="1:15" x14ac:dyDescent="0.25">
      <c r="A998" s="9" t="str">
        <f>IF(Registro!$A998="","",Registro!$A998)</f>
        <v/>
      </c>
      <c r="B998" s="8" t="str">
        <f>IF(Registro!$B998="","",Registro!$B998)</f>
        <v/>
      </c>
      <c r="C998" s="14" t="str">
        <f t="shared" si="45"/>
        <v/>
      </c>
      <c r="D998" s="10" t="str">
        <f>IF(Registro!$E998="","",IF(ISERROR(FIND("x",LOWER(Registro!$E998))),"-",IFERROR(SUMPRODUCT(--("0"&amp;LEFT(TRIM(MID(SUBSTITUTE(SUBSTITUTE(SUBSTITUTE(SUBSTITUTE(SUBSTITUTE(LOWER(Registro!$E998),"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",LEN(Registro!$E998))),({1,2,3,4,5,6,7,8,9,10,11,12,13,14,15,16,17,18,19,20,21,22,23,24,25,26,27,28,29,30}-1)*LEN(Registro!$E998)+1,LEN(Registro!$E998)))&amp;"x")-1))),"Revisar formato")))</f>
        <v/>
      </c>
      <c r="E998" s="11" t="str">
        <f>IF(Registro!$E998="","",IF(ISERROR(FIND("x",LOWER(Registro!$E998))),"-",IFERROR(SUMPRODUCT(--("0"&amp;LEFT(TRIM(MID(SUBSTITUTE(SUBSTITUTE(SUBSTITUTE(SUBSTITUTE(SUBSTITUTE(LOWER(Registro!$E998),"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",LEN(Registro!$E998))),({1,2,3,4,5,6,7,8,9,10,11,12,13,14,15,16,17,18,19,20,21,22,23,24,25,26,27,28,29,30}-1)*LEN(Registro!$E998)+1,LEN(Registro!$E998)))&amp;"x")-1)),--("0"&amp;MID(TRIM(MID(SUBSTITUTE(SUBSTITUTE(SUBSTITUTE(SUBSTITUTE(SUBSTITUTE(LOWER(Registro!$E998),"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",LEN(Registro!$E998))),({1,2,3,4,5,6,7,8,9,10,11,12,13,14,15,16,17,18,19,20,21,22,23,24,25,26,27,28,29,30}-1)*LEN(Registro!$E998)+1,LEN(Registro!$E998)))&amp;"x")+1,20))),"Revisar formato")))</f>
        <v/>
      </c>
      <c r="F998" s="11" t="str">
        <f>IF(Registro!$F998="","",N(Registro!$F998))</f>
        <v/>
      </c>
      <c r="G998" s="11" t="str">
        <f t="shared" si="46"/>
        <v/>
      </c>
      <c r="H998" s="10" t="str">
        <f>IF(Registro!$G998="","",IF(ISERROR(FIND("x",LOWER(Registro!$G998))),"-",IFERROR(SUMPRODUCT(--("0"&amp;LEFT(TRIM(MID(SUBSTITUTE(SUBSTITUTE(SUBSTITUTE(SUBSTITUTE(SUBSTITUTE(LOWER(Registro!$G998),"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",LEN(Registro!$G998))),({1,2,3,4,5,6,7,8,9,10,11,12,13,14,15,16,17,18,19,20,21,22,23,24,25,26,27,28,29,30}-1)*LEN(Registro!$G998)+1,LEN(Registro!$G998))),FIND("x",TRIM(MID(SUBSTITUTE(SUBSTITUTE(SUBSTITUTE(SUBSTITUTE(SUBSTITUTE(LOWER(Registro!$G998),"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",LEN(Registro!$G998))),({1,2,3,4,5,6,7,8,9,10,11,12,13,14,15,16,17,18,19,20,21,22,23,24,25,26,27,28,29,30}-1)*LEN(Registro!$G998)+1,LEN(Registro!$G998)))&amp;"x")-1))),"Revisar formato")))</f>
        <v/>
      </c>
      <c r="I998" s="11" t="str">
        <f>IF(Registro!$G998="","",IF(ISERROR(FIND("x",LOWER(Registro!$G998))),N(Registro!$H998),IFERROR(SUMPRODUCT(--("0"&amp;LEFT(TRIM(MID(SUBSTITUTE(SUBSTITUTE(SUBSTITUTE(SUBSTITUTE(SUBSTITUTE(LOWER(Registro!$G998),"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",LEN(Registro!$G998))),({1,2,3,4,5,6,7,8,9,10,11,12,13,14,15,16,17,18,19,20,21,22,23,24,25,26,27,28,29,30}-1)*LEN(Registro!$G998)+1,LEN(Registro!$G998))),FIND("x",TRIM(MID(SUBSTITUTE(SUBSTITUTE(SUBSTITUTE(SUBSTITUTE(SUBSTITUTE(LOWER(Registro!$G998),"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",LEN(Registro!$G998))),({1,2,3,4,5,6,7,8,9,10,11,12,13,14,15,16,17,18,19,20,21,22,23,24,25,26,27,28,29,30}-1)*LEN(Registro!$G998)+1,LEN(Registro!$G998)))&amp;"x")-1)),--("0"&amp;MID(TRIM(MID(SUBSTITUTE(SUBSTITUTE(SUBSTITUTE(SUBSTITUTE(SUBSTITUTE(LOWER(Registro!$G998),"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",LEN(Registro!$G998))),({1,2,3,4,5,6,7,8,9,10,11,12,13,14,15,16,17,18,19,20,21,22,23,24,25,26,27,28,29,30}-1)*LEN(Registro!$G998)+1,LEN(Registro!$G998))),FIND("x",TRIM(MID(SUBSTITUTE(SUBSTITUTE(SUBSTITUTE(SUBSTITUTE(SUBSTITUTE(LOWER(Registro!$G998),"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",LEN(Registro!$G998))),({1,2,3,4,5,6,7,8,9,10,11,12,13,14,15,16,17,18,19,20,21,22,23,24,25,26,27,28,29,30}-1)*LEN(Registro!$G998)+1,LEN(Registro!$G998)))&amp;"x")+1,20))),"Revisar formato")))</f>
        <v/>
      </c>
      <c r="J998" s="9" t="str">
        <f>IF(AND(Registro!$E998="",Registro!$G998=""),"",IF(NOT(AND(ISNUMBER(I998),ISNUMBER(Registro!$H998))),"",IF(I998&lt;Registro!$H998,"FALTA BOLETOS",IF(I998=Registro!$H998,"CONFORME","DIFERENCIA"))))</f>
        <v/>
      </c>
      <c r="K998" s="11" t="str">
        <f>IF(Registro!$I998="","",IFERROR(SUMPRODUCT(--("0"&amp;TRIM(RIGHT(SUBSTITUTE(TRIM(MID(SUBSTITUTE(SUBSTITUTE(Registro!$I998,";",CHAR(10)),CHAR(10),REPT(" ",LEN(Registro!$I998))),({1,2,3,4,5,6,7,8,9,10,11,12,13,14,15,16,17,18,19,20,21,22,23,24,25,26,27,28,29,30}-1)*LEN(Registro!$I998)+1,LEN(Registro!$I998)))," ",REPT(" ",50)),50)))),"Revisar formato"))</f>
        <v/>
      </c>
      <c r="L998" s="11" t="str">
        <f>IF(Registro!$J998="","",IFERROR(SUMPRODUCT(--("0"&amp;TRIM(RIGHT(SUBSTITUTE(TRIM(MID(SUBSTITUTE(SUBSTITUTE(Registro!$J998,";",CHAR(10)),CHAR(10),REPT(" ",LEN(Registro!$J998))),({1,2,3,4,5,6,7,8,9,10,11,12,13,14,15,16,17,18,19,20,21,22,23,24,25,26,27,28,29,30}-1)*LEN(Registro!$J998)+1,LEN(Registro!$J998)))," ",REPT(" ",50)),50)))),"Revisar formato"))</f>
        <v/>
      </c>
      <c r="M998" s="11" t="str">
        <f>IF(AND(Registro!$H998="",Registro!$I998=""),"",IF(AND(ISTEXT(K998),K998&lt;&gt;""),"Revisar formato",N(Registro!$H998)-N(K998)))</f>
        <v/>
      </c>
      <c r="N998" s="11" t="str">
        <f t="shared" si="47"/>
        <v/>
      </c>
      <c r="O998" s="15" t="str">
        <f>IF(AND(A998=Consulta!$B$3,C998=Consulta!$H$3),B998*10000+ROW(),"")</f>
        <v/>
      </c>
    </row>
    <row r="999" spans="1:15" x14ac:dyDescent="0.25">
      <c r="A999" s="9" t="str">
        <f>IF(Registro!$A999="","",Registro!$A999)</f>
        <v/>
      </c>
      <c r="B999" s="8" t="str">
        <f>IF(Registro!$B999="","",Registro!$B999)</f>
        <v/>
      </c>
      <c r="C999" s="14" t="str">
        <f t="shared" si="45"/>
        <v/>
      </c>
      <c r="D999" s="10" t="str">
        <f>IF(Registro!$E999="","",IF(ISERROR(FIND("x",LOWER(Registro!$E999))),"-",IFERROR(SUMPRODUCT(--("0"&amp;LEFT(TRIM(MID(SUBSTITUTE(SUBSTITUTE(SUBSTITUTE(SUBSTITUTE(SUBSTITUTE(LOWER(Registro!$E999),"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",LEN(Registro!$E999))),({1,2,3,4,5,6,7,8,9,10,11,12,13,14,15,16,17,18,19,20,21,22,23,24,25,26,27,28,29,30}-1)*LEN(Registro!$E999)+1,LEN(Registro!$E999)))&amp;"x")-1))),"Revisar formato")))</f>
        <v/>
      </c>
      <c r="E999" s="11" t="str">
        <f>IF(Registro!$E999="","",IF(ISERROR(FIND("x",LOWER(Registro!$E999))),"-",IFERROR(SUMPRODUCT(--("0"&amp;LEFT(TRIM(MID(SUBSTITUTE(SUBSTITUTE(SUBSTITUTE(SUBSTITUTE(SUBSTITUTE(LOWER(Registro!$E999),"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",LEN(Registro!$E999))),({1,2,3,4,5,6,7,8,9,10,11,12,13,14,15,16,17,18,19,20,21,22,23,24,25,26,27,28,29,30}-1)*LEN(Registro!$E999)+1,LEN(Registro!$E999)))&amp;"x")-1)),--("0"&amp;MID(TRIM(MID(SUBSTITUTE(SUBSTITUTE(SUBSTITUTE(SUBSTITUTE(SUBSTITUTE(LOWER(Registro!$E999),"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",LEN(Registro!$E999))),({1,2,3,4,5,6,7,8,9,10,11,12,13,14,15,16,17,18,19,20,21,22,23,24,25,26,27,28,29,30}-1)*LEN(Registro!$E999)+1,LEN(Registro!$E999)))&amp;"x")+1,20))),"Revisar formato")))</f>
        <v/>
      </c>
      <c r="F999" s="11" t="str">
        <f>IF(Registro!$F999="","",N(Registro!$F999))</f>
        <v/>
      </c>
      <c r="G999" s="11" t="str">
        <f t="shared" si="46"/>
        <v/>
      </c>
      <c r="H999" s="10" t="str">
        <f>IF(Registro!$G999="","",IF(ISERROR(FIND("x",LOWER(Registro!$G999))),"-",IFERROR(SUMPRODUCT(--("0"&amp;LEFT(TRIM(MID(SUBSTITUTE(SUBSTITUTE(SUBSTITUTE(SUBSTITUTE(SUBSTITUTE(LOWER(Registro!$G999),"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",LEN(Registro!$G999))),({1,2,3,4,5,6,7,8,9,10,11,12,13,14,15,16,17,18,19,20,21,22,23,24,25,26,27,28,29,30}-1)*LEN(Registro!$G999)+1,LEN(Registro!$G999))),FIND("x",TRIM(MID(SUBSTITUTE(SUBSTITUTE(SUBSTITUTE(SUBSTITUTE(SUBSTITUTE(LOWER(Registro!$G999),"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",LEN(Registro!$G999))),({1,2,3,4,5,6,7,8,9,10,11,12,13,14,15,16,17,18,19,20,21,22,23,24,25,26,27,28,29,30}-1)*LEN(Registro!$G999)+1,LEN(Registro!$G999)))&amp;"x")-1))),"Revisar formato")))</f>
        <v/>
      </c>
      <c r="I999" s="11" t="str">
        <f>IF(Registro!$G999="","",IF(ISERROR(FIND("x",LOWER(Registro!$G999))),N(Registro!$H999),IFERROR(SUMPRODUCT(--("0"&amp;LEFT(TRIM(MID(SUBSTITUTE(SUBSTITUTE(SUBSTITUTE(SUBSTITUTE(SUBSTITUTE(LOWER(Registro!$G999),"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",LEN(Registro!$G999))),({1,2,3,4,5,6,7,8,9,10,11,12,13,14,15,16,17,18,19,20,21,22,23,24,25,26,27,28,29,30}-1)*LEN(Registro!$G999)+1,LEN(Registro!$G999))),FIND("x",TRIM(MID(SUBSTITUTE(SUBSTITUTE(SUBSTITUTE(SUBSTITUTE(SUBSTITUTE(LOWER(Registro!$G999),"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",LEN(Registro!$G999))),({1,2,3,4,5,6,7,8,9,10,11,12,13,14,15,16,17,18,19,20,21,22,23,24,25,26,27,28,29,30}-1)*LEN(Registro!$G999)+1,LEN(Registro!$G999)))&amp;"x")-1)),--("0"&amp;MID(TRIM(MID(SUBSTITUTE(SUBSTITUTE(SUBSTITUTE(SUBSTITUTE(SUBSTITUTE(LOWER(Registro!$G999),"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",LEN(Registro!$G999))),({1,2,3,4,5,6,7,8,9,10,11,12,13,14,15,16,17,18,19,20,21,22,23,24,25,26,27,28,29,30}-1)*LEN(Registro!$G999)+1,LEN(Registro!$G999))),FIND("x",TRIM(MID(SUBSTITUTE(SUBSTITUTE(SUBSTITUTE(SUBSTITUTE(SUBSTITUTE(LOWER(Registro!$G999),"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",LEN(Registro!$G999))),({1,2,3,4,5,6,7,8,9,10,11,12,13,14,15,16,17,18,19,20,21,22,23,24,25,26,27,28,29,30}-1)*LEN(Registro!$G999)+1,LEN(Registro!$G999)))&amp;"x")+1,20))),"Revisar formato")))</f>
        <v/>
      </c>
      <c r="J999" s="9" t="str">
        <f>IF(AND(Registro!$E999="",Registro!$G999=""),"",IF(NOT(AND(ISNUMBER(I999),ISNUMBER(Registro!$H999))),"",IF(I999&lt;Registro!$H999,"FALTA BOLETOS",IF(I999=Registro!$H999,"CONFORME","DIFERENCIA"))))</f>
        <v/>
      </c>
      <c r="K999" s="11" t="str">
        <f>IF(Registro!$I999="","",IFERROR(SUMPRODUCT(--("0"&amp;TRIM(RIGHT(SUBSTITUTE(TRIM(MID(SUBSTITUTE(SUBSTITUTE(Registro!$I999,";",CHAR(10)),CHAR(10),REPT(" ",LEN(Registro!$I999))),({1,2,3,4,5,6,7,8,9,10,11,12,13,14,15,16,17,18,19,20,21,22,23,24,25,26,27,28,29,30}-1)*LEN(Registro!$I999)+1,LEN(Registro!$I999)))," ",REPT(" ",50)),50)))),"Revisar formato"))</f>
        <v/>
      </c>
      <c r="L999" s="11" t="str">
        <f>IF(Registro!$J999="","",IFERROR(SUMPRODUCT(--("0"&amp;TRIM(RIGHT(SUBSTITUTE(TRIM(MID(SUBSTITUTE(SUBSTITUTE(Registro!$J999,";",CHAR(10)),CHAR(10),REPT(" ",LEN(Registro!$J999))),({1,2,3,4,5,6,7,8,9,10,11,12,13,14,15,16,17,18,19,20,21,22,23,24,25,26,27,28,29,30}-1)*LEN(Registro!$J999)+1,LEN(Registro!$J999)))," ",REPT(" ",50)),50)))),"Revisar formato"))</f>
        <v/>
      </c>
      <c r="M999" s="11" t="str">
        <f>IF(AND(Registro!$H999="",Registro!$I999=""),"",IF(AND(ISTEXT(K999),K999&lt;&gt;""),"Revisar formato",N(Registro!$H999)-N(K999)))</f>
        <v/>
      </c>
      <c r="N999" s="11" t="str">
        <f t="shared" si="47"/>
        <v/>
      </c>
      <c r="O999" s="15" t="str">
        <f>IF(AND(A999=Consulta!$B$3,C999=Consulta!$H$3),B999*10000+ROW(),"")</f>
        <v/>
      </c>
    </row>
    <row r="1000" spans="1:15" x14ac:dyDescent="0.25">
      <c r="A1000" s="9" t="str">
        <f>IF(Registro!$A1000="","",Registro!$A1000)</f>
        <v/>
      </c>
      <c r="B1000" s="8" t="str">
        <f>IF(Registro!$B1000="","",Registro!$B1000)</f>
        <v/>
      </c>
      <c r="C1000" s="14" t="str">
        <f t="shared" si="45"/>
        <v/>
      </c>
      <c r="D1000" s="10" t="str">
        <f>IF(Registro!$E1000="","",IF(ISERROR(FIND("x",LOWER(Registro!$E1000))),"-",IFERROR(SUMPRODUCT(--("0"&amp;LEFT(TRIM(MID(SUBSTITUTE(SUBSTITUTE(SUBSTITUTE(SUBSTITUTE(SUBSTITUTE(LOWER(Registro!$E1000),"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",LEN(Registro!$E1000))),({1,2,3,4,5,6,7,8,9,10,11,12,13,14,15,16,17,18,19,20,21,22,23,24,25,26,27,28,29,30}-1)*LEN(Registro!$E1000)+1,LEN(Registro!$E1000)))&amp;"x")-1))),"Revisar formato")))</f>
        <v/>
      </c>
      <c r="E1000" s="11" t="str">
        <f>IF(Registro!$E1000="","",IF(ISERROR(FIND("x",LOWER(Registro!$E1000))),"-",IFERROR(SUMPRODUCT(--("0"&amp;LEFT(TRIM(MID(SUBSTITUTE(SUBSTITUTE(SUBSTITUTE(SUBSTITUTE(SUBSTITUTE(LOWER(Registro!$E1000),"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",LEN(Registro!$E1000))),({1,2,3,4,5,6,7,8,9,10,11,12,13,14,15,16,17,18,19,20,21,22,23,24,25,26,27,28,29,30}-1)*LEN(Registro!$E1000)+1,LEN(Registro!$E1000)))&amp;"x")-1)),--("0"&amp;MID(TRIM(MID(SUBSTITUTE(SUBSTITUTE(SUBSTITUTE(SUBSTITUTE(SUBSTITUTE(LOWER(Registro!$E1000),"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",LEN(Registro!$E1000))),({1,2,3,4,5,6,7,8,9,10,11,12,13,14,15,16,17,18,19,20,21,22,23,24,25,26,27,28,29,30}-1)*LEN(Registro!$E1000)+1,LEN(Registro!$E1000)))&amp;"x")+1,20))),"Revisar formato")))</f>
        <v/>
      </c>
      <c r="F1000" s="11" t="str">
        <f>IF(Registro!$F1000="","",N(Registro!$F1000))</f>
        <v/>
      </c>
      <c r="G1000" s="11" t="str">
        <f t="shared" si="46"/>
        <v/>
      </c>
      <c r="H1000" s="10" t="str">
        <f>IF(Registro!$G1000="","",IF(ISERROR(FIND("x",LOWER(Registro!$G1000))),"-",IFERROR(SUMPRODUCT(--("0"&amp;LEFT(TRIM(MID(SUBSTITUTE(SUBSTITUTE(SUBSTITUTE(SUBSTITUTE(SUBSTITUTE(LOWER(Registro!$G1000),"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",LEN(Registro!$G1000))),({1,2,3,4,5,6,7,8,9,10,11,12,13,14,15,16,17,18,19,20,21,22,23,24,25,26,27,28,29,30}-1)*LEN(Registro!$G1000)+1,LEN(Registro!$G1000))),FIND("x",TRIM(MID(SUBSTITUTE(SUBSTITUTE(SUBSTITUTE(SUBSTITUTE(SUBSTITUTE(LOWER(Registro!$G1000),"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",LEN(Registro!$G1000))),({1,2,3,4,5,6,7,8,9,10,11,12,13,14,15,16,17,18,19,20,21,22,23,24,25,26,27,28,29,30}-1)*LEN(Registro!$G1000)+1,LEN(Registro!$G1000)))&amp;"x")-1))),"Revisar formato")))</f>
        <v/>
      </c>
      <c r="I1000" s="11" t="str">
        <f>IF(Registro!$G1000="","",IF(ISERROR(FIND("x",LOWER(Registro!$G1000))),N(Registro!$H1000),IFERROR(SUMPRODUCT(--("0"&amp;LEFT(TRIM(MID(SUBSTITUTE(SUBSTITUTE(SUBSTITUTE(SUBSTITUTE(SUBSTITUTE(LOWER(Registro!$G1000),"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",LEN(Registro!$G1000))),({1,2,3,4,5,6,7,8,9,10,11,12,13,14,15,16,17,18,19,20,21,22,23,24,25,26,27,28,29,30}-1)*LEN(Registro!$G1000)+1,LEN(Registro!$G1000))),FIND("x",TRIM(MID(SUBSTITUTE(SUBSTITUTE(SUBSTITUTE(SUBSTITUTE(SUBSTITUTE(LOWER(Registro!$G1000),"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",LEN(Registro!$G1000))),({1,2,3,4,5,6,7,8,9,10,11,12,13,14,15,16,17,18,19,20,21,22,23,24,25,26,27,28,29,30}-1)*LEN(Registro!$G1000)+1,LEN(Registro!$G1000)))&amp;"x")-1)),--("0"&amp;MID(TRIM(MID(SUBSTITUTE(SUBSTITUTE(SUBSTITUTE(SUBSTITUTE(SUBSTITUTE(LOWER(Registro!$G1000),"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",LEN(Registro!$G1000))),({1,2,3,4,5,6,7,8,9,10,11,12,13,14,15,16,17,18,19,20,21,22,23,24,25,26,27,28,29,30}-1)*LEN(Registro!$G1000)+1,LEN(Registro!$G1000))),FIND("x",TRIM(MID(SUBSTITUTE(SUBSTITUTE(SUBSTITUTE(SUBSTITUTE(SUBSTITUTE(LOWER(Registro!$G1000),"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",LEN(Registro!$G1000))),({1,2,3,4,5,6,7,8,9,10,11,12,13,14,15,16,17,18,19,20,21,22,23,24,25,26,27,28,29,30}-1)*LEN(Registro!$G1000)+1,LEN(Registro!$G1000)))&amp;"x")+1,20))),"Revisar formato")))</f>
        <v/>
      </c>
      <c r="J1000" s="9" t="str">
        <f>IF(AND(Registro!$E1000="",Registro!$G1000=""),"",IF(NOT(AND(ISNUMBER(I1000),ISNUMBER(Registro!$H1000))),"",IF(I1000&lt;Registro!$H1000,"FALTA BOLETOS",IF(I1000=Registro!$H1000,"CONFORME","DIFERENCIA"))))</f>
        <v/>
      </c>
      <c r="K1000" s="11" t="str">
        <f>IF(Registro!$I1000="","",IFERROR(SUMPRODUCT(--("0"&amp;TRIM(RIGHT(SUBSTITUTE(TRIM(MID(SUBSTITUTE(SUBSTITUTE(Registro!$I1000,";",CHAR(10)),CHAR(10),REPT(" ",LEN(Registro!$I1000))),({1,2,3,4,5,6,7,8,9,10,11,12,13,14,15,16,17,18,19,20,21,22,23,24,25,26,27,28,29,30}-1)*LEN(Registro!$I1000)+1,LEN(Registro!$I1000)))," ",REPT(" ",50)),50)))),"Revisar formato"))</f>
        <v/>
      </c>
      <c r="L1000" s="11" t="str">
        <f>IF(Registro!$J1000="","",IFERROR(SUMPRODUCT(--("0"&amp;TRIM(RIGHT(SUBSTITUTE(TRIM(MID(SUBSTITUTE(SUBSTITUTE(Registro!$J1000,";",CHAR(10)),CHAR(10),REPT(" ",LEN(Registro!$J1000))),({1,2,3,4,5,6,7,8,9,10,11,12,13,14,15,16,17,18,19,20,21,22,23,24,25,26,27,28,29,30}-1)*LEN(Registro!$J1000)+1,LEN(Registro!$J1000)))," ",REPT(" ",50)),50)))),"Revisar formato"))</f>
        <v/>
      </c>
      <c r="M1000" s="11" t="str">
        <f>IF(AND(Registro!$H1000="",Registro!$I1000=""),"",IF(AND(ISTEXT(K1000),K1000&lt;&gt;""),"Revisar formato",N(Registro!$H1000)-N(K1000)))</f>
        <v/>
      </c>
      <c r="N1000" s="11" t="str">
        <f t="shared" si="47"/>
        <v/>
      </c>
      <c r="O1000" s="15" t="str">
        <f>IF(AND(A1000=Consulta!$B$3,C1000=Consulta!$H$3),B1000*10000+ROW(),"")</f>
        <v/>
      </c>
    </row>
    <row r="1001" spans="1:15" x14ac:dyDescent="0.25">
      <c r="A1001" s="9" t="str">
        <f>IF(Registro!$A1001="","",Registro!$A1001)</f>
        <v/>
      </c>
      <c r="B1001" s="8" t="str">
        <f>IF(Registro!$B1001="","",Registro!$B1001)</f>
        <v/>
      </c>
      <c r="C1001" s="14" t="str">
        <f t="shared" si="45"/>
        <v/>
      </c>
      <c r="D1001" s="10" t="str">
        <f>IF(Registro!$E1001="","",IF(ISERROR(FIND("x",LOWER(Registro!$E1001))),"-",IFERROR(SUMPRODUCT(--("0"&amp;LEFT(TRIM(MID(SUBSTITUTE(SUBSTITUTE(SUBSTITUTE(SUBSTITUTE(SUBSTITUTE(LOWER(Registro!$E1001),"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",LEN(Registro!$E1001))),({1,2,3,4,5,6,7,8,9,10,11,12,13,14,15,16,17,18,19,20,21,22,23,24,25,26,27,28,29,30}-1)*LEN(Registro!$E1001)+1,LEN(Registro!$E1001)))&amp;"x")-1))),"Revisar formato")))</f>
        <v/>
      </c>
      <c r="E1001" s="11" t="str">
        <f>IF(Registro!$E1001="","",IF(ISERROR(FIND("x",LOWER(Registro!$E1001))),"-",IFERROR(SUMPRODUCT(--("0"&amp;LEFT(TRIM(MID(SUBSTITUTE(SUBSTITUTE(SUBSTITUTE(SUBSTITUTE(SUBSTITUTE(LOWER(Registro!$E1001),"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",LEN(Registro!$E1001))),({1,2,3,4,5,6,7,8,9,10,11,12,13,14,15,16,17,18,19,20,21,22,23,24,25,26,27,28,29,30}-1)*LEN(Registro!$E1001)+1,LEN(Registro!$E1001)))&amp;"x")-1)),--("0"&amp;MID(TRIM(MID(SUBSTITUTE(SUBSTITUTE(SUBSTITUTE(SUBSTITUTE(SUBSTITUTE(LOWER(Registro!$E1001),"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",LEN(Registro!$E1001))),({1,2,3,4,5,6,7,8,9,10,11,12,13,14,15,16,17,18,19,20,21,22,23,24,25,26,27,28,29,30}-1)*LEN(Registro!$E1001)+1,LEN(Registro!$E1001)))&amp;"x")+1,20))),"Revisar formato")))</f>
        <v/>
      </c>
      <c r="F1001" s="11" t="str">
        <f>IF(Registro!$F1001="","",N(Registro!$F1001))</f>
        <v/>
      </c>
      <c r="G1001" s="11" t="str">
        <f t="shared" si="46"/>
        <v/>
      </c>
      <c r="H1001" s="10" t="str">
        <f>IF(Registro!$G1001="","",IF(ISERROR(FIND("x",LOWER(Registro!$G1001))),"-",IFERROR(SUMPRODUCT(--("0"&amp;LEFT(TRIM(MID(SUBSTITUTE(SUBSTITUTE(SUBSTITUTE(SUBSTITUTE(SUBSTITUTE(LOWER(Registro!$G1001),"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",LEN(Registro!$G1001))),({1,2,3,4,5,6,7,8,9,10,11,12,13,14,15,16,17,18,19,20,21,22,23,24,25,26,27,28,29,30}-1)*LEN(Registro!$G1001)+1,LEN(Registro!$G1001))),FIND("x",TRIM(MID(SUBSTITUTE(SUBSTITUTE(SUBSTITUTE(SUBSTITUTE(SUBSTITUTE(LOWER(Registro!$G1001),"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",LEN(Registro!$G1001))),({1,2,3,4,5,6,7,8,9,10,11,12,13,14,15,16,17,18,19,20,21,22,23,24,25,26,27,28,29,30}-1)*LEN(Registro!$G1001)+1,LEN(Registro!$G1001)))&amp;"x")-1))),"Revisar formato")))</f>
        <v/>
      </c>
      <c r="I1001" s="11" t="str">
        <f>IF(Registro!$G1001="","",IF(ISERROR(FIND("x",LOWER(Registro!$G1001))),N(Registro!$H1001),IFERROR(SUMPRODUCT(--("0"&amp;LEFT(TRIM(MID(SUBSTITUTE(SUBSTITUTE(SUBSTITUTE(SUBSTITUTE(SUBSTITUTE(LOWER(Registro!$G1001),"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",LEN(Registro!$G1001))),({1,2,3,4,5,6,7,8,9,10,11,12,13,14,15,16,17,18,19,20,21,22,23,24,25,26,27,28,29,30}-1)*LEN(Registro!$G1001)+1,LEN(Registro!$G1001))),FIND("x",TRIM(MID(SUBSTITUTE(SUBSTITUTE(SUBSTITUTE(SUBSTITUTE(SUBSTITUTE(LOWER(Registro!$G1001),"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",LEN(Registro!$G1001))),({1,2,3,4,5,6,7,8,9,10,11,12,13,14,15,16,17,18,19,20,21,22,23,24,25,26,27,28,29,30}-1)*LEN(Registro!$G1001)+1,LEN(Registro!$G1001)))&amp;"x")-1)),--("0"&amp;MID(TRIM(MID(SUBSTITUTE(SUBSTITUTE(SUBSTITUTE(SUBSTITUTE(SUBSTITUTE(LOWER(Registro!$G1001),"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",LEN(Registro!$G1001))),({1,2,3,4,5,6,7,8,9,10,11,12,13,14,15,16,17,18,19,20,21,22,23,24,25,26,27,28,29,30}-1)*LEN(Registro!$G1001)+1,LEN(Registro!$G1001))),FIND("x",TRIM(MID(SUBSTITUTE(SUBSTITUTE(SUBSTITUTE(SUBSTITUTE(SUBSTITUTE(LOWER(Registro!$G1001),"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",LEN(Registro!$G1001))),({1,2,3,4,5,6,7,8,9,10,11,12,13,14,15,16,17,18,19,20,21,22,23,24,25,26,27,28,29,30}-1)*LEN(Registro!$G1001)+1,LEN(Registro!$G1001)))&amp;"x")+1,20))),"Revisar formato")))</f>
        <v/>
      </c>
      <c r="J1001" s="9" t="str">
        <f>IF(AND(Registro!$E1001="",Registro!$G1001=""),"",IF(NOT(AND(ISNUMBER(I1001),ISNUMBER(Registro!$H1001))),"",IF(I1001&lt;Registro!$H1001,"FALTA BOLETOS",IF(I1001=Registro!$H1001,"CONFORME","DIFERENCIA"))))</f>
        <v/>
      </c>
      <c r="K1001" s="11" t="str">
        <f>IF(Registro!$I1001="","",IFERROR(SUMPRODUCT(--("0"&amp;TRIM(RIGHT(SUBSTITUTE(TRIM(MID(SUBSTITUTE(SUBSTITUTE(Registro!$I1001,";",CHAR(10)),CHAR(10),REPT(" ",LEN(Registro!$I1001))),({1,2,3,4,5,6,7,8,9,10,11,12,13,14,15,16,17,18,19,20,21,22,23,24,25,26,27,28,29,30}-1)*LEN(Registro!$I1001)+1,LEN(Registro!$I1001)))," ",REPT(" ",50)),50)))),"Revisar formato"))</f>
        <v/>
      </c>
      <c r="L1001" s="11" t="str">
        <f>IF(Registro!$J1001="","",IFERROR(SUMPRODUCT(--("0"&amp;TRIM(RIGHT(SUBSTITUTE(TRIM(MID(SUBSTITUTE(SUBSTITUTE(Registro!$J1001,";",CHAR(10)),CHAR(10),REPT(" ",LEN(Registro!$J1001))),({1,2,3,4,5,6,7,8,9,10,11,12,13,14,15,16,17,18,19,20,21,22,23,24,25,26,27,28,29,30}-1)*LEN(Registro!$J1001)+1,LEN(Registro!$J1001)))," ",REPT(" ",50)),50)))),"Revisar formato"))</f>
        <v/>
      </c>
      <c r="M1001" s="11" t="str">
        <f>IF(AND(Registro!$H1001="",Registro!$I1001=""),"",IF(AND(ISTEXT(K1001),K1001&lt;&gt;""),"Revisar formato",N(Registro!$H1001)-N(K1001)))</f>
        <v/>
      </c>
      <c r="N1001" s="11" t="str">
        <f t="shared" si="47"/>
        <v/>
      </c>
      <c r="O1001" s="15" t="str">
        <f>IF(AND(A1001=Consulta!$B$3,C1001=Consulta!$H$3),B1001*10000+ROW(),"")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Inicio</vt:lpstr>
      <vt:lpstr>Registro</vt:lpstr>
      <vt:lpstr>Consulta</vt:lpstr>
      <vt:lpstr>Resumen</vt:lpstr>
      <vt:lpstr>Resumen diario</vt:lpstr>
      <vt:lpstr>Facturas</vt:lpstr>
      <vt:lpstr>Cálculo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DIV</cp:lastModifiedBy>
  <cp:revision>0</cp:revision>
  <dcterms:created xsi:type="dcterms:W3CDTF">2026-10-26T03:06:28Z</dcterms:created>
  <dcterms:modified xsi:type="dcterms:W3CDTF">2026-10-27T02:36:46Z</dcterms:modified>
  <dc:language>en-US</dc:language>
</cp:coreProperties>
</file>